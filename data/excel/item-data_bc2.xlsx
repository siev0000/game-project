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kkt3\ドキュメント\Github\game-project\data\excel\"/>
    </mc:Choice>
  </mc:AlternateContent>
  <xr:revisionPtr revIDLastSave="0" documentId="8_{645630A5-B783-4C6C-92AB-284C0EBC1E68}" xr6:coauthVersionLast="47" xr6:coauthVersionMax="47" xr10:uidLastSave="{00000000-0000-0000-0000-000000000000}"/>
  <bookViews>
    <workbookView xWindow="1275" yWindow="0" windowWidth="29565" windowHeight="19590" activeTab="5" xr2:uid="{93FAE5DA-3CF2-4CAE-BC3E-9D6B1954436C}"/>
  </bookViews>
  <sheets>
    <sheet name="カテゴリ" sheetId="7" r:id="rId1"/>
    <sheet name="作製品" sheetId="2" r:id="rId2"/>
    <sheet name="アイテム" sheetId="3" r:id="rId3"/>
    <sheet name="素材" sheetId="5" r:id="rId4"/>
    <sheet name="付与" sheetId="1" r:id="rId5"/>
    <sheet name="装備品" sheetId="4" r:id="rId6"/>
    <sheet name="ショップ" sheetId="6" r:id="rId7"/>
    <sheet name="Sheet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5" l="1"/>
  <c r="AG9" i="4"/>
  <c r="AG3" i="4"/>
  <c r="AG4" i="4"/>
  <c r="AG5" i="4"/>
  <c r="AG6" i="4"/>
  <c r="AG7" i="4"/>
  <c r="AG8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E11" i="4"/>
  <c r="AE128" i="4"/>
  <c r="AE129" i="4"/>
  <c r="AE130" i="4"/>
  <c r="AE131" i="4"/>
  <c r="AE132" i="4"/>
  <c r="AE127" i="4"/>
  <c r="AE4" i="4"/>
  <c r="AE5" i="4"/>
  <c r="AE6" i="4"/>
  <c r="AE7" i="4"/>
  <c r="AE8" i="4"/>
  <c r="AE9" i="4"/>
  <c r="AE10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3" i="4"/>
  <c r="E15" i="4"/>
  <c r="D115" i="1"/>
  <c r="D116" i="1"/>
  <c r="D117" i="1"/>
  <c r="D118" i="1"/>
  <c r="D131" i="1" s="1"/>
  <c r="D119" i="1"/>
  <c r="D132" i="1" s="1"/>
  <c r="D120" i="1"/>
  <c r="DI120" i="1" s="1"/>
  <c r="D121" i="1"/>
  <c r="DI121" i="1" s="1"/>
  <c r="D122" i="1"/>
  <c r="D135" i="1" s="1"/>
  <c r="D123" i="1"/>
  <c r="D136" i="1" s="1"/>
  <c r="D124" i="1"/>
  <c r="D137" i="1" s="1"/>
  <c r="D125" i="1"/>
  <c r="D138" i="1" s="1"/>
  <c r="D126" i="1"/>
  <c r="D139" i="1" s="1"/>
  <c r="D127" i="1"/>
  <c r="D140" i="1" s="1"/>
  <c r="D128" i="1"/>
  <c r="D141" i="1" s="1"/>
  <c r="D129" i="1"/>
  <c r="D142" i="1" s="1"/>
  <c r="D130" i="1"/>
  <c r="D143" i="1" s="1"/>
  <c r="D114" i="1"/>
  <c r="AF105" i="4"/>
  <c r="AF107" i="4"/>
  <c r="AF108" i="4"/>
  <c r="AF109" i="4"/>
  <c r="AF110" i="4"/>
  <c r="AF111" i="4"/>
  <c r="AF112" i="4"/>
  <c r="AF113" i="4"/>
  <c r="AF114" i="4"/>
  <c r="AF115" i="4"/>
  <c r="AF116" i="4"/>
  <c r="AF117" i="4"/>
  <c r="DI12" i="1"/>
  <c r="DI13" i="1"/>
  <c r="DI14" i="1"/>
  <c r="DI15" i="1"/>
  <c r="DI16" i="1"/>
  <c r="DI17" i="1"/>
  <c r="DI18" i="1"/>
  <c r="DI19" i="1"/>
  <c r="DI32" i="1"/>
  <c r="DI39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200" i="1"/>
  <c r="DI219" i="1"/>
  <c r="DI232" i="1"/>
  <c r="DI233" i="1"/>
  <c r="DI247" i="1"/>
  <c r="DI248" i="1"/>
  <c r="DI249" i="1"/>
  <c r="DI250" i="1"/>
  <c r="DI251" i="1"/>
  <c r="DI252" i="1"/>
  <c r="DI253" i="1"/>
  <c r="DI254" i="1"/>
  <c r="DI255" i="1"/>
  <c r="DI256" i="1"/>
  <c r="DI257" i="1"/>
  <c r="DI258" i="1"/>
  <c r="DI259" i="1"/>
  <c r="DI260" i="1"/>
  <c r="DI261" i="1"/>
  <c r="DI262" i="1"/>
  <c r="DI263" i="1"/>
  <c r="DI264" i="1"/>
  <c r="DI265" i="1"/>
  <c r="DI266" i="1"/>
  <c r="DI267" i="1"/>
  <c r="DI268" i="1"/>
  <c r="DI269" i="1"/>
  <c r="DI270" i="1"/>
  <c r="DI271" i="1"/>
  <c r="DI272" i="1"/>
  <c r="DI273" i="1"/>
  <c r="DI274" i="1"/>
  <c r="DI275" i="1"/>
  <c r="DI276" i="1"/>
  <c r="DI277" i="1"/>
  <c r="DI278" i="1"/>
  <c r="DI279" i="1"/>
  <c r="DI280" i="1"/>
  <c r="DI281" i="1"/>
  <c r="DI282" i="1"/>
  <c r="DI283" i="1"/>
  <c r="DI284" i="1"/>
  <c r="DI285" i="1"/>
  <c r="DI286" i="1"/>
  <c r="DI287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0" i="1"/>
  <c r="DI301" i="1"/>
  <c r="DI302" i="1"/>
  <c r="DI303" i="1"/>
  <c r="DI304" i="1"/>
  <c r="DI305" i="1"/>
  <c r="DI306" i="1"/>
  <c r="DI307" i="1"/>
  <c r="DI308" i="1"/>
  <c r="DI309" i="1"/>
  <c r="DI310" i="1"/>
  <c r="DI311" i="1"/>
  <c r="DI312" i="1"/>
  <c r="DI313" i="1"/>
  <c r="DI314" i="1"/>
  <c r="DI315" i="1"/>
  <c r="DI316" i="1"/>
  <c r="DI317" i="1"/>
  <c r="DI318" i="1"/>
  <c r="DI319" i="1"/>
  <c r="DI320" i="1"/>
  <c r="DI321" i="1"/>
  <c r="DI322" i="1"/>
  <c r="DI323" i="1"/>
  <c r="DI324" i="1"/>
  <c r="DI325" i="1"/>
  <c r="DI326" i="1"/>
  <c r="DI327" i="1"/>
  <c r="DI328" i="1"/>
  <c r="DI329" i="1"/>
  <c r="DI330" i="1"/>
  <c r="DI11" i="1"/>
  <c r="N14" i="5"/>
  <c r="N13" i="5"/>
  <c r="N12" i="5"/>
  <c r="N11" i="5"/>
  <c r="N10" i="5"/>
  <c r="N9" i="5"/>
  <c r="DM11" i="1"/>
  <c r="DM12" i="1"/>
  <c r="DM13" i="1"/>
  <c r="DM14" i="1"/>
  <c r="DM15" i="1"/>
  <c r="DM16" i="1"/>
  <c r="DM17" i="1"/>
  <c r="DM46" i="1"/>
  <c r="DM47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100" i="1"/>
  <c r="DM101" i="1"/>
  <c r="DM102" i="1"/>
  <c r="DM103" i="1"/>
  <c r="DM104" i="1"/>
  <c r="DM105" i="1"/>
  <c r="DM106" i="1"/>
  <c r="DM107" i="1"/>
  <c r="DM108" i="1"/>
  <c r="DM109" i="1"/>
  <c r="DM110" i="1"/>
  <c r="DM111" i="1"/>
  <c r="DM112" i="1"/>
  <c r="DM113" i="1"/>
  <c r="DM166" i="1"/>
  <c r="DM167" i="1"/>
  <c r="DM168" i="1"/>
  <c r="DM169" i="1"/>
  <c r="DM170" i="1"/>
  <c r="DM171" i="1"/>
  <c r="DM172" i="1"/>
  <c r="DM173" i="1"/>
  <c r="DM174" i="1"/>
  <c r="DM175" i="1"/>
  <c r="DM176" i="1"/>
  <c r="DM177" i="1"/>
  <c r="DM178" i="1"/>
  <c r="DM179" i="1"/>
  <c r="DM180" i="1"/>
  <c r="DM181" i="1"/>
  <c r="DM182" i="1"/>
  <c r="DM247" i="1"/>
  <c r="DM248" i="1"/>
  <c r="DM249" i="1"/>
  <c r="DM250" i="1"/>
  <c r="DM251" i="1"/>
  <c r="DM252" i="1"/>
  <c r="DM253" i="1"/>
  <c r="DM254" i="1"/>
  <c r="DM255" i="1"/>
  <c r="DM256" i="1"/>
  <c r="DM257" i="1"/>
  <c r="DM258" i="1"/>
  <c r="DM259" i="1"/>
  <c r="DM260" i="1"/>
  <c r="DM261" i="1"/>
  <c r="DM262" i="1"/>
  <c r="DM263" i="1"/>
  <c r="DM264" i="1"/>
  <c r="DM265" i="1"/>
  <c r="DM266" i="1"/>
  <c r="DM267" i="1"/>
  <c r="DM268" i="1"/>
  <c r="DM269" i="1"/>
  <c r="DM270" i="1"/>
  <c r="DM271" i="1"/>
  <c r="DM272" i="1"/>
  <c r="DM273" i="1"/>
  <c r="DM274" i="1"/>
  <c r="DM275" i="1"/>
  <c r="DM276" i="1"/>
  <c r="DM277" i="1"/>
  <c r="DM278" i="1"/>
  <c r="DM279" i="1"/>
  <c r="DM280" i="1"/>
  <c r="DM281" i="1"/>
  <c r="DM282" i="1"/>
  <c r="DM283" i="1"/>
  <c r="DM284" i="1"/>
  <c r="DM285" i="1"/>
  <c r="DM286" i="1"/>
  <c r="DM287" i="1"/>
  <c r="DM288" i="1"/>
  <c r="DM289" i="1"/>
  <c r="DM290" i="1"/>
  <c r="DM291" i="1"/>
  <c r="DM292" i="1"/>
  <c r="DM293" i="1"/>
  <c r="DM294" i="1"/>
  <c r="DM295" i="1"/>
  <c r="DM296" i="1"/>
  <c r="DM297" i="1"/>
  <c r="DM298" i="1"/>
  <c r="DM299" i="1"/>
  <c r="DM300" i="1"/>
  <c r="DM301" i="1"/>
  <c r="DM302" i="1"/>
  <c r="DM303" i="1"/>
  <c r="DM304" i="1"/>
  <c r="DM305" i="1"/>
  <c r="DM306" i="1"/>
  <c r="DM307" i="1"/>
  <c r="DM308" i="1"/>
  <c r="DM309" i="1"/>
  <c r="DM310" i="1"/>
  <c r="DM311" i="1"/>
  <c r="DM312" i="1"/>
  <c r="DM313" i="1"/>
  <c r="DM314" i="1"/>
  <c r="DM315" i="1"/>
  <c r="DM316" i="1"/>
  <c r="DM317" i="1"/>
  <c r="DM318" i="1"/>
  <c r="DM319" i="1"/>
  <c r="DM320" i="1"/>
  <c r="DM321" i="1"/>
  <c r="DM322" i="1"/>
  <c r="DM323" i="1"/>
  <c r="DM324" i="1"/>
  <c r="DM325" i="1"/>
  <c r="DM326" i="1"/>
  <c r="DM327" i="1"/>
  <c r="DM328" i="1"/>
  <c r="DM329" i="1"/>
  <c r="DM330" i="1"/>
  <c r="DM10" i="1"/>
  <c r="D19" i="1"/>
  <c r="D26" i="1" s="1"/>
  <c r="DI26" i="1" s="1"/>
  <c r="D20" i="1"/>
  <c r="D27" i="1" s="1"/>
  <c r="DI27" i="1" s="1"/>
  <c r="D21" i="1"/>
  <c r="D28" i="1" s="1"/>
  <c r="DI28" i="1" s="1"/>
  <c r="D22" i="1"/>
  <c r="D29" i="1" s="1"/>
  <c r="DI29" i="1" s="1"/>
  <c r="D23" i="1"/>
  <c r="D30" i="1" s="1"/>
  <c r="DI30" i="1" s="1"/>
  <c r="D24" i="1"/>
  <c r="D31" i="1" s="1"/>
  <c r="D38" i="1" s="1"/>
  <c r="D45" i="1" s="1"/>
  <c r="DI45" i="1" s="1"/>
  <c r="D25" i="1"/>
  <c r="D32" i="1" s="1"/>
  <c r="D39" i="1" s="1"/>
  <c r="D18" i="1"/>
  <c r="D184" i="1"/>
  <c r="D200" i="1" s="1"/>
  <c r="D216" i="1" s="1"/>
  <c r="D232" i="1" s="1"/>
  <c r="D185" i="1"/>
  <c r="D201" i="1" s="1"/>
  <c r="D217" i="1" s="1"/>
  <c r="D233" i="1" s="1"/>
  <c r="D186" i="1"/>
  <c r="D187" i="1"/>
  <c r="D203" i="1" s="1"/>
  <c r="D219" i="1" s="1"/>
  <c r="D235" i="1" s="1"/>
  <c r="DI235" i="1" s="1"/>
  <c r="D188" i="1"/>
  <c r="D204" i="1" s="1"/>
  <c r="DI204" i="1" s="1"/>
  <c r="D189" i="1"/>
  <c r="D205" i="1" s="1"/>
  <c r="D221" i="1" s="1"/>
  <c r="D237" i="1" s="1"/>
  <c r="DI237" i="1" s="1"/>
  <c r="D190" i="1"/>
  <c r="D206" i="1" s="1"/>
  <c r="D222" i="1" s="1"/>
  <c r="D238" i="1" s="1"/>
  <c r="DI238" i="1" s="1"/>
  <c r="D191" i="1"/>
  <c r="D207" i="1" s="1"/>
  <c r="D223" i="1" s="1"/>
  <c r="D239" i="1" s="1"/>
  <c r="DI239" i="1" s="1"/>
  <c r="D192" i="1"/>
  <c r="D208" i="1" s="1"/>
  <c r="D224" i="1" s="1"/>
  <c r="D240" i="1" s="1"/>
  <c r="DI240" i="1" s="1"/>
  <c r="D193" i="1"/>
  <c r="D209" i="1" s="1"/>
  <c r="D225" i="1" s="1"/>
  <c r="D241" i="1" s="1"/>
  <c r="DI241" i="1" s="1"/>
  <c r="D194" i="1"/>
  <c r="D210" i="1" s="1"/>
  <c r="D226" i="1" s="1"/>
  <c r="D242" i="1" s="1"/>
  <c r="DI242" i="1" s="1"/>
  <c r="D195" i="1"/>
  <c r="D211" i="1" s="1"/>
  <c r="D227" i="1" s="1"/>
  <c r="D243" i="1" s="1"/>
  <c r="DI243" i="1" s="1"/>
  <c r="D196" i="1"/>
  <c r="D212" i="1" s="1"/>
  <c r="D228" i="1" s="1"/>
  <c r="D244" i="1" s="1"/>
  <c r="DI244" i="1" s="1"/>
  <c r="D197" i="1"/>
  <c r="D213" i="1" s="1"/>
  <c r="D229" i="1" s="1"/>
  <c r="D245" i="1" s="1"/>
  <c r="DI245" i="1" s="1"/>
  <c r="D198" i="1"/>
  <c r="DI198" i="1" s="1"/>
  <c r="D183" i="1"/>
  <c r="D199" i="1" s="1"/>
  <c r="D215" i="1" s="1"/>
  <c r="D231" i="1" s="1"/>
  <c r="DI231" i="1" s="1"/>
  <c r="C272" i="1"/>
  <c r="AH15" i="4" l="1"/>
  <c r="AH9" i="4"/>
  <c r="D155" i="1"/>
  <c r="DI155" i="1" s="1"/>
  <c r="DI142" i="1"/>
  <c r="D153" i="1"/>
  <c r="DI153" i="1" s="1"/>
  <c r="DI140" i="1"/>
  <c r="D150" i="1"/>
  <c r="DI137" i="1"/>
  <c r="D151" i="1"/>
  <c r="DI138" i="1"/>
  <c r="D148" i="1"/>
  <c r="DI135" i="1"/>
  <c r="D144" i="1"/>
  <c r="DI131" i="1"/>
  <c r="D156" i="1"/>
  <c r="DI156" i="1" s="1"/>
  <c r="DI143" i="1"/>
  <c r="D154" i="1"/>
  <c r="DI154" i="1" s="1"/>
  <c r="DI141" i="1"/>
  <c r="D152" i="1"/>
  <c r="DI139" i="1"/>
  <c r="D149" i="1"/>
  <c r="DI136" i="1"/>
  <c r="DI132" i="1"/>
  <c r="D145" i="1"/>
  <c r="DI130" i="1"/>
  <c r="DI129" i="1"/>
  <c r="DI128" i="1"/>
  <c r="DI127" i="1"/>
  <c r="DI126" i="1"/>
  <c r="DI125" i="1"/>
  <c r="DI124" i="1"/>
  <c r="DI123" i="1"/>
  <c r="DI119" i="1"/>
  <c r="D134" i="1"/>
  <c r="DI118" i="1"/>
  <c r="D133" i="1"/>
  <c r="DI122" i="1"/>
  <c r="DI25" i="1"/>
  <c r="DI23" i="1"/>
  <c r="DI22" i="1"/>
  <c r="DI21" i="1"/>
  <c r="DI24" i="1"/>
  <c r="DI38" i="1"/>
  <c r="DI20" i="1"/>
  <c r="DI31" i="1"/>
  <c r="DI195" i="1"/>
  <c r="DI197" i="1"/>
  <c r="DI212" i="1"/>
  <c r="DI196" i="1"/>
  <c r="DI224" i="1"/>
  <c r="DI210" i="1"/>
  <c r="DI208" i="1"/>
  <c r="DI207" i="1"/>
  <c r="DI227" i="1"/>
  <c r="DI215" i="1"/>
  <c r="DI203" i="1"/>
  <c r="DI191" i="1"/>
  <c r="DI226" i="1"/>
  <c r="DI190" i="1"/>
  <c r="DI225" i="1"/>
  <c r="DI213" i="1"/>
  <c r="DI201" i="1"/>
  <c r="DI189" i="1"/>
  <c r="DI188" i="1"/>
  <c r="DI223" i="1"/>
  <c r="DI211" i="1"/>
  <c r="DI199" i="1"/>
  <c r="DI187" i="1"/>
  <c r="DI222" i="1"/>
  <c r="DI221" i="1"/>
  <c r="DI209" i="1"/>
  <c r="DI206" i="1"/>
  <c r="DI194" i="1"/>
  <c r="DI229" i="1"/>
  <c r="DI217" i="1"/>
  <c r="DI205" i="1"/>
  <c r="DI193" i="1"/>
  <c r="DI228" i="1"/>
  <c r="DI216" i="1"/>
  <c r="DI192" i="1"/>
  <c r="D220" i="1"/>
  <c r="DI220" i="1" s="1"/>
  <c r="D35" i="1"/>
  <c r="DI35" i="1" s="1"/>
  <c r="D34" i="1"/>
  <c r="DI34" i="1" s="1"/>
  <c r="D37" i="1"/>
  <c r="DI37" i="1" s="1"/>
  <c r="D33" i="1"/>
  <c r="DI33" i="1" s="1"/>
  <c r="D214" i="1"/>
  <c r="DI214" i="1" s="1"/>
  <c r="D36" i="1"/>
  <c r="DI36" i="1" s="1"/>
  <c r="D202" i="1"/>
  <c r="DI202" i="1" s="1"/>
  <c r="D147" i="1" l="1"/>
  <c r="DI134" i="1"/>
  <c r="D157" i="1"/>
  <c r="DI157" i="1" s="1"/>
  <c r="DI144" i="1"/>
  <c r="DI148" i="1"/>
  <c r="D161" i="1"/>
  <c r="DI161" i="1" s="1"/>
  <c r="D164" i="1"/>
  <c r="DI164" i="1" s="1"/>
  <c r="DI151" i="1"/>
  <c r="D158" i="1"/>
  <c r="DI158" i="1" s="1"/>
  <c r="DI145" i="1"/>
  <c r="D163" i="1"/>
  <c r="DI163" i="1" s="1"/>
  <c r="DI150" i="1"/>
  <c r="DI149" i="1"/>
  <c r="D162" i="1"/>
  <c r="DI162" i="1" s="1"/>
  <c r="DI133" i="1"/>
  <c r="D146" i="1"/>
  <c r="DI152" i="1"/>
  <c r="D165" i="1"/>
  <c r="DI165" i="1" s="1"/>
  <c r="D236" i="1"/>
  <c r="DI236" i="1" s="1"/>
  <c r="D44" i="1"/>
  <c r="DI44" i="1" s="1"/>
  <c r="D41" i="1"/>
  <c r="DI41" i="1" s="1"/>
  <c r="D42" i="1"/>
  <c r="DI42" i="1" s="1"/>
  <c r="D230" i="1"/>
  <c r="DI230" i="1" s="1"/>
  <c r="D40" i="1"/>
  <c r="DI40" i="1" s="1"/>
  <c r="D218" i="1"/>
  <c r="DI218" i="1" s="1"/>
  <c r="D43" i="1"/>
  <c r="DI43" i="1" s="1"/>
  <c r="D159" i="1" l="1"/>
  <c r="DI159" i="1" s="1"/>
  <c r="DI146" i="1"/>
  <c r="D160" i="1"/>
  <c r="DI160" i="1" s="1"/>
  <c r="DI147" i="1"/>
  <c r="D246" i="1"/>
  <c r="DI246" i="1" s="1"/>
  <c r="D234" i="1"/>
  <c r="DI234" i="1" s="1"/>
  <c r="DE198" i="1" l="1"/>
  <c r="DM198" i="1" s="1"/>
  <c r="DD197" i="1"/>
  <c r="DM197" i="1" s="1"/>
  <c r="DC196" i="1"/>
  <c r="DM196" i="1" s="1"/>
  <c r="DB195" i="1"/>
  <c r="DM195" i="1" s="1"/>
  <c r="DA194" i="1"/>
  <c r="DM194" i="1" s="1"/>
  <c r="CZ193" i="1"/>
  <c r="DM193" i="1" s="1"/>
  <c r="CY192" i="1"/>
  <c r="DM192" i="1" s="1"/>
  <c r="CX191" i="1"/>
  <c r="DM191" i="1" s="1"/>
  <c r="CW190" i="1"/>
  <c r="DM190" i="1" s="1"/>
  <c r="CV189" i="1"/>
  <c r="DM189" i="1" s="1"/>
  <c r="CU188" i="1"/>
  <c r="DM188" i="1" s="1"/>
  <c r="CT187" i="1"/>
  <c r="DM187" i="1" s="1"/>
  <c r="CS186" i="1"/>
  <c r="DM186" i="1" s="1"/>
  <c r="CR185" i="1"/>
  <c r="DM185" i="1" s="1"/>
  <c r="CQ184" i="1"/>
  <c r="DM184" i="1" s="1"/>
  <c r="CP183" i="1"/>
  <c r="DM183" i="1" s="1"/>
  <c r="BY126" i="1"/>
  <c r="DM126" i="1" s="1"/>
  <c r="BX125" i="1"/>
  <c r="DM125" i="1" s="1"/>
  <c r="BW124" i="1"/>
  <c r="DM124" i="1" s="1"/>
  <c r="BV123" i="1"/>
  <c r="DM123" i="1" s="1"/>
  <c r="BU122" i="1"/>
  <c r="DM122" i="1" s="1"/>
  <c r="BT121" i="1"/>
  <c r="DM121" i="1" s="1"/>
  <c r="BS120" i="1"/>
  <c r="DM120" i="1" s="1"/>
  <c r="BR119" i="1"/>
  <c r="DM119" i="1" s="1"/>
  <c r="BQ118" i="1"/>
  <c r="DM118" i="1" s="1"/>
  <c r="BP117" i="1"/>
  <c r="DM117" i="1" s="1"/>
  <c r="BO116" i="1"/>
  <c r="DM116" i="1" s="1"/>
  <c r="BN115" i="1"/>
  <c r="DM115" i="1" s="1"/>
  <c r="BM114" i="1"/>
  <c r="DM114" i="1" s="1"/>
  <c r="A60" i="1"/>
  <c r="A61" i="1"/>
  <c r="A62" i="1"/>
  <c r="A59" i="1"/>
  <c r="A57" i="1"/>
  <c r="A56" i="1"/>
  <c r="A55" i="1"/>
  <c r="A54" i="1"/>
  <c r="Q351" i="2"/>
  <c r="BH78" i="1"/>
  <c r="DM78" i="1" s="1"/>
  <c r="BG77" i="1"/>
  <c r="DM77" i="1" s="1"/>
  <c r="BF76" i="1"/>
  <c r="DM76" i="1" s="1"/>
  <c r="BE75" i="1"/>
  <c r="DM75" i="1" s="1"/>
  <c r="BD74" i="1"/>
  <c r="DM74" i="1" s="1"/>
  <c r="BC73" i="1"/>
  <c r="DM73" i="1" s="1"/>
  <c r="BB72" i="1"/>
  <c r="DM72" i="1" s="1"/>
  <c r="AB362" i="2"/>
  <c r="Y356" i="2"/>
  <c r="AF104" i="4"/>
  <c r="Q46" i="2"/>
  <c r="Q44" i="2"/>
  <c r="CR201" i="1" l="1"/>
  <c r="DM201" i="1" s="1"/>
  <c r="BQ131" i="1"/>
  <c r="DM131" i="1" s="1"/>
  <c r="CS202" i="1"/>
  <c r="DM202" i="1" s="1"/>
  <c r="DE214" i="1"/>
  <c r="DM214" i="1" s="1"/>
  <c r="BR132" i="1"/>
  <c r="DM132" i="1" s="1"/>
  <c r="CT203" i="1"/>
  <c r="DM203" i="1" s="1"/>
  <c r="BG84" i="1"/>
  <c r="DM84" i="1" s="1"/>
  <c r="BO129" i="1"/>
  <c r="DM129" i="1" s="1"/>
  <c r="DD213" i="1"/>
  <c r="DM213" i="1" s="1"/>
  <c r="BS133" i="1"/>
  <c r="DM133" i="1" s="1"/>
  <c r="CU204" i="1"/>
  <c r="DM204" i="1" s="1"/>
  <c r="BN128" i="1"/>
  <c r="DM128" i="1" s="1"/>
  <c r="BP130" i="1"/>
  <c r="DM130" i="1" s="1"/>
  <c r="BT134" i="1"/>
  <c r="DM134" i="1" s="1"/>
  <c r="CV205" i="1"/>
  <c r="DM205" i="1" s="1"/>
  <c r="CW206" i="1"/>
  <c r="DM206" i="1" s="1"/>
  <c r="DC212" i="1"/>
  <c r="DM212" i="1" s="1"/>
  <c r="BV136" i="1"/>
  <c r="DM136" i="1" s="1"/>
  <c r="CX207" i="1"/>
  <c r="DM207" i="1" s="1"/>
  <c r="BB79" i="1"/>
  <c r="DM79" i="1" s="1"/>
  <c r="BW137" i="1"/>
  <c r="DM137" i="1" s="1"/>
  <c r="CY208" i="1"/>
  <c r="DM208" i="1" s="1"/>
  <c r="BH85" i="1"/>
  <c r="DM85" i="1" s="1"/>
  <c r="BX138" i="1"/>
  <c r="DM138" i="1" s="1"/>
  <c r="CZ209" i="1"/>
  <c r="DM209" i="1" s="1"/>
  <c r="BD81" i="1"/>
  <c r="DM81" i="1" s="1"/>
  <c r="BE82" i="1"/>
  <c r="DM82" i="1" s="1"/>
  <c r="BF83" i="1"/>
  <c r="DM83" i="1" s="1"/>
  <c r="BM127" i="1"/>
  <c r="DM127" i="1" s="1"/>
  <c r="BY139" i="1"/>
  <c r="DM139" i="1" s="1"/>
  <c r="DA210" i="1"/>
  <c r="DM210" i="1" s="1"/>
  <c r="BU135" i="1"/>
  <c r="DM135" i="1" s="1"/>
  <c r="DD229" i="1"/>
  <c r="DM229" i="1" s="1"/>
  <c r="CP199" i="1"/>
  <c r="DM199" i="1" s="1"/>
  <c r="CQ200" i="1"/>
  <c r="DM200" i="1" s="1"/>
  <c r="DB211" i="1"/>
  <c r="DM211" i="1" s="1"/>
  <c r="BC80" i="1"/>
  <c r="DM80" i="1" s="1"/>
  <c r="BD88" i="1"/>
  <c r="DM88" i="1" s="1"/>
  <c r="BG91" i="1"/>
  <c r="DM91" i="1" s="1"/>
  <c r="CR217" i="1" l="1"/>
  <c r="DM217" i="1" s="1"/>
  <c r="CW222" i="1"/>
  <c r="DM222" i="1" s="1"/>
  <c r="BB86" i="1"/>
  <c r="DM86" i="1" s="1"/>
  <c r="CT219" i="1"/>
  <c r="DM219" i="1" s="1"/>
  <c r="BY152" i="1"/>
  <c r="DM152" i="1" s="1"/>
  <c r="DC228" i="1"/>
  <c r="DM228" i="1" s="1"/>
  <c r="CU220" i="1"/>
  <c r="DM220" i="1" s="1"/>
  <c r="BR145" i="1"/>
  <c r="DM145" i="1" s="1"/>
  <c r="BV149" i="1"/>
  <c r="DM149" i="1" s="1"/>
  <c r="BF90" i="1"/>
  <c r="DM90" i="1" s="1"/>
  <c r="CY224" i="1"/>
  <c r="DM224" i="1" s="1"/>
  <c r="BS146" i="1"/>
  <c r="DM146" i="1" s="1"/>
  <c r="DE230" i="1"/>
  <c r="DM230" i="1" s="1"/>
  <c r="CS218" i="1"/>
  <c r="DM218" i="1" s="1"/>
  <c r="BM140" i="1"/>
  <c r="DM140" i="1" s="1"/>
  <c r="BN141" i="1"/>
  <c r="DM141" i="1" s="1"/>
  <c r="BE89" i="1"/>
  <c r="DM89" i="1" s="1"/>
  <c r="BU148" i="1"/>
  <c r="DM148" i="1" s="1"/>
  <c r="BT147" i="1"/>
  <c r="DM147" i="1" s="1"/>
  <c r="BO142" i="1"/>
  <c r="DM142" i="1" s="1"/>
  <c r="BQ144" i="1"/>
  <c r="DM144" i="1" s="1"/>
  <c r="CV221" i="1"/>
  <c r="DM221" i="1" s="1"/>
  <c r="BX151" i="1"/>
  <c r="DM151" i="1" s="1"/>
  <c r="BW150" i="1"/>
  <c r="DM150" i="1" s="1"/>
  <c r="BH92" i="1"/>
  <c r="DM92" i="1" s="1"/>
  <c r="DA226" i="1"/>
  <c r="DM226" i="1" s="1"/>
  <c r="CZ225" i="1"/>
  <c r="DM225" i="1" s="1"/>
  <c r="CX223" i="1"/>
  <c r="DM223" i="1" s="1"/>
  <c r="BP143" i="1"/>
  <c r="DM143" i="1" s="1"/>
  <c r="DD245" i="1"/>
  <c r="DM245" i="1" s="1"/>
  <c r="CQ216" i="1"/>
  <c r="DM216" i="1" s="1"/>
  <c r="DB227" i="1"/>
  <c r="DM227" i="1" s="1"/>
  <c r="CP215" i="1"/>
  <c r="DM215" i="1" s="1"/>
  <c r="BB93" i="1"/>
  <c r="DM93" i="1" s="1"/>
  <c r="BG98" i="1"/>
  <c r="DM98" i="1" s="1"/>
  <c r="BD95" i="1"/>
  <c r="DM95" i="1" s="1"/>
  <c r="BC87" i="1"/>
  <c r="DM87" i="1" s="1"/>
  <c r="AA4" i="2"/>
  <c r="Z4" i="2"/>
  <c r="R4" i="2"/>
  <c r="Q4" i="2"/>
  <c r="P4" i="2"/>
  <c r="O4" i="2"/>
  <c r="N4" i="2"/>
  <c r="M4" i="2"/>
  <c r="M3" i="2"/>
  <c r="L4" i="2"/>
  <c r="K4" i="2"/>
  <c r="F4" i="2"/>
  <c r="E4" i="2"/>
  <c r="B4" i="2"/>
  <c r="CR139" i="2"/>
  <c r="CP139" i="2"/>
  <c r="CO139" i="2"/>
  <c r="CN139" i="2"/>
  <c r="CS139" i="2" s="1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CM139" i="2" s="1"/>
  <c r="B139" i="2"/>
  <c r="A139" i="2"/>
  <c r="CR133" i="2"/>
  <c r="CP133" i="2"/>
  <c r="CO133" i="2"/>
  <c r="CN133" i="2"/>
  <c r="CS133" i="2" s="1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CM133" i="2" s="1"/>
  <c r="B133" i="2"/>
  <c r="A133" i="2"/>
  <c r="CR127" i="2"/>
  <c r="CP127" i="2"/>
  <c r="CO127" i="2"/>
  <c r="CN127" i="2"/>
  <c r="CS127" i="2" s="1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CM127" i="2" s="1"/>
  <c r="B127" i="2"/>
  <c r="A127" i="2"/>
  <c r="A121" i="2"/>
  <c r="CR121" i="2"/>
  <c r="CP121" i="2"/>
  <c r="CO121" i="2"/>
  <c r="CN121" i="2"/>
  <c r="CS121" i="2" s="1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CM121" i="2" s="1"/>
  <c r="B121" i="2"/>
  <c r="CR376" i="2"/>
  <c r="CP376" i="2"/>
  <c r="CO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F376" i="2"/>
  <c r="E376" i="2"/>
  <c r="B374" i="2"/>
  <c r="B372" i="2"/>
  <c r="CR372" i="2"/>
  <c r="CP372" i="2"/>
  <c r="CO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CM372" i="2" s="1"/>
  <c r="AZ375" i="2"/>
  <c r="BA375" i="2"/>
  <c r="BB375" i="2"/>
  <c r="BC375" i="2"/>
  <c r="BD375" i="2"/>
  <c r="BE375" i="2"/>
  <c r="AZ377" i="2"/>
  <c r="BA377" i="2"/>
  <c r="BB377" i="2"/>
  <c r="BC377" i="2"/>
  <c r="BD377" i="2"/>
  <c r="BE377" i="2"/>
  <c r="AZ378" i="2"/>
  <c r="BA378" i="2"/>
  <c r="BB378" i="2"/>
  <c r="BC378" i="2"/>
  <c r="BD378" i="2"/>
  <c r="BE378" i="2"/>
  <c r="AZ379" i="2"/>
  <c r="BA379" i="2"/>
  <c r="BB379" i="2"/>
  <c r="BC379" i="2"/>
  <c r="BD379" i="2"/>
  <c r="BE379" i="2"/>
  <c r="AZ380" i="2"/>
  <c r="BA380" i="2"/>
  <c r="BB380" i="2"/>
  <c r="BC380" i="2"/>
  <c r="BD380" i="2"/>
  <c r="BE380" i="2"/>
  <c r="AZ381" i="2"/>
  <c r="BA381" i="2"/>
  <c r="BB381" i="2"/>
  <c r="BC381" i="2"/>
  <c r="BD381" i="2"/>
  <c r="BE381" i="2"/>
  <c r="AZ382" i="2"/>
  <c r="BA382" i="2"/>
  <c r="BB382" i="2"/>
  <c r="BC382" i="2"/>
  <c r="BD382" i="2"/>
  <c r="BE382" i="2"/>
  <c r="AZ383" i="2"/>
  <c r="BA383" i="2"/>
  <c r="BB383" i="2"/>
  <c r="BC383" i="2"/>
  <c r="BD383" i="2"/>
  <c r="BE383" i="2"/>
  <c r="AZ384" i="2"/>
  <c r="BA384" i="2"/>
  <c r="BB384" i="2"/>
  <c r="BC384" i="2"/>
  <c r="BD384" i="2"/>
  <c r="BE384" i="2"/>
  <c r="AZ385" i="2"/>
  <c r="BA385" i="2"/>
  <c r="BB385" i="2"/>
  <c r="BC385" i="2"/>
  <c r="BD385" i="2"/>
  <c r="BE385" i="2"/>
  <c r="AZ386" i="2"/>
  <c r="BA386" i="2"/>
  <c r="BB386" i="2"/>
  <c r="BC386" i="2"/>
  <c r="BD386" i="2"/>
  <c r="BE386" i="2"/>
  <c r="AZ387" i="2"/>
  <c r="BA387" i="2"/>
  <c r="BB387" i="2"/>
  <c r="BC387" i="2"/>
  <c r="BD387" i="2"/>
  <c r="BE387" i="2"/>
  <c r="AZ388" i="2"/>
  <c r="BA388" i="2"/>
  <c r="BB388" i="2"/>
  <c r="BC388" i="2"/>
  <c r="BD388" i="2"/>
  <c r="BE388" i="2"/>
  <c r="AZ389" i="2"/>
  <c r="BA389" i="2"/>
  <c r="BB389" i="2"/>
  <c r="BC389" i="2"/>
  <c r="BD389" i="2"/>
  <c r="BE389" i="2"/>
  <c r="AZ390" i="2"/>
  <c r="BA390" i="2"/>
  <c r="BB390" i="2"/>
  <c r="BC390" i="2"/>
  <c r="BD390" i="2"/>
  <c r="BE390" i="2"/>
  <c r="AZ391" i="2"/>
  <c r="BA391" i="2"/>
  <c r="BB391" i="2"/>
  <c r="BC391" i="2"/>
  <c r="BD391" i="2"/>
  <c r="BE391" i="2"/>
  <c r="AZ392" i="2"/>
  <c r="BA392" i="2"/>
  <c r="BB392" i="2"/>
  <c r="BC392" i="2"/>
  <c r="BD392" i="2"/>
  <c r="BE392" i="2"/>
  <c r="AZ367" i="2"/>
  <c r="BA367" i="2"/>
  <c r="BB367" i="2"/>
  <c r="BC367" i="2"/>
  <c r="BD367" i="2"/>
  <c r="BE367" i="2"/>
  <c r="AZ368" i="2"/>
  <c r="BA368" i="2"/>
  <c r="BB368" i="2"/>
  <c r="BC368" i="2"/>
  <c r="BD368" i="2"/>
  <c r="BE368" i="2"/>
  <c r="AZ369" i="2"/>
  <c r="BA369" i="2"/>
  <c r="BB369" i="2"/>
  <c r="BC369" i="2"/>
  <c r="BD369" i="2"/>
  <c r="BE369" i="2"/>
  <c r="AZ370" i="2"/>
  <c r="BA370" i="2"/>
  <c r="BB370" i="2"/>
  <c r="BC370" i="2"/>
  <c r="BD370" i="2"/>
  <c r="BE370" i="2"/>
  <c r="AZ371" i="2"/>
  <c r="BA371" i="2"/>
  <c r="BB371" i="2"/>
  <c r="BC371" i="2"/>
  <c r="BD371" i="2"/>
  <c r="BE371" i="2"/>
  <c r="AZ373" i="2"/>
  <c r="BA373" i="2"/>
  <c r="BB373" i="2"/>
  <c r="BC373" i="2"/>
  <c r="BD373" i="2"/>
  <c r="BE373" i="2"/>
  <c r="AZ374" i="2"/>
  <c r="BA374" i="2"/>
  <c r="BB374" i="2"/>
  <c r="BC374" i="2"/>
  <c r="CC48" i="1"/>
  <c r="CC49" i="1" s="1"/>
  <c r="CB48" i="1"/>
  <c r="AB374" i="2"/>
  <c r="CN377" i="2"/>
  <c r="CS377" i="2" s="1"/>
  <c r="CN378" i="2"/>
  <c r="CS378" i="2" s="1"/>
  <c r="CN379" i="2"/>
  <c r="CS379" i="2" s="1"/>
  <c r="CN380" i="2"/>
  <c r="CS380" i="2" s="1"/>
  <c r="CN381" i="2"/>
  <c r="CS381" i="2" s="1"/>
  <c r="CN382" i="2"/>
  <c r="CS382" i="2" s="1"/>
  <c r="CN383" i="2"/>
  <c r="CS383" i="2" s="1"/>
  <c r="CN384" i="2"/>
  <c r="CS384" i="2" s="1"/>
  <c r="CN385" i="2"/>
  <c r="CS385" i="2" s="1"/>
  <c r="CN386" i="2"/>
  <c r="CS386" i="2" s="1"/>
  <c r="CN387" i="2"/>
  <c r="CN388" i="2"/>
  <c r="CS388" i="2" s="1"/>
  <c r="CN389" i="2"/>
  <c r="CS389" i="2" s="1"/>
  <c r="CN390" i="2"/>
  <c r="CS390" i="2" s="1"/>
  <c r="CN391" i="2"/>
  <c r="CS391" i="2" s="1"/>
  <c r="CN392" i="2"/>
  <c r="CS392" i="2" s="1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115" i="2"/>
  <c r="CN116" i="2"/>
  <c r="CN117" i="2"/>
  <c r="CN118" i="2"/>
  <c r="CN119" i="2"/>
  <c r="CN120" i="2"/>
  <c r="CN122" i="2"/>
  <c r="CN123" i="2"/>
  <c r="CN124" i="2"/>
  <c r="CN125" i="2"/>
  <c r="CN126" i="2"/>
  <c r="CN128" i="2"/>
  <c r="CN129" i="2"/>
  <c r="CN130" i="2"/>
  <c r="CN131" i="2"/>
  <c r="CN132" i="2"/>
  <c r="CN134" i="2"/>
  <c r="CN135" i="2"/>
  <c r="CN136" i="2"/>
  <c r="CN137" i="2"/>
  <c r="CN138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CN153" i="2"/>
  <c r="CN154" i="2"/>
  <c r="CN155" i="2"/>
  <c r="CN156" i="2"/>
  <c r="CN157" i="2"/>
  <c r="CN269" i="2"/>
  <c r="CN270" i="2"/>
  <c r="CN271" i="2"/>
  <c r="CN272" i="2"/>
  <c r="CN273" i="2"/>
  <c r="CN274" i="2"/>
  <c r="CN275" i="2"/>
  <c r="CN276" i="2"/>
  <c r="CN277" i="2"/>
  <c r="CN278" i="2"/>
  <c r="CN279" i="2"/>
  <c r="CN280" i="2"/>
  <c r="CN281" i="2"/>
  <c r="CN282" i="2"/>
  <c r="CN283" i="2"/>
  <c r="CN284" i="2"/>
  <c r="CN285" i="2"/>
  <c r="CN286" i="2"/>
  <c r="CN287" i="2"/>
  <c r="CN288" i="2"/>
  <c r="CN289" i="2"/>
  <c r="CN290" i="2"/>
  <c r="CN291" i="2"/>
  <c r="CN292" i="2"/>
  <c r="CN293" i="2"/>
  <c r="CN294" i="2"/>
  <c r="CN295" i="2"/>
  <c r="CN296" i="2"/>
  <c r="CN297" i="2"/>
  <c r="CN298" i="2"/>
  <c r="CN299" i="2"/>
  <c r="CN300" i="2"/>
  <c r="CN301" i="2"/>
  <c r="CN302" i="2"/>
  <c r="CN303" i="2"/>
  <c r="CN304" i="2"/>
  <c r="CN305" i="2"/>
  <c r="CN306" i="2"/>
  <c r="CN307" i="2"/>
  <c r="CN308" i="2"/>
  <c r="CN309" i="2"/>
  <c r="CN310" i="2"/>
  <c r="CN311" i="2"/>
  <c r="CN312" i="2"/>
  <c r="CN313" i="2"/>
  <c r="CN314" i="2"/>
  <c r="CN315" i="2"/>
  <c r="CN316" i="2"/>
  <c r="CN317" i="2"/>
  <c r="CN318" i="2"/>
  <c r="CN319" i="2"/>
  <c r="CN320" i="2"/>
  <c r="CN321" i="2"/>
  <c r="CN322" i="2"/>
  <c r="CN323" i="2"/>
  <c r="CN324" i="2"/>
  <c r="CN325" i="2"/>
  <c r="CN326" i="2"/>
  <c r="CN327" i="2"/>
  <c r="CN328" i="2"/>
  <c r="CN329" i="2"/>
  <c r="CN330" i="2"/>
  <c r="CN331" i="2"/>
  <c r="CN332" i="2"/>
  <c r="CN333" i="2"/>
  <c r="CN334" i="2"/>
  <c r="CN335" i="2"/>
  <c r="CN336" i="2"/>
  <c r="CN337" i="2"/>
  <c r="CN338" i="2"/>
  <c r="CN339" i="2"/>
  <c r="CN340" i="2"/>
  <c r="CN341" i="2"/>
  <c r="CN342" i="2"/>
  <c r="CN343" i="2"/>
  <c r="CN344" i="2"/>
  <c r="CN345" i="2"/>
  <c r="CN346" i="2"/>
  <c r="CN347" i="2"/>
  <c r="CN348" i="2"/>
  <c r="CN349" i="2"/>
  <c r="CN350" i="2"/>
  <c r="AE268" i="2"/>
  <c r="AE266" i="2"/>
  <c r="AB369" i="2"/>
  <c r="AE366" i="2"/>
  <c r="AF366" i="2"/>
  <c r="AG366" i="2"/>
  <c r="AH366" i="2"/>
  <c r="AI366" i="2"/>
  <c r="AJ366" i="2"/>
  <c r="AK366" i="2"/>
  <c r="AL366" i="2"/>
  <c r="AM366" i="2"/>
  <c r="AN366" i="2"/>
  <c r="AO366" i="2"/>
  <c r="AP366" i="2"/>
  <c r="AQ366" i="2"/>
  <c r="AR366" i="2"/>
  <c r="AS366" i="2"/>
  <c r="AT366" i="2"/>
  <c r="AU366" i="2"/>
  <c r="AV366" i="2"/>
  <c r="AW366" i="2"/>
  <c r="AX366" i="2"/>
  <c r="AY366" i="2"/>
  <c r="AZ366" i="2"/>
  <c r="AE367" i="2"/>
  <c r="AF367" i="2"/>
  <c r="AG367" i="2"/>
  <c r="AH367" i="2"/>
  <c r="AI367" i="2"/>
  <c r="AJ367" i="2"/>
  <c r="AK367" i="2"/>
  <c r="AL367" i="2"/>
  <c r="AM367" i="2"/>
  <c r="AN367" i="2"/>
  <c r="AO367" i="2"/>
  <c r="AP367" i="2"/>
  <c r="AQ367" i="2"/>
  <c r="AR367" i="2"/>
  <c r="AS367" i="2"/>
  <c r="AT367" i="2"/>
  <c r="AU367" i="2"/>
  <c r="AV367" i="2"/>
  <c r="AW367" i="2"/>
  <c r="AX367" i="2"/>
  <c r="AY367" i="2"/>
  <c r="AE368" i="2"/>
  <c r="AF368" i="2"/>
  <c r="AG368" i="2"/>
  <c r="AH368" i="2"/>
  <c r="AI368" i="2"/>
  <c r="AJ368" i="2"/>
  <c r="AK368" i="2"/>
  <c r="AL368" i="2"/>
  <c r="AM368" i="2"/>
  <c r="AN368" i="2"/>
  <c r="AO368" i="2"/>
  <c r="AP368" i="2"/>
  <c r="AQ368" i="2"/>
  <c r="AR368" i="2"/>
  <c r="AS368" i="2"/>
  <c r="AT368" i="2"/>
  <c r="AU368" i="2"/>
  <c r="AV368" i="2"/>
  <c r="AW368" i="2"/>
  <c r="AX368" i="2"/>
  <c r="AY368" i="2"/>
  <c r="AE369" i="2"/>
  <c r="AF369" i="2"/>
  <c r="AG369" i="2"/>
  <c r="AH369" i="2"/>
  <c r="AI369" i="2"/>
  <c r="AJ369" i="2"/>
  <c r="AK369" i="2"/>
  <c r="AL369" i="2"/>
  <c r="AM369" i="2"/>
  <c r="AN369" i="2"/>
  <c r="AO369" i="2"/>
  <c r="AP369" i="2"/>
  <c r="AQ369" i="2"/>
  <c r="AR369" i="2"/>
  <c r="AS369" i="2"/>
  <c r="AT369" i="2"/>
  <c r="AU369" i="2"/>
  <c r="AV369" i="2"/>
  <c r="AW369" i="2"/>
  <c r="AX369" i="2"/>
  <c r="AY369" i="2"/>
  <c r="AE370" i="2"/>
  <c r="AF370" i="2"/>
  <c r="AG370" i="2"/>
  <c r="AH370" i="2"/>
  <c r="AI370" i="2"/>
  <c r="AJ370" i="2"/>
  <c r="AK370" i="2"/>
  <c r="AL370" i="2"/>
  <c r="AM370" i="2"/>
  <c r="AN370" i="2"/>
  <c r="AO370" i="2"/>
  <c r="AP370" i="2"/>
  <c r="AQ370" i="2"/>
  <c r="AR370" i="2"/>
  <c r="AS370" i="2"/>
  <c r="AT370" i="2"/>
  <c r="AU370" i="2"/>
  <c r="AV370" i="2"/>
  <c r="AW370" i="2"/>
  <c r="AX370" i="2"/>
  <c r="AY370" i="2"/>
  <c r="AE371" i="2"/>
  <c r="AF371" i="2"/>
  <c r="AG371" i="2"/>
  <c r="AH371" i="2"/>
  <c r="AI371" i="2"/>
  <c r="AJ371" i="2"/>
  <c r="AK371" i="2"/>
  <c r="AL371" i="2"/>
  <c r="AM371" i="2"/>
  <c r="AN371" i="2"/>
  <c r="AO371" i="2"/>
  <c r="AP371" i="2"/>
  <c r="AQ371" i="2"/>
  <c r="AR371" i="2"/>
  <c r="AS371" i="2"/>
  <c r="AT371" i="2"/>
  <c r="AU371" i="2"/>
  <c r="AV371" i="2"/>
  <c r="AW371" i="2"/>
  <c r="AX371" i="2"/>
  <c r="AY371" i="2"/>
  <c r="AE374" i="2"/>
  <c r="AF374" i="2"/>
  <c r="AG374" i="2"/>
  <c r="AH374" i="2"/>
  <c r="AI374" i="2"/>
  <c r="AJ374" i="2"/>
  <c r="AK374" i="2"/>
  <c r="AL374" i="2"/>
  <c r="AM374" i="2"/>
  <c r="AN374" i="2"/>
  <c r="AO374" i="2"/>
  <c r="AP374" i="2"/>
  <c r="AQ374" i="2"/>
  <c r="AR374" i="2"/>
  <c r="AS374" i="2"/>
  <c r="AT374" i="2"/>
  <c r="AU374" i="2"/>
  <c r="AV374" i="2"/>
  <c r="AW374" i="2"/>
  <c r="AX374" i="2"/>
  <c r="AY374" i="2"/>
  <c r="AE375" i="2"/>
  <c r="AF375" i="2"/>
  <c r="AG375" i="2"/>
  <c r="AH375" i="2"/>
  <c r="AI375" i="2"/>
  <c r="AJ375" i="2"/>
  <c r="AK375" i="2"/>
  <c r="AL375" i="2"/>
  <c r="AM375" i="2"/>
  <c r="AN375" i="2"/>
  <c r="AO375" i="2"/>
  <c r="AP375" i="2"/>
  <c r="AQ375" i="2"/>
  <c r="AR375" i="2"/>
  <c r="AS375" i="2"/>
  <c r="AT375" i="2"/>
  <c r="AU375" i="2"/>
  <c r="AV375" i="2"/>
  <c r="AW375" i="2"/>
  <c r="AX375" i="2"/>
  <c r="AY375" i="2"/>
  <c r="AE377" i="2"/>
  <c r="AF377" i="2"/>
  <c r="AG377" i="2"/>
  <c r="AH377" i="2"/>
  <c r="AI377" i="2"/>
  <c r="AJ377" i="2"/>
  <c r="AK377" i="2"/>
  <c r="AL377" i="2"/>
  <c r="AM377" i="2"/>
  <c r="AN377" i="2"/>
  <c r="AO377" i="2"/>
  <c r="AP377" i="2"/>
  <c r="AQ377" i="2"/>
  <c r="AR377" i="2"/>
  <c r="AS377" i="2"/>
  <c r="AT377" i="2"/>
  <c r="AU377" i="2"/>
  <c r="AV377" i="2"/>
  <c r="AW377" i="2"/>
  <c r="AX377" i="2"/>
  <c r="AY377" i="2"/>
  <c r="AE378" i="2"/>
  <c r="AF378" i="2"/>
  <c r="AG378" i="2"/>
  <c r="AH378" i="2"/>
  <c r="AI378" i="2"/>
  <c r="AJ378" i="2"/>
  <c r="AK378" i="2"/>
  <c r="AL378" i="2"/>
  <c r="AM378" i="2"/>
  <c r="AN378" i="2"/>
  <c r="AO378" i="2"/>
  <c r="AP378" i="2"/>
  <c r="AQ378" i="2"/>
  <c r="AR378" i="2"/>
  <c r="AS378" i="2"/>
  <c r="AT378" i="2"/>
  <c r="AU378" i="2"/>
  <c r="AV378" i="2"/>
  <c r="AW378" i="2"/>
  <c r="AX378" i="2"/>
  <c r="AY378" i="2"/>
  <c r="AE379" i="2"/>
  <c r="AF379" i="2"/>
  <c r="AG379" i="2"/>
  <c r="AH379" i="2"/>
  <c r="AI379" i="2"/>
  <c r="AJ379" i="2"/>
  <c r="AK379" i="2"/>
  <c r="AL379" i="2"/>
  <c r="AM379" i="2"/>
  <c r="AN379" i="2"/>
  <c r="AO379" i="2"/>
  <c r="AP379" i="2"/>
  <c r="AQ379" i="2"/>
  <c r="AR379" i="2"/>
  <c r="AS379" i="2"/>
  <c r="AT379" i="2"/>
  <c r="AU379" i="2"/>
  <c r="AV379" i="2"/>
  <c r="AW379" i="2"/>
  <c r="AX379" i="2"/>
  <c r="AY379" i="2"/>
  <c r="AE380" i="2"/>
  <c r="AF380" i="2"/>
  <c r="AG380" i="2"/>
  <c r="AH380" i="2"/>
  <c r="AI380" i="2"/>
  <c r="AJ380" i="2"/>
  <c r="AK380" i="2"/>
  <c r="AL380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E381" i="2"/>
  <c r="AF381" i="2"/>
  <c r="AG381" i="2"/>
  <c r="AH381" i="2"/>
  <c r="AI381" i="2"/>
  <c r="AJ381" i="2"/>
  <c r="AK381" i="2"/>
  <c r="AL381" i="2"/>
  <c r="AM381" i="2"/>
  <c r="AN381" i="2"/>
  <c r="AO381" i="2"/>
  <c r="AP381" i="2"/>
  <c r="AQ381" i="2"/>
  <c r="AR381" i="2"/>
  <c r="AS381" i="2"/>
  <c r="AT381" i="2"/>
  <c r="AU381" i="2"/>
  <c r="AV381" i="2"/>
  <c r="AW381" i="2"/>
  <c r="AX381" i="2"/>
  <c r="AY381" i="2"/>
  <c r="AE382" i="2"/>
  <c r="AF382" i="2"/>
  <c r="AG382" i="2"/>
  <c r="AH382" i="2"/>
  <c r="AI382" i="2"/>
  <c r="AJ382" i="2"/>
  <c r="AK382" i="2"/>
  <c r="AL382" i="2"/>
  <c r="AM382" i="2"/>
  <c r="AN382" i="2"/>
  <c r="AO382" i="2"/>
  <c r="AP382" i="2"/>
  <c r="AQ382" i="2"/>
  <c r="AR382" i="2"/>
  <c r="AS382" i="2"/>
  <c r="AT382" i="2"/>
  <c r="AU382" i="2"/>
  <c r="AV382" i="2"/>
  <c r="AW382" i="2"/>
  <c r="AX382" i="2"/>
  <c r="AY382" i="2"/>
  <c r="AE383" i="2"/>
  <c r="AF383" i="2"/>
  <c r="AG383" i="2"/>
  <c r="AH383" i="2"/>
  <c r="AI383" i="2"/>
  <c r="AJ383" i="2"/>
  <c r="AK383" i="2"/>
  <c r="AL383" i="2"/>
  <c r="AM383" i="2"/>
  <c r="AN383" i="2"/>
  <c r="AO383" i="2"/>
  <c r="AP383" i="2"/>
  <c r="AQ383" i="2"/>
  <c r="AR383" i="2"/>
  <c r="AS383" i="2"/>
  <c r="AT383" i="2"/>
  <c r="AU383" i="2"/>
  <c r="AV383" i="2"/>
  <c r="AW383" i="2"/>
  <c r="AX383" i="2"/>
  <c r="AY383" i="2"/>
  <c r="AE384" i="2"/>
  <c r="AF384" i="2"/>
  <c r="AG384" i="2"/>
  <c r="AH384" i="2"/>
  <c r="AI384" i="2"/>
  <c r="AJ384" i="2"/>
  <c r="AK384" i="2"/>
  <c r="AL384" i="2"/>
  <c r="AM384" i="2"/>
  <c r="AN384" i="2"/>
  <c r="AO384" i="2"/>
  <c r="AP384" i="2"/>
  <c r="AQ384" i="2"/>
  <c r="AR384" i="2"/>
  <c r="AS384" i="2"/>
  <c r="AT384" i="2"/>
  <c r="AU384" i="2"/>
  <c r="AV384" i="2"/>
  <c r="AW384" i="2"/>
  <c r="AX384" i="2"/>
  <c r="AY384" i="2"/>
  <c r="AE385" i="2"/>
  <c r="AF385" i="2"/>
  <c r="AG385" i="2"/>
  <c r="AH385" i="2"/>
  <c r="AI385" i="2"/>
  <c r="AJ385" i="2"/>
  <c r="AK385" i="2"/>
  <c r="AL385" i="2"/>
  <c r="AM385" i="2"/>
  <c r="AN385" i="2"/>
  <c r="AO385" i="2"/>
  <c r="AP385" i="2"/>
  <c r="AQ385" i="2"/>
  <c r="AR385" i="2"/>
  <c r="AS385" i="2"/>
  <c r="AT385" i="2"/>
  <c r="AU385" i="2"/>
  <c r="AV385" i="2"/>
  <c r="AW385" i="2"/>
  <c r="AX385" i="2"/>
  <c r="AY385" i="2"/>
  <c r="AE386" i="2"/>
  <c r="AF386" i="2"/>
  <c r="AG386" i="2"/>
  <c r="AH386" i="2"/>
  <c r="AI386" i="2"/>
  <c r="AJ386" i="2"/>
  <c r="AK386" i="2"/>
  <c r="AL386" i="2"/>
  <c r="AM386" i="2"/>
  <c r="AN386" i="2"/>
  <c r="AO386" i="2"/>
  <c r="AP386" i="2"/>
  <c r="AQ386" i="2"/>
  <c r="AR386" i="2"/>
  <c r="AS386" i="2"/>
  <c r="AT386" i="2"/>
  <c r="AU386" i="2"/>
  <c r="AV386" i="2"/>
  <c r="AW386" i="2"/>
  <c r="AX386" i="2"/>
  <c r="AY386" i="2"/>
  <c r="AE387" i="2"/>
  <c r="AF387" i="2"/>
  <c r="AG387" i="2"/>
  <c r="AH387" i="2"/>
  <c r="AI387" i="2"/>
  <c r="AJ387" i="2"/>
  <c r="AK387" i="2"/>
  <c r="AL387" i="2"/>
  <c r="AM387" i="2"/>
  <c r="AN387" i="2"/>
  <c r="AO387" i="2"/>
  <c r="AP387" i="2"/>
  <c r="AQ387" i="2"/>
  <c r="AR387" i="2"/>
  <c r="AS387" i="2"/>
  <c r="AT387" i="2"/>
  <c r="AU387" i="2"/>
  <c r="AV387" i="2"/>
  <c r="AW387" i="2"/>
  <c r="AX387" i="2"/>
  <c r="AY387" i="2"/>
  <c r="AE388" i="2"/>
  <c r="AF388" i="2"/>
  <c r="AG388" i="2"/>
  <c r="AH388" i="2"/>
  <c r="AI388" i="2"/>
  <c r="AJ388" i="2"/>
  <c r="AK388" i="2"/>
  <c r="AL388" i="2"/>
  <c r="AM388" i="2"/>
  <c r="AN388" i="2"/>
  <c r="AO388" i="2"/>
  <c r="AP388" i="2"/>
  <c r="AQ388" i="2"/>
  <c r="AR388" i="2"/>
  <c r="AS388" i="2"/>
  <c r="AT388" i="2"/>
  <c r="AU388" i="2"/>
  <c r="AV388" i="2"/>
  <c r="AW388" i="2"/>
  <c r="AX388" i="2"/>
  <c r="AY388" i="2"/>
  <c r="AE389" i="2"/>
  <c r="AF389" i="2"/>
  <c r="AG389" i="2"/>
  <c r="AH389" i="2"/>
  <c r="AI389" i="2"/>
  <c r="AJ389" i="2"/>
  <c r="AK389" i="2"/>
  <c r="AL389" i="2"/>
  <c r="AM389" i="2"/>
  <c r="AN389" i="2"/>
  <c r="AO389" i="2"/>
  <c r="AP389" i="2"/>
  <c r="AQ389" i="2"/>
  <c r="AR389" i="2"/>
  <c r="AS389" i="2"/>
  <c r="AT389" i="2"/>
  <c r="AU389" i="2"/>
  <c r="AV389" i="2"/>
  <c r="AW389" i="2"/>
  <c r="AX389" i="2"/>
  <c r="AY389" i="2"/>
  <c r="AE390" i="2"/>
  <c r="AF390" i="2"/>
  <c r="AG390" i="2"/>
  <c r="AH390" i="2"/>
  <c r="AI390" i="2"/>
  <c r="AJ390" i="2"/>
  <c r="AK390" i="2"/>
  <c r="AL390" i="2"/>
  <c r="AM390" i="2"/>
  <c r="AN390" i="2"/>
  <c r="AO390" i="2"/>
  <c r="AP390" i="2"/>
  <c r="AQ390" i="2"/>
  <c r="AR390" i="2"/>
  <c r="AS390" i="2"/>
  <c r="AT390" i="2"/>
  <c r="AU390" i="2"/>
  <c r="AV390" i="2"/>
  <c r="AW390" i="2"/>
  <c r="AX390" i="2"/>
  <c r="AY390" i="2"/>
  <c r="AE391" i="2"/>
  <c r="AF391" i="2"/>
  <c r="AG391" i="2"/>
  <c r="AH391" i="2"/>
  <c r="AI391" i="2"/>
  <c r="AJ391" i="2"/>
  <c r="AK391" i="2"/>
  <c r="AL391" i="2"/>
  <c r="AM391" i="2"/>
  <c r="AN391" i="2"/>
  <c r="AO391" i="2"/>
  <c r="AP391" i="2"/>
  <c r="AQ391" i="2"/>
  <c r="AR391" i="2"/>
  <c r="AS391" i="2"/>
  <c r="AT391" i="2"/>
  <c r="AU391" i="2"/>
  <c r="AV391" i="2"/>
  <c r="AW391" i="2"/>
  <c r="AX391" i="2"/>
  <c r="AY391" i="2"/>
  <c r="AE392" i="2"/>
  <c r="AF392" i="2"/>
  <c r="AG392" i="2"/>
  <c r="AH392" i="2"/>
  <c r="AI392" i="2"/>
  <c r="AJ392" i="2"/>
  <c r="AK392" i="2"/>
  <c r="AL392" i="2"/>
  <c r="AM392" i="2"/>
  <c r="AN392" i="2"/>
  <c r="AO392" i="2"/>
  <c r="AP392" i="2"/>
  <c r="AQ392" i="2"/>
  <c r="AR392" i="2"/>
  <c r="AS392" i="2"/>
  <c r="AT392" i="2"/>
  <c r="AU392" i="2"/>
  <c r="AV392" i="2"/>
  <c r="AW392" i="2"/>
  <c r="AX392" i="2"/>
  <c r="AY392" i="2"/>
  <c r="AF373" i="2"/>
  <c r="AG373" i="2"/>
  <c r="AH373" i="2"/>
  <c r="AI373" i="2"/>
  <c r="AJ373" i="2"/>
  <c r="AK373" i="2"/>
  <c r="AL373" i="2"/>
  <c r="AM373" i="2"/>
  <c r="AN373" i="2"/>
  <c r="AO373" i="2"/>
  <c r="AP373" i="2"/>
  <c r="AQ373" i="2"/>
  <c r="AR373" i="2"/>
  <c r="AS373" i="2"/>
  <c r="AT373" i="2"/>
  <c r="AU373" i="2"/>
  <c r="AV373" i="2"/>
  <c r="AW373" i="2"/>
  <c r="AX373" i="2"/>
  <c r="AY373" i="2"/>
  <c r="AE373" i="2"/>
  <c r="E373" i="2"/>
  <c r="CM373" i="2" s="1"/>
  <c r="AA366" i="2"/>
  <c r="E371" i="2"/>
  <c r="CM371" i="2" s="1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Y371" i="2"/>
  <c r="Z371" i="2"/>
  <c r="AA371" i="2"/>
  <c r="AB371" i="2"/>
  <c r="AC371" i="2"/>
  <c r="AD371" i="2"/>
  <c r="CO371" i="2"/>
  <c r="CP371" i="2"/>
  <c r="CR371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Y373" i="2"/>
  <c r="Z373" i="2"/>
  <c r="AA373" i="2"/>
  <c r="AB373" i="2"/>
  <c r="AC373" i="2"/>
  <c r="AD373" i="2"/>
  <c r="CO373" i="2"/>
  <c r="CP373" i="2"/>
  <c r="CR373" i="2"/>
  <c r="E374" i="2"/>
  <c r="CM374" i="2" s="1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Y374" i="2"/>
  <c r="Z374" i="2"/>
  <c r="AA374" i="2"/>
  <c r="AC374" i="2"/>
  <c r="AD374" i="2"/>
  <c r="CO374" i="2"/>
  <c r="CP374" i="2"/>
  <c r="CR374" i="2"/>
  <c r="E375" i="2"/>
  <c r="F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Y375" i="2"/>
  <c r="Z375" i="2"/>
  <c r="AA375" i="2"/>
  <c r="AB375" i="2"/>
  <c r="AC375" i="2"/>
  <c r="AD375" i="2"/>
  <c r="CO375" i="2"/>
  <c r="CP375" i="2"/>
  <c r="CR375" i="2"/>
  <c r="B377" i="2"/>
  <c r="E377" i="2"/>
  <c r="CM377" i="2" s="1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Y377" i="2"/>
  <c r="Z377" i="2"/>
  <c r="AA377" i="2"/>
  <c r="AB377" i="2"/>
  <c r="AC377" i="2"/>
  <c r="AD377" i="2"/>
  <c r="CO377" i="2"/>
  <c r="CP377" i="2"/>
  <c r="CR377" i="2"/>
  <c r="B378" i="2"/>
  <c r="E378" i="2"/>
  <c r="CM378" i="2" s="1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Y378" i="2"/>
  <c r="Z378" i="2"/>
  <c r="AA378" i="2"/>
  <c r="AB378" i="2"/>
  <c r="AC378" i="2"/>
  <c r="AD378" i="2"/>
  <c r="CO378" i="2"/>
  <c r="CP378" i="2"/>
  <c r="CR378" i="2"/>
  <c r="B379" i="2"/>
  <c r="E379" i="2"/>
  <c r="CM379" i="2" s="1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Y379" i="2"/>
  <c r="Z379" i="2"/>
  <c r="AA379" i="2"/>
  <c r="AB379" i="2"/>
  <c r="AC379" i="2"/>
  <c r="AD379" i="2"/>
  <c r="CO379" i="2"/>
  <c r="CP379" i="2"/>
  <c r="CR379" i="2"/>
  <c r="B380" i="2"/>
  <c r="E380" i="2"/>
  <c r="CM380" i="2" s="1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Y380" i="2"/>
  <c r="Z380" i="2"/>
  <c r="AA380" i="2"/>
  <c r="AB380" i="2"/>
  <c r="AC380" i="2"/>
  <c r="AD380" i="2"/>
  <c r="CO380" i="2"/>
  <c r="CP380" i="2"/>
  <c r="CR380" i="2"/>
  <c r="B381" i="2"/>
  <c r="E381" i="2"/>
  <c r="CM381" i="2" s="1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Y381" i="2"/>
  <c r="Z381" i="2"/>
  <c r="AA381" i="2"/>
  <c r="AB381" i="2"/>
  <c r="AC381" i="2"/>
  <c r="AD381" i="2"/>
  <c r="CO381" i="2"/>
  <c r="CP381" i="2"/>
  <c r="CR381" i="2"/>
  <c r="B382" i="2"/>
  <c r="E382" i="2"/>
  <c r="CM382" i="2" s="1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Y382" i="2"/>
  <c r="Z382" i="2"/>
  <c r="AA382" i="2"/>
  <c r="AB382" i="2"/>
  <c r="AC382" i="2"/>
  <c r="AD382" i="2"/>
  <c r="CO382" i="2"/>
  <c r="CP382" i="2"/>
  <c r="CR382" i="2"/>
  <c r="B383" i="2"/>
  <c r="E383" i="2"/>
  <c r="CM383" i="2" s="1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Y383" i="2"/>
  <c r="Z383" i="2"/>
  <c r="AA383" i="2"/>
  <c r="AB383" i="2"/>
  <c r="AC383" i="2"/>
  <c r="AD383" i="2"/>
  <c r="CO383" i="2"/>
  <c r="CP383" i="2"/>
  <c r="CR383" i="2"/>
  <c r="B384" i="2"/>
  <c r="E384" i="2"/>
  <c r="CM384" i="2" s="1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Y384" i="2"/>
  <c r="Z384" i="2"/>
  <c r="AA384" i="2"/>
  <c r="AB384" i="2"/>
  <c r="AC384" i="2"/>
  <c r="AD384" i="2"/>
  <c r="CO384" i="2"/>
  <c r="CP384" i="2"/>
  <c r="CR384" i="2"/>
  <c r="B385" i="2"/>
  <c r="E385" i="2"/>
  <c r="CM385" i="2" s="1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Y385" i="2"/>
  <c r="Z385" i="2"/>
  <c r="AA385" i="2"/>
  <c r="AB385" i="2"/>
  <c r="AC385" i="2"/>
  <c r="AD385" i="2"/>
  <c r="CO385" i="2"/>
  <c r="CP385" i="2"/>
  <c r="CR385" i="2"/>
  <c r="B386" i="2"/>
  <c r="E386" i="2"/>
  <c r="CM386" i="2" s="1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Y386" i="2"/>
  <c r="Z386" i="2"/>
  <c r="AA386" i="2"/>
  <c r="AB386" i="2"/>
  <c r="AC386" i="2"/>
  <c r="AD386" i="2"/>
  <c r="CO386" i="2"/>
  <c r="CP386" i="2"/>
  <c r="CR386" i="2"/>
  <c r="B387" i="2"/>
  <c r="E387" i="2"/>
  <c r="CM387" i="2" s="1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Y387" i="2"/>
  <c r="Z387" i="2"/>
  <c r="AA387" i="2"/>
  <c r="AB387" i="2"/>
  <c r="AC387" i="2"/>
  <c r="AD387" i="2"/>
  <c r="CO387" i="2"/>
  <c r="CP387" i="2"/>
  <c r="CR387" i="2"/>
  <c r="B388" i="2"/>
  <c r="E388" i="2"/>
  <c r="CM388" i="2" s="1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Y388" i="2"/>
  <c r="Z388" i="2"/>
  <c r="AA388" i="2"/>
  <c r="AB388" i="2"/>
  <c r="AC388" i="2"/>
  <c r="AD388" i="2"/>
  <c r="CO388" i="2"/>
  <c r="CP388" i="2"/>
  <c r="CR388" i="2"/>
  <c r="B389" i="2"/>
  <c r="E389" i="2"/>
  <c r="CM389" i="2" s="1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Y389" i="2"/>
  <c r="Z389" i="2"/>
  <c r="AA389" i="2"/>
  <c r="AB389" i="2"/>
  <c r="AC389" i="2"/>
  <c r="AD389" i="2"/>
  <c r="CO389" i="2"/>
  <c r="CP389" i="2"/>
  <c r="CR389" i="2"/>
  <c r="B390" i="2"/>
  <c r="E390" i="2"/>
  <c r="CM390" i="2" s="1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Y390" i="2"/>
  <c r="Z390" i="2"/>
  <c r="AA390" i="2"/>
  <c r="AB390" i="2"/>
  <c r="AC390" i="2"/>
  <c r="AD390" i="2"/>
  <c r="CO390" i="2"/>
  <c r="CP390" i="2"/>
  <c r="CR390" i="2"/>
  <c r="B391" i="2"/>
  <c r="E391" i="2"/>
  <c r="CM391" i="2" s="1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Y391" i="2"/>
  <c r="Z391" i="2"/>
  <c r="AA391" i="2"/>
  <c r="AB391" i="2"/>
  <c r="AC391" i="2"/>
  <c r="AD391" i="2"/>
  <c r="CO391" i="2"/>
  <c r="CP391" i="2"/>
  <c r="CR391" i="2"/>
  <c r="B392" i="2"/>
  <c r="E392" i="2"/>
  <c r="CM392" i="2" s="1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Y392" i="2"/>
  <c r="Z392" i="2"/>
  <c r="AA392" i="2"/>
  <c r="AB392" i="2"/>
  <c r="AC392" i="2"/>
  <c r="AD392" i="2"/>
  <c r="CO392" i="2"/>
  <c r="CP392" i="2"/>
  <c r="CR392" i="2"/>
  <c r="B367" i="2"/>
  <c r="E367" i="2"/>
  <c r="CM367" i="2" s="1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Y367" i="2"/>
  <c r="Z367" i="2"/>
  <c r="AA367" i="2"/>
  <c r="AB367" i="2"/>
  <c r="AC367" i="2"/>
  <c r="AD367" i="2"/>
  <c r="CO367" i="2"/>
  <c r="CP367" i="2"/>
  <c r="CR367" i="2"/>
  <c r="B368" i="2"/>
  <c r="E368" i="2"/>
  <c r="CM368" i="2" s="1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Y368" i="2"/>
  <c r="Z368" i="2"/>
  <c r="AA368" i="2"/>
  <c r="AB368" i="2"/>
  <c r="AC368" i="2"/>
  <c r="AD368" i="2"/>
  <c r="CO368" i="2"/>
  <c r="CP368" i="2"/>
  <c r="CR368" i="2"/>
  <c r="B369" i="2"/>
  <c r="E369" i="2"/>
  <c r="CM369" i="2" s="1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Y369" i="2"/>
  <c r="Z369" i="2"/>
  <c r="AA369" i="2"/>
  <c r="AC369" i="2"/>
  <c r="AD369" i="2"/>
  <c r="CO369" i="2"/>
  <c r="CP369" i="2"/>
  <c r="CR369" i="2"/>
  <c r="B370" i="2"/>
  <c r="E370" i="2"/>
  <c r="CM370" i="2" s="1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Y370" i="2"/>
  <c r="Z370" i="2"/>
  <c r="AA370" i="2"/>
  <c r="AB370" i="2"/>
  <c r="AC370" i="2"/>
  <c r="AD370" i="2"/>
  <c r="CO370" i="2"/>
  <c r="CP370" i="2"/>
  <c r="CR370" i="2"/>
  <c r="B366" i="2"/>
  <c r="E366" i="2"/>
  <c r="CM366" i="2" s="1"/>
  <c r="H4" i="2"/>
  <c r="I4" i="2"/>
  <c r="J4" i="2"/>
  <c r="S4" i="2"/>
  <c r="T4" i="2"/>
  <c r="U4" i="2"/>
  <c r="V4" i="2"/>
  <c r="W4" i="2"/>
  <c r="Y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CO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CO5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CO6" i="2"/>
  <c r="E7" i="2"/>
  <c r="F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CO7" i="2"/>
  <c r="E8" i="2"/>
  <c r="F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CO8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CO9" i="2"/>
  <c r="E10" i="2"/>
  <c r="F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CO10" i="2"/>
  <c r="E11" i="2"/>
  <c r="F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CO11" i="2"/>
  <c r="E12" i="2"/>
  <c r="F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CO12" i="2"/>
  <c r="E13" i="2"/>
  <c r="F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CO13" i="2"/>
  <c r="E14" i="2"/>
  <c r="F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CO14" i="2"/>
  <c r="E15" i="2"/>
  <c r="F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CO15" i="2"/>
  <c r="E16" i="2"/>
  <c r="F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CO16" i="2"/>
  <c r="E17" i="2"/>
  <c r="F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CO17" i="2"/>
  <c r="E18" i="2"/>
  <c r="F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CO18" i="2"/>
  <c r="E19" i="2"/>
  <c r="F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CO19" i="2"/>
  <c r="E20" i="2"/>
  <c r="F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CO20" i="2"/>
  <c r="E21" i="2"/>
  <c r="F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CO21" i="2"/>
  <c r="E22" i="2"/>
  <c r="F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CO22" i="2"/>
  <c r="E23" i="2"/>
  <c r="CM23" i="2" s="1"/>
  <c r="F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CO23" i="2"/>
  <c r="E24" i="2"/>
  <c r="CM24" i="2" s="1"/>
  <c r="F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CO24" i="2"/>
  <c r="E25" i="2"/>
  <c r="CM25" i="2" s="1"/>
  <c r="F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CO25" i="2"/>
  <c r="E26" i="2"/>
  <c r="CM26" i="2" s="1"/>
  <c r="F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CO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CO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CO28" i="2"/>
  <c r="E29" i="2"/>
  <c r="CM29" i="2" s="1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CO29" i="2"/>
  <c r="E30" i="2"/>
  <c r="CM30" i="2" s="1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CO30" i="2"/>
  <c r="E31" i="2"/>
  <c r="CM31" i="2" s="1"/>
  <c r="F31" i="2"/>
  <c r="G31" i="2"/>
  <c r="H31" i="2"/>
  <c r="I31" i="2"/>
  <c r="J31" i="2"/>
  <c r="K31" i="2"/>
  <c r="L31" i="2"/>
  <c r="N31" i="2"/>
  <c r="O31" i="2"/>
  <c r="P31" i="2"/>
  <c r="Q31" i="2"/>
  <c r="R31" i="2"/>
  <c r="S31" i="2"/>
  <c r="T31" i="2"/>
  <c r="U31" i="2"/>
  <c r="V31" i="2"/>
  <c r="W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CO31" i="2"/>
  <c r="E32" i="2"/>
  <c r="CM32" i="2" s="1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CO32" i="2"/>
  <c r="E33" i="2"/>
  <c r="CM33" i="2" s="1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CO33" i="2"/>
  <c r="E34" i="2"/>
  <c r="CM34" i="2" s="1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CO34" i="2"/>
  <c r="E35" i="2"/>
  <c r="CM35" i="2" s="1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CO35" i="2"/>
  <c r="E36" i="2"/>
  <c r="CM36" i="2" s="1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CO36" i="2"/>
  <c r="E37" i="2"/>
  <c r="CM37" i="2" s="1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CO37" i="2"/>
  <c r="E38" i="2"/>
  <c r="CM38" i="2" s="1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CO38" i="2"/>
  <c r="E39" i="2"/>
  <c r="CM39" i="2" s="1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CO39" i="2"/>
  <c r="E40" i="2"/>
  <c r="F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CO40" i="2"/>
  <c r="E41" i="2"/>
  <c r="F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CO41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CO42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CO43" i="2"/>
  <c r="E44" i="2"/>
  <c r="F44" i="2"/>
  <c r="H44" i="2"/>
  <c r="I44" i="2"/>
  <c r="J44" i="2"/>
  <c r="K44" i="2"/>
  <c r="L44" i="2"/>
  <c r="M44" i="2"/>
  <c r="N44" i="2"/>
  <c r="O44" i="2"/>
  <c r="P44" i="2"/>
  <c r="R44" i="2"/>
  <c r="S44" i="2"/>
  <c r="T44" i="2"/>
  <c r="U44" i="2"/>
  <c r="V44" i="2"/>
  <c r="W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CO44" i="2"/>
  <c r="E45" i="2"/>
  <c r="F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CO45" i="2"/>
  <c r="E46" i="2"/>
  <c r="F46" i="2"/>
  <c r="G46" i="2"/>
  <c r="H46" i="2"/>
  <c r="I46" i="2"/>
  <c r="J46" i="2"/>
  <c r="K46" i="2"/>
  <c r="L46" i="2"/>
  <c r="M46" i="2"/>
  <c r="N46" i="2"/>
  <c r="O46" i="2"/>
  <c r="P46" i="2"/>
  <c r="R46" i="2"/>
  <c r="S46" i="2"/>
  <c r="T46" i="2"/>
  <c r="U46" i="2"/>
  <c r="V46" i="2"/>
  <c r="W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CO46" i="2"/>
  <c r="E47" i="2"/>
  <c r="F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CO47" i="2"/>
  <c r="E48" i="2"/>
  <c r="F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CO48" i="2"/>
  <c r="E49" i="2"/>
  <c r="F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CO49" i="2"/>
  <c r="E50" i="2"/>
  <c r="F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CO50" i="2"/>
  <c r="E51" i="2"/>
  <c r="F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CO51" i="2"/>
  <c r="E52" i="2"/>
  <c r="F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CO52" i="2"/>
  <c r="E53" i="2"/>
  <c r="F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CO53" i="2"/>
  <c r="E54" i="2"/>
  <c r="F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CO54" i="2"/>
  <c r="E55" i="2"/>
  <c r="F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CO55" i="2"/>
  <c r="E56" i="2"/>
  <c r="F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CO56" i="2"/>
  <c r="E57" i="2"/>
  <c r="F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CO57" i="2"/>
  <c r="E58" i="2"/>
  <c r="F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CO58" i="2"/>
  <c r="E59" i="2"/>
  <c r="F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CO59" i="2"/>
  <c r="E60" i="2"/>
  <c r="CM60" i="2" s="1"/>
  <c r="F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CO60" i="2"/>
  <c r="E61" i="2"/>
  <c r="CM61" i="2" s="1"/>
  <c r="F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CO61" i="2"/>
  <c r="E62" i="2"/>
  <c r="CM62" i="2" s="1"/>
  <c r="F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CO62" i="2"/>
  <c r="E63" i="2"/>
  <c r="CM63" i="2" s="1"/>
  <c r="F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CO63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CO64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CO65" i="2"/>
  <c r="E66" i="2"/>
  <c r="CM66" i="2" s="1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CO66" i="2"/>
  <c r="E67" i="2"/>
  <c r="CM67" i="2" s="1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CO67" i="2"/>
  <c r="E68" i="2"/>
  <c r="CM68" i="2" s="1"/>
  <c r="F68" i="2"/>
  <c r="G68" i="2"/>
  <c r="H68" i="2"/>
  <c r="I68" i="2"/>
  <c r="J68" i="2"/>
  <c r="K68" i="2"/>
  <c r="L68" i="2"/>
  <c r="N68" i="2"/>
  <c r="O68" i="2"/>
  <c r="P68" i="2"/>
  <c r="Q68" i="2"/>
  <c r="R68" i="2"/>
  <c r="S68" i="2"/>
  <c r="T68" i="2"/>
  <c r="U68" i="2"/>
  <c r="V68" i="2"/>
  <c r="W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CO68" i="2"/>
  <c r="E69" i="2"/>
  <c r="CM69" i="2" s="1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CO69" i="2"/>
  <c r="E70" i="2"/>
  <c r="CM70" i="2" s="1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CO70" i="2"/>
  <c r="E71" i="2"/>
  <c r="CM71" i="2" s="1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CO71" i="2"/>
  <c r="E72" i="2"/>
  <c r="CM72" i="2" s="1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CO72" i="2"/>
  <c r="E73" i="2"/>
  <c r="CM73" i="2" s="1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CO73" i="2"/>
  <c r="E74" i="2"/>
  <c r="CM74" i="2" s="1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CO74" i="2"/>
  <c r="E75" i="2"/>
  <c r="CM75" i="2" s="1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CO75" i="2"/>
  <c r="E76" i="2"/>
  <c r="CM76" i="2" s="1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CO76" i="2"/>
  <c r="E77" i="2"/>
  <c r="CM77" i="2" s="1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CO77" i="2"/>
  <c r="E78" i="2"/>
  <c r="F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CO78" i="2"/>
  <c r="E79" i="2"/>
  <c r="F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CO79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CO80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CO81" i="2"/>
  <c r="E82" i="2"/>
  <c r="F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CO82" i="2"/>
  <c r="E83" i="2"/>
  <c r="F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CO83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CO84" i="2"/>
  <c r="E85" i="2"/>
  <c r="F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CO85" i="2"/>
  <c r="E86" i="2"/>
  <c r="F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CO86" i="2"/>
  <c r="E87" i="2"/>
  <c r="F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CO87" i="2"/>
  <c r="E88" i="2"/>
  <c r="F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CO88" i="2"/>
  <c r="E89" i="2"/>
  <c r="F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CO89" i="2"/>
  <c r="E90" i="2"/>
  <c r="F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CO90" i="2"/>
  <c r="E91" i="2"/>
  <c r="F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CO91" i="2"/>
  <c r="E92" i="2"/>
  <c r="F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CO92" i="2"/>
  <c r="E93" i="2"/>
  <c r="F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CO93" i="2"/>
  <c r="E94" i="2"/>
  <c r="F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CO94" i="2"/>
  <c r="E95" i="2"/>
  <c r="F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CO95" i="2"/>
  <c r="E96" i="2"/>
  <c r="F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CO96" i="2"/>
  <c r="E97" i="2"/>
  <c r="F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CO97" i="2"/>
  <c r="E98" i="2"/>
  <c r="CM98" i="2" s="1"/>
  <c r="F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CO98" i="2"/>
  <c r="E99" i="2"/>
  <c r="CM99" i="2" s="1"/>
  <c r="F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CO99" i="2"/>
  <c r="E100" i="2"/>
  <c r="CM100" i="2" s="1"/>
  <c r="F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CO100" i="2"/>
  <c r="E101" i="2"/>
  <c r="CM101" i="2" s="1"/>
  <c r="F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CO101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CO102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CO103" i="2"/>
  <c r="E104" i="2"/>
  <c r="CM104" i="2" s="1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CO104" i="2"/>
  <c r="E105" i="2"/>
  <c r="CM105" i="2" s="1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CO105" i="2"/>
  <c r="E106" i="2"/>
  <c r="CM106" i="2" s="1"/>
  <c r="F106" i="2"/>
  <c r="G106" i="2"/>
  <c r="H106" i="2"/>
  <c r="I106" i="2"/>
  <c r="J106" i="2"/>
  <c r="K106" i="2"/>
  <c r="L106" i="2"/>
  <c r="N106" i="2"/>
  <c r="O106" i="2"/>
  <c r="P106" i="2"/>
  <c r="Q106" i="2"/>
  <c r="R106" i="2"/>
  <c r="S106" i="2"/>
  <c r="T106" i="2"/>
  <c r="U106" i="2"/>
  <c r="V106" i="2"/>
  <c r="W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CO106" i="2"/>
  <c r="E107" i="2"/>
  <c r="CM107" i="2" s="1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CO107" i="2"/>
  <c r="E108" i="2"/>
  <c r="CM108" i="2" s="1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CO108" i="2"/>
  <c r="E109" i="2"/>
  <c r="CM109" i="2" s="1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CO109" i="2"/>
  <c r="E110" i="2"/>
  <c r="CM110" i="2" s="1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CO110" i="2"/>
  <c r="E111" i="2"/>
  <c r="CM111" i="2" s="1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CO111" i="2"/>
  <c r="E112" i="2"/>
  <c r="CM112" i="2" s="1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CO112" i="2"/>
  <c r="E113" i="2"/>
  <c r="CM113" i="2" s="1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CO113" i="2"/>
  <c r="E114" i="2"/>
  <c r="CM114" i="2" s="1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CO114" i="2"/>
  <c r="E115" i="2"/>
  <c r="CM115" i="2" s="1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CO115" i="2"/>
  <c r="E116" i="2"/>
  <c r="CM116" i="2" s="1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CO116" i="2"/>
  <c r="E117" i="2"/>
  <c r="CM117" i="2" s="1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CO117" i="2"/>
  <c r="E118" i="2"/>
  <c r="CM118" i="2" s="1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CO118" i="2"/>
  <c r="E119" i="2"/>
  <c r="CM119" i="2" s="1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CO119" i="2"/>
  <c r="E120" i="2"/>
  <c r="CM120" i="2" s="1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CO120" i="2"/>
  <c r="E122" i="2"/>
  <c r="CM122" i="2" s="1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CO122" i="2"/>
  <c r="E123" i="2"/>
  <c r="CM123" i="2" s="1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CO123" i="2"/>
  <c r="E124" i="2"/>
  <c r="CM124" i="2" s="1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CO124" i="2"/>
  <c r="E125" i="2"/>
  <c r="CM125" i="2" s="1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CO125" i="2"/>
  <c r="E126" i="2"/>
  <c r="CM126" i="2" s="1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CO126" i="2"/>
  <c r="E128" i="2"/>
  <c r="CM128" i="2" s="1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CO128" i="2"/>
  <c r="E129" i="2"/>
  <c r="CM129" i="2" s="1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CO129" i="2"/>
  <c r="E130" i="2"/>
  <c r="CM130" i="2" s="1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CO130" i="2"/>
  <c r="E131" i="2"/>
  <c r="CM131" i="2" s="1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CO131" i="2"/>
  <c r="E132" i="2"/>
  <c r="CM132" i="2" s="1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CO132" i="2"/>
  <c r="E134" i="2"/>
  <c r="CM134" i="2" s="1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CO134" i="2"/>
  <c r="E135" i="2"/>
  <c r="CM135" i="2" s="1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CO135" i="2"/>
  <c r="E136" i="2"/>
  <c r="CM136" i="2" s="1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CO136" i="2"/>
  <c r="E137" i="2"/>
  <c r="CM137" i="2" s="1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CO137" i="2"/>
  <c r="E138" i="2"/>
  <c r="CM138" i="2" s="1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CO138" i="2"/>
  <c r="E140" i="2"/>
  <c r="CM140" i="2" s="1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CO140" i="2"/>
  <c r="E141" i="2"/>
  <c r="CM141" i="2" s="1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CO141" i="2"/>
  <c r="E142" i="2"/>
  <c r="CM142" i="2" s="1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CO142" i="2"/>
  <c r="E143" i="2"/>
  <c r="CM143" i="2" s="1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CO143" i="2"/>
  <c r="E144" i="2"/>
  <c r="CM144" i="2" s="1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CO144" i="2"/>
  <c r="E145" i="2"/>
  <c r="CM145" i="2" s="1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CO145" i="2"/>
  <c r="E146" i="2"/>
  <c r="CM146" i="2" s="1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CO146" i="2"/>
  <c r="E147" i="2"/>
  <c r="CM147" i="2" s="1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CO147" i="2"/>
  <c r="E148" i="2"/>
  <c r="CM148" i="2" s="1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CO148" i="2"/>
  <c r="E149" i="2"/>
  <c r="CM149" i="2" s="1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CO149" i="2"/>
  <c r="E150" i="2"/>
  <c r="CM150" i="2" s="1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CO150" i="2"/>
  <c r="E151" i="2"/>
  <c r="CM151" i="2" s="1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CO151" i="2"/>
  <c r="E152" i="2"/>
  <c r="CM152" i="2" s="1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CO152" i="2"/>
  <c r="E153" i="2"/>
  <c r="CM153" i="2" s="1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CO153" i="2"/>
  <c r="E154" i="2"/>
  <c r="CM154" i="2" s="1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CO154" i="2"/>
  <c r="E155" i="2"/>
  <c r="CM155" i="2" s="1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CO155" i="2"/>
  <c r="E156" i="2"/>
  <c r="CM156" i="2" s="1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CO156" i="2"/>
  <c r="E157" i="2"/>
  <c r="CM157" i="2" s="1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CO157" i="2"/>
  <c r="E158" i="2"/>
  <c r="F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CO158" i="2"/>
  <c r="E159" i="2"/>
  <c r="F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CO159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CO160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CO161" i="2"/>
  <c r="E162" i="2"/>
  <c r="F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CO162" i="2"/>
  <c r="E163" i="2"/>
  <c r="F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CO163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CO164" i="2"/>
  <c r="E165" i="2"/>
  <c r="F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CO165" i="2"/>
  <c r="E166" i="2"/>
  <c r="F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CO166" i="2"/>
  <c r="E167" i="2"/>
  <c r="F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CO167" i="2"/>
  <c r="E168" i="2"/>
  <c r="F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CO168" i="2"/>
  <c r="E169" i="2"/>
  <c r="F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CO169" i="2"/>
  <c r="E170" i="2"/>
  <c r="F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CO170" i="2"/>
  <c r="E171" i="2"/>
  <c r="F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CO171" i="2"/>
  <c r="E172" i="2"/>
  <c r="F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CO172" i="2"/>
  <c r="E173" i="2"/>
  <c r="F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CO173" i="2"/>
  <c r="E174" i="2"/>
  <c r="F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CO174" i="2"/>
  <c r="E175" i="2"/>
  <c r="F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CO175" i="2"/>
  <c r="E176" i="2"/>
  <c r="F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CO176" i="2"/>
  <c r="E177" i="2"/>
  <c r="F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CO177" i="2"/>
  <c r="E178" i="2"/>
  <c r="CM178" i="2" s="1"/>
  <c r="F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CO178" i="2"/>
  <c r="E179" i="2"/>
  <c r="CM179" i="2" s="1"/>
  <c r="F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CO179" i="2"/>
  <c r="E180" i="2"/>
  <c r="CM180" i="2" s="1"/>
  <c r="F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CO180" i="2"/>
  <c r="E181" i="2"/>
  <c r="CM181" i="2" s="1"/>
  <c r="F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CO181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CO182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CO183" i="2"/>
  <c r="E184" i="2"/>
  <c r="CM184" i="2" s="1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CO184" i="2"/>
  <c r="E185" i="2"/>
  <c r="CM185" i="2" s="1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CO185" i="2"/>
  <c r="E186" i="2"/>
  <c r="CM186" i="2" s="1"/>
  <c r="F186" i="2"/>
  <c r="G186" i="2"/>
  <c r="H186" i="2"/>
  <c r="I186" i="2"/>
  <c r="J186" i="2"/>
  <c r="K186" i="2"/>
  <c r="L186" i="2"/>
  <c r="N186" i="2"/>
  <c r="O186" i="2"/>
  <c r="P186" i="2"/>
  <c r="Q186" i="2"/>
  <c r="R186" i="2"/>
  <c r="S186" i="2"/>
  <c r="T186" i="2"/>
  <c r="U186" i="2"/>
  <c r="V186" i="2"/>
  <c r="W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CO186" i="2"/>
  <c r="E187" i="2"/>
  <c r="CM187" i="2" s="1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CO187" i="2"/>
  <c r="E188" i="2"/>
  <c r="CM188" i="2" s="1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CO188" i="2"/>
  <c r="E189" i="2"/>
  <c r="CM189" i="2" s="1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CO189" i="2"/>
  <c r="E190" i="2"/>
  <c r="CM190" i="2" s="1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CO190" i="2"/>
  <c r="E191" i="2"/>
  <c r="CM191" i="2" s="1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CO191" i="2"/>
  <c r="E192" i="2"/>
  <c r="CM192" i="2" s="1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CO192" i="2"/>
  <c r="E193" i="2"/>
  <c r="CM193" i="2" s="1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CO193" i="2"/>
  <c r="E194" i="2"/>
  <c r="CM194" i="2" s="1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CO194" i="2"/>
  <c r="E195" i="2"/>
  <c r="F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CO195" i="2"/>
  <c r="E196" i="2"/>
  <c r="F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CO196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CO197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CO198" i="2"/>
  <c r="E199" i="2"/>
  <c r="F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CO199" i="2"/>
  <c r="E200" i="2"/>
  <c r="F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CO200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CO201" i="2"/>
  <c r="E202" i="2"/>
  <c r="F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CO202" i="2"/>
  <c r="E203" i="2"/>
  <c r="F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CO203" i="2"/>
  <c r="E204" i="2"/>
  <c r="F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CO204" i="2"/>
  <c r="E205" i="2"/>
  <c r="F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CO205" i="2"/>
  <c r="E206" i="2"/>
  <c r="F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CO206" i="2"/>
  <c r="E207" i="2"/>
  <c r="F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CO207" i="2"/>
  <c r="E208" i="2"/>
  <c r="F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CO208" i="2"/>
  <c r="E209" i="2"/>
  <c r="F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CO209" i="2"/>
  <c r="E210" i="2"/>
  <c r="F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CO210" i="2"/>
  <c r="E211" i="2"/>
  <c r="F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CO211" i="2"/>
  <c r="E212" i="2"/>
  <c r="F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CO212" i="2"/>
  <c r="E213" i="2"/>
  <c r="F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CO213" i="2"/>
  <c r="E214" i="2"/>
  <c r="F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CO214" i="2"/>
  <c r="E215" i="2"/>
  <c r="CM215" i="2" s="1"/>
  <c r="F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CO215" i="2"/>
  <c r="E216" i="2"/>
  <c r="CM216" i="2" s="1"/>
  <c r="F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CO216" i="2"/>
  <c r="E217" i="2"/>
  <c r="CM217" i="2" s="1"/>
  <c r="F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CO217" i="2"/>
  <c r="E218" i="2"/>
  <c r="CM218" i="2" s="1"/>
  <c r="F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CO218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CO219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CO220" i="2"/>
  <c r="E221" i="2"/>
  <c r="CM221" i="2" s="1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CO221" i="2"/>
  <c r="E222" i="2"/>
  <c r="CM222" i="2" s="1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CO222" i="2"/>
  <c r="E223" i="2"/>
  <c r="CM223" i="2" s="1"/>
  <c r="F223" i="2"/>
  <c r="G223" i="2"/>
  <c r="H223" i="2"/>
  <c r="I223" i="2"/>
  <c r="J223" i="2"/>
  <c r="K223" i="2"/>
  <c r="L223" i="2"/>
  <c r="N223" i="2"/>
  <c r="O223" i="2"/>
  <c r="P223" i="2"/>
  <c r="Q223" i="2"/>
  <c r="R223" i="2"/>
  <c r="S223" i="2"/>
  <c r="T223" i="2"/>
  <c r="U223" i="2"/>
  <c r="V223" i="2"/>
  <c r="W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CO223" i="2"/>
  <c r="E224" i="2"/>
  <c r="CM224" i="2" s="1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CO224" i="2"/>
  <c r="E225" i="2"/>
  <c r="CM225" i="2" s="1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CO225" i="2"/>
  <c r="E226" i="2"/>
  <c r="CM226" i="2" s="1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CO226" i="2"/>
  <c r="E227" i="2"/>
  <c r="CM227" i="2" s="1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CO227" i="2"/>
  <c r="E228" i="2"/>
  <c r="CM228" i="2" s="1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CO228" i="2"/>
  <c r="E229" i="2"/>
  <c r="CM229" i="2" s="1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CO229" i="2"/>
  <c r="E230" i="2"/>
  <c r="CM230" i="2" s="1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CO230" i="2"/>
  <c r="E231" i="2"/>
  <c r="CM231" i="2" s="1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CO231" i="2"/>
  <c r="E232" i="2"/>
  <c r="F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CO232" i="2"/>
  <c r="E233" i="2"/>
  <c r="F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CO233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CO234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CO235" i="2"/>
  <c r="E236" i="2"/>
  <c r="F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CO236" i="2"/>
  <c r="E237" i="2"/>
  <c r="F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CO237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CO238" i="2"/>
  <c r="E239" i="2"/>
  <c r="F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CO239" i="2"/>
  <c r="E240" i="2"/>
  <c r="F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CO240" i="2"/>
  <c r="E241" i="2"/>
  <c r="F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CO241" i="2"/>
  <c r="E242" i="2"/>
  <c r="F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CO242" i="2"/>
  <c r="E243" i="2"/>
  <c r="F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CO243" i="2"/>
  <c r="E244" i="2"/>
  <c r="F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CO244" i="2"/>
  <c r="E245" i="2"/>
  <c r="F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CO245" i="2"/>
  <c r="E246" i="2"/>
  <c r="F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CO246" i="2"/>
  <c r="E247" i="2"/>
  <c r="F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CO247" i="2"/>
  <c r="E248" i="2"/>
  <c r="F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CO248" i="2"/>
  <c r="E249" i="2"/>
  <c r="F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CO249" i="2"/>
  <c r="E250" i="2"/>
  <c r="F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CO250" i="2"/>
  <c r="E251" i="2"/>
  <c r="F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CO251" i="2"/>
  <c r="E252" i="2"/>
  <c r="CM252" i="2" s="1"/>
  <c r="F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CO252" i="2"/>
  <c r="E253" i="2"/>
  <c r="CM253" i="2" s="1"/>
  <c r="F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CO253" i="2"/>
  <c r="E254" i="2"/>
  <c r="CM254" i="2" s="1"/>
  <c r="F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CO254" i="2"/>
  <c r="E255" i="2"/>
  <c r="CM255" i="2" s="1"/>
  <c r="F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CO255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CO256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CO257" i="2"/>
  <c r="E258" i="2"/>
  <c r="CM258" i="2" s="1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CO258" i="2"/>
  <c r="E259" i="2"/>
  <c r="CM259" i="2" s="1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CO259" i="2"/>
  <c r="E260" i="2"/>
  <c r="CM260" i="2" s="1"/>
  <c r="F260" i="2"/>
  <c r="G260" i="2"/>
  <c r="H260" i="2"/>
  <c r="I260" i="2"/>
  <c r="J260" i="2"/>
  <c r="K260" i="2"/>
  <c r="L260" i="2"/>
  <c r="N260" i="2"/>
  <c r="O260" i="2"/>
  <c r="P260" i="2"/>
  <c r="Q260" i="2"/>
  <c r="R260" i="2"/>
  <c r="S260" i="2"/>
  <c r="T260" i="2"/>
  <c r="U260" i="2"/>
  <c r="V260" i="2"/>
  <c r="W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CO260" i="2"/>
  <c r="E261" i="2"/>
  <c r="CM261" i="2" s="1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CO261" i="2"/>
  <c r="E262" i="2"/>
  <c r="CM262" i="2" s="1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CO262" i="2"/>
  <c r="E263" i="2"/>
  <c r="CM263" i="2" s="1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CO263" i="2"/>
  <c r="E264" i="2"/>
  <c r="CM264" i="2" s="1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CO264" i="2"/>
  <c r="E265" i="2"/>
  <c r="CM265" i="2" s="1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CO265" i="2"/>
  <c r="E266" i="2"/>
  <c r="CM266" i="2" s="1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Y266" i="2"/>
  <c r="Z266" i="2"/>
  <c r="AA266" i="2"/>
  <c r="AB266" i="2"/>
  <c r="AC266" i="2"/>
  <c r="AD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CO266" i="2"/>
  <c r="E267" i="2"/>
  <c r="CM267" i="2" s="1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CO267" i="2"/>
  <c r="E268" i="2"/>
  <c r="CM268" i="2" s="1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Y268" i="2"/>
  <c r="Z268" i="2"/>
  <c r="AA268" i="2"/>
  <c r="AB268" i="2"/>
  <c r="AC268" i="2"/>
  <c r="AD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CO268" i="2"/>
  <c r="E269" i="2"/>
  <c r="CM269" i="2" s="1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CO269" i="2"/>
  <c r="E270" i="2"/>
  <c r="CM270" i="2" s="1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CO270" i="2"/>
  <c r="E271" i="2"/>
  <c r="CM271" i="2" s="1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CO271" i="2"/>
  <c r="E272" i="2"/>
  <c r="CM272" i="2" s="1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CO272" i="2"/>
  <c r="E273" i="2"/>
  <c r="CM273" i="2" s="1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CO273" i="2"/>
  <c r="E274" i="2"/>
  <c r="CM274" i="2" s="1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CO274" i="2"/>
  <c r="E275" i="2"/>
  <c r="CM275" i="2" s="1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CO275" i="2"/>
  <c r="E276" i="2"/>
  <c r="CM276" i="2" s="1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CO276" i="2"/>
  <c r="E277" i="2"/>
  <c r="CM277" i="2" s="1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CO277" i="2"/>
  <c r="E278" i="2"/>
  <c r="CM278" i="2" s="1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CO278" i="2"/>
  <c r="E279" i="2"/>
  <c r="CM279" i="2" s="1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CO279" i="2"/>
  <c r="E280" i="2"/>
  <c r="CM280" i="2" s="1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CO280" i="2"/>
  <c r="E281" i="2"/>
  <c r="CM281" i="2" s="1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CO281" i="2"/>
  <c r="E282" i="2"/>
  <c r="CM282" i="2" s="1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CO282" i="2"/>
  <c r="E283" i="2"/>
  <c r="CM283" i="2" s="1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CO283" i="2"/>
  <c r="E284" i="2"/>
  <c r="CM284" i="2" s="1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CO284" i="2"/>
  <c r="E285" i="2"/>
  <c r="CM285" i="2" s="1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CO285" i="2"/>
  <c r="E286" i="2"/>
  <c r="CM286" i="2" s="1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CO286" i="2"/>
  <c r="E287" i="2"/>
  <c r="CM287" i="2" s="1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CO287" i="2"/>
  <c r="E288" i="2"/>
  <c r="CM288" i="2" s="1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CO288" i="2"/>
  <c r="E289" i="2"/>
  <c r="CM289" i="2" s="1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CO289" i="2"/>
  <c r="E290" i="2"/>
  <c r="CM290" i="2" s="1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CO290" i="2"/>
  <c r="E291" i="2"/>
  <c r="CM291" i="2" s="1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CO291" i="2"/>
  <c r="E292" i="2"/>
  <c r="CM292" i="2" s="1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CO292" i="2"/>
  <c r="E293" i="2"/>
  <c r="CM293" i="2" s="1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CO293" i="2"/>
  <c r="E294" i="2"/>
  <c r="CM294" i="2" s="1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CO294" i="2"/>
  <c r="E295" i="2"/>
  <c r="CM295" i="2" s="1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CO295" i="2"/>
  <c r="E296" i="2"/>
  <c r="CM296" i="2" s="1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CO296" i="2"/>
  <c r="E297" i="2"/>
  <c r="CM297" i="2" s="1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CO297" i="2"/>
  <c r="E298" i="2"/>
  <c r="CM298" i="2" s="1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CO298" i="2"/>
  <c r="E299" i="2"/>
  <c r="CM299" i="2" s="1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CO299" i="2"/>
  <c r="E300" i="2"/>
  <c r="CM300" i="2" s="1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CO300" i="2"/>
  <c r="E301" i="2"/>
  <c r="CM301" i="2" s="1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CO301" i="2"/>
  <c r="E302" i="2"/>
  <c r="CM302" i="2" s="1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CO302" i="2"/>
  <c r="E303" i="2"/>
  <c r="CM303" i="2" s="1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CO303" i="2"/>
  <c r="E304" i="2"/>
  <c r="CM304" i="2" s="1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CO304" i="2"/>
  <c r="E305" i="2"/>
  <c r="CM305" i="2" s="1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CO305" i="2"/>
  <c r="E306" i="2"/>
  <c r="CM306" i="2" s="1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CO306" i="2"/>
  <c r="E307" i="2"/>
  <c r="CM307" i="2" s="1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CO307" i="2"/>
  <c r="E308" i="2"/>
  <c r="CM308" i="2" s="1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CO308" i="2"/>
  <c r="E309" i="2"/>
  <c r="CM309" i="2" s="1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CO309" i="2"/>
  <c r="E310" i="2"/>
  <c r="CM310" i="2" s="1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CO310" i="2"/>
  <c r="E311" i="2"/>
  <c r="CM311" i="2" s="1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CO311" i="2"/>
  <c r="E312" i="2"/>
  <c r="CM312" i="2" s="1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CO312" i="2"/>
  <c r="E313" i="2"/>
  <c r="CM313" i="2" s="1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CO313" i="2"/>
  <c r="E314" i="2"/>
  <c r="CM314" i="2" s="1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CO314" i="2"/>
  <c r="E315" i="2"/>
  <c r="CM315" i="2" s="1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CO315" i="2"/>
  <c r="E316" i="2"/>
  <c r="CM316" i="2" s="1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CO316" i="2"/>
  <c r="E317" i="2"/>
  <c r="CM317" i="2" s="1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CO317" i="2"/>
  <c r="E318" i="2"/>
  <c r="CM318" i="2" s="1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CO318" i="2"/>
  <c r="E319" i="2"/>
  <c r="CM319" i="2" s="1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CO319" i="2"/>
  <c r="E320" i="2"/>
  <c r="CM320" i="2" s="1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CO320" i="2"/>
  <c r="E321" i="2"/>
  <c r="CM321" i="2" s="1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CO321" i="2"/>
  <c r="E322" i="2"/>
  <c r="CM322" i="2" s="1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CO322" i="2"/>
  <c r="E323" i="2"/>
  <c r="CM323" i="2" s="1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CO323" i="2"/>
  <c r="E324" i="2"/>
  <c r="CM324" i="2" s="1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CO324" i="2"/>
  <c r="E325" i="2"/>
  <c r="CM325" i="2" s="1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CO325" i="2"/>
  <c r="E326" i="2"/>
  <c r="CM326" i="2" s="1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CO326" i="2"/>
  <c r="E327" i="2"/>
  <c r="CM327" i="2" s="1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CO327" i="2"/>
  <c r="E328" i="2"/>
  <c r="CM328" i="2" s="1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CO328" i="2"/>
  <c r="E329" i="2"/>
  <c r="CM329" i="2" s="1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CO329" i="2"/>
  <c r="E330" i="2"/>
  <c r="CM330" i="2" s="1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CO330" i="2"/>
  <c r="E331" i="2"/>
  <c r="CM331" i="2" s="1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CO331" i="2"/>
  <c r="E332" i="2"/>
  <c r="CM332" i="2" s="1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CO332" i="2"/>
  <c r="E333" i="2"/>
  <c r="CM333" i="2" s="1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CO333" i="2"/>
  <c r="E334" i="2"/>
  <c r="CM334" i="2" s="1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CO334" i="2"/>
  <c r="E335" i="2"/>
  <c r="CM335" i="2" s="1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CO335" i="2"/>
  <c r="E336" i="2"/>
  <c r="CM336" i="2" s="1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CO336" i="2"/>
  <c r="E337" i="2"/>
  <c r="CM337" i="2" s="1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CO337" i="2"/>
  <c r="E338" i="2"/>
  <c r="CM338" i="2" s="1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CO338" i="2"/>
  <c r="E339" i="2"/>
  <c r="CM339" i="2" s="1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CO339" i="2"/>
  <c r="E340" i="2"/>
  <c r="CM340" i="2" s="1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CO340" i="2"/>
  <c r="E341" i="2"/>
  <c r="CM341" i="2" s="1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CO341" i="2"/>
  <c r="E342" i="2"/>
  <c r="CM342" i="2" s="1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CO342" i="2"/>
  <c r="E343" i="2"/>
  <c r="CM343" i="2" s="1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CO343" i="2"/>
  <c r="E344" i="2"/>
  <c r="CM344" i="2" s="1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CO344" i="2"/>
  <c r="E345" i="2"/>
  <c r="CM345" i="2" s="1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CO345" i="2"/>
  <c r="E346" i="2"/>
  <c r="CM346" i="2" s="1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CO346" i="2"/>
  <c r="E347" i="2"/>
  <c r="CM347" i="2" s="1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CO347" i="2"/>
  <c r="E348" i="2"/>
  <c r="CM348" i="2" s="1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CO348" i="2"/>
  <c r="E349" i="2"/>
  <c r="CM349" i="2" s="1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CO349" i="2"/>
  <c r="E350" i="2"/>
  <c r="CM350" i="2" s="1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AQ350" i="2"/>
  <c r="AR350" i="2"/>
  <c r="AS350" i="2"/>
  <c r="AT350" i="2"/>
  <c r="AU350" i="2"/>
  <c r="AV350" i="2"/>
  <c r="AW350" i="2"/>
  <c r="AX350" i="2"/>
  <c r="AY350" i="2"/>
  <c r="AZ350" i="2"/>
  <c r="BA350" i="2"/>
  <c r="BB350" i="2"/>
  <c r="BC350" i="2"/>
  <c r="BD350" i="2"/>
  <c r="BE350" i="2"/>
  <c r="CO350" i="2"/>
  <c r="E351" i="2"/>
  <c r="CM351" i="2" s="1"/>
  <c r="F351" i="2"/>
  <c r="G351" i="2"/>
  <c r="H351" i="2"/>
  <c r="I351" i="2"/>
  <c r="J351" i="2"/>
  <c r="K351" i="2"/>
  <c r="L351" i="2"/>
  <c r="M351" i="2"/>
  <c r="N351" i="2"/>
  <c r="O351" i="2"/>
  <c r="P351" i="2"/>
  <c r="R351" i="2"/>
  <c r="S351" i="2"/>
  <c r="T351" i="2"/>
  <c r="U351" i="2"/>
  <c r="V351" i="2"/>
  <c r="W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L351" i="2"/>
  <c r="AM351" i="2"/>
  <c r="AN351" i="2"/>
  <c r="AO351" i="2"/>
  <c r="AP351" i="2"/>
  <c r="AQ351" i="2"/>
  <c r="AR351" i="2"/>
  <c r="AS351" i="2"/>
  <c r="AT351" i="2"/>
  <c r="AU351" i="2"/>
  <c r="AV351" i="2"/>
  <c r="AW351" i="2"/>
  <c r="AX351" i="2"/>
  <c r="AY351" i="2"/>
  <c r="AZ351" i="2"/>
  <c r="BA351" i="2"/>
  <c r="BB351" i="2"/>
  <c r="BC351" i="2"/>
  <c r="BD351" i="2"/>
  <c r="BE351" i="2"/>
  <c r="CO351" i="2"/>
  <c r="E352" i="2"/>
  <c r="CM352" i="2" s="1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L352" i="2"/>
  <c r="AM352" i="2"/>
  <c r="AN352" i="2"/>
  <c r="AO352" i="2"/>
  <c r="AP352" i="2"/>
  <c r="AQ352" i="2"/>
  <c r="AR352" i="2"/>
  <c r="AS352" i="2"/>
  <c r="AT352" i="2"/>
  <c r="AU352" i="2"/>
  <c r="AV352" i="2"/>
  <c r="AW352" i="2"/>
  <c r="AX352" i="2"/>
  <c r="AY352" i="2"/>
  <c r="AZ352" i="2"/>
  <c r="BA352" i="2"/>
  <c r="BB352" i="2"/>
  <c r="BC352" i="2"/>
  <c r="BD352" i="2"/>
  <c r="BE352" i="2"/>
  <c r="CO352" i="2"/>
  <c r="E353" i="2"/>
  <c r="CM353" i="2" s="1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BC353" i="2"/>
  <c r="BD353" i="2"/>
  <c r="BE353" i="2"/>
  <c r="CO353" i="2"/>
  <c r="E354" i="2"/>
  <c r="F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AQ354" i="2"/>
  <c r="AR354" i="2"/>
  <c r="AS354" i="2"/>
  <c r="AT354" i="2"/>
  <c r="AU354" i="2"/>
  <c r="AV354" i="2"/>
  <c r="AW354" i="2"/>
  <c r="AX354" i="2"/>
  <c r="AY354" i="2"/>
  <c r="AZ354" i="2"/>
  <c r="BA354" i="2"/>
  <c r="BB354" i="2"/>
  <c r="BC354" i="2"/>
  <c r="BD354" i="2"/>
  <c r="BE354" i="2"/>
  <c r="CO354" i="2"/>
  <c r="E355" i="2"/>
  <c r="F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AQ355" i="2"/>
  <c r="AR355" i="2"/>
  <c r="AS355" i="2"/>
  <c r="AT355" i="2"/>
  <c r="AU355" i="2"/>
  <c r="AV355" i="2"/>
  <c r="AW355" i="2"/>
  <c r="AX355" i="2"/>
  <c r="AY355" i="2"/>
  <c r="AZ355" i="2"/>
  <c r="BA355" i="2"/>
  <c r="BB355" i="2"/>
  <c r="BC355" i="2"/>
  <c r="BD355" i="2"/>
  <c r="BE355" i="2"/>
  <c r="CO355" i="2"/>
  <c r="E356" i="2"/>
  <c r="F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AQ356" i="2"/>
  <c r="AR356" i="2"/>
  <c r="AS356" i="2"/>
  <c r="AT356" i="2"/>
  <c r="AU356" i="2"/>
  <c r="AV356" i="2"/>
  <c r="AW356" i="2"/>
  <c r="AX356" i="2"/>
  <c r="AY356" i="2"/>
  <c r="AZ356" i="2"/>
  <c r="BA356" i="2"/>
  <c r="BB356" i="2"/>
  <c r="BC356" i="2"/>
  <c r="BD356" i="2"/>
  <c r="BE356" i="2"/>
  <c r="CO356" i="2"/>
  <c r="E357" i="2"/>
  <c r="CM357" i="2" s="1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AQ357" i="2"/>
  <c r="AR357" i="2"/>
  <c r="AS357" i="2"/>
  <c r="AT357" i="2"/>
  <c r="AU357" i="2"/>
  <c r="AV357" i="2"/>
  <c r="AW357" i="2"/>
  <c r="AX357" i="2"/>
  <c r="AY357" i="2"/>
  <c r="AZ357" i="2"/>
  <c r="BA357" i="2"/>
  <c r="BB357" i="2"/>
  <c r="BC357" i="2"/>
  <c r="BD357" i="2"/>
  <c r="BE357" i="2"/>
  <c r="CO357" i="2"/>
  <c r="E358" i="2"/>
  <c r="CM358" i="2" s="1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AQ358" i="2"/>
  <c r="AR358" i="2"/>
  <c r="AS358" i="2"/>
  <c r="AT358" i="2"/>
  <c r="AU358" i="2"/>
  <c r="AV358" i="2"/>
  <c r="AW358" i="2"/>
  <c r="AX358" i="2"/>
  <c r="AY358" i="2"/>
  <c r="AZ358" i="2"/>
  <c r="BA358" i="2"/>
  <c r="BB358" i="2"/>
  <c r="BC358" i="2"/>
  <c r="BD358" i="2"/>
  <c r="BE358" i="2"/>
  <c r="CO358" i="2"/>
  <c r="E359" i="2"/>
  <c r="CM359" i="2" s="1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AQ359" i="2"/>
  <c r="AR359" i="2"/>
  <c r="AS359" i="2"/>
  <c r="AT359" i="2"/>
  <c r="AU359" i="2"/>
  <c r="AV359" i="2"/>
  <c r="AW359" i="2"/>
  <c r="AX359" i="2"/>
  <c r="AY359" i="2"/>
  <c r="AZ359" i="2"/>
  <c r="BA359" i="2"/>
  <c r="BB359" i="2"/>
  <c r="BC359" i="2"/>
  <c r="BD359" i="2"/>
  <c r="BE359" i="2"/>
  <c r="CO359" i="2"/>
  <c r="E360" i="2"/>
  <c r="F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AQ360" i="2"/>
  <c r="AR360" i="2"/>
  <c r="AS360" i="2"/>
  <c r="AT360" i="2"/>
  <c r="AU360" i="2"/>
  <c r="AV360" i="2"/>
  <c r="AW360" i="2"/>
  <c r="AX360" i="2"/>
  <c r="AY360" i="2"/>
  <c r="AZ360" i="2"/>
  <c r="BA360" i="2"/>
  <c r="BB360" i="2"/>
  <c r="BC360" i="2"/>
  <c r="BD360" i="2"/>
  <c r="BE360" i="2"/>
  <c r="CO360" i="2"/>
  <c r="E361" i="2"/>
  <c r="F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BC361" i="2"/>
  <c r="BD361" i="2"/>
  <c r="BE361" i="2"/>
  <c r="CO361" i="2"/>
  <c r="E362" i="2"/>
  <c r="F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Y362" i="2"/>
  <c r="Z362" i="2"/>
  <c r="AA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AQ362" i="2"/>
  <c r="AR362" i="2"/>
  <c r="AS362" i="2"/>
  <c r="AT362" i="2"/>
  <c r="AU362" i="2"/>
  <c r="AV362" i="2"/>
  <c r="AW362" i="2"/>
  <c r="AX362" i="2"/>
  <c r="AY362" i="2"/>
  <c r="AZ362" i="2"/>
  <c r="BA362" i="2"/>
  <c r="BB362" i="2"/>
  <c r="BC362" i="2"/>
  <c r="BD362" i="2"/>
  <c r="BE362" i="2"/>
  <c r="CO362" i="2"/>
  <c r="E363" i="2"/>
  <c r="CM363" i="2" s="1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AQ363" i="2"/>
  <c r="AR363" i="2"/>
  <c r="AS363" i="2"/>
  <c r="AT363" i="2"/>
  <c r="AU363" i="2"/>
  <c r="AV363" i="2"/>
  <c r="AW363" i="2"/>
  <c r="AX363" i="2"/>
  <c r="AY363" i="2"/>
  <c r="AZ363" i="2"/>
  <c r="BA363" i="2"/>
  <c r="BB363" i="2"/>
  <c r="BC363" i="2"/>
  <c r="BD363" i="2"/>
  <c r="BE363" i="2"/>
  <c r="CO363" i="2"/>
  <c r="E364" i="2"/>
  <c r="F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L364" i="2"/>
  <c r="AM364" i="2"/>
  <c r="AN364" i="2"/>
  <c r="AO364" i="2"/>
  <c r="AP364" i="2"/>
  <c r="AQ364" i="2"/>
  <c r="AR364" i="2"/>
  <c r="AS364" i="2"/>
  <c r="AT364" i="2"/>
  <c r="AU364" i="2"/>
  <c r="AV364" i="2"/>
  <c r="AW364" i="2"/>
  <c r="AX364" i="2"/>
  <c r="AY364" i="2"/>
  <c r="AZ364" i="2"/>
  <c r="BA364" i="2"/>
  <c r="BB364" i="2"/>
  <c r="BC364" i="2"/>
  <c r="BD364" i="2"/>
  <c r="BE364" i="2"/>
  <c r="CO364" i="2"/>
  <c r="E365" i="2"/>
  <c r="F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L365" i="2"/>
  <c r="AM365" i="2"/>
  <c r="AN365" i="2"/>
  <c r="AO365" i="2"/>
  <c r="AP365" i="2"/>
  <c r="AQ365" i="2"/>
  <c r="AR365" i="2"/>
  <c r="AS365" i="2"/>
  <c r="AT365" i="2"/>
  <c r="AU365" i="2"/>
  <c r="AV365" i="2"/>
  <c r="AW365" i="2"/>
  <c r="AX365" i="2"/>
  <c r="AY365" i="2"/>
  <c r="AZ365" i="2"/>
  <c r="BA365" i="2"/>
  <c r="BB365" i="2"/>
  <c r="BC365" i="2"/>
  <c r="BD365" i="2"/>
  <c r="BE365" i="2"/>
  <c r="CO365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Y366" i="2"/>
  <c r="Z366" i="2"/>
  <c r="AB366" i="2"/>
  <c r="AC366" i="2"/>
  <c r="AD366" i="2"/>
  <c r="BA366" i="2"/>
  <c r="BB366" i="2"/>
  <c r="BC366" i="2"/>
  <c r="BD366" i="2"/>
  <c r="BE366" i="2"/>
  <c r="CO366" i="2"/>
  <c r="AF74" i="4"/>
  <c r="AH74" i="4"/>
  <c r="AF75" i="4"/>
  <c r="M223" i="2" s="1"/>
  <c r="N58" i="5"/>
  <c r="N56" i="5"/>
  <c r="N55" i="5"/>
  <c r="N57" i="5"/>
  <c r="N54" i="5"/>
  <c r="CN374" i="2" s="1"/>
  <c r="CS374" i="2" s="1"/>
  <c r="N53" i="5"/>
  <c r="N50" i="5"/>
  <c r="N51" i="5"/>
  <c r="N52" i="5"/>
  <c r="CR233" i="1" l="1"/>
  <c r="DM233" i="1" s="1"/>
  <c r="CW238" i="1"/>
  <c r="DM238" i="1" s="1"/>
  <c r="DM48" i="1"/>
  <c r="BV162" i="1"/>
  <c r="DM162" i="1" s="1"/>
  <c r="CZ241" i="1"/>
  <c r="DM241" i="1" s="1"/>
  <c r="BM153" i="1"/>
  <c r="DM153" i="1" s="1"/>
  <c r="BO155" i="1"/>
  <c r="DM155" i="1" s="1"/>
  <c r="CS234" i="1"/>
  <c r="DM234" i="1" s="1"/>
  <c r="BR158" i="1"/>
  <c r="DM158" i="1" s="1"/>
  <c r="BQ157" i="1"/>
  <c r="DM157" i="1" s="1"/>
  <c r="DA242" i="1"/>
  <c r="DM242" i="1" s="1"/>
  <c r="BT160" i="1"/>
  <c r="DM160" i="1" s="1"/>
  <c r="DE246" i="1"/>
  <c r="DM246" i="1" s="1"/>
  <c r="CU236" i="1"/>
  <c r="DM236" i="1" s="1"/>
  <c r="BH99" i="1"/>
  <c r="DM99" i="1" s="1"/>
  <c r="BW163" i="1"/>
  <c r="DM163" i="1" s="1"/>
  <c r="BU161" i="1"/>
  <c r="DM161" i="1" s="1"/>
  <c r="BS159" i="1"/>
  <c r="DM159" i="1" s="1"/>
  <c r="DC244" i="1"/>
  <c r="DM244" i="1" s="1"/>
  <c r="BX164" i="1"/>
  <c r="DM164" i="1" s="1"/>
  <c r="BE96" i="1"/>
  <c r="DM96" i="1" s="1"/>
  <c r="CY240" i="1"/>
  <c r="DM240" i="1" s="1"/>
  <c r="BY165" i="1"/>
  <c r="DM165" i="1" s="1"/>
  <c r="CX239" i="1"/>
  <c r="DM239" i="1" s="1"/>
  <c r="BP156" i="1"/>
  <c r="DM156" i="1" s="1"/>
  <c r="CV237" i="1"/>
  <c r="DM237" i="1" s="1"/>
  <c r="BN154" i="1"/>
  <c r="DM154" i="1" s="1"/>
  <c r="BF97" i="1"/>
  <c r="DM97" i="1" s="1"/>
  <c r="CT235" i="1"/>
  <c r="DM235" i="1" s="1"/>
  <c r="CP231" i="1"/>
  <c r="DM231" i="1" s="1"/>
  <c r="BC94" i="1"/>
  <c r="DM94" i="1" s="1"/>
  <c r="CB49" i="1"/>
  <c r="DM49" i="1" s="1"/>
  <c r="DB243" i="1"/>
  <c r="DM243" i="1" s="1"/>
  <c r="CQ232" i="1"/>
  <c r="DM232" i="1" s="1"/>
  <c r="CC50" i="1"/>
  <c r="CC51" i="1" s="1"/>
  <c r="BE374" i="2"/>
  <c r="CL133" i="2"/>
  <c r="CL121" i="2"/>
  <c r="CL139" i="2"/>
  <c r="CL127" i="2"/>
  <c r="M31" i="2"/>
  <c r="M260" i="2"/>
  <c r="M186" i="2"/>
  <c r="M106" i="2"/>
  <c r="M68" i="2"/>
  <c r="CL372" i="2"/>
  <c r="CL297" i="2"/>
  <c r="CL299" i="2"/>
  <c r="CL35" i="2"/>
  <c r="CL223" i="2"/>
  <c r="CL383" i="2"/>
  <c r="CL289" i="2"/>
  <c r="CL267" i="2"/>
  <c r="CL143" i="2"/>
  <c r="CL338" i="2"/>
  <c r="CL110" i="2"/>
  <c r="CL314" i="2"/>
  <c r="CL349" i="2"/>
  <c r="CL271" i="2"/>
  <c r="CL259" i="2"/>
  <c r="CL287" i="2"/>
  <c r="CL198" i="2"/>
  <c r="CL231" i="2"/>
  <c r="CL147" i="2"/>
  <c r="CL38" i="2"/>
  <c r="CL5" i="2"/>
  <c r="CL119" i="2"/>
  <c r="CL111" i="2"/>
  <c r="CL114" i="2"/>
  <c r="CL106" i="2"/>
  <c r="CL71" i="2"/>
  <c r="CL142" i="2"/>
  <c r="CL291" i="2"/>
  <c r="CL191" i="2"/>
  <c r="CL183" i="2"/>
  <c r="CL151" i="2"/>
  <c r="CL31" i="2"/>
  <c r="CL385" i="2"/>
  <c r="CL161" i="2"/>
  <c r="CL112" i="2"/>
  <c r="CL389" i="2"/>
  <c r="CL358" i="2"/>
  <c r="CL334" i="2"/>
  <c r="CL326" i="2"/>
  <c r="CL318" i="2"/>
  <c r="CL302" i="2"/>
  <c r="CL283" i="2"/>
  <c r="CL275" i="2"/>
  <c r="CL371" i="2"/>
  <c r="CL118" i="2"/>
  <c r="CL340" i="2"/>
  <c r="CL324" i="2"/>
  <c r="CL262" i="2"/>
  <c r="CL222" i="2"/>
  <c r="CL154" i="2"/>
  <c r="CL67" i="2"/>
  <c r="CL190" i="2"/>
  <c r="CS387" i="2"/>
  <c r="CL351" i="2"/>
  <c r="CL346" i="2"/>
  <c r="CL330" i="2"/>
  <c r="CL295" i="2"/>
  <c r="CL279" i="2"/>
  <c r="CL265" i="2"/>
  <c r="CL263" i="2"/>
  <c r="CM238" i="2"/>
  <c r="CL187" i="2"/>
  <c r="CL184" i="2"/>
  <c r="CL120" i="2"/>
  <c r="CL117" i="2"/>
  <c r="CL76" i="2"/>
  <c r="CL36" i="2"/>
  <c r="CL46" i="2"/>
  <c r="CL33" i="2"/>
  <c r="CM28" i="2"/>
  <c r="CM5" i="2"/>
  <c r="CL341" i="2"/>
  <c r="CL333" i="2"/>
  <c r="CL298" i="2"/>
  <c r="CL282" i="2"/>
  <c r="CL266" i="2"/>
  <c r="CM164" i="2"/>
  <c r="CL157" i="2"/>
  <c r="CL146" i="2"/>
  <c r="CL134" i="2"/>
  <c r="CL124" i="2"/>
  <c r="CL115" i="2"/>
  <c r="CL107" i="2"/>
  <c r="CL84" i="2"/>
  <c r="CL39" i="2"/>
  <c r="CL352" i="2"/>
  <c r="CL301" i="2"/>
  <c r="CL274" i="2"/>
  <c r="CL152" i="2"/>
  <c r="CL149" i="2"/>
  <c r="CL66" i="2"/>
  <c r="CL347" i="2"/>
  <c r="CL285" i="2"/>
  <c r="CL258" i="2"/>
  <c r="CL144" i="2"/>
  <c r="CL102" i="2"/>
  <c r="CL69" i="2"/>
  <c r="CM42" i="2"/>
  <c r="CL379" i="2"/>
  <c r="CL343" i="2"/>
  <c r="CL317" i="2"/>
  <c r="CL226" i="2"/>
  <c r="CL155" i="2"/>
  <c r="CL131" i="2"/>
  <c r="CL75" i="2"/>
  <c r="CL309" i="2"/>
  <c r="CL339" i="2"/>
  <c r="CL331" i="2"/>
  <c r="CL323" i="2"/>
  <c r="CL315" i="2"/>
  <c r="CL307" i="2"/>
  <c r="CL342" i="2"/>
  <c r="CL310" i="2"/>
  <c r="CL150" i="2"/>
  <c r="CL138" i="2"/>
  <c r="CL135" i="2"/>
  <c r="CL278" i="2"/>
  <c r="CM9" i="2"/>
  <c r="CL348" i="2"/>
  <c r="CL337" i="2"/>
  <c r="CL329" i="2"/>
  <c r="CL313" i="2"/>
  <c r="CL294" i="2"/>
  <c r="CL227" i="2"/>
  <c r="CL132" i="2"/>
  <c r="CL129" i="2"/>
  <c r="CL103" i="2"/>
  <c r="CM80" i="2"/>
  <c r="CL43" i="2"/>
  <c r="CL29" i="2"/>
  <c r="CM6" i="2"/>
  <c r="CL281" i="2"/>
  <c r="CL219" i="2"/>
  <c r="CL65" i="2"/>
  <c r="CL9" i="2"/>
  <c r="CL335" i="2"/>
  <c r="CL327" i="2"/>
  <c r="CL319" i="2"/>
  <c r="CL311" i="2"/>
  <c r="CL303" i="2"/>
  <c r="CL292" i="2"/>
  <c r="CL235" i="2"/>
  <c r="CL230" i="2"/>
  <c r="CL27" i="2"/>
  <c r="CL386" i="2"/>
  <c r="CL357" i="2"/>
  <c r="CL328" i="2"/>
  <c r="CL325" i="2"/>
  <c r="CL286" i="2"/>
  <c r="CL238" i="2"/>
  <c r="CL153" i="2"/>
  <c r="CL30" i="2"/>
  <c r="CL378" i="2"/>
  <c r="CL363" i="2"/>
  <c r="CL277" i="2"/>
  <c r="CL269" i="2"/>
  <c r="CL257" i="2"/>
  <c r="CM234" i="2"/>
  <c r="CM198" i="2"/>
  <c r="CL192" i="2"/>
  <c r="CM183" i="2"/>
  <c r="CL148" i="2"/>
  <c r="CL109" i="2"/>
  <c r="CL72" i="2"/>
  <c r="CL42" i="2"/>
  <c r="CM27" i="2"/>
  <c r="CL370" i="2"/>
  <c r="CL344" i="2"/>
  <c r="CL332" i="2"/>
  <c r="CL320" i="2"/>
  <c r="CL228" i="2"/>
  <c r="CM201" i="2"/>
  <c r="CL145" i="2"/>
  <c r="CL125" i="2"/>
  <c r="CL122" i="2"/>
  <c r="CL81" i="2"/>
  <c r="CL64" i="2"/>
  <c r="CL37" i="2"/>
  <c r="CL34" i="2"/>
  <c r="CL28" i="2"/>
  <c r="CM219" i="2"/>
  <c r="CL353" i="2"/>
  <c r="CL308" i="2"/>
  <c r="CL305" i="2"/>
  <c r="CL290" i="2"/>
  <c r="CL234" i="2"/>
  <c r="CL182" i="2"/>
  <c r="CL160" i="2"/>
  <c r="CL116" i="2"/>
  <c r="CL104" i="2"/>
  <c r="CM65" i="2"/>
  <c r="CM64" i="2"/>
  <c r="CM46" i="2"/>
  <c r="CL390" i="2"/>
  <c r="CL381" i="2"/>
  <c r="CL359" i="2"/>
  <c r="CL350" i="2"/>
  <c r="CL293" i="2"/>
  <c r="CL220" i="2"/>
  <c r="CL140" i="2"/>
  <c r="CL136" i="2"/>
  <c r="CL123" i="2"/>
  <c r="CL113" i="2"/>
  <c r="CM84" i="2"/>
  <c r="CM81" i="2"/>
  <c r="CL73" i="2"/>
  <c r="CL70" i="2"/>
  <c r="CL336" i="2"/>
  <c r="CM160" i="2"/>
  <c r="CM102" i="2"/>
  <c r="CL32" i="2"/>
  <c r="CL382" i="2"/>
  <c r="CL270" i="2"/>
  <c r="CL261" i="2"/>
  <c r="CL229" i="2"/>
  <c r="CM220" i="2"/>
  <c r="CL130" i="2"/>
  <c r="CL126" i="2"/>
  <c r="CM43" i="2"/>
  <c r="CL345" i="2"/>
  <c r="CL321" i="2"/>
  <c r="CL306" i="2"/>
  <c r="CL276" i="2"/>
  <c r="CL273" i="2"/>
  <c r="CL256" i="2"/>
  <c r="CL194" i="2"/>
  <c r="CL188" i="2"/>
  <c r="CL137" i="2"/>
  <c r="CL108" i="2"/>
  <c r="CL105" i="2"/>
  <c r="CL68" i="2"/>
  <c r="CM103" i="2"/>
  <c r="CL322" i="2"/>
  <c r="CL224" i="2"/>
  <c r="CL186" i="2"/>
  <c r="CL164" i="2"/>
  <c r="CL156" i="2"/>
  <c r="CL141" i="2"/>
  <c r="CL128" i="2"/>
  <c r="CL80" i="2"/>
  <c r="CL77" i="2"/>
  <c r="CL74" i="2"/>
  <c r="CL367" i="2"/>
  <c r="CL377" i="2"/>
  <c r="CL368" i="2"/>
  <c r="CL369" i="2"/>
  <c r="CL366" i="2"/>
  <c r="CL384" i="2"/>
  <c r="CL387" i="2"/>
  <c r="CL373" i="2"/>
  <c r="CL374" i="2"/>
  <c r="CL388" i="2"/>
  <c r="CL392" i="2"/>
  <c r="CL391" i="2"/>
  <c r="CL380" i="2"/>
  <c r="CL296" i="2"/>
  <c r="CL280" i="2"/>
  <c r="CL264" i="2"/>
  <c r="CL193" i="2"/>
  <c r="CM182" i="2"/>
  <c r="CM161" i="2"/>
  <c r="CL312" i="2"/>
  <c r="CL225" i="2"/>
  <c r="CM197" i="2"/>
  <c r="CL300" i="2"/>
  <c r="CL284" i="2"/>
  <c r="CL268" i="2"/>
  <c r="CL316" i="2"/>
  <c r="CL197" i="2"/>
  <c r="CL185" i="2"/>
  <c r="CL304" i="2"/>
  <c r="CL288" i="2"/>
  <c r="CL272" i="2"/>
  <c r="CM257" i="2"/>
  <c r="CM256" i="2"/>
  <c r="CM235" i="2"/>
  <c r="CL189" i="2"/>
  <c r="CL260" i="2"/>
  <c r="CL221" i="2"/>
  <c r="CL201" i="2"/>
  <c r="CL6" i="2"/>
  <c r="N28" i="5"/>
  <c r="CN365" i="2" s="1"/>
  <c r="N27" i="5"/>
  <c r="N20" i="5"/>
  <c r="CN376" i="2" s="1"/>
  <c r="CS376" i="2" s="1"/>
  <c r="N23" i="5"/>
  <c r="N24" i="5"/>
  <c r="N25" i="5"/>
  <c r="N26" i="5"/>
  <c r="CN375" i="2" s="1"/>
  <c r="CS375" i="2" s="1"/>
  <c r="N21" i="5"/>
  <c r="AH65" i="4"/>
  <c r="AH66" i="4"/>
  <c r="AH67" i="4"/>
  <c r="CR150" i="2"/>
  <c r="CP150" i="2"/>
  <c r="CS150" i="2"/>
  <c r="B150" i="2"/>
  <c r="A150" i="2"/>
  <c r="CR145" i="2"/>
  <c r="CP145" i="2"/>
  <c r="CS145" i="2"/>
  <c r="B145" i="2"/>
  <c r="A145" i="2"/>
  <c r="CR140" i="2"/>
  <c r="CP140" i="2"/>
  <c r="CS140" i="2"/>
  <c r="B140" i="2"/>
  <c r="A140" i="2"/>
  <c r="CR134" i="2"/>
  <c r="CP134" i="2"/>
  <c r="CS134" i="2"/>
  <c r="B134" i="2"/>
  <c r="A134" i="2"/>
  <c r="CR128" i="2"/>
  <c r="CP128" i="2"/>
  <c r="CS128" i="2"/>
  <c r="B128" i="2"/>
  <c r="A128" i="2"/>
  <c r="CR122" i="2"/>
  <c r="CP122" i="2"/>
  <c r="CS122" i="2"/>
  <c r="B122" i="2"/>
  <c r="A122" i="2"/>
  <c r="CR116" i="2"/>
  <c r="CP116" i="2"/>
  <c r="CS116" i="2"/>
  <c r="B116" i="2"/>
  <c r="A116" i="2"/>
  <c r="BD374" i="2" l="1"/>
  <c r="CB50" i="1"/>
  <c r="DM50" i="1" s="1"/>
  <c r="CN353" i="2"/>
  <c r="CN356" i="2"/>
  <c r="CN362" i="2"/>
  <c r="CN359" i="2"/>
  <c r="CN363" i="2"/>
  <c r="CN364" i="2"/>
  <c r="CN351" i="2"/>
  <c r="CN354" i="2"/>
  <c r="CN361" i="2"/>
  <c r="CN358" i="2"/>
  <c r="CN357" i="2"/>
  <c r="CN360" i="2"/>
  <c r="CB51" i="1" l="1"/>
  <c r="DM51" i="1" s="1"/>
  <c r="A117" i="3"/>
  <c r="B117" i="3" s="1"/>
  <c r="BP5" i="3"/>
  <c r="BM5" i="3"/>
  <c r="BP4" i="3"/>
  <c r="BM4" i="3"/>
  <c r="A363" i="2"/>
  <c r="B363" i="2"/>
  <c r="A365" i="2"/>
  <c r="B365" i="2"/>
  <c r="CR3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1" i="2"/>
  <c r="CR112" i="2"/>
  <c r="CR113" i="2"/>
  <c r="CR114" i="2"/>
  <c r="CR115" i="2"/>
  <c r="CR117" i="2"/>
  <c r="CR118" i="2"/>
  <c r="CR119" i="2"/>
  <c r="CR120" i="2"/>
  <c r="CR123" i="2"/>
  <c r="CR124" i="2"/>
  <c r="CR125" i="2"/>
  <c r="CR126" i="2"/>
  <c r="CR129" i="2"/>
  <c r="CR130" i="2"/>
  <c r="CR131" i="2"/>
  <c r="CR132" i="2"/>
  <c r="CR135" i="2"/>
  <c r="CR136" i="2"/>
  <c r="CR137" i="2"/>
  <c r="CR138" i="2"/>
  <c r="CR141" i="2"/>
  <c r="CR142" i="2"/>
  <c r="CR143" i="2"/>
  <c r="CR144" i="2"/>
  <c r="CR146" i="2"/>
  <c r="CR147" i="2"/>
  <c r="CR148" i="2"/>
  <c r="CR149" i="2"/>
  <c r="CR151" i="2"/>
  <c r="CR152" i="2"/>
  <c r="CR153" i="2"/>
  <c r="CR154" i="2"/>
  <c r="CR155" i="2"/>
  <c r="CR156" i="2"/>
  <c r="CR157" i="2"/>
  <c r="CR158" i="2"/>
  <c r="CR159" i="2"/>
  <c r="CR160" i="2"/>
  <c r="CR161" i="2"/>
  <c r="CR162" i="2"/>
  <c r="CR163" i="2"/>
  <c r="CR164" i="2"/>
  <c r="CR165" i="2"/>
  <c r="CR166" i="2"/>
  <c r="CR167" i="2"/>
  <c r="CR168" i="2"/>
  <c r="CR169" i="2"/>
  <c r="CR170" i="2"/>
  <c r="CR171" i="2"/>
  <c r="CR172" i="2"/>
  <c r="CR173" i="2"/>
  <c r="CR174" i="2"/>
  <c r="CR175" i="2"/>
  <c r="CR176" i="2"/>
  <c r="CR177" i="2"/>
  <c r="CR178" i="2"/>
  <c r="CR179" i="2"/>
  <c r="CR180" i="2"/>
  <c r="CR181" i="2"/>
  <c r="CR182" i="2"/>
  <c r="CR183" i="2"/>
  <c r="CR184" i="2"/>
  <c r="CR185" i="2"/>
  <c r="CR186" i="2"/>
  <c r="CR187" i="2"/>
  <c r="CR188" i="2"/>
  <c r="CR189" i="2"/>
  <c r="CR190" i="2"/>
  <c r="CR191" i="2"/>
  <c r="CR192" i="2"/>
  <c r="CR193" i="2"/>
  <c r="CR194" i="2"/>
  <c r="CR195" i="2"/>
  <c r="CR196" i="2"/>
  <c r="CR197" i="2"/>
  <c r="CR198" i="2"/>
  <c r="CR199" i="2"/>
  <c r="CR200" i="2"/>
  <c r="CR201" i="2"/>
  <c r="CR202" i="2"/>
  <c r="CR203" i="2"/>
  <c r="CR204" i="2"/>
  <c r="CR205" i="2"/>
  <c r="CR206" i="2"/>
  <c r="CR207" i="2"/>
  <c r="CR208" i="2"/>
  <c r="CR209" i="2"/>
  <c r="CR210" i="2"/>
  <c r="CR211" i="2"/>
  <c r="CR212" i="2"/>
  <c r="CR213" i="2"/>
  <c r="CR214" i="2"/>
  <c r="CR215" i="2"/>
  <c r="CR216" i="2"/>
  <c r="CR217" i="2"/>
  <c r="CR218" i="2"/>
  <c r="CR219" i="2"/>
  <c r="CR220" i="2"/>
  <c r="CR221" i="2"/>
  <c r="CR222" i="2"/>
  <c r="CR223" i="2"/>
  <c r="CR224" i="2"/>
  <c r="CR225" i="2"/>
  <c r="CR226" i="2"/>
  <c r="CR227" i="2"/>
  <c r="CR228" i="2"/>
  <c r="CR229" i="2"/>
  <c r="CR230" i="2"/>
  <c r="CR231" i="2"/>
  <c r="CR232" i="2"/>
  <c r="CR233" i="2"/>
  <c r="CR234" i="2"/>
  <c r="CR235" i="2"/>
  <c r="CR236" i="2"/>
  <c r="CR237" i="2"/>
  <c r="CR238" i="2"/>
  <c r="CR239" i="2"/>
  <c r="CR240" i="2"/>
  <c r="CR241" i="2"/>
  <c r="CR242" i="2"/>
  <c r="CR243" i="2"/>
  <c r="CR244" i="2"/>
  <c r="CR245" i="2"/>
  <c r="CR246" i="2"/>
  <c r="CR247" i="2"/>
  <c r="CR248" i="2"/>
  <c r="CR249" i="2"/>
  <c r="CR250" i="2"/>
  <c r="CR251" i="2"/>
  <c r="CR252" i="2"/>
  <c r="CR253" i="2"/>
  <c r="CR254" i="2"/>
  <c r="CR255" i="2"/>
  <c r="CR256" i="2"/>
  <c r="CR257" i="2"/>
  <c r="CR258" i="2"/>
  <c r="CR259" i="2"/>
  <c r="CR260" i="2"/>
  <c r="CR261" i="2"/>
  <c r="CR262" i="2"/>
  <c r="CR263" i="2"/>
  <c r="CR264" i="2"/>
  <c r="CR265" i="2"/>
  <c r="CR266" i="2"/>
  <c r="CR267" i="2"/>
  <c r="CR268" i="2"/>
  <c r="CR269" i="2"/>
  <c r="CR270" i="2"/>
  <c r="CR271" i="2"/>
  <c r="CR272" i="2"/>
  <c r="CR273" i="2"/>
  <c r="CR274" i="2"/>
  <c r="CR275" i="2"/>
  <c r="CR276" i="2"/>
  <c r="CR277" i="2"/>
  <c r="CR278" i="2"/>
  <c r="CR279" i="2"/>
  <c r="CR280" i="2"/>
  <c r="CR281" i="2"/>
  <c r="CR282" i="2"/>
  <c r="CR283" i="2"/>
  <c r="CR284" i="2"/>
  <c r="CR285" i="2"/>
  <c r="CR286" i="2"/>
  <c r="CR287" i="2"/>
  <c r="CR288" i="2"/>
  <c r="CR289" i="2"/>
  <c r="CR290" i="2"/>
  <c r="CR291" i="2"/>
  <c r="CR292" i="2"/>
  <c r="CR293" i="2"/>
  <c r="CR294" i="2"/>
  <c r="CR295" i="2"/>
  <c r="CR296" i="2"/>
  <c r="CR297" i="2"/>
  <c r="CR298" i="2"/>
  <c r="CR299" i="2"/>
  <c r="CR300" i="2"/>
  <c r="CR301" i="2"/>
  <c r="CR302" i="2"/>
  <c r="CR303" i="2"/>
  <c r="CR304" i="2"/>
  <c r="CR305" i="2"/>
  <c r="CR306" i="2"/>
  <c r="CR307" i="2"/>
  <c r="CR308" i="2"/>
  <c r="CR309" i="2"/>
  <c r="CR310" i="2"/>
  <c r="CR311" i="2"/>
  <c r="CR312" i="2"/>
  <c r="CR313" i="2"/>
  <c r="CR314" i="2"/>
  <c r="CR315" i="2"/>
  <c r="CR316" i="2"/>
  <c r="CR317" i="2"/>
  <c r="CR318" i="2"/>
  <c r="CR319" i="2"/>
  <c r="CR320" i="2"/>
  <c r="CR321" i="2"/>
  <c r="CR322" i="2"/>
  <c r="CR323" i="2"/>
  <c r="CR324" i="2"/>
  <c r="CR325" i="2"/>
  <c r="CR326" i="2"/>
  <c r="CR327" i="2"/>
  <c r="CR328" i="2"/>
  <c r="CR329" i="2"/>
  <c r="CR330" i="2"/>
  <c r="CR331" i="2"/>
  <c r="CR332" i="2"/>
  <c r="CR333" i="2"/>
  <c r="CR334" i="2"/>
  <c r="CR335" i="2"/>
  <c r="CR336" i="2"/>
  <c r="CR337" i="2"/>
  <c r="CR338" i="2"/>
  <c r="CR339" i="2"/>
  <c r="CR340" i="2"/>
  <c r="CR341" i="2"/>
  <c r="CR342" i="2"/>
  <c r="CR343" i="2"/>
  <c r="CR344" i="2"/>
  <c r="CR345" i="2"/>
  <c r="CR346" i="2"/>
  <c r="CR347" i="2"/>
  <c r="CR348" i="2"/>
  <c r="CR349" i="2"/>
  <c r="CR350" i="2"/>
  <c r="CR351" i="2"/>
  <c r="CR352" i="2"/>
  <c r="CR353" i="2"/>
  <c r="CR354" i="2"/>
  <c r="CR355" i="2"/>
  <c r="CR356" i="2"/>
  <c r="CR357" i="2"/>
  <c r="CR358" i="2"/>
  <c r="CR359" i="2"/>
  <c r="CR360" i="2"/>
  <c r="CR361" i="2"/>
  <c r="CR362" i="2"/>
  <c r="CR363" i="2"/>
  <c r="CR364" i="2"/>
  <c r="CR365" i="2"/>
  <c r="CR366" i="2"/>
  <c r="CR2" i="2"/>
  <c r="BP3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P65" i="3"/>
  <c r="BP66" i="3"/>
  <c r="BP67" i="3"/>
  <c r="BP68" i="3"/>
  <c r="BP69" i="3"/>
  <c r="BP70" i="3"/>
  <c r="BP71" i="3"/>
  <c r="BP72" i="3"/>
  <c r="BP73" i="3"/>
  <c r="BP74" i="3"/>
  <c r="BP75" i="3"/>
  <c r="BP76" i="3"/>
  <c r="BP77" i="3"/>
  <c r="BP78" i="3"/>
  <c r="BP79" i="3"/>
  <c r="BP80" i="3"/>
  <c r="BP81" i="3"/>
  <c r="BP82" i="3"/>
  <c r="BP83" i="3"/>
  <c r="BP84" i="3"/>
  <c r="BP85" i="3"/>
  <c r="BP86" i="3"/>
  <c r="BP87" i="3"/>
  <c r="BP88" i="3"/>
  <c r="BP89" i="3"/>
  <c r="BP90" i="3"/>
  <c r="BP91" i="3"/>
  <c r="BP92" i="3"/>
  <c r="BP93" i="3"/>
  <c r="BP94" i="3"/>
  <c r="BP95" i="3"/>
  <c r="BP96" i="3"/>
  <c r="BP97" i="3"/>
  <c r="BP98" i="3"/>
  <c r="BP99" i="3"/>
  <c r="BP100" i="3"/>
  <c r="BP101" i="3"/>
  <c r="BP102" i="3"/>
  <c r="BP103" i="3"/>
  <c r="BP104" i="3"/>
  <c r="BP105" i="3"/>
  <c r="BP106" i="3"/>
  <c r="BP107" i="3"/>
  <c r="BP108" i="3"/>
  <c r="BP109" i="3"/>
  <c r="BP110" i="3"/>
  <c r="BP111" i="3"/>
  <c r="BP112" i="3"/>
  <c r="BP113" i="3"/>
  <c r="BP114" i="3"/>
  <c r="BP115" i="3"/>
  <c r="BP116" i="3"/>
  <c r="BP117" i="3"/>
  <c r="BP118" i="3"/>
  <c r="BP119" i="3"/>
  <c r="BP120" i="3"/>
  <c r="BP121" i="3"/>
  <c r="BP122" i="3"/>
  <c r="BP123" i="3"/>
  <c r="BP124" i="3"/>
  <c r="BP125" i="3"/>
  <c r="BP126" i="3"/>
  <c r="BP127" i="3"/>
  <c r="BP128" i="3"/>
  <c r="BP129" i="3"/>
  <c r="BP130" i="3"/>
  <c r="BP131" i="3"/>
  <c r="BP132" i="3"/>
  <c r="BP133" i="3"/>
  <c r="BP134" i="3"/>
  <c r="BP135" i="3"/>
  <c r="BP136" i="3"/>
  <c r="BP137" i="3"/>
  <c r="BP138" i="3"/>
  <c r="BP139" i="3"/>
  <c r="BP140" i="3"/>
  <c r="BP141" i="3"/>
  <c r="BP142" i="3"/>
  <c r="BP143" i="3"/>
  <c r="BP144" i="3"/>
  <c r="BP145" i="3"/>
  <c r="BP146" i="3"/>
  <c r="BP147" i="3"/>
  <c r="BP148" i="3"/>
  <c r="BP149" i="3"/>
  <c r="BP150" i="3"/>
  <c r="BP151" i="3"/>
  <c r="BP152" i="3"/>
  <c r="BP153" i="3"/>
  <c r="BP154" i="3"/>
  <c r="BP155" i="3"/>
  <c r="BP156" i="3"/>
  <c r="BP157" i="3"/>
  <c r="BP158" i="3"/>
  <c r="BP159" i="3"/>
  <c r="BP160" i="3"/>
  <c r="BP161" i="3"/>
  <c r="BP162" i="3"/>
  <c r="BP163" i="3"/>
  <c r="BP164" i="3"/>
  <c r="BP165" i="3"/>
  <c r="BP166" i="3"/>
  <c r="BP167" i="3"/>
  <c r="BP168" i="3"/>
  <c r="BP169" i="3"/>
  <c r="BP170" i="3"/>
  <c r="BP171" i="3"/>
  <c r="BP172" i="3"/>
  <c r="BP173" i="3"/>
  <c r="BP174" i="3"/>
  <c r="BP175" i="3"/>
  <c r="BP176" i="3"/>
  <c r="BP177" i="3"/>
  <c r="BP178" i="3"/>
  <c r="BP179" i="3"/>
  <c r="BP180" i="3"/>
  <c r="BP181" i="3"/>
  <c r="BP182" i="3"/>
  <c r="BP183" i="3"/>
  <c r="BP184" i="3"/>
  <c r="BP185" i="3"/>
  <c r="BP186" i="3"/>
  <c r="BP187" i="3"/>
  <c r="BP188" i="3"/>
  <c r="BP189" i="3"/>
  <c r="BP190" i="3"/>
  <c r="BP191" i="3"/>
  <c r="BP192" i="3"/>
  <c r="BP193" i="3"/>
  <c r="BP194" i="3"/>
  <c r="BP195" i="3"/>
  <c r="BP196" i="3"/>
  <c r="BP197" i="3"/>
  <c r="BP198" i="3"/>
  <c r="BP199" i="3"/>
  <c r="BP200" i="3"/>
  <c r="BP201" i="3"/>
  <c r="BP202" i="3"/>
  <c r="BP203" i="3"/>
  <c r="BP204" i="3"/>
  <c r="BP205" i="3"/>
  <c r="BP206" i="3"/>
  <c r="BP207" i="3"/>
  <c r="BP208" i="3"/>
  <c r="BP209" i="3"/>
  <c r="BP210" i="3"/>
  <c r="BP211" i="3"/>
  <c r="BP212" i="3"/>
  <c r="BP213" i="3"/>
  <c r="BP214" i="3"/>
  <c r="BP215" i="3"/>
  <c r="BP216" i="3"/>
  <c r="BP217" i="3"/>
  <c r="BP218" i="3"/>
  <c r="BP219" i="3"/>
  <c r="BP220" i="3"/>
  <c r="BP221" i="3"/>
  <c r="BP222" i="3"/>
  <c r="BP223" i="3"/>
  <c r="BP224" i="3"/>
  <c r="BP225" i="3"/>
  <c r="BP226" i="3"/>
  <c r="BP227" i="3"/>
  <c r="BP228" i="3"/>
  <c r="BP229" i="3"/>
  <c r="BP230" i="3"/>
  <c r="BP231" i="3"/>
  <c r="BP232" i="3"/>
  <c r="BP233" i="3"/>
  <c r="BP234" i="3"/>
  <c r="BP235" i="3"/>
  <c r="BP236" i="3"/>
  <c r="BP237" i="3"/>
  <c r="BP238" i="3"/>
  <c r="BP239" i="3"/>
  <c r="BP240" i="3"/>
  <c r="BP241" i="3"/>
  <c r="BP242" i="3"/>
  <c r="BP243" i="3"/>
  <c r="BP244" i="3"/>
  <c r="BP245" i="3"/>
  <c r="BP246" i="3"/>
  <c r="BP247" i="3"/>
  <c r="BP248" i="3"/>
  <c r="BP249" i="3"/>
  <c r="BP250" i="3"/>
  <c r="BP251" i="3"/>
  <c r="BP252" i="3"/>
  <c r="BP253" i="3"/>
  <c r="BP254" i="3"/>
  <c r="BP255" i="3"/>
  <c r="BP256" i="3"/>
  <c r="BP257" i="3"/>
  <c r="BP258" i="3"/>
  <c r="BP259" i="3"/>
  <c r="BP260" i="3"/>
  <c r="BP261" i="3"/>
  <c r="BP262" i="3"/>
  <c r="BP263" i="3"/>
  <c r="BP264" i="3"/>
  <c r="BP265" i="3"/>
  <c r="BP266" i="3"/>
  <c r="BP267" i="3"/>
  <c r="BP268" i="3"/>
  <c r="BP269" i="3"/>
  <c r="BP270" i="3"/>
  <c r="BP271" i="3"/>
  <c r="BP272" i="3"/>
  <c r="BP273" i="3"/>
  <c r="BP274" i="3"/>
  <c r="BP275" i="3"/>
  <c r="BP276" i="3"/>
  <c r="BP277" i="3"/>
  <c r="BP278" i="3"/>
  <c r="BP279" i="3"/>
  <c r="BP280" i="3"/>
  <c r="BP281" i="3"/>
  <c r="BP282" i="3"/>
  <c r="BP283" i="3"/>
  <c r="BP284" i="3"/>
  <c r="BP285" i="3"/>
  <c r="BP286" i="3"/>
  <c r="BP287" i="3"/>
  <c r="BP288" i="3"/>
  <c r="BP289" i="3"/>
  <c r="BP290" i="3"/>
  <c r="BP291" i="3"/>
  <c r="BP292" i="3"/>
  <c r="BP293" i="3"/>
  <c r="BP294" i="3"/>
  <c r="BP295" i="3"/>
  <c r="BP296" i="3"/>
  <c r="BP297" i="3"/>
  <c r="BP298" i="3"/>
  <c r="BP299" i="3"/>
  <c r="BP300" i="3"/>
  <c r="BP301" i="3"/>
  <c r="BP302" i="3"/>
  <c r="BP303" i="3"/>
  <c r="BP304" i="3"/>
  <c r="BP305" i="3"/>
  <c r="BP306" i="3"/>
  <c r="BP307" i="3"/>
  <c r="BP308" i="3"/>
  <c r="BP309" i="3"/>
  <c r="BP310" i="3"/>
  <c r="BP311" i="3"/>
  <c r="BP312" i="3"/>
  <c r="BP313" i="3"/>
  <c r="BP314" i="3"/>
  <c r="BP315" i="3"/>
  <c r="BP316" i="3"/>
  <c r="BP317" i="3"/>
  <c r="BP318" i="3"/>
  <c r="BP319" i="3"/>
  <c r="BP320" i="3"/>
  <c r="BP321" i="3"/>
  <c r="BP322" i="3"/>
  <c r="BP323" i="3"/>
  <c r="BP324" i="3"/>
  <c r="BP325" i="3"/>
  <c r="BP326" i="3"/>
  <c r="BP327" i="3"/>
  <c r="BP328" i="3"/>
  <c r="BP329" i="3"/>
  <c r="BP330" i="3"/>
  <c r="BP331" i="3"/>
  <c r="BP332" i="3"/>
  <c r="BP333" i="3"/>
  <c r="BP334" i="3"/>
  <c r="BP335" i="3"/>
  <c r="BP336" i="3"/>
  <c r="BP337" i="3"/>
  <c r="BP338" i="3"/>
  <c r="BP339" i="3"/>
  <c r="BP340" i="3"/>
  <c r="BP341" i="3"/>
  <c r="BP342" i="3"/>
  <c r="BP343" i="3"/>
  <c r="BP344" i="3"/>
  <c r="BP345" i="3"/>
  <c r="BP346" i="3"/>
  <c r="BP347" i="3"/>
  <c r="BP348" i="3"/>
  <c r="BP349" i="3"/>
  <c r="BP350" i="3"/>
  <c r="BP351" i="3"/>
  <c r="BP2" i="3"/>
  <c r="BM102" i="3"/>
  <c r="BM351" i="3"/>
  <c r="BM229" i="3"/>
  <c r="BM230" i="3"/>
  <c r="BM231" i="3"/>
  <c r="BM232" i="3"/>
  <c r="BM233" i="3"/>
  <c r="BM234" i="3"/>
  <c r="BM235" i="3"/>
  <c r="BM236" i="3"/>
  <c r="BM237" i="3"/>
  <c r="BM238" i="3"/>
  <c r="BM239" i="3"/>
  <c r="BM240" i="3"/>
  <c r="BM241" i="3"/>
  <c r="BM242" i="3"/>
  <c r="BM243" i="3"/>
  <c r="BM244" i="3"/>
  <c r="BM245" i="3"/>
  <c r="BM246" i="3"/>
  <c r="BM247" i="3"/>
  <c r="BM248" i="3"/>
  <c r="BM249" i="3"/>
  <c r="BM250" i="3"/>
  <c r="BM251" i="3"/>
  <c r="BM252" i="3"/>
  <c r="BM253" i="3"/>
  <c r="BM254" i="3"/>
  <c r="BM255" i="3"/>
  <c r="BM256" i="3"/>
  <c r="BM257" i="3"/>
  <c r="BM258" i="3"/>
  <c r="BM259" i="3"/>
  <c r="BM260" i="3"/>
  <c r="BM261" i="3"/>
  <c r="BM262" i="3"/>
  <c r="BM263" i="3"/>
  <c r="BM264" i="3"/>
  <c r="BM265" i="3"/>
  <c r="BM266" i="3"/>
  <c r="BM267" i="3"/>
  <c r="BM268" i="3"/>
  <c r="BM269" i="3"/>
  <c r="BM270" i="3"/>
  <c r="BM271" i="3"/>
  <c r="BM272" i="3"/>
  <c r="BM273" i="3"/>
  <c r="BM274" i="3"/>
  <c r="BM275" i="3"/>
  <c r="BM276" i="3"/>
  <c r="BM277" i="3"/>
  <c r="BM278" i="3"/>
  <c r="BM279" i="3"/>
  <c r="BM280" i="3"/>
  <c r="BM281" i="3"/>
  <c r="BM282" i="3"/>
  <c r="BM283" i="3"/>
  <c r="BM284" i="3"/>
  <c r="BM285" i="3"/>
  <c r="BM286" i="3"/>
  <c r="BM287" i="3"/>
  <c r="BM288" i="3"/>
  <c r="BM289" i="3"/>
  <c r="BM290" i="3"/>
  <c r="BM291" i="3"/>
  <c r="BM292" i="3"/>
  <c r="BM293" i="3"/>
  <c r="BM294" i="3"/>
  <c r="BM295" i="3"/>
  <c r="BM296" i="3"/>
  <c r="BM297" i="3"/>
  <c r="BM298" i="3"/>
  <c r="BM299" i="3"/>
  <c r="BM300" i="3"/>
  <c r="BM301" i="3"/>
  <c r="BM302" i="3"/>
  <c r="BM303" i="3"/>
  <c r="BM304" i="3"/>
  <c r="BM305" i="3"/>
  <c r="BM306" i="3"/>
  <c r="BM307" i="3"/>
  <c r="BM308" i="3"/>
  <c r="BM309" i="3"/>
  <c r="BM310" i="3"/>
  <c r="BM311" i="3"/>
  <c r="BM312" i="3"/>
  <c r="BM313" i="3"/>
  <c r="BM314" i="3"/>
  <c r="BM315" i="3"/>
  <c r="BM316" i="3"/>
  <c r="BM317" i="3"/>
  <c r="BM318" i="3"/>
  <c r="BM319" i="3"/>
  <c r="BM320" i="3"/>
  <c r="BM321" i="3"/>
  <c r="BM322" i="3"/>
  <c r="BM323" i="3"/>
  <c r="BM324" i="3"/>
  <c r="BM325" i="3"/>
  <c r="BM326" i="3"/>
  <c r="BM327" i="3"/>
  <c r="BM328" i="3"/>
  <c r="BM329" i="3"/>
  <c r="BM330" i="3"/>
  <c r="BM331" i="3"/>
  <c r="BM332" i="3"/>
  <c r="BM333" i="3"/>
  <c r="BM334" i="3"/>
  <c r="BM335" i="3"/>
  <c r="BM336" i="3"/>
  <c r="BM337" i="3"/>
  <c r="BM338" i="3"/>
  <c r="BM339" i="3"/>
  <c r="BM340" i="3"/>
  <c r="BM341" i="3"/>
  <c r="BM342" i="3"/>
  <c r="BM343" i="3"/>
  <c r="BM344" i="3"/>
  <c r="BM345" i="3"/>
  <c r="BM346" i="3"/>
  <c r="BM347" i="3"/>
  <c r="BM348" i="3"/>
  <c r="BM349" i="3"/>
  <c r="BM350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BM36" i="3"/>
  <c r="BM37" i="3"/>
  <c r="BM38" i="3"/>
  <c r="BM39" i="3"/>
  <c r="BM40" i="3"/>
  <c r="BM41" i="3"/>
  <c r="BM42" i="3"/>
  <c r="BM43" i="3"/>
  <c r="BM44" i="3"/>
  <c r="BM45" i="3"/>
  <c r="BM46" i="3"/>
  <c r="BM47" i="3"/>
  <c r="BM48" i="3"/>
  <c r="BM49" i="3"/>
  <c r="BM50" i="3"/>
  <c r="BM51" i="3"/>
  <c r="BM52" i="3"/>
  <c r="BM53" i="3"/>
  <c r="BM54" i="3"/>
  <c r="BM55" i="3"/>
  <c r="BM56" i="3"/>
  <c r="BM57" i="3"/>
  <c r="BM58" i="3"/>
  <c r="BM59" i="3"/>
  <c r="BM60" i="3"/>
  <c r="BM61" i="3"/>
  <c r="BM62" i="3"/>
  <c r="BM63" i="3"/>
  <c r="BM64" i="3"/>
  <c r="BM65" i="3"/>
  <c r="BM66" i="3"/>
  <c r="BM67" i="3"/>
  <c r="BM68" i="3"/>
  <c r="BM69" i="3"/>
  <c r="BM70" i="3"/>
  <c r="BM71" i="3"/>
  <c r="BM72" i="3"/>
  <c r="BM73" i="3"/>
  <c r="BM74" i="3"/>
  <c r="BM75" i="3"/>
  <c r="BM76" i="3"/>
  <c r="BM77" i="3"/>
  <c r="BM78" i="3"/>
  <c r="BM79" i="3"/>
  <c r="BM80" i="3"/>
  <c r="BM81" i="3"/>
  <c r="BM82" i="3"/>
  <c r="BM83" i="3"/>
  <c r="BM84" i="3"/>
  <c r="BM85" i="3"/>
  <c r="BM86" i="3"/>
  <c r="BM87" i="3"/>
  <c r="BM88" i="3"/>
  <c r="BM89" i="3"/>
  <c r="BM90" i="3"/>
  <c r="BM91" i="3"/>
  <c r="BM92" i="3"/>
  <c r="BM93" i="3"/>
  <c r="BM94" i="3"/>
  <c r="BM95" i="3"/>
  <c r="BM96" i="3"/>
  <c r="BM97" i="3"/>
  <c r="BM98" i="3"/>
  <c r="BM99" i="3"/>
  <c r="BM100" i="3"/>
  <c r="BM101" i="3"/>
  <c r="BM103" i="3"/>
  <c r="BM104" i="3"/>
  <c r="BM105" i="3"/>
  <c r="BM106" i="3"/>
  <c r="BM107" i="3"/>
  <c r="BM108" i="3"/>
  <c r="BM109" i="3"/>
  <c r="BM110" i="3"/>
  <c r="BM111" i="3"/>
  <c r="BM112" i="3"/>
  <c r="BM113" i="3"/>
  <c r="BM114" i="3"/>
  <c r="BM115" i="3"/>
  <c r="BM141" i="3"/>
  <c r="BM142" i="3"/>
  <c r="BM143" i="3"/>
  <c r="BM144" i="3"/>
  <c r="BM145" i="3"/>
  <c r="BM146" i="3"/>
  <c r="BM147" i="3"/>
  <c r="BM148" i="3"/>
  <c r="BM149" i="3"/>
  <c r="BM150" i="3"/>
  <c r="BM151" i="3"/>
  <c r="BM152" i="3"/>
  <c r="BM153" i="3"/>
  <c r="BM154" i="3"/>
  <c r="BM155" i="3"/>
  <c r="BM156" i="3"/>
  <c r="BM157" i="3"/>
  <c r="BM158" i="3"/>
  <c r="BM159" i="3"/>
  <c r="BM160" i="3"/>
  <c r="BM161" i="3"/>
  <c r="BM162" i="3"/>
  <c r="BM163" i="3"/>
  <c r="BM164" i="3"/>
  <c r="BM165" i="3"/>
  <c r="BM166" i="3"/>
  <c r="BM167" i="3"/>
  <c r="BM168" i="3"/>
  <c r="BM169" i="3"/>
  <c r="BM170" i="3"/>
  <c r="BM171" i="3"/>
  <c r="BM172" i="3"/>
  <c r="BM173" i="3"/>
  <c r="BM174" i="3"/>
  <c r="BM175" i="3"/>
  <c r="BM176" i="3"/>
  <c r="BM177" i="3"/>
  <c r="BM178" i="3"/>
  <c r="BM179" i="3"/>
  <c r="BM180" i="3"/>
  <c r="BM181" i="3"/>
  <c r="BM182" i="3"/>
  <c r="BM183" i="3"/>
  <c r="BM184" i="3"/>
  <c r="BM185" i="3"/>
  <c r="BM186" i="3"/>
  <c r="BM187" i="3"/>
  <c r="BM188" i="3"/>
  <c r="BM189" i="3"/>
  <c r="BM190" i="3"/>
  <c r="BM191" i="3"/>
  <c r="BM192" i="3"/>
  <c r="BM193" i="3"/>
  <c r="BM194" i="3"/>
  <c r="BM195" i="3"/>
  <c r="BM196" i="3"/>
  <c r="BM197" i="3"/>
  <c r="BM198" i="3"/>
  <c r="BM199" i="3"/>
  <c r="BM200" i="3"/>
  <c r="BM201" i="3"/>
  <c r="BM202" i="3"/>
  <c r="BM203" i="3"/>
  <c r="BM204" i="3"/>
  <c r="BM205" i="3"/>
  <c r="BM206" i="3"/>
  <c r="BM207" i="3"/>
  <c r="BM208" i="3"/>
  <c r="BM209" i="3"/>
  <c r="BM210" i="3"/>
  <c r="BM211" i="3"/>
  <c r="BM212" i="3"/>
  <c r="BM213" i="3"/>
  <c r="BM214" i="3"/>
  <c r="BM215" i="3"/>
  <c r="BM216" i="3"/>
  <c r="BM217" i="3"/>
  <c r="BM218" i="3"/>
  <c r="BM219" i="3"/>
  <c r="BM220" i="3"/>
  <c r="BM221" i="3"/>
  <c r="BM222" i="3"/>
  <c r="BM223" i="3"/>
  <c r="BM224" i="3"/>
  <c r="BM225" i="3"/>
  <c r="BM226" i="3"/>
  <c r="BM227" i="3"/>
  <c r="BM228" i="3"/>
  <c r="BM3" i="3"/>
  <c r="CS155" i="2"/>
  <c r="CS156" i="2"/>
  <c r="CS157" i="2"/>
  <c r="CS349" i="2"/>
  <c r="CS350" i="2"/>
  <c r="N3" i="5"/>
  <c r="N4" i="5"/>
  <c r="N5" i="5"/>
  <c r="N6" i="5"/>
  <c r="N7" i="5"/>
  <c r="N8" i="5"/>
  <c r="N15" i="5"/>
  <c r="N16" i="5"/>
  <c r="N17" i="5"/>
  <c r="N18" i="5"/>
  <c r="N19" i="5"/>
  <c r="N22" i="5"/>
  <c r="N30" i="5"/>
  <c r="N42" i="5"/>
  <c r="N43" i="5"/>
  <c r="N44" i="5"/>
  <c r="N45" i="5"/>
  <c r="N59" i="5"/>
  <c r="N60" i="5"/>
  <c r="N61" i="5"/>
  <c r="N62" i="5"/>
  <c r="N67" i="5"/>
  <c r="N68" i="5"/>
  <c r="N69" i="5"/>
  <c r="N70" i="5"/>
  <c r="N71" i="5"/>
  <c r="N72" i="5"/>
  <c r="N73" i="5"/>
  <c r="E3" i="4"/>
  <c r="E4" i="4"/>
  <c r="E5" i="4"/>
  <c r="E6" i="4"/>
  <c r="E7" i="4"/>
  <c r="E8" i="4"/>
  <c r="G4" i="2" s="1"/>
  <c r="E9" i="4"/>
  <c r="E10" i="4"/>
  <c r="E16" i="4"/>
  <c r="AH16" i="4"/>
  <c r="AH17" i="4"/>
  <c r="E18" i="4"/>
  <c r="AH19" i="4"/>
  <c r="E20" i="4"/>
  <c r="E21" i="4"/>
  <c r="E22" i="4"/>
  <c r="AH22" i="4" s="1"/>
  <c r="E23" i="4"/>
  <c r="E24" i="4"/>
  <c r="E25" i="4"/>
  <c r="AH25" i="4" s="1"/>
  <c r="E26" i="4"/>
  <c r="E27" i="4"/>
  <c r="E28" i="4"/>
  <c r="AH28" i="4" s="1"/>
  <c r="E29" i="4"/>
  <c r="E30" i="4"/>
  <c r="E31" i="4"/>
  <c r="E32" i="4"/>
  <c r="E33" i="4"/>
  <c r="E34" i="4"/>
  <c r="E35" i="4"/>
  <c r="E36" i="4"/>
  <c r="E37" i="4"/>
  <c r="AH37" i="4" s="1"/>
  <c r="E38" i="4"/>
  <c r="E40" i="4"/>
  <c r="E41" i="4"/>
  <c r="E43" i="4"/>
  <c r="E44" i="4"/>
  <c r="AH44" i="4" s="1"/>
  <c r="E46" i="4"/>
  <c r="E47" i="4"/>
  <c r="E48" i="4"/>
  <c r="AH49" i="4"/>
  <c r="E50" i="4"/>
  <c r="E51" i="4"/>
  <c r="E52" i="4"/>
  <c r="AH53" i="4"/>
  <c r="AH54" i="4"/>
  <c r="AH56" i="4"/>
  <c r="AH57" i="4"/>
  <c r="AH58" i="4"/>
  <c r="E59" i="4"/>
  <c r="E60" i="4"/>
  <c r="E61" i="4"/>
  <c r="E62" i="4"/>
  <c r="E63" i="4"/>
  <c r="E64" i="4"/>
  <c r="AH73" i="4"/>
  <c r="AH75" i="4"/>
  <c r="BN6" i="3"/>
  <c r="BN7" i="3"/>
  <c r="BN8" i="3"/>
  <c r="BN9" i="3"/>
  <c r="BN10" i="3"/>
  <c r="A116" i="3"/>
  <c r="B116" i="3" s="1"/>
  <c r="BO116" i="3"/>
  <c r="BO117" i="3"/>
  <c r="A118" i="3"/>
  <c r="C118" i="3" s="1"/>
  <c r="BO118" i="3"/>
  <c r="A119" i="3"/>
  <c r="C119" i="3" s="1"/>
  <c r="BO119" i="3"/>
  <c r="A120" i="3"/>
  <c r="B120" i="3" s="1"/>
  <c r="BO120" i="3"/>
  <c r="A121" i="3"/>
  <c r="B121" i="3" s="1"/>
  <c r="BO121" i="3"/>
  <c r="A122" i="3"/>
  <c r="C122" i="3" s="1"/>
  <c r="BO122" i="3"/>
  <c r="A123" i="3"/>
  <c r="C123" i="3" s="1"/>
  <c r="BO123" i="3"/>
  <c r="A124" i="3"/>
  <c r="B124" i="3" s="1"/>
  <c r="BO124" i="3"/>
  <c r="A125" i="3"/>
  <c r="F125" i="3" s="1"/>
  <c r="BO125" i="3"/>
  <c r="A126" i="3"/>
  <c r="B126" i="3" s="1"/>
  <c r="BO126" i="3"/>
  <c r="A127" i="3"/>
  <c r="B127" i="3" s="1"/>
  <c r="BO127" i="3"/>
  <c r="A128" i="3"/>
  <c r="B128" i="3" s="1"/>
  <c r="BO128" i="3"/>
  <c r="A129" i="3"/>
  <c r="B129" i="3" s="1"/>
  <c r="BO129" i="3"/>
  <c r="A130" i="3"/>
  <c r="C130" i="3" s="1"/>
  <c r="BO130" i="3"/>
  <c r="A131" i="3"/>
  <c r="BO131" i="3"/>
  <c r="A132" i="3"/>
  <c r="B132" i="3" s="1"/>
  <c r="BO132" i="3"/>
  <c r="A133" i="3"/>
  <c r="C133" i="3" s="1"/>
  <c r="BO133" i="3"/>
  <c r="A134" i="3"/>
  <c r="C134" i="3" s="1"/>
  <c r="BO134" i="3"/>
  <c r="A135" i="3"/>
  <c r="C135" i="3" s="1"/>
  <c r="BO135" i="3"/>
  <c r="A136" i="3"/>
  <c r="B136" i="3" s="1"/>
  <c r="BO136" i="3"/>
  <c r="A137" i="3"/>
  <c r="F137" i="3" s="1"/>
  <c r="BO137" i="3"/>
  <c r="A138" i="3"/>
  <c r="B138" i="3" s="1"/>
  <c r="BO138" i="3"/>
  <c r="A139" i="3"/>
  <c r="B139" i="3" s="1"/>
  <c r="BO139" i="3"/>
  <c r="A140" i="3"/>
  <c r="B140" i="3" s="1"/>
  <c r="BO140" i="3"/>
  <c r="A141" i="3"/>
  <c r="B141" i="3" s="1"/>
  <c r="BO141" i="3"/>
  <c r="A142" i="3"/>
  <c r="C142" i="3" s="1"/>
  <c r="BO142" i="3"/>
  <c r="A143" i="3"/>
  <c r="B143" i="3" s="1"/>
  <c r="BO143" i="3"/>
  <c r="A144" i="3"/>
  <c r="C144" i="3" s="1"/>
  <c r="BO144" i="3"/>
  <c r="A145" i="3"/>
  <c r="B145" i="3" s="1"/>
  <c r="BO145" i="3"/>
  <c r="A146" i="3"/>
  <c r="C146" i="3" s="1"/>
  <c r="BO146" i="3"/>
  <c r="A147" i="3"/>
  <c r="B147" i="3" s="1"/>
  <c r="BO147" i="3"/>
  <c r="A148" i="3"/>
  <c r="C148" i="3" s="1"/>
  <c r="BO148" i="3"/>
  <c r="A149" i="3"/>
  <c r="B149" i="3" s="1"/>
  <c r="BO149" i="3"/>
  <c r="A150" i="3"/>
  <c r="C150" i="3" s="1"/>
  <c r="BO150" i="3"/>
  <c r="A151" i="3"/>
  <c r="B151" i="3" s="1"/>
  <c r="BO151" i="3"/>
  <c r="A152" i="3"/>
  <c r="C152" i="3" s="1"/>
  <c r="BO152" i="3"/>
  <c r="A153" i="3"/>
  <c r="B153" i="3" s="1"/>
  <c r="BO153" i="3"/>
  <c r="A154" i="3"/>
  <c r="C154" i="3" s="1"/>
  <c r="BO154" i="3"/>
  <c r="A155" i="3"/>
  <c r="B155" i="3" s="1"/>
  <c r="BO155" i="3"/>
  <c r="A156" i="3"/>
  <c r="C156" i="3" s="1"/>
  <c r="BO156" i="3"/>
  <c r="A157" i="3"/>
  <c r="B157" i="3" s="1"/>
  <c r="BO157" i="3"/>
  <c r="A158" i="3"/>
  <c r="C158" i="3" s="1"/>
  <c r="BO158" i="3"/>
  <c r="A159" i="3"/>
  <c r="B159" i="3" s="1"/>
  <c r="BO159" i="3"/>
  <c r="A160" i="3"/>
  <c r="C160" i="3" s="1"/>
  <c r="BO160" i="3"/>
  <c r="A161" i="3"/>
  <c r="B161" i="3" s="1"/>
  <c r="BO161" i="3"/>
  <c r="A162" i="3"/>
  <c r="C162" i="3" s="1"/>
  <c r="BO162" i="3"/>
  <c r="A163" i="3"/>
  <c r="B163" i="3" s="1"/>
  <c r="BO163" i="3"/>
  <c r="A164" i="3"/>
  <c r="C164" i="3" s="1"/>
  <c r="BO164" i="3"/>
  <c r="A165" i="3"/>
  <c r="B165" i="3" s="1"/>
  <c r="BO165" i="3"/>
  <c r="A166" i="3"/>
  <c r="C166" i="3" s="1"/>
  <c r="BO166" i="3"/>
  <c r="A167" i="3"/>
  <c r="B167" i="3" s="1"/>
  <c r="BO167" i="3"/>
  <c r="A168" i="3"/>
  <c r="C168" i="3" s="1"/>
  <c r="BO168" i="3"/>
  <c r="A169" i="3"/>
  <c r="B169" i="3" s="1"/>
  <c r="BO169" i="3"/>
  <c r="A170" i="3"/>
  <c r="C170" i="3" s="1"/>
  <c r="BO170" i="3"/>
  <c r="A171" i="3"/>
  <c r="B171" i="3" s="1"/>
  <c r="BO171" i="3"/>
  <c r="A172" i="3"/>
  <c r="C172" i="3" s="1"/>
  <c r="BO172" i="3"/>
  <c r="A173" i="3"/>
  <c r="B173" i="3" s="1"/>
  <c r="BO173" i="3"/>
  <c r="A174" i="3"/>
  <c r="C174" i="3" s="1"/>
  <c r="BO174" i="3"/>
  <c r="A175" i="3"/>
  <c r="B175" i="3" s="1"/>
  <c r="BO175" i="3"/>
  <c r="A176" i="3"/>
  <c r="C176" i="3" s="1"/>
  <c r="BO176" i="3"/>
  <c r="A177" i="3"/>
  <c r="B177" i="3" s="1"/>
  <c r="BO177" i="3"/>
  <c r="A178" i="3"/>
  <c r="C178" i="3" s="1"/>
  <c r="BO178" i="3"/>
  <c r="A179" i="3"/>
  <c r="B179" i="3" s="1"/>
  <c r="BO179" i="3"/>
  <c r="A180" i="3"/>
  <c r="C180" i="3" s="1"/>
  <c r="BO180" i="3"/>
  <c r="A181" i="3"/>
  <c r="B181" i="3" s="1"/>
  <c r="BO181" i="3"/>
  <c r="A182" i="3"/>
  <c r="C182" i="3" s="1"/>
  <c r="BO182" i="3"/>
  <c r="A183" i="3"/>
  <c r="B183" i="3" s="1"/>
  <c r="BO183" i="3"/>
  <c r="A184" i="3"/>
  <c r="C184" i="3" s="1"/>
  <c r="BO184" i="3"/>
  <c r="BO185" i="3"/>
  <c r="BO186" i="3"/>
  <c r="BO187" i="3"/>
  <c r="BO188" i="3"/>
  <c r="BO189" i="3"/>
  <c r="BO190" i="3"/>
  <c r="BO191" i="3"/>
  <c r="BO192" i="3"/>
  <c r="BO193" i="3"/>
  <c r="BO194" i="3"/>
  <c r="BO195" i="3"/>
  <c r="BO196" i="3"/>
  <c r="BO197" i="3"/>
  <c r="BO198" i="3"/>
  <c r="BO199" i="3"/>
  <c r="BO200" i="3"/>
  <c r="BO201" i="3"/>
  <c r="BO202" i="3"/>
  <c r="BO203" i="3"/>
  <c r="BO204" i="3"/>
  <c r="BO205" i="3"/>
  <c r="BO206" i="3"/>
  <c r="BO207" i="3"/>
  <c r="BO208" i="3"/>
  <c r="BO209" i="3"/>
  <c r="BO210" i="3"/>
  <c r="BO211" i="3"/>
  <c r="BO212" i="3"/>
  <c r="BO213" i="3"/>
  <c r="BO214" i="3"/>
  <c r="BO215" i="3"/>
  <c r="BO216" i="3"/>
  <c r="BO217" i="3"/>
  <c r="BO218" i="3"/>
  <c r="BO219" i="3"/>
  <c r="BO220" i="3"/>
  <c r="BO221" i="3"/>
  <c r="BO222" i="3"/>
  <c r="BO223" i="3"/>
  <c r="BO224" i="3"/>
  <c r="BO225" i="3"/>
  <c r="BO226" i="3"/>
  <c r="BO227" i="3"/>
  <c r="BO228" i="3"/>
  <c r="BO229" i="3"/>
  <c r="BO230" i="3"/>
  <c r="BO231" i="3"/>
  <c r="BO232" i="3"/>
  <c r="BO233" i="3"/>
  <c r="BO234" i="3"/>
  <c r="BO235" i="3"/>
  <c r="BO236" i="3"/>
  <c r="BO237" i="3"/>
  <c r="BO238" i="3"/>
  <c r="BO239" i="3"/>
  <c r="BO240" i="3"/>
  <c r="BO241" i="3"/>
  <c r="BO242" i="3"/>
  <c r="BO243" i="3"/>
  <c r="BO244" i="3"/>
  <c r="BO245" i="3"/>
  <c r="BO246" i="3"/>
  <c r="BO247" i="3"/>
  <c r="BO248" i="3"/>
  <c r="BO249" i="3"/>
  <c r="BO250" i="3"/>
  <c r="BO251" i="3"/>
  <c r="BO252" i="3"/>
  <c r="BO253" i="3"/>
  <c r="BO254" i="3"/>
  <c r="BO255" i="3"/>
  <c r="BO256" i="3"/>
  <c r="BO257" i="3"/>
  <c r="BO258" i="3"/>
  <c r="BO259" i="3"/>
  <c r="BO260" i="3"/>
  <c r="BO261" i="3"/>
  <c r="BO262" i="3"/>
  <c r="BO263" i="3"/>
  <c r="BO264" i="3"/>
  <c r="BO265" i="3"/>
  <c r="BO266" i="3"/>
  <c r="BO267" i="3"/>
  <c r="BO268" i="3"/>
  <c r="BO269" i="3"/>
  <c r="BO270" i="3"/>
  <c r="BO271" i="3"/>
  <c r="BO272" i="3"/>
  <c r="BO273" i="3"/>
  <c r="BO274" i="3"/>
  <c r="BO275" i="3"/>
  <c r="BO276" i="3"/>
  <c r="BO277" i="3"/>
  <c r="BO278" i="3"/>
  <c r="BO279" i="3"/>
  <c r="BO280" i="3"/>
  <c r="BO281" i="3"/>
  <c r="BO282" i="3"/>
  <c r="BO283" i="3"/>
  <c r="BO284" i="3"/>
  <c r="BO285" i="3"/>
  <c r="BO286" i="3"/>
  <c r="BO287" i="3"/>
  <c r="BO288" i="3"/>
  <c r="BO289" i="3"/>
  <c r="BO290" i="3"/>
  <c r="BO291" i="3"/>
  <c r="BO292" i="3"/>
  <c r="BO293" i="3"/>
  <c r="BO294" i="3"/>
  <c r="BO295" i="3"/>
  <c r="BO296" i="3"/>
  <c r="BO297" i="3"/>
  <c r="BO298" i="3"/>
  <c r="BO299" i="3"/>
  <c r="BO300" i="3"/>
  <c r="BO301" i="3"/>
  <c r="BO302" i="3"/>
  <c r="BO303" i="3"/>
  <c r="BO304" i="3"/>
  <c r="BO305" i="3"/>
  <c r="BO306" i="3"/>
  <c r="BO307" i="3"/>
  <c r="BO308" i="3"/>
  <c r="BO309" i="3"/>
  <c r="BO310" i="3"/>
  <c r="BO311" i="3"/>
  <c r="BO312" i="3"/>
  <c r="BO313" i="3"/>
  <c r="BO314" i="3"/>
  <c r="BO315" i="3"/>
  <c r="BO316" i="3"/>
  <c r="BO317" i="3"/>
  <c r="BO318" i="3"/>
  <c r="BO319" i="3"/>
  <c r="BO320" i="3"/>
  <c r="BO321" i="3"/>
  <c r="BO322" i="3"/>
  <c r="BO323" i="3"/>
  <c r="BO324" i="3"/>
  <c r="BO325" i="3"/>
  <c r="BO326" i="3"/>
  <c r="BO327" i="3"/>
  <c r="BO328" i="3"/>
  <c r="BO329" i="3"/>
  <c r="BO330" i="3"/>
  <c r="BO331" i="3"/>
  <c r="BO332" i="3"/>
  <c r="BO333" i="3"/>
  <c r="BO334" i="3"/>
  <c r="BO335" i="3"/>
  <c r="BO336" i="3"/>
  <c r="BO337" i="3"/>
  <c r="BO338" i="3"/>
  <c r="BO339" i="3"/>
  <c r="BO340" i="3"/>
  <c r="BO341" i="3"/>
  <c r="BO342" i="3"/>
  <c r="BO343" i="3"/>
  <c r="BO344" i="3"/>
  <c r="BO345" i="3"/>
  <c r="BO346" i="3"/>
  <c r="BO347" i="3"/>
  <c r="BO348" i="3"/>
  <c r="BO349" i="3"/>
  <c r="BO350" i="3"/>
  <c r="BO351" i="3"/>
  <c r="A3" i="2"/>
  <c r="B3" i="2"/>
  <c r="E3" i="2"/>
  <c r="F3" i="2"/>
  <c r="H3" i="2"/>
  <c r="I3" i="2"/>
  <c r="J3" i="2"/>
  <c r="K3" i="2"/>
  <c r="L3" i="2"/>
  <c r="N3" i="2"/>
  <c r="O3" i="2"/>
  <c r="P3" i="2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CO3" i="2"/>
  <c r="CP3" i="2"/>
  <c r="A4" i="2"/>
  <c r="CP4" i="2"/>
  <c r="A5" i="2"/>
  <c r="B5" i="2"/>
  <c r="CP5" i="2"/>
  <c r="A6" i="2"/>
  <c r="B6" i="2"/>
  <c r="CP6" i="2"/>
  <c r="A7" i="2"/>
  <c r="B7" i="2"/>
  <c r="CP7" i="2"/>
  <c r="A8" i="2"/>
  <c r="B8" i="2"/>
  <c r="CP8" i="2"/>
  <c r="A9" i="2"/>
  <c r="B9" i="2"/>
  <c r="CP9" i="2"/>
  <c r="A10" i="2"/>
  <c r="B10" i="2"/>
  <c r="CP10" i="2"/>
  <c r="A11" i="2"/>
  <c r="B11" i="2"/>
  <c r="CP11" i="2"/>
  <c r="A12" i="2"/>
  <c r="B12" i="2"/>
  <c r="CP12" i="2"/>
  <c r="A13" i="2"/>
  <c r="B13" i="2"/>
  <c r="CP13" i="2"/>
  <c r="A14" i="2"/>
  <c r="B14" i="2"/>
  <c r="CP14" i="2"/>
  <c r="A15" i="2"/>
  <c r="B15" i="2"/>
  <c r="CP15" i="2"/>
  <c r="A16" i="2"/>
  <c r="B16" i="2"/>
  <c r="CP16" i="2"/>
  <c r="A17" i="2"/>
  <c r="B17" i="2"/>
  <c r="CP17" i="2"/>
  <c r="A18" i="2"/>
  <c r="B18" i="2"/>
  <c r="CP18" i="2"/>
  <c r="A19" i="2"/>
  <c r="B19" i="2"/>
  <c r="CP19" i="2"/>
  <c r="A20" i="2"/>
  <c r="B20" i="2"/>
  <c r="CP20" i="2"/>
  <c r="A21" i="2"/>
  <c r="B21" i="2"/>
  <c r="CP21" i="2"/>
  <c r="A22" i="2"/>
  <c r="B22" i="2"/>
  <c r="CP22" i="2"/>
  <c r="A23" i="2"/>
  <c r="B23" i="2"/>
  <c r="CP23" i="2"/>
  <c r="A24" i="2"/>
  <c r="B24" i="2"/>
  <c r="CP24" i="2"/>
  <c r="A25" i="2"/>
  <c r="B25" i="2"/>
  <c r="CP25" i="2"/>
  <c r="A26" i="2"/>
  <c r="B26" i="2"/>
  <c r="CP26" i="2"/>
  <c r="A27" i="2"/>
  <c r="B27" i="2"/>
  <c r="CP27" i="2"/>
  <c r="A28" i="2"/>
  <c r="B28" i="2"/>
  <c r="CP28" i="2"/>
  <c r="A29" i="2"/>
  <c r="B29" i="2"/>
  <c r="CP29" i="2"/>
  <c r="A30" i="2"/>
  <c r="B30" i="2"/>
  <c r="CP30" i="2"/>
  <c r="A31" i="2"/>
  <c r="B31" i="2"/>
  <c r="CP31" i="2"/>
  <c r="A32" i="2"/>
  <c r="B32" i="2"/>
  <c r="CP32" i="2"/>
  <c r="A33" i="2"/>
  <c r="B33" i="2"/>
  <c r="CP33" i="2"/>
  <c r="A34" i="2"/>
  <c r="B34" i="2"/>
  <c r="CP34" i="2"/>
  <c r="A35" i="2"/>
  <c r="B35" i="2"/>
  <c r="CP35" i="2"/>
  <c r="A36" i="2"/>
  <c r="B36" i="2"/>
  <c r="CP36" i="2"/>
  <c r="A37" i="2"/>
  <c r="B37" i="2"/>
  <c r="CP37" i="2"/>
  <c r="A38" i="2"/>
  <c r="B38" i="2"/>
  <c r="CP38" i="2"/>
  <c r="A39" i="2"/>
  <c r="B39" i="2"/>
  <c r="CP39" i="2"/>
  <c r="A40" i="2"/>
  <c r="B40" i="2"/>
  <c r="CS40" i="2"/>
  <c r="CP40" i="2"/>
  <c r="A41" i="2"/>
  <c r="B41" i="2"/>
  <c r="CS41" i="2"/>
  <c r="CP41" i="2"/>
  <c r="A42" i="2"/>
  <c r="B42" i="2"/>
  <c r="CS42" i="2"/>
  <c r="CP42" i="2"/>
  <c r="A43" i="2"/>
  <c r="B43" i="2"/>
  <c r="CS43" i="2"/>
  <c r="CP43" i="2"/>
  <c r="A44" i="2"/>
  <c r="B44" i="2"/>
  <c r="CS44" i="2"/>
  <c r="CP44" i="2"/>
  <c r="A45" i="2"/>
  <c r="B45" i="2"/>
  <c r="CS45" i="2"/>
  <c r="CP45" i="2"/>
  <c r="A46" i="2"/>
  <c r="B46" i="2"/>
  <c r="CS46" i="2"/>
  <c r="CP46" i="2"/>
  <c r="A47" i="2"/>
  <c r="B47" i="2"/>
  <c r="CS47" i="2"/>
  <c r="CP47" i="2"/>
  <c r="A48" i="2"/>
  <c r="B48" i="2"/>
  <c r="CS48" i="2"/>
  <c r="CP48" i="2"/>
  <c r="A49" i="2"/>
  <c r="B49" i="2"/>
  <c r="CS49" i="2"/>
  <c r="CP49" i="2"/>
  <c r="A50" i="2"/>
  <c r="B50" i="2"/>
  <c r="CS50" i="2"/>
  <c r="CP50" i="2"/>
  <c r="A51" i="2"/>
  <c r="B51" i="2"/>
  <c r="CS51" i="2"/>
  <c r="CP51" i="2"/>
  <c r="A52" i="2"/>
  <c r="B52" i="2"/>
  <c r="CS52" i="2"/>
  <c r="CP52" i="2"/>
  <c r="A53" i="2"/>
  <c r="B53" i="2"/>
  <c r="CS53" i="2"/>
  <c r="CP53" i="2"/>
  <c r="A54" i="2"/>
  <c r="B54" i="2"/>
  <c r="CS54" i="2"/>
  <c r="CP54" i="2"/>
  <c r="A55" i="2"/>
  <c r="B55" i="2"/>
  <c r="CS55" i="2"/>
  <c r="CP55" i="2"/>
  <c r="A56" i="2"/>
  <c r="B56" i="2"/>
  <c r="CS56" i="2"/>
  <c r="CP56" i="2"/>
  <c r="A57" i="2"/>
  <c r="B57" i="2"/>
  <c r="CS57" i="2"/>
  <c r="CP57" i="2"/>
  <c r="A58" i="2"/>
  <c r="B58" i="2"/>
  <c r="CS58" i="2"/>
  <c r="CP58" i="2"/>
  <c r="A59" i="2"/>
  <c r="B59" i="2"/>
  <c r="CS59" i="2"/>
  <c r="CP59" i="2"/>
  <c r="A60" i="2"/>
  <c r="B60" i="2"/>
  <c r="CS60" i="2"/>
  <c r="CP60" i="2"/>
  <c r="A61" i="2"/>
  <c r="B61" i="2"/>
  <c r="CS61" i="2"/>
  <c r="CP61" i="2"/>
  <c r="A62" i="2"/>
  <c r="B62" i="2"/>
  <c r="CS62" i="2"/>
  <c r="CP62" i="2"/>
  <c r="A63" i="2"/>
  <c r="B63" i="2"/>
  <c r="CS63" i="2"/>
  <c r="CP63" i="2"/>
  <c r="A64" i="2"/>
  <c r="B64" i="2"/>
  <c r="CS64" i="2"/>
  <c r="CP64" i="2"/>
  <c r="A65" i="2"/>
  <c r="B65" i="2"/>
  <c r="CS65" i="2"/>
  <c r="CP65" i="2"/>
  <c r="A66" i="2"/>
  <c r="B66" i="2"/>
  <c r="CS66" i="2"/>
  <c r="CP66" i="2"/>
  <c r="A67" i="2"/>
  <c r="B67" i="2"/>
  <c r="CS67" i="2"/>
  <c r="CP67" i="2"/>
  <c r="A68" i="2"/>
  <c r="B68" i="2"/>
  <c r="CS68" i="2"/>
  <c r="CP68" i="2"/>
  <c r="A69" i="2"/>
  <c r="B69" i="2"/>
  <c r="CS69" i="2"/>
  <c r="CP69" i="2"/>
  <c r="A70" i="2"/>
  <c r="B70" i="2"/>
  <c r="CS70" i="2"/>
  <c r="CP70" i="2"/>
  <c r="A71" i="2"/>
  <c r="B71" i="2"/>
  <c r="CS71" i="2"/>
  <c r="CP71" i="2"/>
  <c r="A72" i="2"/>
  <c r="B72" i="2"/>
  <c r="CS72" i="2"/>
  <c r="CP72" i="2"/>
  <c r="A73" i="2"/>
  <c r="B73" i="2"/>
  <c r="CS73" i="2"/>
  <c r="CP73" i="2"/>
  <c r="A74" i="2"/>
  <c r="B74" i="2"/>
  <c r="CS74" i="2"/>
  <c r="CP74" i="2"/>
  <c r="A75" i="2"/>
  <c r="B75" i="2"/>
  <c r="CS75" i="2"/>
  <c r="CP75" i="2"/>
  <c r="A76" i="2"/>
  <c r="B76" i="2"/>
  <c r="CS76" i="2"/>
  <c r="CP76" i="2"/>
  <c r="A77" i="2"/>
  <c r="B77" i="2"/>
  <c r="CS77" i="2"/>
  <c r="CP77" i="2"/>
  <c r="A78" i="2"/>
  <c r="B78" i="2"/>
  <c r="CP78" i="2"/>
  <c r="A79" i="2"/>
  <c r="B79" i="2"/>
  <c r="CP79" i="2"/>
  <c r="A80" i="2"/>
  <c r="B80" i="2"/>
  <c r="CP80" i="2"/>
  <c r="A81" i="2"/>
  <c r="B81" i="2"/>
  <c r="CP81" i="2"/>
  <c r="A82" i="2"/>
  <c r="B82" i="2"/>
  <c r="CP82" i="2"/>
  <c r="A83" i="2"/>
  <c r="B83" i="2"/>
  <c r="CP83" i="2"/>
  <c r="A84" i="2"/>
  <c r="B84" i="2"/>
  <c r="CP84" i="2"/>
  <c r="A85" i="2"/>
  <c r="B85" i="2"/>
  <c r="CP85" i="2"/>
  <c r="A86" i="2"/>
  <c r="B86" i="2"/>
  <c r="CP86" i="2"/>
  <c r="A87" i="2"/>
  <c r="B87" i="2"/>
  <c r="CP87" i="2"/>
  <c r="A88" i="2"/>
  <c r="B88" i="2"/>
  <c r="CP88" i="2"/>
  <c r="A89" i="2"/>
  <c r="B89" i="2"/>
  <c r="CP89" i="2"/>
  <c r="A90" i="2"/>
  <c r="B90" i="2"/>
  <c r="CP90" i="2"/>
  <c r="A91" i="2"/>
  <c r="B91" i="2"/>
  <c r="CP91" i="2"/>
  <c r="A92" i="2"/>
  <c r="B92" i="2"/>
  <c r="CP92" i="2"/>
  <c r="A93" i="2"/>
  <c r="B93" i="2"/>
  <c r="CP93" i="2"/>
  <c r="A94" i="2"/>
  <c r="B94" i="2"/>
  <c r="CP94" i="2"/>
  <c r="A95" i="2"/>
  <c r="B95" i="2"/>
  <c r="CP95" i="2"/>
  <c r="A96" i="2"/>
  <c r="B96" i="2"/>
  <c r="CP96" i="2"/>
  <c r="A97" i="2"/>
  <c r="B97" i="2"/>
  <c r="CP97" i="2"/>
  <c r="A98" i="2"/>
  <c r="B98" i="2"/>
  <c r="CP98" i="2"/>
  <c r="A99" i="2"/>
  <c r="B99" i="2"/>
  <c r="CP99" i="2"/>
  <c r="A100" i="2"/>
  <c r="B100" i="2"/>
  <c r="CP100" i="2"/>
  <c r="A101" i="2"/>
  <c r="B101" i="2"/>
  <c r="CP101" i="2"/>
  <c r="A102" i="2"/>
  <c r="B102" i="2"/>
  <c r="CP102" i="2"/>
  <c r="A103" i="2"/>
  <c r="B103" i="2"/>
  <c r="CP103" i="2"/>
  <c r="A104" i="2"/>
  <c r="B104" i="2"/>
  <c r="CP104" i="2"/>
  <c r="A105" i="2"/>
  <c r="B105" i="2"/>
  <c r="CP105" i="2"/>
  <c r="A106" i="2"/>
  <c r="B106" i="2"/>
  <c r="CP106" i="2"/>
  <c r="A107" i="2"/>
  <c r="B107" i="2"/>
  <c r="CP107" i="2"/>
  <c r="A108" i="2"/>
  <c r="B108" i="2"/>
  <c r="CP108" i="2"/>
  <c r="A109" i="2"/>
  <c r="B109" i="2"/>
  <c r="CP109" i="2"/>
  <c r="A110" i="2"/>
  <c r="B110" i="2"/>
  <c r="CP110" i="2"/>
  <c r="A111" i="2"/>
  <c r="B111" i="2"/>
  <c r="CP111" i="2"/>
  <c r="A112" i="2"/>
  <c r="B112" i="2"/>
  <c r="CP112" i="2"/>
  <c r="A113" i="2"/>
  <c r="B113" i="2"/>
  <c r="CP113" i="2"/>
  <c r="A114" i="2"/>
  <c r="B114" i="2"/>
  <c r="CP114" i="2"/>
  <c r="A115" i="2"/>
  <c r="B115" i="2"/>
  <c r="CS115" i="2"/>
  <c r="CP115" i="2"/>
  <c r="A117" i="2"/>
  <c r="B117" i="2"/>
  <c r="CS117" i="2"/>
  <c r="CP117" i="2"/>
  <c r="A118" i="2"/>
  <c r="B118" i="2"/>
  <c r="CS118" i="2"/>
  <c r="CP118" i="2"/>
  <c r="A119" i="2"/>
  <c r="B119" i="2"/>
  <c r="CS119" i="2"/>
  <c r="CP119" i="2"/>
  <c r="A120" i="2"/>
  <c r="B120" i="2"/>
  <c r="CS120" i="2"/>
  <c r="CP120" i="2"/>
  <c r="A123" i="2"/>
  <c r="B123" i="2"/>
  <c r="CS123" i="2"/>
  <c r="CP123" i="2"/>
  <c r="A124" i="2"/>
  <c r="B124" i="2"/>
  <c r="CS124" i="2"/>
  <c r="CP124" i="2"/>
  <c r="A125" i="2"/>
  <c r="B125" i="2"/>
  <c r="CS125" i="2"/>
  <c r="CP125" i="2"/>
  <c r="A126" i="2"/>
  <c r="B126" i="2"/>
  <c r="CS126" i="2"/>
  <c r="CP126" i="2"/>
  <c r="A129" i="2"/>
  <c r="B129" i="2"/>
  <c r="CS129" i="2"/>
  <c r="CP129" i="2"/>
  <c r="A130" i="2"/>
  <c r="B130" i="2"/>
  <c r="CS130" i="2"/>
  <c r="CP130" i="2"/>
  <c r="A131" i="2"/>
  <c r="B131" i="2"/>
  <c r="CS131" i="2"/>
  <c r="CP131" i="2"/>
  <c r="A132" i="2"/>
  <c r="B132" i="2"/>
  <c r="CS132" i="2"/>
  <c r="CP132" i="2"/>
  <c r="A135" i="2"/>
  <c r="B135" i="2"/>
  <c r="CS135" i="2"/>
  <c r="CP135" i="2"/>
  <c r="A136" i="2"/>
  <c r="B136" i="2"/>
  <c r="CS136" i="2"/>
  <c r="CP136" i="2"/>
  <c r="A137" i="2"/>
  <c r="B137" i="2"/>
  <c r="CS137" i="2"/>
  <c r="CP137" i="2"/>
  <c r="A138" i="2"/>
  <c r="B138" i="2"/>
  <c r="CS138" i="2"/>
  <c r="CP138" i="2"/>
  <c r="A141" i="2"/>
  <c r="B141" i="2"/>
  <c r="CS141" i="2"/>
  <c r="CP141" i="2"/>
  <c r="A142" i="2"/>
  <c r="B142" i="2"/>
  <c r="CS142" i="2"/>
  <c r="CP142" i="2"/>
  <c r="A143" i="2"/>
  <c r="B143" i="2"/>
  <c r="CS143" i="2"/>
  <c r="CP143" i="2"/>
  <c r="A144" i="2"/>
  <c r="B144" i="2"/>
  <c r="CS144" i="2"/>
  <c r="CP144" i="2"/>
  <c r="A146" i="2"/>
  <c r="B146" i="2"/>
  <c r="CS146" i="2"/>
  <c r="CP146" i="2"/>
  <c r="A147" i="2"/>
  <c r="B147" i="2"/>
  <c r="CS147" i="2"/>
  <c r="CP147" i="2"/>
  <c r="A148" i="2"/>
  <c r="B148" i="2"/>
  <c r="CS148" i="2"/>
  <c r="CP148" i="2"/>
  <c r="A149" i="2"/>
  <c r="B149" i="2"/>
  <c r="CS149" i="2"/>
  <c r="CP149" i="2"/>
  <c r="A151" i="2"/>
  <c r="B151" i="2"/>
  <c r="CS151" i="2"/>
  <c r="CP151" i="2"/>
  <c r="A152" i="2"/>
  <c r="B152" i="2"/>
  <c r="CS152" i="2"/>
  <c r="CP152" i="2"/>
  <c r="A153" i="2"/>
  <c r="B153" i="2"/>
  <c r="CS153" i="2"/>
  <c r="CP153" i="2"/>
  <c r="A154" i="2"/>
  <c r="B154" i="2"/>
  <c r="CS154" i="2"/>
  <c r="CP154" i="2"/>
  <c r="A158" i="2"/>
  <c r="B158" i="2"/>
  <c r="CP158" i="2"/>
  <c r="A159" i="2"/>
  <c r="B159" i="2"/>
  <c r="CP159" i="2"/>
  <c r="A160" i="2"/>
  <c r="B160" i="2"/>
  <c r="CP160" i="2"/>
  <c r="A161" i="2"/>
  <c r="B161" i="2"/>
  <c r="CP161" i="2"/>
  <c r="A162" i="2"/>
  <c r="B162" i="2"/>
  <c r="CP162" i="2"/>
  <c r="A163" i="2"/>
  <c r="B163" i="2"/>
  <c r="CP163" i="2"/>
  <c r="A164" i="2"/>
  <c r="B164" i="2"/>
  <c r="CP164" i="2"/>
  <c r="A165" i="2"/>
  <c r="B165" i="2"/>
  <c r="CP165" i="2"/>
  <c r="A166" i="2"/>
  <c r="B166" i="2"/>
  <c r="CP166" i="2"/>
  <c r="A167" i="2"/>
  <c r="B167" i="2"/>
  <c r="CP167" i="2"/>
  <c r="A168" i="2"/>
  <c r="B168" i="2"/>
  <c r="CP168" i="2"/>
  <c r="A169" i="2"/>
  <c r="B169" i="2"/>
  <c r="CP169" i="2"/>
  <c r="A170" i="2"/>
  <c r="B170" i="2"/>
  <c r="CP170" i="2"/>
  <c r="A171" i="2"/>
  <c r="B171" i="2"/>
  <c r="CP171" i="2"/>
  <c r="A172" i="2"/>
  <c r="B172" i="2"/>
  <c r="CP172" i="2"/>
  <c r="A173" i="2"/>
  <c r="B173" i="2"/>
  <c r="CP173" i="2"/>
  <c r="A174" i="2"/>
  <c r="B174" i="2"/>
  <c r="CP174" i="2"/>
  <c r="A175" i="2"/>
  <c r="B175" i="2"/>
  <c r="CP175" i="2"/>
  <c r="A176" i="2"/>
  <c r="B176" i="2"/>
  <c r="CP176" i="2"/>
  <c r="A177" i="2"/>
  <c r="B177" i="2"/>
  <c r="CP177" i="2"/>
  <c r="A178" i="2"/>
  <c r="B178" i="2"/>
  <c r="CP178" i="2"/>
  <c r="A179" i="2"/>
  <c r="B179" i="2"/>
  <c r="CP179" i="2"/>
  <c r="A180" i="2"/>
  <c r="B180" i="2"/>
  <c r="CP180" i="2"/>
  <c r="A181" i="2"/>
  <c r="B181" i="2"/>
  <c r="CP181" i="2"/>
  <c r="A182" i="2"/>
  <c r="B182" i="2"/>
  <c r="CP182" i="2"/>
  <c r="A183" i="2"/>
  <c r="B183" i="2"/>
  <c r="CP183" i="2"/>
  <c r="A184" i="2"/>
  <c r="B184" i="2"/>
  <c r="CP184" i="2"/>
  <c r="A185" i="2"/>
  <c r="B185" i="2"/>
  <c r="CP185" i="2"/>
  <c r="A186" i="2"/>
  <c r="B186" i="2"/>
  <c r="CP186" i="2"/>
  <c r="A187" i="2"/>
  <c r="B187" i="2"/>
  <c r="CP187" i="2"/>
  <c r="A188" i="2"/>
  <c r="B188" i="2"/>
  <c r="CP188" i="2"/>
  <c r="A189" i="2"/>
  <c r="B189" i="2"/>
  <c r="CP189" i="2"/>
  <c r="A190" i="2"/>
  <c r="B190" i="2"/>
  <c r="CP190" i="2"/>
  <c r="A191" i="2"/>
  <c r="B191" i="2"/>
  <c r="CP191" i="2"/>
  <c r="A192" i="2"/>
  <c r="B192" i="2"/>
  <c r="CP192" i="2"/>
  <c r="A193" i="2"/>
  <c r="B193" i="2"/>
  <c r="CP193" i="2"/>
  <c r="A194" i="2"/>
  <c r="B194" i="2"/>
  <c r="CP194" i="2"/>
  <c r="A195" i="2"/>
  <c r="B195" i="2"/>
  <c r="CP195" i="2"/>
  <c r="A196" i="2"/>
  <c r="B196" i="2"/>
  <c r="CP196" i="2"/>
  <c r="A197" i="2"/>
  <c r="B197" i="2"/>
  <c r="CP197" i="2"/>
  <c r="A198" i="2"/>
  <c r="B198" i="2"/>
  <c r="CP198" i="2"/>
  <c r="A199" i="2"/>
  <c r="B199" i="2"/>
  <c r="CP199" i="2"/>
  <c r="A200" i="2"/>
  <c r="B200" i="2"/>
  <c r="CP200" i="2"/>
  <c r="A201" i="2"/>
  <c r="B201" i="2"/>
  <c r="CP201" i="2"/>
  <c r="A202" i="2"/>
  <c r="B202" i="2"/>
  <c r="CP202" i="2"/>
  <c r="A203" i="2"/>
  <c r="B203" i="2"/>
  <c r="CP203" i="2"/>
  <c r="A204" i="2"/>
  <c r="B204" i="2"/>
  <c r="CP204" i="2"/>
  <c r="A205" i="2"/>
  <c r="B205" i="2"/>
  <c r="CP205" i="2"/>
  <c r="A206" i="2"/>
  <c r="B206" i="2"/>
  <c r="CP206" i="2"/>
  <c r="A207" i="2"/>
  <c r="B207" i="2"/>
  <c r="CP207" i="2"/>
  <c r="A208" i="2"/>
  <c r="B208" i="2"/>
  <c r="CP208" i="2"/>
  <c r="A209" i="2"/>
  <c r="B209" i="2"/>
  <c r="CP209" i="2"/>
  <c r="A210" i="2"/>
  <c r="B210" i="2"/>
  <c r="CP210" i="2"/>
  <c r="A211" i="2"/>
  <c r="B211" i="2"/>
  <c r="CP211" i="2"/>
  <c r="A212" i="2"/>
  <c r="B212" i="2"/>
  <c r="CP212" i="2"/>
  <c r="A213" i="2"/>
  <c r="B213" i="2"/>
  <c r="CP213" i="2"/>
  <c r="A214" i="2"/>
  <c r="B214" i="2"/>
  <c r="CP214" i="2"/>
  <c r="A215" i="2"/>
  <c r="B215" i="2"/>
  <c r="CP215" i="2"/>
  <c r="A216" i="2"/>
  <c r="B216" i="2"/>
  <c r="CP216" i="2"/>
  <c r="A217" i="2"/>
  <c r="B217" i="2"/>
  <c r="CP217" i="2"/>
  <c r="A218" i="2"/>
  <c r="B218" i="2"/>
  <c r="CP218" i="2"/>
  <c r="A219" i="2"/>
  <c r="B219" i="2"/>
  <c r="CP219" i="2"/>
  <c r="A220" i="2"/>
  <c r="B220" i="2"/>
  <c r="CP220" i="2"/>
  <c r="A221" i="2"/>
  <c r="B221" i="2"/>
  <c r="CP221" i="2"/>
  <c r="A222" i="2"/>
  <c r="B222" i="2"/>
  <c r="CP222" i="2"/>
  <c r="A223" i="2"/>
  <c r="B223" i="2"/>
  <c r="CP223" i="2"/>
  <c r="A224" i="2"/>
  <c r="B224" i="2"/>
  <c r="CP224" i="2"/>
  <c r="A225" i="2"/>
  <c r="B225" i="2"/>
  <c r="CP225" i="2"/>
  <c r="A226" i="2"/>
  <c r="B226" i="2"/>
  <c r="CP226" i="2"/>
  <c r="A227" i="2"/>
  <c r="B227" i="2"/>
  <c r="CP227" i="2"/>
  <c r="A228" i="2"/>
  <c r="B228" i="2"/>
  <c r="CP228" i="2"/>
  <c r="A229" i="2"/>
  <c r="B229" i="2"/>
  <c r="CP229" i="2"/>
  <c r="A230" i="2"/>
  <c r="B230" i="2"/>
  <c r="CP230" i="2"/>
  <c r="A231" i="2"/>
  <c r="B231" i="2"/>
  <c r="CP231" i="2"/>
  <c r="A232" i="2"/>
  <c r="B232" i="2"/>
  <c r="CP232" i="2"/>
  <c r="A233" i="2"/>
  <c r="B233" i="2"/>
  <c r="CP233" i="2"/>
  <c r="A234" i="2"/>
  <c r="B234" i="2"/>
  <c r="CP234" i="2"/>
  <c r="A235" i="2"/>
  <c r="B235" i="2"/>
  <c r="CP235" i="2"/>
  <c r="A236" i="2"/>
  <c r="B236" i="2"/>
  <c r="CP236" i="2"/>
  <c r="A237" i="2"/>
  <c r="B237" i="2"/>
  <c r="CP237" i="2"/>
  <c r="A238" i="2"/>
  <c r="B238" i="2"/>
  <c r="CP238" i="2"/>
  <c r="A239" i="2"/>
  <c r="B239" i="2"/>
  <c r="CP239" i="2"/>
  <c r="A240" i="2"/>
  <c r="B240" i="2"/>
  <c r="CP240" i="2"/>
  <c r="A241" i="2"/>
  <c r="B241" i="2"/>
  <c r="CP241" i="2"/>
  <c r="A242" i="2"/>
  <c r="B242" i="2"/>
  <c r="CP242" i="2"/>
  <c r="A243" i="2"/>
  <c r="B243" i="2"/>
  <c r="CP243" i="2"/>
  <c r="A244" i="2"/>
  <c r="B244" i="2"/>
  <c r="CP244" i="2"/>
  <c r="A245" i="2"/>
  <c r="B245" i="2"/>
  <c r="CP245" i="2"/>
  <c r="A246" i="2"/>
  <c r="B246" i="2"/>
  <c r="CP246" i="2"/>
  <c r="A247" i="2"/>
  <c r="B247" i="2"/>
  <c r="CP247" i="2"/>
  <c r="A248" i="2"/>
  <c r="B248" i="2"/>
  <c r="CP248" i="2"/>
  <c r="A249" i="2"/>
  <c r="B249" i="2"/>
  <c r="CP249" i="2"/>
  <c r="A250" i="2"/>
  <c r="B250" i="2"/>
  <c r="CP250" i="2"/>
  <c r="A251" i="2"/>
  <c r="B251" i="2"/>
  <c r="CP251" i="2"/>
  <c r="A252" i="2"/>
  <c r="B252" i="2"/>
  <c r="CP252" i="2"/>
  <c r="A253" i="2"/>
  <c r="B253" i="2"/>
  <c r="CP253" i="2"/>
  <c r="A254" i="2"/>
  <c r="B254" i="2"/>
  <c r="CP254" i="2"/>
  <c r="A255" i="2"/>
  <c r="B255" i="2"/>
  <c r="CP255" i="2"/>
  <c r="A256" i="2"/>
  <c r="B256" i="2"/>
  <c r="CP256" i="2"/>
  <c r="A257" i="2"/>
  <c r="B257" i="2"/>
  <c r="CP257" i="2"/>
  <c r="A258" i="2"/>
  <c r="B258" i="2"/>
  <c r="CP258" i="2"/>
  <c r="A259" i="2"/>
  <c r="B259" i="2"/>
  <c r="CP259" i="2"/>
  <c r="A260" i="2"/>
  <c r="B260" i="2"/>
  <c r="CP260" i="2"/>
  <c r="A261" i="2"/>
  <c r="B261" i="2"/>
  <c r="CP261" i="2"/>
  <c r="A262" i="2"/>
  <c r="B262" i="2"/>
  <c r="CP262" i="2"/>
  <c r="A263" i="2"/>
  <c r="B263" i="2"/>
  <c r="CP263" i="2"/>
  <c r="A264" i="2"/>
  <c r="B264" i="2"/>
  <c r="CP264" i="2"/>
  <c r="A265" i="2"/>
  <c r="B265" i="2"/>
  <c r="CP265" i="2"/>
  <c r="A266" i="2"/>
  <c r="B266" i="2"/>
  <c r="CP266" i="2"/>
  <c r="A267" i="2"/>
  <c r="B267" i="2"/>
  <c r="CP267" i="2"/>
  <c r="A268" i="2"/>
  <c r="B268" i="2"/>
  <c r="CP268" i="2"/>
  <c r="B269" i="2"/>
  <c r="CS269" i="2"/>
  <c r="CP269" i="2"/>
  <c r="B270" i="2"/>
  <c r="CS270" i="2"/>
  <c r="CP270" i="2"/>
  <c r="B271" i="2"/>
  <c r="CS271" i="2"/>
  <c r="CP271" i="2"/>
  <c r="B272" i="2"/>
  <c r="CS272" i="2"/>
  <c r="CP272" i="2"/>
  <c r="A273" i="2"/>
  <c r="B273" i="2"/>
  <c r="CS273" i="2"/>
  <c r="CP273" i="2"/>
  <c r="A274" i="2"/>
  <c r="B274" i="2"/>
  <c r="CS274" i="2"/>
  <c r="CP274" i="2"/>
  <c r="A275" i="2"/>
  <c r="B275" i="2"/>
  <c r="CS275" i="2"/>
  <c r="CP275" i="2"/>
  <c r="A276" i="2"/>
  <c r="B276" i="2"/>
  <c r="CS276" i="2"/>
  <c r="CP276" i="2"/>
  <c r="A277" i="2"/>
  <c r="B277" i="2"/>
  <c r="CS277" i="2"/>
  <c r="CP277" i="2"/>
  <c r="A278" i="2"/>
  <c r="B278" i="2"/>
  <c r="CS278" i="2"/>
  <c r="CP278" i="2"/>
  <c r="A279" i="2"/>
  <c r="B279" i="2"/>
  <c r="CS279" i="2"/>
  <c r="CP279" i="2"/>
  <c r="A280" i="2"/>
  <c r="B280" i="2"/>
  <c r="CS280" i="2"/>
  <c r="CP280" i="2"/>
  <c r="A281" i="2"/>
  <c r="B281" i="2"/>
  <c r="CS281" i="2"/>
  <c r="CP281" i="2"/>
  <c r="A282" i="2"/>
  <c r="B282" i="2"/>
  <c r="CS282" i="2"/>
  <c r="CP282" i="2"/>
  <c r="A283" i="2"/>
  <c r="B283" i="2"/>
  <c r="CS283" i="2"/>
  <c r="CP283" i="2"/>
  <c r="A284" i="2"/>
  <c r="B284" i="2"/>
  <c r="CS284" i="2"/>
  <c r="CP284" i="2"/>
  <c r="A285" i="2"/>
  <c r="B285" i="2"/>
  <c r="CS285" i="2"/>
  <c r="CP285" i="2"/>
  <c r="A286" i="2"/>
  <c r="B286" i="2"/>
  <c r="CS286" i="2"/>
  <c r="CP286" i="2"/>
  <c r="A287" i="2"/>
  <c r="B287" i="2"/>
  <c r="CS287" i="2"/>
  <c r="CP287" i="2"/>
  <c r="A288" i="2"/>
  <c r="B288" i="2"/>
  <c r="CS288" i="2"/>
  <c r="CP288" i="2"/>
  <c r="A289" i="2"/>
  <c r="B289" i="2"/>
  <c r="CS289" i="2"/>
  <c r="CP289" i="2"/>
  <c r="A290" i="2"/>
  <c r="B290" i="2"/>
  <c r="CS290" i="2"/>
  <c r="CP290" i="2"/>
  <c r="A291" i="2"/>
  <c r="B291" i="2"/>
  <c r="CS291" i="2"/>
  <c r="CP291" i="2"/>
  <c r="A292" i="2"/>
  <c r="B292" i="2"/>
  <c r="CS292" i="2"/>
  <c r="CP292" i="2"/>
  <c r="A293" i="2"/>
  <c r="B293" i="2"/>
  <c r="CS293" i="2"/>
  <c r="CP293" i="2"/>
  <c r="A294" i="2"/>
  <c r="B294" i="2"/>
  <c r="CS294" i="2"/>
  <c r="CP294" i="2"/>
  <c r="A295" i="2"/>
  <c r="B295" i="2"/>
  <c r="CS295" i="2"/>
  <c r="CP295" i="2"/>
  <c r="A296" i="2"/>
  <c r="B296" i="2"/>
  <c r="CS296" i="2"/>
  <c r="CP296" i="2"/>
  <c r="A297" i="2"/>
  <c r="B297" i="2"/>
  <c r="CS297" i="2"/>
  <c r="CP297" i="2"/>
  <c r="A298" i="2"/>
  <c r="B298" i="2"/>
  <c r="CS298" i="2"/>
  <c r="CP298" i="2"/>
  <c r="A299" i="2"/>
  <c r="B299" i="2"/>
  <c r="CS299" i="2"/>
  <c r="CP299" i="2"/>
  <c r="A300" i="2"/>
  <c r="B300" i="2"/>
  <c r="CS300" i="2"/>
  <c r="CP300" i="2"/>
  <c r="A301" i="2"/>
  <c r="B301" i="2"/>
  <c r="CS301" i="2"/>
  <c r="CP301" i="2"/>
  <c r="A302" i="2"/>
  <c r="B302" i="2"/>
  <c r="CS302" i="2"/>
  <c r="CP302" i="2"/>
  <c r="A303" i="2"/>
  <c r="B303" i="2"/>
  <c r="CS303" i="2"/>
  <c r="CP303" i="2"/>
  <c r="A304" i="2"/>
  <c r="B304" i="2"/>
  <c r="CS304" i="2"/>
  <c r="CP304" i="2"/>
  <c r="A305" i="2"/>
  <c r="B305" i="2"/>
  <c r="CS305" i="2"/>
  <c r="CP305" i="2"/>
  <c r="A306" i="2"/>
  <c r="B306" i="2"/>
  <c r="CS306" i="2"/>
  <c r="CP306" i="2"/>
  <c r="A307" i="2"/>
  <c r="B307" i="2"/>
  <c r="CS307" i="2"/>
  <c r="CP307" i="2"/>
  <c r="A308" i="2"/>
  <c r="B308" i="2"/>
  <c r="CS308" i="2"/>
  <c r="CP308" i="2"/>
  <c r="A309" i="2"/>
  <c r="B309" i="2"/>
  <c r="CS309" i="2"/>
  <c r="CP309" i="2"/>
  <c r="A310" i="2"/>
  <c r="B310" i="2"/>
  <c r="CS310" i="2"/>
  <c r="CP310" i="2"/>
  <c r="A311" i="2"/>
  <c r="B311" i="2"/>
  <c r="CS311" i="2"/>
  <c r="CP311" i="2"/>
  <c r="A312" i="2"/>
  <c r="B312" i="2"/>
  <c r="CS312" i="2"/>
  <c r="CP312" i="2"/>
  <c r="A313" i="2"/>
  <c r="B313" i="2"/>
  <c r="CS313" i="2"/>
  <c r="CP313" i="2"/>
  <c r="A314" i="2"/>
  <c r="B314" i="2"/>
  <c r="CS314" i="2"/>
  <c r="CP314" i="2"/>
  <c r="A315" i="2"/>
  <c r="B315" i="2"/>
  <c r="CS315" i="2"/>
  <c r="CP315" i="2"/>
  <c r="A316" i="2"/>
  <c r="B316" i="2"/>
  <c r="CS316" i="2"/>
  <c r="CP316" i="2"/>
  <c r="A317" i="2"/>
  <c r="B317" i="2"/>
  <c r="CS317" i="2"/>
  <c r="CP317" i="2"/>
  <c r="A318" i="2"/>
  <c r="B318" i="2"/>
  <c r="CS318" i="2"/>
  <c r="CP318" i="2"/>
  <c r="A319" i="2"/>
  <c r="B319" i="2"/>
  <c r="CS319" i="2"/>
  <c r="CP319" i="2"/>
  <c r="A320" i="2"/>
  <c r="B320" i="2"/>
  <c r="CS320" i="2"/>
  <c r="CP320" i="2"/>
  <c r="A321" i="2"/>
  <c r="B321" i="2"/>
  <c r="CS321" i="2"/>
  <c r="CP321" i="2"/>
  <c r="A322" i="2"/>
  <c r="B322" i="2"/>
  <c r="CS322" i="2"/>
  <c r="CP322" i="2"/>
  <c r="A323" i="2"/>
  <c r="B323" i="2"/>
  <c r="CS323" i="2"/>
  <c r="CP323" i="2"/>
  <c r="A324" i="2"/>
  <c r="B324" i="2"/>
  <c r="CS324" i="2"/>
  <c r="CP324" i="2"/>
  <c r="A325" i="2"/>
  <c r="B325" i="2"/>
  <c r="CS325" i="2"/>
  <c r="CP325" i="2"/>
  <c r="A326" i="2"/>
  <c r="B326" i="2"/>
  <c r="CS326" i="2"/>
  <c r="CP326" i="2"/>
  <c r="A327" i="2"/>
  <c r="B327" i="2"/>
  <c r="CS327" i="2"/>
  <c r="CP327" i="2"/>
  <c r="A328" i="2"/>
  <c r="B328" i="2"/>
  <c r="CS328" i="2"/>
  <c r="CP328" i="2"/>
  <c r="A329" i="2"/>
  <c r="B329" i="2"/>
  <c r="CS329" i="2"/>
  <c r="CP329" i="2"/>
  <c r="A330" i="2"/>
  <c r="B330" i="2"/>
  <c r="CS330" i="2"/>
  <c r="CP330" i="2"/>
  <c r="A331" i="2"/>
  <c r="B331" i="2"/>
  <c r="CS331" i="2"/>
  <c r="CP331" i="2"/>
  <c r="A332" i="2"/>
  <c r="B332" i="2"/>
  <c r="CS332" i="2"/>
  <c r="CP332" i="2"/>
  <c r="A333" i="2"/>
  <c r="B333" i="2"/>
  <c r="CS333" i="2"/>
  <c r="CP333" i="2"/>
  <c r="A334" i="2"/>
  <c r="B334" i="2"/>
  <c r="CS334" i="2"/>
  <c r="CP334" i="2"/>
  <c r="A335" i="2"/>
  <c r="B335" i="2"/>
  <c r="CS335" i="2"/>
  <c r="CP335" i="2"/>
  <c r="A336" i="2"/>
  <c r="B336" i="2"/>
  <c r="CS336" i="2"/>
  <c r="CP336" i="2"/>
  <c r="A337" i="2"/>
  <c r="B337" i="2"/>
  <c r="CS337" i="2"/>
  <c r="CP337" i="2"/>
  <c r="A338" i="2"/>
  <c r="B338" i="2"/>
  <c r="CS338" i="2"/>
  <c r="CP338" i="2"/>
  <c r="A339" i="2"/>
  <c r="B339" i="2"/>
  <c r="CS339" i="2"/>
  <c r="CP339" i="2"/>
  <c r="A340" i="2"/>
  <c r="B340" i="2"/>
  <c r="CS340" i="2"/>
  <c r="CP340" i="2"/>
  <c r="A341" i="2"/>
  <c r="B341" i="2"/>
  <c r="CS341" i="2"/>
  <c r="CP341" i="2"/>
  <c r="A342" i="2"/>
  <c r="B342" i="2"/>
  <c r="CS342" i="2"/>
  <c r="CP342" i="2"/>
  <c r="A343" i="2"/>
  <c r="B343" i="2"/>
  <c r="CS343" i="2"/>
  <c r="CP343" i="2"/>
  <c r="A344" i="2"/>
  <c r="B344" i="2"/>
  <c r="CS344" i="2"/>
  <c r="CP344" i="2"/>
  <c r="A345" i="2"/>
  <c r="B345" i="2"/>
  <c r="CS345" i="2"/>
  <c r="CP345" i="2"/>
  <c r="A346" i="2"/>
  <c r="B346" i="2"/>
  <c r="CS346" i="2"/>
  <c r="CP346" i="2"/>
  <c r="A347" i="2"/>
  <c r="B347" i="2"/>
  <c r="CS347" i="2"/>
  <c r="CP347" i="2"/>
  <c r="A348" i="2"/>
  <c r="B348" i="2"/>
  <c r="CS348" i="2"/>
  <c r="CP348" i="2"/>
  <c r="A351" i="2"/>
  <c r="B351" i="2"/>
  <c r="CS351" i="2"/>
  <c r="CP351" i="2"/>
  <c r="A352" i="2"/>
  <c r="B352" i="2"/>
  <c r="CP352" i="2"/>
  <c r="A353" i="2"/>
  <c r="B353" i="2"/>
  <c r="CS353" i="2"/>
  <c r="CP353" i="2"/>
  <c r="A354" i="2"/>
  <c r="B354" i="2"/>
  <c r="CS354" i="2"/>
  <c r="CP354" i="2"/>
  <c r="A355" i="2"/>
  <c r="B355" i="2"/>
  <c r="CP355" i="2"/>
  <c r="A356" i="2"/>
  <c r="B356" i="2"/>
  <c r="CS356" i="2"/>
  <c r="CP356" i="2"/>
  <c r="A357" i="2"/>
  <c r="B357" i="2"/>
  <c r="CS357" i="2"/>
  <c r="CP357" i="2"/>
  <c r="A358" i="2"/>
  <c r="B358" i="2"/>
  <c r="CS358" i="2"/>
  <c r="CP358" i="2"/>
  <c r="A359" i="2"/>
  <c r="B359" i="2"/>
  <c r="CS359" i="2"/>
  <c r="CP359" i="2"/>
  <c r="A360" i="2"/>
  <c r="B360" i="2"/>
  <c r="CS360" i="2"/>
  <c r="CP360" i="2"/>
  <c r="A361" i="2"/>
  <c r="B361" i="2"/>
  <c r="CS361" i="2"/>
  <c r="CP361" i="2"/>
  <c r="A362" i="2"/>
  <c r="B362" i="2"/>
  <c r="CS362" i="2"/>
  <c r="CP362" i="2"/>
  <c r="CS363" i="2"/>
  <c r="CP363" i="2"/>
  <c r="CS364" i="2"/>
  <c r="CP364" i="2"/>
  <c r="CS365" i="2"/>
  <c r="CP365" i="2"/>
  <c r="CP366" i="2"/>
  <c r="C2" i="1"/>
  <c r="C3" i="1"/>
  <c r="C4" i="1"/>
  <c r="C5" i="1"/>
  <c r="C6" i="1"/>
  <c r="C7" i="1"/>
  <c r="C8" i="1"/>
  <c r="CE18" i="1"/>
  <c r="DM18" i="1" s="1"/>
  <c r="CH19" i="1"/>
  <c r="DM19" i="1" s="1"/>
  <c r="CI20" i="1"/>
  <c r="DM20" i="1" s="1"/>
  <c r="CJ21" i="1"/>
  <c r="DM21" i="1" s="1"/>
  <c r="CK22" i="1"/>
  <c r="DM22" i="1" s="1"/>
  <c r="CL23" i="1"/>
  <c r="DM23" i="1" s="1"/>
  <c r="CM24" i="1"/>
  <c r="DM24" i="1" s="1"/>
  <c r="CN367" i="2"/>
  <c r="CN368" i="2"/>
  <c r="CN369" i="2"/>
  <c r="CN370" i="2"/>
  <c r="CH26" i="1" l="1"/>
  <c r="DM26" i="1" s="1"/>
  <c r="CL30" i="1"/>
  <c r="DM30" i="1" s="1"/>
  <c r="CE25" i="1"/>
  <c r="DM25" i="1" s="1"/>
  <c r="CI27" i="1"/>
  <c r="DM27" i="1" s="1"/>
  <c r="CM31" i="1"/>
  <c r="DM31" i="1" s="1"/>
  <c r="CN366" i="2"/>
  <c r="CS366" i="2" s="1"/>
  <c r="G61" i="2"/>
  <c r="CL61" i="2" s="1"/>
  <c r="G99" i="2"/>
  <c r="CL99" i="2" s="1"/>
  <c r="G179" i="2"/>
  <c r="CL179" i="2" s="1"/>
  <c r="G253" i="2"/>
  <c r="CL253" i="2" s="1"/>
  <c r="G24" i="2"/>
  <c r="CL24" i="2" s="1"/>
  <c r="G216" i="2"/>
  <c r="CL216" i="2" s="1"/>
  <c r="G55" i="2"/>
  <c r="G93" i="2"/>
  <c r="G173" i="2"/>
  <c r="G247" i="2"/>
  <c r="G18" i="2"/>
  <c r="G210" i="2"/>
  <c r="G47" i="2"/>
  <c r="G85" i="2"/>
  <c r="G165" i="2"/>
  <c r="G239" i="2"/>
  <c r="G10" i="2"/>
  <c r="G202" i="2"/>
  <c r="AH71" i="4"/>
  <c r="G252" i="2"/>
  <c r="CL252" i="2" s="1"/>
  <c r="G23" i="2"/>
  <c r="CL23" i="2" s="1"/>
  <c r="G215" i="2"/>
  <c r="CL215" i="2" s="1"/>
  <c r="G60" i="2"/>
  <c r="CL60" i="2" s="1"/>
  <c r="G98" i="2"/>
  <c r="CL98" i="2" s="1"/>
  <c r="G178" i="2"/>
  <c r="CL178" i="2" s="1"/>
  <c r="AH50" i="4"/>
  <c r="G59" i="2"/>
  <c r="G97" i="2"/>
  <c r="G177" i="2"/>
  <c r="G251" i="2"/>
  <c r="G22" i="2"/>
  <c r="G214" i="2"/>
  <c r="AH27" i="4"/>
  <c r="G89" i="2"/>
  <c r="G169" i="2"/>
  <c r="G243" i="2"/>
  <c r="G14" i="2"/>
  <c r="G206" i="2"/>
  <c r="G364" i="2"/>
  <c r="G41" i="2"/>
  <c r="G79" i="2"/>
  <c r="G159" i="2"/>
  <c r="G375" i="2"/>
  <c r="G376" i="2"/>
  <c r="G233" i="2"/>
  <c r="G365" i="2"/>
  <c r="G196" i="2"/>
  <c r="AH70" i="4"/>
  <c r="G242" i="2"/>
  <c r="G13" i="2"/>
  <c r="G205" i="2"/>
  <c r="G50" i="2"/>
  <c r="G88" i="2"/>
  <c r="G168" i="2"/>
  <c r="G250" i="2"/>
  <c r="G21" i="2"/>
  <c r="G213" i="2"/>
  <c r="G58" i="2"/>
  <c r="G96" i="2"/>
  <c r="G176" i="2"/>
  <c r="G45" i="2"/>
  <c r="G83" i="2"/>
  <c r="G163" i="2"/>
  <c r="G237" i="2"/>
  <c r="G8" i="2"/>
  <c r="G200" i="2"/>
  <c r="AH24" i="4"/>
  <c r="G49" i="2"/>
  <c r="G87" i="2"/>
  <c r="G167" i="2"/>
  <c r="G241" i="2"/>
  <c r="G12" i="2"/>
  <c r="G204" i="2"/>
  <c r="AH34" i="4"/>
  <c r="G246" i="2"/>
  <c r="G17" i="2"/>
  <c r="G209" i="2"/>
  <c r="G54" i="2"/>
  <c r="G92" i="2"/>
  <c r="G172" i="2"/>
  <c r="G240" i="2"/>
  <c r="G11" i="2"/>
  <c r="G203" i="2"/>
  <c r="G48" i="2"/>
  <c r="G86" i="2"/>
  <c r="G166" i="2"/>
  <c r="G236" i="2"/>
  <c r="G356" i="2"/>
  <c r="G360" i="2"/>
  <c r="G362" i="2"/>
  <c r="G7" i="2"/>
  <c r="G354" i="2"/>
  <c r="G199" i="2"/>
  <c r="G44" i="2"/>
  <c r="G82" i="2"/>
  <c r="G162" i="2"/>
  <c r="G355" i="2"/>
  <c r="G361" i="2"/>
  <c r="G232" i="2"/>
  <c r="G195" i="2"/>
  <c r="G40" i="2"/>
  <c r="G78" i="2"/>
  <c r="G158" i="2"/>
  <c r="G51" i="2"/>
  <c r="G57" i="2"/>
  <c r="G95" i="2"/>
  <c r="G175" i="2"/>
  <c r="G249" i="2"/>
  <c r="G20" i="2"/>
  <c r="G212" i="2"/>
  <c r="G53" i="2"/>
  <c r="G91" i="2"/>
  <c r="G171" i="2"/>
  <c r="G245" i="2"/>
  <c r="G16" i="2"/>
  <c r="G208" i="2"/>
  <c r="G63" i="2"/>
  <c r="CL63" i="2" s="1"/>
  <c r="G101" i="2"/>
  <c r="CL101" i="2" s="1"/>
  <c r="G181" i="2"/>
  <c r="CL181" i="2" s="1"/>
  <c r="G255" i="2"/>
  <c r="CL255" i="2" s="1"/>
  <c r="G26" i="2"/>
  <c r="CL26" i="2" s="1"/>
  <c r="G218" i="2"/>
  <c r="CL218" i="2" s="1"/>
  <c r="AH31" i="4"/>
  <c r="G244" i="2"/>
  <c r="G15" i="2"/>
  <c r="G207" i="2"/>
  <c r="G52" i="2"/>
  <c r="G90" i="2"/>
  <c r="G170" i="2"/>
  <c r="AH72" i="4"/>
  <c r="G254" i="2"/>
  <c r="CL254" i="2" s="1"/>
  <c r="G25" i="2"/>
  <c r="CL25" i="2" s="1"/>
  <c r="G217" i="2"/>
  <c r="CL217" i="2" s="1"/>
  <c r="G62" i="2"/>
  <c r="CL62" i="2" s="1"/>
  <c r="G100" i="2"/>
  <c r="CL100" i="2" s="1"/>
  <c r="G180" i="2"/>
  <c r="CL180" i="2" s="1"/>
  <c r="G248" i="2"/>
  <c r="G19" i="2"/>
  <c r="G211" i="2"/>
  <c r="G56" i="2"/>
  <c r="G94" i="2"/>
  <c r="G174" i="2"/>
  <c r="CN352" i="2"/>
  <c r="CS352" i="2" s="1"/>
  <c r="CN355" i="2"/>
  <c r="CS355" i="2" s="1"/>
  <c r="CN81" i="2"/>
  <c r="CS81" i="2" s="1"/>
  <c r="CN93" i="2"/>
  <c r="CS93" i="2" s="1"/>
  <c r="CN105" i="2"/>
  <c r="CS105" i="2" s="1"/>
  <c r="CN82" i="2"/>
  <c r="CS82" i="2" s="1"/>
  <c r="CN94" i="2"/>
  <c r="CS94" i="2" s="1"/>
  <c r="CN106" i="2"/>
  <c r="CS106" i="2" s="1"/>
  <c r="CN83" i="2"/>
  <c r="CS83" i="2" s="1"/>
  <c r="CN95" i="2"/>
  <c r="CS95" i="2" s="1"/>
  <c r="CN107" i="2"/>
  <c r="CS107" i="2" s="1"/>
  <c r="CN84" i="2"/>
  <c r="CS84" i="2" s="1"/>
  <c r="CN96" i="2"/>
  <c r="CS96" i="2" s="1"/>
  <c r="CN108" i="2"/>
  <c r="CS108" i="2" s="1"/>
  <c r="CN85" i="2"/>
  <c r="CS85" i="2" s="1"/>
  <c r="CN97" i="2"/>
  <c r="CS97" i="2" s="1"/>
  <c r="CN109" i="2"/>
  <c r="CS109" i="2" s="1"/>
  <c r="CN86" i="2"/>
  <c r="CS86" i="2" s="1"/>
  <c r="CN98" i="2"/>
  <c r="CS98" i="2" s="1"/>
  <c r="CN110" i="2"/>
  <c r="CS110" i="2" s="1"/>
  <c r="CN87" i="2"/>
  <c r="CS87" i="2" s="1"/>
  <c r="CN99" i="2"/>
  <c r="CS99" i="2" s="1"/>
  <c r="CN111" i="2"/>
  <c r="CS111" i="2" s="1"/>
  <c r="CN88" i="2"/>
  <c r="CS88" i="2" s="1"/>
  <c r="CN100" i="2"/>
  <c r="CS100" i="2" s="1"/>
  <c r="CN112" i="2"/>
  <c r="CS112" i="2" s="1"/>
  <c r="CN89" i="2"/>
  <c r="CS89" i="2" s="1"/>
  <c r="CN101" i="2"/>
  <c r="CS101" i="2" s="1"/>
  <c r="CN113" i="2"/>
  <c r="CS113" i="2" s="1"/>
  <c r="CN78" i="2"/>
  <c r="CS78" i="2" s="1"/>
  <c r="CN90" i="2"/>
  <c r="CS90" i="2" s="1"/>
  <c r="CN102" i="2"/>
  <c r="CS102" i="2" s="1"/>
  <c r="CN114" i="2"/>
  <c r="CS114" i="2" s="1"/>
  <c r="CN79" i="2"/>
  <c r="CS79" i="2" s="1"/>
  <c r="CN91" i="2"/>
  <c r="CS91" i="2" s="1"/>
  <c r="CN103" i="2"/>
  <c r="CS103" i="2" s="1"/>
  <c r="CN80" i="2"/>
  <c r="CS80" i="2" s="1"/>
  <c r="CN92" i="2"/>
  <c r="CS92" i="2" s="1"/>
  <c r="CN104" i="2"/>
  <c r="CS104" i="2" s="1"/>
  <c r="CN9" i="2"/>
  <c r="CS9" i="2" s="1"/>
  <c r="CN21" i="2"/>
  <c r="CS21" i="2" s="1"/>
  <c r="CN33" i="2"/>
  <c r="CS33" i="2" s="1"/>
  <c r="CN10" i="2"/>
  <c r="CS10" i="2" s="1"/>
  <c r="CN22" i="2"/>
  <c r="CS22" i="2" s="1"/>
  <c r="CN34" i="2"/>
  <c r="CS34" i="2" s="1"/>
  <c r="CN11" i="2"/>
  <c r="CS11" i="2" s="1"/>
  <c r="CN23" i="2"/>
  <c r="CS23" i="2" s="1"/>
  <c r="CN35" i="2"/>
  <c r="CS35" i="2" s="1"/>
  <c r="CN12" i="2"/>
  <c r="CS12" i="2" s="1"/>
  <c r="CN24" i="2"/>
  <c r="CS24" i="2" s="1"/>
  <c r="CN36" i="2"/>
  <c r="CS36" i="2" s="1"/>
  <c r="CN13" i="2"/>
  <c r="CS13" i="2" s="1"/>
  <c r="CN25" i="2"/>
  <c r="CS25" i="2" s="1"/>
  <c r="CN37" i="2"/>
  <c r="CS37" i="2" s="1"/>
  <c r="CN14" i="2"/>
  <c r="CS14" i="2" s="1"/>
  <c r="CN26" i="2"/>
  <c r="CS26" i="2" s="1"/>
  <c r="CN38" i="2"/>
  <c r="CS38" i="2" s="1"/>
  <c r="CN3" i="2"/>
  <c r="CS3" i="2" s="1"/>
  <c r="CN15" i="2"/>
  <c r="CS15" i="2" s="1"/>
  <c r="CN27" i="2"/>
  <c r="CS27" i="2" s="1"/>
  <c r="CN39" i="2"/>
  <c r="CS39" i="2" s="1"/>
  <c r="CN4" i="2"/>
  <c r="CS4" i="2" s="1"/>
  <c r="CN16" i="2"/>
  <c r="CS16" i="2" s="1"/>
  <c r="CN28" i="2"/>
  <c r="CS28" i="2" s="1"/>
  <c r="CN5" i="2"/>
  <c r="CS5" i="2" s="1"/>
  <c r="CN17" i="2"/>
  <c r="CS17" i="2" s="1"/>
  <c r="CN29" i="2"/>
  <c r="CS29" i="2" s="1"/>
  <c r="CN6" i="2"/>
  <c r="CS6" i="2" s="1"/>
  <c r="CN18" i="2"/>
  <c r="CS18" i="2" s="1"/>
  <c r="CN30" i="2"/>
  <c r="CS30" i="2" s="1"/>
  <c r="CN7" i="2"/>
  <c r="CS7" i="2" s="1"/>
  <c r="CN19" i="2"/>
  <c r="CS19" i="2" s="1"/>
  <c r="CN31" i="2"/>
  <c r="CS31" i="2" s="1"/>
  <c r="CN32" i="2"/>
  <c r="CS32" i="2" s="1"/>
  <c r="CN8" i="2"/>
  <c r="CS8" i="2" s="1"/>
  <c r="CN20" i="2"/>
  <c r="CS20" i="2" s="1"/>
  <c r="CN241" i="2"/>
  <c r="CS241" i="2" s="1"/>
  <c r="CN253" i="2"/>
  <c r="CS253" i="2" s="1"/>
  <c r="CN265" i="2"/>
  <c r="CS265" i="2" s="1"/>
  <c r="CN242" i="2"/>
  <c r="CS242" i="2" s="1"/>
  <c r="CN254" i="2"/>
  <c r="CS254" i="2" s="1"/>
  <c r="CN266" i="2"/>
  <c r="CS266" i="2" s="1"/>
  <c r="CN243" i="2"/>
  <c r="CS243" i="2" s="1"/>
  <c r="CN255" i="2"/>
  <c r="CS255" i="2" s="1"/>
  <c r="CN267" i="2"/>
  <c r="CS267" i="2" s="1"/>
  <c r="CN232" i="2"/>
  <c r="CS232" i="2" s="1"/>
  <c r="CN244" i="2"/>
  <c r="CS244" i="2" s="1"/>
  <c r="CN256" i="2"/>
  <c r="CS256" i="2" s="1"/>
  <c r="CN268" i="2"/>
  <c r="CS268" i="2" s="1"/>
  <c r="CN233" i="2"/>
  <c r="CS233" i="2" s="1"/>
  <c r="CN245" i="2"/>
  <c r="CS245" i="2" s="1"/>
  <c r="CN257" i="2"/>
  <c r="CS257" i="2" s="1"/>
  <c r="CN234" i="2"/>
  <c r="CS234" i="2" s="1"/>
  <c r="CN246" i="2"/>
  <c r="CS246" i="2" s="1"/>
  <c r="CN258" i="2"/>
  <c r="CS258" i="2" s="1"/>
  <c r="CN235" i="2"/>
  <c r="CS235" i="2" s="1"/>
  <c r="CN247" i="2"/>
  <c r="CS247" i="2" s="1"/>
  <c r="CN259" i="2"/>
  <c r="CS259" i="2" s="1"/>
  <c r="CN236" i="2"/>
  <c r="CS236" i="2" s="1"/>
  <c r="CN248" i="2"/>
  <c r="CS248" i="2" s="1"/>
  <c r="CN260" i="2"/>
  <c r="CS260" i="2" s="1"/>
  <c r="CN237" i="2"/>
  <c r="CS237" i="2" s="1"/>
  <c r="CN249" i="2"/>
  <c r="CS249" i="2" s="1"/>
  <c r="CN261" i="2"/>
  <c r="CS261" i="2" s="1"/>
  <c r="CN238" i="2"/>
  <c r="CS238" i="2" s="1"/>
  <c r="CN250" i="2"/>
  <c r="CS250" i="2" s="1"/>
  <c r="CN262" i="2"/>
  <c r="CS262" i="2" s="1"/>
  <c r="CN239" i="2"/>
  <c r="CS239" i="2" s="1"/>
  <c r="CN251" i="2"/>
  <c r="CS251" i="2" s="1"/>
  <c r="CN263" i="2"/>
  <c r="CS263" i="2" s="1"/>
  <c r="CN240" i="2"/>
  <c r="CS240" i="2" s="1"/>
  <c r="CN252" i="2"/>
  <c r="CS252" i="2" s="1"/>
  <c r="CN264" i="2"/>
  <c r="CS264" i="2" s="1"/>
  <c r="CN205" i="2"/>
  <c r="CS205" i="2" s="1"/>
  <c r="CN217" i="2"/>
  <c r="CS217" i="2" s="1"/>
  <c r="CN229" i="2"/>
  <c r="CS229" i="2" s="1"/>
  <c r="CN206" i="2"/>
  <c r="CS206" i="2" s="1"/>
  <c r="CN218" i="2"/>
  <c r="CS218" i="2" s="1"/>
  <c r="CN230" i="2"/>
  <c r="CS230" i="2" s="1"/>
  <c r="CN195" i="2"/>
  <c r="CS195" i="2" s="1"/>
  <c r="CN207" i="2"/>
  <c r="CS207" i="2" s="1"/>
  <c r="CN219" i="2"/>
  <c r="CS219" i="2" s="1"/>
  <c r="CN231" i="2"/>
  <c r="CS231" i="2" s="1"/>
  <c r="CN196" i="2"/>
  <c r="CS196" i="2" s="1"/>
  <c r="CN208" i="2"/>
  <c r="CS208" i="2" s="1"/>
  <c r="CN220" i="2"/>
  <c r="CS220" i="2" s="1"/>
  <c r="CN197" i="2"/>
  <c r="CS197" i="2" s="1"/>
  <c r="CN209" i="2"/>
  <c r="CS209" i="2" s="1"/>
  <c r="CN221" i="2"/>
  <c r="CS221" i="2" s="1"/>
  <c r="CN198" i="2"/>
  <c r="CS198" i="2" s="1"/>
  <c r="CN210" i="2"/>
  <c r="CS210" i="2" s="1"/>
  <c r="CN222" i="2"/>
  <c r="CS222" i="2" s="1"/>
  <c r="CN199" i="2"/>
  <c r="CS199" i="2" s="1"/>
  <c r="CN211" i="2"/>
  <c r="CS211" i="2" s="1"/>
  <c r="CN223" i="2"/>
  <c r="CS223" i="2" s="1"/>
  <c r="CN200" i="2"/>
  <c r="CS200" i="2" s="1"/>
  <c r="CN212" i="2"/>
  <c r="CS212" i="2" s="1"/>
  <c r="CN224" i="2"/>
  <c r="CS224" i="2" s="1"/>
  <c r="CN201" i="2"/>
  <c r="CS201" i="2" s="1"/>
  <c r="CN213" i="2"/>
  <c r="CS213" i="2" s="1"/>
  <c r="CN225" i="2"/>
  <c r="CS225" i="2" s="1"/>
  <c r="CN202" i="2"/>
  <c r="CS202" i="2" s="1"/>
  <c r="CN214" i="2"/>
  <c r="CS214" i="2" s="1"/>
  <c r="CN226" i="2"/>
  <c r="CS226" i="2" s="1"/>
  <c r="CN203" i="2"/>
  <c r="CS203" i="2" s="1"/>
  <c r="CN215" i="2"/>
  <c r="CS215" i="2" s="1"/>
  <c r="CN227" i="2"/>
  <c r="CS227" i="2" s="1"/>
  <c r="CN204" i="2"/>
  <c r="CS204" i="2" s="1"/>
  <c r="CN216" i="2"/>
  <c r="CS216" i="2" s="1"/>
  <c r="CN228" i="2"/>
  <c r="CS228" i="2" s="1"/>
  <c r="CN169" i="2"/>
  <c r="CS169" i="2" s="1"/>
  <c r="CN181" i="2"/>
  <c r="CS181" i="2" s="1"/>
  <c r="CN193" i="2"/>
  <c r="CS193" i="2" s="1"/>
  <c r="CN158" i="2"/>
  <c r="CS158" i="2" s="1"/>
  <c r="CN170" i="2"/>
  <c r="CS170" i="2" s="1"/>
  <c r="CN182" i="2"/>
  <c r="CS182" i="2" s="1"/>
  <c r="CN194" i="2"/>
  <c r="CS194" i="2" s="1"/>
  <c r="CN159" i="2"/>
  <c r="CS159" i="2" s="1"/>
  <c r="CN171" i="2"/>
  <c r="CS171" i="2" s="1"/>
  <c r="CN183" i="2"/>
  <c r="CS183" i="2" s="1"/>
  <c r="CN160" i="2"/>
  <c r="CS160" i="2" s="1"/>
  <c r="CN172" i="2"/>
  <c r="CS172" i="2" s="1"/>
  <c r="CN184" i="2"/>
  <c r="CS184" i="2" s="1"/>
  <c r="CN161" i="2"/>
  <c r="CS161" i="2" s="1"/>
  <c r="CN173" i="2"/>
  <c r="CS173" i="2" s="1"/>
  <c r="CN185" i="2"/>
  <c r="CS185" i="2" s="1"/>
  <c r="CN162" i="2"/>
  <c r="CS162" i="2" s="1"/>
  <c r="CN174" i="2"/>
  <c r="CS174" i="2" s="1"/>
  <c r="CN186" i="2"/>
  <c r="CS186" i="2" s="1"/>
  <c r="CN163" i="2"/>
  <c r="CS163" i="2" s="1"/>
  <c r="CN175" i="2"/>
  <c r="CS175" i="2" s="1"/>
  <c r="CN187" i="2"/>
  <c r="CS187" i="2" s="1"/>
  <c r="CN164" i="2"/>
  <c r="CS164" i="2" s="1"/>
  <c r="CN176" i="2"/>
  <c r="CS176" i="2" s="1"/>
  <c r="CN188" i="2"/>
  <c r="CS188" i="2" s="1"/>
  <c r="CN165" i="2"/>
  <c r="CS165" i="2" s="1"/>
  <c r="CN177" i="2"/>
  <c r="CS177" i="2" s="1"/>
  <c r="CN189" i="2"/>
  <c r="CS189" i="2" s="1"/>
  <c r="CN166" i="2"/>
  <c r="CS166" i="2" s="1"/>
  <c r="CN178" i="2"/>
  <c r="CS178" i="2" s="1"/>
  <c r="CN190" i="2"/>
  <c r="CS190" i="2" s="1"/>
  <c r="CN167" i="2"/>
  <c r="CS167" i="2" s="1"/>
  <c r="CN179" i="2"/>
  <c r="CS179" i="2" s="1"/>
  <c r="CN191" i="2"/>
  <c r="CS191" i="2" s="1"/>
  <c r="CN168" i="2"/>
  <c r="CS168" i="2" s="1"/>
  <c r="CN180" i="2"/>
  <c r="CS180" i="2" s="1"/>
  <c r="CN192" i="2"/>
  <c r="CS192" i="2" s="1"/>
  <c r="CS370" i="2"/>
  <c r="CS369" i="2"/>
  <c r="CS368" i="2"/>
  <c r="CS367" i="2"/>
  <c r="CK29" i="1"/>
  <c r="DM29" i="1" s="1"/>
  <c r="F167" i="3"/>
  <c r="BL131" i="3"/>
  <c r="BM131" i="3" s="1"/>
  <c r="F155" i="3"/>
  <c r="B144" i="3"/>
  <c r="AH42" i="4"/>
  <c r="G3" i="2"/>
  <c r="CL3" i="2" s="1"/>
  <c r="AH12" i="4"/>
  <c r="AH36" i="4"/>
  <c r="AH10" i="4"/>
  <c r="AH33" i="4"/>
  <c r="AH52" i="4"/>
  <c r="AH5" i="4"/>
  <c r="AH30" i="4"/>
  <c r="AH21" i="4"/>
  <c r="AH14" i="4"/>
  <c r="AH55" i="4"/>
  <c r="AH39" i="4"/>
  <c r="AH11" i="4"/>
  <c r="AH69" i="4"/>
  <c r="AH7" i="4"/>
  <c r="AH68" i="4"/>
  <c r="AH13" i="4"/>
  <c r="AH45" i="4"/>
  <c r="F175" i="3"/>
  <c r="F159" i="3"/>
  <c r="C137" i="3"/>
  <c r="B125" i="3"/>
  <c r="F152" i="3"/>
  <c r="F171" i="3"/>
  <c r="B156" i="3"/>
  <c r="C140" i="3"/>
  <c r="F119" i="3"/>
  <c r="F180" i="3"/>
  <c r="B160" i="3"/>
  <c r="F184" i="3"/>
  <c r="F174" i="3"/>
  <c r="BL133" i="3"/>
  <c r="BM133" i="3" s="1"/>
  <c r="B122" i="3"/>
  <c r="F168" i="3"/>
  <c r="F182" i="3"/>
  <c r="F172" i="3"/>
  <c r="F162" i="3"/>
  <c r="BL125" i="3"/>
  <c r="BM125" i="3" s="1"/>
  <c r="F133" i="3"/>
  <c r="B133" i="3"/>
  <c r="F179" i="3"/>
  <c r="F166" i="3"/>
  <c r="B162" i="3"/>
  <c r="F158" i="3"/>
  <c r="C136" i="3"/>
  <c r="F183" i="3"/>
  <c r="B170" i="3"/>
  <c r="F144" i="3"/>
  <c r="BL140" i="3"/>
  <c r="BM140" i="3" s="1"/>
  <c r="F148" i="3"/>
  <c r="B178" i="3"/>
  <c r="B148" i="3"/>
  <c r="B131" i="3"/>
  <c r="F164" i="3"/>
  <c r="F160" i="3"/>
  <c r="F156" i="3"/>
  <c r="B152" i="3"/>
  <c r="F143" i="3"/>
  <c r="B134" i="3"/>
  <c r="C125" i="3"/>
  <c r="F176" i="3"/>
  <c r="F163" i="3"/>
  <c r="B146" i="3"/>
  <c r="F142" i="3"/>
  <c r="F178" i="3"/>
  <c r="F170" i="3"/>
  <c r="F151" i="3"/>
  <c r="F147" i="3"/>
  <c r="C124" i="3"/>
  <c r="F154" i="3"/>
  <c r="F131" i="3"/>
  <c r="B154" i="3"/>
  <c r="F150" i="3"/>
  <c r="F146" i="3"/>
  <c r="BL138" i="3"/>
  <c r="BM138" i="3" s="1"/>
  <c r="BL134" i="3"/>
  <c r="BM134" i="3" s="1"/>
  <c r="C131" i="3"/>
  <c r="BL122" i="3"/>
  <c r="BM122" i="3" s="1"/>
  <c r="B184" i="3"/>
  <c r="B176" i="3"/>
  <c r="B168" i="3"/>
  <c r="B164" i="3"/>
  <c r="B137" i="3"/>
  <c r="BL128" i="3"/>
  <c r="BM128" i="3" s="1"/>
  <c r="BL124" i="3"/>
  <c r="BM124" i="3" s="1"/>
  <c r="F129" i="3"/>
  <c r="B123" i="3"/>
  <c r="F117" i="3"/>
  <c r="BL116" i="3"/>
  <c r="BM116" i="3" s="1"/>
  <c r="B180" i="3"/>
  <c r="B172" i="3"/>
  <c r="BL136" i="3"/>
  <c r="BM136" i="3" s="1"/>
  <c r="C128" i="3"/>
  <c r="F116" i="3"/>
  <c r="F177" i="3"/>
  <c r="F169" i="3"/>
  <c r="F161" i="3"/>
  <c r="F153" i="3"/>
  <c r="F145" i="3"/>
  <c r="F136" i="3"/>
  <c r="BL119" i="3"/>
  <c r="BM119" i="3" s="1"/>
  <c r="C116" i="3"/>
  <c r="B182" i="3"/>
  <c r="B174" i="3"/>
  <c r="B166" i="3"/>
  <c r="B158" i="3"/>
  <c r="B150" i="3"/>
  <c r="B142" i="3"/>
  <c r="B119" i="3"/>
  <c r="BL121" i="3"/>
  <c r="BM121" i="3" s="1"/>
  <c r="BL135" i="3"/>
  <c r="BM135" i="3" s="1"/>
  <c r="BL126" i="3"/>
  <c r="BM126" i="3" s="1"/>
  <c r="BL123" i="3"/>
  <c r="BM123" i="3" s="1"/>
  <c r="F121" i="3"/>
  <c r="F135" i="3"/>
  <c r="F123" i="3"/>
  <c r="C121" i="3"/>
  <c r="F181" i="3"/>
  <c r="F173" i="3"/>
  <c r="F165" i="3"/>
  <c r="F157" i="3"/>
  <c r="F149" i="3"/>
  <c r="F141" i="3"/>
  <c r="BL137" i="3"/>
  <c r="BM137" i="3" s="1"/>
  <c r="B135" i="3"/>
  <c r="AH38" i="4"/>
  <c r="AH20" i="4"/>
  <c r="AH59" i="4"/>
  <c r="AH48" i="4"/>
  <c r="AH64" i="4"/>
  <c r="AH35" i="4"/>
  <c r="AH29" i="4"/>
  <c r="AH51" i="4"/>
  <c r="AH4" i="4"/>
  <c r="AH62" i="4"/>
  <c r="AH63" i="4"/>
  <c r="AH60" i="4"/>
  <c r="AH46" i="4"/>
  <c r="AH18" i="4"/>
  <c r="AH6" i="4"/>
  <c r="F140" i="3"/>
  <c r="B130" i="3"/>
  <c r="F128" i="3"/>
  <c r="B118" i="3"/>
  <c r="F138" i="3"/>
  <c r="F126" i="3"/>
  <c r="C138" i="3"/>
  <c r="C126" i="3"/>
  <c r="BL129" i="3"/>
  <c r="BM129" i="3" s="1"/>
  <c r="F124" i="3"/>
  <c r="BL117" i="3"/>
  <c r="BM117" i="3" s="1"/>
  <c r="C183" i="3"/>
  <c r="C181" i="3"/>
  <c r="C179" i="3"/>
  <c r="C177" i="3"/>
  <c r="C175" i="3"/>
  <c r="C173" i="3"/>
  <c r="C171" i="3"/>
  <c r="C169" i="3"/>
  <c r="C167" i="3"/>
  <c r="C165" i="3"/>
  <c r="C163" i="3"/>
  <c r="C161" i="3"/>
  <c r="C159" i="3"/>
  <c r="C157" i="3"/>
  <c r="C155" i="3"/>
  <c r="C153" i="3"/>
  <c r="C151" i="3"/>
  <c r="C149" i="3"/>
  <c r="C147" i="3"/>
  <c r="C145" i="3"/>
  <c r="C143" i="3"/>
  <c r="C141" i="3"/>
  <c r="BL139" i="3"/>
  <c r="BM139" i="3" s="1"/>
  <c r="F134" i="3"/>
  <c r="C129" i="3"/>
  <c r="BL127" i="3"/>
  <c r="BM127" i="3" s="1"/>
  <c r="F122" i="3"/>
  <c r="C117" i="3"/>
  <c r="F139" i="3"/>
  <c r="BL132" i="3"/>
  <c r="BM132" i="3" s="1"/>
  <c r="F127" i="3"/>
  <c r="BL120" i="3"/>
  <c r="BM120" i="3" s="1"/>
  <c r="C139" i="3"/>
  <c r="F132" i="3"/>
  <c r="C127" i="3"/>
  <c r="F120" i="3"/>
  <c r="C132" i="3"/>
  <c r="BL130" i="3"/>
  <c r="BM130" i="3" s="1"/>
  <c r="C120" i="3"/>
  <c r="BL118" i="3"/>
  <c r="BM118" i="3" s="1"/>
  <c r="F130" i="3"/>
  <c r="F118" i="3"/>
  <c r="CJ28" i="1"/>
  <c r="DM28" i="1" s="1"/>
  <c r="AH26" i="4" l="1"/>
  <c r="AH23" i="4"/>
  <c r="AH32" i="4"/>
  <c r="CH33" i="1"/>
  <c r="DM33" i="1" s="1"/>
  <c r="CL37" i="1"/>
  <c r="DM37" i="1" s="1"/>
  <c r="CI34" i="1"/>
  <c r="DM34" i="1" s="1"/>
  <c r="CM38" i="1"/>
  <c r="DM38" i="1" s="1"/>
  <c r="CE32" i="1"/>
  <c r="DM32" i="1" s="1"/>
  <c r="AH41" i="4"/>
  <c r="AH43" i="4"/>
  <c r="AH40" i="4"/>
  <c r="CM211" i="2"/>
  <c r="CL211" i="2"/>
  <c r="CL90" i="2"/>
  <c r="CM90" i="2"/>
  <c r="CL175" i="2"/>
  <c r="CM175" i="2"/>
  <c r="CM361" i="2"/>
  <c r="CL361" i="2"/>
  <c r="CL166" i="2"/>
  <c r="CM166" i="2"/>
  <c r="CL246" i="2"/>
  <c r="CM246" i="2"/>
  <c r="CM163" i="2"/>
  <c r="CL163" i="2"/>
  <c r="CL205" i="2"/>
  <c r="CM205" i="2"/>
  <c r="CL79" i="2"/>
  <c r="CM79" i="2"/>
  <c r="CL177" i="2"/>
  <c r="CM177" i="2"/>
  <c r="CM202" i="2"/>
  <c r="CL202" i="2"/>
  <c r="CL55" i="2"/>
  <c r="CM55" i="2"/>
  <c r="CL93" i="2"/>
  <c r="CM93" i="2"/>
  <c r="CL19" i="2"/>
  <c r="CM19" i="2"/>
  <c r="CL52" i="2"/>
  <c r="CM52" i="2"/>
  <c r="CL95" i="2"/>
  <c r="CM95" i="2"/>
  <c r="CM355" i="2"/>
  <c r="CL355" i="2"/>
  <c r="CL86" i="2"/>
  <c r="CM86" i="2"/>
  <c r="CL83" i="2"/>
  <c r="CM83" i="2"/>
  <c r="CL13" i="2"/>
  <c r="CM13" i="2"/>
  <c r="CL41" i="2"/>
  <c r="CM41" i="2"/>
  <c r="CL97" i="2"/>
  <c r="CM97" i="2"/>
  <c r="CL10" i="2"/>
  <c r="CM10" i="2"/>
  <c r="CM237" i="2"/>
  <c r="CL237" i="2"/>
  <c r="CM248" i="2"/>
  <c r="CL248" i="2"/>
  <c r="CL207" i="2"/>
  <c r="CM207" i="2"/>
  <c r="CM208" i="2"/>
  <c r="CL208" i="2"/>
  <c r="CM57" i="2"/>
  <c r="CL57" i="2"/>
  <c r="CM162" i="2"/>
  <c r="CL162" i="2"/>
  <c r="CL48" i="2"/>
  <c r="CM48" i="2"/>
  <c r="CL204" i="2"/>
  <c r="CM204" i="2"/>
  <c r="CL45" i="2"/>
  <c r="CM45" i="2"/>
  <c r="CL242" i="2"/>
  <c r="CM242" i="2"/>
  <c r="CM364" i="2"/>
  <c r="CL364" i="2"/>
  <c r="CL59" i="2"/>
  <c r="CM59" i="2"/>
  <c r="CM239" i="2"/>
  <c r="CL239" i="2"/>
  <c r="CM249" i="2"/>
  <c r="CL249" i="2"/>
  <c r="CL15" i="2"/>
  <c r="CM15" i="2"/>
  <c r="CL16" i="2"/>
  <c r="CM16" i="2"/>
  <c r="CM82" i="2"/>
  <c r="CL82" i="2"/>
  <c r="CM203" i="2"/>
  <c r="CL203" i="2"/>
  <c r="CM12" i="2"/>
  <c r="CL12" i="2"/>
  <c r="CM176" i="2"/>
  <c r="CL176" i="2"/>
  <c r="CL206" i="2"/>
  <c r="CM206" i="2"/>
  <c r="CL165" i="2"/>
  <c r="CM165" i="2"/>
  <c r="CL17" i="2"/>
  <c r="CM17" i="2"/>
  <c r="CM244" i="2"/>
  <c r="CL244" i="2"/>
  <c r="CM245" i="2"/>
  <c r="CL245" i="2"/>
  <c r="CL51" i="2"/>
  <c r="CM51" i="2"/>
  <c r="CL44" i="2"/>
  <c r="CM44" i="2"/>
  <c r="CL11" i="2"/>
  <c r="CM11" i="2"/>
  <c r="CL241" i="2"/>
  <c r="CM241" i="2"/>
  <c r="CM96" i="2"/>
  <c r="CL96" i="2"/>
  <c r="CL14" i="2"/>
  <c r="CM14" i="2"/>
  <c r="CM85" i="2"/>
  <c r="CL85" i="2"/>
  <c r="CM251" i="2"/>
  <c r="CL251" i="2"/>
  <c r="CL171" i="2"/>
  <c r="CM171" i="2"/>
  <c r="CL199" i="2"/>
  <c r="CM199" i="2"/>
  <c r="CL240" i="2"/>
  <c r="CM240" i="2"/>
  <c r="CL167" i="2"/>
  <c r="CM167" i="2"/>
  <c r="CL58" i="2"/>
  <c r="CM58" i="2"/>
  <c r="CL196" i="2"/>
  <c r="CM196" i="2"/>
  <c r="CM243" i="2"/>
  <c r="CL243" i="2"/>
  <c r="CL47" i="2"/>
  <c r="CM47" i="2"/>
  <c r="CM159" i="2"/>
  <c r="CL159" i="2"/>
  <c r="CM91" i="2"/>
  <c r="CL91" i="2"/>
  <c r="CL158" i="2"/>
  <c r="CM158" i="2"/>
  <c r="CM354" i="2"/>
  <c r="CL354" i="2"/>
  <c r="CL87" i="2"/>
  <c r="CM87" i="2"/>
  <c r="CL213" i="2"/>
  <c r="CM213" i="2"/>
  <c r="CM365" i="2"/>
  <c r="CL365" i="2"/>
  <c r="CL169" i="2"/>
  <c r="CM169" i="2"/>
  <c r="CM56" i="2"/>
  <c r="CL56" i="2"/>
  <c r="CM50" i="2"/>
  <c r="CL50" i="2"/>
  <c r="CM53" i="2"/>
  <c r="CL53" i="2"/>
  <c r="CL78" i="2"/>
  <c r="CM78" i="2"/>
  <c r="CL7" i="2"/>
  <c r="CM7" i="2"/>
  <c r="CM172" i="2"/>
  <c r="CL172" i="2"/>
  <c r="CL49" i="2"/>
  <c r="CM49" i="2"/>
  <c r="CM21" i="2"/>
  <c r="CL21" i="2"/>
  <c r="CL4" i="2"/>
  <c r="CM4" i="2"/>
  <c r="CL89" i="2"/>
  <c r="CM89" i="2"/>
  <c r="CL210" i="2"/>
  <c r="CM210" i="2"/>
  <c r="CM236" i="2"/>
  <c r="CL236" i="2"/>
  <c r="CL40" i="2"/>
  <c r="CM40" i="2"/>
  <c r="CL362" i="2"/>
  <c r="CM362" i="2"/>
  <c r="CL92" i="2"/>
  <c r="CM92" i="2"/>
  <c r="CL250" i="2"/>
  <c r="CM250" i="2"/>
  <c r="CM233" i="2"/>
  <c r="CL233" i="2"/>
  <c r="CL18" i="2"/>
  <c r="CM18" i="2"/>
  <c r="CL170" i="2"/>
  <c r="CM170" i="2"/>
  <c r="CL174" i="2"/>
  <c r="CM174" i="2"/>
  <c r="CL212" i="2"/>
  <c r="CM212" i="2"/>
  <c r="CM195" i="2"/>
  <c r="CL195" i="2"/>
  <c r="CM360" i="2"/>
  <c r="CL360" i="2"/>
  <c r="CL54" i="2"/>
  <c r="CM54" i="2"/>
  <c r="CL200" i="2"/>
  <c r="CM200" i="2"/>
  <c r="CM168" i="2"/>
  <c r="CL168" i="2"/>
  <c r="CL376" i="2"/>
  <c r="CM376" i="2"/>
  <c r="CM214" i="2"/>
  <c r="CL214" i="2"/>
  <c r="CM247" i="2"/>
  <c r="CL247" i="2"/>
  <c r="AH3" i="4"/>
  <c r="CM94" i="2"/>
  <c r="CL94" i="2"/>
  <c r="CL20" i="2"/>
  <c r="CM20" i="2"/>
  <c r="CM232" i="2"/>
  <c r="CL232" i="2"/>
  <c r="CL356" i="2"/>
  <c r="CM356" i="2"/>
  <c r="CM209" i="2"/>
  <c r="CL209" i="2"/>
  <c r="CL8" i="2"/>
  <c r="CM8" i="2"/>
  <c r="CM88" i="2"/>
  <c r="CL88" i="2"/>
  <c r="CL375" i="2"/>
  <c r="CM375" i="2"/>
  <c r="CM22" i="2"/>
  <c r="CL22" i="2"/>
  <c r="CL173" i="2"/>
  <c r="CM173" i="2"/>
  <c r="CK36" i="1"/>
  <c r="DM36" i="1" s="1"/>
  <c r="CM3" i="2"/>
  <c r="AH8" i="4"/>
  <c r="AH47" i="4"/>
  <c r="AH61" i="4"/>
  <c r="CJ35" i="1"/>
  <c r="DM35" i="1" s="1"/>
  <c r="CN371" i="2"/>
  <c r="CS371" i="2" s="1"/>
  <c r="CN372" i="2"/>
  <c r="CS372" i="2" s="1"/>
  <c r="CH40" i="1" l="1"/>
  <c r="DM40" i="1" s="1"/>
  <c r="CI41" i="1"/>
  <c r="DM41" i="1" s="1"/>
  <c r="CL44" i="1"/>
  <c r="DM44" i="1" s="1"/>
  <c r="CE39" i="1"/>
  <c r="DM39" i="1" s="1"/>
  <c r="CN373" i="2"/>
  <c r="CS373" i="2" s="1"/>
  <c r="CM45" i="1"/>
  <c r="DM45" i="1" s="1"/>
  <c r="CK43" i="1"/>
  <c r="DM43" i="1" s="1"/>
  <c r="CJ42" i="1"/>
  <c r="DM42" i="1" s="1"/>
</calcChain>
</file>

<file path=xl/sharedStrings.xml><?xml version="1.0" encoding="utf-8"?>
<sst xmlns="http://schemas.openxmlformats.org/spreadsheetml/2006/main" count="3842" uniqueCount="1558">
  <si>
    <t>外套</t>
  </si>
  <si>
    <t>ライトガード</t>
    <phoneticPr fontId="2"/>
  </si>
  <si>
    <t>耐光</t>
  </si>
  <si>
    <t>ダークガード</t>
    <phoneticPr fontId="2"/>
  </si>
  <si>
    <t>耐闇</t>
  </si>
  <si>
    <t>サウンドガード</t>
    <phoneticPr fontId="2"/>
  </si>
  <si>
    <t>耐音</t>
  </si>
  <si>
    <t>アシッドガード</t>
    <phoneticPr fontId="2"/>
  </si>
  <si>
    <t>耐酸</t>
  </si>
  <si>
    <t>エレクトロガード</t>
    <phoneticPr fontId="2"/>
  </si>
  <si>
    <t>耐雷</t>
  </si>
  <si>
    <t>フロストガード</t>
    <phoneticPr fontId="2"/>
  </si>
  <si>
    <t>耐氷</t>
  </si>
  <si>
    <t>フレイムガード</t>
    <phoneticPr fontId="2"/>
  </si>
  <si>
    <t>耐炎</t>
  </si>
  <si>
    <t>シャドー</t>
    <phoneticPr fontId="2"/>
  </si>
  <si>
    <t>影</t>
    <rPh sb="0" eb="1">
      <t>カゲ</t>
    </rPh>
    <phoneticPr fontId="2"/>
  </si>
  <si>
    <t>パーソン</t>
  </si>
  <si>
    <t>只人</t>
  </si>
  <si>
    <t>ビースト</t>
  </si>
  <si>
    <t>獣人</t>
  </si>
  <si>
    <t>エンジェル</t>
  </si>
  <si>
    <t>天使</t>
  </si>
  <si>
    <t>デヴィル</t>
  </si>
  <si>
    <t>悪魔</t>
  </si>
  <si>
    <t>ギガント</t>
  </si>
  <si>
    <t>妖巨人</t>
  </si>
  <si>
    <t>デーモン</t>
  </si>
  <si>
    <t>鬼</t>
  </si>
  <si>
    <t>ライフツリー</t>
  </si>
  <si>
    <t>生命樹</t>
  </si>
  <si>
    <t>ラージイーグル</t>
  </si>
  <si>
    <t>大鷲</t>
  </si>
  <si>
    <t>シルバーウルフ</t>
  </si>
  <si>
    <t>銀狼</t>
  </si>
  <si>
    <t>アークスピリット</t>
  </si>
  <si>
    <t>ギガーン</t>
  </si>
  <si>
    <t>大魔</t>
  </si>
  <si>
    <t>ラージベア</t>
  </si>
  <si>
    <t>大熊</t>
  </si>
  <si>
    <t>ゴールドレオ</t>
  </si>
  <si>
    <t>金獅子</t>
  </si>
  <si>
    <t>トライワイト</t>
  </si>
  <si>
    <t>黄昏</t>
  </si>
  <si>
    <t>ファルコン</t>
  </si>
  <si>
    <t>鷹</t>
  </si>
  <si>
    <t>ウルフ</t>
  </si>
  <si>
    <t>狼</t>
  </si>
  <si>
    <t>ピーカク</t>
  </si>
  <si>
    <t>孔雀</t>
  </si>
  <si>
    <t>ジーニ</t>
  </si>
  <si>
    <t>魔人</t>
  </si>
  <si>
    <t>エレファント</t>
  </si>
  <si>
    <t>象</t>
  </si>
  <si>
    <t>レオ</t>
  </si>
  <si>
    <t>大獅子</t>
  </si>
  <si>
    <t>フラワーツリー</t>
  </si>
  <si>
    <t>花樹</t>
  </si>
  <si>
    <t>イーグル</t>
  </si>
  <si>
    <t>鷲</t>
  </si>
  <si>
    <t>キャット</t>
  </si>
  <si>
    <t>猫</t>
  </si>
  <si>
    <t>フィン</t>
  </si>
  <si>
    <t>妖魔</t>
  </si>
  <si>
    <t>マジック</t>
  </si>
  <si>
    <t>魔力</t>
  </si>
  <si>
    <t>ベア</t>
  </si>
  <si>
    <t>熊</t>
  </si>
  <si>
    <t>ライオン</t>
  </si>
  <si>
    <t>獅子</t>
  </si>
  <si>
    <t>ラージツリー</t>
  </si>
  <si>
    <t>大樹</t>
  </si>
  <si>
    <t>スパロウ</t>
  </si>
  <si>
    <t>雀</t>
  </si>
  <si>
    <t>ラット</t>
  </si>
  <si>
    <t>鼠</t>
  </si>
  <si>
    <t>フェアリー</t>
  </si>
  <si>
    <t>妖精</t>
  </si>
  <si>
    <t>スピリット</t>
  </si>
  <si>
    <t>精霊</t>
  </si>
  <si>
    <t>ボア</t>
  </si>
  <si>
    <t>猪</t>
  </si>
  <si>
    <t>アント</t>
  </si>
  <si>
    <t>蟻</t>
  </si>
  <si>
    <t>ツリー</t>
  </si>
  <si>
    <t>樹</t>
  </si>
  <si>
    <t>英名</t>
  </si>
  <si>
    <t>和名</t>
  </si>
  <si>
    <t>リング</t>
  </si>
  <si>
    <t>指輪</t>
  </si>
  <si>
    <t>ネックレス</t>
  </si>
  <si>
    <t>首飾り</t>
    <phoneticPr fontId="2"/>
  </si>
  <si>
    <t>アームリング</t>
  </si>
  <si>
    <t>輪</t>
    <phoneticPr fontId="2"/>
  </si>
  <si>
    <t>ベルト</t>
  </si>
  <si>
    <t>帯</t>
  </si>
  <si>
    <t>ガントレット</t>
  </si>
  <si>
    <t>篭手</t>
  </si>
  <si>
    <t>マント</t>
  </si>
  <si>
    <t>モノクル</t>
  </si>
  <si>
    <t>単眼鏡</t>
  </si>
  <si>
    <t>説明</t>
    <rPh sb="0" eb="2">
      <t>セツメイ</t>
    </rPh>
    <phoneticPr fontId="2"/>
  </si>
  <si>
    <t>武器の説明</t>
    <rPh sb="0" eb="2">
      <t>ブキ</t>
    </rPh>
    <rPh sb="3" eb="5">
      <t>セツメイ</t>
    </rPh>
    <phoneticPr fontId="2"/>
  </si>
  <si>
    <t>素材の説明</t>
    <rPh sb="0" eb="2">
      <t>ソザイ</t>
    </rPh>
    <rPh sb="3" eb="5">
      <t>セツメイ</t>
    </rPh>
    <phoneticPr fontId="2"/>
  </si>
  <si>
    <t>金額</t>
    <rPh sb="0" eb="2">
      <t>キンガク</t>
    </rPh>
    <phoneticPr fontId="2"/>
  </si>
  <si>
    <t>武器フィルター用</t>
    <rPh sb="0" eb="2">
      <t>ブキ</t>
    </rPh>
    <rPh sb="7" eb="8">
      <t>ヨウ</t>
    </rPh>
    <phoneticPr fontId="2"/>
  </si>
  <si>
    <t>威力</t>
    <rPh sb="0" eb="2">
      <t>イリョク</t>
    </rPh>
    <phoneticPr fontId="2"/>
  </si>
  <si>
    <t>重量</t>
    <rPh sb="0" eb="2">
      <t>ジュウリョウ</t>
    </rPh>
    <phoneticPr fontId="2"/>
  </si>
  <si>
    <t>指揮</t>
  </si>
  <si>
    <t>魔法技術</t>
  </si>
  <si>
    <t>精神接続</t>
  </si>
  <si>
    <t>制作</t>
  </si>
  <si>
    <t>変装</t>
  </si>
  <si>
    <t>装置</t>
  </si>
  <si>
    <t>鑑定</t>
  </si>
  <si>
    <t>知識</t>
  </si>
  <si>
    <t>騙す</t>
  </si>
  <si>
    <t>看破</t>
    <rPh sb="0" eb="2">
      <t>カンパ</t>
    </rPh>
    <phoneticPr fontId="2"/>
  </si>
  <si>
    <t>早業</t>
  </si>
  <si>
    <t>技術</t>
  </si>
  <si>
    <t>軽業</t>
  </si>
  <si>
    <t>威圧</t>
  </si>
  <si>
    <t>感知</t>
  </si>
  <si>
    <t>隠密</t>
  </si>
  <si>
    <t>APP</t>
  </si>
  <si>
    <t>SIZ</t>
  </si>
  <si>
    <t>命中</t>
  </si>
  <si>
    <t>速度</t>
  </si>
  <si>
    <t>精神</t>
    <phoneticPr fontId="2"/>
  </si>
  <si>
    <t>防御</t>
  </si>
  <si>
    <t>攻撃</t>
  </si>
  <si>
    <t>ST</t>
  </si>
  <si>
    <t>MP</t>
  </si>
  <si>
    <t>HP</t>
  </si>
  <si>
    <t>Lv</t>
    <phoneticPr fontId="2"/>
  </si>
  <si>
    <t>Cr威力耐性</t>
  </si>
  <si>
    <t>Cr率耐性</t>
  </si>
  <si>
    <t>魔法耐性</t>
  </si>
  <si>
    <t>物理耐性</t>
  </si>
  <si>
    <t>体幹耐性</t>
    <rPh sb="0" eb="2">
      <t>タイカン</t>
    </rPh>
    <rPh sb="2" eb="4">
      <t>タイセイ</t>
    </rPh>
    <phoneticPr fontId="2"/>
  </si>
  <si>
    <t>疲労耐性</t>
  </si>
  <si>
    <t>出血耐性</t>
  </si>
  <si>
    <t>時間耐性</t>
  </si>
  <si>
    <t>即死耐性</t>
  </si>
  <si>
    <t>呪い耐性</t>
  </si>
  <si>
    <t>拘束耐性</t>
  </si>
  <si>
    <t>怯み耐性</t>
  </si>
  <si>
    <t>石化耐性</t>
  </si>
  <si>
    <t>幻覚耐性</t>
  </si>
  <si>
    <t>盲目耐性</t>
  </si>
  <si>
    <t>毒耐性</t>
  </si>
  <si>
    <t>精神耐性</t>
  </si>
  <si>
    <t>負耐性</t>
  </si>
  <si>
    <t>正耐性</t>
  </si>
  <si>
    <t>悪耐性</t>
    <phoneticPr fontId="2"/>
  </si>
  <si>
    <t>善耐性</t>
  </si>
  <si>
    <t>光耐性</t>
  </si>
  <si>
    <t>闇耐性</t>
  </si>
  <si>
    <t>音耐性</t>
  </si>
  <si>
    <t>酸耐性</t>
  </si>
  <si>
    <t>雷耐性</t>
  </si>
  <si>
    <t>氷耐性</t>
  </si>
  <si>
    <t>炎耐性</t>
  </si>
  <si>
    <t>打撃耐性</t>
  </si>
  <si>
    <t>貫通耐性</t>
  </si>
  <si>
    <t>切断耐性</t>
  </si>
  <si>
    <t>魔法軽減</t>
  </si>
  <si>
    <t>物理軽減</t>
    <rPh sb="0" eb="2">
      <t>ブツリ</t>
    </rPh>
    <rPh sb="2" eb="4">
      <t>ケイゲン</t>
    </rPh>
    <phoneticPr fontId="2"/>
  </si>
  <si>
    <t>付与能力</t>
    <rPh sb="0" eb="2">
      <t>フヨ</t>
    </rPh>
    <rPh sb="2" eb="4">
      <t>ノウリョク</t>
    </rPh>
    <phoneticPr fontId="2"/>
  </si>
  <si>
    <t>能力</t>
    <rPh sb="0" eb="2">
      <t>ノウリョク</t>
    </rPh>
    <phoneticPr fontId="2"/>
  </si>
  <si>
    <t>攻撃タイプ</t>
  </si>
  <si>
    <t>攻撃回数</t>
  </si>
  <si>
    <t>リロード時間</t>
  </si>
  <si>
    <t>弾倉</t>
  </si>
  <si>
    <t>射程</t>
    <phoneticPr fontId="2"/>
  </si>
  <si>
    <t>命中率</t>
    <rPh sb="0" eb="3">
      <t>メイチュウリツ</t>
    </rPh>
    <phoneticPr fontId="2"/>
  </si>
  <si>
    <t>回避率</t>
    <rPh sb="0" eb="3">
      <t>カイヒリツ</t>
    </rPh>
    <phoneticPr fontId="2"/>
  </si>
  <si>
    <t>Cr威力</t>
  </si>
  <si>
    <t>Cr率</t>
  </si>
  <si>
    <t>変動</t>
    <rPh sb="0" eb="2">
      <t>ヘンドウ</t>
    </rPh>
    <phoneticPr fontId="2"/>
  </si>
  <si>
    <t>属性値</t>
    <rPh sb="0" eb="3">
      <t>ゾクセイチ</t>
    </rPh>
    <phoneticPr fontId="2"/>
  </si>
  <si>
    <t>属性</t>
    <rPh sb="0" eb="2">
      <t>ゾクセイ</t>
    </rPh>
    <phoneticPr fontId="2"/>
  </si>
  <si>
    <t>射撃</t>
    <rPh sb="0" eb="2">
      <t>シャゲキ</t>
    </rPh>
    <phoneticPr fontId="2"/>
  </si>
  <si>
    <t>ガード</t>
    <phoneticPr fontId="7"/>
  </si>
  <si>
    <t>打撃</t>
  </si>
  <si>
    <t>貫通</t>
  </si>
  <si>
    <t>切断</t>
  </si>
  <si>
    <t>全力</t>
    <rPh sb="0" eb="2">
      <t>ゼンリョク</t>
    </rPh>
    <phoneticPr fontId="7"/>
  </si>
  <si>
    <t>種別</t>
    <rPh sb="0" eb="2">
      <t>シュベツ</t>
    </rPh>
    <phoneticPr fontId="2"/>
  </si>
  <si>
    <t>素材</t>
    <rPh sb="0" eb="2">
      <t>ソザイ</t>
    </rPh>
    <phoneticPr fontId="2"/>
  </si>
  <si>
    <t>分類</t>
    <rPh sb="0" eb="2">
      <t>ブンルイ</t>
    </rPh>
    <phoneticPr fontId="2"/>
  </si>
  <si>
    <t>ルビ</t>
  </si>
  <si>
    <t>名前</t>
  </si>
  <si>
    <t>黒鋼</t>
  </si>
  <si>
    <t>長剣</t>
    <rPh sb="0" eb="2">
      <t>チョウケン</t>
    </rPh>
    <phoneticPr fontId="2"/>
  </si>
  <si>
    <t>金鋼</t>
    <rPh sb="0" eb="1">
      <t>キン</t>
    </rPh>
    <rPh sb="1" eb="2">
      <t>ハガネ</t>
    </rPh>
    <phoneticPr fontId="2"/>
  </si>
  <si>
    <t>銀鋼</t>
    <rPh sb="0" eb="1">
      <t>ギン</t>
    </rPh>
    <rPh sb="1" eb="2">
      <t>ハガネ</t>
    </rPh>
    <phoneticPr fontId="2"/>
  </si>
  <si>
    <t>鎧</t>
    <rPh sb="0" eb="1">
      <t>ヨロイ</t>
    </rPh>
    <phoneticPr fontId="2"/>
  </si>
  <si>
    <t>黒鉄</t>
    <rPh sb="0" eb="2">
      <t>クロテツ</t>
    </rPh>
    <phoneticPr fontId="2"/>
  </si>
  <si>
    <t>金鉄</t>
    <rPh sb="0" eb="2">
      <t>キンテツ</t>
    </rPh>
    <phoneticPr fontId="2"/>
  </si>
  <si>
    <t>銀鉄</t>
  </si>
  <si>
    <t>魔獣皮</t>
  </si>
  <si>
    <t>外套</t>
    <rPh sb="0" eb="2">
      <t>ガイトウ</t>
    </rPh>
    <phoneticPr fontId="2"/>
  </si>
  <si>
    <t>帯</t>
    <rPh sb="0" eb="1">
      <t>オビ</t>
    </rPh>
    <phoneticPr fontId="2"/>
  </si>
  <si>
    <t>熱鉄</t>
  </si>
  <si>
    <t>靴</t>
  </si>
  <si>
    <t>胴衣</t>
  </si>
  <si>
    <t>鎧</t>
  </si>
  <si>
    <t>兜</t>
  </si>
  <si>
    <t>面兜</t>
  </si>
  <si>
    <t>拳銃</t>
  </si>
  <si>
    <t>回転式拳銃</t>
    <rPh sb="0" eb="2">
      <t>カイテン</t>
    </rPh>
    <rPh sb="2" eb="3">
      <t>シキ</t>
    </rPh>
    <rPh sb="3" eb="5">
      <t>ケンジュウ</t>
    </rPh>
    <phoneticPr fontId="7"/>
  </si>
  <si>
    <t>射出弓</t>
  </si>
  <si>
    <t>軽射出弓</t>
  </si>
  <si>
    <t>長杖</t>
  </si>
  <si>
    <t>杖</t>
  </si>
  <si>
    <t>長弓</t>
  </si>
  <si>
    <t>短弓</t>
  </si>
  <si>
    <t>大盾</t>
  </si>
  <si>
    <t>丸大盾</t>
    <rPh sb="1" eb="2">
      <t>オオ</t>
    </rPh>
    <phoneticPr fontId="7"/>
  </si>
  <si>
    <t>盾</t>
  </si>
  <si>
    <t>丸盾</t>
  </si>
  <si>
    <t>鞭</t>
  </si>
  <si>
    <t>戦斧</t>
  </si>
  <si>
    <t>鎌</t>
  </si>
  <si>
    <t>戦鎚</t>
  </si>
  <si>
    <t>鎚</t>
  </si>
  <si>
    <t>棘棍</t>
    <rPh sb="0" eb="1">
      <t>トゲ</t>
    </rPh>
    <rPh sb="1" eb="2">
      <t>ツエ</t>
    </rPh>
    <phoneticPr fontId="2"/>
  </si>
  <si>
    <t>戦棍</t>
  </si>
  <si>
    <t>棍棒</t>
  </si>
  <si>
    <t>斧槍</t>
    <rPh sb="0" eb="1">
      <t>オノ</t>
    </rPh>
    <rPh sb="1" eb="2">
      <t>ヤリ</t>
    </rPh>
    <phoneticPr fontId="7"/>
  </si>
  <si>
    <t>騎士槍</t>
  </si>
  <si>
    <t>槍</t>
  </si>
  <si>
    <t>短槍</t>
  </si>
  <si>
    <t>刺剣</t>
  </si>
  <si>
    <t>細剣</t>
  </si>
  <si>
    <t>大剣</t>
  </si>
  <si>
    <t>長剣</t>
  </si>
  <si>
    <t>広剣</t>
  </si>
  <si>
    <t>剣</t>
  </si>
  <si>
    <t>刀</t>
  </si>
  <si>
    <t>短刀</t>
  </si>
  <si>
    <t>冷気鉄</t>
  </si>
  <si>
    <t>黒鋼鉄</t>
  </si>
  <si>
    <t>炎蜥蜴の鱗</t>
  </si>
  <si>
    <t>法衣</t>
  </si>
  <si>
    <t>衣布</t>
  </si>
  <si>
    <t>氷蜥蜴の鱗</t>
  </si>
  <si>
    <t>雷蜥蜴の鱗</t>
  </si>
  <si>
    <t>軽皮</t>
  </si>
  <si>
    <t>獣皮</t>
    <phoneticPr fontId="2"/>
  </si>
  <si>
    <t>皮</t>
    <phoneticPr fontId="2"/>
  </si>
  <si>
    <t>鋼</t>
    <rPh sb="0" eb="1">
      <t>ハガネ</t>
    </rPh>
    <phoneticPr fontId="2"/>
  </si>
  <si>
    <t>胴衣</t>
    <phoneticPr fontId="2"/>
  </si>
  <si>
    <t>木</t>
    <rPh sb="0" eb="1">
      <t>キ</t>
    </rPh>
    <phoneticPr fontId="2"/>
  </si>
  <si>
    <t>大戦棍</t>
    <rPh sb="0" eb="1">
      <t>ダイ</t>
    </rPh>
    <phoneticPr fontId="2"/>
  </si>
  <si>
    <t>鉄</t>
    <rPh sb="0" eb="1">
      <t>テツ</t>
    </rPh>
    <phoneticPr fontId="2"/>
  </si>
  <si>
    <t>-</t>
  </si>
  <si>
    <t>ダメージの振れ幅</t>
    <rPh sb="5" eb="6">
      <t>フ</t>
    </rPh>
    <rPh sb="7" eb="8">
      <t>ハバ</t>
    </rPh>
    <phoneticPr fontId="2"/>
  </si>
  <si>
    <t>id</t>
    <phoneticPr fontId="2"/>
  </si>
  <si>
    <t>画像url</t>
    <rPh sb="0" eb="2">
      <t>ガゾウ</t>
    </rPh>
    <phoneticPr fontId="2"/>
  </si>
  <si>
    <t>能力2</t>
    <rPh sb="0" eb="2">
      <t>ノウリョク</t>
    </rPh>
    <phoneticPr fontId="2"/>
  </si>
  <si>
    <t>付与</t>
    <rPh sb="0" eb="2">
      <t>フヨ</t>
    </rPh>
    <phoneticPr fontId="2"/>
  </si>
  <si>
    <t>究極の回復効果を持つ薬品。飲むだけでほぼすべてのダメージを回復するが、極めて高価。</t>
  </si>
  <si>
    <t>ハイエリクサー</t>
  </si>
  <si>
    <t>上位霊薬</t>
  </si>
  <si>
    <t>魔法の力で作られた伝説的な回復薬。飲むだけで大幅な体力回復が可能。</t>
  </si>
  <si>
    <t>エリクサー</t>
  </si>
  <si>
    <t>霊薬</t>
  </si>
  <si>
    <t>高性能な回復ポーション。短時間で大きな回復が可能で、強敵との戦闘に最適。</t>
  </si>
  <si>
    <t>ハイポーション</t>
  </si>
  <si>
    <t>上位水薬</t>
  </si>
  <si>
    <t>冒険者の定番回復薬。即時回復と再生効果を持ち、戦闘中や緊急時に効果的。</t>
  </si>
  <si>
    <t>ポーション</t>
  </si>
  <si>
    <t>水薬</t>
  </si>
  <si>
    <t>_---------- 素材 ---------</t>
    <rPh sb="12" eb="14">
      <t>ソザイ</t>
    </rPh>
    <phoneticPr fontId="2"/>
  </si>
  <si>
    <t>希少な花々から採取された極上の蜂蜜。料理に使うと味わいだけでなく、食事効果が劇的に向上する。特に、攻撃力や防御力、行動速度といった重要なステータスを大幅に向上させる一時的なバフ効果を得られる。高級レストランや冒険者の間で重宝される一品。</t>
    <phoneticPr fontId="2"/>
  </si>
  <si>
    <t>消費</t>
    <rPh sb="0" eb="2">
      <t>ショウヒ</t>
    </rPh>
    <phoneticPr fontId="2"/>
  </si>
  <si>
    <t>プレミアムハニー</t>
    <phoneticPr fontId="2"/>
  </si>
  <si>
    <t>高級蜂蜜</t>
    <rPh sb="0" eb="2">
      <t>コウキュウ</t>
    </rPh>
    <rPh sb="2" eb="4">
      <t>ハチミツ</t>
    </rPh>
    <phoneticPr fontId="2"/>
  </si>
  <si>
    <t>自然が生み出した甘く濃厚な万能素材。料理に加えることで風味を引き立て、食事全体の効果を高めることができる。使用することで疲労耐性とSTの回復が期待できる。</t>
  </si>
  <si>
    <t>ハニー</t>
    <phoneticPr fontId="2"/>
  </si>
  <si>
    <t>蜂蜜</t>
    <rPh sb="0" eb="2">
      <t>ハチミツ</t>
    </rPh>
    <phoneticPr fontId="2"/>
  </si>
  <si>
    <t>_---------- ドロップアイテム ---------</t>
    <phoneticPr fontId="2"/>
  </si>
  <si>
    <t>青緑色の輝きが特徴。航海の守護石として古代より重宝されてきた。</t>
  </si>
  <si>
    <t>宝石</t>
  </si>
  <si>
    <t>アクアマリンⅤ</t>
  </si>
  <si>
    <t>緑柱石Ⅴ</t>
  </si>
  <si>
    <t>多彩な色を持つ宝石で、調和と癒しのエネルギーをもたらすと言われている。</t>
  </si>
  <si>
    <t>トルマリンⅤ</t>
  </si>
  <si>
    <t>電気石Ⅴ</t>
  </si>
  <si>
    <t>明るい緑色が特徴で、友情や繁栄を呼ぶとされる宝石。</t>
  </si>
  <si>
    <t>ペリドットⅤ</t>
  </si>
  <si>
    <t>橄欖石Ⅴ</t>
  </si>
  <si>
    <t>虹色の輝きを持ち、創造力と変化を象徴する神秘的な石。</t>
  </si>
  <si>
    <t>オパールⅤ</t>
  </si>
  <si>
    <t>欧泊Ⅴ</t>
  </si>
  <si>
    <t>深い赤色で情熱や絆を象徴する。戦士に愛される宝石。</t>
  </si>
  <si>
    <t>ガーネットⅤ</t>
  </si>
  <si>
    <t>柘榴石Ⅴ</t>
  </si>
  <si>
    <t>太陽のような温かい光を放つ。希望と活力を象徴する宝石。</t>
  </si>
  <si>
    <t>サンストーンⅤ</t>
  </si>
  <si>
    <t>陽長石Ⅴ</t>
  </si>
  <si>
    <t>月の光を閉じ込めたような美しい輝きで、女性の守護石とも言われる。</t>
  </si>
  <si>
    <t>ムーンストーンⅤ</t>
  </si>
  <si>
    <t>月長石Ⅴ</t>
  </si>
  <si>
    <t>無色透明な輝きと硬度を持ち、純粋さと不滅を象徴する最高級の宝石。</t>
  </si>
  <si>
    <t>ダイヤモンドⅤ</t>
  </si>
  <si>
    <t>金剛石Ⅴ</t>
  </si>
  <si>
    <t>黄金色の輝きが財運を呼ぶとされる。</t>
  </si>
  <si>
    <t>シトリンⅤ</t>
  </si>
  <si>
    <t>黄水晶Ⅴ</t>
  </si>
  <si>
    <t>紫色の輝きが魔除けや精神集中に適していると言われる宝石。</t>
  </si>
  <si>
    <t>アメジストⅤ</t>
  </si>
  <si>
    <t>紫水晶Ⅴ</t>
  </si>
  <si>
    <t>深い緑色が特徴。自然や癒しを象徴し、魔法の触媒としても利用される。</t>
  </si>
  <si>
    <t>エメラルドⅤ</t>
  </si>
  <si>
    <t>翠玉Ⅴ</t>
  </si>
  <si>
    <t>青い星空のような美しさを持つ。知恵と忠誠を表すと言われている。</t>
  </si>
  <si>
    <t>サファイアⅤ</t>
  </si>
  <si>
    <t>青玉Ⅴ</t>
  </si>
  <si>
    <t>深紅の輝きを持つ希少な宝石。愛や情熱を象徴する。</t>
  </si>
  <si>
    <t>ルビーⅤ</t>
  </si>
  <si>
    <t>紅玉Ⅴ</t>
  </si>
  <si>
    <t>アクアマリンⅣ</t>
  </si>
  <si>
    <t>緑柱石Ⅳ</t>
  </si>
  <si>
    <t>トルマリンⅣ</t>
  </si>
  <si>
    <t>電気石Ⅳ</t>
  </si>
  <si>
    <t>ペリドットⅣ</t>
  </si>
  <si>
    <t>橄欖石Ⅳ</t>
  </si>
  <si>
    <t>オパールⅣ</t>
  </si>
  <si>
    <t>欧泊Ⅳ</t>
  </si>
  <si>
    <t>ガーネットⅣ</t>
  </si>
  <si>
    <t>柘榴石Ⅳ</t>
  </si>
  <si>
    <t>サンストーンⅣ</t>
  </si>
  <si>
    <t>陽長石Ⅳ</t>
  </si>
  <si>
    <t>ムーンストーンⅣ</t>
  </si>
  <si>
    <t>月長石Ⅳ</t>
  </si>
  <si>
    <t>ダイヤモンドⅣ</t>
  </si>
  <si>
    <t>金剛石Ⅳ</t>
  </si>
  <si>
    <t>シトリンⅣ</t>
  </si>
  <si>
    <t>黄水晶Ⅳ</t>
  </si>
  <si>
    <t>アメジストⅣ</t>
  </si>
  <si>
    <t>紫水晶Ⅳ</t>
  </si>
  <si>
    <t>エメラルドⅣ</t>
  </si>
  <si>
    <t>翠玉Ⅳ</t>
  </si>
  <si>
    <t>サファイアⅣ</t>
  </si>
  <si>
    <t>青玉Ⅳ</t>
  </si>
  <si>
    <t>ルビーⅣ</t>
  </si>
  <si>
    <t>紅玉Ⅳ</t>
  </si>
  <si>
    <t>アクアマリンⅢ</t>
  </si>
  <si>
    <t>緑柱石Ⅲ</t>
  </si>
  <si>
    <t>トルマリンⅢ</t>
  </si>
  <si>
    <t>電気石Ⅲ</t>
  </si>
  <si>
    <t>ペリドットⅢ</t>
  </si>
  <si>
    <t>橄欖石Ⅲ</t>
  </si>
  <si>
    <t>オパールⅢ</t>
  </si>
  <si>
    <t>欧泊Ⅲ</t>
  </si>
  <si>
    <t>ガーネットⅢ</t>
  </si>
  <si>
    <t>柘榴石Ⅲ</t>
  </si>
  <si>
    <t>サンストーンⅢ</t>
  </si>
  <si>
    <t>陽長石Ⅲ</t>
  </si>
  <si>
    <t>ムーンストーンⅢ</t>
  </si>
  <si>
    <t>月長石Ⅲ</t>
  </si>
  <si>
    <t>ダイヤモンドⅢ</t>
  </si>
  <si>
    <t>金剛石Ⅲ</t>
  </si>
  <si>
    <t>シトリンⅢ</t>
  </si>
  <si>
    <t>黄水晶Ⅲ</t>
  </si>
  <si>
    <t>アメジストⅢ</t>
  </si>
  <si>
    <t>紫水晶Ⅲ</t>
  </si>
  <si>
    <t>エメラルドⅢ</t>
  </si>
  <si>
    <t>翠玉Ⅲ</t>
  </si>
  <si>
    <t>サファイアⅢ</t>
  </si>
  <si>
    <t>青玉Ⅲ</t>
  </si>
  <si>
    <t>ルビーⅢ</t>
  </si>
  <si>
    <t>紅玉Ⅲ</t>
  </si>
  <si>
    <t>アクアマリンⅡ</t>
  </si>
  <si>
    <t>緑柱石Ⅱ</t>
  </si>
  <si>
    <t>トルマリンⅡ</t>
  </si>
  <si>
    <t>電気石Ⅱ</t>
  </si>
  <si>
    <t>ペリドットⅡ</t>
  </si>
  <si>
    <t>橄欖石Ⅱ</t>
  </si>
  <si>
    <t>オパールⅡ</t>
  </si>
  <si>
    <t>欧泊Ⅱ</t>
  </si>
  <si>
    <t>ガーネットⅡ</t>
  </si>
  <si>
    <t>柘榴石Ⅱ</t>
  </si>
  <si>
    <t>サンストーンⅡ</t>
  </si>
  <si>
    <t>陽長石Ⅱ</t>
  </si>
  <si>
    <t>ムーンストーンⅡ</t>
  </si>
  <si>
    <t>月長石Ⅱ</t>
  </si>
  <si>
    <t>ダイヤモンドⅡ</t>
  </si>
  <si>
    <t>金剛石Ⅱ</t>
  </si>
  <si>
    <t>シトリンⅡ</t>
  </si>
  <si>
    <t>黄水晶Ⅱ</t>
  </si>
  <si>
    <t>アメジストⅡ</t>
  </si>
  <si>
    <t>紫水晶Ⅱ</t>
  </si>
  <si>
    <t>エメラルドⅡ</t>
  </si>
  <si>
    <t>翠玉Ⅱ</t>
  </si>
  <si>
    <t>サファイアⅡ</t>
  </si>
  <si>
    <t>青玉Ⅱ</t>
  </si>
  <si>
    <t>ルビーⅡ</t>
  </si>
  <si>
    <t>紅玉Ⅱ</t>
  </si>
  <si>
    <t>アクアマリンⅠ</t>
  </si>
  <si>
    <t>緑柱石Ⅰ</t>
  </si>
  <si>
    <t>トルマリンⅠ</t>
  </si>
  <si>
    <t>電気石Ⅰ</t>
  </si>
  <si>
    <t>ペリドットⅠ</t>
  </si>
  <si>
    <t>橄欖石Ⅰ</t>
  </si>
  <si>
    <t>オパールⅠ</t>
  </si>
  <si>
    <t>欧泊Ⅰ</t>
  </si>
  <si>
    <t>ガーネットⅠ</t>
  </si>
  <si>
    <t>柘榴石Ⅰ</t>
  </si>
  <si>
    <t>サンストーンⅠ</t>
  </si>
  <si>
    <t>陽長石Ⅰ</t>
  </si>
  <si>
    <t>ムーンストーンⅠ</t>
  </si>
  <si>
    <t>月長石Ⅰ</t>
  </si>
  <si>
    <t>ダイヤモンドⅠ</t>
  </si>
  <si>
    <t>金剛石Ⅰ</t>
  </si>
  <si>
    <t>シトリンⅠ</t>
  </si>
  <si>
    <t>黄水晶Ⅰ</t>
  </si>
  <si>
    <t>アメジストⅠ</t>
  </si>
  <si>
    <t>紫水晶Ⅰ</t>
  </si>
  <si>
    <t>エメラルドⅠ</t>
  </si>
  <si>
    <t>翠玉Ⅰ</t>
  </si>
  <si>
    <t>サファイアⅠ</t>
  </si>
  <si>
    <t>青玉Ⅰ</t>
  </si>
  <si>
    <t>ルビーⅠ</t>
  </si>
  <si>
    <t>紅玉Ⅰ</t>
  </si>
  <si>
    <t>アクアマリン</t>
  </si>
  <si>
    <t>緑柱石</t>
  </si>
  <si>
    <t>トルマリン</t>
  </si>
  <si>
    <t>電気石</t>
  </si>
  <si>
    <t>ペリドット</t>
  </si>
  <si>
    <t>橄欖石</t>
  </si>
  <si>
    <t>オパール</t>
  </si>
  <si>
    <t>欧泊</t>
  </si>
  <si>
    <t>ガーネット</t>
  </si>
  <si>
    <t>柘榴石</t>
  </si>
  <si>
    <t>サンストーン</t>
  </si>
  <si>
    <t>陽長石</t>
  </si>
  <si>
    <t>ムーンストーン</t>
  </si>
  <si>
    <t>月長石</t>
  </si>
  <si>
    <t>ダイヤモンド</t>
  </si>
  <si>
    <t>金剛石</t>
  </si>
  <si>
    <t>シトリン</t>
  </si>
  <si>
    <t>黄水晶</t>
  </si>
  <si>
    <t>アメジスト</t>
  </si>
  <si>
    <t>紫水晶</t>
  </si>
  <si>
    <t>エメラルド</t>
  </si>
  <si>
    <t>翠玉</t>
  </si>
  <si>
    <t>サファイア</t>
  </si>
  <si>
    <t>青玉</t>
  </si>
  <si>
    <t>ルビー</t>
  </si>
  <si>
    <t>紅玉</t>
  </si>
  <si>
    <t>説明</t>
    <phoneticPr fontId="2"/>
  </si>
  <si>
    <t>種別</t>
  </si>
  <si>
    <t>素材</t>
  </si>
  <si>
    <t>分類</t>
  </si>
  <si>
    <t>_---------- 宝石 ---------</t>
    <rPh sb="12" eb="14">
      <t>ホウセキ</t>
    </rPh>
    <phoneticPr fontId="2"/>
  </si>
  <si>
    <t>基本的な回復ポーション。軽傷を治すための初心者冒険者向けの便利な薬品。</t>
  </si>
  <si>
    <t>簡単に設置可能な携帯型の拠点。短期間の休息や補給が可能で、探索中に安全を確保する必需品。</t>
  </si>
  <si>
    <t>杖.webp</t>
    <rPh sb="0" eb="1">
      <t>ツエ</t>
    </rPh>
    <phoneticPr fontId="2"/>
  </si>
  <si>
    <t>S</t>
    <phoneticPr fontId="2"/>
  </si>
  <si>
    <t>光・盲目</t>
    <rPh sb="0" eb="1">
      <t>ヒカリ</t>
    </rPh>
    <rPh sb="2" eb="4">
      <t>モウモク</t>
    </rPh>
    <phoneticPr fontId="2"/>
  </si>
  <si>
    <t>強い光を放つ棒</t>
    <rPh sb="0" eb="1">
      <t>ツヨ</t>
    </rPh>
    <rPh sb="2" eb="3">
      <t>ヒカリ</t>
    </rPh>
    <rPh sb="4" eb="5">
      <t>ハナ</t>
    </rPh>
    <rPh sb="6" eb="7">
      <t>ボウ</t>
    </rPh>
    <phoneticPr fontId="2"/>
  </si>
  <si>
    <t>道具</t>
    <rPh sb="0" eb="2">
      <t>ドウグ</t>
    </rPh>
    <phoneticPr fontId="2"/>
  </si>
  <si>
    <t>ライト・ロッド</t>
    <phoneticPr fontId="2"/>
  </si>
  <si>
    <t>閃光の棒</t>
    <rPh sb="0" eb="2">
      <t>センコウ</t>
    </rPh>
    <rPh sb="3" eb="4">
      <t>ボウ</t>
    </rPh>
    <phoneticPr fontId="2"/>
  </si>
  <si>
    <t>上位霊薬</t>
    <rPh sb="0" eb="2">
      <t>ジョウイ</t>
    </rPh>
    <rPh sb="2" eb="4">
      <t>レイヤク</t>
    </rPh>
    <phoneticPr fontId="2"/>
  </si>
  <si>
    <t>水薬.webp</t>
    <phoneticPr fontId="2"/>
  </si>
  <si>
    <t>ハイエリクサー</t>
    <phoneticPr fontId="2"/>
  </si>
  <si>
    <t>霊薬</t>
    <rPh sb="0" eb="2">
      <t>レイヤク</t>
    </rPh>
    <phoneticPr fontId="2"/>
  </si>
  <si>
    <t>エリクサー</t>
    <phoneticPr fontId="2"/>
  </si>
  <si>
    <t>上位水薬</t>
    <rPh sb="0" eb="2">
      <t>ジョウイ</t>
    </rPh>
    <rPh sb="2" eb="3">
      <t>ミズ</t>
    </rPh>
    <rPh sb="3" eb="4">
      <t>クスリ</t>
    </rPh>
    <phoneticPr fontId="2"/>
  </si>
  <si>
    <t>ハイポーション</t>
    <phoneticPr fontId="2"/>
  </si>
  <si>
    <t>水薬</t>
    <rPh sb="0" eb="1">
      <t>ミズ</t>
    </rPh>
    <rPh sb="1" eb="2">
      <t>クスリ</t>
    </rPh>
    <phoneticPr fontId="2"/>
  </si>
  <si>
    <t>ポーション</t>
    <phoneticPr fontId="2"/>
  </si>
  <si>
    <t>下位水薬</t>
    <rPh sb="0" eb="2">
      <t>カイ</t>
    </rPh>
    <rPh sb="2" eb="3">
      <t>ミズ</t>
    </rPh>
    <rPh sb="3" eb="4">
      <t>クスリ</t>
    </rPh>
    <phoneticPr fontId="2"/>
  </si>
  <si>
    <t>レッサーポーション</t>
    <phoneticPr fontId="2"/>
  </si>
  <si>
    <t>簡易拠点</t>
    <rPh sb="0" eb="2">
      <t>カンイ</t>
    </rPh>
    <rPh sb="2" eb="4">
      <t>キョテン</t>
    </rPh>
    <phoneticPr fontId="2"/>
  </si>
  <si>
    <t>テント.webp</t>
    <phoneticPr fontId="2"/>
  </si>
  <si>
    <t>インスタント・ベース</t>
    <phoneticPr fontId="2"/>
  </si>
  <si>
    <t>効果時間</t>
    <rPh sb="0" eb="2">
      <t>コウカ</t>
    </rPh>
    <rPh sb="2" eb="4">
      <t>ジカン</t>
    </rPh>
    <phoneticPr fontId="2"/>
  </si>
  <si>
    <t>再生</t>
    <rPh sb="0" eb="2">
      <t>サイセイ</t>
    </rPh>
    <phoneticPr fontId="2"/>
  </si>
  <si>
    <t>回復</t>
    <rPh sb="0" eb="2">
      <t>カイフク</t>
    </rPh>
    <phoneticPr fontId="2"/>
  </si>
  <si>
    <t>元の金額</t>
    <rPh sb="0" eb="1">
      <t>モト</t>
    </rPh>
    <rPh sb="2" eb="4">
      <t>キンガク</t>
    </rPh>
    <phoneticPr fontId="2"/>
  </si>
  <si>
    <t>クールタイム</t>
    <phoneticPr fontId="2"/>
  </si>
  <si>
    <t>悪耐性</t>
  </si>
  <si>
    <t>命中倍率</t>
    <rPh sb="0" eb="2">
      <t>メイチュウ</t>
    </rPh>
    <rPh sb="2" eb="4">
      <t>バイリツ</t>
    </rPh>
    <phoneticPr fontId="2"/>
  </si>
  <si>
    <t>速度倍率</t>
    <rPh sb="0" eb="2">
      <t>ソクド</t>
    </rPh>
    <rPh sb="2" eb="4">
      <t>バイリツ</t>
    </rPh>
    <phoneticPr fontId="2"/>
  </si>
  <si>
    <t>知覚</t>
  </si>
  <si>
    <t>看破</t>
  </si>
  <si>
    <t>消音</t>
  </si>
  <si>
    <t>全身</t>
    <rPh sb="0" eb="2">
      <t>ゼンシン</t>
    </rPh>
    <phoneticPr fontId="7"/>
  </si>
  <si>
    <t>盾</t>
    <rPh sb="0" eb="1">
      <t>タテ</t>
    </rPh>
    <phoneticPr fontId="7"/>
  </si>
  <si>
    <t>眼</t>
    <rPh sb="0" eb="1">
      <t>メ</t>
    </rPh>
    <phoneticPr fontId="7"/>
  </si>
  <si>
    <t>その他</t>
    <rPh sb="2" eb="3">
      <t>タ</t>
    </rPh>
    <phoneticPr fontId="2"/>
  </si>
  <si>
    <t>感覚</t>
    <rPh sb="0" eb="2">
      <t>カンカク</t>
    </rPh>
    <phoneticPr fontId="7"/>
  </si>
  <si>
    <t/>
  </si>
  <si>
    <t>鉱石×2、宝石×1</t>
  </si>
  <si>
    <t>装飾</t>
    <rPh sb="0" eb="2">
      <t>ソウショク</t>
    </rPh>
    <phoneticPr fontId="2"/>
  </si>
  <si>
    <t>鉱石×3、糸×2</t>
  </si>
  <si>
    <t xml:space="preserve">魔防 精神 幻覚 石化 呪い 即死 </t>
    <rPh sb="0" eb="2">
      <t>マボウ</t>
    </rPh>
    <rPh sb="3" eb="5">
      <t>セイシン</t>
    </rPh>
    <rPh sb="6" eb="8">
      <t>ゲンカク</t>
    </rPh>
    <rPh sb="9" eb="11">
      <t>セキカ</t>
    </rPh>
    <rPh sb="12" eb="13">
      <t>ノロイ</t>
    </rPh>
    <rPh sb="15" eb="17">
      <t>ソクシ</t>
    </rPh>
    <phoneticPr fontId="2"/>
  </si>
  <si>
    <t>鉱石×2、糸×2</t>
  </si>
  <si>
    <t xml:space="preserve">攻撃 魔力 速度 命中 </t>
    <rPh sb="0" eb="2">
      <t>コウゲキ</t>
    </rPh>
    <rPh sb="3" eb="5">
      <t>マリョク</t>
    </rPh>
    <rPh sb="6" eb="8">
      <t>ソクド</t>
    </rPh>
    <rPh sb="9" eb="11">
      <t>メイチュウ</t>
    </rPh>
    <phoneticPr fontId="2"/>
  </si>
  <si>
    <t>皮×3、布×2</t>
  </si>
  <si>
    <t xml:space="preserve">HP ST 攻撃 防御 体幹 怯み 疲労 </t>
    <rPh sb="6" eb="8">
      <t>コウゲキ</t>
    </rPh>
    <rPh sb="9" eb="11">
      <t>ボウギョ</t>
    </rPh>
    <rPh sb="12" eb="14">
      <t>タイカン</t>
    </rPh>
    <rPh sb="15" eb="16">
      <t>ヒル</t>
    </rPh>
    <rPh sb="18" eb="20">
      <t>ヒロウ</t>
    </rPh>
    <phoneticPr fontId="2"/>
  </si>
  <si>
    <t>鉱石×4、皮×2</t>
  </si>
  <si>
    <t>素手</t>
    <rPh sb="0" eb="2">
      <t>スデ</t>
    </rPh>
    <phoneticPr fontId="2"/>
  </si>
  <si>
    <t>布×4、糸×3</t>
  </si>
  <si>
    <t xml:space="preserve">防御 隠密 </t>
    <rPh sb="0" eb="2">
      <t>ボウギョ</t>
    </rPh>
    <rPh sb="3" eb="5">
      <t>オンミツ</t>
    </rPh>
    <phoneticPr fontId="2"/>
  </si>
  <si>
    <t>鉱石×2、ガラス×2</t>
  </si>
  <si>
    <t>命中,速度,盲目,幻覚,感知,鑑定</t>
    <rPh sb="0" eb="2">
      <t>メイチュウ</t>
    </rPh>
    <rPh sb="3" eb="5">
      <t>ソクド</t>
    </rPh>
    <rPh sb="6" eb="8">
      <t>モウモク</t>
    </rPh>
    <rPh sb="9" eb="11">
      <t>ゲンカク</t>
    </rPh>
    <rPh sb="12" eb="14">
      <t>カンチ</t>
    </rPh>
    <rPh sb="15" eb="17">
      <t>カンテイ</t>
    </rPh>
    <phoneticPr fontId="2"/>
  </si>
  <si>
    <t>鉱石×4、皮×2、魔石×1</t>
  </si>
  <si>
    <t>肉体</t>
    <rPh sb="0" eb="2">
      <t>ニクタイ</t>
    </rPh>
    <phoneticPr fontId="2"/>
  </si>
  <si>
    <t>腕</t>
    <rPh sb="0" eb="1">
      <t>ウデ</t>
    </rPh>
    <phoneticPr fontId="2"/>
  </si>
  <si>
    <t>アームコア</t>
  </si>
  <si>
    <t>腕核</t>
    <rPh sb="0" eb="1">
      <t>ウデ</t>
    </rPh>
    <rPh sb="1" eb="2">
      <t>カク</t>
    </rPh>
    <phoneticPr fontId="7"/>
  </si>
  <si>
    <t>鉱石×5、鱗×3、魔石×2</t>
  </si>
  <si>
    <t>体</t>
    <rPh sb="0" eb="1">
      <t>カラダ</t>
    </rPh>
    <phoneticPr fontId="2"/>
  </si>
  <si>
    <t>メインコア</t>
  </si>
  <si>
    <t>核</t>
    <rPh sb="0" eb="1">
      <t>カク</t>
    </rPh>
    <phoneticPr fontId="7"/>
  </si>
  <si>
    <t>鉱石×3、糸×2、魔石×2</t>
  </si>
  <si>
    <t>頭</t>
    <rPh sb="0" eb="1">
      <t>アタマ</t>
    </rPh>
    <phoneticPr fontId="2"/>
  </si>
  <si>
    <t>スタートコア</t>
  </si>
  <si>
    <t>起動核</t>
    <rPh sb="0" eb="2">
      <t>キドウ</t>
    </rPh>
    <rPh sb="2" eb="3">
      <t>カク</t>
    </rPh>
    <phoneticPr fontId="7"/>
  </si>
  <si>
    <t>皮×4、布×3</t>
  </si>
  <si>
    <t>速度 隠密 軽業 体幹</t>
    <rPh sb="0" eb="2">
      <t>ソクド</t>
    </rPh>
    <rPh sb="3" eb="5">
      <t>オンミツ</t>
    </rPh>
    <rPh sb="6" eb="8">
      <t>カルワザ</t>
    </rPh>
    <rPh sb="9" eb="11">
      <t>タイカン</t>
    </rPh>
    <phoneticPr fontId="2"/>
  </si>
  <si>
    <t>足</t>
    <rPh sb="0" eb="1">
      <t>アシ</t>
    </rPh>
    <phoneticPr fontId="2"/>
  </si>
  <si>
    <t>ブーツ</t>
  </si>
  <si>
    <t>布×5、糸×4</t>
  </si>
  <si>
    <t>HP 物理 魔法 体幹 出血 疲労 Cr</t>
    <rPh sb="3" eb="5">
      <t>ブツリ</t>
    </rPh>
    <rPh sb="6" eb="8">
      <t>マホウ</t>
    </rPh>
    <rPh sb="12" eb="14">
      <t>シュッケツ</t>
    </rPh>
    <rPh sb="15" eb="17">
      <t>ヒロウ</t>
    </rPh>
    <phoneticPr fontId="2"/>
  </si>
  <si>
    <t>ローブ</t>
  </si>
  <si>
    <t>クロース</t>
  </si>
  <si>
    <t>布×4、皮×3</t>
  </si>
  <si>
    <t>ベスト</t>
  </si>
  <si>
    <t>鉱石×6、鱗×4</t>
  </si>
  <si>
    <t>アーマー</t>
  </si>
  <si>
    <t>マスク</t>
  </si>
  <si>
    <t>仮面</t>
  </si>
  <si>
    <t>鉱石×3、皮×2</t>
  </si>
  <si>
    <t>バイザー</t>
  </si>
  <si>
    <t>面頬</t>
    <phoneticPr fontId="2"/>
  </si>
  <si>
    <t>サークレット</t>
  </si>
  <si>
    <t>冠</t>
  </si>
  <si>
    <t>起動核</t>
  </si>
  <si>
    <t>鉱石×4、皮×3</t>
  </si>
  <si>
    <t>ヘルム</t>
  </si>
  <si>
    <t>兜</t>
    <phoneticPr fontId="2"/>
  </si>
  <si>
    <t>腕核</t>
  </si>
  <si>
    <t>バイザーヘルム</t>
    <phoneticPr fontId="2"/>
  </si>
  <si>
    <t>面兜</t>
    <phoneticPr fontId="2"/>
  </si>
  <si>
    <t>核</t>
  </si>
  <si>
    <t>脚輪</t>
  </si>
  <si>
    <t>脚鎧</t>
  </si>
  <si>
    <t>木材×3、鉱石×2</t>
  </si>
  <si>
    <t>楽器</t>
    <rPh sb="0" eb="2">
      <t>ガッキ</t>
    </rPh>
    <phoneticPr fontId="2"/>
  </si>
  <si>
    <t>フルート</t>
  </si>
  <si>
    <t>笛</t>
    <rPh sb="0" eb="1">
      <t>フエ</t>
    </rPh>
    <phoneticPr fontId="2"/>
  </si>
  <si>
    <t>腰鎧</t>
  </si>
  <si>
    <t>木材×4、糸×3</t>
  </si>
  <si>
    <t>ハープ</t>
  </si>
  <si>
    <t>竪琴</t>
    <rPh sb="0" eb="2">
      <t>タテゴト</t>
    </rPh>
    <phoneticPr fontId="2"/>
  </si>
  <si>
    <t>馬乗袴</t>
  </si>
  <si>
    <t>武器</t>
    <rPh sb="0" eb="2">
      <t>ブキ</t>
    </rPh>
    <phoneticPr fontId="2"/>
  </si>
  <si>
    <t>サウンドスティック</t>
  </si>
  <si>
    <t>鳴り鉢</t>
    <rPh sb="0" eb="1">
      <t>ナ</t>
    </rPh>
    <rPh sb="2" eb="3">
      <t>バチ</t>
    </rPh>
    <phoneticPr fontId="2"/>
  </si>
  <si>
    <t>鉱石×3、木材×3、糸×2</t>
  </si>
  <si>
    <t>フルートブレード</t>
  </si>
  <si>
    <t>笛剣</t>
    <rPh sb="0" eb="1">
      <t>フエ</t>
    </rPh>
    <rPh sb="1" eb="2">
      <t>ケン</t>
    </rPh>
    <phoneticPr fontId="2"/>
  </si>
  <si>
    <t>腕輪</t>
  </si>
  <si>
    <t>木材×3、糸×4</t>
  </si>
  <si>
    <t>弦鳴弓。音を利用した特殊な弓で、遠距離攻撃に特化。</t>
  </si>
  <si>
    <t>弓</t>
    <rPh sb="0" eb="1">
      <t>ユミ</t>
    </rPh>
    <phoneticPr fontId="2"/>
  </si>
  <si>
    <t>ハープボウ</t>
  </si>
  <si>
    <t>弦鳴弓</t>
    <rPh sb="2" eb="3">
      <t>ユミ</t>
    </rPh>
    <phoneticPr fontId="2"/>
  </si>
  <si>
    <t>手鎧</t>
  </si>
  <si>
    <t>腕鎧</t>
  </si>
  <si>
    <t>鉱石×5、木材×4</t>
  </si>
  <si>
    <t>銃</t>
    <rPh sb="0" eb="1">
      <t>ジュウ</t>
    </rPh>
    <phoneticPr fontId="2"/>
  </si>
  <si>
    <t>マスケットロングガン</t>
  </si>
  <si>
    <t>滑腔式長銃</t>
  </si>
  <si>
    <t>肌着</t>
  </si>
  <si>
    <t>鉱石×4、木材×3</t>
  </si>
  <si>
    <t>マスケットガン</t>
  </si>
  <si>
    <t>滑腔式銃</t>
  </si>
  <si>
    <t>羽織</t>
  </si>
  <si>
    <t>鉱石×6、糸×5</t>
  </si>
  <si>
    <t>ガトリング</t>
  </si>
  <si>
    <t>機関銃</t>
    <rPh sb="0" eb="3">
      <t>キカンジュウ</t>
    </rPh>
    <phoneticPr fontId="7"/>
  </si>
  <si>
    <t>ショットガン</t>
  </si>
  <si>
    <t>散弾銃</t>
  </si>
  <si>
    <t>胴着</t>
  </si>
  <si>
    <t>鉱石×5、糸×4</t>
  </si>
  <si>
    <t>スナイパー</t>
  </si>
  <si>
    <t>狙撃銃</t>
  </si>
  <si>
    <t>マシンガン</t>
  </si>
  <si>
    <t>軽機関銃</t>
    <rPh sb="0" eb="1">
      <t>カル</t>
    </rPh>
    <phoneticPr fontId="7"/>
  </si>
  <si>
    <t>首飾り</t>
  </si>
  <si>
    <t>アサルトライフル</t>
  </si>
  <si>
    <t>突撃銃</t>
  </si>
  <si>
    <t>鉱石×4、糸×3</t>
  </si>
  <si>
    <t>サブマシンガン</t>
  </si>
  <si>
    <t>短機関銃</t>
  </si>
  <si>
    <t>覆面</t>
  </si>
  <si>
    <t>ロングガン</t>
  </si>
  <si>
    <t>長銃</t>
  </si>
  <si>
    <t>頭飾り</t>
  </si>
  <si>
    <t>ハンドガン</t>
  </si>
  <si>
    <t>頭</t>
  </si>
  <si>
    <t>鉱石×4、糸×2</t>
  </si>
  <si>
    <t>リボルバー</t>
  </si>
  <si>
    <t>鉱石×6、木材×4</t>
  </si>
  <si>
    <t>A</t>
    <phoneticPr fontId="2"/>
  </si>
  <si>
    <t>キャノン</t>
  </si>
  <si>
    <t>大砲</t>
    <rPh sb="0" eb="2">
      <t>タイホウ</t>
    </rPh>
    <phoneticPr fontId="2"/>
  </si>
  <si>
    <t>木材×4、糸×4</t>
  </si>
  <si>
    <t>ヘビィクロスボウ</t>
  </si>
  <si>
    <t>重射出弓</t>
  </si>
  <si>
    <t>雷棒</t>
  </si>
  <si>
    <t>クロスボウ</t>
  </si>
  <si>
    <t>電動鋸刃</t>
  </si>
  <si>
    <t>木材×3、糸×3</t>
  </si>
  <si>
    <t>Q</t>
    <phoneticPr fontId="2"/>
  </si>
  <si>
    <t>ライトクロスボウ</t>
  </si>
  <si>
    <t>ハンドクロスボウ</t>
    <phoneticPr fontId="2"/>
  </si>
  <si>
    <t>手射出弓</t>
  </si>
  <si>
    <t>糸×3、布×3</t>
  </si>
  <si>
    <t>本。魔法を強化する特殊な武器。</t>
  </si>
  <si>
    <t>魔法強化</t>
    <rPh sb="0" eb="2">
      <t>マホウ</t>
    </rPh>
    <rPh sb="2" eb="4">
      <t>キョウカ</t>
    </rPh>
    <phoneticPr fontId="2"/>
  </si>
  <si>
    <t>本</t>
    <rPh sb="0" eb="1">
      <t>ホン</t>
    </rPh>
    <phoneticPr fontId="2"/>
  </si>
  <si>
    <t>ブック</t>
  </si>
  <si>
    <t>機関銃</t>
  </si>
  <si>
    <t>長杖。強力な魔法を扱える杖だが、重い。</t>
  </si>
  <si>
    <t>魔法無詠唱Ⅲ</t>
    <rPh sb="0" eb="2">
      <t>マホウ</t>
    </rPh>
    <rPh sb="2" eb="5">
      <t>ムエイショウ</t>
    </rPh>
    <phoneticPr fontId="2"/>
  </si>
  <si>
    <t>杖</t>
    <rPh sb="0" eb="1">
      <t>ツエ</t>
    </rPh>
    <phoneticPr fontId="2"/>
  </si>
  <si>
    <t>スタッフ</t>
  </si>
  <si>
    <t>杖。バランスの取れた魔法武器。</t>
  </si>
  <si>
    <t>魔法無詠唱Ⅱ</t>
    <rPh sb="0" eb="2">
      <t>マホウ</t>
    </rPh>
    <rPh sb="2" eb="5">
      <t>ムエイショウ</t>
    </rPh>
    <phoneticPr fontId="2"/>
  </si>
  <si>
    <t>ロッド</t>
  </si>
  <si>
    <t>木材×2、糸×2</t>
  </si>
  <si>
    <t>短杖。魔法を使うのに適した軽量な杖。</t>
  </si>
  <si>
    <t>魔法無詠唱Ⅰ</t>
    <rPh sb="0" eb="2">
      <t>マホウ</t>
    </rPh>
    <rPh sb="2" eb="5">
      <t>ムエイショウ</t>
    </rPh>
    <phoneticPr fontId="2"/>
  </si>
  <si>
    <t>ワンド</t>
  </si>
  <si>
    <t>短杖</t>
  </si>
  <si>
    <t>軽機関銃</t>
  </si>
  <si>
    <t>回転式拳銃</t>
  </si>
  <si>
    <t>鉱石×5、鱗×4</t>
  </si>
  <si>
    <t>塔盾。最大の防御範囲を持つが、重さが欠点。</t>
  </si>
  <si>
    <t>片手適正Ⅰ</t>
    <rPh sb="0" eb="2">
      <t>カタテ</t>
    </rPh>
    <rPh sb="2" eb="4">
      <t>テキセイ</t>
    </rPh>
    <phoneticPr fontId="2"/>
  </si>
  <si>
    <t>盾</t>
    <rPh sb="0" eb="1">
      <t>タテ</t>
    </rPh>
    <phoneticPr fontId="2"/>
  </si>
  <si>
    <t>タワーシールド</t>
  </si>
  <si>
    <t>塔盾</t>
  </si>
  <si>
    <t>棘盾。防御と攻撃を兼ね備えた特殊な盾。</t>
  </si>
  <si>
    <t>スパイクシールド</t>
  </si>
  <si>
    <t>棘盾</t>
    <rPh sb="0" eb="1">
      <t>トゲ</t>
    </rPh>
    <phoneticPr fontId="2"/>
  </si>
  <si>
    <t>大盾。さらに大きな盾で、高い防御力を持つ。</t>
  </si>
  <si>
    <t>ラージシールド</t>
  </si>
  <si>
    <t>投擲石</t>
  </si>
  <si>
    <t>木材×4、鱗×3</t>
  </si>
  <si>
    <t>丸大盾。防御範囲が広く、投擲も可能。</t>
  </si>
  <si>
    <t>投擲強化,片手適正Ⅰ</t>
    <phoneticPr fontId="2"/>
  </si>
  <si>
    <t>ラウンドシールド</t>
  </si>
  <si>
    <t>木材×4、鉱石×3</t>
  </si>
  <si>
    <t>盾。防御力が高く、汎用性がある防具。</t>
  </si>
  <si>
    <t>片手適性Ⅱ</t>
    <rPh sb="0" eb="4">
      <t>カタテテキ</t>
    </rPh>
    <phoneticPr fontId="2"/>
  </si>
  <si>
    <t>シールド</t>
  </si>
  <si>
    <t>木材×4、鉱石×3</t>
    <phoneticPr fontId="2"/>
  </si>
  <si>
    <t>丸盾。軽量で投擲にも使える盾。</t>
  </si>
  <si>
    <t>投擲強化,片手適性Ⅱ</t>
    <rPh sb="5" eb="9">
      <t>カタテテキ</t>
    </rPh>
    <phoneticPr fontId="2"/>
  </si>
  <si>
    <t>バックラー</t>
  </si>
  <si>
    <t>長弓。射程が長く、高い威力を持つ。</t>
    <phoneticPr fontId="2"/>
  </si>
  <si>
    <t>ロングボウ</t>
  </si>
  <si>
    <t>短弓。軽量で扱いやすい遠距離武器。</t>
    <rPh sb="11" eb="16">
      <t>エンキョリブキ</t>
    </rPh>
    <phoneticPr fontId="2"/>
  </si>
  <si>
    <t>ボウ</t>
    <phoneticPr fontId="2"/>
  </si>
  <si>
    <t>長弓。射程が長く、高い威力を持つ。</t>
  </si>
  <si>
    <t>短弓。軽量で扱いやすく、近距離戦に適する。</t>
  </si>
  <si>
    <t>ショートボウ</t>
  </si>
  <si>
    <t>投矢</t>
  </si>
  <si>
    <t>糸×4、皮×3</t>
  </si>
  <si>
    <t>超長鞭。非常に長いリーチを持ち、扱いが難しい。</t>
  </si>
  <si>
    <t>ハードロングウィップ</t>
  </si>
  <si>
    <t>超長鞭</t>
  </si>
  <si>
    <t>糸×3、皮×3</t>
  </si>
  <si>
    <t>長鞭。さらにリーチが長く、多様な戦闘スタイルに対応。</t>
  </si>
  <si>
    <t>ロングウィップ</t>
  </si>
  <si>
    <t>長鞭</t>
  </si>
  <si>
    <t>糸×3、皮×2</t>
  </si>
  <si>
    <t>鞭。リーチが長く、敵を絡め取る戦闘に適する。</t>
  </si>
  <si>
    <t>ウィップ</t>
  </si>
  <si>
    <t>大斧。巨大な斧で、高威力だが扱いが難しい。</t>
  </si>
  <si>
    <t>グレートアックス</t>
  </si>
  <si>
    <t>大斧</t>
  </si>
  <si>
    <t>丸大盾</t>
  </si>
  <si>
    <t>鉱石×4、鱗×3</t>
  </si>
  <si>
    <t>戦斧。攻撃力が高く、重いが信頼性がある武器。</t>
  </si>
  <si>
    <t>バトルアックス</t>
  </si>
  <si>
    <t>斧。斬撃に特化した攻撃的な武器。</t>
  </si>
  <si>
    <t>アックス</t>
  </si>
  <si>
    <t>斧</t>
  </si>
  <si>
    <t>破壊籠手</t>
  </si>
  <si>
    <t>大鎌。大きなリーチを持ち、高威力の斬撃が可能。</t>
  </si>
  <si>
    <t>サイズ</t>
  </si>
  <si>
    <t>大鎌</t>
  </si>
  <si>
    <t>木材×3、鉱石×3</t>
  </si>
  <si>
    <t>鎌。農具を転用した武器で、鋭い斬撃を与える。</t>
  </si>
  <si>
    <t>シックル</t>
  </si>
  <si>
    <t>鉱石×5、鱗×3</t>
  </si>
  <si>
    <t>戦鎚。重い打撃を与える強力な武器。</t>
  </si>
  <si>
    <t>ウォーハンマー</t>
  </si>
  <si>
    <t>鎚。打撃力に優れ、投擲にも対応。</t>
  </si>
  <si>
    <t>投擲強化</t>
    <phoneticPr fontId="2"/>
  </si>
  <si>
    <t>ハンマー</t>
  </si>
  <si>
    <t>刺突戦鎚。刺突と打撃を兼ね備えた武器。</t>
  </si>
  <si>
    <t>ウォーピック</t>
  </si>
  <si>
    <t>刺突戦鎚</t>
  </si>
  <si>
    <t>鉱石×3、木材×3</t>
  </si>
  <si>
    <t>鶴嘴。登山用具だが、刺突武器としても有効。</t>
  </si>
  <si>
    <t>ピッケル</t>
  </si>
  <si>
    <t>鶴嘴</t>
  </si>
  <si>
    <t>戦棍棒。重い打撃力を持つ戦闘用武器。</t>
  </si>
  <si>
    <t>ポールメイス</t>
  </si>
  <si>
    <t>戦棍棒</t>
    <rPh sb="2" eb="3">
      <t>ボウ</t>
    </rPh>
    <phoneticPr fontId="2"/>
  </si>
  <si>
    <t>全力時の威力が高い。 クリティカル率が低い。 クリティカル威力が高い。 回避性能にペナルティがある。 命中性能にペナルティがある。 貫通に優れる。</t>
  </si>
  <si>
    <t>戦棒。長いリーチを持つ打撃武器。</t>
  </si>
  <si>
    <t>バトルポール</t>
  </si>
  <si>
    <t>戦棒</t>
    <rPh sb="0" eb="1">
      <t>セン</t>
    </rPh>
    <phoneticPr fontId="2"/>
  </si>
  <si>
    <t>全力時の威力が高い。 クリティカル率が低い。 クリティカル威力が高い。 貫通に優れる。</t>
  </si>
  <si>
    <t>棘棍。打撃と刺突を兼ね備えた武器。</t>
  </si>
  <si>
    <t>モーニングスター</t>
  </si>
  <si>
    <t>全力時の威力が高い。 クリティカル率が低い。 回避性能にペナルティがある。 命中性能にペナルティがある。 打撃に優れる。</t>
  </si>
  <si>
    <t>戦棍。打撃に優れた武器。Cr率が高い</t>
    <rPh sb="14" eb="15">
      <t>リツ</t>
    </rPh>
    <rPh sb="16" eb="17">
      <t>タカ</t>
    </rPh>
    <phoneticPr fontId="2"/>
  </si>
  <si>
    <t>ビックメイス</t>
    <phoneticPr fontId="2"/>
  </si>
  <si>
    <t>メイス</t>
  </si>
  <si>
    <t>全力時の威力が高い。 クリティカル威力が低い。 回避性能にペナルティがある。 命中性能にペナルティがある。 貫通と打撃に優れている。</t>
  </si>
  <si>
    <t>戦棒</t>
  </si>
  <si>
    <t>木材×3、皮×2</t>
  </si>
  <si>
    <t>棍棒。打撃に特化したシンプルな武器。</t>
  </si>
  <si>
    <t>片手適性Ⅰ</t>
    <rPh sb="0" eb="2">
      <t>カタテ</t>
    </rPh>
    <rPh sb="2" eb="4">
      <t>テキセイ</t>
    </rPh>
    <phoneticPr fontId="2"/>
  </si>
  <si>
    <t>クラブ</t>
  </si>
  <si>
    <t>全力時の威力が高い。 クリティカル率が高い。 クリティカル威力が低い。 打撃に優れる。</t>
  </si>
  <si>
    <t>戦棍。甲冑を貫通する打撃に優れた武器。</t>
  </si>
  <si>
    <t>三叉槍。三本の刃を持つ特殊な槍。</t>
  </si>
  <si>
    <t>投擲強化</t>
  </si>
  <si>
    <t>トライデント</t>
  </si>
  <si>
    <t>三叉槍</t>
  </si>
  <si>
    <t>グレートクラブ</t>
  </si>
  <si>
    <t>大棍棒。重く破壊力があるが、扱いが難しい。</t>
  </si>
  <si>
    <t>大棍棒</t>
  </si>
  <si>
    <t>剣槍。剣のように扱える槍で、近接戦闘にも対応。</t>
  </si>
  <si>
    <t>ソードスピア</t>
  </si>
  <si>
    <t>剣槍</t>
  </si>
  <si>
    <t>全力時の威力が高い。 クリティカル率が低い。 打撃に優れる。</t>
  </si>
  <si>
    <t>木材×4、鉱石×4</t>
  </si>
  <si>
    <t>薙刀。リーチが長く、斬撃と刺突のバランスが取れた武器。</t>
  </si>
  <si>
    <t>グレイブ</t>
  </si>
  <si>
    <t>薙刀</t>
    <rPh sb="0" eb="2">
      <t>ナギナタ</t>
    </rPh>
    <phoneticPr fontId="7"/>
  </si>
  <si>
    <t>クリティカル率が高い。 回避性能にペナルティがある。 命中性能にペナルティがある。 貫通に優れる。</t>
  </si>
  <si>
    <t>斧槍。全力時に威力が高く斬撃と突撃の両方に対応できる武器。</t>
    <rPh sb="3" eb="5">
      <t>ゼンリョク</t>
    </rPh>
    <rPh sb="5" eb="6">
      <t>ジ</t>
    </rPh>
    <rPh sb="7" eb="9">
      <t>イリョク</t>
    </rPh>
    <rPh sb="10" eb="11">
      <t>タカ</t>
    </rPh>
    <phoneticPr fontId="2"/>
  </si>
  <si>
    <t>ハルバート</t>
  </si>
  <si>
    <t>全力時の威力が高い。 回避性能にペナルティがある。 命中性能にペナルティがある。 切断と貫通に優れている。</t>
  </si>
  <si>
    <t>薙刀</t>
  </si>
  <si>
    <t>騎士槍。突撃に特化した武器で、高い攻撃力を誇る。</t>
  </si>
  <si>
    <t>突撃強化</t>
    <rPh sb="0" eb="2">
      <t>トツゲキ</t>
    </rPh>
    <rPh sb="2" eb="4">
      <t>キョウカ</t>
    </rPh>
    <phoneticPr fontId="2"/>
  </si>
  <si>
    <t>ランス</t>
  </si>
  <si>
    <t>全力時の威力が高い。 クリティカル威力が高い。 回避性能にペナルティがある。 命中性能にペナルティがある。 切断に優れる。</t>
  </si>
  <si>
    <t>長槍。さらにリーチが長い槍で、攻撃範囲が広い。</t>
  </si>
  <si>
    <t>ロングスピア</t>
  </si>
  <si>
    <t>長槍</t>
  </si>
  <si>
    <t>全力時の威力が高い。 バランスが良い性能を持つ。</t>
  </si>
  <si>
    <t>斧槍。斬撃と突撃の両方に対応できる武器。</t>
  </si>
  <si>
    <t>木材×3、鉱石×4</t>
  </si>
  <si>
    <t>槍。リーチが長く、刺突に優れる武器。</t>
  </si>
  <si>
    <t>スピア</t>
  </si>
  <si>
    <t>木材×2、鉱石×3</t>
  </si>
  <si>
    <t>短槍。短く扱いやすい槍で、投擲にも対応。</t>
  </si>
  <si>
    <t>ショートスピア</t>
  </si>
  <si>
    <t>全力時の威力が高い。 回避性能にペナルティがある。 命中性能にペナルティがある。 貫通に優れる。</t>
  </si>
  <si>
    <t>医療刃。医師が用いる刃物だが、戦闘にも使用可能。</t>
  </si>
  <si>
    <t>片手適正Ⅱ</t>
    <phoneticPr fontId="2"/>
  </si>
  <si>
    <t>メス</t>
  </si>
  <si>
    <t>医療刃</t>
  </si>
  <si>
    <t>全力時の威力が高い。 回避性能にペナルティがある。 貫通に優れる。</t>
  </si>
  <si>
    <t>鉈。片手で使うことができ、全力時の威力とCr率が高い。</t>
    <rPh sb="22" eb="23">
      <t>リツ</t>
    </rPh>
    <phoneticPr fontId="2"/>
  </si>
  <si>
    <t>ククリ</t>
  </si>
  <si>
    <t>鉈</t>
  </si>
  <si>
    <t>貫通に優れる。</t>
  </si>
  <si>
    <t>山刀。片手で使うことができ、全力時の威力とCr威力が高い。</t>
    <rPh sb="3" eb="5">
      <t>カタテ</t>
    </rPh>
    <rPh sb="6" eb="7">
      <t>ツカ</t>
    </rPh>
    <rPh sb="14" eb="16">
      <t>ゼンリョク</t>
    </rPh>
    <rPh sb="16" eb="17">
      <t>ジ</t>
    </rPh>
    <rPh sb="18" eb="20">
      <t>イリョク</t>
    </rPh>
    <rPh sb="23" eb="25">
      <t>イリョク</t>
    </rPh>
    <rPh sb="26" eb="27">
      <t>タカ</t>
    </rPh>
    <phoneticPr fontId="2"/>
  </si>
  <si>
    <t>マチェット</t>
  </si>
  <si>
    <t>山刀</t>
  </si>
  <si>
    <t>クリティカル率が高い。 クリティカル威力が低い。 切断と貫通に優れている。</t>
  </si>
  <si>
    <t>全力時の威力が高い。 クリティカル率が高い。 回避性能にペナルティがある。 切断に優れる。</t>
  </si>
  <si>
    <t>鉈。中型の刀で、斬撃に優れる。</t>
  </si>
  <si>
    <t>刺剣。小型で精密な攻撃が可能な武器。</t>
    <phoneticPr fontId="2"/>
  </si>
  <si>
    <t>スティレット</t>
  </si>
  <si>
    <t>全力時の威力が高い。 クリティカル威力が高い。 切断に優れる。</t>
  </si>
  <si>
    <t>山刀。軽量で扱いやすく、斬撃力が高い。</t>
  </si>
  <si>
    <t>細剣。刺突に優れた武器でCr率が高い</t>
    <rPh sb="14" eb="15">
      <t>リツ</t>
    </rPh>
    <rPh sb="16" eb="17">
      <t>タカ</t>
    </rPh>
    <phoneticPr fontId="2"/>
  </si>
  <si>
    <t>レイピア</t>
  </si>
  <si>
    <t>全力時の威力が高い。 貫通に優れる。</t>
  </si>
  <si>
    <t>刺剣。小型で精密な攻撃が可能な武器。</t>
  </si>
  <si>
    <t>大剣。非常に重いが威力が突出して高い武器。大きい分ガードにも向いている</t>
    <rPh sb="9" eb="11">
      <t>イリョク</t>
    </rPh>
    <rPh sb="12" eb="14">
      <t>トッシュツ</t>
    </rPh>
    <rPh sb="21" eb="22">
      <t>オオ</t>
    </rPh>
    <rPh sb="24" eb="25">
      <t>ブン</t>
    </rPh>
    <rPh sb="30" eb="31">
      <t>ム</t>
    </rPh>
    <phoneticPr fontId="2"/>
  </si>
  <si>
    <t>バスターソード</t>
  </si>
  <si>
    <t>クリティカル率が高い。 クリティカル威力が低い。 切断に優れる。</t>
  </si>
  <si>
    <t>細剣。刺突に優れた軽量な武器で、俊敏な戦闘スタイルに適する。</t>
  </si>
  <si>
    <t>長剣。長く重い分扱いにくいが威力が高い。</t>
    <rPh sb="3" eb="4">
      <t>ナガ</t>
    </rPh>
    <rPh sb="5" eb="6">
      <t>オモ</t>
    </rPh>
    <rPh sb="7" eb="8">
      <t>ブン</t>
    </rPh>
    <rPh sb="8" eb="9">
      <t>アツカ</t>
    </rPh>
    <rPh sb="14" eb="16">
      <t>イリョク</t>
    </rPh>
    <rPh sb="17" eb="18">
      <t>タカ</t>
    </rPh>
    <phoneticPr fontId="2"/>
  </si>
  <si>
    <t>ロングソード</t>
  </si>
  <si>
    <t>全力時の威力が高い。 回避性能にペナルティがある。 命中性能にペナルティがある。 切断に優れる。</t>
  </si>
  <si>
    <t>大剣。非常に重いが攻撃力が高い武器。</t>
  </si>
  <si>
    <t>幅の広い剣。扱いにくいが攻撃と防御にも優れている。状況に合わせて立ち回ろう。</t>
    <rPh sb="0" eb="1">
      <t>ハバ</t>
    </rPh>
    <rPh sb="2" eb="3">
      <t>ヒロ</t>
    </rPh>
    <rPh sb="4" eb="5">
      <t>ケン</t>
    </rPh>
    <rPh sb="6" eb="7">
      <t>アツカ</t>
    </rPh>
    <rPh sb="19" eb="20">
      <t>スグ</t>
    </rPh>
    <rPh sb="25" eb="27">
      <t>ジョウキョウ</t>
    </rPh>
    <rPh sb="28" eb="29">
      <t>ア</t>
    </rPh>
    <rPh sb="32" eb="33">
      <t>タ</t>
    </rPh>
    <rPh sb="34" eb="35">
      <t>マワ</t>
    </rPh>
    <phoneticPr fontId="2"/>
  </si>
  <si>
    <t>ブロードソード</t>
  </si>
  <si>
    <t>長剣。広剣よりリーチが長く、扱いに熟練が必要。</t>
  </si>
  <si>
    <t>剣。短い剣で片手で扱いやすく、初心者向けの武器。</t>
    <phoneticPr fontId="2"/>
  </si>
  <si>
    <t>ソード</t>
    <phoneticPr fontId="2"/>
  </si>
  <si>
    <t>広剣。標準的な剣で、攻撃と防御のバランスが良い。</t>
  </si>
  <si>
    <t>皮×2、鉱石×3</t>
  </si>
  <si>
    <t>短剣。軽量で扱いやすい暗殺用の武器。</t>
  </si>
  <si>
    <t>暗殺強化,片手適正Ⅱ</t>
    <rPh sb="0" eb="2">
      <t>アンサツ</t>
    </rPh>
    <rPh sb="2" eb="4">
      <t>キョウカ</t>
    </rPh>
    <phoneticPr fontId="2"/>
  </si>
  <si>
    <t>ダガー</t>
  </si>
  <si>
    <t>短剣</t>
  </si>
  <si>
    <t>切断に優れる。</t>
  </si>
  <si>
    <t>ショートソード</t>
  </si>
  <si>
    <t>剣。短い剣で片手で扱いやすく、初心者向けの武器。</t>
  </si>
  <si>
    <t>切断と貫通に優れている。</t>
  </si>
  <si>
    <t>斬馬刀</t>
  </si>
  <si>
    <t>木材×4、鉱石×5</t>
  </si>
  <si>
    <t>斬馬刀。重く巨大な刀で、攻撃力は高いが動きが鈍くなる。</t>
    <rPh sb="9" eb="10">
      <t>カタナ</t>
    </rPh>
    <phoneticPr fontId="2"/>
  </si>
  <si>
    <t>ザンバトウ</t>
  </si>
  <si>
    <t>斬馬刀。重く巨大な武器で、攻撃力は高いが動きが鈍くなる。</t>
  </si>
  <si>
    <t>太刀</t>
  </si>
  <si>
    <t>太刀。刀より長く、威力とCr威力が高いが重く使いにくい。</t>
    <rPh sb="9" eb="11">
      <t>イリョク</t>
    </rPh>
    <rPh sb="17" eb="18">
      <t>タカ</t>
    </rPh>
    <rPh sb="20" eb="21">
      <t>オモ</t>
    </rPh>
    <rPh sb="22" eb="23">
      <t>ツカ</t>
    </rPh>
    <phoneticPr fontId="2"/>
  </si>
  <si>
    <t>タチ</t>
  </si>
  <si>
    <t>太刀。刀より長く、大きな攻撃力を誇るが操作がやや難しい。</t>
  </si>
  <si>
    <t>刀。切断力に優れた武器で、Cr威力が高い</t>
    <phoneticPr fontId="2"/>
  </si>
  <si>
    <t>カタナ</t>
  </si>
  <si>
    <t>刀。切断力に優れた武器で、使い手次第で強力なダメージを与えられる。</t>
  </si>
  <si>
    <t>小太刀</t>
  </si>
  <si>
    <t>皮×2、木材×3</t>
  </si>
  <si>
    <t>小太刀。片手で扱いやすいバランスの取れた剣。切断とCr威力が高い</t>
    <rPh sb="22" eb="24">
      <t>セツダン</t>
    </rPh>
    <phoneticPr fontId="2"/>
  </si>
  <si>
    <t>コダチ</t>
  </si>
  <si>
    <t>クリティカル威力が高い。 切断に優れる。</t>
  </si>
  <si>
    <t>小太刀。片手で扱いやすいバランスの取れた剣。</t>
  </si>
  <si>
    <t>忍者刀</t>
  </si>
  <si>
    <t>皮×3、糸×3</t>
  </si>
  <si>
    <t>忍者刀。忍者が用いる軽量な剣で、貫通とCr威力が高い。</t>
    <phoneticPr fontId="2"/>
  </si>
  <si>
    <t>ニンジャソード</t>
  </si>
  <si>
    <t>クリティカル威力が高い。 貫通に優れる。</t>
  </si>
  <si>
    <t>忍者刀。忍者が用いる軽量な剣で、高い回避性能を持つ。</t>
  </si>
  <si>
    <t>苦無</t>
  </si>
  <si>
    <t>皮×2、糸×2</t>
  </si>
  <si>
    <t>苦無。投擲向きの武器で、暗殺や遠距離攻撃に有効。Cr威力が高い</t>
    <rPh sb="5" eb="6">
      <t>ム</t>
    </rPh>
    <phoneticPr fontId="2"/>
  </si>
  <si>
    <t>暗殺強化,投擲強化,片手適正Ⅱ</t>
    <rPh sb="5" eb="7">
      <t>トウテキ</t>
    </rPh>
    <rPh sb="7" eb="9">
      <t>キョウカ</t>
    </rPh>
    <phoneticPr fontId="2"/>
  </si>
  <si>
    <t>クナイ</t>
  </si>
  <si>
    <t>苦無。投擲可能な武器で、暗殺や遠距離攻撃に有効。</t>
  </si>
  <si>
    <t>脇差</t>
  </si>
  <si>
    <t>皮×2、鉱石×4</t>
  </si>
  <si>
    <t>脇差。軽く扱いやすい片手用の武器。Cr威力が高い</t>
    <phoneticPr fontId="2"/>
  </si>
  <si>
    <t>片手適正Ⅱ</t>
    <rPh sb="0" eb="2">
      <t>カタテ</t>
    </rPh>
    <rPh sb="2" eb="4">
      <t>テキセイ</t>
    </rPh>
    <phoneticPr fontId="2"/>
  </si>
  <si>
    <t>ワキザシ</t>
  </si>
  <si>
    <t>脇差。軽く扱いやすい片手用の武器。</t>
  </si>
  <si>
    <t>ワキザシ</t>
    <phoneticPr fontId="2"/>
  </si>
  <si>
    <t>短刀。暗殺向けの武器で、軽量かつ片手操作に適する。Cr威力が高い</t>
    <rPh sb="27" eb="29">
      <t>イリョク</t>
    </rPh>
    <rPh sb="30" eb="31">
      <t>タカ</t>
    </rPh>
    <phoneticPr fontId="2"/>
  </si>
  <si>
    <t>ナイフ</t>
  </si>
  <si>
    <t>短刀。暗殺向けの武器で、軽量かつ片手操作に適する。</t>
  </si>
  <si>
    <t>特徴</t>
  </si>
  <si>
    <t>武器名</t>
  </si>
  <si>
    <t>説明</t>
  </si>
  <si>
    <t>軽装*1,中装*3,重装*5</t>
  </si>
  <si>
    <t>鉱石</t>
  </si>
  <si>
    <t>合計</t>
    <rPh sb="0" eb="2">
      <t>ゴウケイ</t>
    </rPh>
    <phoneticPr fontId="2"/>
  </si>
  <si>
    <t>全力</t>
    <rPh sb="0" eb="2">
      <t>ゼンリョク</t>
    </rPh>
    <phoneticPr fontId="2"/>
  </si>
  <si>
    <t>基礎値</t>
    <rPh sb="0" eb="3">
      <t>キソチ</t>
    </rPh>
    <phoneticPr fontId="2"/>
  </si>
  <si>
    <t>計算</t>
    <rPh sb="0" eb="2">
      <t>ケイサン</t>
    </rPh>
    <phoneticPr fontId="2"/>
  </si>
  <si>
    <t>サブ素材</t>
    <rPh sb="2" eb="4">
      <t>ソザイ</t>
    </rPh>
    <phoneticPr fontId="2"/>
  </si>
  <si>
    <t>最低ダメージ</t>
  </si>
  <si>
    <t>呪いを帯びた骨。武器に使用すると攻撃に呪い効果が追加され、防具に使用すると呪い耐性が強化される。</t>
  </si>
  <si>
    <t>骨</t>
  </si>
  <si>
    <t>呪い耐性強化</t>
  </si>
  <si>
    <t>呪い強化</t>
  </si>
  <si>
    <t>呪い</t>
  </si>
  <si>
    <t>カースドボーン</t>
  </si>
  <si>
    <t>呪骨</t>
  </si>
  <si>
    <t>幻覚の力を持つ素材。武器に使用すると攻撃に幻覚を誘発し、防具に使用すると幻覚耐性が強化される。</t>
  </si>
  <si>
    <t>幻覚付加</t>
  </si>
  <si>
    <t>幻覚</t>
  </si>
  <si>
    <t>ミラージュボーン</t>
  </si>
  <si>
    <t>幻骨</t>
  </si>
  <si>
    <t>特殊な暗闇効果を持つ骨。武器に使用すると攻撃に暗闇効果が追加され、防具に使用すると盲目耐性が付加される。</t>
  </si>
  <si>
    <t>暗闇付加</t>
  </si>
  <si>
    <t>盲目</t>
  </si>
  <si>
    <t>ブラインドボーン</t>
  </si>
  <si>
    <t>盲目の骨</t>
  </si>
  <si>
    <t>不死者の骨。武器に使用すると不死者への打撃が強化され、防具に使用すると悪への耐性が付加される。</t>
  </si>
  <si>
    <t>悪耐性強化</t>
  </si>
  <si>
    <t>不死打撃</t>
  </si>
  <si>
    <t>悪</t>
  </si>
  <si>
    <t>ゴーストボーン</t>
  </si>
  <si>
    <t>亡者骨</t>
  </si>
  <si>
    <t>竜の骨から作られた素材。竜に対する攻撃力が高まり、竜からの攻撃を軽減する効果を持つ。</t>
  </si>
  <si>
    <t>竜耐性強化</t>
  </si>
  <si>
    <t>竜撃強化</t>
  </si>
  <si>
    <t>古の力</t>
  </si>
  <si>
    <t>金額</t>
  </si>
  <si>
    <t>防具能力</t>
  </si>
  <si>
    <t>武器能力</t>
  </si>
  <si>
    <t>属性値</t>
  </si>
  <si>
    <t>属性</t>
  </si>
  <si>
    <t>重さ</t>
  </si>
  <si>
    <t>Lv</t>
  </si>
  <si>
    <t>3. 骨（ボーン）素材例</t>
  </si>
  <si>
    <t>月光を浴びて育った木材で、闇の力に影響されやすい。武器に使用すると攻撃に闇属性が付加され、防具に使用すると闇耐性が強化される。</t>
  </si>
  <si>
    <t>木材</t>
  </si>
  <si>
    <t>闇耐性強化</t>
  </si>
  <si>
    <t>闇の刃</t>
  </si>
  <si>
    <t>闇</t>
  </si>
  <si>
    <t>ムーンシャドーウッド</t>
  </si>
  <si>
    <t>月影木</t>
  </si>
  <si>
    <t>精神的なエネルギーを吸収する木材。武器に使用すると精神的耐性が上昇、防具に使用すると精神耐性がさらに強化される。</t>
  </si>
  <si>
    <t>精神耐性強化</t>
  </si>
  <si>
    <t>スピリットウッド</t>
  </si>
  <si>
    <t>亡霊樹</t>
  </si>
  <si>
    <t>神聖な力を持つ木材。武器として使用すると善属性が付加され、防具に使用すると呪いへの耐性が強化される。</t>
  </si>
  <si>
    <t>正の加護</t>
  </si>
  <si>
    <t>善</t>
  </si>
  <si>
    <t>セイクリッドウッド</t>
  </si>
  <si>
    <t>聖木</t>
  </si>
  <si>
    <t>雷を引き寄せる性質がある木材。武器に使用すると電撃属性を付加し、防具に使用すると雷耐性が強化される。</t>
  </si>
  <si>
    <t>電撃耐性</t>
  </si>
  <si>
    <t>電撃効果</t>
  </si>
  <si>
    <t>雷</t>
  </si>
  <si>
    <t>サンダーウッド</t>
  </si>
  <si>
    <t>雷樹</t>
  </si>
  <si>
    <t>音を増幅させる性質を持つ木材。武器に使用すると音波効果を付加し、防具に使用すると音耐性が強化される。</t>
  </si>
  <si>
    <t>音波増幅</t>
  </si>
  <si>
    <t>音</t>
  </si>
  <si>
    <t>ソニックウッド</t>
  </si>
  <si>
    <t>音響樹</t>
  </si>
  <si>
    <t>ブラックウッドコア</t>
    <phoneticPr fontId="2"/>
  </si>
  <si>
    <t>黒の芯木</t>
    <rPh sb="0" eb="1">
      <t>クロ</t>
    </rPh>
    <rPh sb="2" eb="3">
      <t>シン</t>
    </rPh>
    <rPh sb="3" eb="4">
      <t>キ</t>
    </rPh>
    <phoneticPr fontId="2"/>
  </si>
  <si>
    <t>ブラックウッド</t>
    <phoneticPr fontId="2"/>
  </si>
  <si>
    <t>黒の木</t>
    <rPh sb="0" eb="1">
      <t>クロ</t>
    </rPh>
    <rPh sb="2" eb="3">
      <t>キ</t>
    </rPh>
    <phoneticPr fontId="2"/>
  </si>
  <si>
    <t>一般的な木材。金属より軽いが少し脆い</t>
    <rPh sb="0" eb="3">
      <t>イッパンテキ</t>
    </rPh>
    <rPh sb="7" eb="9">
      <t>キンゾク</t>
    </rPh>
    <rPh sb="11" eb="12">
      <t>カル</t>
    </rPh>
    <rPh sb="14" eb="15">
      <t>スコ</t>
    </rPh>
    <rPh sb="16" eb="17">
      <t>モロ</t>
    </rPh>
    <phoneticPr fontId="2"/>
  </si>
  <si>
    <t>ウッド</t>
    <phoneticPr fontId="2"/>
  </si>
  <si>
    <t>物理</t>
    <rPh sb="0" eb="2">
      <t>ブツリ</t>
    </rPh>
    <phoneticPr fontId="2"/>
  </si>
  <si>
    <t>2. 木材（ウッド）素材例</t>
  </si>
  <si>
    <t>酸性の体液を持つドラゴン型生物から採取される鱗素材。特殊な酸属性耐性を提供し、毒性や腐食性のある環境に適した防具の製作に適しています。</t>
  </si>
  <si>
    <t>鱗</t>
  </si>
  <si>
    <t>アシッドドレイクスケール</t>
  </si>
  <si>
    <t>酸蜥蜴の鱗</t>
  </si>
  <si>
    <t>雷属性を持つドラゴン型生物から採取される鱗素材。雷属性攻撃への耐性を強化し、武器の電撃効果を高めることも可能です。</t>
  </si>
  <si>
    <t>サンダードレイクスケール</t>
  </si>
  <si>
    <t>氷属性を持つドラゴン型生物から採取される鱗素材。極寒の環境や冷気攻撃への対策として優れた性能を発揮します。</t>
  </si>
  <si>
    <t>氷</t>
  </si>
  <si>
    <t>アイスドレイクスケール</t>
  </si>
  <si>
    <t>炎属性を持つドラゴン型生物から採取される鱗素材。強力な炎属性防御を備えており、耐熱性が求められる場面で特に有用です。</t>
  </si>
  <si>
    <t>炎</t>
  </si>
  <si>
    <t>ファイアドレイクスケール</t>
  </si>
  <si>
    <t>魔力を帯びた特殊な皮素材。魔法防御や属性耐性を強化する効果があり、高レベルの冒険者に重宝されます。</t>
  </si>
  <si>
    <t>皮</t>
  </si>
  <si>
    <t>魔法</t>
  </si>
  <si>
    <t>マジックレザー</t>
  </si>
  <si>
    <t>高品質な加工を施した軽量の皮素材。軽量化により動きやすさを確保しつつ、適度な防御力を提供します。</t>
  </si>
  <si>
    <t>ライトレザー</t>
  </si>
  <si>
    <t>野生動物から得られる丈夫な皮素材。皮装備の性能を向上させ、基本的な防護性能を備えています。</t>
  </si>
  <si>
    <t>ビーストレザー</t>
  </si>
  <si>
    <t>獣皮</t>
  </si>
  <si>
    <t>一般的な皮素材で、防具や軽量装備の材料として最適です。耐久性は高くありませんが、軽量で扱いやすい点が特徴です。</t>
  </si>
  <si>
    <t>レザー</t>
  </si>
  <si>
    <t>物理</t>
  </si>
  <si>
    <t>ブラックメタル</t>
    <phoneticPr fontId="2"/>
  </si>
  <si>
    <t>黒鋼</t>
    <phoneticPr fontId="2"/>
  </si>
  <si>
    <t>魔法</t>
    <rPh sb="0" eb="2">
      <t>マホウ</t>
    </rPh>
    <phoneticPr fontId="2"/>
  </si>
  <si>
    <t>ゴールドメタル</t>
    <phoneticPr fontId="2"/>
  </si>
  <si>
    <t>シルバーメタル</t>
    <phoneticPr fontId="2"/>
  </si>
  <si>
    <t>アダマンタイト</t>
    <phoneticPr fontId="2"/>
  </si>
  <si>
    <t>オリハルコン</t>
    <phoneticPr fontId="2"/>
  </si>
  <si>
    <t>ミスリル</t>
    <phoneticPr fontId="2"/>
  </si>
  <si>
    <t>銀鉄</t>
    <phoneticPr fontId="2"/>
  </si>
  <si>
    <t>水晶</t>
    <rPh sb="0" eb="2">
      <t>スイショウ</t>
    </rPh>
    <phoneticPr fontId="2"/>
  </si>
  <si>
    <t>武器透明化</t>
    <rPh sb="0" eb="2">
      <t>ブキ</t>
    </rPh>
    <rPh sb="2" eb="5">
      <t>トウメイカ</t>
    </rPh>
    <phoneticPr fontId="2"/>
  </si>
  <si>
    <t>光</t>
    <phoneticPr fontId="2"/>
  </si>
  <si>
    <t>クリスタル</t>
    <phoneticPr fontId="2"/>
  </si>
  <si>
    <t>明細水晶</t>
    <rPh sb="0" eb="2">
      <t>メイサイ</t>
    </rPh>
    <rPh sb="2" eb="4">
      <t>スイショウ</t>
    </rPh>
    <phoneticPr fontId="2"/>
  </si>
  <si>
    <t>悪</t>
    <phoneticPr fontId="2"/>
  </si>
  <si>
    <t>エルスタリン</t>
  </si>
  <si>
    <t>悪の鉄</t>
  </si>
  <si>
    <t>善</t>
    <phoneticPr fontId="2"/>
  </si>
  <si>
    <t>フリスタリン</t>
  </si>
  <si>
    <t>善の鉄</t>
  </si>
  <si>
    <t>セレン</t>
  </si>
  <si>
    <t>幽鉄</t>
  </si>
  <si>
    <t>クリスタルスティール</t>
  </si>
  <si>
    <t>水晶鉄</t>
  </si>
  <si>
    <t>ネロスティール</t>
  </si>
  <si>
    <t>滅鉄柱</t>
  </si>
  <si>
    <t>炎</t>
    <rPh sb="0" eb="1">
      <t>ホノオ</t>
    </rPh>
    <phoneticPr fontId="2"/>
  </si>
  <si>
    <t>ヒートスティール</t>
  </si>
  <si>
    <t>氷</t>
    <rPh sb="0" eb="1">
      <t>コオリ</t>
    </rPh>
    <phoneticPr fontId="2"/>
  </si>
  <si>
    <t>ドゥララン</t>
  </si>
  <si>
    <t>雷</t>
    <rPh sb="0" eb="1">
      <t>イカズチ</t>
    </rPh>
    <phoneticPr fontId="2"/>
  </si>
  <si>
    <t>深い水晶開放</t>
  </si>
  <si>
    <t>ディープクリスタル</t>
  </si>
  <si>
    <t>深い水晶</t>
  </si>
  <si>
    <t>鍛えられた鉄。硬度が高く安価なためよく使用される。</t>
    <rPh sb="0" eb="1">
      <t>キタ</t>
    </rPh>
    <rPh sb="5" eb="6">
      <t>テツ</t>
    </rPh>
    <rPh sb="7" eb="9">
      <t>コウド</t>
    </rPh>
    <rPh sb="10" eb="11">
      <t>タカ</t>
    </rPh>
    <rPh sb="12" eb="14">
      <t>アンカ</t>
    </rPh>
    <rPh sb="19" eb="21">
      <t>シヨウ</t>
    </rPh>
    <phoneticPr fontId="2"/>
  </si>
  <si>
    <t>スチール</t>
  </si>
  <si>
    <t>鋼</t>
  </si>
  <si>
    <t>一般的な鉄。量産品を作るのに使用されることが多い</t>
    <rPh sb="0" eb="3">
      <t>イッパンテキ</t>
    </rPh>
    <rPh sb="4" eb="5">
      <t>テツ</t>
    </rPh>
    <rPh sb="6" eb="9">
      <t>リョウサンヒン</t>
    </rPh>
    <rPh sb="10" eb="11">
      <t>ツク</t>
    </rPh>
    <rPh sb="14" eb="16">
      <t>シヨウ</t>
    </rPh>
    <rPh sb="22" eb="23">
      <t>オオ</t>
    </rPh>
    <phoneticPr fontId="2"/>
  </si>
  <si>
    <t>鉱石</t>
    <rPh sb="0" eb="2">
      <t>コウセキ</t>
    </rPh>
    <phoneticPr fontId="2"/>
  </si>
  <si>
    <t>アイアン</t>
    <phoneticPr fontId="2"/>
  </si>
  <si>
    <t>最高位の魔法文字を書くのに使用される。貴金属では最も高価値</t>
    <rPh sb="0" eb="3">
      <t>サイコウイ</t>
    </rPh>
    <rPh sb="4" eb="8">
      <t>マホウモジ</t>
    </rPh>
    <rPh sb="9" eb="10">
      <t>カ</t>
    </rPh>
    <rPh sb="13" eb="15">
      <t>シヨウ</t>
    </rPh>
    <rPh sb="19" eb="22">
      <t>キキンゾク</t>
    </rPh>
    <rPh sb="24" eb="25">
      <t>モット</t>
    </rPh>
    <rPh sb="26" eb="29">
      <t>コウカチ</t>
    </rPh>
    <phoneticPr fontId="2"/>
  </si>
  <si>
    <t>プラチナ</t>
  </si>
  <si>
    <t>白金</t>
  </si>
  <si>
    <t>魔法文字を書くのに使用させる。金銭的価値が非常に高い</t>
    <rPh sb="0" eb="2">
      <t>マホウ</t>
    </rPh>
    <rPh sb="2" eb="4">
      <t>モジ</t>
    </rPh>
    <rPh sb="5" eb="6">
      <t>カ</t>
    </rPh>
    <rPh sb="9" eb="11">
      <t>シヨウ</t>
    </rPh>
    <rPh sb="15" eb="18">
      <t>キンセンテキ</t>
    </rPh>
    <rPh sb="18" eb="20">
      <t>カチ</t>
    </rPh>
    <rPh sb="21" eb="23">
      <t>ヒジョウ</t>
    </rPh>
    <rPh sb="24" eb="25">
      <t>タカ</t>
    </rPh>
    <phoneticPr fontId="2"/>
  </si>
  <si>
    <t>ゴールド</t>
  </si>
  <si>
    <t>金</t>
  </si>
  <si>
    <t>魔道具を作るのに使用される。価値はそれなり</t>
    <rPh sb="0" eb="3">
      <t>マドウグ</t>
    </rPh>
    <rPh sb="4" eb="5">
      <t>ツク</t>
    </rPh>
    <rPh sb="8" eb="10">
      <t>シヨウ</t>
    </rPh>
    <rPh sb="14" eb="16">
      <t>カチ</t>
    </rPh>
    <phoneticPr fontId="2"/>
  </si>
  <si>
    <t>シルバー</t>
  </si>
  <si>
    <t>銀</t>
  </si>
  <si>
    <t>低価値、利用頻度は高くよく取れる</t>
    <rPh sb="0" eb="3">
      <t>テイカチ</t>
    </rPh>
    <rPh sb="4" eb="8">
      <t>リヨウヒンド</t>
    </rPh>
    <rPh sb="9" eb="10">
      <t>タカ</t>
    </rPh>
    <rPh sb="13" eb="14">
      <t>ト</t>
    </rPh>
    <phoneticPr fontId="2"/>
  </si>
  <si>
    <t>カッパー</t>
  </si>
  <si>
    <t>銅</t>
  </si>
  <si>
    <t>鉱石鱗木材骨皮布糸
宝石液体</t>
    <phoneticPr fontId="2"/>
  </si>
  <si>
    <t>体装備のときだけ付与</t>
    <rPh sb="0" eb="1">
      <t>カラダ</t>
    </rPh>
    <rPh sb="1" eb="3">
      <t>ソウビ</t>
    </rPh>
    <rPh sb="8" eb="10">
      <t>フヨ</t>
    </rPh>
    <phoneticPr fontId="2"/>
  </si>
  <si>
    <t>一定より大きい武器にしたときのみ付与</t>
    <rPh sb="0" eb="2">
      <t>イッテイ</t>
    </rPh>
    <rPh sb="4" eb="5">
      <t>オオ</t>
    </rPh>
    <rPh sb="7" eb="9">
      <t>ブキ</t>
    </rPh>
    <rPh sb="16" eb="18">
      <t>フヨ</t>
    </rPh>
    <phoneticPr fontId="2"/>
  </si>
  <si>
    <t>元金額</t>
    <rPh sb="0" eb="1">
      <t>モト</t>
    </rPh>
    <rPh sb="1" eb="3">
      <t>キンガク</t>
    </rPh>
    <phoneticPr fontId="2"/>
  </si>
  <si>
    <t>防具能力</t>
    <rPh sb="0" eb="2">
      <t>ボウグ</t>
    </rPh>
    <rPh sb="2" eb="4">
      <t>ノウリョク</t>
    </rPh>
    <phoneticPr fontId="2"/>
  </si>
  <si>
    <t>武器能力</t>
    <rPh sb="0" eb="2">
      <t>ブキ</t>
    </rPh>
    <rPh sb="2" eb="4">
      <t>ノウリョク</t>
    </rPh>
    <phoneticPr fontId="2"/>
  </si>
  <si>
    <t>Cr威力</t>
    <rPh sb="2" eb="4">
      <t>イリョク</t>
    </rPh>
    <phoneticPr fontId="2"/>
  </si>
  <si>
    <t>Cr率</t>
    <rPh sb="2" eb="3">
      <t>リツ</t>
    </rPh>
    <phoneticPr fontId="2"/>
  </si>
  <si>
    <t>英名</t>
    <rPh sb="0" eb="2">
      <t>エイメイ</t>
    </rPh>
    <phoneticPr fontId="2"/>
  </si>
  <si>
    <t>名前</t>
    <rPh sb="0" eb="2">
      <t>ナマエ</t>
    </rPh>
    <phoneticPr fontId="2"/>
  </si>
  <si>
    <t>耐酸の外套</t>
  </si>
  <si>
    <t>耐雷の外套</t>
  </si>
  <si>
    <t>耐氷の外套</t>
  </si>
  <si>
    <t>耐炎の外套</t>
  </si>
  <si>
    <t>影の外套</t>
  </si>
  <si>
    <t>熱鉄の靴</t>
  </si>
  <si>
    <t>魔獣皮の胴衣</t>
  </si>
  <si>
    <t>魔獣皮の鎧</t>
  </si>
  <si>
    <t>魔獣皮の法衣</t>
  </si>
  <si>
    <t>魔獣皮の衣布</t>
  </si>
  <si>
    <t>熱鉄の胴衣</t>
  </si>
  <si>
    <t>熱鉄の鎧</t>
  </si>
  <si>
    <t>熱鉄の兜</t>
  </si>
  <si>
    <t>熱鉄の盾</t>
  </si>
  <si>
    <t>熱鉄の短弓</t>
    <rPh sb="3" eb="4">
      <t>タン</t>
    </rPh>
    <rPh sb="4" eb="5">
      <t>ユミ</t>
    </rPh>
    <phoneticPr fontId="2"/>
  </si>
  <si>
    <t>熱鉄の棍棒</t>
  </si>
  <si>
    <t>熱鉄の槍</t>
  </si>
  <si>
    <t>熱鉄の剣</t>
  </si>
  <si>
    <t>熱鉄の短刀</t>
  </si>
  <si>
    <t>鋼の靴</t>
  </si>
  <si>
    <t>鋼の胴衣</t>
  </si>
  <si>
    <t>鋼の鎧</t>
  </si>
  <si>
    <t>鋼の兜</t>
  </si>
  <si>
    <t>鋼の面兜</t>
    <phoneticPr fontId="2"/>
  </si>
  <si>
    <t>鋼の棘棍</t>
  </si>
  <si>
    <t>鋼の戦棍</t>
  </si>
  <si>
    <t>鋼の槍</t>
  </si>
  <si>
    <t>鋼の細剣</t>
  </si>
  <si>
    <t>鋼の長剣</t>
  </si>
  <si>
    <t>鋼の広剣</t>
  </si>
  <si>
    <t>鋼の剣</t>
  </si>
  <si>
    <t>鋼の短刀</t>
  </si>
  <si>
    <t>熊の帯</t>
  </si>
  <si>
    <t>獅子の帯</t>
  </si>
  <si>
    <t>大樹の帯</t>
  </si>
  <si>
    <t>猪の帯</t>
  </si>
  <si>
    <t>蟻の帯</t>
  </si>
  <si>
    <t>樹の帯</t>
    <phoneticPr fontId="2"/>
  </si>
  <si>
    <t>鉄の靴</t>
  </si>
  <si>
    <t>獣皮の胴衣</t>
  </si>
  <si>
    <t>獣皮の鎧</t>
  </si>
  <si>
    <t>獣皮の法衣</t>
  </si>
  <si>
    <t>獣皮の衣布</t>
  </si>
  <si>
    <t>皮の胴衣</t>
  </si>
  <si>
    <t>皮の鎧</t>
  </si>
  <si>
    <t>皮の法衣</t>
  </si>
  <si>
    <t>皮の衣布</t>
  </si>
  <si>
    <t>鉄の胴衣</t>
  </si>
  <si>
    <t>鉄の鎧</t>
  </si>
  <si>
    <t>鉄の兜</t>
  </si>
  <si>
    <t>鉄の盾</t>
  </si>
  <si>
    <t>鉄の短弓</t>
    <rPh sb="2" eb="3">
      <t>タン</t>
    </rPh>
    <rPh sb="3" eb="4">
      <t>ユミ</t>
    </rPh>
    <phoneticPr fontId="2"/>
  </si>
  <si>
    <t>鉄の棍棒</t>
  </si>
  <si>
    <t>鉄の槍</t>
  </si>
  <si>
    <t>鉄の剣</t>
  </si>
  <si>
    <t>鉄の短刀</t>
  </si>
  <si>
    <t>商品46</t>
    <rPh sb="0" eb="2">
      <t>ショウヒン</t>
    </rPh>
    <phoneticPr fontId="2"/>
  </si>
  <si>
    <t>商品45</t>
    <rPh sb="0" eb="2">
      <t>ショウヒン</t>
    </rPh>
    <phoneticPr fontId="2"/>
  </si>
  <si>
    <t>商品44</t>
    <rPh sb="0" eb="2">
      <t>ショウヒン</t>
    </rPh>
    <phoneticPr fontId="2"/>
  </si>
  <si>
    <t>商品43</t>
    <rPh sb="0" eb="2">
      <t>ショウヒン</t>
    </rPh>
    <phoneticPr fontId="2"/>
  </si>
  <si>
    <t>商品42</t>
    <rPh sb="0" eb="2">
      <t>ショウヒン</t>
    </rPh>
    <phoneticPr fontId="2"/>
  </si>
  <si>
    <t>商品41</t>
    <rPh sb="0" eb="2">
      <t>ショウヒン</t>
    </rPh>
    <phoneticPr fontId="2"/>
  </si>
  <si>
    <t>商品40</t>
    <rPh sb="0" eb="2">
      <t>ショウヒン</t>
    </rPh>
    <phoneticPr fontId="2"/>
  </si>
  <si>
    <t>商品39</t>
    <rPh sb="0" eb="2">
      <t>ショウヒン</t>
    </rPh>
    <phoneticPr fontId="2"/>
  </si>
  <si>
    <t>商品38</t>
    <rPh sb="0" eb="2">
      <t>ショウヒン</t>
    </rPh>
    <phoneticPr fontId="2"/>
  </si>
  <si>
    <t>商品37</t>
    <rPh sb="0" eb="2">
      <t>ショウヒン</t>
    </rPh>
    <phoneticPr fontId="2"/>
  </si>
  <si>
    <t>商品36</t>
    <rPh sb="0" eb="2">
      <t>ショウヒン</t>
    </rPh>
    <phoneticPr fontId="2"/>
  </si>
  <si>
    <t>商品35</t>
    <rPh sb="0" eb="2">
      <t>ショウヒン</t>
    </rPh>
    <phoneticPr fontId="2"/>
  </si>
  <si>
    <t>商品34</t>
    <rPh sb="0" eb="2">
      <t>ショウヒン</t>
    </rPh>
    <phoneticPr fontId="2"/>
  </si>
  <si>
    <t>商品33</t>
    <rPh sb="0" eb="2">
      <t>ショウヒン</t>
    </rPh>
    <phoneticPr fontId="2"/>
  </si>
  <si>
    <t>商品32</t>
    <rPh sb="0" eb="2">
      <t>ショウヒン</t>
    </rPh>
    <phoneticPr fontId="2"/>
  </si>
  <si>
    <t>商品31</t>
    <rPh sb="0" eb="2">
      <t>ショウヒン</t>
    </rPh>
    <phoneticPr fontId="2"/>
  </si>
  <si>
    <t>商品30</t>
    <rPh sb="0" eb="2">
      <t>ショウヒン</t>
    </rPh>
    <phoneticPr fontId="2"/>
  </si>
  <si>
    <t>商品29</t>
    <rPh sb="0" eb="2">
      <t>ショウヒン</t>
    </rPh>
    <phoneticPr fontId="2"/>
  </si>
  <si>
    <t>商品28</t>
    <rPh sb="0" eb="2">
      <t>ショウヒン</t>
    </rPh>
    <phoneticPr fontId="2"/>
  </si>
  <si>
    <t>商品27</t>
    <rPh sb="0" eb="2">
      <t>ショウヒン</t>
    </rPh>
    <phoneticPr fontId="2"/>
  </si>
  <si>
    <t>商品26</t>
    <rPh sb="0" eb="2">
      <t>ショウヒン</t>
    </rPh>
    <phoneticPr fontId="2"/>
  </si>
  <si>
    <t>商品25</t>
    <rPh sb="0" eb="2">
      <t>ショウヒン</t>
    </rPh>
    <phoneticPr fontId="2"/>
  </si>
  <si>
    <t>商品24</t>
    <rPh sb="0" eb="2">
      <t>ショウヒン</t>
    </rPh>
    <phoneticPr fontId="2"/>
  </si>
  <si>
    <t>商品23</t>
    <rPh sb="0" eb="2">
      <t>ショウヒン</t>
    </rPh>
    <phoneticPr fontId="2"/>
  </si>
  <si>
    <t>商品22</t>
    <rPh sb="0" eb="2">
      <t>ショウヒン</t>
    </rPh>
    <phoneticPr fontId="2"/>
  </si>
  <si>
    <t>商品21</t>
    <rPh sb="0" eb="2">
      <t>ショウヒン</t>
    </rPh>
    <phoneticPr fontId="2"/>
  </si>
  <si>
    <t>商品20</t>
    <rPh sb="0" eb="2">
      <t>ショウヒン</t>
    </rPh>
    <phoneticPr fontId="2"/>
  </si>
  <si>
    <t>商品19</t>
    <rPh sb="0" eb="2">
      <t>ショウヒン</t>
    </rPh>
    <phoneticPr fontId="2"/>
  </si>
  <si>
    <t>商品18</t>
    <rPh sb="0" eb="2">
      <t>ショウヒン</t>
    </rPh>
    <phoneticPr fontId="2"/>
  </si>
  <si>
    <t>商品17</t>
    <rPh sb="0" eb="2">
      <t>ショウヒン</t>
    </rPh>
    <phoneticPr fontId="2"/>
  </si>
  <si>
    <t>商品16</t>
    <rPh sb="0" eb="2">
      <t>ショウヒン</t>
    </rPh>
    <phoneticPr fontId="2"/>
  </si>
  <si>
    <t>商品15</t>
    <rPh sb="0" eb="2">
      <t>ショウヒン</t>
    </rPh>
    <phoneticPr fontId="2"/>
  </si>
  <si>
    <t>商品14</t>
    <rPh sb="0" eb="2">
      <t>ショウヒン</t>
    </rPh>
    <phoneticPr fontId="2"/>
  </si>
  <si>
    <t>商品13</t>
    <rPh sb="0" eb="2">
      <t>ショウヒン</t>
    </rPh>
    <phoneticPr fontId="2"/>
  </si>
  <si>
    <t>商品12</t>
    <rPh sb="0" eb="2">
      <t>ショウヒン</t>
    </rPh>
    <phoneticPr fontId="2"/>
  </si>
  <si>
    <t>商品11</t>
    <rPh sb="0" eb="2">
      <t>ショウヒン</t>
    </rPh>
    <phoneticPr fontId="2"/>
  </si>
  <si>
    <t>商品10</t>
    <rPh sb="0" eb="2">
      <t>ショウヒン</t>
    </rPh>
    <phoneticPr fontId="2"/>
  </si>
  <si>
    <t>商品9</t>
    <rPh sb="0" eb="2">
      <t>ショウヒン</t>
    </rPh>
    <phoneticPr fontId="2"/>
  </si>
  <si>
    <t>商品8</t>
    <rPh sb="0" eb="2">
      <t>ショウヒン</t>
    </rPh>
    <phoneticPr fontId="2"/>
  </si>
  <si>
    <t>商品7</t>
    <rPh sb="0" eb="2">
      <t>ショウヒン</t>
    </rPh>
    <phoneticPr fontId="2"/>
  </si>
  <si>
    <t>商品6</t>
    <rPh sb="0" eb="2">
      <t>ショウヒン</t>
    </rPh>
    <phoneticPr fontId="2"/>
  </si>
  <si>
    <t>商品5</t>
    <rPh sb="0" eb="2">
      <t>ショウヒン</t>
    </rPh>
    <phoneticPr fontId="2"/>
  </si>
  <si>
    <t>商品4</t>
    <rPh sb="0" eb="2">
      <t>ショウヒン</t>
    </rPh>
    <phoneticPr fontId="2"/>
  </si>
  <si>
    <t>商品3</t>
    <rPh sb="0" eb="2">
      <t>ショウヒン</t>
    </rPh>
    <phoneticPr fontId="2"/>
  </si>
  <si>
    <t>商品2</t>
    <rPh sb="0" eb="2">
      <t>ショウヒン</t>
    </rPh>
    <phoneticPr fontId="2"/>
  </si>
  <si>
    <t>商品1</t>
    <rPh sb="0" eb="2">
      <t>ショウヒン</t>
    </rPh>
    <phoneticPr fontId="2"/>
  </si>
  <si>
    <t>ルビ</t>
    <phoneticPr fontId="2"/>
  </si>
  <si>
    <t>店名</t>
    <rPh sb="0" eb="2">
      <t>テンメイ</t>
    </rPh>
    <phoneticPr fontId="2"/>
  </si>
  <si>
    <t>レア武器や防具、特別な効果の付与。</t>
  </si>
  <si>
    <t>星鉄、隕石の欠片</t>
  </si>
  <si>
    <t>特殊</t>
  </si>
  <si>
    <t>ポーション、魔法武器、属性強化。</t>
  </si>
  <si>
    <t>魔獣の血、特殊な溶液</t>
  </si>
  <si>
    <t>液体</t>
  </si>
  <si>
    <t>属性付与、魔法強化、特殊装備。</t>
  </si>
  <si>
    <t>魔石、エメラルド</t>
  </si>
  <si>
    <t>弦、軽装防具、魔法アイテム。</t>
  </si>
  <si>
    <t>魔力繊維、蜘蛛の糸</t>
  </si>
  <si>
    <t>糸</t>
  </si>
  <si>
    <t>軽装防具、バッグ、補助アイテム。</t>
  </si>
  <si>
    <t>普通の布、魔法織布</t>
  </si>
  <si>
    <t>布</t>
  </si>
  <si>
    <t>軽装防具、グリップ、補強材。</t>
  </si>
  <si>
    <t>普通の皮、硬革、魔獣の皮</t>
  </si>
  <si>
    <t>軽量武器、特殊防具、装飾品。</t>
  </si>
  <si>
    <t>魔獣の骨、大型獣の牙</t>
  </si>
  <si>
    <t>棒系武器、弓、軽量武器の素材。</t>
  </si>
  <si>
    <t>アイアンウッド、フレイムウッド</t>
    <phoneticPr fontId="2"/>
  </si>
  <si>
    <t>重装防具、耐久性の高い防具。</t>
  </si>
  <si>
    <t>ドラゴンの鱗、水生生物の鱗</t>
  </si>
  <si>
    <t>武器や防具の基本素材。</t>
  </si>
  <si>
    <t>鉄鉱石、銀鉱石、魔石</t>
  </si>
  <si>
    <t>使用例</t>
    <rPh sb="0" eb="2">
      <t>シヨウ</t>
    </rPh>
    <rPh sb="2" eb="3">
      <t>レイ</t>
    </rPh>
    <phoneticPr fontId="2"/>
  </si>
  <si>
    <t>速度ペナルティ</t>
    <rPh sb="0" eb="2">
      <t>ソクド</t>
    </rPh>
    <phoneticPr fontId="2"/>
  </si>
  <si>
    <t>打撃補正</t>
    <rPh sb="0" eb="2">
      <t>ダゲキ</t>
    </rPh>
    <rPh sb="2" eb="4">
      <t>ホセイ</t>
    </rPh>
    <phoneticPr fontId="2"/>
  </si>
  <si>
    <t>貫通補正</t>
    <rPh sb="0" eb="2">
      <t>カンツウ</t>
    </rPh>
    <rPh sb="2" eb="4">
      <t>ホセイ</t>
    </rPh>
    <phoneticPr fontId="2"/>
  </si>
  <si>
    <t>切断補正</t>
    <rPh sb="0" eb="2">
      <t>セツダン</t>
    </rPh>
    <rPh sb="2" eb="4">
      <t>ホセイ</t>
    </rPh>
    <phoneticPr fontId="2"/>
  </si>
  <si>
    <t>力核</t>
    <rPh sb="0" eb="1">
      <t>リキ</t>
    </rPh>
    <rPh sb="1" eb="2">
      <t>カク</t>
    </rPh>
    <phoneticPr fontId="2"/>
  </si>
  <si>
    <t>パワーコア</t>
    <phoneticPr fontId="2"/>
  </si>
  <si>
    <t>一部の生物が持つ、肉体の核となる部分</t>
    <rPh sb="0" eb="2">
      <t>イチブ</t>
    </rPh>
    <rPh sb="3" eb="5">
      <t>セイブツ</t>
    </rPh>
    <rPh sb="6" eb="7">
      <t>モ</t>
    </rPh>
    <rPh sb="9" eb="11">
      <t>ニクタイ</t>
    </rPh>
    <rPh sb="12" eb="13">
      <t>カク</t>
    </rPh>
    <rPh sb="16" eb="18">
      <t>ブブン</t>
    </rPh>
    <phoneticPr fontId="2"/>
  </si>
  <si>
    <t>真柱核</t>
    <rPh sb="0" eb="2">
      <t>シンチュウ</t>
    </rPh>
    <rPh sb="2" eb="3">
      <t>カク</t>
    </rPh>
    <phoneticPr fontId="2"/>
  </si>
  <si>
    <t>休憩</t>
    <rPh sb="0" eb="2">
      <t>キュウケイ</t>
    </rPh>
    <phoneticPr fontId="2"/>
  </si>
  <si>
    <t>簡易拠点Ⅱ</t>
    <rPh sb="0" eb="2">
      <t>カンイ</t>
    </rPh>
    <rPh sb="2" eb="4">
      <t>キョテン</t>
    </rPh>
    <phoneticPr fontId="2"/>
  </si>
  <si>
    <t>簡易拠点Ⅲ</t>
    <rPh sb="0" eb="2">
      <t>カンイ</t>
    </rPh>
    <rPh sb="2" eb="4">
      <t>キョテン</t>
    </rPh>
    <phoneticPr fontId="2"/>
  </si>
  <si>
    <t>インスタント・ベースⅡ</t>
    <phoneticPr fontId="2"/>
  </si>
  <si>
    <t>インスタント・ベースⅢ</t>
    <phoneticPr fontId="2"/>
  </si>
  <si>
    <t>死霊の骨</t>
    <rPh sb="0" eb="2">
      <t>シリョウ</t>
    </rPh>
    <phoneticPr fontId="8"/>
  </si>
  <si>
    <t>毒の牙</t>
  </si>
  <si>
    <t>鋭利な爪</t>
  </si>
  <si>
    <t>ボーン</t>
    <phoneticPr fontId="2"/>
  </si>
  <si>
    <t>負</t>
    <rPh sb="0" eb="1">
      <t>フ</t>
    </rPh>
    <phoneticPr fontId="2"/>
  </si>
  <si>
    <t>毒</t>
    <rPh sb="0" eb="1">
      <t>ドク</t>
    </rPh>
    <phoneticPr fontId="2"/>
  </si>
  <si>
    <t>スケルトンの骨、負のエネルギーが宿っている</t>
    <rPh sb="6" eb="7">
      <t>ホネ</t>
    </rPh>
    <rPh sb="8" eb="9">
      <t>フ</t>
    </rPh>
    <rPh sb="16" eb="17">
      <t>ヤド</t>
    </rPh>
    <phoneticPr fontId="2"/>
  </si>
  <si>
    <t>ゾンビの牙、毒々しい液が先端からこぼれている</t>
    <rPh sb="4" eb="5">
      <t>キバ</t>
    </rPh>
    <rPh sb="6" eb="8">
      <t>ドクドク</t>
    </rPh>
    <rPh sb="10" eb="11">
      <t>エキ</t>
    </rPh>
    <rPh sb="12" eb="14">
      <t>センタン</t>
    </rPh>
    <phoneticPr fontId="2"/>
  </si>
  <si>
    <t>動物や、モンスターがもつ鋭い爪</t>
    <rPh sb="0" eb="2">
      <t>ドウブツ</t>
    </rPh>
    <rPh sb="12" eb="13">
      <t>スルド</t>
    </rPh>
    <rPh sb="14" eb="15">
      <t>ツメ</t>
    </rPh>
    <phoneticPr fontId="2"/>
  </si>
  <si>
    <t>帽子</t>
    <rPh sb="0" eb="2">
      <t>ボウシ</t>
    </rPh>
    <phoneticPr fontId="2"/>
  </si>
  <si>
    <t>ハット</t>
    <phoneticPr fontId="2"/>
  </si>
  <si>
    <t>カタール</t>
    <phoneticPr fontId="2"/>
  </si>
  <si>
    <t>拳刃</t>
  </si>
  <si>
    <t>酸</t>
  </si>
  <si>
    <t>毒</t>
  </si>
  <si>
    <t>石化</t>
  </si>
  <si>
    <t>拘束</t>
  </si>
  <si>
    <t>即死</t>
  </si>
  <si>
    <t>時間</t>
  </si>
  <si>
    <t>出血</t>
  </si>
  <si>
    <t>疲労</t>
  </si>
  <si>
    <t>闇</t>
    <phoneticPr fontId="2"/>
  </si>
  <si>
    <t>精神攻撃</t>
    <rPh sb="2" eb="4">
      <t>コウゲキ</t>
    </rPh>
    <phoneticPr fontId="2"/>
  </si>
  <si>
    <t>体幹</t>
    <rPh sb="0" eb="2">
      <t>タイカン</t>
    </rPh>
    <phoneticPr fontId="2"/>
  </si>
  <si>
    <t>物理ガード</t>
    <phoneticPr fontId="2"/>
  </si>
  <si>
    <t>魔法ガード</t>
    <phoneticPr fontId="2"/>
  </si>
  <si>
    <t>溶鉄</t>
    <rPh sb="0" eb="1">
      <t>ヨウ</t>
    </rPh>
    <rPh sb="1" eb="2">
      <t>テツ</t>
    </rPh>
    <phoneticPr fontId="2"/>
  </si>
  <si>
    <t>マグマログ</t>
    <phoneticPr fontId="2"/>
  </si>
  <si>
    <t>虚無鉱</t>
    <phoneticPr fontId="2"/>
  </si>
  <si>
    <t>闇</t>
    <rPh sb="0" eb="1">
      <t>ヤミ</t>
    </rPh>
    <phoneticPr fontId="2"/>
  </si>
  <si>
    <t>オルダーク</t>
    <phoneticPr fontId="2"/>
  </si>
  <si>
    <t>レインボーメタル</t>
    <phoneticPr fontId="2"/>
  </si>
  <si>
    <t>炎・氷・雷・酸・光・闇</t>
    <rPh sb="0" eb="1">
      <t>ホノオ</t>
    </rPh>
    <rPh sb="2" eb="3">
      <t>コオリ</t>
    </rPh>
    <rPh sb="4" eb="5">
      <t>イカズチ</t>
    </rPh>
    <rPh sb="6" eb="7">
      <t>サン</t>
    </rPh>
    <rPh sb="8" eb="9">
      <t>ヒカリ</t>
    </rPh>
    <rPh sb="10" eb="11">
      <t>ヤミ</t>
    </rPh>
    <phoneticPr fontId="2"/>
  </si>
  <si>
    <t>神玉鋼</t>
  </si>
  <si>
    <t>ヘブンズジェルタイト</t>
  </si>
  <si>
    <t>虹宝鋼</t>
    <rPh sb="0" eb="1">
      <t>ニジ</t>
    </rPh>
    <rPh sb="1" eb="3">
      <t>ホウコウ</t>
    </rPh>
    <rPh sb="2" eb="3">
      <t>ハガネ</t>
    </rPh>
    <phoneticPr fontId="2"/>
  </si>
  <si>
    <t>オルタイト</t>
    <phoneticPr fontId="2"/>
  </si>
  <si>
    <t>アルタイト</t>
    <phoneticPr fontId="2"/>
  </si>
  <si>
    <t>ヘマタイト</t>
    <phoneticPr fontId="2"/>
  </si>
  <si>
    <t>武器暗闇化</t>
    <rPh sb="0" eb="2">
      <t>ブキ</t>
    </rPh>
    <rPh sb="2" eb="4">
      <t>クラヤミ</t>
    </rPh>
    <rPh sb="4" eb="5">
      <t>カ</t>
    </rPh>
    <phoneticPr fontId="2"/>
  </si>
  <si>
    <t>黄昏樹</t>
    <rPh sb="0" eb="2">
      <t>タソガレ</t>
    </rPh>
    <rPh sb="2" eb="3">
      <t>キ</t>
    </rPh>
    <phoneticPr fontId="2"/>
  </si>
  <si>
    <t>紫昏樹</t>
    <rPh sb="0" eb="1">
      <t>ムラサキ</t>
    </rPh>
    <rPh sb="1" eb="2">
      <t>コン</t>
    </rPh>
    <rPh sb="2" eb="3">
      <t>キ</t>
    </rPh>
    <phoneticPr fontId="2"/>
  </si>
  <si>
    <t>トライワイトウッド</t>
    <phoneticPr fontId="2"/>
  </si>
  <si>
    <t>ホロウウッド</t>
    <phoneticPr fontId="2"/>
  </si>
  <si>
    <t>悪</t>
    <rPh sb="0" eb="1">
      <t>アク</t>
    </rPh>
    <phoneticPr fontId="2"/>
  </si>
  <si>
    <t>黄昏の生命</t>
    <rPh sb="0" eb="2">
      <t>タソガレ</t>
    </rPh>
    <rPh sb="3" eb="5">
      <t>セイメイ</t>
    </rPh>
    <phoneticPr fontId="2"/>
  </si>
  <si>
    <t>紫昏の魂</t>
    <rPh sb="1" eb="2">
      <t>コン</t>
    </rPh>
    <rPh sb="3" eb="4">
      <t>タマシイ</t>
    </rPh>
    <phoneticPr fontId="2"/>
  </si>
  <si>
    <t>黄昏芯樹</t>
    <rPh sb="0" eb="2">
      <t>タソガレ</t>
    </rPh>
    <rPh sb="2" eb="3">
      <t>シン</t>
    </rPh>
    <rPh sb="3" eb="4">
      <t>キ</t>
    </rPh>
    <phoneticPr fontId="2"/>
  </si>
  <si>
    <t>紫昏芯樹</t>
    <rPh sb="0" eb="1">
      <t>ムラサキ</t>
    </rPh>
    <rPh sb="1" eb="2">
      <t>コン</t>
    </rPh>
    <rPh sb="3" eb="4">
      <t>キ</t>
    </rPh>
    <phoneticPr fontId="2"/>
  </si>
  <si>
    <t>トライウッドコア</t>
    <phoneticPr fontId="2"/>
  </si>
  <si>
    <t>ホロウウッドコア</t>
    <phoneticPr fontId="2"/>
  </si>
  <si>
    <t>ドラゴンボーン</t>
    <phoneticPr fontId="2"/>
  </si>
  <si>
    <t>ル・エストロ</t>
    <phoneticPr fontId="2"/>
  </si>
  <si>
    <t>アルジビア王国</t>
    <rPh sb="5" eb="7">
      <t>オウコク</t>
    </rPh>
    <phoneticPr fontId="2"/>
  </si>
  <si>
    <t>攻撃タイプ</t>
    <phoneticPr fontId="2"/>
  </si>
  <si>
    <t>素手</t>
  </si>
  <si>
    <t>A</t>
  </si>
  <si>
    <t>角</t>
  </si>
  <si>
    <t>S</t>
  </si>
  <si>
    <t>牙</t>
  </si>
  <si>
    <t>爪</t>
  </si>
  <si>
    <t>羽</t>
  </si>
  <si>
    <t>Q</t>
  </si>
  <si>
    <t>尾</t>
  </si>
  <si>
    <t>フィスト</t>
    <phoneticPr fontId="2"/>
  </si>
  <si>
    <t>ホーン</t>
    <phoneticPr fontId="2"/>
  </si>
  <si>
    <t>ファング</t>
    <phoneticPr fontId="2"/>
  </si>
  <si>
    <t>クロー</t>
    <phoneticPr fontId="2"/>
  </si>
  <si>
    <t>ウィング</t>
    <phoneticPr fontId="2"/>
  </si>
  <si>
    <t>テイル</t>
    <phoneticPr fontId="2"/>
  </si>
  <si>
    <t>-</t>
    <phoneticPr fontId="2"/>
  </si>
  <si>
    <t>戦篭手</t>
    <rPh sb="0" eb="1">
      <t>セン</t>
    </rPh>
    <phoneticPr fontId="2"/>
  </si>
  <si>
    <t>ガントレット</t>
    <phoneticPr fontId="2"/>
  </si>
  <si>
    <t>ブレスレット</t>
    <phoneticPr fontId="2"/>
  </si>
  <si>
    <t>熱鉄</t>
    <phoneticPr fontId="2"/>
  </si>
  <si>
    <t>刀</t>
    <phoneticPr fontId="2"/>
  </si>
  <si>
    <t>全灯・極彩</t>
    <rPh sb="0" eb="2">
      <t>ゼントウ</t>
    </rPh>
    <rPh sb="3" eb="5">
      <t>ゴクサイ</t>
    </rPh>
    <phoneticPr fontId="2"/>
  </si>
  <si>
    <t>ゼントウ・ゴクサイ</t>
    <phoneticPr fontId="2"/>
  </si>
  <si>
    <t>外套</t>
    <phoneticPr fontId="2"/>
  </si>
  <si>
    <t>耐炎の外套</t>
    <phoneticPr fontId="2"/>
  </si>
  <si>
    <t>耐氷の外套</t>
    <phoneticPr fontId="2"/>
  </si>
  <si>
    <t>黒竜の加護</t>
    <phoneticPr fontId="2"/>
  </si>
  <si>
    <t>法衣</t>
    <phoneticPr fontId="2"/>
  </si>
  <si>
    <t>影蜥蜴の鱗</t>
    <rPh sb="0" eb="1">
      <t>カゲ</t>
    </rPh>
    <phoneticPr fontId="2"/>
  </si>
  <si>
    <t>シャドウスケール</t>
    <phoneticPr fontId="2"/>
  </si>
  <si>
    <t>靴</t>
    <rPh sb="0" eb="1">
      <t>クツ</t>
    </rPh>
    <phoneticPr fontId="2"/>
  </si>
  <si>
    <t>冠</t>
    <rPh sb="0" eb="1">
      <t>カンムリ</t>
    </rPh>
    <phoneticPr fontId="2"/>
  </si>
  <si>
    <t>耐性</t>
    <rPh sb="0" eb="2">
      <t>タイセイ</t>
    </rPh>
    <phoneticPr fontId="2"/>
  </si>
  <si>
    <t>対属性</t>
    <rPh sb="0" eb="1">
      <t>タイ</t>
    </rPh>
    <rPh sb="1" eb="3">
      <t>ゾクセイ</t>
    </rPh>
    <phoneticPr fontId="2"/>
  </si>
  <si>
    <t>Cr耐性Lv1</t>
    <rPh sb="2" eb="4">
      <t>タイセイ</t>
    </rPh>
    <phoneticPr fontId="2"/>
  </si>
  <si>
    <t>Cr耐性Lv2</t>
    <rPh sb="2" eb="4">
      <t>タイセイ</t>
    </rPh>
    <phoneticPr fontId="2"/>
  </si>
  <si>
    <t>Cr耐性Lv3</t>
    <rPh sb="2" eb="4">
      <t>タイセイ</t>
    </rPh>
    <phoneticPr fontId="2"/>
  </si>
  <si>
    <t>Cr耐性Lv4</t>
    <rPh sb="2" eb="4">
      <t>タイセイ</t>
    </rPh>
    <phoneticPr fontId="2"/>
  </si>
  <si>
    <t>Cr耐性Lv5</t>
    <rPh sb="2" eb="4">
      <t>タイセイ</t>
    </rPh>
    <phoneticPr fontId="2"/>
  </si>
  <si>
    <t>玉虫色の靴</t>
    <rPh sb="0" eb="2">
      <t>タマムシ</t>
    </rPh>
    <rPh sb="2" eb="3">
      <t>イロ</t>
    </rPh>
    <rPh sb="4" eb="5">
      <t>クツ</t>
    </rPh>
    <phoneticPr fontId="2"/>
  </si>
  <si>
    <t>イリデセント・ブーツ</t>
    <phoneticPr fontId="2"/>
  </si>
  <si>
    <t>命中 魔防 Cr</t>
    <rPh sb="0" eb="2">
      <t>メイチュウ</t>
    </rPh>
    <rPh sb="3" eb="5">
      <t>マボウ</t>
    </rPh>
    <phoneticPr fontId="2"/>
  </si>
  <si>
    <t>速度 命中 魔防 Cr</t>
    <rPh sb="0" eb="2">
      <t>ソクド</t>
    </rPh>
    <rPh sb="3" eb="5">
      <t>メイチュウ</t>
    </rPh>
    <rPh sb="6" eb="8">
      <t>マボウ</t>
    </rPh>
    <phoneticPr fontId="2"/>
  </si>
  <si>
    <t>命中 魔力 魔防 Cr</t>
    <rPh sb="0" eb="2">
      <t>メイチュウ</t>
    </rPh>
    <rPh sb="3" eb="5">
      <t>マリョク</t>
    </rPh>
    <rPh sb="6" eb="8">
      <t>マボウ</t>
    </rPh>
    <phoneticPr fontId="2"/>
  </si>
  <si>
    <t>紫の冠</t>
    <rPh sb="0" eb="1">
      <t>ムラサキ</t>
    </rPh>
    <rPh sb="2" eb="3">
      <t>カンムリ</t>
    </rPh>
    <phoneticPr fontId="2"/>
  </si>
  <si>
    <t>金獅子の帯</t>
    <rPh sb="0" eb="3">
      <t>キンジシ</t>
    </rPh>
    <phoneticPr fontId="2"/>
  </si>
  <si>
    <t>ゴールドレオ・ベルト</t>
    <phoneticPr fontId="2"/>
  </si>
  <si>
    <t>朱刀・断絶</t>
    <rPh sb="0" eb="1">
      <t>アカ</t>
    </rPh>
    <rPh sb="1" eb="2">
      <t>カタナ</t>
    </rPh>
    <rPh sb="3" eb="5">
      <t>ダンゼツ</t>
    </rPh>
    <phoneticPr fontId="2"/>
  </si>
  <si>
    <t>シュトウ・ダンゼツ</t>
    <phoneticPr fontId="2"/>
  </si>
  <si>
    <t>虚無鉱</t>
  </si>
  <si>
    <t>黒竜刀</t>
    <phoneticPr fontId="2"/>
  </si>
  <si>
    <t>ブレード・ダークドラゴン</t>
    <phoneticPr fontId="2"/>
  </si>
  <si>
    <t>靴</t>
    <phoneticPr fontId="2"/>
  </si>
  <si>
    <t>棍棒。打撃に特化したシンプルな武器。威力は低いがダメージ振れが少ない。</t>
    <rPh sb="18" eb="20">
      <t>イリョク</t>
    </rPh>
    <rPh sb="21" eb="22">
      <t>ヒク</t>
    </rPh>
    <rPh sb="28" eb="29">
      <t>ブ</t>
    </rPh>
    <rPh sb="31" eb="32">
      <t>スク</t>
    </rPh>
    <phoneticPr fontId="2"/>
  </si>
  <si>
    <t>精神攻撃耐性</t>
  </si>
  <si>
    <t>体幹耐性</t>
  </si>
  <si>
    <t>物理耐性</t>
    <phoneticPr fontId="2"/>
  </si>
  <si>
    <t>魔法耐性</t>
    <phoneticPr fontId="2"/>
  </si>
  <si>
    <t>ダメージ幅</t>
    <rPh sb="4" eb="5">
      <t>ハバ</t>
    </rPh>
    <phoneticPr fontId="2"/>
  </si>
  <si>
    <t>怯み</t>
    <phoneticPr fontId="2"/>
  </si>
  <si>
    <t>重さ/全力</t>
    <phoneticPr fontId="2"/>
  </si>
  <si>
    <t>装備特性</t>
    <rPh sb="0" eb="2">
      <t>ソウビ</t>
    </rPh>
    <rPh sb="2" eb="4">
      <t>トクセイ</t>
    </rPh>
    <phoneticPr fontId="2"/>
  </si>
  <si>
    <t>Ⅱ</t>
    <phoneticPr fontId="2"/>
  </si>
  <si>
    <t>Ⅲ</t>
    <phoneticPr fontId="2"/>
  </si>
  <si>
    <t>Ⅳ</t>
    <phoneticPr fontId="2"/>
  </si>
  <si>
    <t>Ⅴ</t>
    <phoneticPr fontId="2"/>
  </si>
  <si>
    <t>木材×4、鉱石×4</t>
    <phoneticPr fontId="2"/>
  </si>
  <si>
    <t>能力</t>
  </si>
  <si>
    <t>装備</t>
  </si>
  <si>
    <t>鎧, 胴衣, 衣布, 法衣, 帯</t>
  </si>
  <si>
    <t>帯, 輪, 指輪</t>
  </si>
  <si>
    <t>鎧, 胴衣, 衣布, 法衣, 外套, 帯, 指輪</t>
  </si>
  <si>
    <t>冠, 輪, 指輪</t>
  </si>
  <si>
    <t>精神</t>
  </si>
  <si>
    <t>仮面, 靴, 単眼鏡, 輪, 指輪</t>
  </si>
  <si>
    <t>面兜, 兜, 帽子, 冠, 面頬, 仮面, 胴衣, 単眼鏡, 輪, 指輪</t>
  </si>
  <si>
    <t>Cr</t>
  </si>
  <si>
    <t>面兜, 兜, 帽子, 冠, 面頬, 仮面, 鎧, 胴衣, 衣布, 法衣</t>
  </si>
  <si>
    <t>鎧, 胴衣, 衣布, 法衣</t>
  </si>
  <si>
    <t>体幹</t>
  </si>
  <si>
    <t>鎧, 胴衣, 衣布, 法衣, 靴, 帯</t>
  </si>
  <si>
    <t>怯み</t>
  </si>
  <si>
    <t>単眼鏡, 首飾り</t>
  </si>
  <si>
    <t>靴, 胴衣, 衣布, 外套</t>
  </si>
  <si>
    <t>衣布, 単眼鏡</t>
  </si>
  <si>
    <t>帽子, 冠, 面頬, 仮面, 首飾り</t>
    <phoneticPr fontId="2"/>
  </si>
  <si>
    <t>強度</t>
    <rPh sb="0" eb="2">
      <t>キョウド</t>
    </rPh>
    <phoneticPr fontId="2"/>
  </si>
  <si>
    <t>対魔</t>
    <rPh sb="0" eb="1">
      <t>タイ</t>
    </rPh>
    <rPh sb="1" eb="2">
      <t>マ</t>
    </rPh>
    <phoneticPr fontId="2"/>
  </si>
  <si>
    <t>鎧, 胴衣, 衣布, 法衣,外套</t>
    <phoneticPr fontId="2"/>
  </si>
  <si>
    <t>飛行</t>
    <rPh sb="0" eb="2">
      <t>ヒコウ</t>
    </rPh>
    <phoneticPr fontId="2"/>
  </si>
  <si>
    <t>炎付与</t>
  </si>
  <si>
    <t>炎付与Ⅲ</t>
  </si>
  <si>
    <t>炎付与Ⅳ</t>
  </si>
  <si>
    <t>炎付与Ⅴ</t>
  </si>
  <si>
    <t>氷付与</t>
  </si>
  <si>
    <t>氷付与Ⅱ</t>
  </si>
  <si>
    <t>氷付与Ⅲ</t>
  </si>
  <si>
    <t>氷付与Ⅳ</t>
  </si>
  <si>
    <t>氷付与Ⅴ</t>
  </si>
  <si>
    <t>雷付与</t>
  </si>
  <si>
    <t>雷付与Ⅱ</t>
  </si>
  <si>
    <t>雷付与Ⅲ</t>
  </si>
  <si>
    <t>雷付与Ⅳ</t>
  </si>
  <si>
    <t>雷付与Ⅴ</t>
  </si>
  <si>
    <t>酸付与</t>
  </si>
  <si>
    <t>酸付与Ⅱ</t>
  </si>
  <si>
    <t>酸付与Ⅲ</t>
  </si>
  <si>
    <t>酸付与Ⅳ</t>
  </si>
  <si>
    <t>酸付与Ⅴ</t>
  </si>
  <si>
    <t>闇付与</t>
  </si>
  <si>
    <t>闇付与Ⅱ</t>
  </si>
  <si>
    <t>闇付与Ⅲ</t>
  </si>
  <si>
    <t>闇付与Ⅳ</t>
  </si>
  <si>
    <t>闇付与Ⅴ</t>
  </si>
  <si>
    <t>毒付与</t>
  </si>
  <si>
    <t>毒付与Ⅱ</t>
  </si>
  <si>
    <t>毒付与Ⅲ</t>
  </si>
  <si>
    <t>毒付与Ⅳ</t>
  </si>
  <si>
    <t>毒付与Ⅴ</t>
  </si>
  <si>
    <t>呪い付与</t>
  </si>
  <si>
    <t>呪い付与Ⅱ</t>
  </si>
  <si>
    <t>呪い付与Ⅲ</t>
  </si>
  <si>
    <t>呪い付与Ⅳ</t>
  </si>
  <si>
    <t>呪い付与Ⅴ</t>
  </si>
  <si>
    <t>出血付与</t>
  </si>
  <si>
    <t>出血付与Ⅱ</t>
  </si>
  <si>
    <t>出血付与Ⅲ</t>
  </si>
  <si>
    <t>出血付与Ⅳ</t>
  </si>
  <si>
    <t>出血付与Ⅴ</t>
  </si>
  <si>
    <t>帯</t>
    <phoneticPr fontId="2"/>
  </si>
  <si>
    <t>鎧, 胴衣, 衣布, 靴, 帯</t>
    <phoneticPr fontId="2"/>
  </si>
  <si>
    <t>出血耐性Ⅱ</t>
  </si>
  <si>
    <t>疲労耐性Ⅱ</t>
  </si>
  <si>
    <t>体幹耐性Ⅱ</t>
  </si>
  <si>
    <t>怯み耐性Ⅱ</t>
  </si>
  <si>
    <t>盲目耐性Ⅱ</t>
  </si>
  <si>
    <t>幻覚耐性Ⅱ</t>
  </si>
  <si>
    <t>石化耐性Ⅱ</t>
  </si>
  <si>
    <t>呪い耐性Ⅱ</t>
  </si>
  <si>
    <t>即死耐性Ⅱ</t>
  </si>
  <si>
    <t>出血耐性Ⅲ</t>
  </si>
  <si>
    <t>疲労耐性Ⅲ</t>
  </si>
  <si>
    <t>体幹耐性Ⅲ</t>
  </si>
  <si>
    <t>怯み耐性Ⅲ</t>
  </si>
  <si>
    <t>盲目耐性Ⅲ</t>
  </si>
  <si>
    <t>幻覚耐性Ⅲ</t>
  </si>
  <si>
    <t>石化耐性Ⅲ</t>
  </si>
  <si>
    <t>呪い耐性Ⅲ</t>
  </si>
  <si>
    <t>即死耐性Ⅲ</t>
  </si>
  <si>
    <t>出血耐性Ⅳ</t>
  </si>
  <si>
    <t>疲労耐性Ⅳ</t>
  </si>
  <si>
    <t>体幹耐性Ⅳ</t>
  </si>
  <si>
    <t>怯み耐性Ⅳ</t>
  </si>
  <si>
    <t>盲目耐性Ⅳ</t>
  </si>
  <si>
    <t>幻覚耐性Ⅳ</t>
  </si>
  <si>
    <t>石化耐性Ⅳ</t>
  </si>
  <si>
    <t>呪い耐性Ⅳ</t>
  </si>
  <si>
    <t>即死耐性Ⅳ</t>
  </si>
  <si>
    <t>出血耐性Ⅴ</t>
  </si>
  <si>
    <t>疲労耐性Ⅴ</t>
  </si>
  <si>
    <t>体幹耐性Ⅴ</t>
  </si>
  <si>
    <t>怯み耐性Ⅴ</t>
  </si>
  <si>
    <t>盲目耐性Ⅴ</t>
  </si>
  <si>
    <t>幻覚耐性Ⅴ</t>
  </si>
  <si>
    <t>石化耐性Ⅴ</t>
  </si>
  <si>
    <t>呪い耐性Ⅴ</t>
  </si>
  <si>
    <t>即死耐性Ⅴ</t>
  </si>
  <si>
    <t>衣布,帯</t>
    <rPh sb="0" eb="1">
      <t>コロモ</t>
    </rPh>
    <rPh sb="1" eb="2">
      <t>ヌノ</t>
    </rPh>
    <rPh sb="3" eb="4">
      <t>タイ</t>
    </rPh>
    <phoneticPr fontId="2"/>
  </si>
  <si>
    <t>帯</t>
    <rPh sb="0" eb="1">
      <t>タイ</t>
    </rPh>
    <phoneticPr fontId="2"/>
  </si>
  <si>
    <t>首飾り,法衣,冠</t>
    <rPh sb="4" eb="6">
      <t>ホウイ</t>
    </rPh>
    <rPh sb="7" eb="8">
      <t>カンムリ</t>
    </rPh>
    <phoneticPr fontId="2"/>
  </si>
  <si>
    <t>帯,鎧,服,指輪</t>
    <rPh sb="0" eb="1">
      <t>オビ</t>
    </rPh>
    <rPh sb="2" eb="3">
      <t>ヨロイ</t>
    </rPh>
    <rPh sb="4" eb="5">
      <t>フク</t>
    </rPh>
    <rPh sb="6" eb="8">
      <t>ユビワ</t>
    </rPh>
    <phoneticPr fontId="2"/>
  </si>
  <si>
    <t>耐炎Ⅱ</t>
  </si>
  <si>
    <t>耐氷Ⅱ</t>
  </si>
  <si>
    <t>耐雷Ⅱ</t>
  </si>
  <si>
    <t>耐酸Ⅱ</t>
  </si>
  <si>
    <t>耐音Ⅱ</t>
  </si>
  <si>
    <t>耐闇Ⅱ</t>
  </si>
  <si>
    <t>耐光Ⅱ</t>
  </si>
  <si>
    <t>耐炎Ⅲ</t>
  </si>
  <si>
    <t>耐氷Ⅲ</t>
  </si>
  <si>
    <t>耐雷Ⅲ</t>
  </si>
  <si>
    <t>耐酸Ⅲ</t>
  </si>
  <si>
    <t>耐音Ⅲ</t>
  </si>
  <si>
    <t>耐闇Ⅲ</t>
  </si>
  <si>
    <t>耐光Ⅲ</t>
  </si>
  <si>
    <t>耐炎Ⅳ</t>
  </si>
  <si>
    <t>耐氷Ⅳ</t>
  </si>
  <si>
    <t>耐雷Ⅳ</t>
  </si>
  <si>
    <t>耐酸Ⅳ</t>
  </si>
  <si>
    <t>耐音Ⅳ</t>
  </si>
  <si>
    <t>耐闇Ⅳ</t>
  </si>
  <si>
    <t>耐光Ⅳ</t>
  </si>
  <si>
    <t>耐炎Ⅴ</t>
  </si>
  <si>
    <t>耐氷Ⅴ</t>
  </si>
  <si>
    <t>耐雷Ⅴ</t>
  </si>
  <si>
    <t>耐酸Ⅴ</t>
  </si>
  <si>
    <t>耐音Ⅴ</t>
  </si>
  <si>
    <t>耐闇Ⅴ</t>
  </si>
  <si>
    <t>耐光Ⅴ</t>
  </si>
  <si>
    <t>骨</t>
    <rPh sb="0" eb="1">
      <t>ホネ</t>
    </rPh>
    <phoneticPr fontId="2"/>
  </si>
  <si>
    <t>冠,仮面</t>
    <rPh sb="0" eb="1">
      <t>カンムリ</t>
    </rPh>
    <rPh sb="2" eb="4">
      <t>カメン</t>
    </rPh>
    <phoneticPr fontId="2"/>
  </si>
  <si>
    <t>帽子</t>
  </si>
  <si>
    <t>胴衣, 衣布, 靴, 外套</t>
  </si>
  <si>
    <t>冠, 仮面, 首飾り</t>
  </si>
  <si>
    <t>帽子, 首飾り</t>
  </si>
  <si>
    <t>冠,兜,帽子</t>
    <rPh sb="0" eb="1">
      <t>カンムリ</t>
    </rPh>
    <rPh sb="2" eb="3">
      <t>カブト</t>
    </rPh>
    <rPh sb="4" eb="6">
      <t>ボウシ</t>
    </rPh>
    <phoneticPr fontId="2"/>
  </si>
  <si>
    <t>隠密Ⅱ</t>
  </si>
  <si>
    <t>感知Ⅱ</t>
  </si>
  <si>
    <t>威圧Ⅱ</t>
  </si>
  <si>
    <t>軽業Ⅱ</t>
  </si>
  <si>
    <t>技術Ⅱ</t>
  </si>
  <si>
    <t>早業Ⅱ</t>
  </si>
  <si>
    <t>看破Ⅱ</t>
  </si>
  <si>
    <t>騙すⅡ</t>
  </si>
  <si>
    <t>知識Ⅱ</t>
  </si>
  <si>
    <t>鑑定Ⅱ</t>
  </si>
  <si>
    <t>装置Ⅱ</t>
  </si>
  <si>
    <t>変装Ⅱ</t>
  </si>
  <si>
    <t>制作Ⅱ</t>
  </si>
  <si>
    <t>精神接続Ⅱ</t>
  </si>
  <si>
    <t>魔法技術Ⅱ</t>
  </si>
  <si>
    <t>指揮Ⅱ</t>
  </si>
  <si>
    <t>隠密Ⅲ</t>
  </si>
  <si>
    <t>感知Ⅲ</t>
  </si>
  <si>
    <t>威圧Ⅲ</t>
  </si>
  <si>
    <t>軽業Ⅲ</t>
  </si>
  <si>
    <t>技術Ⅲ</t>
  </si>
  <si>
    <t>早業Ⅲ</t>
  </si>
  <si>
    <t>看破Ⅲ</t>
  </si>
  <si>
    <t>騙すⅢ</t>
  </si>
  <si>
    <t>知識Ⅲ</t>
  </si>
  <si>
    <t>鑑定Ⅲ</t>
  </si>
  <si>
    <t>装置Ⅲ</t>
  </si>
  <si>
    <t>変装Ⅲ</t>
  </si>
  <si>
    <t>制作Ⅲ</t>
  </si>
  <si>
    <t>精神接続Ⅲ</t>
  </si>
  <si>
    <t>魔法技術Ⅲ</t>
  </si>
  <si>
    <t>指揮Ⅲ</t>
  </si>
  <si>
    <t>隠密Ⅳ</t>
  </si>
  <si>
    <t>感知Ⅳ</t>
  </si>
  <si>
    <t>威圧Ⅳ</t>
  </si>
  <si>
    <t>軽業Ⅳ</t>
  </si>
  <si>
    <t>技術Ⅳ</t>
  </si>
  <si>
    <t>早業Ⅳ</t>
  </si>
  <si>
    <t>看破Ⅳ</t>
  </si>
  <si>
    <t>騙すⅣ</t>
  </si>
  <si>
    <t>知識Ⅳ</t>
  </si>
  <si>
    <t>鑑定Ⅳ</t>
  </si>
  <si>
    <t>装置Ⅳ</t>
  </si>
  <si>
    <t>変装Ⅳ</t>
  </si>
  <si>
    <t>制作Ⅳ</t>
  </si>
  <si>
    <t>精神接続Ⅳ</t>
  </si>
  <si>
    <t>魔法技術Ⅳ</t>
  </si>
  <si>
    <t>指揮Ⅳ</t>
  </si>
  <si>
    <t>隠密Ⅴ</t>
  </si>
  <si>
    <t>感知Ⅴ</t>
  </si>
  <si>
    <t>威圧Ⅴ</t>
  </si>
  <si>
    <t>軽業Ⅴ</t>
  </si>
  <si>
    <t>技術Ⅴ</t>
  </si>
  <si>
    <t>早業Ⅴ</t>
  </si>
  <si>
    <t>看破Ⅴ</t>
  </si>
  <si>
    <t>騙すⅤ</t>
  </si>
  <si>
    <t>知識Ⅴ</t>
  </si>
  <si>
    <t>鑑定Ⅴ</t>
  </si>
  <si>
    <t>装置Ⅴ</t>
  </si>
  <si>
    <t>変装Ⅴ</t>
  </si>
  <si>
    <t>制作Ⅴ</t>
  </si>
  <si>
    <t>精神接続Ⅴ</t>
  </si>
  <si>
    <t>魔法技術Ⅴ</t>
  </si>
  <si>
    <t>指揮Ⅴ</t>
  </si>
  <si>
    <t>精神耐性Ⅱ</t>
  </si>
  <si>
    <t>毒耐性Ⅱ</t>
  </si>
  <si>
    <t>時間耐性Ⅱ</t>
  </si>
  <si>
    <t>拘束耐性Ⅱ</t>
  </si>
  <si>
    <t>精神耐性Ⅲ</t>
  </si>
  <si>
    <t>毒耐性Ⅲ</t>
  </si>
  <si>
    <t>時間耐性Ⅲ</t>
  </si>
  <si>
    <t>拘束耐性Ⅲ</t>
  </si>
  <si>
    <t>精神耐性Ⅳ</t>
  </si>
  <si>
    <t>毒耐性Ⅳ</t>
  </si>
  <si>
    <t>時間耐性Ⅳ</t>
  </si>
  <si>
    <t>拘束耐性Ⅳ</t>
  </si>
  <si>
    <t>精神耐性Ⅴ</t>
  </si>
  <si>
    <t>毒耐性Ⅴ</t>
  </si>
  <si>
    <t>時間耐性Ⅴ</t>
  </si>
  <si>
    <t>拘束耐性Ⅴ</t>
  </si>
  <si>
    <t>付与対象</t>
    <rPh sb="0" eb="2">
      <t>フヨ</t>
    </rPh>
    <rPh sb="2" eb="4">
      <t>タイショウ</t>
    </rPh>
    <phoneticPr fontId="2"/>
  </si>
  <si>
    <t>面兜, 兜, 帽子, 冠, 面頬, 仮面, 鎧, 胴衣, 衣布, 法衣</t>
    <phoneticPr fontId="2"/>
  </si>
  <si>
    <t>投擲強化,片手適性Ⅰ</t>
  </si>
  <si>
    <t>投擲強化,片手適性Ⅰ</t>
    <phoneticPr fontId="2"/>
  </si>
  <si>
    <t>闘気の一撃</t>
    <rPh sb="0" eb="2">
      <t>トウキ</t>
    </rPh>
    <rPh sb="3" eb="5">
      <t>イチゲキ</t>
    </rPh>
    <phoneticPr fontId="1"/>
  </si>
  <si>
    <t>闘気の守り</t>
    <rPh sb="0" eb="2">
      <t>トウキ</t>
    </rPh>
    <rPh sb="3" eb="4">
      <t>マモ</t>
    </rPh>
    <phoneticPr fontId="1"/>
  </si>
  <si>
    <t>音付与</t>
  </si>
  <si>
    <t>音付与Ⅱ</t>
  </si>
  <si>
    <t>音付与Ⅲ</t>
  </si>
  <si>
    <t>音付与Ⅳ</t>
  </si>
  <si>
    <t>音付与Ⅴ</t>
  </si>
  <si>
    <t>光付与</t>
  </si>
  <si>
    <t>光付与Ⅱ</t>
  </si>
  <si>
    <t>光付与Ⅲ</t>
  </si>
  <si>
    <t>光付与Ⅳ</t>
  </si>
  <si>
    <t>光付与Ⅴ</t>
  </si>
  <si>
    <t>Cr強化</t>
    <rPh sb="2" eb="4">
      <t>キョウカ</t>
    </rPh>
    <phoneticPr fontId="2"/>
  </si>
  <si>
    <t>Cr強化Ⅱ</t>
    <rPh sb="2" eb="4">
      <t>キョウカ</t>
    </rPh>
    <phoneticPr fontId="2"/>
  </si>
  <si>
    <t>Cr強化Ⅲ</t>
    <rPh sb="2" eb="4">
      <t>キョウカ</t>
    </rPh>
    <phoneticPr fontId="2"/>
  </si>
  <si>
    <t>Cr強化Ⅳ</t>
    <rPh sb="2" eb="4">
      <t>キョウカ</t>
    </rPh>
    <phoneticPr fontId="2"/>
  </si>
  <si>
    <t>Cr強化Ⅴ</t>
    <rPh sb="2" eb="4">
      <t>キョウカ</t>
    </rPh>
    <phoneticPr fontId="2"/>
  </si>
  <si>
    <t>水晶と鉄が融合した素材。武器に使用すると魔法効果が高まり、防具に使用すると魔法防御力が強化される。</t>
    <phoneticPr fontId="2"/>
  </si>
  <si>
    <t>能力:深い水晶開放[HPを20消費して武器の威力+25]</t>
    <rPh sb="0" eb="2">
      <t>ノウリョク</t>
    </rPh>
    <rPh sb="3" eb="4">
      <t>フカ</t>
    </rPh>
    <rPh sb="5" eb="7">
      <t>スイショウ</t>
    </rPh>
    <rPh sb="7" eb="9">
      <t>カイホウ</t>
    </rPh>
    <rPh sb="15" eb="17">
      <t>ショウヒ</t>
    </rPh>
    <rPh sb="19" eb="21">
      <t>ブキ</t>
    </rPh>
    <rPh sb="22" eb="24">
      <t>イリョク</t>
    </rPh>
    <phoneticPr fontId="2"/>
  </si>
  <si>
    <t>魔力伝導性向上</t>
    <phoneticPr fontId="2"/>
  </si>
  <si>
    <t>コスト</t>
    <phoneticPr fontId="2"/>
  </si>
  <si>
    <t>金額_bc</t>
    <rPh sb="0" eb="2">
      <t>キンガク</t>
    </rPh>
    <phoneticPr fontId="2"/>
  </si>
  <si>
    <t>炎付与Ⅱ</t>
    <phoneticPr fontId="2"/>
  </si>
  <si>
    <t>素材Lv</t>
    <rPh sb="0" eb="2">
      <t>ソザイ</t>
    </rPh>
    <phoneticPr fontId="2"/>
  </si>
  <si>
    <t>雷鉄</t>
    <rPh sb="0" eb="1">
      <t>イカズチ</t>
    </rPh>
    <phoneticPr fontId="2"/>
  </si>
  <si>
    <t>ブラックスティール</t>
    <phoneticPr fontId="2"/>
  </si>
  <si>
    <t>冠, 仮面, 首飾り</t>
    <phoneticPr fontId="2"/>
  </si>
  <si>
    <t>看破</t>
    <phoneticPr fontId="2"/>
  </si>
  <si>
    <t>感知</t>
    <rPh sb="0" eb="2">
      <t>カンチ</t>
    </rPh>
    <phoneticPr fontId="2"/>
  </si>
  <si>
    <t>軽業</t>
    <rPh sb="0" eb="2">
      <t>カルワザ</t>
    </rPh>
    <phoneticPr fontId="2"/>
  </si>
  <si>
    <t>早業</t>
    <phoneticPr fontId="2"/>
  </si>
  <si>
    <t>隠密</t>
    <rPh sb="0" eb="2">
      <t>オンミツ</t>
    </rPh>
    <phoneticPr fontId="2"/>
  </si>
  <si>
    <t>散弾</t>
    <rPh sb="0" eb="2">
      <t>サンダン</t>
    </rPh>
    <phoneticPr fontId="2"/>
  </si>
  <si>
    <t>魔法技術</t>
    <phoneticPr fontId="2"/>
  </si>
  <si>
    <t>大精霊</t>
    <phoneticPr fontId="2"/>
  </si>
  <si>
    <t>毒耐性</t>
    <phoneticPr fontId="2"/>
  </si>
  <si>
    <t>鎧, 胴衣, 衣布, 法衣, 外套, 帯, 指輪</t>
    <phoneticPr fontId="2"/>
  </si>
  <si>
    <t>帽子, 冠, 面頬, 仮面, 首飾り, 指輪</t>
    <phoneticPr fontId="2"/>
  </si>
  <si>
    <t>龍骨</t>
    <phoneticPr fontId="2"/>
  </si>
  <si>
    <t>max35それ以上は
ペナルティ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</si>
</sst>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theme="1"/>
      <name val="Arial"/>
      <family val="2"/>
    </font>
    <font>
      <b/>
      <sz val="10"/>
      <color theme="1"/>
      <name val="ＭＳ Ｐゴシック"/>
      <family val="3"/>
      <charset val="128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9900FF"/>
      <name val="游ゴシック"/>
      <family val="3"/>
      <charset val="128"/>
      <scheme val="minor"/>
    </font>
    <font>
      <sz val="10"/>
      <color theme="1"/>
      <name val="Arial"/>
      <family val="2"/>
    </font>
    <font>
      <b/>
      <sz val="9"/>
      <color theme="1"/>
      <name val="游ゴシック"/>
      <family val="3"/>
      <charset val="128"/>
      <scheme val="minor"/>
    </font>
    <font>
      <b/>
      <sz val="11"/>
      <color theme="1" tint="4.9989318521683403E-2"/>
      <name val="游ゴシック"/>
      <family val="3"/>
      <charset val="128"/>
      <scheme val="minor"/>
    </font>
    <font>
      <sz val="9"/>
      <color rgb="FF000000"/>
      <name val="HGPｺﾞｼｯｸE"/>
      <family val="3"/>
      <charset val="128"/>
    </font>
    <font>
      <sz val="9"/>
      <name val="HGPｺﾞｼｯｸE"/>
      <family val="3"/>
      <charset val="128"/>
    </font>
    <font>
      <sz val="10"/>
      <color theme="1"/>
      <name val="ＭＳ Ｐゴシック"/>
      <family val="3"/>
      <charset val="128"/>
    </font>
    <font>
      <sz val="11"/>
      <color rgb="FF000000"/>
      <name val="HGPｺﾞｼｯｸE"/>
      <family val="3"/>
      <charset val="128"/>
    </font>
    <font>
      <b/>
      <sz val="10"/>
      <color theme="1"/>
      <name val="ＭＳ 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12" borderId="0" xfId="1" applyNumberFormat="1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1" applyNumberFormat="1" applyFont="1">
      <alignment vertical="center"/>
    </xf>
    <xf numFmtId="0" fontId="0" fillId="11" borderId="0" xfId="0" applyFill="1">
      <alignment vertical="center"/>
    </xf>
    <xf numFmtId="0" fontId="11" fillId="0" borderId="1" xfId="0" applyFont="1" applyBorder="1" applyAlignment="1">
      <alignment wrapText="1"/>
    </xf>
    <xf numFmtId="0" fontId="0" fillId="0" borderId="0" xfId="1" applyNumberFormat="1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2" fillId="12" borderId="0" xfId="1" applyNumberFormat="1" applyFont="1" applyFill="1" applyAlignment="1">
      <alignment horizontal="center" vertical="center" wrapText="1"/>
    </xf>
    <xf numFmtId="9" fontId="0" fillId="0" borderId="0" xfId="1" applyFont="1">
      <alignment vertical="center"/>
    </xf>
    <xf numFmtId="9" fontId="0" fillId="0" borderId="0" xfId="1" applyFont="1" applyAlignment="1">
      <alignment vertical="center" wrapText="1"/>
    </xf>
    <xf numFmtId="9" fontId="9" fillId="12" borderId="0" xfId="1" applyFont="1" applyFill="1" applyAlignment="1">
      <alignment horizontal="center" vertical="center" wrapText="1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 vertical="center" wrapText="1"/>
    </xf>
    <xf numFmtId="9" fontId="0" fillId="0" borderId="0" xfId="0" applyNumberFormat="1" applyAlignment="1">
      <alignment vertical="center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/>
    <xf numFmtId="9" fontId="0" fillId="0" borderId="0" xfId="1" applyFont="1" applyAlignment="1">
      <alignment vertical="center"/>
    </xf>
    <xf numFmtId="9" fontId="0" fillId="0" borderId="0" xfId="0" applyNumberFormat="1">
      <alignment vertical="center"/>
    </xf>
    <xf numFmtId="9" fontId="13" fillId="0" borderId="0" xfId="0" applyNumberFormat="1" applyFont="1">
      <alignment vertical="center"/>
    </xf>
    <xf numFmtId="0" fontId="11" fillId="0" borderId="1" xfId="0" applyFont="1" applyBorder="1">
      <alignment vertical="center"/>
    </xf>
    <xf numFmtId="0" fontId="16" fillId="0" borderId="1" xfId="0" applyFont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9" fontId="9" fillId="0" borderId="0" xfId="1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9" fontId="9" fillId="0" borderId="0" xfId="1" applyFont="1">
      <alignment vertical="center"/>
    </xf>
    <xf numFmtId="0" fontId="9" fillId="3" borderId="0" xfId="0" applyFont="1" applyFill="1">
      <alignment vertical="center"/>
    </xf>
    <xf numFmtId="0" fontId="4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18" fillId="7" borderId="1" xfId="0" applyFont="1" applyFill="1" applyBorder="1" applyAlignment="1">
      <alignment horizontal="center" vertical="top" wrapText="1"/>
    </xf>
    <xf numFmtId="0" fontId="18" fillId="0" borderId="1" xfId="0" applyFont="1" applyBorder="1" applyAlignment="1">
      <alignment vertical="top" wrapText="1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DC0C-0726-435C-945B-DEBA654A99B8}">
  <sheetPr codeName="Sheet1"/>
  <dimension ref="A1:G11"/>
  <sheetViews>
    <sheetView zoomScaleNormal="100" workbookViewId="0">
      <selection activeCell="A11" sqref="A1:F11"/>
    </sheetView>
  </sheetViews>
  <sheetFormatPr defaultRowHeight="18.75" x14ac:dyDescent="0.4"/>
  <cols>
    <col min="6" max="7" width="22.5" style="1" customWidth="1"/>
    <col min="9" max="9" width="7.125" bestFit="1" customWidth="1"/>
    <col min="10" max="11" width="28.875" customWidth="1"/>
  </cols>
  <sheetData>
    <row r="1" spans="1:7" x14ac:dyDescent="0.4">
      <c r="A1" t="s">
        <v>1030</v>
      </c>
      <c r="B1" t="s">
        <v>1163</v>
      </c>
      <c r="C1" t="s">
        <v>1162</v>
      </c>
      <c r="D1" t="s">
        <v>1161</v>
      </c>
      <c r="E1" t="s">
        <v>1160</v>
      </c>
      <c r="F1" s="1" t="s">
        <v>188</v>
      </c>
      <c r="G1" s="1" t="s">
        <v>1159</v>
      </c>
    </row>
    <row r="2" spans="1:7" x14ac:dyDescent="0.4">
      <c r="A2" t="s">
        <v>868</v>
      </c>
      <c r="B2">
        <v>25</v>
      </c>
      <c r="C2">
        <v>25</v>
      </c>
      <c r="D2">
        <v>15</v>
      </c>
      <c r="E2">
        <v>-20</v>
      </c>
      <c r="F2" s="1" t="s">
        <v>1158</v>
      </c>
      <c r="G2" s="1" t="s">
        <v>1157</v>
      </c>
    </row>
    <row r="3" spans="1:7" ht="37.5" x14ac:dyDescent="0.4">
      <c r="A3" t="s">
        <v>946</v>
      </c>
      <c r="B3">
        <v>15</v>
      </c>
      <c r="C3">
        <v>15</v>
      </c>
      <c r="D3">
        <v>15</v>
      </c>
      <c r="E3">
        <v>-15</v>
      </c>
      <c r="F3" s="1" t="s">
        <v>1156</v>
      </c>
      <c r="G3" s="1" t="s">
        <v>1155</v>
      </c>
    </row>
    <row r="4" spans="1:7" ht="37.5" x14ac:dyDescent="0.4">
      <c r="A4" t="s">
        <v>911</v>
      </c>
      <c r="B4">
        <v>5</v>
      </c>
      <c r="C4">
        <v>15</v>
      </c>
      <c r="D4">
        <v>10</v>
      </c>
      <c r="E4">
        <v>-10</v>
      </c>
      <c r="F4" s="1" t="s">
        <v>1154</v>
      </c>
      <c r="G4" s="1" t="s">
        <v>1153</v>
      </c>
    </row>
    <row r="5" spans="1:7" ht="37.5" x14ac:dyDescent="0.4">
      <c r="A5" t="s">
        <v>876</v>
      </c>
      <c r="B5">
        <v>10</v>
      </c>
      <c r="C5">
        <v>0</v>
      </c>
      <c r="D5">
        <v>5</v>
      </c>
      <c r="E5">
        <v>-5</v>
      </c>
      <c r="F5" s="1" t="s">
        <v>1152</v>
      </c>
      <c r="G5" s="1" t="s">
        <v>1151</v>
      </c>
    </row>
    <row r="6" spans="1:7" ht="37.5" x14ac:dyDescent="0.4">
      <c r="A6" t="s">
        <v>958</v>
      </c>
      <c r="B6">
        <v>5</v>
      </c>
      <c r="C6">
        <v>5</v>
      </c>
      <c r="D6">
        <v>5</v>
      </c>
      <c r="E6">
        <v>-5</v>
      </c>
      <c r="F6" s="1" t="s">
        <v>1150</v>
      </c>
      <c r="G6" s="1" t="s">
        <v>1149</v>
      </c>
    </row>
    <row r="7" spans="1:7" ht="37.5" x14ac:dyDescent="0.4">
      <c r="A7" t="s">
        <v>1148</v>
      </c>
      <c r="B7">
        <v>0</v>
      </c>
      <c r="C7">
        <v>0</v>
      </c>
      <c r="D7">
        <v>0</v>
      </c>
      <c r="E7">
        <v>0</v>
      </c>
      <c r="F7" s="1" t="s">
        <v>1147</v>
      </c>
      <c r="G7" s="1" t="s">
        <v>1146</v>
      </c>
    </row>
    <row r="8" spans="1:7" ht="37.5" x14ac:dyDescent="0.4">
      <c r="A8" t="s">
        <v>1145</v>
      </c>
      <c r="F8" s="1" t="s">
        <v>1144</v>
      </c>
      <c r="G8" s="1" t="s">
        <v>1143</v>
      </c>
    </row>
    <row r="9" spans="1:7" ht="37.5" x14ac:dyDescent="0.4">
      <c r="A9" t="s">
        <v>285</v>
      </c>
      <c r="F9" s="1" t="s">
        <v>1142</v>
      </c>
      <c r="G9" s="1" t="s">
        <v>1141</v>
      </c>
    </row>
    <row r="10" spans="1:7" ht="37.5" x14ac:dyDescent="0.4">
      <c r="A10" t="s">
        <v>1140</v>
      </c>
      <c r="F10" s="1" t="s">
        <v>1139</v>
      </c>
      <c r="G10" s="1" t="s">
        <v>1138</v>
      </c>
    </row>
    <row r="11" spans="1:7" ht="37.5" x14ac:dyDescent="0.4">
      <c r="A11" t="s">
        <v>1137</v>
      </c>
      <c r="F11" s="1" t="s">
        <v>1136</v>
      </c>
      <c r="G11" s="1" t="s">
        <v>1135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DCF5-195D-49FB-8114-0888B149F139}">
  <sheetPr codeName="Sheet2">
    <tabColor theme="8" tint="0.79998168889431442"/>
  </sheetPr>
  <dimension ref="A1:CS392"/>
  <sheetViews>
    <sheetView zoomScaleNormal="100" workbookViewId="0">
      <pane xSplit="6" ySplit="3" topLeftCell="G213" activePane="bottomRight" state="frozen"/>
      <selection pane="topRight" activeCell="G1" sqref="G1"/>
      <selection pane="bottomLeft" activeCell="A4" sqref="A4"/>
      <selection pane="bottomRight" activeCell="E195" sqref="E195"/>
    </sheetView>
  </sheetViews>
  <sheetFormatPr defaultRowHeight="18.75" outlineLevelRow="1" outlineLevelCol="1" x14ac:dyDescent="0.4"/>
  <cols>
    <col min="1" max="1" width="9" bestFit="1" customWidth="1"/>
    <col min="2" max="2" width="21.375" bestFit="1" customWidth="1"/>
    <col min="3" max="3" width="4.625" customWidth="1"/>
    <col min="4" max="4" width="6.375" customWidth="1"/>
    <col min="5" max="5" width="6" customWidth="1"/>
    <col min="6" max="6" width="4.875" customWidth="1"/>
    <col min="7" max="9" width="5.75" customWidth="1" outlineLevel="1"/>
    <col min="10" max="10" width="6.5" customWidth="1" outlineLevel="1"/>
    <col min="11" max="11" width="5.125" customWidth="1" outlineLevel="1"/>
    <col min="12" max="12" width="4.5" customWidth="1" outlineLevel="1"/>
    <col min="13" max="13" width="3.625" customWidth="1" outlineLevel="1"/>
    <col min="14" max="14" width="5.25" customWidth="1" outlineLevel="1"/>
    <col min="15" max="15" width="6.5" style="23" customWidth="1" outlineLevel="1"/>
    <col min="16" max="16" width="7" style="23" customWidth="1" outlineLevel="1"/>
    <col min="17" max="18" width="6.25" customWidth="1" outlineLevel="1"/>
    <col min="19" max="19" width="6.25" customWidth="1"/>
    <col min="20" max="20" width="6.25" customWidth="1" outlineLevel="1"/>
    <col min="21" max="21" width="8.375" customWidth="1" outlineLevel="1"/>
    <col min="22" max="22" width="6.25" customWidth="1" outlineLevel="1"/>
    <col min="23" max="23" width="5.5" customWidth="1" outlineLevel="1"/>
    <col min="24" max="24" width="6.25" customWidth="1" outlineLevel="1"/>
    <col min="25" max="25" width="17.875" customWidth="1" outlineLevel="1"/>
    <col min="26" max="26" width="4.875" customWidth="1"/>
    <col min="27" max="50" width="4.875" customWidth="1" outlineLevel="1"/>
    <col min="51" max="51" width="4.875" customWidth="1"/>
    <col min="52" max="52" width="3.5" customWidth="1"/>
    <col min="53" max="57" width="4.875" customWidth="1" outlineLevel="1"/>
    <col min="58" max="58" width="6.125" bestFit="1" customWidth="1"/>
    <col min="59" max="59" width="4.125" customWidth="1" outlineLevel="1"/>
    <col min="60" max="60" width="4.375" customWidth="1" outlineLevel="1"/>
    <col min="61" max="61" width="4" customWidth="1" outlineLevel="1"/>
    <col min="62" max="67" width="5.75" customWidth="1" outlineLevel="1"/>
    <col min="68" max="68" width="4.25" customWidth="1" outlineLevel="1"/>
    <col min="69" max="69" width="5.125" customWidth="1" outlineLevel="1"/>
    <col min="70" max="70" width="5.25" bestFit="1" customWidth="1"/>
    <col min="71" max="75" width="5.25" customWidth="1" outlineLevel="1"/>
    <col min="76" max="76" width="5" customWidth="1" outlineLevel="1"/>
    <col min="77" max="82" width="5.25" customWidth="1" outlineLevel="1"/>
    <col min="83" max="84" width="9" customWidth="1" outlineLevel="1"/>
    <col min="85" max="85" width="5.25" customWidth="1" outlineLevel="1"/>
    <col min="88" max="89" width="9" customWidth="1" outlineLevel="1"/>
    <col min="90" max="90" width="6.5" customWidth="1" outlineLevel="1"/>
    <col min="91" max="91" width="9" style="22" customWidth="1" outlineLevel="1"/>
    <col min="92" max="92" width="9" customWidth="1" outlineLevel="1"/>
    <col min="93" max="94" width="10" customWidth="1" outlineLevel="1"/>
    <col min="95" max="95" width="31.125" customWidth="1" outlineLevel="1"/>
  </cols>
  <sheetData>
    <row r="1" spans="1:97" s="2" customFormat="1" ht="36" customHeight="1" thickBot="1" x14ac:dyDescent="0.3">
      <c r="A1" s="18" t="s">
        <v>192</v>
      </c>
      <c r="B1" s="18" t="s">
        <v>191</v>
      </c>
      <c r="C1" s="21" t="s">
        <v>190</v>
      </c>
      <c r="D1" s="21" t="s">
        <v>189</v>
      </c>
      <c r="E1" s="21" t="s">
        <v>188</v>
      </c>
      <c r="F1" s="20" t="s">
        <v>187</v>
      </c>
      <c r="G1" s="20" t="s">
        <v>186</v>
      </c>
      <c r="H1" s="20" t="s">
        <v>185</v>
      </c>
      <c r="I1" s="20" t="s">
        <v>184</v>
      </c>
      <c r="J1" s="19" t="s">
        <v>183</v>
      </c>
      <c r="K1" s="19" t="s">
        <v>182</v>
      </c>
      <c r="L1" s="19" t="s">
        <v>181</v>
      </c>
      <c r="M1" s="28" t="s">
        <v>180</v>
      </c>
      <c r="N1" s="20" t="s">
        <v>179</v>
      </c>
      <c r="O1" s="19" t="s">
        <v>178</v>
      </c>
      <c r="P1" s="19" t="s">
        <v>177</v>
      </c>
      <c r="Q1" s="18" t="s">
        <v>176</v>
      </c>
      <c r="R1" s="18" t="s">
        <v>175</v>
      </c>
      <c r="S1" s="16" t="s">
        <v>174</v>
      </c>
      <c r="T1" s="16" t="s">
        <v>173</v>
      </c>
      <c r="U1" s="16" t="s">
        <v>172</v>
      </c>
      <c r="V1" s="17" t="s">
        <v>171</v>
      </c>
      <c r="W1" s="16" t="s">
        <v>1227</v>
      </c>
      <c r="X1" s="16" t="s">
        <v>169</v>
      </c>
      <c r="Y1" s="16" t="s">
        <v>1289</v>
      </c>
      <c r="Z1" s="15" t="s">
        <v>167</v>
      </c>
      <c r="AA1" s="15" t="s">
        <v>166</v>
      </c>
      <c r="AB1" s="11" t="s">
        <v>165</v>
      </c>
      <c r="AC1" s="11" t="s">
        <v>164</v>
      </c>
      <c r="AD1" s="11" t="s">
        <v>163</v>
      </c>
      <c r="AE1" s="14" t="s">
        <v>162</v>
      </c>
      <c r="AF1" s="14" t="s">
        <v>161</v>
      </c>
      <c r="AG1" s="14" t="s">
        <v>160</v>
      </c>
      <c r="AH1" s="14" t="s">
        <v>159</v>
      </c>
      <c r="AI1" s="14" t="s">
        <v>158</v>
      </c>
      <c r="AJ1" s="14" t="s">
        <v>157</v>
      </c>
      <c r="AK1" s="14" t="s">
        <v>156</v>
      </c>
      <c r="AL1" s="13" t="s">
        <v>155</v>
      </c>
      <c r="AM1" s="13" t="s">
        <v>154</v>
      </c>
      <c r="AN1" s="12" t="s">
        <v>153</v>
      </c>
      <c r="AO1" s="11" t="s">
        <v>151</v>
      </c>
      <c r="AP1" s="11" t="s">
        <v>150</v>
      </c>
      <c r="AQ1" s="11" t="s">
        <v>149</v>
      </c>
      <c r="AR1" s="11" t="s">
        <v>148</v>
      </c>
      <c r="AS1" s="11" t="s">
        <v>147</v>
      </c>
      <c r="AT1" s="11" t="s">
        <v>146</v>
      </c>
      <c r="AU1" s="11" t="s">
        <v>145</v>
      </c>
      <c r="AV1" s="11" t="s">
        <v>144</v>
      </c>
      <c r="AW1" s="11" t="s">
        <v>143</v>
      </c>
      <c r="AX1" s="11" t="s">
        <v>142</v>
      </c>
      <c r="AY1" s="10" t="s">
        <v>141</v>
      </c>
      <c r="AZ1" s="10" t="s">
        <v>140</v>
      </c>
      <c r="BA1" s="8" t="s">
        <v>139</v>
      </c>
      <c r="BB1" s="10" t="s">
        <v>138</v>
      </c>
      <c r="BC1" s="9" t="s">
        <v>137</v>
      </c>
      <c r="BD1" s="8" t="s">
        <v>136</v>
      </c>
      <c r="BE1" s="8" t="s">
        <v>135</v>
      </c>
      <c r="BF1" s="6" t="s">
        <v>134</v>
      </c>
      <c r="BG1" s="6" t="s">
        <v>133</v>
      </c>
      <c r="BH1" s="6" t="s">
        <v>132</v>
      </c>
      <c r="BI1" s="6" t="s">
        <v>131</v>
      </c>
      <c r="BJ1" s="6" t="s">
        <v>130</v>
      </c>
      <c r="BK1" s="6" t="s">
        <v>129</v>
      </c>
      <c r="BL1" s="6" t="s">
        <v>65</v>
      </c>
      <c r="BM1" s="7" t="s">
        <v>128</v>
      </c>
      <c r="BN1" s="6" t="s">
        <v>127</v>
      </c>
      <c r="BO1" s="6" t="s">
        <v>126</v>
      </c>
      <c r="BP1" s="5" t="s">
        <v>125</v>
      </c>
      <c r="BQ1" s="5" t="s">
        <v>124</v>
      </c>
      <c r="BR1" s="3" t="s">
        <v>123</v>
      </c>
      <c r="BS1" s="3" t="s">
        <v>122</v>
      </c>
      <c r="BT1" s="3" t="s">
        <v>121</v>
      </c>
      <c r="BU1" s="3" t="s">
        <v>120</v>
      </c>
      <c r="BV1" s="3" t="s">
        <v>119</v>
      </c>
      <c r="BW1" s="64" t="s">
        <v>1548</v>
      </c>
      <c r="BX1" s="4" t="s">
        <v>117</v>
      </c>
      <c r="BY1" s="3" t="s">
        <v>116</v>
      </c>
      <c r="BZ1" s="3" t="s">
        <v>115</v>
      </c>
      <c r="CA1" s="3" t="s">
        <v>114</v>
      </c>
      <c r="CB1" s="3" t="s">
        <v>113</v>
      </c>
      <c r="CC1" s="3" t="s">
        <v>112</v>
      </c>
      <c r="CD1" s="3" t="s">
        <v>111</v>
      </c>
      <c r="CE1" s="3" t="s">
        <v>110</v>
      </c>
      <c r="CF1" s="3" t="s">
        <v>109</v>
      </c>
      <c r="CG1" s="3" t="s">
        <v>108</v>
      </c>
      <c r="CH1" s="2" t="s">
        <v>107</v>
      </c>
      <c r="CI1" s="2" t="s">
        <v>262</v>
      </c>
      <c r="CJ1" s="2" t="s">
        <v>169</v>
      </c>
      <c r="CK1" s="2" t="s">
        <v>261</v>
      </c>
      <c r="CL1" s="2" t="s">
        <v>106</v>
      </c>
      <c r="CM1" s="27" t="s">
        <v>260</v>
      </c>
      <c r="CN1" s="2" t="s">
        <v>104</v>
      </c>
      <c r="CO1" s="2" t="s">
        <v>103</v>
      </c>
      <c r="CP1" s="2" t="s">
        <v>102</v>
      </c>
      <c r="CQ1" s="2" t="s">
        <v>101</v>
      </c>
      <c r="CR1" s="2" t="s">
        <v>259</v>
      </c>
      <c r="CS1" s="2" t="s">
        <v>1024</v>
      </c>
    </row>
    <row r="2" spans="1:97" x14ac:dyDescent="0.4">
      <c r="A2" s="1" t="s">
        <v>257</v>
      </c>
      <c r="B2" s="1" t="s">
        <v>257</v>
      </c>
      <c r="C2" s="1" t="s">
        <v>257</v>
      </c>
      <c r="D2" s="1" t="s">
        <v>257</v>
      </c>
      <c r="E2" s="1" t="s">
        <v>257</v>
      </c>
      <c r="F2" s="1" t="s">
        <v>257</v>
      </c>
      <c r="G2" s="1" t="s">
        <v>257</v>
      </c>
      <c r="H2" s="1" t="s">
        <v>257</v>
      </c>
      <c r="I2" s="1" t="s">
        <v>257</v>
      </c>
      <c r="J2" s="1" t="s">
        <v>257</v>
      </c>
      <c r="K2" s="1" t="s">
        <v>257</v>
      </c>
      <c r="L2" s="1" t="s">
        <v>257</v>
      </c>
      <c r="M2" s="1" t="s">
        <v>257</v>
      </c>
      <c r="N2" t="s">
        <v>258</v>
      </c>
      <c r="O2" s="26" t="s">
        <v>257</v>
      </c>
      <c r="P2" s="26" t="s">
        <v>257</v>
      </c>
      <c r="Q2" s="1" t="s">
        <v>257</v>
      </c>
      <c r="R2" s="1" t="s">
        <v>257</v>
      </c>
      <c r="S2" s="1" t="s">
        <v>257</v>
      </c>
      <c r="T2" s="1" t="s">
        <v>257</v>
      </c>
      <c r="U2" s="1" t="s">
        <v>257</v>
      </c>
      <c r="V2" s="1" t="s">
        <v>257</v>
      </c>
      <c r="W2" s="1" t="s">
        <v>257</v>
      </c>
      <c r="X2" s="1" t="s">
        <v>257</v>
      </c>
      <c r="Y2" s="1" t="s">
        <v>257</v>
      </c>
      <c r="Z2" s="1" t="s">
        <v>257</v>
      </c>
      <c r="CR2" t="str">
        <f>"e_"&amp;ROW(CR2)</f>
        <v>e_2</v>
      </c>
    </row>
    <row r="3" spans="1:97" x14ac:dyDescent="0.4">
      <c r="A3" t="str">
        <f t="shared" ref="A3:A34" si="0">D3&amp;"の"&amp;C3</f>
        <v>鉄の短刀</v>
      </c>
      <c r="B3" t="str">
        <f>IFERROR(VLOOKUP($D3,素材!$1:$1016,COLUMN($B$1),FALSE)&amp;"・"&amp;VLOOKUP($C3,装備品!$1:$998,COLUMN(B$1),FALSE),"")</f>
        <v>アイアン・ナイフ</v>
      </c>
      <c r="C3" s="24" t="s">
        <v>241</v>
      </c>
      <c r="D3" s="24" t="s">
        <v>256</v>
      </c>
      <c r="E3" t="str">
        <f>IFERROR(VLOOKUP(C3,装備品!$1:$998,COLUMN(C$1),FALSE),"")</f>
        <v>武器</v>
      </c>
      <c r="F3">
        <f>IFERROR(ROUNDDOWN((VLOOKUP($C3,装備品!$1:$998,COLUMN(D$1),FALSE)+IFERROR(VLOOKUP($CI3,付与!$1:$1167,COLUMN(F$1),FALSE),0))*VLOOKUP($D3,素材!$1:$1016,COLUMN(D$1),FALSE),0),"")</f>
        <v>100</v>
      </c>
      <c r="G3">
        <f>IFERROR(ROUNDDOWN((VLOOKUP($C3,装備品!$1:$998,COLUMN(E$1),FALSE)+IFERROR(VLOOKUP($CI3,付与!$1:$1167,COLUMN(G$1),FALSE),0))*VLOOKUP($D3,素材!$1:$1016,COLUMN($E$1),FALSE),0),"")</f>
        <v>10</v>
      </c>
      <c r="H3">
        <f>IFERROR(ROUNDDOWN((VLOOKUP($C3,装備品!$1:$998,COLUMN(F$1),FALSE)+IFERROR(VLOOKUP($CI3,付与!$1:$1167,COLUMN(H$1),FALSE),0))*VLOOKUP($D3,素材!$1:$1016,COLUMN($E$1),FALSE),0),"")</f>
        <v>8</v>
      </c>
      <c r="I3">
        <f>IFERROR(ROUNDDOWN((VLOOKUP($C3,装備品!$1:$998,COLUMN(G$1),FALSE)+IFERROR(VLOOKUP($CI3,付与!$1:$1167,COLUMN(I$1),FALSE),0))*VLOOKUP($D3,素材!$1:$1016,COLUMN($E$1),FALSE),0),"")</f>
        <v>2</v>
      </c>
      <c r="J3">
        <f>IFERROR(ROUNDDOWN((VLOOKUP($C3,装備品!$1:$998,COLUMN(H$1),FALSE)+IFERROR(VLOOKUP($CI3,付与!$1:$1167,COLUMN(J$1),FALSE),0))*VLOOKUP($D3,素材!$1:$1016,COLUMN($E$1),FALSE),0),"")</f>
        <v>13</v>
      </c>
      <c r="K3">
        <f>IFERROR(ROUNDDOWN((VLOOKUP($C3,装備品!$1:$998,COLUMN(I$1),FALSE)+IFERROR(VLOOKUP($CI3,付与!$1:$1167,COLUMN(K$1),FALSE),0))*VLOOKUP($D3,素材!$1:$1016,COLUMN($E$1),FALSE),0),"")</f>
        <v>0</v>
      </c>
      <c r="L3">
        <f>IFERROR(VLOOKUP($D3,素材!$1:$1016,COLUMN($F$1),FALSE),"")</f>
        <v>0</v>
      </c>
      <c r="M3">
        <f>IFERROR(VLOOKUP($C3,装備品!$1:$998,COLUMN(AA$1),FALSE)*VLOOKUP($D3,素材!$1:$1016,COLUMN($G$1),FALSE),"")</f>
        <v>0</v>
      </c>
      <c r="N3">
        <f>IFERROR(VLOOKUP($C3,装備品!$1:$998,COLUMN(I$1),FALSE),"")</f>
        <v>0</v>
      </c>
      <c r="O3" s="23">
        <f>IFERROR((VLOOKUP($C3,装備品!$1:$998,COLUMN(K$1),FALSE)+VLOOKUP($D3,素材!$1:$1016,COLUMN(H$1),FALSE))*100+IFERROR(VLOOKUP($CI3,付与!$1:$1167,COLUMN(O$1),FALSE),0),"")</f>
        <v>10</v>
      </c>
      <c r="P3" s="23">
        <f>IFERROR((VLOOKUP($C3,装備品!$1:$998,COLUMN(L$1),FALSE)+VLOOKUP($D3,素材!$1:$1016,COLUMN(I$1),FALSE))*100+IFERROR(VLOOKUP($CI3,付与!$1:$1167,COLUMN(P$1),FALSE),0),"")</f>
        <v>175</v>
      </c>
      <c r="Q3">
        <f>IFERROR(ROUNDUP(VLOOKUP($C3,装備品!$1:$998,COLUMN(M$1),FALSE)*(VLOOKUP($D3,素材!$1:$1002,COLUMN(D$1),FALSE)/100),1),"")</f>
        <v>0</v>
      </c>
      <c r="R3">
        <f>IFERROR(ROUNDUP(VLOOKUP($C3,装備品!$1:$998,COLUMN(N$1),FALSE)*(VLOOKUP($D3,素材!$1:$1002,COLUMN(D$1),FALSE)/100),1),"")</f>
        <v>0</v>
      </c>
      <c r="S3">
        <f>IFERROR(VLOOKUP($C3,装備品!$1:$998,COLUMN(P$1),FALSE),"")</f>
        <v>0</v>
      </c>
      <c r="T3">
        <f>IFERROR(VLOOKUP($C3,装備品!$1:$998,COLUMN(Q$1),FALSE),"")</f>
        <v>0</v>
      </c>
      <c r="U3">
        <f>IFERROR(VLOOKUP($C3,装備品!$1:$998,COLUMN(R$1),FALSE),"")</f>
        <v>0</v>
      </c>
      <c r="V3">
        <f>IFERROR(VLOOKUP($C3,装備品!$1:$998,COLUMN(Q$1),FALSE),"")</f>
        <v>0</v>
      </c>
      <c r="W3">
        <f>IFERROR(VLOOKUP($C3,装備品!$1:$998,COLUMN(T$1),FALSE),"")</f>
        <v>0</v>
      </c>
      <c r="Y3">
        <f>IFERROR(VLOOKUP($C3,装備品!$1:$998,COLUMN(U$1),FALSE),"")</f>
        <v>0</v>
      </c>
      <c r="Z3">
        <f>IFERROR(ROUNDUP(VLOOKUP($C3,装備品!$1:$998,COLUMN(O$1),FALSE)*VLOOKUP($D3,素材!$1:$1016,COLUMN(E$1),FALSE),1),"")</f>
        <v>0</v>
      </c>
      <c r="AA3">
        <f>IF(ISNUMBER(SEARCH(SUBSTITUTE(AA$1,RIGHT(AA$1,2),""),VLOOKUP($D3,素材!$1:$1016,COLUMN($F$1),FALSE))),VLOOKUP($C3,装備品!$1:$998,COLUMN($O$1),FALSE)*VLOOKUP($D3,素材!$1:$1016,COLUMN($E$1),FALSE)/(LEN(VLOOKUP($D3,素材!$1:$1016,COLUMN($F$1),FALSE))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B3">
        <f>IF(ISNUMBER(SEARCH(SUBSTITUTE(AB$1,RIGHT(AB$1,2),""),VLOOKUP($D3,素材!$1:$1016,COLUMN($F$1),FALSE))),VLOOKUP($C3,装備品!$1:$998,COLUMN($O$1),FALSE)*VLOOKUP($D3,素材!$1:$1016,COLUMN($E$1),FALSE)/(LEN(VLOOKUP($D3,素材!$1:$1016,COLUMN($F$1),FALSE))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C3">
        <f>IF(ISNUMBER(SEARCH(SUBSTITUTE(AC$1,RIGHT(AC$1,2),""),VLOOKUP($D3,素材!$1:$1016,COLUMN($F$1),FALSE))),VLOOKUP($C3,装備品!$1:$998,COLUMN($O$1),FALSE)*VLOOKUP($D3,素材!$1:$1016,COLUMN($E$1),FALSE)/(LEN(VLOOKUP($D3,素材!$1:$1016,COLUMN($F$1),FALSE))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D3">
        <f>IF(ISNUMBER(SEARCH(SUBSTITUTE(AD$1,RIGHT(AD$1,2),""),VLOOKUP($D3,素材!$1:$1016,COLUMN($F$1),FALSE))),VLOOKUP($C3,装備品!$1:$998,COLUMN($O$1),FALSE)*VLOOKUP($D3,素材!$1:$1016,COLUMN($E$1),FALSE)/(LEN(VLOOKUP($D3,素材!$1:$1016,COLUMN($F$1),FALSE))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E3">
        <f>IF(ISNUMBER(SEARCH(SUBSTITUTE(AE$1,RIGHT(AE$1,2),""),VLOOKUP($D3,素材!$1:$1016,COLUMN($F$1),FALSE))),VLOOKUP($C3,装備品!$1:$998,COLUMN($O$1),FALSE)*VLOOKUP($D3,素材!$1:$1016,COLUMN($E$1),FALSE)/(LEN(VLOOKUP($D3,素材!$1:$1016,COLUMN($F$1),FALSE))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F3">
        <f>IF(ISNUMBER(SEARCH(SUBSTITUTE(AF$1,RIGHT(AF$1,2),""),VLOOKUP($D3,素材!$1:$1016,COLUMN($F$1),FALSE))),VLOOKUP($C3,装備品!$1:$998,COLUMN($O$1),FALSE)*VLOOKUP($D3,素材!$1:$1016,COLUMN($E$1),FALSE)/(LEN(VLOOKUP($D3,素材!$1:$1016,COLUMN($F$1),FALSE))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G3">
        <f>IF(ISNUMBER(SEARCH(SUBSTITUTE(AG$1,RIGHT(AG$1,2),""),VLOOKUP($D3,素材!$1:$1016,COLUMN($F$1),FALSE))),VLOOKUP($C3,装備品!$1:$998,COLUMN($O$1),FALSE)*VLOOKUP($D3,素材!$1:$1016,COLUMN($E$1),FALSE)/(LEN(VLOOKUP($D3,素材!$1:$1016,COLUMN($F$1),FALSE))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H3">
        <f>IF(ISNUMBER(SEARCH(SUBSTITUTE(AH$1,RIGHT(AH$1,2),""),VLOOKUP($D3,素材!$1:$1016,COLUMN($F$1),FALSE))),VLOOKUP($C3,装備品!$1:$998,COLUMN($O$1),FALSE)*VLOOKUP($D3,素材!$1:$1016,COLUMN($E$1),FALSE)/(LEN(VLOOKUP($D3,素材!$1:$1016,COLUMN($F$1),FALSE))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I3">
        <f>IF(ISNUMBER(SEARCH(SUBSTITUTE(AI$1,RIGHT(AI$1,2),""),VLOOKUP($D3,素材!$1:$1016,COLUMN($F$1),FALSE))),VLOOKUP($C3,装備品!$1:$998,COLUMN($O$1),FALSE)*VLOOKUP($D3,素材!$1:$1016,COLUMN($E$1),FALSE)/(LEN(VLOOKUP($D3,素材!$1:$1016,COLUMN($F$1),FALSE))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J3">
        <f>IF(ISNUMBER(SEARCH(SUBSTITUTE(AJ$1,RIGHT(AJ$1,2),""),VLOOKUP($D3,素材!$1:$1016,COLUMN($F$1),FALSE))),VLOOKUP($C3,装備品!$1:$998,COLUMN($O$1),FALSE)*VLOOKUP($D3,素材!$1:$1016,COLUMN($E$1),FALSE)/(LEN(VLOOKUP($D3,素材!$1:$1016,COLUMN($F$1),FALSE))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K3">
        <f>IF(ISNUMBER(SEARCH(SUBSTITUTE(AK$1,RIGHT(AK$1,2),""),VLOOKUP($D3,素材!$1:$1016,COLUMN($F$1),FALSE))),VLOOKUP($C3,装備品!$1:$998,COLUMN($O$1),FALSE)*VLOOKUP($D3,素材!$1:$1016,COLUMN($E$1),FALSE)/(LEN(VLOOKUP($D3,素材!$1:$1016,COLUMN($F$1),FALSE))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L3">
        <f>IF(ISNUMBER(SEARCH(SUBSTITUTE(AL$1,RIGHT(AL$1,2),""),VLOOKUP($D3,素材!$1:$1016,COLUMN($F$1),FALSE))),VLOOKUP($C3,装備品!$1:$998,COLUMN($O$1),FALSE)*VLOOKUP($D3,素材!$1:$1016,COLUMN($E$1),FALSE)/(LEN(VLOOKUP($D3,素材!$1:$1016,COLUMN($F$1),FALSE))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M3">
        <f>IF(ISNUMBER(SEARCH(SUBSTITUTE(AM$1,RIGHT(AM$1,2),""),VLOOKUP($D3,素材!$1:$1016,COLUMN($F$1),FALSE))),VLOOKUP($C3,装備品!$1:$998,COLUMN($O$1),FALSE)*VLOOKUP($D3,素材!$1:$1016,COLUMN($E$1),FALSE)/(LEN(VLOOKUP($D3,素材!$1:$1016,COLUMN($F$1),FALSE))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N3">
        <f>IF(ISNUMBER(SEARCH(SUBSTITUTE(AN$1,RIGHT(AN$1,2),""),VLOOKUP($D3,素材!$1:$1016,COLUMN($F$1),FALSE))),VLOOKUP($C3,装備品!$1:$998,COLUMN($O$1),FALSE)*VLOOKUP($D3,素材!$1:$1016,COLUMN($E$1),FALSE)/(LEN(VLOOKUP($D3,素材!$1:$1016,COLUMN($F$1),FALSE))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O3">
        <f>IF(ISNUMBER(SEARCH(SUBSTITUTE(AO$1,RIGHT(AO$1,2),""),VLOOKUP($D3,素材!$1:$1016,COLUMN($F$1),FALSE))),VLOOKUP($C3,装備品!$1:$998,COLUMN($O$1),FALSE)*VLOOKUP($D3,素材!$1:$1016,COLUMN($E$1),FALSE)/(LEN(VLOOKUP($D3,素材!$1:$1016,COLUMN($F$1),FALSE))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P3">
        <f>IF(ISNUMBER(SEARCH(SUBSTITUTE(AP$1,RIGHT(AP$1,2),""),VLOOKUP($D3,素材!$1:$1016,COLUMN($F$1),FALSE))),VLOOKUP($C3,装備品!$1:$998,COLUMN($O$1),FALSE)*VLOOKUP($D3,素材!$1:$1016,COLUMN($E$1),FALSE)/(LEN(VLOOKUP($D3,素材!$1:$1016,COLUMN($F$1),FALSE))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Q3">
        <f>IF(ISNUMBER(SEARCH(SUBSTITUTE(AQ$1,RIGHT(AQ$1,2),""),VLOOKUP($D3,素材!$1:$1016,COLUMN($F$1),FALSE))),VLOOKUP($C3,装備品!$1:$998,COLUMN($O$1),FALSE)*VLOOKUP($D3,素材!$1:$1016,COLUMN($E$1),FALSE)/(LEN(VLOOKUP($D3,素材!$1:$1016,COLUMN($F$1),FALSE))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R3">
        <f>IF(ISNUMBER(SEARCH(SUBSTITUTE(AR$1,RIGHT(AR$1,2),""),VLOOKUP($D3,素材!$1:$1016,COLUMN($F$1),FALSE))),VLOOKUP($C3,装備品!$1:$998,COLUMN($O$1),FALSE)*VLOOKUP($D3,素材!$1:$1016,COLUMN($E$1),FALSE)/(LEN(VLOOKUP($D3,素材!$1:$1016,COLUMN($F$1),FALSE))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S3">
        <f>IF(ISNUMBER(SEARCH(SUBSTITUTE(AS$1,RIGHT(AS$1,2),""),VLOOKUP($D3,素材!$1:$1016,COLUMN($F$1),FALSE))),VLOOKUP($C3,装備品!$1:$998,COLUMN($O$1),FALSE)*VLOOKUP($D3,素材!$1:$1016,COLUMN($E$1),FALSE)/(LEN(VLOOKUP($D3,素材!$1:$1016,COLUMN($F$1),FALSE))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T3">
        <f>IF(ISNUMBER(SEARCH(SUBSTITUTE(AT$1,RIGHT(AT$1,2),""),VLOOKUP($D3,素材!$1:$1016,COLUMN($F$1),FALSE))),VLOOKUP($C3,装備品!$1:$998,COLUMN($O$1),FALSE)*VLOOKUP($D3,素材!$1:$1016,COLUMN($E$1),FALSE)/(LEN(VLOOKUP($D3,素材!$1:$1016,COLUMN($F$1),FALSE))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U3">
        <f>IF(ISNUMBER(SEARCH(SUBSTITUTE(AU$1,RIGHT(AU$1,2),""),VLOOKUP($D3,素材!$1:$1016,COLUMN($F$1),FALSE))),VLOOKUP($C3,装備品!$1:$998,COLUMN($O$1),FALSE)*VLOOKUP($D3,素材!$1:$1016,COLUMN($E$1),FALSE)/(LEN(VLOOKUP($D3,素材!$1:$1016,COLUMN($F$1),FALSE))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V3">
        <f>IF(ISNUMBER(SEARCH(SUBSTITUTE(AV$1,RIGHT(AV$1,2),""),VLOOKUP($D3,素材!$1:$1016,COLUMN($F$1),FALSE))),VLOOKUP($C3,装備品!$1:$998,COLUMN($O$1),FALSE)*VLOOKUP($D3,素材!$1:$1016,COLUMN($E$1),FALSE)/(LEN(VLOOKUP($D3,素材!$1:$1016,COLUMN($F$1),FALSE))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W3">
        <f>IF(ISNUMBER(SEARCH(SUBSTITUTE(AW$1,RIGHT(AW$1,2),""),VLOOKUP($D3,素材!$1:$1016,COLUMN($F$1),FALSE))),VLOOKUP($C3,装備品!$1:$998,COLUMN($O$1),FALSE)*VLOOKUP($D3,素材!$1:$1016,COLUMN($E$1),FALSE)/(LEN(VLOOKUP($D3,素材!$1:$1016,COLUMN($F$1),FALSE))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X3">
        <f>IF(ISNUMBER(SEARCH(SUBSTITUTE(AX$1,RIGHT(AX$1,2),""),VLOOKUP($D3,素材!$1:$1016,COLUMN($F$1),FALSE))),VLOOKUP($C3,装備品!$1:$998,COLUMN($O$1),FALSE)*VLOOKUP($D3,素材!$1:$1016,COLUMN($E$1),FALSE)/(LEN(VLOOKUP($D3,素材!$1:$1016,COLUMN($F$1),FALSE))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Y3">
        <f>IF(ISNUMBER(SEARCH(SUBSTITUTE(AY$1,RIGHT(AY$1,2),""),VLOOKUP($D3,素材!$1:$1016,COLUMN($F$1),FALSE))),VLOOKUP($C3,装備品!$1:$998,COLUMN($O$1),FALSE)*VLOOKUP($D3,素材!$1:$1016,COLUMN($E$1),FALSE)/(LEN(VLOOKUP($D3,素材!$1:$1016,COLUMN($F$1),FALSE))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Z3">
        <f>IF(ISNUMBER(SEARCH(SUBSTITUTE(AZ$1,RIGHT(AZ$1,2),""),VLOOKUP($D3,素材!$1:$1016,COLUMN($F$1),FALSE))),VLOOKUP($C3,装備品!$1:$998,COLUMN($O$1),FALSE)*VLOOKUP($D3,素材!$1:$1016,COLUMN($E$1),FALSE)/(LEN(VLOOKUP($D3,素材!$1:$1016,COLUMN($F$1),FALSE))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BA3">
        <f>IF(ISNUMBER(SEARCH(SUBSTITUTE(BA$1,RIGHT(BA$1,2),""),VLOOKUP($D3,素材!$1:$1016,COLUMN($F$1),FALSE))),VLOOKUP($C3,装備品!$1:$998,COLUMN($O$1),FALSE)*VLOOKUP($D3,素材!$1:$1016,COLUMN($E$1),FALSE)/(LEN(VLOOKUP($D3,素材!$1:$1016,COLUMN($F$1),FALSE))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BB3">
        <f>IF(ISNUMBER(SEARCH(SUBSTITUTE(BB$1,RIGHT(BB$1,2),""),VLOOKUP($D3,素材!$1:$1016,COLUMN($F$1),FALSE))),VLOOKUP($C3,装備品!$1:$998,COLUMN($O$1),FALSE)*VLOOKUP($D3,素材!$1:$1016,COLUMN($E$1),FALSE)/(LEN(VLOOKUP($D3,素材!$1:$1016,COLUMN($F$1),FALSE))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BC3">
        <f>IF(ISNUMBER(SEARCH(SUBSTITUTE(BC$1,RIGHT(BC$1,2),""),VLOOKUP($D3,素材!$1:$1016,COLUMN($F$1),FALSE))),VLOOKUP($C3,装備品!$1:$998,COLUMN($O$1),FALSE)*VLOOKUP($D3,素材!$1:$1016,COLUMN($E$1),FALSE)/(LEN(VLOOKUP($D3,素材!$1:$1016,COLUMN($F$1),FALSE))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BD3">
        <f>IF(ISNUMBER(SEARCH(SUBSTITUTE(BD$1,RIGHT(BD$1,2),""),VLOOKUP($D3,素材!$1:$1016,COLUMN($F$1),FALSE))),VLOOKUP($C3,装備品!$1:$998,COLUMN($O$1),FALSE)*VLOOKUP($D3,素材!$1:$1016,COLUMN($E$1),FALSE)/(LEN(VLOOKUP($D3,素材!$1:$1016,COLUMN($F$1),FALSE))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BE3">
        <f>IF(ISNUMBER(SEARCH(SUBSTITUTE(BE$1,RIGHT(BE$1,2),""),VLOOKUP($D3,素材!$1:$1016,COLUMN($F$1),FALSE))),VLOOKUP($C3,装備品!$1:$998,COLUMN($O$1),FALSE)*VLOOKUP($D3,素材!$1:$1016,COLUMN($E$1),FALSE)/(LEN(VLOOKUP($D3,素材!$1:$1016,COLUMN($F$1),FALSE))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CL3">
        <f t="shared" ref="CL3:CL66" si="1">SUM(G3:I3)</f>
        <v>20</v>
      </c>
      <c r="CM3" s="22" t="str">
        <f t="shared" ref="CM3:CM66" si="2">IF(E3="武器",IF(J3-1&gt;SUM(G3:I3),"盾",IF(MAX(G3:I3)=G3,"切断",IF(MAX(G3:I3)=H3,"貫通",IF(MAX(G3:I3)=I3,"打撃","射撃")))),E3)&amp;".webp"</f>
        <v>切断.webp</v>
      </c>
      <c r="CN3">
        <f>IFERROR(VLOOKUP($C3,装備品!$1:$998,COLUMN(V$1),FALSE)*VLOOKUP($D3,素材!$1:$1016,COLUMN(N$1),FALSE)+IF(CI3="",0,VLOOKUP($CI3,付与!$1:$1176,COLUMN($CK$1),FALSE)),"")</f>
        <v>0</v>
      </c>
      <c r="CO3" t="str">
        <f>VLOOKUP(D3,素材!$A:$O,COLUMN(素材!O$1),FALSE)</f>
        <v>一般的な鉄。量産品を作るのに使用されることが多い</v>
      </c>
      <c r="CP3" t="str">
        <f>VLOOKUP(C3,装備品!$A:$AB,COLUMN(装備品!AB$1),FALSE)</f>
        <v>短刀。暗殺向けの武器で、軽量かつ片手操作に適する。Cr威力が高い</v>
      </c>
      <c r="CR3" t="str">
        <f t="shared" ref="CR3:CR66" si="3">"e_"&amp;ROW(CR3)</f>
        <v>e_3</v>
      </c>
      <c r="CS3">
        <f>CN3*100</f>
        <v>0</v>
      </c>
    </row>
    <row r="4" spans="1:97" outlineLevel="1" x14ac:dyDescent="0.4">
      <c r="A4" t="str">
        <f t="shared" si="0"/>
        <v>鉄の刀</v>
      </c>
      <c r="B4" t="str">
        <f>IFERROR(VLOOKUP($D4,素材!$1:$1016,COLUMN($B$1),FALSE)&amp;"・"&amp;VLOOKUP($C4,装備品!$1:$998,COLUMN(B$1),FALSE),"")</f>
        <v>アイアン・カタナ</v>
      </c>
      <c r="C4" s="24" t="s">
        <v>240</v>
      </c>
      <c r="D4" s="24" t="s">
        <v>256</v>
      </c>
      <c r="E4" t="str">
        <f>IFERROR(VLOOKUP(C4,装備品!$1:$998,COLUMN(C$1),FALSE),"")</f>
        <v>武器</v>
      </c>
      <c r="F4">
        <f>IFERROR(ROUNDDOWN((VLOOKUP($C4,装備品!$1:$998,COLUMN(D$1),FALSE)+IFERROR(VLOOKUP($CI4,付与!$1:$1167,COLUMN(F$1),FALSE),0))*VLOOKUP($D4,素材!$1:$1016,COLUMN(D$1),FALSE),0),"")</f>
        <v>105</v>
      </c>
      <c r="G4">
        <f>IFERROR(ROUNDDOWN((VLOOKUP($C4,装備品!$1:$998,COLUMN(E$1),FALSE)+IFERROR(VLOOKUP($CI4,付与!$1:$1167,COLUMN(G$1),FALSE),0))*VLOOKUP($D4,素材!$1:$1016,COLUMN($E$1),FALSE),0),"")</f>
        <v>14</v>
      </c>
      <c r="H4">
        <f>IFERROR(ROUNDDOWN((VLOOKUP($C4,装備品!$1:$998,COLUMN(F$1),FALSE)+IFERROR(VLOOKUP($CI4,付与!$1:$1167,COLUMN(H$1),FALSE),0))*VLOOKUP($D4,素材!$1:$1016,COLUMN($E$1),FALSE),0),"")</f>
        <v>8</v>
      </c>
      <c r="I4">
        <f>IFERROR(ROUNDDOWN((VLOOKUP($C4,装備品!$1:$998,COLUMN(G$1),FALSE)+IFERROR(VLOOKUP($CI4,付与!$1:$1167,COLUMN(I$1),FALSE),0))*VLOOKUP($D4,素材!$1:$1016,COLUMN($E$1),FALSE),0),"")</f>
        <v>2</v>
      </c>
      <c r="J4">
        <f>IFERROR(ROUNDDOWN((VLOOKUP($C4,装備品!$1:$998,COLUMN(H$1),FALSE)+IFERROR(VLOOKUP($CI4,付与!$1:$1167,COLUMN(J$1),FALSE),0))*VLOOKUP($D4,素材!$1:$1016,COLUMN($E$1),FALSE),0),"")</f>
        <v>17</v>
      </c>
      <c r="K4">
        <f>IFERROR(ROUNDDOWN((VLOOKUP($C4,装備品!$1:$998,COLUMN(I$1),FALSE)+IFERROR(VLOOKUP($CI4,付与!$1:$1167,COLUMN(K$1),FALSE),0))*VLOOKUP($D4,素材!$1:$1016,COLUMN($E$1),FALSE),0),"")</f>
        <v>0</v>
      </c>
      <c r="L4">
        <f>IFERROR(VLOOKUP($D4,素材!$1:$1016,COLUMN($F$1),FALSE),"")</f>
        <v>0</v>
      </c>
      <c r="M4">
        <f>IFERROR(VLOOKUP($C4,装備品!$1:$998,COLUMN(AA$1),FALSE)*VLOOKUP($D4,素材!$1:$1016,COLUMN($G$1),FALSE),"")</f>
        <v>0</v>
      </c>
      <c r="N4">
        <f>IFERROR(VLOOKUP($C4,装備品!$1:$998,COLUMN(I$1),FALSE),"")</f>
        <v>0</v>
      </c>
      <c r="O4" s="23">
        <f>IFERROR((VLOOKUP($C4,装備品!$1:$998,COLUMN(K$1),FALSE)+VLOOKUP($D4,素材!$1:$1016,COLUMN(H$1),FALSE))*100+IFERROR(VLOOKUP($CI4,付与!$1:$1167,COLUMN(O$1),FALSE),0),"")</f>
        <v>10</v>
      </c>
      <c r="P4" s="23">
        <f>IFERROR((VLOOKUP($C4,装備品!$1:$998,COLUMN(L$1),FALSE)+VLOOKUP($D4,素材!$1:$1016,COLUMN(I$1),FALSE))*100+IFERROR(VLOOKUP($CI4,付与!$1:$1167,COLUMN(P$1),FALSE),0),"")</f>
        <v>175</v>
      </c>
      <c r="Q4">
        <f>IFERROR(ROUNDUP(VLOOKUP($C4,装備品!$1:$998,COLUMN(M$1),FALSE)*(VLOOKUP($D4,素材!$1:$1002,COLUMN(D$1),FALSE)/100),1),"")</f>
        <v>0</v>
      </c>
      <c r="R4">
        <f>IFERROR(ROUNDUP(VLOOKUP($C4,装備品!$1:$998,COLUMN(N$1),FALSE)*(VLOOKUP($D4,素材!$1:$1002,COLUMN(D$1),FALSE)/100),1),"")</f>
        <v>0</v>
      </c>
      <c r="S4">
        <f>IFERROR(VLOOKUP($C4,装備品!$1:$998,COLUMN(P$1),FALSE),"")</f>
        <v>0</v>
      </c>
      <c r="T4">
        <f>IFERROR(VLOOKUP($C4,装備品!$1:$998,COLUMN(Q$1),FALSE),"")</f>
        <v>0</v>
      </c>
      <c r="U4">
        <f>IFERROR(VLOOKUP($C4,装備品!$1:$998,COLUMN(R$1),FALSE),"")</f>
        <v>0</v>
      </c>
      <c r="V4">
        <f>IFERROR(VLOOKUP($C4,装備品!$1:$998,COLUMN(Q$1),FALSE),"")</f>
        <v>0</v>
      </c>
      <c r="W4">
        <f>IFERROR(VLOOKUP($C4,装備品!$1:$998,COLUMN(T$1),FALSE),"")</f>
        <v>0</v>
      </c>
      <c r="Y4">
        <f>IFERROR(VLOOKUP($C4,装備品!$1:$998,COLUMN(U$1),FALSE),"")</f>
        <v>0</v>
      </c>
      <c r="Z4">
        <f>IFERROR(ROUNDUP(VLOOKUP($C4,装備品!$1:$998,COLUMN(O$1),FALSE)*VLOOKUP($D4,素材!$1:$1016,COLUMN(E$1),FALSE),1),"")</f>
        <v>0</v>
      </c>
      <c r="AA4">
        <f>IF(ISNUMBER(SEARCH(SUBSTITUTE(AA$1,RIGHT(AA$1,2),""),VLOOKUP($D4,素材!$1:$1016,COLUMN($F$1),FALSE))),VLOOKUP($C4,装備品!$1:$998,COLUMN($O$1),FALSE)*VLOOKUP($D4,素材!$1:$1016,COLUMN($E$1),FALSE)/(LEN(VLOOKUP($D4,素材!$1:$1016,COLUMN($F$1),FALSE))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B4">
        <f>IF(ISNUMBER(SEARCH(SUBSTITUTE(AB$1,RIGHT(AB$1,2),""),VLOOKUP($D4,素材!$1:$1016,COLUMN($F$1),FALSE))),VLOOKUP($C4,装備品!$1:$998,COLUMN($O$1),FALSE)*VLOOKUP($D4,素材!$1:$1016,COLUMN($E$1),FALSE)/(LEN(VLOOKUP($D4,素材!$1:$1016,COLUMN($F$1),FALSE))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C4">
        <f>IF(ISNUMBER(SEARCH(SUBSTITUTE(AC$1,RIGHT(AC$1,2),""),VLOOKUP($D4,素材!$1:$1016,COLUMN($F$1),FALSE))),VLOOKUP($C4,装備品!$1:$998,COLUMN($O$1),FALSE)*VLOOKUP($D4,素材!$1:$1016,COLUMN($E$1),FALSE)/(LEN(VLOOKUP($D4,素材!$1:$1016,COLUMN($F$1),FALSE))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D4">
        <f>IF(ISNUMBER(SEARCH(SUBSTITUTE(AD$1,RIGHT(AD$1,2),""),VLOOKUP($D4,素材!$1:$1016,COLUMN($F$1),FALSE))),VLOOKUP($C4,装備品!$1:$998,COLUMN($O$1),FALSE)*VLOOKUP($D4,素材!$1:$1016,COLUMN($E$1),FALSE)/(LEN(VLOOKUP($D4,素材!$1:$1016,COLUMN($F$1),FALSE))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E4">
        <f>IF(ISNUMBER(SEARCH(SUBSTITUTE(AE$1,RIGHT(AE$1,2),""),VLOOKUP($D4,素材!$1:$1016,COLUMN($F$1),FALSE))),VLOOKUP($C4,装備品!$1:$998,COLUMN($O$1),FALSE)*VLOOKUP($D4,素材!$1:$1016,COLUMN($E$1),FALSE)/(LEN(VLOOKUP($D4,素材!$1:$1016,COLUMN($F$1),FALSE))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F4">
        <f>IF(ISNUMBER(SEARCH(SUBSTITUTE(AF$1,RIGHT(AF$1,2),""),VLOOKUP($D4,素材!$1:$1016,COLUMN($F$1),FALSE))),VLOOKUP($C4,装備品!$1:$998,COLUMN($O$1),FALSE)*VLOOKUP($D4,素材!$1:$1016,COLUMN($E$1),FALSE)/(LEN(VLOOKUP($D4,素材!$1:$1016,COLUMN($F$1),FALSE))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G4">
        <f>IF(ISNUMBER(SEARCH(SUBSTITUTE(AG$1,RIGHT(AG$1,2),""),VLOOKUP($D4,素材!$1:$1016,COLUMN($F$1),FALSE))),VLOOKUP($C4,装備品!$1:$998,COLUMN($O$1),FALSE)*VLOOKUP($D4,素材!$1:$1016,COLUMN($E$1),FALSE)/(LEN(VLOOKUP($D4,素材!$1:$1016,COLUMN($F$1),FALSE))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H4">
        <f>IF(ISNUMBER(SEARCH(SUBSTITUTE(AH$1,RIGHT(AH$1,2),""),VLOOKUP($D4,素材!$1:$1016,COLUMN($F$1),FALSE))),VLOOKUP($C4,装備品!$1:$998,COLUMN($O$1),FALSE)*VLOOKUP($D4,素材!$1:$1016,COLUMN($E$1),FALSE)/(LEN(VLOOKUP($D4,素材!$1:$1016,COLUMN($F$1),FALSE))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I4">
        <f>IF(ISNUMBER(SEARCH(SUBSTITUTE(AI$1,RIGHT(AI$1,2),""),VLOOKUP($D4,素材!$1:$1016,COLUMN($F$1),FALSE))),VLOOKUP($C4,装備品!$1:$998,COLUMN($O$1),FALSE)*VLOOKUP($D4,素材!$1:$1016,COLUMN($E$1),FALSE)/(LEN(VLOOKUP($D4,素材!$1:$1016,COLUMN($F$1),FALSE))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J4">
        <f>IF(ISNUMBER(SEARCH(SUBSTITUTE(AJ$1,RIGHT(AJ$1,2),""),VLOOKUP($D4,素材!$1:$1016,COLUMN($F$1),FALSE))),VLOOKUP($C4,装備品!$1:$998,COLUMN($O$1),FALSE)*VLOOKUP($D4,素材!$1:$1016,COLUMN($E$1),FALSE)/(LEN(VLOOKUP($D4,素材!$1:$1016,COLUMN($F$1),FALSE))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K4">
        <f>IF(ISNUMBER(SEARCH(SUBSTITUTE(AK$1,RIGHT(AK$1,2),""),VLOOKUP($D4,素材!$1:$1016,COLUMN($F$1),FALSE))),VLOOKUP($C4,装備品!$1:$998,COLUMN($O$1),FALSE)*VLOOKUP($D4,素材!$1:$1016,COLUMN($E$1),FALSE)/(LEN(VLOOKUP($D4,素材!$1:$1016,COLUMN($F$1),FALSE))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L4">
        <f>IF(ISNUMBER(SEARCH(SUBSTITUTE(AL$1,RIGHT(AL$1,2),""),VLOOKUP($D4,素材!$1:$1016,COLUMN($F$1),FALSE))),VLOOKUP($C4,装備品!$1:$998,COLUMN($O$1),FALSE)*VLOOKUP($D4,素材!$1:$1016,COLUMN($E$1),FALSE)/(LEN(VLOOKUP($D4,素材!$1:$1016,COLUMN($F$1),FALSE))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M4">
        <f>IF(ISNUMBER(SEARCH(SUBSTITUTE(AM$1,RIGHT(AM$1,2),""),VLOOKUP($D4,素材!$1:$1016,COLUMN($F$1),FALSE))),VLOOKUP($C4,装備品!$1:$998,COLUMN($O$1),FALSE)*VLOOKUP($D4,素材!$1:$1016,COLUMN($E$1),FALSE)/(LEN(VLOOKUP($D4,素材!$1:$1016,COLUMN($F$1),FALSE))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N4">
        <f>IF(ISNUMBER(SEARCH(SUBSTITUTE(AN$1,RIGHT(AN$1,2),""),VLOOKUP($D4,素材!$1:$1016,COLUMN($F$1),FALSE))),VLOOKUP($C4,装備品!$1:$998,COLUMN($O$1),FALSE)*VLOOKUP($D4,素材!$1:$1016,COLUMN($E$1),FALSE)/(LEN(VLOOKUP($D4,素材!$1:$1016,COLUMN($F$1),FALSE))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O4">
        <f>IF(ISNUMBER(SEARCH(SUBSTITUTE(AO$1,RIGHT(AO$1,2),""),VLOOKUP($D4,素材!$1:$1016,COLUMN($F$1),FALSE))),VLOOKUP($C4,装備品!$1:$998,COLUMN($O$1),FALSE)*VLOOKUP($D4,素材!$1:$1016,COLUMN($E$1),FALSE)/(LEN(VLOOKUP($D4,素材!$1:$1016,COLUMN($F$1),FALSE))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P4">
        <f>IF(ISNUMBER(SEARCH(SUBSTITUTE(AP$1,RIGHT(AP$1,2),""),VLOOKUP($D4,素材!$1:$1016,COLUMN($F$1),FALSE))),VLOOKUP($C4,装備品!$1:$998,COLUMN($O$1),FALSE)*VLOOKUP($D4,素材!$1:$1016,COLUMN($E$1),FALSE)/(LEN(VLOOKUP($D4,素材!$1:$1016,COLUMN($F$1),FALSE))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Q4">
        <f>IF(ISNUMBER(SEARCH(SUBSTITUTE(AQ$1,RIGHT(AQ$1,2),""),VLOOKUP($D4,素材!$1:$1016,COLUMN($F$1),FALSE))),VLOOKUP($C4,装備品!$1:$998,COLUMN($O$1),FALSE)*VLOOKUP($D4,素材!$1:$1016,COLUMN($E$1),FALSE)/(LEN(VLOOKUP($D4,素材!$1:$1016,COLUMN($F$1),FALSE))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R4">
        <f>IF(ISNUMBER(SEARCH(SUBSTITUTE(AR$1,RIGHT(AR$1,2),""),VLOOKUP($D4,素材!$1:$1016,COLUMN($F$1),FALSE))),VLOOKUP($C4,装備品!$1:$998,COLUMN($O$1),FALSE)*VLOOKUP($D4,素材!$1:$1016,COLUMN($E$1),FALSE)/(LEN(VLOOKUP($D4,素材!$1:$1016,COLUMN($F$1),FALSE))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S4">
        <f>IF(ISNUMBER(SEARCH(SUBSTITUTE(AS$1,RIGHT(AS$1,2),""),VLOOKUP($D4,素材!$1:$1016,COLUMN($F$1),FALSE))),VLOOKUP($C4,装備品!$1:$998,COLUMN($O$1),FALSE)*VLOOKUP($D4,素材!$1:$1016,COLUMN($E$1),FALSE)/(LEN(VLOOKUP($D4,素材!$1:$1016,COLUMN($F$1),FALSE))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T4">
        <f>IF(ISNUMBER(SEARCH(SUBSTITUTE(AT$1,RIGHT(AT$1,2),""),VLOOKUP($D4,素材!$1:$1016,COLUMN($F$1),FALSE))),VLOOKUP($C4,装備品!$1:$998,COLUMN($O$1),FALSE)*VLOOKUP($D4,素材!$1:$1016,COLUMN($E$1),FALSE)/(LEN(VLOOKUP($D4,素材!$1:$1016,COLUMN($F$1),FALSE))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U4">
        <f>IF(ISNUMBER(SEARCH(SUBSTITUTE(AU$1,RIGHT(AU$1,2),""),VLOOKUP($D4,素材!$1:$1016,COLUMN($F$1),FALSE))),VLOOKUP($C4,装備品!$1:$998,COLUMN($O$1),FALSE)*VLOOKUP($D4,素材!$1:$1016,COLUMN($E$1),FALSE)/(LEN(VLOOKUP($D4,素材!$1:$1016,COLUMN($F$1),FALSE))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V4">
        <f>IF(ISNUMBER(SEARCH(SUBSTITUTE(AV$1,RIGHT(AV$1,2),""),VLOOKUP($D4,素材!$1:$1016,COLUMN($F$1),FALSE))),VLOOKUP($C4,装備品!$1:$998,COLUMN($O$1),FALSE)*VLOOKUP($D4,素材!$1:$1016,COLUMN($E$1),FALSE)/(LEN(VLOOKUP($D4,素材!$1:$1016,COLUMN($F$1),FALSE))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W4">
        <f>IF(ISNUMBER(SEARCH(SUBSTITUTE(AW$1,RIGHT(AW$1,2),""),VLOOKUP($D4,素材!$1:$1016,COLUMN($F$1),FALSE))),VLOOKUP($C4,装備品!$1:$998,COLUMN($O$1),FALSE)*VLOOKUP($D4,素材!$1:$1016,COLUMN($E$1),FALSE)/(LEN(VLOOKUP($D4,素材!$1:$1016,COLUMN($F$1),FALSE))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X4">
        <f>IF(ISNUMBER(SEARCH(SUBSTITUTE(AX$1,RIGHT(AX$1,2),""),VLOOKUP($D4,素材!$1:$1016,COLUMN($F$1),FALSE))),VLOOKUP($C4,装備品!$1:$998,COLUMN($O$1),FALSE)*VLOOKUP($D4,素材!$1:$1016,COLUMN($E$1),FALSE)/(LEN(VLOOKUP($D4,素材!$1:$1016,COLUMN($F$1),FALSE))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Y4">
        <f>IF(ISNUMBER(SEARCH(SUBSTITUTE(AY$1,RIGHT(AY$1,2),""),VLOOKUP($D4,素材!$1:$1016,COLUMN($F$1),FALSE))),VLOOKUP($C4,装備品!$1:$998,COLUMN($O$1),FALSE)*VLOOKUP($D4,素材!$1:$1016,COLUMN($E$1),FALSE)/(LEN(VLOOKUP($D4,素材!$1:$1016,COLUMN($F$1),FALSE))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Z4">
        <f>IF(ISNUMBER(SEARCH(SUBSTITUTE(AZ$1,RIGHT(AZ$1,2),""),VLOOKUP($D4,素材!$1:$1016,COLUMN($F$1),FALSE))),VLOOKUP($C4,装備品!$1:$998,COLUMN($O$1),FALSE)*VLOOKUP($D4,素材!$1:$1016,COLUMN($E$1),FALSE)/(LEN(VLOOKUP($D4,素材!$1:$1016,COLUMN($F$1),FALSE))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BA4">
        <f>IF(ISNUMBER(SEARCH(SUBSTITUTE(BA$1,RIGHT(BA$1,2),""),VLOOKUP($D4,素材!$1:$1016,COLUMN($F$1),FALSE))),VLOOKUP($C4,装備品!$1:$998,COLUMN($O$1),FALSE)*VLOOKUP($D4,素材!$1:$1016,COLUMN($E$1),FALSE)/(LEN(VLOOKUP($D4,素材!$1:$1016,COLUMN($F$1),FALSE))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BB4">
        <f>IF(ISNUMBER(SEARCH(SUBSTITUTE(BB$1,RIGHT(BB$1,2),""),VLOOKUP($D4,素材!$1:$1016,COLUMN($F$1),FALSE))),VLOOKUP($C4,装備品!$1:$998,COLUMN($O$1),FALSE)*VLOOKUP($D4,素材!$1:$1016,COLUMN($E$1),FALSE)/(LEN(VLOOKUP($D4,素材!$1:$1016,COLUMN($F$1),FALSE))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BC4">
        <f>IF(ISNUMBER(SEARCH(SUBSTITUTE(BC$1,RIGHT(BC$1,2),""),VLOOKUP($D4,素材!$1:$1016,COLUMN($F$1),FALSE))),VLOOKUP($C4,装備品!$1:$998,COLUMN($O$1),FALSE)*VLOOKUP($D4,素材!$1:$1016,COLUMN($E$1),FALSE)/(LEN(VLOOKUP($D4,素材!$1:$1016,COLUMN($F$1),FALSE))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BD4">
        <f>IF(ISNUMBER(SEARCH(SUBSTITUTE(BD$1,RIGHT(BD$1,2),""),VLOOKUP($D4,素材!$1:$1016,COLUMN($F$1),FALSE))),VLOOKUP($C4,装備品!$1:$998,COLUMN($O$1),FALSE)*VLOOKUP($D4,素材!$1:$1016,COLUMN($E$1),FALSE)/(LEN(VLOOKUP($D4,素材!$1:$1016,COLUMN($F$1),FALSE))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BE4">
        <f>IF(ISNUMBER(SEARCH(SUBSTITUTE(BE$1,RIGHT(BE$1,2),""),VLOOKUP($D4,素材!$1:$1016,COLUMN($F$1),FALSE))),VLOOKUP($C4,装備品!$1:$998,COLUMN($O$1),FALSE)*VLOOKUP($D4,素材!$1:$1016,COLUMN($E$1),FALSE)/(LEN(VLOOKUP($D4,素材!$1:$1016,COLUMN($F$1),FALSE))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CL4">
        <f t="shared" si="1"/>
        <v>24</v>
      </c>
      <c r="CM4" s="22" t="str">
        <f t="shared" si="2"/>
        <v>切断.webp</v>
      </c>
      <c r="CN4">
        <f>IFERROR(VLOOKUP($C4,装備品!$1:$998,COLUMN(V$1),FALSE)*VLOOKUP($D4,素材!$1:$1016,COLUMN(N$1),FALSE)+IF(CI4="",0,VLOOKUP($CI4,付与!$1:$1176,COLUMN($CK$1),FALSE)),"")</f>
        <v>0</v>
      </c>
      <c r="CO4" t="str">
        <f>VLOOKUP(D4,素材!$A:$O,COLUMN(素材!O$1),FALSE)</f>
        <v>一般的な鉄。量産品を作るのに使用されることが多い</v>
      </c>
      <c r="CP4" t="str">
        <f>VLOOKUP(C4,装備品!$A:$AB,COLUMN(装備品!AB$1),FALSE)</f>
        <v>刀。切断力に優れた武器で、Cr威力が高い</v>
      </c>
      <c r="CR4" t="str">
        <f t="shared" si="3"/>
        <v>e_4</v>
      </c>
      <c r="CS4">
        <f t="shared" ref="CS4:CS67" si="4">CN4*100</f>
        <v>0</v>
      </c>
    </row>
    <row r="5" spans="1:97" outlineLevel="1" x14ac:dyDescent="0.4">
      <c r="A5" t="str">
        <f t="shared" si="0"/>
        <v>鉄の剣</v>
      </c>
      <c r="B5" t="str">
        <f>IFERROR(VLOOKUP($D5,素材!$1:$1016,COLUMN($B$1),FALSE)&amp;"・"&amp;VLOOKUP($C5,装備品!$1:$998,COLUMN(B$1),FALSE),"")</f>
        <v>アイアン・ソード</v>
      </c>
      <c r="C5" s="24" t="s">
        <v>239</v>
      </c>
      <c r="D5" s="24" t="s">
        <v>256</v>
      </c>
      <c r="E5" t="str">
        <f>IFERROR(VLOOKUP(C5,装備品!$1:$998,COLUMN(C$1),FALSE),"")</f>
        <v>武器</v>
      </c>
      <c r="F5">
        <f>IFERROR(ROUNDDOWN((VLOOKUP($C5,装備品!$1:$998,COLUMN(D$1),FALSE)+IFERROR(VLOOKUP($CI5,付与!$1:$1167,COLUMN(F$1),FALSE),0))*VLOOKUP($D5,素材!$1:$1016,COLUMN(D$1),FALSE),0),"")</f>
        <v>100</v>
      </c>
      <c r="G5">
        <f>IFERROR(ROUNDDOWN((VLOOKUP($C5,装備品!$1:$998,COLUMN(E$1),FALSE)+IFERROR(VLOOKUP($CI5,付与!$1:$1167,COLUMN(G$1),FALSE),0))*VLOOKUP($D5,素材!$1:$1016,COLUMN($E$1),FALSE),0),"")</f>
        <v>12</v>
      </c>
      <c r="H5">
        <f>IFERROR(ROUNDDOWN((VLOOKUP($C5,装備品!$1:$998,COLUMN(F$1),FALSE)+IFERROR(VLOOKUP($CI5,付与!$1:$1167,COLUMN(H$1),FALSE),0))*VLOOKUP($D5,素材!$1:$1016,COLUMN($E$1),FALSE),0),"")</f>
        <v>9</v>
      </c>
      <c r="I5">
        <f>IFERROR(ROUNDDOWN((VLOOKUP($C5,装備品!$1:$998,COLUMN(G$1),FALSE)+IFERROR(VLOOKUP($CI5,付与!$1:$1167,COLUMN(I$1),FALSE),0))*VLOOKUP($D5,素材!$1:$1016,COLUMN($E$1),FALSE),0),"")</f>
        <v>3</v>
      </c>
      <c r="J5">
        <f>IFERROR(ROUNDDOWN((VLOOKUP($C5,装備品!$1:$998,COLUMN(H$1),FALSE)+IFERROR(VLOOKUP($CI5,付与!$1:$1167,COLUMN(J$1),FALSE),0))*VLOOKUP($D5,素材!$1:$1016,COLUMN($E$1),FALSE),0),"")</f>
        <v>19</v>
      </c>
      <c r="K5">
        <f>IFERROR(ROUNDDOWN((VLOOKUP($C5,装備品!$1:$998,COLUMN(I$1),FALSE)+IFERROR(VLOOKUP($CI5,付与!$1:$1167,COLUMN(K$1),FALSE),0))*VLOOKUP($D5,素材!$1:$1016,COLUMN($E$1),FALSE),0),"")</f>
        <v>0</v>
      </c>
      <c r="L5">
        <f>IFERROR(VLOOKUP($D5,素材!$1:$1016,COLUMN($F$1),FALSE),"")</f>
        <v>0</v>
      </c>
      <c r="M5">
        <f>IFERROR(VLOOKUP($C5,装備品!$1:$998,COLUMN(AA$1),FALSE)*VLOOKUP($D5,素材!$1:$1016,COLUMN($G$1),FALSE),"")</f>
        <v>0</v>
      </c>
      <c r="N5">
        <f>IFERROR(VLOOKUP($C5,装備品!$1:$998,COLUMN(I$1),FALSE),"")</f>
        <v>0</v>
      </c>
      <c r="O5" s="23">
        <f>IFERROR((VLOOKUP($C5,装備品!$1:$998,COLUMN(K$1),FALSE)+VLOOKUP($D5,素材!$1:$1016,COLUMN(H$1),FALSE))*100+IFERROR(VLOOKUP($CI5,付与!$1:$1167,COLUMN(O$1),FALSE),0),"")</f>
        <v>10</v>
      </c>
      <c r="P5" s="23">
        <f>IFERROR((VLOOKUP($C5,装備品!$1:$998,COLUMN(L$1),FALSE)+VLOOKUP($D5,素材!$1:$1016,COLUMN(I$1),FALSE))*100+IFERROR(VLOOKUP($CI5,付与!$1:$1167,COLUMN(P$1),FALSE),0),"")</f>
        <v>150</v>
      </c>
      <c r="Q5">
        <f>IFERROR(ROUNDUP(VLOOKUP($C5,装備品!$1:$998,COLUMN(M$1),FALSE)*(VLOOKUP($D5,素材!$1:$1002,COLUMN(D$1),FALSE)/100),1),"")</f>
        <v>0</v>
      </c>
      <c r="R5">
        <f>IFERROR(ROUNDUP(VLOOKUP($C5,装備品!$1:$998,COLUMN(N$1),FALSE)*(VLOOKUP($D5,素材!$1:$1002,COLUMN(D$1),FALSE)/100),1),"")</f>
        <v>0</v>
      </c>
      <c r="S5">
        <f>IFERROR(VLOOKUP($C5,装備品!$1:$998,COLUMN(P$1),FALSE),"")</f>
        <v>0</v>
      </c>
      <c r="T5">
        <f>IFERROR(VLOOKUP($C5,装備品!$1:$998,COLUMN(Q$1),FALSE),"")</f>
        <v>0</v>
      </c>
      <c r="U5">
        <f>IFERROR(VLOOKUP($C5,装備品!$1:$998,COLUMN(R$1),FALSE),"")</f>
        <v>0</v>
      </c>
      <c r="V5">
        <f>IFERROR(VLOOKUP($C5,装備品!$1:$998,COLUMN(Q$1),FALSE),"")</f>
        <v>0</v>
      </c>
      <c r="W5">
        <f>IFERROR(VLOOKUP($C5,装備品!$1:$998,COLUMN(T$1),FALSE),"")</f>
        <v>0</v>
      </c>
      <c r="Y5">
        <f>IFERROR(VLOOKUP($C5,装備品!$1:$998,COLUMN(U$1),FALSE),"")</f>
        <v>0</v>
      </c>
      <c r="Z5">
        <f>IFERROR(ROUNDUP(VLOOKUP($C5,装備品!$1:$998,COLUMN(O$1),FALSE)*VLOOKUP($D5,素材!$1:$1016,COLUMN(E$1),FALSE),1),"")</f>
        <v>0</v>
      </c>
      <c r="AA5">
        <f>IF(ISNUMBER(SEARCH(SUBSTITUTE(AA$1,RIGHT(AA$1,2),""),VLOOKUP($D5,素材!$1:$1016,COLUMN($F$1),FALSE))),VLOOKUP($C5,装備品!$1:$998,COLUMN($O$1),FALSE)*VLOOKUP($D5,素材!$1:$1016,COLUMN($E$1),FALSE)/(LEN(VLOOKUP($D5,素材!$1:$1016,COLUMN($F$1),FALSE))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B5">
        <f>IF(ISNUMBER(SEARCH(SUBSTITUTE(AB$1,RIGHT(AB$1,2),""),VLOOKUP($D5,素材!$1:$1016,COLUMN($F$1),FALSE))),VLOOKUP($C5,装備品!$1:$998,COLUMN($O$1),FALSE)*VLOOKUP($D5,素材!$1:$1016,COLUMN($E$1),FALSE)/(LEN(VLOOKUP($D5,素材!$1:$1016,COLUMN($F$1),FALSE))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C5">
        <f>IF(ISNUMBER(SEARCH(SUBSTITUTE(AC$1,RIGHT(AC$1,2),""),VLOOKUP($D5,素材!$1:$1016,COLUMN($F$1),FALSE))),VLOOKUP($C5,装備品!$1:$998,COLUMN($O$1),FALSE)*VLOOKUP($D5,素材!$1:$1016,COLUMN($E$1),FALSE)/(LEN(VLOOKUP($D5,素材!$1:$1016,COLUMN($F$1),FALSE))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D5">
        <f>IF(ISNUMBER(SEARCH(SUBSTITUTE(AD$1,RIGHT(AD$1,2),""),VLOOKUP($D5,素材!$1:$1016,COLUMN($F$1),FALSE))),VLOOKUP($C5,装備品!$1:$998,COLUMN($O$1),FALSE)*VLOOKUP($D5,素材!$1:$1016,COLUMN($E$1),FALSE)/(LEN(VLOOKUP($D5,素材!$1:$1016,COLUMN($F$1),FALSE))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E5">
        <f>IF(ISNUMBER(SEARCH(SUBSTITUTE(AE$1,RIGHT(AE$1,2),""),VLOOKUP($D5,素材!$1:$1016,COLUMN($F$1),FALSE))),VLOOKUP($C5,装備品!$1:$998,COLUMN($O$1),FALSE)*VLOOKUP($D5,素材!$1:$1016,COLUMN($E$1),FALSE)/(LEN(VLOOKUP($D5,素材!$1:$1016,COLUMN($F$1),FALSE))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F5">
        <f>IF(ISNUMBER(SEARCH(SUBSTITUTE(AF$1,RIGHT(AF$1,2),""),VLOOKUP($D5,素材!$1:$1016,COLUMN($F$1),FALSE))),VLOOKUP($C5,装備品!$1:$998,COLUMN($O$1),FALSE)*VLOOKUP($D5,素材!$1:$1016,COLUMN($E$1),FALSE)/(LEN(VLOOKUP($D5,素材!$1:$1016,COLUMN($F$1),FALSE))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G5">
        <f>IF(ISNUMBER(SEARCH(SUBSTITUTE(AG$1,RIGHT(AG$1,2),""),VLOOKUP($D5,素材!$1:$1016,COLUMN($F$1),FALSE))),VLOOKUP($C5,装備品!$1:$998,COLUMN($O$1),FALSE)*VLOOKUP($D5,素材!$1:$1016,COLUMN($E$1),FALSE)/(LEN(VLOOKUP($D5,素材!$1:$1016,COLUMN($F$1),FALSE))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H5">
        <f>IF(ISNUMBER(SEARCH(SUBSTITUTE(AH$1,RIGHT(AH$1,2),""),VLOOKUP($D5,素材!$1:$1016,COLUMN($F$1),FALSE))),VLOOKUP($C5,装備品!$1:$998,COLUMN($O$1),FALSE)*VLOOKUP($D5,素材!$1:$1016,COLUMN($E$1),FALSE)/(LEN(VLOOKUP($D5,素材!$1:$1016,COLUMN($F$1),FALSE))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I5">
        <f>IF(ISNUMBER(SEARCH(SUBSTITUTE(AI$1,RIGHT(AI$1,2),""),VLOOKUP($D5,素材!$1:$1016,COLUMN($F$1),FALSE))),VLOOKUP($C5,装備品!$1:$998,COLUMN($O$1),FALSE)*VLOOKUP($D5,素材!$1:$1016,COLUMN($E$1),FALSE)/(LEN(VLOOKUP($D5,素材!$1:$1016,COLUMN($F$1),FALSE))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J5">
        <f>IF(ISNUMBER(SEARCH(SUBSTITUTE(AJ$1,RIGHT(AJ$1,2),""),VLOOKUP($D5,素材!$1:$1016,COLUMN($F$1),FALSE))),VLOOKUP($C5,装備品!$1:$998,COLUMN($O$1),FALSE)*VLOOKUP($D5,素材!$1:$1016,COLUMN($E$1),FALSE)/(LEN(VLOOKUP($D5,素材!$1:$1016,COLUMN($F$1),FALSE))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K5">
        <f>IF(ISNUMBER(SEARCH(SUBSTITUTE(AK$1,RIGHT(AK$1,2),""),VLOOKUP($D5,素材!$1:$1016,COLUMN($F$1),FALSE))),VLOOKUP($C5,装備品!$1:$998,COLUMN($O$1),FALSE)*VLOOKUP($D5,素材!$1:$1016,COLUMN($E$1),FALSE)/(LEN(VLOOKUP($D5,素材!$1:$1016,COLUMN($F$1),FALSE))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L5">
        <f>IF(ISNUMBER(SEARCH(SUBSTITUTE(AL$1,RIGHT(AL$1,2),""),VLOOKUP($D5,素材!$1:$1016,COLUMN($F$1),FALSE))),VLOOKUP($C5,装備品!$1:$998,COLUMN($O$1),FALSE)*VLOOKUP($D5,素材!$1:$1016,COLUMN($E$1),FALSE)/(LEN(VLOOKUP($D5,素材!$1:$1016,COLUMN($F$1),FALSE))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M5">
        <f>IF(ISNUMBER(SEARCH(SUBSTITUTE(AM$1,RIGHT(AM$1,2),""),VLOOKUP($D5,素材!$1:$1016,COLUMN($F$1),FALSE))),VLOOKUP($C5,装備品!$1:$998,COLUMN($O$1),FALSE)*VLOOKUP($D5,素材!$1:$1016,COLUMN($E$1),FALSE)/(LEN(VLOOKUP($D5,素材!$1:$1016,COLUMN($F$1),FALSE))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N5">
        <f>IF(ISNUMBER(SEARCH(SUBSTITUTE(AN$1,RIGHT(AN$1,2),""),VLOOKUP($D5,素材!$1:$1016,COLUMN($F$1),FALSE))),VLOOKUP($C5,装備品!$1:$998,COLUMN($O$1),FALSE)*VLOOKUP($D5,素材!$1:$1016,COLUMN($E$1),FALSE)/(LEN(VLOOKUP($D5,素材!$1:$1016,COLUMN($F$1),FALSE))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O5">
        <f>IF(ISNUMBER(SEARCH(SUBSTITUTE(AO$1,RIGHT(AO$1,2),""),VLOOKUP($D5,素材!$1:$1016,COLUMN($F$1),FALSE))),VLOOKUP($C5,装備品!$1:$998,COLUMN($O$1),FALSE)*VLOOKUP($D5,素材!$1:$1016,COLUMN($E$1),FALSE)/(LEN(VLOOKUP($D5,素材!$1:$1016,COLUMN($F$1),FALSE))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P5">
        <f>IF(ISNUMBER(SEARCH(SUBSTITUTE(AP$1,RIGHT(AP$1,2),""),VLOOKUP($D5,素材!$1:$1016,COLUMN($F$1),FALSE))),VLOOKUP($C5,装備品!$1:$998,COLUMN($O$1),FALSE)*VLOOKUP($D5,素材!$1:$1016,COLUMN($E$1),FALSE)/(LEN(VLOOKUP($D5,素材!$1:$1016,COLUMN($F$1),FALSE))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Q5">
        <f>IF(ISNUMBER(SEARCH(SUBSTITUTE(AQ$1,RIGHT(AQ$1,2),""),VLOOKUP($D5,素材!$1:$1016,COLUMN($F$1),FALSE))),VLOOKUP($C5,装備品!$1:$998,COLUMN($O$1),FALSE)*VLOOKUP($D5,素材!$1:$1016,COLUMN($E$1),FALSE)/(LEN(VLOOKUP($D5,素材!$1:$1016,COLUMN($F$1),FALSE))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R5">
        <f>IF(ISNUMBER(SEARCH(SUBSTITUTE(AR$1,RIGHT(AR$1,2),""),VLOOKUP($D5,素材!$1:$1016,COLUMN($F$1),FALSE))),VLOOKUP($C5,装備品!$1:$998,COLUMN($O$1),FALSE)*VLOOKUP($D5,素材!$1:$1016,COLUMN($E$1),FALSE)/(LEN(VLOOKUP($D5,素材!$1:$1016,COLUMN($F$1),FALSE))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S5">
        <f>IF(ISNUMBER(SEARCH(SUBSTITUTE(AS$1,RIGHT(AS$1,2),""),VLOOKUP($D5,素材!$1:$1016,COLUMN($F$1),FALSE))),VLOOKUP($C5,装備品!$1:$998,COLUMN($O$1),FALSE)*VLOOKUP($D5,素材!$1:$1016,COLUMN($E$1),FALSE)/(LEN(VLOOKUP($D5,素材!$1:$1016,COLUMN($F$1),FALSE))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T5">
        <f>IF(ISNUMBER(SEARCH(SUBSTITUTE(AT$1,RIGHT(AT$1,2),""),VLOOKUP($D5,素材!$1:$1016,COLUMN($F$1),FALSE))),VLOOKUP($C5,装備品!$1:$998,COLUMN($O$1),FALSE)*VLOOKUP($D5,素材!$1:$1016,COLUMN($E$1),FALSE)/(LEN(VLOOKUP($D5,素材!$1:$1016,COLUMN($F$1),FALSE))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U5">
        <f>IF(ISNUMBER(SEARCH(SUBSTITUTE(AU$1,RIGHT(AU$1,2),""),VLOOKUP($D5,素材!$1:$1016,COLUMN($F$1),FALSE))),VLOOKUP($C5,装備品!$1:$998,COLUMN($O$1),FALSE)*VLOOKUP($D5,素材!$1:$1016,COLUMN($E$1),FALSE)/(LEN(VLOOKUP($D5,素材!$1:$1016,COLUMN($F$1),FALSE))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V5">
        <f>IF(ISNUMBER(SEARCH(SUBSTITUTE(AV$1,RIGHT(AV$1,2),""),VLOOKUP($D5,素材!$1:$1016,COLUMN($F$1),FALSE))),VLOOKUP($C5,装備品!$1:$998,COLUMN($O$1),FALSE)*VLOOKUP($D5,素材!$1:$1016,COLUMN($E$1),FALSE)/(LEN(VLOOKUP($D5,素材!$1:$1016,COLUMN($F$1),FALSE))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W5">
        <f>IF(ISNUMBER(SEARCH(SUBSTITUTE(AW$1,RIGHT(AW$1,2),""),VLOOKUP($D5,素材!$1:$1016,COLUMN($F$1),FALSE))),VLOOKUP($C5,装備品!$1:$998,COLUMN($O$1),FALSE)*VLOOKUP($D5,素材!$1:$1016,COLUMN($E$1),FALSE)/(LEN(VLOOKUP($D5,素材!$1:$1016,COLUMN($F$1),FALSE))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X5">
        <f>IF(ISNUMBER(SEARCH(SUBSTITUTE(AX$1,RIGHT(AX$1,2),""),VLOOKUP($D5,素材!$1:$1016,COLUMN($F$1),FALSE))),VLOOKUP($C5,装備品!$1:$998,COLUMN($O$1),FALSE)*VLOOKUP($D5,素材!$1:$1016,COLUMN($E$1),FALSE)/(LEN(VLOOKUP($D5,素材!$1:$1016,COLUMN($F$1),FALSE))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Y5">
        <f>IF(ISNUMBER(SEARCH(SUBSTITUTE(AY$1,RIGHT(AY$1,2),""),VLOOKUP($D5,素材!$1:$1016,COLUMN($F$1),FALSE))),VLOOKUP($C5,装備品!$1:$998,COLUMN($O$1),FALSE)*VLOOKUP($D5,素材!$1:$1016,COLUMN($E$1),FALSE)/(LEN(VLOOKUP($D5,素材!$1:$1016,COLUMN($F$1),FALSE))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Z5">
        <f>IF(ISNUMBER(SEARCH(SUBSTITUTE(AZ$1,RIGHT(AZ$1,2),""),VLOOKUP($D5,素材!$1:$1016,COLUMN($F$1),FALSE))),VLOOKUP($C5,装備品!$1:$998,COLUMN($O$1),FALSE)*VLOOKUP($D5,素材!$1:$1016,COLUMN($E$1),FALSE)/(LEN(VLOOKUP($D5,素材!$1:$1016,COLUMN($F$1),FALSE))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BA5">
        <f>IF(ISNUMBER(SEARCH(SUBSTITUTE(BA$1,RIGHT(BA$1,2),""),VLOOKUP($D5,素材!$1:$1016,COLUMN($F$1),FALSE))),VLOOKUP($C5,装備品!$1:$998,COLUMN($O$1),FALSE)*VLOOKUP($D5,素材!$1:$1016,COLUMN($E$1),FALSE)/(LEN(VLOOKUP($D5,素材!$1:$1016,COLUMN($F$1),FALSE))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BB5">
        <f>IF(ISNUMBER(SEARCH(SUBSTITUTE(BB$1,RIGHT(BB$1,2),""),VLOOKUP($D5,素材!$1:$1016,COLUMN($F$1),FALSE))),VLOOKUP($C5,装備品!$1:$998,COLUMN($O$1),FALSE)*VLOOKUP($D5,素材!$1:$1016,COLUMN($E$1),FALSE)/(LEN(VLOOKUP($D5,素材!$1:$1016,COLUMN($F$1),FALSE))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BC5">
        <f>IF(ISNUMBER(SEARCH(SUBSTITUTE(BC$1,RIGHT(BC$1,2),""),VLOOKUP($D5,素材!$1:$1016,COLUMN($F$1),FALSE))),VLOOKUP($C5,装備品!$1:$998,COLUMN($O$1),FALSE)*VLOOKUP($D5,素材!$1:$1016,COLUMN($E$1),FALSE)/(LEN(VLOOKUP($D5,素材!$1:$1016,COLUMN($F$1),FALSE))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BD5">
        <f>IF(ISNUMBER(SEARCH(SUBSTITUTE(BD$1,RIGHT(BD$1,2),""),VLOOKUP($D5,素材!$1:$1016,COLUMN($F$1),FALSE))),VLOOKUP($C5,装備品!$1:$998,COLUMN($O$1),FALSE)*VLOOKUP($D5,素材!$1:$1016,COLUMN($E$1),FALSE)/(LEN(VLOOKUP($D5,素材!$1:$1016,COLUMN($F$1),FALSE))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BE5">
        <f>IF(ISNUMBER(SEARCH(SUBSTITUTE(BE$1,RIGHT(BE$1,2),""),VLOOKUP($D5,素材!$1:$1016,COLUMN($F$1),FALSE))),VLOOKUP($C5,装備品!$1:$998,COLUMN($O$1),FALSE)*VLOOKUP($D5,素材!$1:$1016,COLUMN($E$1),FALSE)/(LEN(VLOOKUP($D5,素材!$1:$1016,COLUMN($F$1),FALSE))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CL5">
        <f t="shared" si="1"/>
        <v>24</v>
      </c>
      <c r="CM5" s="22" t="str">
        <f t="shared" si="2"/>
        <v>切断.webp</v>
      </c>
      <c r="CN5">
        <f>IFERROR(VLOOKUP($C5,装備品!$1:$998,COLUMN(V$1),FALSE)*VLOOKUP($D5,素材!$1:$1016,COLUMN(N$1),FALSE)+IF(CI5="",0,VLOOKUP($CI5,付与!$1:$1176,COLUMN($CK$1),FALSE)),"")</f>
        <v>0</v>
      </c>
      <c r="CO5" t="str">
        <f>VLOOKUP(D5,素材!$A:$O,COLUMN(素材!O$1),FALSE)</f>
        <v>一般的な鉄。量産品を作るのに使用されることが多い</v>
      </c>
      <c r="CP5" t="str">
        <f>VLOOKUP(C5,装備品!$A:$AB,COLUMN(装備品!AB$1),FALSE)</f>
        <v>剣。短い剣で片手で扱いやすく、初心者向けの武器。</v>
      </c>
      <c r="CR5" t="str">
        <f t="shared" si="3"/>
        <v>e_5</v>
      </c>
      <c r="CS5">
        <f t="shared" si="4"/>
        <v>0</v>
      </c>
    </row>
    <row r="6" spans="1:97" outlineLevel="1" x14ac:dyDescent="0.4">
      <c r="A6" t="str">
        <f t="shared" si="0"/>
        <v>鉄の広剣</v>
      </c>
      <c r="B6" t="str">
        <f>IFERROR(VLOOKUP($D6,素材!$1:$1016,COLUMN($B$1),FALSE)&amp;"・"&amp;VLOOKUP($C6,装備品!$1:$998,COLUMN(B$1),FALSE),"")</f>
        <v>アイアン・ブロードソード</v>
      </c>
      <c r="C6" s="24" t="s">
        <v>238</v>
      </c>
      <c r="D6" s="24" t="s">
        <v>256</v>
      </c>
      <c r="E6" t="str">
        <f>IFERROR(VLOOKUP(C6,装備品!$1:$998,COLUMN(C$1),FALSE),"")</f>
        <v>武器</v>
      </c>
      <c r="F6">
        <f>IFERROR(ROUNDDOWN((VLOOKUP($C6,装備品!$1:$998,COLUMN(D$1),FALSE)+IFERROR(VLOOKUP($CI6,付与!$1:$1167,COLUMN(F$1),FALSE),0))*VLOOKUP($D6,素材!$1:$1016,COLUMN(D$1),FALSE),0),"")</f>
        <v>110</v>
      </c>
      <c r="G6">
        <f>IFERROR(ROUNDDOWN((VLOOKUP($C6,装備品!$1:$998,COLUMN(E$1),FALSE)+IFERROR(VLOOKUP($CI6,付与!$1:$1167,COLUMN(G$1),FALSE),0))*VLOOKUP($D6,素材!$1:$1016,COLUMN($E$1),FALSE),0),"")</f>
        <v>12</v>
      </c>
      <c r="H6">
        <f>IFERROR(ROUNDDOWN((VLOOKUP($C6,装備品!$1:$998,COLUMN(F$1),FALSE)+IFERROR(VLOOKUP($CI6,付与!$1:$1167,COLUMN(H$1),FALSE),0))*VLOOKUP($D6,素材!$1:$1016,COLUMN($E$1),FALSE),0),"")</f>
        <v>8</v>
      </c>
      <c r="I6">
        <f>IFERROR(ROUNDDOWN((VLOOKUP($C6,装備品!$1:$998,COLUMN(G$1),FALSE)+IFERROR(VLOOKUP($CI6,付与!$1:$1167,COLUMN(I$1),FALSE),0))*VLOOKUP($D6,素材!$1:$1016,COLUMN($E$1),FALSE),0),"")</f>
        <v>3</v>
      </c>
      <c r="J6">
        <f>IFERROR(ROUNDDOWN((VLOOKUP($C6,装備品!$1:$998,COLUMN(H$1),FALSE)+IFERROR(VLOOKUP($CI6,付与!$1:$1167,COLUMN(J$1),FALSE),0))*VLOOKUP($D6,素材!$1:$1016,COLUMN($E$1),FALSE),0),"")</f>
        <v>23</v>
      </c>
      <c r="K6">
        <f>IFERROR(ROUNDDOWN((VLOOKUP($C6,装備品!$1:$998,COLUMN(I$1),FALSE)+IFERROR(VLOOKUP($CI6,付与!$1:$1167,COLUMN(K$1),FALSE),0))*VLOOKUP($D6,素材!$1:$1016,COLUMN($E$1),FALSE),0),"")</f>
        <v>0</v>
      </c>
      <c r="L6">
        <f>IFERROR(VLOOKUP($D6,素材!$1:$1016,COLUMN($F$1),FALSE),"")</f>
        <v>0</v>
      </c>
      <c r="M6">
        <f>IFERROR(VLOOKUP($C6,装備品!$1:$998,COLUMN(AA$1),FALSE)*VLOOKUP($D6,素材!$1:$1016,COLUMN($G$1),FALSE),"")</f>
        <v>0</v>
      </c>
      <c r="N6">
        <f>IFERROR(VLOOKUP($C6,装備品!$1:$998,COLUMN(I$1),FALSE),"")</f>
        <v>0</v>
      </c>
      <c r="O6" s="23">
        <f>IFERROR((VLOOKUP($C6,装備品!$1:$998,COLUMN(K$1),FALSE)+VLOOKUP($D6,素材!$1:$1016,COLUMN(H$1),FALSE))*100+IFERROR(VLOOKUP($CI6,付与!$1:$1167,COLUMN(O$1),FALSE),0),"")</f>
        <v>10</v>
      </c>
      <c r="P6" s="23">
        <f>IFERROR((VLOOKUP($C6,装備品!$1:$998,COLUMN(L$1),FALSE)+VLOOKUP($D6,素材!$1:$1016,COLUMN(I$1),FALSE))*100+IFERROR(VLOOKUP($CI6,付与!$1:$1167,COLUMN(P$1),FALSE),0),"")</f>
        <v>150</v>
      </c>
      <c r="Q6">
        <f>IFERROR(ROUNDUP(VLOOKUP($C6,装備品!$1:$998,COLUMN(M$1),FALSE)*(VLOOKUP($D6,素材!$1:$1002,COLUMN(D$1),FALSE)/100),1),"")</f>
        <v>-2.5</v>
      </c>
      <c r="R6">
        <f>IFERROR(ROUNDUP(VLOOKUP($C6,装備品!$1:$998,COLUMN(N$1),FALSE)*(VLOOKUP($D6,素材!$1:$1002,COLUMN(D$1),FALSE)/100),1),"")</f>
        <v>-2.5</v>
      </c>
      <c r="S6">
        <f>IFERROR(VLOOKUP($C6,装備品!$1:$998,COLUMN(P$1),FALSE),"")</f>
        <v>0</v>
      </c>
      <c r="T6">
        <f>IFERROR(VLOOKUP($C6,装備品!$1:$998,COLUMN(Q$1),FALSE),"")</f>
        <v>0</v>
      </c>
      <c r="U6">
        <f>IFERROR(VLOOKUP($C6,装備品!$1:$998,COLUMN(R$1),FALSE),"")</f>
        <v>0</v>
      </c>
      <c r="V6">
        <f>IFERROR(VLOOKUP($C6,装備品!$1:$998,COLUMN(Q$1),FALSE),"")</f>
        <v>0</v>
      </c>
      <c r="W6">
        <f>IFERROR(VLOOKUP($C6,装備品!$1:$998,COLUMN(T$1),FALSE),"")</f>
        <v>0</v>
      </c>
      <c r="Y6">
        <f>IFERROR(VLOOKUP($C6,装備品!$1:$998,COLUMN(U$1),FALSE),"")</f>
        <v>0</v>
      </c>
      <c r="Z6">
        <f>IFERROR(ROUNDUP(VLOOKUP($C6,装備品!$1:$998,COLUMN(O$1),FALSE)*VLOOKUP($D6,素材!$1:$1016,COLUMN(E$1),FALSE),1),"")</f>
        <v>0</v>
      </c>
      <c r="AA6">
        <f>IF(ISNUMBER(SEARCH(SUBSTITUTE(AA$1,RIGHT(AA$1,2),""),VLOOKUP($D6,素材!$1:$1016,COLUMN($F$1),FALSE))),VLOOKUP($C6,装備品!$1:$998,COLUMN($O$1),FALSE)*VLOOKUP($D6,素材!$1:$1016,COLUMN($E$1),FALSE)/(LEN(VLOOKUP($D6,素材!$1:$1016,COLUMN($F$1),FALSE))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B6">
        <f>IF(ISNUMBER(SEARCH(SUBSTITUTE(AB$1,RIGHT(AB$1,2),""),VLOOKUP($D6,素材!$1:$1016,COLUMN($F$1),FALSE))),VLOOKUP($C6,装備品!$1:$998,COLUMN($O$1),FALSE)*VLOOKUP($D6,素材!$1:$1016,COLUMN($E$1),FALSE)/(LEN(VLOOKUP($D6,素材!$1:$1016,COLUMN($F$1),FALSE))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C6">
        <f>IF(ISNUMBER(SEARCH(SUBSTITUTE(AC$1,RIGHT(AC$1,2),""),VLOOKUP($D6,素材!$1:$1016,COLUMN($F$1),FALSE))),VLOOKUP($C6,装備品!$1:$998,COLUMN($O$1),FALSE)*VLOOKUP($D6,素材!$1:$1016,COLUMN($E$1),FALSE)/(LEN(VLOOKUP($D6,素材!$1:$1016,COLUMN($F$1),FALSE))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D6">
        <f>IF(ISNUMBER(SEARCH(SUBSTITUTE(AD$1,RIGHT(AD$1,2),""),VLOOKUP($D6,素材!$1:$1016,COLUMN($F$1),FALSE))),VLOOKUP($C6,装備品!$1:$998,COLUMN($O$1),FALSE)*VLOOKUP($D6,素材!$1:$1016,COLUMN($E$1),FALSE)/(LEN(VLOOKUP($D6,素材!$1:$1016,COLUMN($F$1),FALSE))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E6">
        <f>IF(ISNUMBER(SEARCH(SUBSTITUTE(AE$1,RIGHT(AE$1,2),""),VLOOKUP($D6,素材!$1:$1016,COLUMN($F$1),FALSE))),VLOOKUP($C6,装備品!$1:$998,COLUMN($O$1),FALSE)*VLOOKUP($D6,素材!$1:$1016,COLUMN($E$1),FALSE)/(LEN(VLOOKUP($D6,素材!$1:$1016,COLUMN($F$1),FALSE))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F6">
        <f>IF(ISNUMBER(SEARCH(SUBSTITUTE(AF$1,RIGHT(AF$1,2),""),VLOOKUP($D6,素材!$1:$1016,COLUMN($F$1),FALSE))),VLOOKUP($C6,装備品!$1:$998,COLUMN($O$1),FALSE)*VLOOKUP($D6,素材!$1:$1016,COLUMN($E$1),FALSE)/(LEN(VLOOKUP($D6,素材!$1:$1016,COLUMN($F$1),FALSE))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G6">
        <f>IF(ISNUMBER(SEARCH(SUBSTITUTE(AG$1,RIGHT(AG$1,2),""),VLOOKUP($D6,素材!$1:$1016,COLUMN($F$1),FALSE))),VLOOKUP($C6,装備品!$1:$998,COLUMN($O$1),FALSE)*VLOOKUP($D6,素材!$1:$1016,COLUMN($E$1),FALSE)/(LEN(VLOOKUP($D6,素材!$1:$1016,COLUMN($F$1),FALSE))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H6">
        <f>IF(ISNUMBER(SEARCH(SUBSTITUTE(AH$1,RIGHT(AH$1,2),""),VLOOKUP($D6,素材!$1:$1016,COLUMN($F$1),FALSE))),VLOOKUP($C6,装備品!$1:$998,COLUMN($O$1),FALSE)*VLOOKUP($D6,素材!$1:$1016,COLUMN($E$1),FALSE)/(LEN(VLOOKUP($D6,素材!$1:$1016,COLUMN($F$1),FALSE))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I6">
        <f>IF(ISNUMBER(SEARCH(SUBSTITUTE(AI$1,RIGHT(AI$1,2),""),VLOOKUP($D6,素材!$1:$1016,COLUMN($F$1),FALSE))),VLOOKUP($C6,装備品!$1:$998,COLUMN($O$1),FALSE)*VLOOKUP($D6,素材!$1:$1016,COLUMN($E$1),FALSE)/(LEN(VLOOKUP($D6,素材!$1:$1016,COLUMN($F$1),FALSE))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J6">
        <f>IF(ISNUMBER(SEARCH(SUBSTITUTE(AJ$1,RIGHT(AJ$1,2),""),VLOOKUP($D6,素材!$1:$1016,COLUMN($F$1),FALSE))),VLOOKUP($C6,装備品!$1:$998,COLUMN($O$1),FALSE)*VLOOKUP($D6,素材!$1:$1016,COLUMN($E$1),FALSE)/(LEN(VLOOKUP($D6,素材!$1:$1016,COLUMN($F$1),FALSE))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K6">
        <f>IF(ISNUMBER(SEARCH(SUBSTITUTE(AK$1,RIGHT(AK$1,2),""),VLOOKUP($D6,素材!$1:$1016,COLUMN($F$1),FALSE))),VLOOKUP($C6,装備品!$1:$998,COLUMN($O$1),FALSE)*VLOOKUP($D6,素材!$1:$1016,COLUMN($E$1),FALSE)/(LEN(VLOOKUP($D6,素材!$1:$1016,COLUMN($F$1),FALSE))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L6">
        <f>IF(ISNUMBER(SEARCH(SUBSTITUTE(AL$1,RIGHT(AL$1,2),""),VLOOKUP($D6,素材!$1:$1016,COLUMN($F$1),FALSE))),VLOOKUP($C6,装備品!$1:$998,COLUMN($O$1),FALSE)*VLOOKUP($D6,素材!$1:$1016,COLUMN($E$1),FALSE)/(LEN(VLOOKUP($D6,素材!$1:$1016,COLUMN($F$1),FALSE))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M6">
        <f>IF(ISNUMBER(SEARCH(SUBSTITUTE(AM$1,RIGHT(AM$1,2),""),VLOOKUP($D6,素材!$1:$1016,COLUMN($F$1),FALSE))),VLOOKUP($C6,装備品!$1:$998,COLUMN($O$1),FALSE)*VLOOKUP($D6,素材!$1:$1016,COLUMN($E$1),FALSE)/(LEN(VLOOKUP($D6,素材!$1:$1016,COLUMN($F$1),FALSE))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N6">
        <f>IF(ISNUMBER(SEARCH(SUBSTITUTE(AN$1,RIGHT(AN$1,2),""),VLOOKUP($D6,素材!$1:$1016,COLUMN($F$1),FALSE))),VLOOKUP($C6,装備品!$1:$998,COLUMN($O$1),FALSE)*VLOOKUP($D6,素材!$1:$1016,COLUMN($E$1),FALSE)/(LEN(VLOOKUP($D6,素材!$1:$1016,COLUMN($F$1),FALSE))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O6">
        <f>IF(ISNUMBER(SEARCH(SUBSTITUTE(AO$1,RIGHT(AO$1,2),""),VLOOKUP($D6,素材!$1:$1016,COLUMN($F$1),FALSE))),VLOOKUP($C6,装備品!$1:$998,COLUMN($O$1),FALSE)*VLOOKUP($D6,素材!$1:$1016,COLUMN($E$1),FALSE)/(LEN(VLOOKUP($D6,素材!$1:$1016,COLUMN($F$1),FALSE))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P6">
        <f>IF(ISNUMBER(SEARCH(SUBSTITUTE(AP$1,RIGHT(AP$1,2),""),VLOOKUP($D6,素材!$1:$1016,COLUMN($F$1),FALSE))),VLOOKUP($C6,装備品!$1:$998,COLUMN($O$1),FALSE)*VLOOKUP($D6,素材!$1:$1016,COLUMN($E$1),FALSE)/(LEN(VLOOKUP($D6,素材!$1:$1016,COLUMN($F$1),FALSE))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Q6">
        <f>IF(ISNUMBER(SEARCH(SUBSTITUTE(AQ$1,RIGHT(AQ$1,2),""),VLOOKUP($D6,素材!$1:$1016,COLUMN($F$1),FALSE))),VLOOKUP($C6,装備品!$1:$998,COLUMN($O$1),FALSE)*VLOOKUP($D6,素材!$1:$1016,COLUMN($E$1),FALSE)/(LEN(VLOOKUP($D6,素材!$1:$1016,COLUMN($F$1),FALSE))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R6">
        <f>IF(ISNUMBER(SEARCH(SUBSTITUTE(AR$1,RIGHT(AR$1,2),""),VLOOKUP($D6,素材!$1:$1016,COLUMN($F$1),FALSE))),VLOOKUP($C6,装備品!$1:$998,COLUMN($O$1),FALSE)*VLOOKUP($D6,素材!$1:$1016,COLUMN($E$1),FALSE)/(LEN(VLOOKUP($D6,素材!$1:$1016,COLUMN($F$1),FALSE))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S6">
        <f>IF(ISNUMBER(SEARCH(SUBSTITUTE(AS$1,RIGHT(AS$1,2),""),VLOOKUP($D6,素材!$1:$1016,COLUMN($F$1),FALSE))),VLOOKUP($C6,装備品!$1:$998,COLUMN($O$1),FALSE)*VLOOKUP($D6,素材!$1:$1016,COLUMN($E$1),FALSE)/(LEN(VLOOKUP($D6,素材!$1:$1016,COLUMN($F$1),FALSE))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T6">
        <f>IF(ISNUMBER(SEARCH(SUBSTITUTE(AT$1,RIGHT(AT$1,2),""),VLOOKUP($D6,素材!$1:$1016,COLUMN($F$1),FALSE))),VLOOKUP($C6,装備品!$1:$998,COLUMN($O$1),FALSE)*VLOOKUP($D6,素材!$1:$1016,COLUMN($E$1),FALSE)/(LEN(VLOOKUP($D6,素材!$1:$1016,COLUMN($F$1),FALSE))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U6">
        <f>IF(ISNUMBER(SEARCH(SUBSTITUTE(AU$1,RIGHT(AU$1,2),""),VLOOKUP($D6,素材!$1:$1016,COLUMN($F$1),FALSE))),VLOOKUP($C6,装備品!$1:$998,COLUMN($O$1),FALSE)*VLOOKUP($D6,素材!$1:$1016,COLUMN($E$1),FALSE)/(LEN(VLOOKUP($D6,素材!$1:$1016,COLUMN($F$1),FALSE))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V6">
        <f>IF(ISNUMBER(SEARCH(SUBSTITUTE(AV$1,RIGHT(AV$1,2),""),VLOOKUP($D6,素材!$1:$1016,COLUMN($F$1),FALSE))),VLOOKUP($C6,装備品!$1:$998,COLUMN($O$1),FALSE)*VLOOKUP($D6,素材!$1:$1016,COLUMN($E$1),FALSE)/(LEN(VLOOKUP($D6,素材!$1:$1016,COLUMN($F$1),FALSE))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W6">
        <f>IF(ISNUMBER(SEARCH(SUBSTITUTE(AW$1,RIGHT(AW$1,2),""),VLOOKUP($D6,素材!$1:$1016,COLUMN($F$1),FALSE))),VLOOKUP($C6,装備品!$1:$998,COLUMN($O$1),FALSE)*VLOOKUP($D6,素材!$1:$1016,COLUMN($E$1),FALSE)/(LEN(VLOOKUP($D6,素材!$1:$1016,COLUMN($F$1),FALSE))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X6">
        <f>IF(ISNUMBER(SEARCH(SUBSTITUTE(AX$1,RIGHT(AX$1,2),""),VLOOKUP($D6,素材!$1:$1016,COLUMN($F$1),FALSE))),VLOOKUP($C6,装備品!$1:$998,COLUMN($O$1),FALSE)*VLOOKUP($D6,素材!$1:$1016,COLUMN($E$1),FALSE)/(LEN(VLOOKUP($D6,素材!$1:$1016,COLUMN($F$1),FALSE))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Y6">
        <f>IF(ISNUMBER(SEARCH(SUBSTITUTE(AY$1,RIGHT(AY$1,2),""),VLOOKUP($D6,素材!$1:$1016,COLUMN($F$1),FALSE))),VLOOKUP($C6,装備品!$1:$998,COLUMN($O$1),FALSE)*VLOOKUP($D6,素材!$1:$1016,COLUMN($E$1),FALSE)/(LEN(VLOOKUP($D6,素材!$1:$1016,COLUMN($F$1),FALSE))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Z6">
        <f>IF(ISNUMBER(SEARCH(SUBSTITUTE(AZ$1,RIGHT(AZ$1,2),""),VLOOKUP($D6,素材!$1:$1016,COLUMN($F$1),FALSE))),VLOOKUP($C6,装備品!$1:$998,COLUMN($O$1),FALSE)*VLOOKUP($D6,素材!$1:$1016,COLUMN($E$1),FALSE)/(LEN(VLOOKUP($D6,素材!$1:$1016,COLUMN($F$1),FALSE))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BA6">
        <f>IF(ISNUMBER(SEARCH(SUBSTITUTE(BA$1,RIGHT(BA$1,2),""),VLOOKUP($D6,素材!$1:$1016,COLUMN($F$1),FALSE))),VLOOKUP($C6,装備品!$1:$998,COLUMN($O$1),FALSE)*VLOOKUP($D6,素材!$1:$1016,COLUMN($E$1),FALSE)/(LEN(VLOOKUP($D6,素材!$1:$1016,COLUMN($F$1),FALSE))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BB6">
        <f>IF(ISNUMBER(SEARCH(SUBSTITUTE(BB$1,RIGHT(BB$1,2),""),VLOOKUP($D6,素材!$1:$1016,COLUMN($F$1),FALSE))),VLOOKUP($C6,装備品!$1:$998,COLUMN($O$1),FALSE)*VLOOKUP($D6,素材!$1:$1016,COLUMN($E$1),FALSE)/(LEN(VLOOKUP($D6,素材!$1:$1016,COLUMN($F$1),FALSE))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BC6">
        <f>IF(ISNUMBER(SEARCH(SUBSTITUTE(BC$1,RIGHT(BC$1,2),""),VLOOKUP($D6,素材!$1:$1016,COLUMN($F$1),FALSE))),VLOOKUP($C6,装備品!$1:$998,COLUMN($O$1),FALSE)*VLOOKUP($D6,素材!$1:$1016,COLUMN($E$1),FALSE)/(LEN(VLOOKUP($D6,素材!$1:$1016,COLUMN($F$1),FALSE))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BD6">
        <f>IF(ISNUMBER(SEARCH(SUBSTITUTE(BD$1,RIGHT(BD$1,2),""),VLOOKUP($D6,素材!$1:$1016,COLUMN($F$1),FALSE))),VLOOKUP($C6,装備品!$1:$998,COLUMN($O$1),FALSE)*VLOOKUP($D6,素材!$1:$1016,COLUMN($E$1),FALSE)/(LEN(VLOOKUP($D6,素材!$1:$1016,COLUMN($F$1),FALSE))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BE6">
        <f>IF(ISNUMBER(SEARCH(SUBSTITUTE(BE$1,RIGHT(BE$1,2),""),VLOOKUP($D6,素材!$1:$1016,COLUMN($F$1),FALSE))),VLOOKUP($C6,装備品!$1:$998,COLUMN($O$1),FALSE)*VLOOKUP($D6,素材!$1:$1016,COLUMN($E$1),FALSE)/(LEN(VLOOKUP($D6,素材!$1:$1016,COLUMN($F$1),FALSE))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CL6">
        <f t="shared" si="1"/>
        <v>23</v>
      </c>
      <c r="CM6" s="22" t="str">
        <f t="shared" si="2"/>
        <v>切断.webp</v>
      </c>
      <c r="CN6">
        <f>IFERROR(VLOOKUP($C6,装備品!$1:$998,COLUMN(V$1),FALSE)*VLOOKUP($D6,素材!$1:$1016,COLUMN(N$1),FALSE)+IF(CI6="",0,VLOOKUP($CI6,付与!$1:$1176,COLUMN($CK$1),FALSE)),"")</f>
        <v>0</v>
      </c>
      <c r="CO6" t="str">
        <f>VLOOKUP(D6,素材!$A:$O,COLUMN(素材!O$1),FALSE)</f>
        <v>一般的な鉄。量産品を作るのに使用されることが多い</v>
      </c>
      <c r="CP6" t="str">
        <f>VLOOKUP(C6,装備品!$A:$AB,COLUMN(装備品!AB$1),FALSE)</f>
        <v>幅の広い剣。扱いにくいが攻撃と防御にも優れている。状況に合わせて立ち回ろう。</v>
      </c>
      <c r="CR6" t="str">
        <f t="shared" si="3"/>
        <v>e_6</v>
      </c>
      <c r="CS6">
        <f t="shared" si="4"/>
        <v>0</v>
      </c>
    </row>
    <row r="7" spans="1:97" outlineLevel="1" x14ac:dyDescent="0.4">
      <c r="A7" t="str">
        <f t="shared" si="0"/>
        <v>鉄の長剣</v>
      </c>
      <c r="B7" t="str">
        <f>IFERROR(VLOOKUP($D7,素材!$1:$1016,COLUMN($B$1),FALSE)&amp;"・"&amp;VLOOKUP($C7,装備品!$1:$998,COLUMN(B$1),FALSE),"")</f>
        <v>アイアン・ロングソード</v>
      </c>
      <c r="C7" s="24" t="s">
        <v>237</v>
      </c>
      <c r="D7" s="24" t="s">
        <v>256</v>
      </c>
      <c r="E7" t="str">
        <f>IFERROR(VLOOKUP(C7,装備品!$1:$998,COLUMN(C$1),FALSE),"")</f>
        <v>武器</v>
      </c>
      <c r="F7">
        <f>IFERROR(ROUNDDOWN((VLOOKUP($C7,装備品!$1:$998,COLUMN(D$1),FALSE)+IFERROR(VLOOKUP($CI7,付与!$1:$1167,COLUMN(F$1),FALSE),0))*VLOOKUP($D7,素材!$1:$1016,COLUMN(D$1),FALSE),0),"")</f>
        <v>115</v>
      </c>
      <c r="G7">
        <f>IFERROR(ROUNDDOWN((VLOOKUP($C7,装備品!$1:$998,COLUMN(E$1),FALSE)+IFERROR(VLOOKUP($CI7,付与!$1:$1167,COLUMN(G$1),FALSE),0))*VLOOKUP($D7,素材!$1:$1016,COLUMN($E$1),FALSE),0),"")</f>
        <v>15</v>
      </c>
      <c r="H7">
        <f>IFERROR(ROUNDDOWN((VLOOKUP($C7,装備品!$1:$998,COLUMN(F$1),FALSE)+IFERROR(VLOOKUP($CI7,付与!$1:$1167,COLUMN(H$1),FALSE),0))*VLOOKUP($D7,素材!$1:$1016,COLUMN($E$1),FALSE),0),"")</f>
        <v>9</v>
      </c>
      <c r="I7">
        <f>IFERROR(ROUNDDOWN((VLOOKUP($C7,装備品!$1:$998,COLUMN(G$1),FALSE)+IFERROR(VLOOKUP($CI7,付与!$1:$1167,COLUMN(I$1),FALSE),0))*VLOOKUP($D7,素材!$1:$1016,COLUMN($E$1),FALSE),0),"")</f>
        <v>3</v>
      </c>
      <c r="J7">
        <f>IFERROR(ROUNDDOWN((VLOOKUP($C7,装備品!$1:$998,COLUMN(H$1),FALSE)+IFERROR(VLOOKUP($CI7,付与!$1:$1167,COLUMN(J$1),FALSE),0))*VLOOKUP($D7,素材!$1:$1016,COLUMN($E$1),FALSE),0),"")</f>
        <v>20</v>
      </c>
      <c r="K7">
        <f>IFERROR(ROUNDDOWN((VLOOKUP($C7,装備品!$1:$998,COLUMN(I$1),FALSE)+IFERROR(VLOOKUP($CI7,付与!$1:$1167,COLUMN(K$1),FALSE),0))*VLOOKUP($D7,素材!$1:$1016,COLUMN($E$1),FALSE),0),"")</f>
        <v>0</v>
      </c>
      <c r="L7">
        <f>IFERROR(VLOOKUP($D7,素材!$1:$1016,COLUMN($F$1),FALSE),"")</f>
        <v>0</v>
      </c>
      <c r="M7">
        <f>IFERROR(VLOOKUP($C7,装備品!$1:$998,COLUMN(AA$1),FALSE)*VLOOKUP($D7,素材!$1:$1016,COLUMN($G$1),FALSE),"")</f>
        <v>0</v>
      </c>
      <c r="N7">
        <f>IFERROR(VLOOKUP($C7,装備品!$1:$998,COLUMN(I$1),FALSE),"")</f>
        <v>0</v>
      </c>
      <c r="O7" s="23">
        <f>IFERROR((VLOOKUP($C7,装備品!$1:$998,COLUMN(K$1),FALSE)+VLOOKUP($D7,素材!$1:$1016,COLUMN(H$1),FALSE))*100+IFERROR(VLOOKUP($CI7,付与!$1:$1167,COLUMN(O$1),FALSE),0),"")</f>
        <v>10</v>
      </c>
      <c r="P7" s="23">
        <f>IFERROR((VLOOKUP($C7,装備品!$1:$998,COLUMN(L$1),FALSE)+VLOOKUP($D7,素材!$1:$1016,COLUMN(I$1),FALSE))*100+IFERROR(VLOOKUP($CI7,付与!$1:$1167,COLUMN(P$1),FALSE),0),"")</f>
        <v>150</v>
      </c>
      <c r="Q7">
        <f>IFERROR(ROUNDUP(VLOOKUP($C7,装備品!$1:$998,COLUMN(M$1),FALSE)*(VLOOKUP($D7,素材!$1:$1002,COLUMN(D$1),FALSE)/100),1),"")</f>
        <v>-2.5</v>
      </c>
      <c r="R7">
        <f>IFERROR(ROUNDUP(VLOOKUP($C7,装備品!$1:$998,COLUMN(N$1),FALSE)*(VLOOKUP($D7,素材!$1:$1002,COLUMN(D$1),FALSE)/100),1),"")</f>
        <v>-2.5</v>
      </c>
      <c r="S7">
        <f>IFERROR(VLOOKUP($C7,装備品!$1:$998,COLUMN(P$1),FALSE),"")</f>
        <v>0</v>
      </c>
      <c r="T7">
        <f>IFERROR(VLOOKUP($C7,装備品!$1:$998,COLUMN(Q$1),FALSE),"")</f>
        <v>0</v>
      </c>
      <c r="U7">
        <f>IFERROR(VLOOKUP($C7,装備品!$1:$998,COLUMN(R$1),FALSE),"")</f>
        <v>0</v>
      </c>
      <c r="V7">
        <f>IFERROR(VLOOKUP($C7,装備品!$1:$998,COLUMN(Q$1),FALSE),"")</f>
        <v>0</v>
      </c>
      <c r="W7">
        <f>IFERROR(VLOOKUP($C7,装備品!$1:$998,COLUMN(T$1),FALSE),"")</f>
        <v>0</v>
      </c>
      <c r="Y7">
        <f>IFERROR(VLOOKUP($C7,装備品!$1:$998,COLUMN(U$1),FALSE),"")</f>
        <v>0</v>
      </c>
      <c r="Z7">
        <f>IFERROR(ROUNDUP(VLOOKUP($C7,装備品!$1:$998,COLUMN(O$1),FALSE)*VLOOKUP($D7,素材!$1:$1016,COLUMN(E$1),FALSE),1),"")</f>
        <v>0</v>
      </c>
      <c r="AA7">
        <f>IF(ISNUMBER(SEARCH(SUBSTITUTE(AA$1,RIGHT(AA$1,2),""),VLOOKUP($D7,素材!$1:$1016,COLUMN($F$1),FALSE))),VLOOKUP($C7,装備品!$1:$998,COLUMN($O$1),FALSE)*VLOOKUP($D7,素材!$1:$1016,COLUMN($E$1),FALSE)/(LEN(VLOOKUP($D7,素材!$1:$1016,COLUMN($F$1),FALSE))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B7">
        <f>IF(ISNUMBER(SEARCH(SUBSTITUTE(AB$1,RIGHT(AB$1,2),""),VLOOKUP($D7,素材!$1:$1016,COLUMN($F$1),FALSE))),VLOOKUP($C7,装備品!$1:$998,COLUMN($O$1),FALSE)*VLOOKUP($D7,素材!$1:$1016,COLUMN($E$1),FALSE)/(LEN(VLOOKUP($D7,素材!$1:$1016,COLUMN($F$1),FALSE))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C7">
        <f>IF(ISNUMBER(SEARCH(SUBSTITUTE(AC$1,RIGHT(AC$1,2),""),VLOOKUP($D7,素材!$1:$1016,COLUMN($F$1),FALSE))),VLOOKUP($C7,装備品!$1:$998,COLUMN($O$1),FALSE)*VLOOKUP($D7,素材!$1:$1016,COLUMN($E$1),FALSE)/(LEN(VLOOKUP($D7,素材!$1:$1016,COLUMN($F$1),FALSE))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D7">
        <f>IF(ISNUMBER(SEARCH(SUBSTITUTE(AD$1,RIGHT(AD$1,2),""),VLOOKUP($D7,素材!$1:$1016,COLUMN($F$1),FALSE))),VLOOKUP($C7,装備品!$1:$998,COLUMN($O$1),FALSE)*VLOOKUP($D7,素材!$1:$1016,COLUMN($E$1),FALSE)/(LEN(VLOOKUP($D7,素材!$1:$1016,COLUMN($F$1),FALSE))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E7">
        <f>IF(ISNUMBER(SEARCH(SUBSTITUTE(AE$1,RIGHT(AE$1,2),""),VLOOKUP($D7,素材!$1:$1016,COLUMN($F$1),FALSE))),VLOOKUP($C7,装備品!$1:$998,COLUMN($O$1),FALSE)*VLOOKUP($D7,素材!$1:$1016,COLUMN($E$1),FALSE)/(LEN(VLOOKUP($D7,素材!$1:$1016,COLUMN($F$1),FALSE))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F7">
        <f>IF(ISNUMBER(SEARCH(SUBSTITUTE(AF$1,RIGHT(AF$1,2),""),VLOOKUP($D7,素材!$1:$1016,COLUMN($F$1),FALSE))),VLOOKUP($C7,装備品!$1:$998,COLUMN($O$1),FALSE)*VLOOKUP($D7,素材!$1:$1016,COLUMN($E$1),FALSE)/(LEN(VLOOKUP($D7,素材!$1:$1016,COLUMN($F$1),FALSE))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G7">
        <f>IF(ISNUMBER(SEARCH(SUBSTITUTE(AG$1,RIGHT(AG$1,2),""),VLOOKUP($D7,素材!$1:$1016,COLUMN($F$1),FALSE))),VLOOKUP($C7,装備品!$1:$998,COLUMN($O$1),FALSE)*VLOOKUP($D7,素材!$1:$1016,COLUMN($E$1),FALSE)/(LEN(VLOOKUP($D7,素材!$1:$1016,COLUMN($F$1),FALSE))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H7">
        <f>IF(ISNUMBER(SEARCH(SUBSTITUTE(AH$1,RIGHT(AH$1,2),""),VLOOKUP($D7,素材!$1:$1016,COLUMN($F$1),FALSE))),VLOOKUP($C7,装備品!$1:$998,COLUMN($O$1),FALSE)*VLOOKUP($D7,素材!$1:$1016,COLUMN($E$1),FALSE)/(LEN(VLOOKUP($D7,素材!$1:$1016,COLUMN($F$1),FALSE))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I7">
        <f>IF(ISNUMBER(SEARCH(SUBSTITUTE(AI$1,RIGHT(AI$1,2),""),VLOOKUP($D7,素材!$1:$1016,COLUMN($F$1),FALSE))),VLOOKUP($C7,装備品!$1:$998,COLUMN($O$1),FALSE)*VLOOKUP($D7,素材!$1:$1016,COLUMN($E$1),FALSE)/(LEN(VLOOKUP($D7,素材!$1:$1016,COLUMN($F$1),FALSE))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J7">
        <f>IF(ISNUMBER(SEARCH(SUBSTITUTE(AJ$1,RIGHT(AJ$1,2),""),VLOOKUP($D7,素材!$1:$1016,COLUMN($F$1),FALSE))),VLOOKUP($C7,装備品!$1:$998,COLUMN($O$1),FALSE)*VLOOKUP($D7,素材!$1:$1016,COLUMN($E$1),FALSE)/(LEN(VLOOKUP($D7,素材!$1:$1016,COLUMN($F$1),FALSE))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K7">
        <f>IF(ISNUMBER(SEARCH(SUBSTITUTE(AK$1,RIGHT(AK$1,2),""),VLOOKUP($D7,素材!$1:$1016,COLUMN($F$1),FALSE))),VLOOKUP($C7,装備品!$1:$998,COLUMN($O$1),FALSE)*VLOOKUP($D7,素材!$1:$1016,COLUMN($E$1),FALSE)/(LEN(VLOOKUP($D7,素材!$1:$1016,COLUMN($F$1),FALSE))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L7">
        <f>IF(ISNUMBER(SEARCH(SUBSTITUTE(AL$1,RIGHT(AL$1,2),""),VLOOKUP($D7,素材!$1:$1016,COLUMN($F$1),FALSE))),VLOOKUP($C7,装備品!$1:$998,COLUMN($O$1),FALSE)*VLOOKUP($D7,素材!$1:$1016,COLUMN($E$1),FALSE)/(LEN(VLOOKUP($D7,素材!$1:$1016,COLUMN($F$1),FALSE))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M7">
        <f>IF(ISNUMBER(SEARCH(SUBSTITUTE(AM$1,RIGHT(AM$1,2),""),VLOOKUP($D7,素材!$1:$1016,COLUMN($F$1),FALSE))),VLOOKUP($C7,装備品!$1:$998,COLUMN($O$1),FALSE)*VLOOKUP($D7,素材!$1:$1016,COLUMN($E$1),FALSE)/(LEN(VLOOKUP($D7,素材!$1:$1016,COLUMN($F$1),FALSE))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N7">
        <f>IF(ISNUMBER(SEARCH(SUBSTITUTE(AN$1,RIGHT(AN$1,2),""),VLOOKUP($D7,素材!$1:$1016,COLUMN($F$1),FALSE))),VLOOKUP($C7,装備品!$1:$998,COLUMN($O$1),FALSE)*VLOOKUP($D7,素材!$1:$1016,COLUMN($E$1),FALSE)/(LEN(VLOOKUP($D7,素材!$1:$1016,COLUMN($F$1),FALSE))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O7">
        <f>IF(ISNUMBER(SEARCH(SUBSTITUTE(AO$1,RIGHT(AO$1,2),""),VLOOKUP($D7,素材!$1:$1016,COLUMN($F$1),FALSE))),VLOOKUP($C7,装備品!$1:$998,COLUMN($O$1),FALSE)*VLOOKUP($D7,素材!$1:$1016,COLUMN($E$1),FALSE)/(LEN(VLOOKUP($D7,素材!$1:$1016,COLUMN($F$1),FALSE))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P7">
        <f>IF(ISNUMBER(SEARCH(SUBSTITUTE(AP$1,RIGHT(AP$1,2),""),VLOOKUP($D7,素材!$1:$1016,COLUMN($F$1),FALSE))),VLOOKUP($C7,装備品!$1:$998,COLUMN($O$1),FALSE)*VLOOKUP($D7,素材!$1:$1016,COLUMN($E$1),FALSE)/(LEN(VLOOKUP($D7,素材!$1:$1016,COLUMN($F$1),FALSE))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Q7">
        <f>IF(ISNUMBER(SEARCH(SUBSTITUTE(AQ$1,RIGHT(AQ$1,2),""),VLOOKUP($D7,素材!$1:$1016,COLUMN($F$1),FALSE))),VLOOKUP($C7,装備品!$1:$998,COLUMN($O$1),FALSE)*VLOOKUP($D7,素材!$1:$1016,COLUMN($E$1),FALSE)/(LEN(VLOOKUP($D7,素材!$1:$1016,COLUMN($F$1),FALSE))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R7">
        <f>IF(ISNUMBER(SEARCH(SUBSTITUTE(AR$1,RIGHT(AR$1,2),""),VLOOKUP($D7,素材!$1:$1016,COLUMN($F$1),FALSE))),VLOOKUP($C7,装備品!$1:$998,COLUMN($O$1),FALSE)*VLOOKUP($D7,素材!$1:$1016,COLUMN($E$1),FALSE)/(LEN(VLOOKUP($D7,素材!$1:$1016,COLUMN($F$1),FALSE))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S7">
        <f>IF(ISNUMBER(SEARCH(SUBSTITUTE(AS$1,RIGHT(AS$1,2),""),VLOOKUP($D7,素材!$1:$1016,COLUMN($F$1),FALSE))),VLOOKUP($C7,装備品!$1:$998,COLUMN($O$1),FALSE)*VLOOKUP($D7,素材!$1:$1016,COLUMN($E$1),FALSE)/(LEN(VLOOKUP($D7,素材!$1:$1016,COLUMN($F$1),FALSE))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T7">
        <f>IF(ISNUMBER(SEARCH(SUBSTITUTE(AT$1,RIGHT(AT$1,2),""),VLOOKUP($D7,素材!$1:$1016,COLUMN($F$1),FALSE))),VLOOKUP($C7,装備品!$1:$998,COLUMN($O$1),FALSE)*VLOOKUP($D7,素材!$1:$1016,COLUMN($E$1),FALSE)/(LEN(VLOOKUP($D7,素材!$1:$1016,COLUMN($F$1),FALSE))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U7">
        <f>IF(ISNUMBER(SEARCH(SUBSTITUTE(AU$1,RIGHT(AU$1,2),""),VLOOKUP($D7,素材!$1:$1016,COLUMN($F$1),FALSE))),VLOOKUP($C7,装備品!$1:$998,COLUMN($O$1),FALSE)*VLOOKUP($D7,素材!$1:$1016,COLUMN($E$1),FALSE)/(LEN(VLOOKUP($D7,素材!$1:$1016,COLUMN($F$1),FALSE))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V7">
        <f>IF(ISNUMBER(SEARCH(SUBSTITUTE(AV$1,RIGHT(AV$1,2),""),VLOOKUP($D7,素材!$1:$1016,COLUMN($F$1),FALSE))),VLOOKUP($C7,装備品!$1:$998,COLUMN($O$1),FALSE)*VLOOKUP($D7,素材!$1:$1016,COLUMN($E$1),FALSE)/(LEN(VLOOKUP($D7,素材!$1:$1016,COLUMN($F$1),FALSE))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W7">
        <f>IF(ISNUMBER(SEARCH(SUBSTITUTE(AW$1,RIGHT(AW$1,2),""),VLOOKUP($D7,素材!$1:$1016,COLUMN($F$1),FALSE))),VLOOKUP($C7,装備品!$1:$998,COLUMN($O$1),FALSE)*VLOOKUP($D7,素材!$1:$1016,COLUMN($E$1),FALSE)/(LEN(VLOOKUP($D7,素材!$1:$1016,COLUMN($F$1),FALSE))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X7">
        <f>IF(ISNUMBER(SEARCH(SUBSTITUTE(AX$1,RIGHT(AX$1,2),""),VLOOKUP($D7,素材!$1:$1016,COLUMN($F$1),FALSE))),VLOOKUP($C7,装備品!$1:$998,COLUMN($O$1),FALSE)*VLOOKUP($D7,素材!$1:$1016,COLUMN($E$1),FALSE)/(LEN(VLOOKUP($D7,素材!$1:$1016,COLUMN($F$1),FALSE))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Y7">
        <f>IF(ISNUMBER(SEARCH(SUBSTITUTE(AY$1,RIGHT(AY$1,2),""),VLOOKUP($D7,素材!$1:$1016,COLUMN($F$1),FALSE))),VLOOKUP($C7,装備品!$1:$998,COLUMN($O$1),FALSE)*VLOOKUP($D7,素材!$1:$1016,COLUMN($E$1),FALSE)/(LEN(VLOOKUP($D7,素材!$1:$1016,COLUMN($F$1),FALSE))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Z7">
        <f>IF(ISNUMBER(SEARCH(SUBSTITUTE(AZ$1,RIGHT(AZ$1,2),""),VLOOKUP($D7,素材!$1:$1016,COLUMN($F$1),FALSE))),VLOOKUP($C7,装備品!$1:$998,COLUMN($O$1),FALSE)*VLOOKUP($D7,素材!$1:$1016,COLUMN($E$1),FALSE)/(LEN(VLOOKUP($D7,素材!$1:$1016,COLUMN($F$1),FALSE))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BA7">
        <f>IF(ISNUMBER(SEARCH(SUBSTITUTE(BA$1,RIGHT(BA$1,2),""),VLOOKUP($D7,素材!$1:$1016,COLUMN($F$1),FALSE))),VLOOKUP($C7,装備品!$1:$998,COLUMN($O$1),FALSE)*VLOOKUP($D7,素材!$1:$1016,COLUMN($E$1),FALSE)/(LEN(VLOOKUP($D7,素材!$1:$1016,COLUMN($F$1),FALSE))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BB7">
        <f>IF(ISNUMBER(SEARCH(SUBSTITUTE(BB$1,RIGHT(BB$1,2),""),VLOOKUP($D7,素材!$1:$1016,COLUMN($F$1),FALSE))),VLOOKUP($C7,装備品!$1:$998,COLUMN($O$1),FALSE)*VLOOKUP($D7,素材!$1:$1016,COLUMN($E$1),FALSE)/(LEN(VLOOKUP($D7,素材!$1:$1016,COLUMN($F$1),FALSE))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BC7">
        <f>IF(ISNUMBER(SEARCH(SUBSTITUTE(BC$1,RIGHT(BC$1,2),""),VLOOKUP($D7,素材!$1:$1016,COLUMN($F$1),FALSE))),VLOOKUP($C7,装備品!$1:$998,COLUMN($O$1),FALSE)*VLOOKUP($D7,素材!$1:$1016,COLUMN($E$1),FALSE)/(LEN(VLOOKUP($D7,素材!$1:$1016,COLUMN($F$1),FALSE))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BD7">
        <f>IF(ISNUMBER(SEARCH(SUBSTITUTE(BD$1,RIGHT(BD$1,2),""),VLOOKUP($D7,素材!$1:$1016,COLUMN($F$1),FALSE))),VLOOKUP($C7,装備品!$1:$998,COLUMN($O$1),FALSE)*VLOOKUP($D7,素材!$1:$1016,COLUMN($E$1),FALSE)/(LEN(VLOOKUP($D7,素材!$1:$1016,COLUMN($F$1),FALSE))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BE7">
        <f>IF(ISNUMBER(SEARCH(SUBSTITUTE(BE$1,RIGHT(BE$1,2),""),VLOOKUP($D7,素材!$1:$1016,COLUMN($F$1),FALSE))),VLOOKUP($C7,装備品!$1:$998,COLUMN($O$1),FALSE)*VLOOKUP($D7,素材!$1:$1016,COLUMN($E$1),FALSE)/(LEN(VLOOKUP($D7,素材!$1:$1016,COLUMN($F$1),FALSE))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CL7">
        <f t="shared" si="1"/>
        <v>27</v>
      </c>
      <c r="CM7" s="22" t="str">
        <f t="shared" si="2"/>
        <v>切断.webp</v>
      </c>
      <c r="CN7">
        <f>IFERROR(VLOOKUP($C7,装備品!$1:$998,COLUMN(V$1),FALSE)*VLOOKUP($D7,素材!$1:$1016,COLUMN(N$1),FALSE)+IF(CI7="",0,VLOOKUP($CI7,付与!$1:$1176,COLUMN($CK$1),FALSE)),"")</f>
        <v>0</v>
      </c>
      <c r="CO7" t="str">
        <f>VLOOKUP(D7,素材!$A:$O,COLUMN(素材!O$1),FALSE)</f>
        <v>一般的な鉄。量産品を作るのに使用されることが多い</v>
      </c>
      <c r="CP7" t="str">
        <f>VLOOKUP(C7,装備品!$A:$AB,COLUMN(装備品!AB$1),FALSE)</f>
        <v>長剣。長く重い分扱いにくいが威力が高い。</v>
      </c>
      <c r="CR7" t="str">
        <f t="shared" si="3"/>
        <v>e_7</v>
      </c>
      <c r="CS7">
        <f t="shared" si="4"/>
        <v>0</v>
      </c>
    </row>
    <row r="8" spans="1:97" outlineLevel="1" x14ac:dyDescent="0.4">
      <c r="A8" t="str">
        <f t="shared" si="0"/>
        <v>鉄の大剣</v>
      </c>
      <c r="B8" t="str">
        <f>IFERROR(VLOOKUP($D8,素材!$1:$1016,COLUMN($B$1),FALSE)&amp;"・"&amp;VLOOKUP($C8,装備品!$1:$998,COLUMN(B$1),FALSE),"")</f>
        <v>アイアン・バスターソード</v>
      </c>
      <c r="C8" s="24" t="s">
        <v>236</v>
      </c>
      <c r="D8" s="24" t="s">
        <v>256</v>
      </c>
      <c r="E8" t="str">
        <f>IFERROR(VLOOKUP(C8,装備品!$1:$998,COLUMN(C$1),FALSE),"")</f>
        <v>武器</v>
      </c>
      <c r="F8">
        <f>IFERROR(ROUNDDOWN((VLOOKUP($C8,装備品!$1:$998,COLUMN(D$1),FALSE)+IFERROR(VLOOKUP($CI8,付与!$1:$1167,COLUMN(F$1),FALSE),0))*VLOOKUP($D8,素材!$1:$1016,COLUMN(D$1),FALSE),0),"")</f>
        <v>125</v>
      </c>
      <c r="G8">
        <f>IFERROR(ROUNDDOWN((VLOOKUP($C8,装備品!$1:$998,COLUMN(E$1),FALSE)+IFERROR(VLOOKUP($CI8,付与!$1:$1167,COLUMN(G$1),FALSE),0))*VLOOKUP($D8,素材!$1:$1016,COLUMN($E$1),FALSE),0),"")</f>
        <v>18</v>
      </c>
      <c r="H8">
        <f>IFERROR(ROUNDDOWN((VLOOKUP($C8,装備品!$1:$998,COLUMN(F$1),FALSE)+IFERROR(VLOOKUP($CI8,付与!$1:$1167,COLUMN(H$1),FALSE),0))*VLOOKUP($D8,素材!$1:$1016,COLUMN($E$1),FALSE),0),"")</f>
        <v>9</v>
      </c>
      <c r="I8">
        <f>IFERROR(ROUNDDOWN((VLOOKUP($C8,装備品!$1:$998,COLUMN(G$1),FALSE)+IFERROR(VLOOKUP($CI8,付与!$1:$1167,COLUMN(I$1),FALSE),0))*VLOOKUP($D8,素材!$1:$1016,COLUMN($E$1),FALSE),0),"")</f>
        <v>4</v>
      </c>
      <c r="J8">
        <f>IFERROR(ROUNDDOWN((VLOOKUP($C8,装備品!$1:$998,COLUMN(H$1),FALSE)+IFERROR(VLOOKUP($CI8,付与!$1:$1167,COLUMN(J$1),FALSE),0))*VLOOKUP($D8,素材!$1:$1016,COLUMN($E$1),FALSE),0),"")</f>
        <v>22</v>
      </c>
      <c r="K8">
        <f>IFERROR(ROUNDDOWN((VLOOKUP($C8,装備品!$1:$998,COLUMN(I$1),FALSE)+IFERROR(VLOOKUP($CI8,付与!$1:$1167,COLUMN(K$1),FALSE),0))*VLOOKUP($D8,素材!$1:$1016,COLUMN($E$1),FALSE),0),"")</f>
        <v>0</v>
      </c>
      <c r="L8">
        <f>IFERROR(VLOOKUP($D8,素材!$1:$1016,COLUMN($F$1),FALSE),"")</f>
        <v>0</v>
      </c>
      <c r="M8">
        <f>IFERROR(VLOOKUP($C8,装備品!$1:$998,COLUMN(AA$1),FALSE)*VLOOKUP($D8,素材!$1:$1016,COLUMN($G$1),FALSE),"")</f>
        <v>0</v>
      </c>
      <c r="N8">
        <f>IFERROR(VLOOKUP($C8,装備品!$1:$998,COLUMN(I$1),FALSE),"")</f>
        <v>0</v>
      </c>
      <c r="O8" s="23">
        <f>IFERROR((VLOOKUP($C8,装備品!$1:$998,COLUMN(K$1),FALSE)+VLOOKUP($D8,素材!$1:$1016,COLUMN(H$1),FALSE))*100+IFERROR(VLOOKUP($CI8,付与!$1:$1167,COLUMN(O$1),FALSE),0),"")</f>
        <v>10</v>
      </c>
      <c r="P8" s="23">
        <f>IFERROR((VLOOKUP($C8,装備品!$1:$998,COLUMN(L$1),FALSE)+VLOOKUP($D8,素材!$1:$1016,COLUMN(I$1),FALSE))*100+IFERROR(VLOOKUP($CI8,付与!$1:$1167,COLUMN(P$1),FALSE),0),"")</f>
        <v>150</v>
      </c>
      <c r="Q8">
        <f>IFERROR(ROUNDUP(VLOOKUP($C8,装備品!$1:$998,COLUMN(M$1),FALSE)*(VLOOKUP($D8,素材!$1:$1002,COLUMN(D$1),FALSE)/100),1),"")</f>
        <v>-7.5</v>
      </c>
      <c r="R8">
        <f>IFERROR(ROUNDUP(VLOOKUP($C8,装備品!$1:$998,COLUMN(N$1),FALSE)*(VLOOKUP($D8,素材!$1:$1002,COLUMN(D$1),FALSE)/100),1),"")</f>
        <v>-7.5</v>
      </c>
      <c r="S8">
        <f>IFERROR(VLOOKUP($C8,装備品!$1:$998,COLUMN(P$1),FALSE),"")</f>
        <v>0</v>
      </c>
      <c r="T8">
        <f>IFERROR(VLOOKUP($C8,装備品!$1:$998,COLUMN(Q$1),FALSE),"")</f>
        <v>0</v>
      </c>
      <c r="U8">
        <f>IFERROR(VLOOKUP($C8,装備品!$1:$998,COLUMN(R$1),FALSE),"")</f>
        <v>-15</v>
      </c>
      <c r="V8">
        <f>IFERROR(VLOOKUP($C8,装備品!$1:$998,COLUMN(Q$1),FALSE),"")</f>
        <v>0</v>
      </c>
      <c r="W8">
        <f>IFERROR(VLOOKUP($C8,装備品!$1:$998,COLUMN(T$1),FALSE),"")</f>
        <v>0</v>
      </c>
      <c r="Y8">
        <f>IFERROR(VLOOKUP($C8,装備品!$1:$998,COLUMN(U$1),FALSE),"")</f>
        <v>0</v>
      </c>
      <c r="Z8">
        <f>IFERROR(ROUNDUP(VLOOKUP($C8,装備品!$1:$998,COLUMN(O$1),FALSE)*VLOOKUP($D8,素材!$1:$1016,COLUMN(E$1),FALSE),1),"")</f>
        <v>0</v>
      </c>
      <c r="AA8">
        <f>IF(ISNUMBER(SEARCH(SUBSTITUTE(AA$1,RIGHT(AA$1,2),""),VLOOKUP($D8,素材!$1:$1016,COLUMN($F$1),FALSE))),VLOOKUP($C8,装備品!$1:$998,COLUMN($O$1),FALSE)*VLOOKUP($D8,素材!$1:$1016,COLUMN($E$1),FALSE)/(LEN(VLOOKUP($D8,素材!$1:$1016,COLUMN($F$1),FALSE))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B8">
        <f>IF(ISNUMBER(SEARCH(SUBSTITUTE(AB$1,RIGHT(AB$1,2),""),VLOOKUP($D8,素材!$1:$1016,COLUMN($F$1),FALSE))),VLOOKUP($C8,装備品!$1:$998,COLUMN($O$1),FALSE)*VLOOKUP($D8,素材!$1:$1016,COLUMN($E$1),FALSE)/(LEN(VLOOKUP($D8,素材!$1:$1016,COLUMN($F$1),FALSE))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C8">
        <f>IF(ISNUMBER(SEARCH(SUBSTITUTE(AC$1,RIGHT(AC$1,2),""),VLOOKUP($D8,素材!$1:$1016,COLUMN($F$1),FALSE))),VLOOKUP($C8,装備品!$1:$998,COLUMN($O$1),FALSE)*VLOOKUP($D8,素材!$1:$1016,COLUMN($E$1),FALSE)/(LEN(VLOOKUP($D8,素材!$1:$1016,COLUMN($F$1),FALSE))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D8">
        <f>IF(ISNUMBER(SEARCH(SUBSTITUTE(AD$1,RIGHT(AD$1,2),""),VLOOKUP($D8,素材!$1:$1016,COLUMN($F$1),FALSE))),VLOOKUP($C8,装備品!$1:$998,COLUMN($O$1),FALSE)*VLOOKUP($D8,素材!$1:$1016,COLUMN($E$1),FALSE)/(LEN(VLOOKUP($D8,素材!$1:$1016,COLUMN($F$1),FALSE))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E8">
        <f>IF(ISNUMBER(SEARCH(SUBSTITUTE(AE$1,RIGHT(AE$1,2),""),VLOOKUP($D8,素材!$1:$1016,COLUMN($F$1),FALSE))),VLOOKUP($C8,装備品!$1:$998,COLUMN($O$1),FALSE)*VLOOKUP($D8,素材!$1:$1016,COLUMN($E$1),FALSE)/(LEN(VLOOKUP($D8,素材!$1:$1016,COLUMN($F$1),FALSE))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F8">
        <f>IF(ISNUMBER(SEARCH(SUBSTITUTE(AF$1,RIGHT(AF$1,2),""),VLOOKUP($D8,素材!$1:$1016,COLUMN($F$1),FALSE))),VLOOKUP($C8,装備品!$1:$998,COLUMN($O$1),FALSE)*VLOOKUP($D8,素材!$1:$1016,COLUMN($E$1),FALSE)/(LEN(VLOOKUP($D8,素材!$1:$1016,COLUMN($F$1),FALSE))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G8">
        <f>IF(ISNUMBER(SEARCH(SUBSTITUTE(AG$1,RIGHT(AG$1,2),""),VLOOKUP($D8,素材!$1:$1016,COLUMN($F$1),FALSE))),VLOOKUP($C8,装備品!$1:$998,COLUMN($O$1),FALSE)*VLOOKUP($D8,素材!$1:$1016,COLUMN($E$1),FALSE)/(LEN(VLOOKUP($D8,素材!$1:$1016,COLUMN($F$1),FALSE))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H8">
        <f>IF(ISNUMBER(SEARCH(SUBSTITUTE(AH$1,RIGHT(AH$1,2),""),VLOOKUP($D8,素材!$1:$1016,COLUMN($F$1),FALSE))),VLOOKUP($C8,装備品!$1:$998,COLUMN($O$1),FALSE)*VLOOKUP($D8,素材!$1:$1016,COLUMN($E$1),FALSE)/(LEN(VLOOKUP($D8,素材!$1:$1016,COLUMN($F$1),FALSE))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I8">
        <f>IF(ISNUMBER(SEARCH(SUBSTITUTE(AI$1,RIGHT(AI$1,2),""),VLOOKUP($D8,素材!$1:$1016,COLUMN($F$1),FALSE))),VLOOKUP($C8,装備品!$1:$998,COLUMN($O$1),FALSE)*VLOOKUP($D8,素材!$1:$1016,COLUMN($E$1),FALSE)/(LEN(VLOOKUP($D8,素材!$1:$1016,COLUMN($F$1),FALSE))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J8">
        <f>IF(ISNUMBER(SEARCH(SUBSTITUTE(AJ$1,RIGHT(AJ$1,2),""),VLOOKUP($D8,素材!$1:$1016,COLUMN($F$1),FALSE))),VLOOKUP($C8,装備品!$1:$998,COLUMN($O$1),FALSE)*VLOOKUP($D8,素材!$1:$1016,COLUMN($E$1),FALSE)/(LEN(VLOOKUP($D8,素材!$1:$1016,COLUMN($F$1),FALSE))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K8">
        <f>IF(ISNUMBER(SEARCH(SUBSTITUTE(AK$1,RIGHT(AK$1,2),""),VLOOKUP($D8,素材!$1:$1016,COLUMN($F$1),FALSE))),VLOOKUP($C8,装備品!$1:$998,COLUMN($O$1),FALSE)*VLOOKUP($D8,素材!$1:$1016,COLUMN($E$1),FALSE)/(LEN(VLOOKUP($D8,素材!$1:$1016,COLUMN($F$1),FALSE))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L8">
        <f>IF(ISNUMBER(SEARCH(SUBSTITUTE(AL$1,RIGHT(AL$1,2),""),VLOOKUP($D8,素材!$1:$1016,COLUMN($F$1),FALSE))),VLOOKUP($C8,装備品!$1:$998,COLUMN($O$1),FALSE)*VLOOKUP($D8,素材!$1:$1016,COLUMN($E$1),FALSE)/(LEN(VLOOKUP($D8,素材!$1:$1016,COLUMN($F$1),FALSE))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M8">
        <f>IF(ISNUMBER(SEARCH(SUBSTITUTE(AM$1,RIGHT(AM$1,2),""),VLOOKUP($D8,素材!$1:$1016,COLUMN($F$1),FALSE))),VLOOKUP($C8,装備品!$1:$998,COLUMN($O$1),FALSE)*VLOOKUP($D8,素材!$1:$1016,COLUMN($E$1),FALSE)/(LEN(VLOOKUP($D8,素材!$1:$1016,COLUMN($F$1),FALSE))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N8">
        <f>IF(ISNUMBER(SEARCH(SUBSTITUTE(AN$1,RIGHT(AN$1,2),""),VLOOKUP($D8,素材!$1:$1016,COLUMN($F$1),FALSE))),VLOOKUP($C8,装備品!$1:$998,COLUMN($O$1),FALSE)*VLOOKUP($D8,素材!$1:$1016,COLUMN($E$1),FALSE)/(LEN(VLOOKUP($D8,素材!$1:$1016,COLUMN($F$1),FALSE))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O8">
        <f>IF(ISNUMBER(SEARCH(SUBSTITUTE(AO$1,RIGHT(AO$1,2),""),VLOOKUP($D8,素材!$1:$1016,COLUMN($F$1),FALSE))),VLOOKUP($C8,装備品!$1:$998,COLUMN($O$1),FALSE)*VLOOKUP($D8,素材!$1:$1016,COLUMN($E$1),FALSE)/(LEN(VLOOKUP($D8,素材!$1:$1016,COLUMN($F$1),FALSE))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P8">
        <f>IF(ISNUMBER(SEARCH(SUBSTITUTE(AP$1,RIGHT(AP$1,2),""),VLOOKUP($D8,素材!$1:$1016,COLUMN($F$1),FALSE))),VLOOKUP($C8,装備品!$1:$998,COLUMN($O$1),FALSE)*VLOOKUP($D8,素材!$1:$1016,COLUMN($E$1),FALSE)/(LEN(VLOOKUP($D8,素材!$1:$1016,COLUMN($F$1),FALSE))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Q8">
        <f>IF(ISNUMBER(SEARCH(SUBSTITUTE(AQ$1,RIGHT(AQ$1,2),""),VLOOKUP($D8,素材!$1:$1016,COLUMN($F$1),FALSE))),VLOOKUP($C8,装備品!$1:$998,COLUMN($O$1),FALSE)*VLOOKUP($D8,素材!$1:$1016,COLUMN($E$1),FALSE)/(LEN(VLOOKUP($D8,素材!$1:$1016,COLUMN($F$1),FALSE))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R8">
        <f>IF(ISNUMBER(SEARCH(SUBSTITUTE(AR$1,RIGHT(AR$1,2),""),VLOOKUP($D8,素材!$1:$1016,COLUMN($F$1),FALSE))),VLOOKUP($C8,装備品!$1:$998,COLUMN($O$1),FALSE)*VLOOKUP($D8,素材!$1:$1016,COLUMN($E$1),FALSE)/(LEN(VLOOKUP($D8,素材!$1:$1016,COLUMN($F$1),FALSE))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S8">
        <f>IF(ISNUMBER(SEARCH(SUBSTITUTE(AS$1,RIGHT(AS$1,2),""),VLOOKUP($D8,素材!$1:$1016,COLUMN($F$1),FALSE))),VLOOKUP($C8,装備品!$1:$998,COLUMN($O$1),FALSE)*VLOOKUP($D8,素材!$1:$1016,COLUMN($E$1),FALSE)/(LEN(VLOOKUP($D8,素材!$1:$1016,COLUMN($F$1),FALSE))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T8">
        <f>IF(ISNUMBER(SEARCH(SUBSTITUTE(AT$1,RIGHT(AT$1,2),""),VLOOKUP($D8,素材!$1:$1016,COLUMN($F$1),FALSE))),VLOOKUP($C8,装備品!$1:$998,COLUMN($O$1),FALSE)*VLOOKUP($D8,素材!$1:$1016,COLUMN($E$1),FALSE)/(LEN(VLOOKUP($D8,素材!$1:$1016,COLUMN($F$1),FALSE))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U8">
        <f>IF(ISNUMBER(SEARCH(SUBSTITUTE(AU$1,RIGHT(AU$1,2),""),VLOOKUP($D8,素材!$1:$1016,COLUMN($F$1),FALSE))),VLOOKUP($C8,装備品!$1:$998,COLUMN($O$1),FALSE)*VLOOKUP($D8,素材!$1:$1016,COLUMN($E$1),FALSE)/(LEN(VLOOKUP($D8,素材!$1:$1016,COLUMN($F$1),FALSE))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V8">
        <f>IF(ISNUMBER(SEARCH(SUBSTITUTE(AV$1,RIGHT(AV$1,2),""),VLOOKUP($D8,素材!$1:$1016,COLUMN($F$1),FALSE))),VLOOKUP($C8,装備品!$1:$998,COLUMN($O$1),FALSE)*VLOOKUP($D8,素材!$1:$1016,COLUMN($E$1),FALSE)/(LEN(VLOOKUP($D8,素材!$1:$1016,COLUMN($F$1),FALSE))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W8">
        <f>IF(ISNUMBER(SEARCH(SUBSTITUTE(AW$1,RIGHT(AW$1,2),""),VLOOKUP($D8,素材!$1:$1016,COLUMN($F$1),FALSE))),VLOOKUP($C8,装備品!$1:$998,COLUMN($O$1),FALSE)*VLOOKUP($D8,素材!$1:$1016,COLUMN($E$1),FALSE)/(LEN(VLOOKUP($D8,素材!$1:$1016,COLUMN($F$1),FALSE))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X8">
        <f>IF(ISNUMBER(SEARCH(SUBSTITUTE(AX$1,RIGHT(AX$1,2),""),VLOOKUP($D8,素材!$1:$1016,COLUMN($F$1),FALSE))),VLOOKUP($C8,装備品!$1:$998,COLUMN($O$1),FALSE)*VLOOKUP($D8,素材!$1:$1016,COLUMN($E$1),FALSE)/(LEN(VLOOKUP($D8,素材!$1:$1016,COLUMN($F$1),FALSE))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Y8">
        <f>IF(ISNUMBER(SEARCH(SUBSTITUTE(AY$1,RIGHT(AY$1,2),""),VLOOKUP($D8,素材!$1:$1016,COLUMN($F$1),FALSE))),VLOOKUP($C8,装備品!$1:$998,COLUMN($O$1),FALSE)*VLOOKUP($D8,素材!$1:$1016,COLUMN($E$1),FALSE)/(LEN(VLOOKUP($D8,素材!$1:$1016,COLUMN($F$1),FALSE))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Z8">
        <f>IF(ISNUMBER(SEARCH(SUBSTITUTE(AZ$1,RIGHT(AZ$1,2),""),VLOOKUP($D8,素材!$1:$1016,COLUMN($F$1),FALSE))),VLOOKUP($C8,装備品!$1:$998,COLUMN($O$1),FALSE)*VLOOKUP($D8,素材!$1:$1016,COLUMN($E$1),FALSE)/(LEN(VLOOKUP($D8,素材!$1:$1016,COLUMN($F$1),FALSE))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BA8">
        <f>IF(ISNUMBER(SEARCH(SUBSTITUTE(BA$1,RIGHT(BA$1,2),""),VLOOKUP($D8,素材!$1:$1016,COLUMN($F$1),FALSE))),VLOOKUP($C8,装備品!$1:$998,COLUMN($O$1),FALSE)*VLOOKUP($D8,素材!$1:$1016,COLUMN($E$1),FALSE)/(LEN(VLOOKUP($D8,素材!$1:$1016,COLUMN($F$1),FALSE))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BB8">
        <f>IF(ISNUMBER(SEARCH(SUBSTITUTE(BB$1,RIGHT(BB$1,2),""),VLOOKUP($D8,素材!$1:$1016,COLUMN($F$1),FALSE))),VLOOKUP($C8,装備品!$1:$998,COLUMN($O$1),FALSE)*VLOOKUP($D8,素材!$1:$1016,COLUMN($E$1),FALSE)/(LEN(VLOOKUP($D8,素材!$1:$1016,COLUMN($F$1),FALSE))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BC8">
        <f>IF(ISNUMBER(SEARCH(SUBSTITUTE(BC$1,RIGHT(BC$1,2),""),VLOOKUP($D8,素材!$1:$1016,COLUMN($F$1),FALSE))),VLOOKUP($C8,装備品!$1:$998,COLUMN($O$1),FALSE)*VLOOKUP($D8,素材!$1:$1016,COLUMN($E$1),FALSE)/(LEN(VLOOKUP($D8,素材!$1:$1016,COLUMN($F$1),FALSE))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BD8">
        <f>IF(ISNUMBER(SEARCH(SUBSTITUTE(BD$1,RIGHT(BD$1,2),""),VLOOKUP($D8,素材!$1:$1016,COLUMN($F$1),FALSE))),VLOOKUP($C8,装備品!$1:$998,COLUMN($O$1),FALSE)*VLOOKUP($D8,素材!$1:$1016,COLUMN($E$1),FALSE)/(LEN(VLOOKUP($D8,素材!$1:$1016,COLUMN($F$1),FALSE))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BE8">
        <f>IF(ISNUMBER(SEARCH(SUBSTITUTE(BE$1,RIGHT(BE$1,2),""),VLOOKUP($D8,素材!$1:$1016,COLUMN($F$1),FALSE))),VLOOKUP($C8,装備品!$1:$998,COLUMN($O$1),FALSE)*VLOOKUP($D8,素材!$1:$1016,COLUMN($E$1),FALSE)/(LEN(VLOOKUP($D8,素材!$1:$1016,COLUMN($F$1),FALSE))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CL8">
        <f t="shared" si="1"/>
        <v>31</v>
      </c>
      <c r="CM8" s="22" t="str">
        <f t="shared" si="2"/>
        <v>切断.webp</v>
      </c>
      <c r="CN8">
        <f>IFERROR(VLOOKUP($C8,装備品!$1:$998,COLUMN(V$1),FALSE)*VLOOKUP($D8,素材!$1:$1016,COLUMN(N$1),FALSE)+IF(CI8="",0,VLOOKUP($CI8,付与!$1:$1176,COLUMN($CK$1),FALSE)),"")</f>
        <v>0</v>
      </c>
      <c r="CO8" t="str">
        <f>VLOOKUP(D8,素材!$A:$O,COLUMN(素材!O$1),FALSE)</f>
        <v>一般的な鉄。量産品を作るのに使用されることが多い</v>
      </c>
      <c r="CP8" t="str">
        <f>VLOOKUP(C8,装備品!$A:$AB,COLUMN(装備品!AB$1),FALSE)</f>
        <v>大剣。非常に重いが威力が突出して高い武器。大きい分ガードにも向いている</v>
      </c>
      <c r="CR8" t="str">
        <f t="shared" si="3"/>
        <v>e_8</v>
      </c>
      <c r="CS8">
        <f t="shared" si="4"/>
        <v>0</v>
      </c>
    </row>
    <row r="9" spans="1:97" outlineLevel="1" x14ac:dyDescent="0.4">
      <c r="A9" t="str">
        <f t="shared" si="0"/>
        <v>鉄の細剣</v>
      </c>
      <c r="B9" t="str">
        <f>IFERROR(VLOOKUP($D9,素材!$1:$1016,COLUMN($B$1),FALSE)&amp;"・"&amp;VLOOKUP($C9,装備品!$1:$998,COLUMN(B$1),FALSE),"")</f>
        <v>アイアン・レイピア</v>
      </c>
      <c r="C9" s="24" t="s">
        <v>235</v>
      </c>
      <c r="D9" s="24" t="s">
        <v>256</v>
      </c>
      <c r="E9" t="str">
        <f>IFERROR(VLOOKUP(C9,装備品!$1:$998,COLUMN(C$1),FALSE),"")</f>
        <v>武器</v>
      </c>
      <c r="F9">
        <f>IFERROR(ROUNDDOWN((VLOOKUP($C9,装備品!$1:$998,COLUMN(D$1),FALSE)+IFERROR(VLOOKUP($CI9,付与!$1:$1167,COLUMN(F$1),FALSE),0))*VLOOKUP($D9,素材!$1:$1016,COLUMN(D$1),FALSE),0),"")</f>
        <v>100</v>
      </c>
      <c r="G9">
        <f>IFERROR(ROUNDDOWN((VLOOKUP($C9,装備品!$1:$998,COLUMN(E$1),FALSE)+IFERROR(VLOOKUP($CI9,付与!$1:$1167,COLUMN(G$1),FALSE),0))*VLOOKUP($D9,素材!$1:$1016,COLUMN($E$1),FALSE),0),"")</f>
        <v>9</v>
      </c>
      <c r="H9">
        <f>IFERROR(ROUNDDOWN((VLOOKUP($C9,装備品!$1:$998,COLUMN(F$1),FALSE)+IFERROR(VLOOKUP($CI9,付与!$1:$1167,COLUMN(H$1),FALSE),0))*VLOOKUP($D9,素材!$1:$1016,COLUMN($E$1),FALSE),0),"")</f>
        <v>13</v>
      </c>
      <c r="I9">
        <f>IFERROR(ROUNDDOWN((VLOOKUP($C9,装備品!$1:$998,COLUMN(G$1),FALSE)+IFERROR(VLOOKUP($CI9,付与!$1:$1167,COLUMN(I$1),FALSE),0))*VLOOKUP($D9,素材!$1:$1016,COLUMN($E$1),FALSE),0),"")</f>
        <v>0</v>
      </c>
      <c r="J9">
        <f>IFERROR(ROUNDDOWN((VLOOKUP($C9,装備品!$1:$998,COLUMN(H$1),FALSE)+IFERROR(VLOOKUP($CI9,付与!$1:$1167,COLUMN(J$1),FALSE),0))*VLOOKUP($D9,素材!$1:$1016,COLUMN($E$1),FALSE),0),"")</f>
        <v>16</v>
      </c>
      <c r="K9">
        <f>IFERROR(ROUNDDOWN((VLOOKUP($C9,装備品!$1:$998,COLUMN(I$1),FALSE)+IFERROR(VLOOKUP($CI9,付与!$1:$1167,COLUMN(K$1),FALSE),0))*VLOOKUP($D9,素材!$1:$1016,COLUMN($E$1),FALSE),0),"")</f>
        <v>0</v>
      </c>
      <c r="L9">
        <f>IFERROR(VLOOKUP($D9,素材!$1:$1016,COLUMN($F$1),FALSE),"")</f>
        <v>0</v>
      </c>
      <c r="M9">
        <f>IFERROR(VLOOKUP($C9,装備品!$1:$998,COLUMN(AA$1),FALSE)*VLOOKUP($D9,素材!$1:$1016,COLUMN($G$1),FALSE),"")</f>
        <v>0</v>
      </c>
      <c r="N9">
        <f>IFERROR(VLOOKUP($C9,装備品!$1:$998,COLUMN(I$1),FALSE),"")</f>
        <v>0</v>
      </c>
      <c r="O9" s="23">
        <f>IFERROR((VLOOKUP($C9,装備品!$1:$998,COLUMN(K$1),FALSE)+VLOOKUP($D9,素材!$1:$1016,COLUMN(H$1),FALSE))*100+IFERROR(VLOOKUP($CI9,付与!$1:$1167,COLUMN(O$1),FALSE),0),"")</f>
        <v>15</v>
      </c>
      <c r="P9" s="23">
        <f>IFERROR((VLOOKUP($C9,装備品!$1:$998,COLUMN(L$1),FALSE)+VLOOKUP($D9,素材!$1:$1016,COLUMN(I$1),FALSE))*100+IFERROR(VLOOKUP($CI9,付与!$1:$1167,COLUMN(P$1),FALSE),0),"")</f>
        <v>125</v>
      </c>
      <c r="Q9">
        <f>IFERROR(ROUNDUP(VLOOKUP($C9,装備品!$1:$998,COLUMN(M$1),FALSE)*(VLOOKUP($D9,素材!$1:$1002,COLUMN(D$1),FALSE)/100),1),"")</f>
        <v>0</v>
      </c>
      <c r="R9">
        <f>IFERROR(ROUNDUP(VLOOKUP($C9,装備品!$1:$998,COLUMN(N$1),FALSE)*(VLOOKUP($D9,素材!$1:$1002,COLUMN(D$1),FALSE)/100),1),"")</f>
        <v>0</v>
      </c>
      <c r="S9">
        <f>IFERROR(VLOOKUP($C9,装備品!$1:$998,COLUMN(P$1),FALSE),"")</f>
        <v>0</v>
      </c>
      <c r="T9">
        <f>IFERROR(VLOOKUP($C9,装備品!$1:$998,COLUMN(Q$1),FALSE),"")</f>
        <v>0</v>
      </c>
      <c r="U9">
        <f>IFERROR(VLOOKUP($C9,装備品!$1:$998,COLUMN(R$1),FALSE),"")</f>
        <v>0</v>
      </c>
      <c r="V9">
        <f>IFERROR(VLOOKUP($C9,装備品!$1:$998,COLUMN(Q$1),FALSE),"")</f>
        <v>0</v>
      </c>
      <c r="W9">
        <f>IFERROR(VLOOKUP($C9,装備品!$1:$998,COLUMN(T$1),FALSE),"")</f>
        <v>0</v>
      </c>
      <c r="Y9">
        <f>IFERROR(VLOOKUP($C9,装備品!$1:$998,COLUMN(U$1),FALSE),"")</f>
        <v>0</v>
      </c>
      <c r="Z9">
        <f>IFERROR(ROUNDUP(VLOOKUP($C9,装備品!$1:$998,COLUMN(O$1),FALSE)*VLOOKUP($D9,素材!$1:$1016,COLUMN(E$1),FALSE),1),"")</f>
        <v>0</v>
      </c>
      <c r="AA9">
        <f>IF(ISNUMBER(SEARCH(SUBSTITUTE(AA$1,RIGHT(AA$1,2),""),VLOOKUP($D9,素材!$1:$1016,COLUMN($F$1),FALSE))),VLOOKUP($C9,装備品!$1:$998,COLUMN($O$1),FALSE)*VLOOKUP($D9,素材!$1:$1016,COLUMN($E$1),FALSE)/(LEN(VLOOKUP($D9,素材!$1:$1016,COLUMN($F$1),FALSE))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B9">
        <f>IF(ISNUMBER(SEARCH(SUBSTITUTE(AB$1,RIGHT(AB$1,2),""),VLOOKUP($D9,素材!$1:$1016,COLUMN($F$1),FALSE))),VLOOKUP($C9,装備品!$1:$998,COLUMN($O$1),FALSE)*VLOOKUP($D9,素材!$1:$1016,COLUMN($E$1),FALSE)/(LEN(VLOOKUP($D9,素材!$1:$1016,COLUMN($F$1),FALSE))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C9">
        <f>IF(ISNUMBER(SEARCH(SUBSTITUTE(AC$1,RIGHT(AC$1,2),""),VLOOKUP($D9,素材!$1:$1016,COLUMN($F$1),FALSE))),VLOOKUP($C9,装備品!$1:$998,COLUMN($O$1),FALSE)*VLOOKUP($D9,素材!$1:$1016,COLUMN($E$1),FALSE)/(LEN(VLOOKUP($D9,素材!$1:$1016,COLUMN($F$1),FALSE))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D9">
        <f>IF(ISNUMBER(SEARCH(SUBSTITUTE(AD$1,RIGHT(AD$1,2),""),VLOOKUP($D9,素材!$1:$1016,COLUMN($F$1),FALSE))),VLOOKUP($C9,装備品!$1:$998,COLUMN($O$1),FALSE)*VLOOKUP($D9,素材!$1:$1016,COLUMN($E$1),FALSE)/(LEN(VLOOKUP($D9,素材!$1:$1016,COLUMN($F$1),FALSE))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E9">
        <f>IF(ISNUMBER(SEARCH(SUBSTITUTE(AE$1,RIGHT(AE$1,2),""),VLOOKUP($D9,素材!$1:$1016,COLUMN($F$1),FALSE))),VLOOKUP($C9,装備品!$1:$998,COLUMN($O$1),FALSE)*VLOOKUP($D9,素材!$1:$1016,COLUMN($E$1),FALSE)/(LEN(VLOOKUP($D9,素材!$1:$1016,COLUMN($F$1),FALSE))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F9">
        <f>IF(ISNUMBER(SEARCH(SUBSTITUTE(AF$1,RIGHT(AF$1,2),""),VLOOKUP($D9,素材!$1:$1016,COLUMN($F$1),FALSE))),VLOOKUP($C9,装備品!$1:$998,COLUMN($O$1),FALSE)*VLOOKUP($D9,素材!$1:$1016,COLUMN($E$1),FALSE)/(LEN(VLOOKUP($D9,素材!$1:$1016,COLUMN($F$1),FALSE))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G9">
        <f>IF(ISNUMBER(SEARCH(SUBSTITUTE(AG$1,RIGHT(AG$1,2),""),VLOOKUP($D9,素材!$1:$1016,COLUMN($F$1),FALSE))),VLOOKUP($C9,装備品!$1:$998,COLUMN($O$1),FALSE)*VLOOKUP($D9,素材!$1:$1016,COLUMN($E$1),FALSE)/(LEN(VLOOKUP($D9,素材!$1:$1016,COLUMN($F$1),FALSE))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H9">
        <f>IF(ISNUMBER(SEARCH(SUBSTITUTE(AH$1,RIGHT(AH$1,2),""),VLOOKUP($D9,素材!$1:$1016,COLUMN($F$1),FALSE))),VLOOKUP($C9,装備品!$1:$998,COLUMN($O$1),FALSE)*VLOOKUP($D9,素材!$1:$1016,COLUMN($E$1),FALSE)/(LEN(VLOOKUP($D9,素材!$1:$1016,COLUMN($F$1),FALSE))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I9">
        <f>IF(ISNUMBER(SEARCH(SUBSTITUTE(AI$1,RIGHT(AI$1,2),""),VLOOKUP($D9,素材!$1:$1016,COLUMN($F$1),FALSE))),VLOOKUP($C9,装備品!$1:$998,COLUMN($O$1),FALSE)*VLOOKUP($D9,素材!$1:$1016,COLUMN($E$1),FALSE)/(LEN(VLOOKUP($D9,素材!$1:$1016,COLUMN($F$1),FALSE))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J9">
        <f>IF(ISNUMBER(SEARCH(SUBSTITUTE(AJ$1,RIGHT(AJ$1,2),""),VLOOKUP($D9,素材!$1:$1016,COLUMN($F$1),FALSE))),VLOOKUP($C9,装備品!$1:$998,COLUMN($O$1),FALSE)*VLOOKUP($D9,素材!$1:$1016,COLUMN($E$1),FALSE)/(LEN(VLOOKUP($D9,素材!$1:$1016,COLUMN($F$1),FALSE))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K9">
        <f>IF(ISNUMBER(SEARCH(SUBSTITUTE(AK$1,RIGHT(AK$1,2),""),VLOOKUP($D9,素材!$1:$1016,COLUMN($F$1),FALSE))),VLOOKUP($C9,装備品!$1:$998,COLUMN($O$1),FALSE)*VLOOKUP($D9,素材!$1:$1016,COLUMN($E$1),FALSE)/(LEN(VLOOKUP($D9,素材!$1:$1016,COLUMN($F$1),FALSE))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L9">
        <f>IF(ISNUMBER(SEARCH(SUBSTITUTE(AL$1,RIGHT(AL$1,2),""),VLOOKUP($D9,素材!$1:$1016,COLUMN($F$1),FALSE))),VLOOKUP($C9,装備品!$1:$998,COLUMN($O$1),FALSE)*VLOOKUP($D9,素材!$1:$1016,COLUMN($E$1),FALSE)/(LEN(VLOOKUP($D9,素材!$1:$1016,COLUMN($F$1),FALSE))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M9">
        <f>IF(ISNUMBER(SEARCH(SUBSTITUTE(AM$1,RIGHT(AM$1,2),""),VLOOKUP($D9,素材!$1:$1016,COLUMN($F$1),FALSE))),VLOOKUP($C9,装備品!$1:$998,COLUMN($O$1),FALSE)*VLOOKUP($D9,素材!$1:$1016,COLUMN($E$1),FALSE)/(LEN(VLOOKUP($D9,素材!$1:$1016,COLUMN($F$1),FALSE))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N9">
        <f>IF(ISNUMBER(SEARCH(SUBSTITUTE(AN$1,RIGHT(AN$1,2),""),VLOOKUP($D9,素材!$1:$1016,COLUMN($F$1),FALSE))),VLOOKUP($C9,装備品!$1:$998,COLUMN($O$1),FALSE)*VLOOKUP($D9,素材!$1:$1016,COLUMN($E$1),FALSE)/(LEN(VLOOKUP($D9,素材!$1:$1016,COLUMN($F$1),FALSE))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O9">
        <f>IF(ISNUMBER(SEARCH(SUBSTITUTE(AO$1,RIGHT(AO$1,2),""),VLOOKUP($D9,素材!$1:$1016,COLUMN($F$1),FALSE))),VLOOKUP($C9,装備品!$1:$998,COLUMN($O$1),FALSE)*VLOOKUP($D9,素材!$1:$1016,COLUMN($E$1),FALSE)/(LEN(VLOOKUP($D9,素材!$1:$1016,COLUMN($F$1),FALSE))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P9">
        <f>IF(ISNUMBER(SEARCH(SUBSTITUTE(AP$1,RIGHT(AP$1,2),""),VLOOKUP($D9,素材!$1:$1016,COLUMN($F$1),FALSE))),VLOOKUP($C9,装備品!$1:$998,COLUMN($O$1),FALSE)*VLOOKUP($D9,素材!$1:$1016,COLUMN($E$1),FALSE)/(LEN(VLOOKUP($D9,素材!$1:$1016,COLUMN($F$1),FALSE))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Q9">
        <f>IF(ISNUMBER(SEARCH(SUBSTITUTE(AQ$1,RIGHT(AQ$1,2),""),VLOOKUP($D9,素材!$1:$1016,COLUMN($F$1),FALSE))),VLOOKUP($C9,装備品!$1:$998,COLUMN($O$1),FALSE)*VLOOKUP($D9,素材!$1:$1016,COLUMN($E$1),FALSE)/(LEN(VLOOKUP($D9,素材!$1:$1016,COLUMN($F$1),FALSE))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R9">
        <f>IF(ISNUMBER(SEARCH(SUBSTITUTE(AR$1,RIGHT(AR$1,2),""),VLOOKUP($D9,素材!$1:$1016,COLUMN($F$1),FALSE))),VLOOKUP($C9,装備品!$1:$998,COLUMN($O$1),FALSE)*VLOOKUP($D9,素材!$1:$1016,COLUMN($E$1),FALSE)/(LEN(VLOOKUP($D9,素材!$1:$1016,COLUMN($F$1),FALSE))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S9">
        <f>IF(ISNUMBER(SEARCH(SUBSTITUTE(AS$1,RIGHT(AS$1,2),""),VLOOKUP($D9,素材!$1:$1016,COLUMN($F$1),FALSE))),VLOOKUP($C9,装備品!$1:$998,COLUMN($O$1),FALSE)*VLOOKUP($D9,素材!$1:$1016,COLUMN($E$1),FALSE)/(LEN(VLOOKUP($D9,素材!$1:$1016,COLUMN($F$1),FALSE))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T9">
        <f>IF(ISNUMBER(SEARCH(SUBSTITUTE(AT$1,RIGHT(AT$1,2),""),VLOOKUP($D9,素材!$1:$1016,COLUMN($F$1),FALSE))),VLOOKUP($C9,装備品!$1:$998,COLUMN($O$1),FALSE)*VLOOKUP($D9,素材!$1:$1016,COLUMN($E$1),FALSE)/(LEN(VLOOKUP($D9,素材!$1:$1016,COLUMN($F$1),FALSE))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U9">
        <f>IF(ISNUMBER(SEARCH(SUBSTITUTE(AU$1,RIGHT(AU$1,2),""),VLOOKUP($D9,素材!$1:$1016,COLUMN($F$1),FALSE))),VLOOKUP($C9,装備品!$1:$998,COLUMN($O$1),FALSE)*VLOOKUP($D9,素材!$1:$1016,COLUMN($E$1),FALSE)/(LEN(VLOOKUP($D9,素材!$1:$1016,COLUMN($F$1),FALSE))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V9">
        <f>IF(ISNUMBER(SEARCH(SUBSTITUTE(AV$1,RIGHT(AV$1,2),""),VLOOKUP($D9,素材!$1:$1016,COLUMN($F$1),FALSE))),VLOOKUP($C9,装備品!$1:$998,COLUMN($O$1),FALSE)*VLOOKUP($D9,素材!$1:$1016,COLUMN($E$1),FALSE)/(LEN(VLOOKUP($D9,素材!$1:$1016,COLUMN($F$1),FALSE))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W9">
        <f>IF(ISNUMBER(SEARCH(SUBSTITUTE(AW$1,RIGHT(AW$1,2),""),VLOOKUP($D9,素材!$1:$1016,COLUMN($F$1),FALSE))),VLOOKUP($C9,装備品!$1:$998,COLUMN($O$1),FALSE)*VLOOKUP($D9,素材!$1:$1016,COLUMN($E$1),FALSE)/(LEN(VLOOKUP($D9,素材!$1:$1016,COLUMN($F$1),FALSE))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X9">
        <f>IF(ISNUMBER(SEARCH(SUBSTITUTE(AX$1,RIGHT(AX$1,2),""),VLOOKUP($D9,素材!$1:$1016,COLUMN($F$1),FALSE))),VLOOKUP($C9,装備品!$1:$998,COLUMN($O$1),FALSE)*VLOOKUP($D9,素材!$1:$1016,COLUMN($E$1),FALSE)/(LEN(VLOOKUP($D9,素材!$1:$1016,COLUMN($F$1),FALSE))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Y9">
        <f>IF(ISNUMBER(SEARCH(SUBSTITUTE(AY$1,RIGHT(AY$1,2),""),VLOOKUP($D9,素材!$1:$1016,COLUMN($F$1),FALSE))),VLOOKUP($C9,装備品!$1:$998,COLUMN($O$1),FALSE)*VLOOKUP($D9,素材!$1:$1016,COLUMN($E$1),FALSE)/(LEN(VLOOKUP($D9,素材!$1:$1016,COLUMN($F$1),FALSE))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Z9">
        <f>IF(ISNUMBER(SEARCH(SUBSTITUTE(AZ$1,RIGHT(AZ$1,2),""),VLOOKUP($D9,素材!$1:$1016,COLUMN($F$1),FALSE))),VLOOKUP($C9,装備品!$1:$998,COLUMN($O$1),FALSE)*VLOOKUP($D9,素材!$1:$1016,COLUMN($E$1),FALSE)/(LEN(VLOOKUP($D9,素材!$1:$1016,COLUMN($F$1),FALSE))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BA9">
        <f>IF(ISNUMBER(SEARCH(SUBSTITUTE(BA$1,RIGHT(BA$1,2),""),VLOOKUP($D9,素材!$1:$1016,COLUMN($F$1),FALSE))),VLOOKUP($C9,装備品!$1:$998,COLUMN($O$1),FALSE)*VLOOKUP($D9,素材!$1:$1016,COLUMN($E$1),FALSE)/(LEN(VLOOKUP($D9,素材!$1:$1016,COLUMN($F$1),FALSE))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BB9">
        <f>IF(ISNUMBER(SEARCH(SUBSTITUTE(BB$1,RIGHT(BB$1,2),""),VLOOKUP($D9,素材!$1:$1016,COLUMN($F$1),FALSE))),VLOOKUP($C9,装備品!$1:$998,COLUMN($O$1),FALSE)*VLOOKUP($D9,素材!$1:$1016,COLUMN($E$1),FALSE)/(LEN(VLOOKUP($D9,素材!$1:$1016,COLUMN($F$1),FALSE))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BC9">
        <f>IF(ISNUMBER(SEARCH(SUBSTITUTE(BC$1,RIGHT(BC$1,2),""),VLOOKUP($D9,素材!$1:$1016,COLUMN($F$1),FALSE))),VLOOKUP($C9,装備品!$1:$998,COLUMN($O$1),FALSE)*VLOOKUP($D9,素材!$1:$1016,COLUMN($E$1),FALSE)/(LEN(VLOOKUP($D9,素材!$1:$1016,COLUMN($F$1),FALSE))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BD9">
        <f>IF(ISNUMBER(SEARCH(SUBSTITUTE(BD$1,RIGHT(BD$1,2),""),VLOOKUP($D9,素材!$1:$1016,COLUMN($F$1),FALSE))),VLOOKUP($C9,装備品!$1:$998,COLUMN($O$1),FALSE)*VLOOKUP($D9,素材!$1:$1016,COLUMN($E$1),FALSE)/(LEN(VLOOKUP($D9,素材!$1:$1016,COLUMN($F$1),FALSE))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BE9">
        <f>IF(ISNUMBER(SEARCH(SUBSTITUTE(BE$1,RIGHT(BE$1,2),""),VLOOKUP($D9,素材!$1:$1016,COLUMN($F$1),FALSE))),VLOOKUP($C9,装備品!$1:$998,COLUMN($O$1),FALSE)*VLOOKUP($D9,素材!$1:$1016,COLUMN($E$1),FALSE)/(LEN(VLOOKUP($D9,素材!$1:$1016,COLUMN($F$1),FALSE))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CL9">
        <f t="shared" si="1"/>
        <v>22</v>
      </c>
      <c r="CM9" s="22" t="str">
        <f t="shared" si="2"/>
        <v>貫通.webp</v>
      </c>
      <c r="CN9">
        <f>IFERROR(VLOOKUP($C9,装備品!$1:$998,COLUMN(V$1),FALSE)*VLOOKUP($D9,素材!$1:$1016,COLUMN(N$1),FALSE)+IF(CI9="",0,VLOOKUP($CI9,付与!$1:$1176,COLUMN($CK$1),FALSE)),"")</f>
        <v>0</v>
      </c>
      <c r="CO9" t="str">
        <f>VLOOKUP(D9,素材!$A:$O,COLUMN(素材!O$1),FALSE)</f>
        <v>一般的な鉄。量産品を作るのに使用されることが多い</v>
      </c>
      <c r="CP9" t="str">
        <f>VLOOKUP(C9,装備品!$A:$AB,COLUMN(装備品!AB$1),FALSE)</f>
        <v>細剣。刺突に優れた武器でCr率が高い</v>
      </c>
      <c r="CR9" t="str">
        <f t="shared" si="3"/>
        <v>e_9</v>
      </c>
      <c r="CS9">
        <f t="shared" si="4"/>
        <v>0</v>
      </c>
    </row>
    <row r="10" spans="1:97" outlineLevel="1" x14ac:dyDescent="0.4">
      <c r="A10" t="str">
        <f t="shared" si="0"/>
        <v>鉄の刺剣</v>
      </c>
      <c r="B10" t="str">
        <f>IFERROR(VLOOKUP($D10,素材!$1:$1016,COLUMN($B$1),FALSE)&amp;"・"&amp;VLOOKUP($C10,装備品!$1:$998,COLUMN(B$1),FALSE),"")</f>
        <v>アイアン・スティレット</v>
      </c>
      <c r="C10" s="24" t="s">
        <v>234</v>
      </c>
      <c r="D10" s="24" t="s">
        <v>256</v>
      </c>
      <c r="E10" t="str">
        <f>IFERROR(VLOOKUP(C10,装備品!$1:$998,COLUMN(C$1),FALSE),"")</f>
        <v>武器</v>
      </c>
      <c r="F10">
        <f>IFERROR(ROUNDDOWN((VLOOKUP($C10,装備品!$1:$998,COLUMN(D$1),FALSE)+IFERROR(VLOOKUP($CI10,付与!$1:$1167,COLUMN(F$1),FALSE),0))*VLOOKUP($D10,素材!$1:$1016,COLUMN(D$1),FALSE),0),"")</f>
        <v>110</v>
      </c>
      <c r="G10">
        <f>IFERROR(ROUNDDOWN((VLOOKUP($C10,装備品!$1:$998,COLUMN(E$1),FALSE)+IFERROR(VLOOKUP($CI10,付与!$1:$1167,COLUMN(G$1),FALSE),0))*VLOOKUP($D10,素材!$1:$1016,COLUMN($E$1),FALSE),0),"")</f>
        <v>4</v>
      </c>
      <c r="H10">
        <f>IFERROR(ROUNDDOWN((VLOOKUP($C10,装備品!$1:$998,COLUMN(F$1),FALSE)+IFERROR(VLOOKUP($CI10,付与!$1:$1167,COLUMN(H$1),FALSE),0))*VLOOKUP($D10,素材!$1:$1016,COLUMN($E$1),FALSE),0),"")</f>
        <v>18</v>
      </c>
      <c r="I10">
        <f>IFERROR(ROUNDDOWN((VLOOKUP($C10,装備品!$1:$998,COLUMN(G$1),FALSE)+IFERROR(VLOOKUP($CI10,付与!$1:$1167,COLUMN(I$1),FALSE),0))*VLOOKUP($D10,素材!$1:$1016,COLUMN($E$1),FALSE),0),"")</f>
        <v>0</v>
      </c>
      <c r="J10">
        <f>IFERROR(ROUNDDOWN((VLOOKUP($C10,装備品!$1:$998,COLUMN(H$1),FALSE)+IFERROR(VLOOKUP($CI10,付与!$1:$1167,COLUMN(J$1),FALSE),0))*VLOOKUP($D10,素材!$1:$1016,COLUMN($E$1),FALSE),0),"")</f>
        <v>17</v>
      </c>
      <c r="K10">
        <f>IFERROR(ROUNDDOWN((VLOOKUP($C10,装備品!$1:$998,COLUMN(I$1),FALSE)+IFERROR(VLOOKUP($CI10,付与!$1:$1167,COLUMN(K$1),FALSE),0))*VLOOKUP($D10,素材!$1:$1016,COLUMN($E$1),FALSE),0),"")</f>
        <v>0</v>
      </c>
      <c r="L10">
        <f>IFERROR(VLOOKUP($D10,素材!$1:$1016,COLUMN($F$1),FALSE),"")</f>
        <v>0</v>
      </c>
      <c r="M10">
        <f>IFERROR(VLOOKUP($C10,装備品!$1:$998,COLUMN(AA$1),FALSE)*VLOOKUP($D10,素材!$1:$1016,COLUMN($G$1),FALSE),"")</f>
        <v>0</v>
      </c>
      <c r="N10">
        <f>IFERROR(VLOOKUP($C10,装備品!$1:$998,COLUMN(I$1),FALSE),"")</f>
        <v>0</v>
      </c>
      <c r="O10" s="23">
        <f>IFERROR((VLOOKUP($C10,装備品!$1:$998,COLUMN(K$1),FALSE)+VLOOKUP($D10,素材!$1:$1016,COLUMN(H$1),FALSE))*100+IFERROR(VLOOKUP($CI10,付与!$1:$1167,COLUMN(O$1),FALSE),0),"")</f>
        <v>10</v>
      </c>
      <c r="P10" s="23">
        <f>IFERROR((VLOOKUP($C10,装備品!$1:$998,COLUMN(L$1),FALSE)+VLOOKUP($D10,素材!$1:$1016,COLUMN(I$1),FALSE))*100+IFERROR(VLOOKUP($CI10,付与!$1:$1167,COLUMN(P$1),FALSE),0),"")</f>
        <v>150</v>
      </c>
      <c r="Q10">
        <f>IFERROR(ROUNDUP(VLOOKUP($C10,装備品!$1:$998,COLUMN(M$1),FALSE)*(VLOOKUP($D10,素材!$1:$1002,COLUMN(D$1),FALSE)/100),1),"")</f>
        <v>0</v>
      </c>
      <c r="R10">
        <f>IFERROR(ROUNDUP(VLOOKUP($C10,装備品!$1:$998,COLUMN(N$1),FALSE)*(VLOOKUP($D10,素材!$1:$1002,COLUMN(D$1),FALSE)/100),1),"")</f>
        <v>0</v>
      </c>
      <c r="S10">
        <f>IFERROR(VLOOKUP($C10,装備品!$1:$998,COLUMN(P$1),FALSE),"")</f>
        <v>0</v>
      </c>
      <c r="T10">
        <f>IFERROR(VLOOKUP($C10,装備品!$1:$998,COLUMN(Q$1),FALSE),"")</f>
        <v>0</v>
      </c>
      <c r="U10">
        <f>IFERROR(VLOOKUP($C10,装備品!$1:$998,COLUMN(R$1),FALSE),"")</f>
        <v>0</v>
      </c>
      <c r="V10">
        <f>IFERROR(VLOOKUP($C10,装備品!$1:$998,COLUMN(Q$1),FALSE),"")</f>
        <v>0</v>
      </c>
      <c r="W10">
        <f>IFERROR(VLOOKUP($C10,装備品!$1:$998,COLUMN(T$1),FALSE),"")</f>
        <v>0</v>
      </c>
      <c r="Y10">
        <f>IFERROR(VLOOKUP($C10,装備品!$1:$998,COLUMN(U$1),FALSE),"")</f>
        <v>0</v>
      </c>
      <c r="Z10">
        <f>IFERROR(ROUNDUP(VLOOKUP($C10,装備品!$1:$998,COLUMN(O$1),FALSE)*VLOOKUP($D10,素材!$1:$1016,COLUMN(E$1),FALSE),1),"")</f>
        <v>0</v>
      </c>
      <c r="AA10">
        <f>IF(ISNUMBER(SEARCH(SUBSTITUTE(AA$1,RIGHT(AA$1,2),""),VLOOKUP($D10,素材!$1:$1016,COLUMN($F$1),FALSE))),VLOOKUP($C10,装備品!$1:$998,COLUMN($O$1),FALSE)*VLOOKUP($D10,素材!$1:$1016,COLUMN($E$1),FALSE)/(LEN(VLOOKUP($D10,素材!$1:$1016,COLUMN($F$1),FALSE))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B10">
        <f>IF(ISNUMBER(SEARCH(SUBSTITUTE(AB$1,RIGHT(AB$1,2),""),VLOOKUP($D10,素材!$1:$1016,COLUMN($F$1),FALSE))),VLOOKUP($C10,装備品!$1:$998,COLUMN($O$1),FALSE)*VLOOKUP($D10,素材!$1:$1016,COLUMN($E$1),FALSE)/(LEN(VLOOKUP($D10,素材!$1:$1016,COLUMN($F$1),FALSE))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C10">
        <f>IF(ISNUMBER(SEARCH(SUBSTITUTE(AC$1,RIGHT(AC$1,2),""),VLOOKUP($D10,素材!$1:$1016,COLUMN($F$1),FALSE))),VLOOKUP($C10,装備品!$1:$998,COLUMN($O$1),FALSE)*VLOOKUP($D10,素材!$1:$1016,COLUMN($E$1),FALSE)/(LEN(VLOOKUP($D10,素材!$1:$1016,COLUMN($F$1),FALSE))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D10">
        <f>IF(ISNUMBER(SEARCH(SUBSTITUTE(AD$1,RIGHT(AD$1,2),""),VLOOKUP($D10,素材!$1:$1016,COLUMN($F$1),FALSE))),VLOOKUP($C10,装備品!$1:$998,COLUMN($O$1),FALSE)*VLOOKUP($D10,素材!$1:$1016,COLUMN($E$1),FALSE)/(LEN(VLOOKUP($D10,素材!$1:$1016,COLUMN($F$1),FALSE))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E10">
        <f>IF(ISNUMBER(SEARCH(SUBSTITUTE(AE$1,RIGHT(AE$1,2),""),VLOOKUP($D10,素材!$1:$1016,COLUMN($F$1),FALSE))),VLOOKUP($C10,装備品!$1:$998,COLUMN($O$1),FALSE)*VLOOKUP($D10,素材!$1:$1016,COLUMN($E$1),FALSE)/(LEN(VLOOKUP($D10,素材!$1:$1016,COLUMN($F$1),FALSE))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F10">
        <f>IF(ISNUMBER(SEARCH(SUBSTITUTE(AF$1,RIGHT(AF$1,2),""),VLOOKUP($D10,素材!$1:$1016,COLUMN($F$1),FALSE))),VLOOKUP($C10,装備品!$1:$998,COLUMN($O$1),FALSE)*VLOOKUP($D10,素材!$1:$1016,COLUMN($E$1),FALSE)/(LEN(VLOOKUP($D10,素材!$1:$1016,COLUMN($F$1),FALSE))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G10">
        <f>IF(ISNUMBER(SEARCH(SUBSTITUTE(AG$1,RIGHT(AG$1,2),""),VLOOKUP($D10,素材!$1:$1016,COLUMN($F$1),FALSE))),VLOOKUP($C10,装備品!$1:$998,COLUMN($O$1),FALSE)*VLOOKUP($D10,素材!$1:$1016,COLUMN($E$1),FALSE)/(LEN(VLOOKUP($D10,素材!$1:$1016,COLUMN($F$1),FALSE))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H10">
        <f>IF(ISNUMBER(SEARCH(SUBSTITUTE(AH$1,RIGHT(AH$1,2),""),VLOOKUP($D10,素材!$1:$1016,COLUMN($F$1),FALSE))),VLOOKUP($C10,装備品!$1:$998,COLUMN($O$1),FALSE)*VLOOKUP($D10,素材!$1:$1016,COLUMN($E$1),FALSE)/(LEN(VLOOKUP($D10,素材!$1:$1016,COLUMN($F$1),FALSE))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I10">
        <f>IF(ISNUMBER(SEARCH(SUBSTITUTE(AI$1,RIGHT(AI$1,2),""),VLOOKUP($D10,素材!$1:$1016,COLUMN($F$1),FALSE))),VLOOKUP($C10,装備品!$1:$998,COLUMN($O$1),FALSE)*VLOOKUP($D10,素材!$1:$1016,COLUMN($E$1),FALSE)/(LEN(VLOOKUP($D10,素材!$1:$1016,COLUMN($F$1),FALSE))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J10">
        <f>IF(ISNUMBER(SEARCH(SUBSTITUTE(AJ$1,RIGHT(AJ$1,2),""),VLOOKUP($D10,素材!$1:$1016,COLUMN($F$1),FALSE))),VLOOKUP($C10,装備品!$1:$998,COLUMN($O$1),FALSE)*VLOOKUP($D10,素材!$1:$1016,COLUMN($E$1),FALSE)/(LEN(VLOOKUP($D10,素材!$1:$1016,COLUMN($F$1),FALSE))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K10">
        <f>IF(ISNUMBER(SEARCH(SUBSTITUTE(AK$1,RIGHT(AK$1,2),""),VLOOKUP($D10,素材!$1:$1016,COLUMN($F$1),FALSE))),VLOOKUP($C10,装備品!$1:$998,COLUMN($O$1),FALSE)*VLOOKUP($D10,素材!$1:$1016,COLUMN($E$1),FALSE)/(LEN(VLOOKUP($D10,素材!$1:$1016,COLUMN($F$1),FALSE))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L10">
        <f>IF(ISNUMBER(SEARCH(SUBSTITUTE(AL$1,RIGHT(AL$1,2),""),VLOOKUP($D10,素材!$1:$1016,COLUMN($F$1),FALSE))),VLOOKUP($C10,装備品!$1:$998,COLUMN($O$1),FALSE)*VLOOKUP($D10,素材!$1:$1016,COLUMN($E$1),FALSE)/(LEN(VLOOKUP($D10,素材!$1:$1016,COLUMN($F$1),FALSE))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M10">
        <f>IF(ISNUMBER(SEARCH(SUBSTITUTE(AM$1,RIGHT(AM$1,2),""),VLOOKUP($D10,素材!$1:$1016,COLUMN($F$1),FALSE))),VLOOKUP($C10,装備品!$1:$998,COLUMN($O$1),FALSE)*VLOOKUP($D10,素材!$1:$1016,COLUMN($E$1),FALSE)/(LEN(VLOOKUP($D10,素材!$1:$1016,COLUMN($F$1),FALSE))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N10">
        <f>IF(ISNUMBER(SEARCH(SUBSTITUTE(AN$1,RIGHT(AN$1,2),""),VLOOKUP($D10,素材!$1:$1016,COLUMN($F$1),FALSE))),VLOOKUP($C10,装備品!$1:$998,COLUMN($O$1),FALSE)*VLOOKUP($D10,素材!$1:$1016,COLUMN($E$1),FALSE)/(LEN(VLOOKUP($D10,素材!$1:$1016,COLUMN($F$1),FALSE))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O10">
        <f>IF(ISNUMBER(SEARCH(SUBSTITUTE(AO$1,RIGHT(AO$1,2),""),VLOOKUP($D10,素材!$1:$1016,COLUMN($F$1),FALSE))),VLOOKUP($C10,装備品!$1:$998,COLUMN($O$1),FALSE)*VLOOKUP($D10,素材!$1:$1016,COLUMN($E$1),FALSE)/(LEN(VLOOKUP($D10,素材!$1:$1016,COLUMN($F$1),FALSE))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P10">
        <f>IF(ISNUMBER(SEARCH(SUBSTITUTE(AP$1,RIGHT(AP$1,2),""),VLOOKUP($D10,素材!$1:$1016,COLUMN($F$1),FALSE))),VLOOKUP($C10,装備品!$1:$998,COLUMN($O$1),FALSE)*VLOOKUP($D10,素材!$1:$1016,COLUMN($E$1),FALSE)/(LEN(VLOOKUP($D10,素材!$1:$1016,COLUMN($F$1),FALSE))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Q10">
        <f>IF(ISNUMBER(SEARCH(SUBSTITUTE(AQ$1,RIGHT(AQ$1,2),""),VLOOKUP($D10,素材!$1:$1016,COLUMN($F$1),FALSE))),VLOOKUP($C10,装備品!$1:$998,COLUMN($O$1),FALSE)*VLOOKUP($D10,素材!$1:$1016,COLUMN($E$1),FALSE)/(LEN(VLOOKUP($D10,素材!$1:$1016,COLUMN($F$1),FALSE))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R10">
        <f>IF(ISNUMBER(SEARCH(SUBSTITUTE(AR$1,RIGHT(AR$1,2),""),VLOOKUP($D10,素材!$1:$1016,COLUMN($F$1),FALSE))),VLOOKUP($C10,装備品!$1:$998,COLUMN($O$1),FALSE)*VLOOKUP($D10,素材!$1:$1016,COLUMN($E$1),FALSE)/(LEN(VLOOKUP($D10,素材!$1:$1016,COLUMN($F$1),FALSE))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S10">
        <f>IF(ISNUMBER(SEARCH(SUBSTITUTE(AS$1,RIGHT(AS$1,2),""),VLOOKUP($D10,素材!$1:$1016,COLUMN($F$1),FALSE))),VLOOKUP($C10,装備品!$1:$998,COLUMN($O$1),FALSE)*VLOOKUP($D10,素材!$1:$1016,COLUMN($E$1),FALSE)/(LEN(VLOOKUP($D10,素材!$1:$1016,COLUMN($F$1),FALSE))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T10">
        <f>IF(ISNUMBER(SEARCH(SUBSTITUTE(AT$1,RIGHT(AT$1,2),""),VLOOKUP($D10,素材!$1:$1016,COLUMN($F$1),FALSE))),VLOOKUP($C10,装備品!$1:$998,COLUMN($O$1),FALSE)*VLOOKUP($D10,素材!$1:$1016,COLUMN($E$1),FALSE)/(LEN(VLOOKUP($D10,素材!$1:$1016,COLUMN($F$1),FALSE))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U10">
        <f>IF(ISNUMBER(SEARCH(SUBSTITUTE(AU$1,RIGHT(AU$1,2),""),VLOOKUP($D10,素材!$1:$1016,COLUMN($F$1),FALSE))),VLOOKUP($C10,装備品!$1:$998,COLUMN($O$1),FALSE)*VLOOKUP($D10,素材!$1:$1016,COLUMN($E$1),FALSE)/(LEN(VLOOKUP($D10,素材!$1:$1016,COLUMN($F$1),FALSE))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V10">
        <f>IF(ISNUMBER(SEARCH(SUBSTITUTE(AV$1,RIGHT(AV$1,2),""),VLOOKUP($D10,素材!$1:$1016,COLUMN($F$1),FALSE))),VLOOKUP($C10,装備品!$1:$998,COLUMN($O$1),FALSE)*VLOOKUP($D10,素材!$1:$1016,COLUMN($E$1),FALSE)/(LEN(VLOOKUP($D10,素材!$1:$1016,COLUMN($F$1),FALSE))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W10">
        <f>IF(ISNUMBER(SEARCH(SUBSTITUTE(AW$1,RIGHT(AW$1,2),""),VLOOKUP($D10,素材!$1:$1016,COLUMN($F$1),FALSE))),VLOOKUP($C10,装備品!$1:$998,COLUMN($O$1),FALSE)*VLOOKUP($D10,素材!$1:$1016,COLUMN($E$1),FALSE)/(LEN(VLOOKUP($D10,素材!$1:$1016,COLUMN($F$1),FALSE))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X10">
        <f>IF(ISNUMBER(SEARCH(SUBSTITUTE(AX$1,RIGHT(AX$1,2),""),VLOOKUP($D10,素材!$1:$1016,COLUMN($F$1),FALSE))),VLOOKUP($C10,装備品!$1:$998,COLUMN($O$1),FALSE)*VLOOKUP($D10,素材!$1:$1016,COLUMN($E$1),FALSE)/(LEN(VLOOKUP($D10,素材!$1:$1016,COLUMN($F$1),FALSE))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Y10">
        <f>IF(ISNUMBER(SEARCH(SUBSTITUTE(AY$1,RIGHT(AY$1,2),""),VLOOKUP($D10,素材!$1:$1016,COLUMN($F$1),FALSE))),VLOOKUP($C10,装備品!$1:$998,COLUMN($O$1),FALSE)*VLOOKUP($D10,素材!$1:$1016,COLUMN($E$1),FALSE)/(LEN(VLOOKUP($D10,素材!$1:$1016,COLUMN($F$1),FALSE))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Z10">
        <f>IF(ISNUMBER(SEARCH(SUBSTITUTE(AZ$1,RIGHT(AZ$1,2),""),VLOOKUP($D10,素材!$1:$1016,COLUMN($F$1),FALSE))),VLOOKUP($C10,装備品!$1:$998,COLUMN($O$1),FALSE)*VLOOKUP($D10,素材!$1:$1016,COLUMN($E$1),FALSE)/(LEN(VLOOKUP($D10,素材!$1:$1016,COLUMN($F$1),FALSE))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BA10">
        <f>IF(ISNUMBER(SEARCH(SUBSTITUTE(BA$1,RIGHT(BA$1,2),""),VLOOKUP($D10,素材!$1:$1016,COLUMN($F$1),FALSE))),VLOOKUP($C10,装備品!$1:$998,COLUMN($O$1),FALSE)*VLOOKUP($D10,素材!$1:$1016,COLUMN($E$1),FALSE)/(LEN(VLOOKUP($D10,素材!$1:$1016,COLUMN($F$1),FALSE))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BB10">
        <f>IF(ISNUMBER(SEARCH(SUBSTITUTE(BB$1,RIGHT(BB$1,2),""),VLOOKUP($D10,素材!$1:$1016,COLUMN($F$1),FALSE))),VLOOKUP($C10,装備品!$1:$998,COLUMN($O$1),FALSE)*VLOOKUP($D10,素材!$1:$1016,COLUMN($E$1),FALSE)/(LEN(VLOOKUP($D10,素材!$1:$1016,COLUMN($F$1),FALSE))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BC10">
        <f>IF(ISNUMBER(SEARCH(SUBSTITUTE(BC$1,RIGHT(BC$1,2),""),VLOOKUP($D10,素材!$1:$1016,COLUMN($F$1),FALSE))),VLOOKUP($C10,装備品!$1:$998,COLUMN($O$1),FALSE)*VLOOKUP($D10,素材!$1:$1016,COLUMN($E$1),FALSE)/(LEN(VLOOKUP($D10,素材!$1:$1016,COLUMN($F$1),FALSE))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BD10">
        <f>IF(ISNUMBER(SEARCH(SUBSTITUTE(BD$1,RIGHT(BD$1,2),""),VLOOKUP($D10,素材!$1:$1016,COLUMN($F$1),FALSE))),VLOOKUP($C10,装備品!$1:$998,COLUMN($O$1),FALSE)*VLOOKUP($D10,素材!$1:$1016,COLUMN($E$1),FALSE)/(LEN(VLOOKUP($D10,素材!$1:$1016,COLUMN($F$1),FALSE))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BE10">
        <f>IF(ISNUMBER(SEARCH(SUBSTITUTE(BE$1,RIGHT(BE$1,2),""),VLOOKUP($D10,素材!$1:$1016,COLUMN($F$1),FALSE))),VLOOKUP($C10,装備品!$1:$998,COLUMN($O$1),FALSE)*VLOOKUP($D10,素材!$1:$1016,COLUMN($E$1),FALSE)/(LEN(VLOOKUP($D10,素材!$1:$1016,COLUMN($F$1),FALSE))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CL10">
        <f t="shared" si="1"/>
        <v>22</v>
      </c>
      <c r="CM10" s="22" t="str">
        <f t="shared" si="2"/>
        <v>貫通.webp</v>
      </c>
      <c r="CN10">
        <f>IFERROR(VLOOKUP($C10,装備品!$1:$998,COLUMN(V$1),FALSE)*VLOOKUP($D10,素材!$1:$1016,COLUMN(N$1),FALSE)+IF(CI10="",0,VLOOKUP($CI10,付与!$1:$1176,COLUMN($CK$1),FALSE)),"")</f>
        <v>0</v>
      </c>
      <c r="CO10" t="str">
        <f>VLOOKUP(D10,素材!$A:$O,COLUMN(素材!O$1),FALSE)</f>
        <v>一般的な鉄。量産品を作るのに使用されることが多い</v>
      </c>
      <c r="CP10" t="str">
        <f>VLOOKUP(C10,装備品!$A:$AB,COLUMN(装備品!AB$1),FALSE)</f>
        <v>刺剣。小型で精密な攻撃が可能な武器。</v>
      </c>
      <c r="CR10" t="str">
        <f t="shared" si="3"/>
        <v>e_10</v>
      </c>
      <c r="CS10">
        <f t="shared" si="4"/>
        <v>0</v>
      </c>
    </row>
    <row r="11" spans="1:97" outlineLevel="1" x14ac:dyDescent="0.4">
      <c r="A11" t="str">
        <f t="shared" si="0"/>
        <v>鉄の短槍</v>
      </c>
      <c r="B11" t="str">
        <f>IFERROR(VLOOKUP($D11,素材!$1:$1016,COLUMN($B$1),FALSE)&amp;"・"&amp;VLOOKUP($C11,装備品!$1:$998,COLUMN(B$1),FALSE),"")</f>
        <v>アイアン・ショートスピア</v>
      </c>
      <c r="C11" s="24" t="s">
        <v>233</v>
      </c>
      <c r="D11" s="24" t="s">
        <v>256</v>
      </c>
      <c r="E11" t="str">
        <f>IFERROR(VLOOKUP(C11,装備品!$1:$998,COLUMN(C$1),FALSE),"")</f>
        <v>武器</v>
      </c>
      <c r="F11">
        <f>IFERROR(ROUNDDOWN((VLOOKUP($C11,装備品!$1:$998,COLUMN(D$1),FALSE)+IFERROR(VLOOKUP($CI11,付与!$1:$1167,COLUMN(F$1),FALSE),0))*VLOOKUP($D11,素材!$1:$1016,COLUMN(D$1),FALSE),0),"")</f>
        <v>105</v>
      </c>
      <c r="G11">
        <f>IFERROR(ROUNDDOWN((VLOOKUP($C11,装備品!$1:$998,COLUMN(E$1),FALSE)+IFERROR(VLOOKUP($CI11,付与!$1:$1167,COLUMN(G$1),FALSE),0))*VLOOKUP($D11,素材!$1:$1016,COLUMN($E$1),FALSE),0),"")</f>
        <v>8</v>
      </c>
      <c r="H11">
        <f>IFERROR(ROUNDDOWN((VLOOKUP($C11,装備品!$1:$998,COLUMN(F$1),FALSE)+IFERROR(VLOOKUP($CI11,付与!$1:$1167,COLUMN(H$1),FALSE),0))*VLOOKUP($D11,素材!$1:$1016,COLUMN($E$1),FALSE),0),"")</f>
        <v>14</v>
      </c>
      <c r="I11">
        <f>IFERROR(ROUNDDOWN((VLOOKUP($C11,装備品!$1:$998,COLUMN(G$1),FALSE)+IFERROR(VLOOKUP($CI11,付与!$1:$1167,COLUMN(I$1),FALSE),0))*VLOOKUP($D11,素材!$1:$1016,COLUMN($E$1),FALSE),0),"")</f>
        <v>3</v>
      </c>
      <c r="J11">
        <f>IFERROR(ROUNDDOWN((VLOOKUP($C11,装備品!$1:$998,COLUMN(H$1),FALSE)+IFERROR(VLOOKUP($CI11,付与!$1:$1167,COLUMN(J$1),FALSE),0))*VLOOKUP($D11,素材!$1:$1016,COLUMN($E$1),FALSE),0),"")</f>
        <v>17</v>
      </c>
      <c r="K11">
        <f>IFERROR(ROUNDDOWN((VLOOKUP($C11,装備品!$1:$998,COLUMN(I$1),FALSE)+IFERROR(VLOOKUP($CI11,付与!$1:$1167,COLUMN(K$1),FALSE),0))*VLOOKUP($D11,素材!$1:$1016,COLUMN($E$1),FALSE),0),"")</f>
        <v>0</v>
      </c>
      <c r="L11">
        <f>IFERROR(VLOOKUP($D11,素材!$1:$1016,COLUMN($F$1),FALSE),"")</f>
        <v>0</v>
      </c>
      <c r="M11">
        <f>IFERROR(VLOOKUP($C11,装備品!$1:$998,COLUMN(AA$1),FALSE)*VLOOKUP($D11,素材!$1:$1016,COLUMN($G$1),FALSE),"")</f>
        <v>0</v>
      </c>
      <c r="N11">
        <f>IFERROR(VLOOKUP($C11,装備品!$1:$998,COLUMN(I$1),FALSE),"")</f>
        <v>0</v>
      </c>
      <c r="O11" s="23">
        <f>IFERROR((VLOOKUP($C11,装備品!$1:$998,COLUMN(K$1),FALSE)+VLOOKUP($D11,素材!$1:$1016,COLUMN(H$1),FALSE))*100+IFERROR(VLOOKUP($CI11,付与!$1:$1167,COLUMN(O$1),FALSE),0),"")</f>
        <v>10</v>
      </c>
      <c r="P11" s="23">
        <f>IFERROR((VLOOKUP($C11,装備品!$1:$998,COLUMN(L$1),FALSE)+VLOOKUP($D11,素材!$1:$1016,COLUMN(I$1),FALSE))*100+IFERROR(VLOOKUP($CI11,付与!$1:$1167,COLUMN(P$1),FALSE),0),"")</f>
        <v>150</v>
      </c>
      <c r="Q11">
        <f>IFERROR(ROUNDUP(VLOOKUP($C11,装備品!$1:$998,COLUMN(M$1),FALSE)*(VLOOKUP($D11,素材!$1:$1002,COLUMN(D$1),FALSE)/100),1),"")</f>
        <v>0</v>
      </c>
      <c r="R11">
        <f>IFERROR(ROUNDUP(VLOOKUP($C11,装備品!$1:$998,COLUMN(N$1),FALSE)*(VLOOKUP($D11,素材!$1:$1002,COLUMN(D$1),FALSE)/100),1),"")</f>
        <v>0</v>
      </c>
      <c r="S11">
        <f>IFERROR(VLOOKUP($C11,装備品!$1:$998,COLUMN(P$1),FALSE),"")</f>
        <v>0</v>
      </c>
      <c r="T11">
        <f>IFERROR(VLOOKUP($C11,装備品!$1:$998,COLUMN(Q$1),FALSE),"")</f>
        <v>0</v>
      </c>
      <c r="U11">
        <f>IFERROR(VLOOKUP($C11,装備品!$1:$998,COLUMN(R$1),FALSE),"")</f>
        <v>0</v>
      </c>
      <c r="V11">
        <f>IFERROR(VLOOKUP($C11,装備品!$1:$998,COLUMN(Q$1),FALSE),"")</f>
        <v>0</v>
      </c>
      <c r="W11">
        <f>IFERROR(VLOOKUP($C11,装備品!$1:$998,COLUMN(T$1),FALSE),"")</f>
        <v>0</v>
      </c>
      <c r="Y11">
        <f>IFERROR(VLOOKUP($C11,装備品!$1:$998,COLUMN(U$1),FALSE),"")</f>
        <v>0</v>
      </c>
      <c r="Z11">
        <f>IFERROR(ROUNDUP(VLOOKUP($C11,装備品!$1:$998,COLUMN(O$1),FALSE)*VLOOKUP($D11,素材!$1:$1016,COLUMN(E$1),FALSE),1),"")</f>
        <v>0</v>
      </c>
      <c r="AA11">
        <f>IF(ISNUMBER(SEARCH(SUBSTITUTE(AA$1,RIGHT(AA$1,2),""),VLOOKUP($D11,素材!$1:$1016,COLUMN($F$1),FALSE))),VLOOKUP($C11,装備品!$1:$998,COLUMN($O$1),FALSE)*VLOOKUP($D11,素材!$1:$1016,COLUMN($E$1),FALSE)/(LEN(VLOOKUP($D11,素材!$1:$1016,COLUMN($F$1),FALSE))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B11">
        <f>IF(ISNUMBER(SEARCH(SUBSTITUTE(AB$1,RIGHT(AB$1,2),""),VLOOKUP($D11,素材!$1:$1016,COLUMN($F$1),FALSE))),VLOOKUP($C11,装備品!$1:$998,COLUMN($O$1),FALSE)*VLOOKUP($D11,素材!$1:$1016,COLUMN($E$1),FALSE)/(LEN(VLOOKUP($D11,素材!$1:$1016,COLUMN($F$1),FALSE))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C11">
        <f>IF(ISNUMBER(SEARCH(SUBSTITUTE(AC$1,RIGHT(AC$1,2),""),VLOOKUP($D11,素材!$1:$1016,COLUMN($F$1),FALSE))),VLOOKUP($C11,装備品!$1:$998,COLUMN($O$1),FALSE)*VLOOKUP($D11,素材!$1:$1016,COLUMN($E$1),FALSE)/(LEN(VLOOKUP($D11,素材!$1:$1016,COLUMN($F$1),FALSE))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D11">
        <f>IF(ISNUMBER(SEARCH(SUBSTITUTE(AD$1,RIGHT(AD$1,2),""),VLOOKUP($D11,素材!$1:$1016,COLUMN($F$1),FALSE))),VLOOKUP($C11,装備品!$1:$998,COLUMN($O$1),FALSE)*VLOOKUP($D11,素材!$1:$1016,COLUMN($E$1),FALSE)/(LEN(VLOOKUP($D11,素材!$1:$1016,COLUMN($F$1),FALSE))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E11">
        <f>IF(ISNUMBER(SEARCH(SUBSTITUTE(AE$1,RIGHT(AE$1,2),""),VLOOKUP($D11,素材!$1:$1016,COLUMN($F$1),FALSE))),VLOOKUP($C11,装備品!$1:$998,COLUMN($O$1),FALSE)*VLOOKUP($D11,素材!$1:$1016,COLUMN($E$1),FALSE)/(LEN(VLOOKUP($D11,素材!$1:$1016,COLUMN($F$1),FALSE))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F11">
        <f>IF(ISNUMBER(SEARCH(SUBSTITUTE(AF$1,RIGHT(AF$1,2),""),VLOOKUP($D11,素材!$1:$1016,COLUMN($F$1),FALSE))),VLOOKUP($C11,装備品!$1:$998,COLUMN($O$1),FALSE)*VLOOKUP($D11,素材!$1:$1016,COLUMN($E$1),FALSE)/(LEN(VLOOKUP($D11,素材!$1:$1016,COLUMN($F$1),FALSE))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G11">
        <f>IF(ISNUMBER(SEARCH(SUBSTITUTE(AG$1,RIGHT(AG$1,2),""),VLOOKUP($D11,素材!$1:$1016,COLUMN($F$1),FALSE))),VLOOKUP($C11,装備品!$1:$998,COLUMN($O$1),FALSE)*VLOOKUP($D11,素材!$1:$1016,COLUMN($E$1),FALSE)/(LEN(VLOOKUP($D11,素材!$1:$1016,COLUMN($F$1),FALSE))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H11">
        <f>IF(ISNUMBER(SEARCH(SUBSTITUTE(AH$1,RIGHT(AH$1,2),""),VLOOKUP($D11,素材!$1:$1016,COLUMN($F$1),FALSE))),VLOOKUP($C11,装備品!$1:$998,COLUMN($O$1),FALSE)*VLOOKUP($D11,素材!$1:$1016,COLUMN($E$1),FALSE)/(LEN(VLOOKUP($D11,素材!$1:$1016,COLUMN($F$1),FALSE))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I11">
        <f>IF(ISNUMBER(SEARCH(SUBSTITUTE(AI$1,RIGHT(AI$1,2),""),VLOOKUP($D11,素材!$1:$1016,COLUMN($F$1),FALSE))),VLOOKUP($C11,装備品!$1:$998,COLUMN($O$1),FALSE)*VLOOKUP($D11,素材!$1:$1016,COLUMN($E$1),FALSE)/(LEN(VLOOKUP($D11,素材!$1:$1016,COLUMN($F$1),FALSE))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J11">
        <f>IF(ISNUMBER(SEARCH(SUBSTITUTE(AJ$1,RIGHT(AJ$1,2),""),VLOOKUP($D11,素材!$1:$1016,COLUMN($F$1),FALSE))),VLOOKUP($C11,装備品!$1:$998,COLUMN($O$1),FALSE)*VLOOKUP($D11,素材!$1:$1016,COLUMN($E$1),FALSE)/(LEN(VLOOKUP($D11,素材!$1:$1016,COLUMN($F$1),FALSE))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K11">
        <f>IF(ISNUMBER(SEARCH(SUBSTITUTE(AK$1,RIGHT(AK$1,2),""),VLOOKUP($D11,素材!$1:$1016,COLUMN($F$1),FALSE))),VLOOKUP($C11,装備品!$1:$998,COLUMN($O$1),FALSE)*VLOOKUP($D11,素材!$1:$1016,COLUMN($E$1),FALSE)/(LEN(VLOOKUP($D11,素材!$1:$1016,COLUMN($F$1),FALSE))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L11">
        <f>IF(ISNUMBER(SEARCH(SUBSTITUTE(AL$1,RIGHT(AL$1,2),""),VLOOKUP($D11,素材!$1:$1016,COLUMN($F$1),FALSE))),VLOOKUP($C11,装備品!$1:$998,COLUMN($O$1),FALSE)*VLOOKUP($D11,素材!$1:$1016,COLUMN($E$1),FALSE)/(LEN(VLOOKUP($D11,素材!$1:$1016,COLUMN($F$1),FALSE))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M11">
        <f>IF(ISNUMBER(SEARCH(SUBSTITUTE(AM$1,RIGHT(AM$1,2),""),VLOOKUP($D11,素材!$1:$1016,COLUMN($F$1),FALSE))),VLOOKUP($C11,装備品!$1:$998,COLUMN($O$1),FALSE)*VLOOKUP($D11,素材!$1:$1016,COLUMN($E$1),FALSE)/(LEN(VLOOKUP($D11,素材!$1:$1016,COLUMN($F$1),FALSE))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N11">
        <f>IF(ISNUMBER(SEARCH(SUBSTITUTE(AN$1,RIGHT(AN$1,2),""),VLOOKUP($D11,素材!$1:$1016,COLUMN($F$1),FALSE))),VLOOKUP($C11,装備品!$1:$998,COLUMN($O$1),FALSE)*VLOOKUP($D11,素材!$1:$1016,COLUMN($E$1),FALSE)/(LEN(VLOOKUP($D11,素材!$1:$1016,COLUMN($F$1),FALSE))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O11">
        <f>IF(ISNUMBER(SEARCH(SUBSTITUTE(AO$1,RIGHT(AO$1,2),""),VLOOKUP($D11,素材!$1:$1016,COLUMN($F$1),FALSE))),VLOOKUP($C11,装備品!$1:$998,COLUMN($O$1),FALSE)*VLOOKUP($D11,素材!$1:$1016,COLUMN($E$1),FALSE)/(LEN(VLOOKUP($D11,素材!$1:$1016,COLUMN($F$1),FALSE))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P11">
        <f>IF(ISNUMBER(SEARCH(SUBSTITUTE(AP$1,RIGHT(AP$1,2),""),VLOOKUP($D11,素材!$1:$1016,COLUMN($F$1),FALSE))),VLOOKUP($C11,装備品!$1:$998,COLUMN($O$1),FALSE)*VLOOKUP($D11,素材!$1:$1016,COLUMN($E$1),FALSE)/(LEN(VLOOKUP($D11,素材!$1:$1016,COLUMN($F$1),FALSE))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Q11">
        <f>IF(ISNUMBER(SEARCH(SUBSTITUTE(AQ$1,RIGHT(AQ$1,2),""),VLOOKUP($D11,素材!$1:$1016,COLUMN($F$1),FALSE))),VLOOKUP($C11,装備品!$1:$998,COLUMN($O$1),FALSE)*VLOOKUP($D11,素材!$1:$1016,COLUMN($E$1),FALSE)/(LEN(VLOOKUP($D11,素材!$1:$1016,COLUMN($F$1),FALSE))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R11">
        <f>IF(ISNUMBER(SEARCH(SUBSTITUTE(AR$1,RIGHT(AR$1,2),""),VLOOKUP($D11,素材!$1:$1016,COLUMN($F$1),FALSE))),VLOOKUP($C11,装備品!$1:$998,COLUMN($O$1),FALSE)*VLOOKUP($D11,素材!$1:$1016,COLUMN($E$1),FALSE)/(LEN(VLOOKUP($D11,素材!$1:$1016,COLUMN($F$1),FALSE))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S11">
        <f>IF(ISNUMBER(SEARCH(SUBSTITUTE(AS$1,RIGHT(AS$1,2),""),VLOOKUP($D11,素材!$1:$1016,COLUMN($F$1),FALSE))),VLOOKUP($C11,装備品!$1:$998,COLUMN($O$1),FALSE)*VLOOKUP($D11,素材!$1:$1016,COLUMN($E$1),FALSE)/(LEN(VLOOKUP($D11,素材!$1:$1016,COLUMN($F$1),FALSE))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T11">
        <f>IF(ISNUMBER(SEARCH(SUBSTITUTE(AT$1,RIGHT(AT$1,2),""),VLOOKUP($D11,素材!$1:$1016,COLUMN($F$1),FALSE))),VLOOKUP($C11,装備品!$1:$998,COLUMN($O$1),FALSE)*VLOOKUP($D11,素材!$1:$1016,COLUMN($E$1),FALSE)/(LEN(VLOOKUP($D11,素材!$1:$1016,COLUMN($F$1),FALSE))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U11">
        <f>IF(ISNUMBER(SEARCH(SUBSTITUTE(AU$1,RIGHT(AU$1,2),""),VLOOKUP($D11,素材!$1:$1016,COLUMN($F$1),FALSE))),VLOOKUP($C11,装備品!$1:$998,COLUMN($O$1),FALSE)*VLOOKUP($D11,素材!$1:$1016,COLUMN($E$1),FALSE)/(LEN(VLOOKUP($D11,素材!$1:$1016,COLUMN($F$1),FALSE))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V11">
        <f>IF(ISNUMBER(SEARCH(SUBSTITUTE(AV$1,RIGHT(AV$1,2),""),VLOOKUP($D11,素材!$1:$1016,COLUMN($F$1),FALSE))),VLOOKUP($C11,装備品!$1:$998,COLUMN($O$1),FALSE)*VLOOKUP($D11,素材!$1:$1016,COLUMN($E$1),FALSE)/(LEN(VLOOKUP($D11,素材!$1:$1016,COLUMN($F$1),FALSE))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W11">
        <f>IF(ISNUMBER(SEARCH(SUBSTITUTE(AW$1,RIGHT(AW$1,2),""),VLOOKUP($D11,素材!$1:$1016,COLUMN($F$1),FALSE))),VLOOKUP($C11,装備品!$1:$998,COLUMN($O$1),FALSE)*VLOOKUP($D11,素材!$1:$1016,COLUMN($E$1),FALSE)/(LEN(VLOOKUP($D11,素材!$1:$1016,COLUMN($F$1),FALSE))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X11">
        <f>IF(ISNUMBER(SEARCH(SUBSTITUTE(AX$1,RIGHT(AX$1,2),""),VLOOKUP($D11,素材!$1:$1016,COLUMN($F$1),FALSE))),VLOOKUP($C11,装備品!$1:$998,COLUMN($O$1),FALSE)*VLOOKUP($D11,素材!$1:$1016,COLUMN($E$1),FALSE)/(LEN(VLOOKUP($D11,素材!$1:$1016,COLUMN($F$1),FALSE))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Y11">
        <f>IF(ISNUMBER(SEARCH(SUBSTITUTE(AY$1,RIGHT(AY$1,2),""),VLOOKUP($D11,素材!$1:$1016,COLUMN($F$1),FALSE))),VLOOKUP($C11,装備品!$1:$998,COLUMN($O$1),FALSE)*VLOOKUP($D11,素材!$1:$1016,COLUMN($E$1),FALSE)/(LEN(VLOOKUP($D11,素材!$1:$1016,COLUMN($F$1),FALSE))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Z11">
        <f>IF(ISNUMBER(SEARCH(SUBSTITUTE(AZ$1,RIGHT(AZ$1,2),""),VLOOKUP($D11,素材!$1:$1016,COLUMN($F$1),FALSE))),VLOOKUP($C11,装備品!$1:$998,COLUMN($O$1),FALSE)*VLOOKUP($D11,素材!$1:$1016,COLUMN($E$1),FALSE)/(LEN(VLOOKUP($D11,素材!$1:$1016,COLUMN($F$1),FALSE))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BA11">
        <f>IF(ISNUMBER(SEARCH(SUBSTITUTE(BA$1,RIGHT(BA$1,2),""),VLOOKUP($D11,素材!$1:$1016,COLUMN($F$1),FALSE))),VLOOKUP($C11,装備品!$1:$998,COLUMN($O$1),FALSE)*VLOOKUP($D11,素材!$1:$1016,COLUMN($E$1),FALSE)/(LEN(VLOOKUP($D11,素材!$1:$1016,COLUMN($F$1),FALSE))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BB11">
        <f>IF(ISNUMBER(SEARCH(SUBSTITUTE(BB$1,RIGHT(BB$1,2),""),VLOOKUP($D11,素材!$1:$1016,COLUMN($F$1),FALSE))),VLOOKUP($C11,装備品!$1:$998,COLUMN($O$1),FALSE)*VLOOKUP($D11,素材!$1:$1016,COLUMN($E$1),FALSE)/(LEN(VLOOKUP($D11,素材!$1:$1016,COLUMN($F$1),FALSE))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BC11">
        <f>IF(ISNUMBER(SEARCH(SUBSTITUTE(BC$1,RIGHT(BC$1,2),""),VLOOKUP($D11,素材!$1:$1016,COLUMN($F$1),FALSE))),VLOOKUP($C11,装備品!$1:$998,COLUMN($O$1),FALSE)*VLOOKUP($D11,素材!$1:$1016,COLUMN($E$1),FALSE)/(LEN(VLOOKUP($D11,素材!$1:$1016,COLUMN($F$1),FALSE))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BD11">
        <f>IF(ISNUMBER(SEARCH(SUBSTITUTE(BD$1,RIGHT(BD$1,2),""),VLOOKUP($D11,素材!$1:$1016,COLUMN($F$1),FALSE))),VLOOKUP($C11,装備品!$1:$998,COLUMN($O$1),FALSE)*VLOOKUP($D11,素材!$1:$1016,COLUMN($E$1),FALSE)/(LEN(VLOOKUP($D11,素材!$1:$1016,COLUMN($F$1),FALSE))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BE11">
        <f>IF(ISNUMBER(SEARCH(SUBSTITUTE(BE$1,RIGHT(BE$1,2),""),VLOOKUP($D11,素材!$1:$1016,COLUMN($F$1),FALSE))),VLOOKUP($C11,装備品!$1:$998,COLUMN($O$1),FALSE)*VLOOKUP($D11,素材!$1:$1016,COLUMN($E$1),FALSE)/(LEN(VLOOKUP($D11,素材!$1:$1016,COLUMN($F$1),FALSE))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CL11">
        <f t="shared" si="1"/>
        <v>25</v>
      </c>
      <c r="CM11" s="22" t="str">
        <f t="shared" si="2"/>
        <v>貫通.webp</v>
      </c>
      <c r="CN11">
        <f>IFERROR(VLOOKUP($C11,装備品!$1:$998,COLUMN(V$1),FALSE)*VLOOKUP($D11,素材!$1:$1016,COLUMN(N$1),FALSE)+IF(CI11="",0,VLOOKUP($CI11,付与!$1:$1176,COLUMN($CK$1),FALSE)),"")</f>
        <v>0</v>
      </c>
      <c r="CO11" t="str">
        <f>VLOOKUP(D11,素材!$A:$O,COLUMN(素材!O$1),FALSE)</f>
        <v>一般的な鉄。量産品を作るのに使用されることが多い</v>
      </c>
      <c r="CP11" t="str">
        <f>VLOOKUP(C11,装備品!$A:$AB,COLUMN(装備品!AB$1),FALSE)</f>
        <v>短槍。短く扱いやすい槍で、投擲にも対応。</v>
      </c>
      <c r="CR11" t="str">
        <f t="shared" si="3"/>
        <v>e_11</v>
      </c>
      <c r="CS11">
        <f t="shared" si="4"/>
        <v>0</v>
      </c>
    </row>
    <row r="12" spans="1:97" outlineLevel="1" x14ac:dyDescent="0.4">
      <c r="A12" t="str">
        <f t="shared" si="0"/>
        <v>鉄の槍</v>
      </c>
      <c r="B12" t="str">
        <f>IFERROR(VLOOKUP($D12,素材!$1:$1016,COLUMN($B$1),FALSE)&amp;"・"&amp;VLOOKUP($C12,装備品!$1:$998,COLUMN(B$1),FALSE),"")</f>
        <v>アイアン・スピア</v>
      </c>
      <c r="C12" s="24" t="s">
        <v>232</v>
      </c>
      <c r="D12" s="24" t="s">
        <v>256</v>
      </c>
      <c r="E12" t="str">
        <f>IFERROR(VLOOKUP(C12,装備品!$1:$998,COLUMN(C$1),FALSE),"")</f>
        <v>武器</v>
      </c>
      <c r="F12">
        <f>IFERROR(ROUNDDOWN((VLOOKUP($C12,装備品!$1:$998,COLUMN(D$1),FALSE)+IFERROR(VLOOKUP($CI12,付与!$1:$1167,COLUMN(F$1),FALSE),0))*VLOOKUP($D12,素材!$1:$1016,COLUMN(D$1),FALSE),0),"")</f>
        <v>115</v>
      </c>
      <c r="G12">
        <f>IFERROR(ROUNDDOWN((VLOOKUP($C12,装備品!$1:$998,COLUMN(E$1),FALSE)+IFERROR(VLOOKUP($CI12,付与!$1:$1167,COLUMN(G$1),FALSE),0))*VLOOKUP($D12,素材!$1:$1016,COLUMN($E$1),FALSE),0),"")</f>
        <v>8</v>
      </c>
      <c r="H12">
        <f>IFERROR(ROUNDDOWN((VLOOKUP($C12,装備品!$1:$998,COLUMN(F$1),FALSE)+IFERROR(VLOOKUP($CI12,付与!$1:$1167,COLUMN(H$1),FALSE),0))*VLOOKUP($D12,素材!$1:$1016,COLUMN($E$1),FALSE),0),"")</f>
        <v>16</v>
      </c>
      <c r="I12">
        <f>IFERROR(ROUNDDOWN((VLOOKUP($C12,装備品!$1:$998,COLUMN(G$1),FALSE)+IFERROR(VLOOKUP($CI12,付与!$1:$1167,COLUMN(I$1),FALSE),0))*VLOOKUP($D12,素材!$1:$1016,COLUMN($E$1),FALSE),0),"")</f>
        <v>3</v>
      </c>
      <c r="J12">
        <f>IFERROR(ROUNDDOWN((VLOOKUP($C12,装備品!$1:$998,COLUMN(H$1),FALSE)+IFERROR(VLOOKUP($CI12,付与!$1:$1167,COLUMN(J$1),FALSE),0))*VLOOKUP($D12,素材!$1:$1016,COLUMN($E$1),FALSE),0),"")</f>
        <v>17</v>
      </c>
      <c r="K12">
        <f>IFERROR(ROUNDDOWN((VLOOKUP($C12,装備品!$1:$998,COLUMN(I$1),FALSE)+IFERROR(VLOOKUP($CI12,付与!$1:$1167,COLUMN(K$1),FALSE),0))*VLOOKUP($D12,素材!$1:$1016,COLUMN($E$1),FALSE),0),"")</f>
        <v>0</v>
      </c>
      <c r="L12">
        <f>IFERROR(VLOOKUP($D12,素材!$1:$1016,COLUMN($F$1),FALSE),"")</f>
        <v>0</v>
      </c>
      <c r="M12">
        <f>IFERROR(VLOOKUP($C12,装備品!$1:$998,COLUMN(AA$1),FALSE)*VLOOKUP($D12,素材!$1:$1016,COLUMN($G$1),FALSE),"")</f>
        <v>0</v>
      </c>
      <c r="N12">
        <f>IFERROR(VLOOKUP($C12,装備品!$1:$998,COLUMN(I$1),FALSE),"")</f>
        <v>0</v>
      </c>
      <c r="O12" s="23">
        <f>IFERROR((VLOOKUP($C12,装備品!$1:$998,COLUMN(K$1),FALSE)+VLOOKUP($D12,素材!$1:$1016,COLUMN(H$1),FALSE))*100+IFERROR(VLOOKUP($CI12,付与!$1:$1167,COLUMN(O$1),FALSE),0),"")</f>
        <v>10</v>
      </c>
      <c r="P12" s="23">
        <f>IFERROR((VLOOKUP($C12,装備品!$1:$998,COLUMN(L$1),FALSE)+VLOOKUP($D12,素材!$1:$1016,COLUMN(I$1),FALSE))*100+IFERROR(VLOOKUP($CI12,付与!$1:$1167,COLUMN(P$1),FALSE),0),"")</f>
        <v>150</v>
      </c>
      <c r="Q12">
        <f>IFERROR(ROUNDUP(VLOOKUP($C12,装備品!$1:$998,COLUMN(M$1),FALSE)*(VLOOKUP($D12,素材!$1:$1002,COLUMN(D$1),FALSE)/100),1),"")</f>
        <v>0</v>
      </c>
      <c r="R12">
        <f>IFERROR(ROUNDUP(VLOOKUP($C12,装備品!$1:$998,COLUMN(N$1),FALSE)*(VLOOKUP($D12,素材!$1:$1002,COLUMN(D$1),FALSE)/100),1),"")</f>
        <v>-5</v>
      </c>
      <c r="S12">
        <f>IFERROR(VLOOKUP($C12,装備品!$1:$998,COLUMN(P$1),FALSE),"")</f>
        <v>0</v>
      </c>
      <c r="T12">
        <f>IFERROR(VLOOKUP($C12,装備品!$1:$998,COLUMN(Q$1),FALSE),"")</f>
        <v>0</v>
      </c>
      <c r="U12">
        <f>IFERROR(VLOOKUP($C12,装備品!$1:$998,COLUMN(R$1),FALSE),"")</f>
        <v>0</v>
      </c>
      <c r="V12">
        <f>IFERROR(VLOOKUP($C12,装備品!$1:$998,COLUMN(Q$1),FALSE),"")</f>
        <v>0</v>
      </c>
      <c r="W12">
        <f>IFERROR(VLOOKUP($C12,装備品!$1:$998,COLUMN(T$1),FALSE),"")</f>
        <v>0</v>
      </c>
      <c r="Y12">
        <f>IFERROR(VLOOKUP($C12,装備品!$1:$998,COLUMN(U$1),FALSE),"")</f>
        <v>0</v>
      </c>
      <c r="Z12">
        <f>IFERROR(ROUNDUP(VLOOKUP($C12,装備品!$1:$998,COLUMN(O$1),FALSE)*VLOOKUP($D12,素材!$1:$1016,COLUMN(E$1),FALSE),1),"")</f>
        <v>0</v>
      </c>
      <c r="AA12">
        <f>IF(ISNUMBER(SEARCH(SUBSTITUTE(AA$1,RIGHT(AA$1,2),""),VLOOKUP($D12,素材!$1:$1016,COLUMN($F$1),FALSE))),VLOOKUP($C12,装備品!$1:$998,COLUMN($O$1),FALSE)*VLOOKUP($D12,素材!$1:$1016,COLUMN($E$1),FALSE)/(LEN(VLOOKUP($D12,素材!$1:$1016,COLUMN($F$1),FALSE))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B12">
        <f>IF(ISNUMBER(SEARCH(SUBSTITUTE(AB$1,RIGHT(AB$1,2),""),VLOOKUP($D12,素材!$1:$1016,COLUMN($F$1),FALSE))),VLOOKUP($C12,装備品!$1:$998,COLUMN($O$1),FALSE)*VLOOKUP($D12,素材!$1:$1016,COLUMN($E$1),FALSE)/(LEN(VLOOKUP($D12,素材!$1:$1016,COLUMN($F$1),FALSE))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C12">
        <f>IF(ISNUMBER(SEARCH(SUBSTITUTE(AC$1,RIGHT(AC$1,2),""),VLOOKUP($D12,素材!$1:$1016,COLUMN($F$1),FALSE))),VLOOKUP($C12,装備品!$1:$998,COLUMN($O$1),FALSE)*VLOOKUP($D12,素材!$1:$1016,COLUMN($E$1),FALSE)/(LEN(VLOOKUP($D12,素材!$1:$1016,COLUMN($F$1),FALSE))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D12">
        <f>IF(ISNUMBER(SEARCH(SUBSTITUTE(AD$1,RIGHT(AD$1,2),""),VLOOKUP($D12,素材!$1:$1016,COLUMN($F$1),FALSE))),VLOOKUP($C12,装備品!$1:$998,COLUMN($O$1),FALSE)*VLOOKUP($D12,素材!$1:$1016,COLUMN($E$1),FALSE)/(LEN(VLOOKUP($D12,素材!$1:$1016,COLUMN($F$1),FALSE))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E12">
        <f>IF(ISNUMBER(SEARCH(SUBSTITUTE(AE$1,RIGHT(AE$1,2),""),VLOOKUP($D12,素材!$1:$1016,COLUMN($F$1),FALSE))),VLOOKUP($C12,装備品!$1:$998,COLUMN($O$1),FALSE)*VLOOKUP($D12,素材!$1:$1016,COLUMN($E$1),FALSE)/(LEN(VLOOKUP($D12,素材!$1:$1016,COLUMN($F$1),FALSE))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F12">
        <f>IF(ISNUMBER(SEARCH(SUBSTITUTE(AF$1,RIGHT(AF$1,2),""),VLOOKUP($D12,素材!$1:$1016,COLUMN($F$1),FALSE))),VLOOKUP($C12,装備品!$1:$998,COLUMN($O$1),FALSE)*VLOOKUP($D12,素材!$1:$1016,COLUMN($E$1),FALSE)/(LEN(VLOOKUP($D12,素材!$1:$1016,COLUMN($F$1),FALSE))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G12">
        <f>IF(ISNUMBER(SEARCH(SUBSTITUTE(AG$1,RIGHT(AG$1,2),""),VLOOKUP($D12,素材!$1:$1016,COLUMN($F$1),FALSE))),VLOOKUP($C12,装備品!$1:$998,COLUMN($O$1),FALSE)*VLOOKUP($D12,素材!$1:$1016,COLUMN($E$1),FALSE)/(LEN(VLOOKUP($D12,素材!$1:$1016,COLUMN($F$1),FALSE))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H12">
        <f>IF(ISNUMBER(SEARCH(SUBSTITUTE(AH$1,RIGHT(AH$1,2),""),VLOOKUP($D12,素材!$1:$1016,COLUMN($F$1),FALSE))),VLOOKUP($C12,装備品!$1:$998,COLUMN($O$1),FALSE)*VLOOKUP($D12,素材!$1:$1016,COLUMN($E$1),FALSE)/(LEN(VLOOKUP($D12,素材!$1:$1016,COLUMN($F$1),FALSE))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I12">
        <f>IF(ISNUMBER(SEARCH(SUBSTITUTE(AI$1,RIGHT(AI$1,2),""),VLOOKUP($D12,素材!$1:$1016,COLUMN($F$1),FALSE))),VLOOKUP($C12,装備品!$1:$998,COLUMN($O$1),FALSE)*VLOOKUP($D12,素材!$1:$1016,COLUMN($E$1),FALSE)/(LEN(VLOOKUP($D12,素材!$1:$1016,COLUMN($F$1),FALSE))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J12">
        <f>IF(ISNUMBER(SEARCH(SUBSTITUTE(AJ$1,RIGHT(AJ$1,2),""),VLOOKUP($D12,素材!$1:$1016,COLUMN($F$1),FALSE))),VLOOKUP($C12,装備品!$1:$998,COLUMN($O$1),FALSE)*VLOOKUP($D12,素材!$1:$1016,COLUMN($E$1),FALSE)/(LEN(VLOOKUP($D12,素材!$1:$1016,COLUMN($F$1),FALSE))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K12">
        <f>IF(ISNUMBER(SEARCH(SUBSTITUTE(AK$1,RIGHT(AK$1,2),""),VLOOKUP($D12,素材!$1:$1016,COLUMN($F$1),FALSE))),VLOOKUP($C12,装備品!$1:$998,COLUMN($O$1),FALSE)*VLOOKUP($D12,素材!$1:$1016,COLUMN($E$1),FALSE)/(LEN(VLOOKUP($D12,素材!$1:$1016,COLUMN($F$1),FALSE))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L12">
        <f>IF(ISNUMBER(SEARCH(SUBSTITUTE(AL$1,RIGHT(AL$1,2),""),VLOOKUP($D12,素材!$1:$1016,COLUMN($F$1),FALSE))),VLOOKUP($C12,装備品!$1:$998,COLUMN($O$1),FALSE)*VLOOKUP($D12,素材!$1:$1016,COLUMN($E$1),FALSE)/(LEN(VLOOKUP($D12,素材!$1:$1016,COLUMN($F$1),FALSE))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M12">
        <f>IF(ISNUMBER(SEARCH(SUBSTITUTE(AM$1,RIGHT(AM$1,2),""),VLOOKUP($D12,素材!$1:$1016,COLUMN($F$1),FALSE))),VLOOKUP($C12,装備品!$1:$998,COLUMN($O$1),FALSE)*VLOOKUP($D12,素材!$1:$1016,COLUMN($E$1),FALSE)/(LEN(VLOOKUP($D12,素材!$1:$1016,COLUMN($F$1),FALSE))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N12">
        <f>IF(ISNUMBER(SEARCH(SUBSTITUTE(AN$1,RIGHT(AN$1,2),""),VLOOKUP($D12,素材!$1:$1016,COLUMN($F$1),FALSE))),VLOOKUP($C12,装備品!$1:$998,COLUMN($O$1),FALSE)*VLOOKUP($D12,素材!$1:$1016,COLUMN($E$1),FALSE)/(LEN(VLOOKUP($D12,素材!$1:$1016,COLUMN($F$1),FALSE))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O12">
        <f>IF(ISNUMBER(SEARCH(SUBSTITUTE(AO$1,RIGHT(AO$1,2),""),VLOOKUP($D12,素材!$1:$1016,COLUMN($F$1),FALSE))),VLOOKUP($C12,装備品!$1:$998,COLUMN($O$1),FALSE)*VLOOKUP($D12,素材!$1:$1016,COLUMN($E$1),FALSE)/(LEN(VLOOKUP($D12,素材!$1:$1016,COLUMN($F$1),FALSE))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P12">
        <f>IF(ISNUMBER(SEARCH(SUBSTITUTE(AP$1,RIGHT(AP$1,2),""),VLOOKUP($D12,素材!$1:$1016,COLUMN($F$1),FALSE))),VLOOKUP($C12,装備品!$1:$998,COLUMN($O$1),FALSE)*VLOOKUP($D12,素材!$1:$1016,COLUMN($E$1),FALSE)/(LEN(VLOOKUP($D12,素材!$1:$1016,COLUMN($F$1),FALSE))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Q12">
        <f>IF(ISNUMBER(SEARCH(SUBSTITUTE(AQ$1,RIGHT(AQ$1,2),""),VLOOKUP($D12,素材!$1:$1016,COLUMN($F$1),FALSE))),VLOOKUP($C12,装備品!$1:$998,COLUMN($O$1),FALSE)*VLOOKUP($D12,素材!$1:$1016,COLUMN($E$1),FALSE)/(LEN(VLOOKUP($D12,素材!$1:$1016,COLUMN($F$1),FALSE))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R12">
        <f>IF(ISNUMBER(SEARCH(SUBSTITUTE(AR$1,RIGHT(AR$1,2),""),VLOOKUP($D12,素材!$1:$1016,COLUMN($F$1),FALSE))),VLOOKUP($C12,装備品!$1:$998,COLUMN($O$1),FALSE)*VLOOKUP($D12,素材!$1:$1016,COLUMN($E$1),FALSE)/(LEN(VLOOKUP($D12,素材!$1:$1016,COLUMN($F$1),FALSE))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S12">
        <f>IF(ISNUMBER(SEARCH(SUBSTITUTE(AS$1,RIGHT(AS$1,2),""),VLOOKUP($D12,素材!$1:$1016,COLUMN($F$1),FALSE))),VLOOKUP($C12,装備品!$1:$998,COLUMN($O$1),FALSE)*VLOOKUP($D12,素材!$1:$1016,COLUMN($E$1),FALSE)/(LEN(VLOOKUP($D12,素材!$1:$1016,COLUMN($F$1),FALSE))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T12">
        <f>IF(ISNUMBER(SEARCH(SUBSTITUTE(AT$1,RIGHT(AT$1,2),""),VLOOKUP($D12,素材!$1:$1016,COLUMN($F$1),FALSE))),VLOOKUP($C12,装備品!$1:$998,COLUMN($O$1),FALSE)*VLOOKUP($D12,素材!$1:$1016,COLUMN($E$1),FALSE)/(LEN(VLOOKUP($D12,素材!$1:$1016,COLUMN($F$1),FALSE))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U12">
        <f>IF(ISNUMBER(SEARCH(SUBSTITUTE(AU$1,RIGHT(AU$1,2),""),VLOOKUP($D12,素材!$1:$1016,COLUMN($F$1),FALSE))),VLOOKUP($C12,装備品!$1:$998,COLUMN($O$1),FALSE)*VLOOKUP($D12,素材!$1:$1016,COLUMN($E$1),FALSE)/(LEN(VLOOKUP($D12,素材!$1:$1016,COLUMN($F$1),FALSE))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V12">
        <f>IF(ISNUMBER(SEARCH(SUBSTITUTE(AV$1,RIGHT(AV$1,2),""),VLOOKUP($D12,素材!$1:$1016,COLUMN($F$1),FALSE))),VLOOKUP($C12,装備品!$1:$998,COLUMN($O$1),FALSE)*VLOOKUP($D12,素材!$1:$1016,COLUMN($E$1),FALSE)/(LEN(VLOOKUP($D12,素材!$1:$1016,COLUMN($F$1),FALSE))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W12">
        <f>IF(ISNUMBER(SEARCH(SUBSTITUTE(AW$1,RIGHT(AW$1,2),""),VLOOKUP($D12,素材!$1:$1016,COLUMN($F$1),FALSE))),VLOOKUP($C12,装備品!$1:$998,COLUMN($O$1),FALSE)*VLOOKUP($D12,素材!$1:$1016,COLUMN($E$1),FALSE)/(LEN(VLOOKUP($D12,素材!$1:$1016,COLUMN($F$1),FALSE))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X12">
        <f>IF(ISNUMBER(SEARCH(SUBSTITUTE(AX$1,RIGHT(AX$1,2),""),VLOOKUP($D12,素材!$1:$1016,COLUMN($F$1),FALSE))),VLOOKUP($C12,装備品!$1:$998,COLUMN($O$1),FALSE)*VLOOKUP($D12,素材!$1:$1016,COLUMN($E$1),FALSE)/(LEN(VLOOKUP($D12,素材!$1:$1016,COLUMN($F$1),FALSE))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Y12">
        <f>IF(ISNUMBER(SEARCH(SUBSTITUTE(AY$1,RIGHT(AY$1,2),""),VLOOKUP($D12,素材!$1:$1016,COLUMN($F$1),FALSE))),VLOOKUP($C12,装備品!$1:$998,COLUMN($O$1),FALSE)*VLOOKUP($D12,素材!$1:$1016,COLUMN($E$1),FALSE)/(LEN(VLOOKUP($D12,素材!$1:$1016,COLUMN($F$1),FALSE))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Z12">
        <f>IF(ISNUMBER(SEARCH(SUBSTITUTE(AZ$1,RIGHT(AZ$1,2),""),VLOOKUP($D12,素材!$1:$1016,COLUMN($F$1),FALSE))),VLOOKUP($C12,装備品!$1:$998,COLUMN($O$1),FALSE)*VLOOKUP($D12,素材!$1:$1016,COLUMN($E$1),FALSE)/(LEN(VLOOKUP($D12,素材!$1:$1016,COLUMN($F$1),FALSE))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BA12">
        <f>IF(ISNUMBER(SEARCH(SUBSTITUTE(BA$1,RIGHT(BA$1,2),""),VLOOKUP($D12,素材!$1:$1016,COLUMN($F$1),FALSE))),VLOOKUP($C12,装備品!$1:$998,COLUMN($O$1),FALSE)*VLOOKUP($D12,素材!$1:$1016,COLUMN($E$1),FALSE)/(LEN(VLOOKUP($D12,素材!$1:$1016,COLUMN($F$1),FALSE))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BB12">
        <f>IF(ISNUMBER(SEARCH(SUBSTITUTE(BB$1,RIGHT(BB$1,2),""),VLOOKUP($D12,素材!$1:$1016,COLUMN($F$1),FALSE))),VLOOKUP($C12,装備品!$1:$998,COLUMN($O$1),FALSE)*VLOOKUP($D12,素材!$1:$1016,COLUMN($E$1),FALSE)/(LEN(VLOOKUP($D12,素材!$1:$1016,COLUMN($F$1),FALSE))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BC12">
        <f>IF(ISNUMBER(SEARCH(SUBSTITUTE(BC$1,RIGHT(BC$1,2),""),VLOOKUP($D12,素材!$1:$1016,COLUMN($F$1),FALSE))),VLOOKUP($C12,装備品!$1:$998,COLUMN($O$1),FALSE)*VLOOKUP($D12,素材!$1:$1016,COLUMN($E$1),FALSE)/(LEN(VLOOKUP($D12,素材!$1:$1016,COLUMN($F$1),FALSE))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BD12">
        <f>IF(ISNUMBER(SEARCH(SUBSTITUTE(BD$1,RIGHT(BD$1,2),""),VLOOKUP($D12,素材!$1:$1016,COLUMN($F$1),FALSE))),VLOOKUP($C12,装備品!$1:$998,COLUMN($O$1),FALSE)*VLOOKUP($D12,素材!$1:$1016,COLUMN($E$1),FALSE)/(LEN(VLOOKUP($D12,素材!$1:$1016,COLUMN($F$1),FALSE))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BE12">
        <f>IF(ISNUMBER(SEARCH(SUBSTITUTE(BE$1,RIGHT(BE$1,2),""),VLOOKUP($D12,素材!$1:$1016,COLUMN($F$1),FALSE))),VLOOKUP($C12,装備品!$1:$998,COLUMN($O$1),FALSE)*VLOOKUP($D12,素材!$1:$1016,COLUMN($E$1),FALSE)/(LEN(VLOOKUP($D12,素材!$1:$1016,COLUMN($F$1),FALSE))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CL12">
        <f t="shared" si="1"/>
        <v>27</v>
      </c>
      <c r="CM12" s="22" t="str">
        <f t="shared" si="2"/>
        <v>貫通.webp</v>
      </c>
      <c r="CN12">
        <f>IFERROR(VLOOKUP($C12,装備品!$1:$998,COLUMN(V$1),FALSE)*VLOOKUP($D12,素材!$1:$1016,COLUMN(N$1),FALSE)+IF(CI12="",0,VLOOKUP($CI12,付与!$1:$1176,COLUMN($CK$1),FALSE)),"")</f>
        <v>0</v>
      </c>
      <c r="CO12" t="str">
        <f>VLOOKUP(D12,素材!$A:$O,COLUMN(素材!O$1),FALSE)</f>
        <v>一般的な鉄。量産品を作るのに使用されることが多い</v>
      </c>
      <c r="CP12" t="str">
        <f>VLOOKUP(C12,装備品!$A:$AB,COLUMN(装備品!AB$1),FALSE)</f>
        <v>槍。リーチが長く、刺突に優れる武器。</v>
      </c>
      <c r="CR12" t="str">
        <f t="shared" si="3"/>
        <v>e_12</v>
      </c>
      <c r="CS12">
        <f t="shared" si="4"/>
        <v>0</v>
      </c>
    </row>
    <row r="13" spans="1:97" outlineLevel="1" x14ac:dyDescent="0.4">
      <c r="A13" t="str">
        <f t="shared" si="0"/>
        <v>鉄の騎士槍</v>
      </c>
      <c r="B13" t="str">
        <f>IFERROR(VLOOKUP($D13,素材!$1:$1016,COLUMN($B$1),FALSE)&amp;"・"&amp;VLOOKUP($C13,装備品!$1:$998,COLUMN(B$1),FALSE),"")</f>
        <v>アイアン・ランス</v>
      </c>
      <c r="C13" s="24" t="s">
        <v>231</v>
      </c>
      <c r="D13" s="24" t="s">
        <v>256</v>
      </c>
      <c r="E13" t="str">
        <f>IFERROR(VLOOKUP(C13,装備品!$1:$998,COLUMN(C$1),FALSE),"")</f>
        <v>武器</v>
      </c>
      <c r="F13">
        <f>IFERROR(ROUNDDOWN((VLOOKUP($C13,装備品!$1:$998,COLUMN(D$1),FALSE)+IFERROR(VLOOKUP($CI13,付与!$1:$1167,COLUMN(F$1),FALSE),0))*VLOOKUP($D13,素材!$1:$1016,COLUMN(D$1),FALSE),0),"")</f>
        <v>115</v>
      </c>
      <c r="G13">
        <f>IFERROR(ROUNDDOWN((VLOOKUP($C13,装備品!$1:$998,COLUMN(E$1),FALSE)+IFERROR(VLOOKUP($CI13,付与!$1:$1167,COLUMN(G$1),FALSE),0))*VLOOKUP($D13,素材!$1:$1016,COLUMN($E$1),FALSE),0),"")</f>
        <v>0</v>
      </c>
      <c r="H13">
        <f>IFERROR(ROUNDDOWN((VLOOKUP($C13,装備品!$1:$998,COLUMN(F$1),FALSE)+IFERROR(VLOOKUP($CI13,付与!$1:$1167,COLUMN(H$1),FALSE),0))*VLOOKUP($D13,素材!$1:$1016,COLUMN($E$1),FALSE),0),"")</f>
        <v>19</v>
      </c>
      <c r="I13">
        <f>IFERROR(ROUNDDOWN((VLOOKUP($C13,装備品!$1:$998,COLUMN(G$1),FALSE)+IFERROR(VLOOKUP($CI13,付与!$1:$1167,COLUMN(I$1),FALSE),0))*VLOOKUP($D13,素材!$1:$1016,COLUMN($E$1),FALSE),0),"")</f>
        <v>9</v>
      </c>
      <c r="J13">
        <f>IFERROR(ROUNDDOWN((VLOOKUP($C13,装備品!$1:$998,COLUMN(H$1),FALSE)+IFERROR(VLOOKUP($CI13,付与!$1:$1167,COLUMN(J$1),FALSE),0))*VLOOKUP($D13,素材!$1:$1016,COLUMN($E$1),FALSE),0),"")</f>
        <v>20</v>
      </c>
      <c r="K13">
        <f>IFERROR(ROUNDDOWN((VLOOKUP($C13,装備品!$1:$998,COLUMN(I$1),FALSE)+IFERROR(VLOOKUP($CI13,付与!$1:$1167,COLUMN(K$1),FALSE),0))*VLOOKUP($D13,素材!$1:$1016,COLUMN($E$1),FALSE),0),"")</f>
        <v>0</v>
      </c>
      <c r="L13">
        <f>IFERROR(VLOOKUP($D13,素材!$1:$1016,COLUMN($F$1),FALSE),"")</f>
        <v>0</v>
      </c>
      <c r="M13">
        <f>IFERROR(VLOOKUP($C13,装備品!$1:$998,COLUMN(AA$1),FALSE)*VLOOKUP($D13,素材!$1:$1016,COLUMN($G$1),FALSE),"")</f>
        <v>0</v>
      </c>
      <c r="N13">
        <f>IFERROR(VLOOKUP($C13,装備品!$1:$998,COLUMN(I$1),FALSE),"")</f>
        <v>0</v>
      </c>
      <c r="O13" s="23">
        <f>IFERROR((VLOOKUP($C13,装備品!$1:$998,COLUMN(K$1),FALSE)+VLOOKUP($D13,素材!$1:$1016,COLUMN(H$1),FALSE))*100+IFERROR(VLOOKUP($CI13,付与!$1:$1167,COLUMN(O$1),FALSE),0),"")</f>
        <v>5</v>
      </c>
      <c r="P13" s="23">
        <f>IFERROR((VLOOKUP($C13,装備品!$1:$998,COLUMN(L$1),FALSE)+VLOOKUP($D13,素材!$1:$1016,COLUMN(I$1),FALSE))*100+IFERROR(VLOOKUP($CI13,付与!$1:$1167,COLUMN(P$1),FALSE),0),"")</f>
        <v>175</v>
      </c>
      <c r="Q13">
        <f>IFERROR(ROUNDUP(VLOOKUP($C13,装備品!$1:$998,COLUMN(M$1),FALSE)*(VLOOKUP($D13,素材!$1:$1002,COLUMN(D$1),FALSE)/100),1),"")</f>
        <v>-5</v>
      </c>
      <c r="R13">
        <f>IFERROR(ROUNDUP(VLOOKUP($C13,装備品!$1:$998,COLUMN(N$1),FALSE)*(VLOOKUP($D13,素材!$1:$1002,COLUMN(D$1),FALSE)/100),1),"")</f>
        <v>-5</v>
      </c>
      <c r="S13">
        <f>IFERROR(VLOOKUP($C13,装備品!$1:$998,COLUMN(P$1),FALSE),"")</f>
        <v>0</v>
      </c>
      <c r="T13">
        <f>IFERROR(VLOOKUP($C13,装備品!$1:$998,COLUMN(Q$1),FALSE),"")</f>
        <v>0</v>
      </c>
      <c r="U13">
        <f>IFERROR(VLOOKUP($C13,装備品!$1:$998,COLUMN(R$1),FALSE),"")</f>
        <v>-15</v>
      </c>
      <c r="V13">
        <f>IFERROR(VLOOKUP($C13,装備品!$1:$998,COLUMN(Q$1),FALSE),"")</f>
        <v>0</v>
      </c>
      <c r="W13">
        <f>IFERROR(VLOOKUP($C13,装備品!$1:$998,COLUMN(T$1),FALSE),"")</f>
        <v>0</v>
      </c>
      <c r="Y13">
        <f>IFERROR(VLOOKUP($C13,装備品!$1:$998,COLUMN(U$1),FALSE),"")</f>
        <v>0</v>
      </c>
      <c r="Z13">
        <f>IFERROR(ROUNDUP(VLOOKUP($C13,装備品!$1:$998,COLUMN(O$1),FALSE)*VLOOKUP($D13,素材!$1:$1016,COLUMN(E$1),FALSE),1),"")</f>
        <v>0</v>
      </c>
      <c r="AA13">
        <f>IF(ISNUMBER(SEARCH(SUBSTITUTE(AA$1,RIGHT(AA$1,2),""),VLOOKUP($D13,素材!$1:$1016,COLUMN($F$1),FALSE))),VLOOKUP($C13,装備品!$1:$998,COLUMN($O$1),FALSE)*VLOOKUP($D13,素材!$1:$1016,COLUMN($E$1),FALSE)/(LEN(VLOOKUP($D13,素材!$1:$1016,COLUMN($F$1),FALSE))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B13">
        <f>IF(ISNUMBER(SEARCH(SUBSTITUTE(AB$1,RIGHT(AB$1,2),""),VLOOKUP($D13,素材!$1:$1016,COLUMN($F$1),FALSE))),VLOOKUP($C13,装備品!$1:$998,COLUMN($O$1),FALSE)*VLOOKUP($D13,素材!$1:$1016,COLUMN($E$1),FALSE)/(LEN(VLOOKUP($D13,素材!$1:$1016,COLUMN($F$1),FALSE))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C13">
        <f>IF(ISNUMBER(SEARCH(SUBSTITUTE(AC$1,RIGHT(AC$1,2),""),VLOOKUP($D13,素材!$1:$1016,COLUMN($F$1),FALSE))),VLOOKUP($C13,装備品!$1:$998,COLUMN($O$1),FALSE)*VLOOKUP($D13,素材!$1:$1016,COLUMN($E$1),FALSE)/(LEN(VLOOKUP($D13,素材!$1:$1016,COLUMN($F$1),FALSE))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D13">
        <f>IF(ISNUMBER(SEARCH(SUBSTITUTE(AD$1,RIGHT(AD$1,2),""),VLOOKUP($D13,素材!$1:$1016,COLUMN($F$1),FALSE))),VLOOKUP($C13,装備品!$1:$998,COLUMN($O$1),FALSE)*VLOOKUP($D13,素材!$1:$1016,COLUMN($E$1),FALSE)/(LEN(VLOOKUP($D13,素材!$1:$1016,COLUMN($F$1),FALSE))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E13">
        <f>IF(ISNUMBER(SEARCH(SUBSTITUTE(AE$1,RIGHT(AE$1,2),""),VLOOKUP($D13,素材!$1:$1016,COLUMN($F$1),FALSE))),VLOOKUP($C13,装備品!$1:$998,COLUMN($O$1),FALSE)*VLOOKUP($D13,素材!$1:$1016,COLUMN($E$1),FALSE)/(LEN(VLOOKUP($D13,素材!$1:$1016,COLUMN($F$1),FALSE))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F13">
        <f>IF(ISNUMBER(SEARCH(SUBSTITUTE(AF$1,RIGHT(AF$1,2),""),VLOOKUP($D13,素材!$1:$1016,COLUMN($F$1),FALSE))),VLOOKUP($C13,装備品!$1:$998,COLUMN($O$1),FALSE)*VLOOKUP($D13,素材!$1:$1016,COLUMN($E$1),FALSE)/(LEN(VLOOKUP($D13,素材!$1:$1016,COLUMN($F$1),FALSE))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G13">
        <f>IF(ISNUMBER(SEARCH(SUBSTITUTE(AG$1,RIGHT(AG$1,2),""),VLOOKUP($D13,素材!$1:$1016,COLUMN($F$1),FALSE))),VLOOKUP($C13,装備品!$1:$998,COLUMN($O$1),FALSE)*VLOOKUP($D13,素材!$1:$1016,COLUMN($E$1),FALSE)/(LEN(VLOOKUP($D13,素材!$1:$1016,COLUMN($F$1),FALSE))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H13">
        <f>IF(ISNUMBER(SEARCH(SUBSTITUTE(AH$1,RIGHT(AH$1,2),""),VLOOKUP($D13,素材!$1:$1016,COLUMN($F$1),FALSE))),VLOOKUP($C13,装備品!$1:$998,COLUMN($O$1),FALSE)*VLOOKUP($D13,素材!$1:$1016,COLUMN($E$1),FALSE)/(LEN(VLOOKUP($D13,素材!$1:$1016,COLUMN($F$1),FALSE))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I13">
        <f>IF(ISNUMBER(SEARCH(SUBSTITUTE(AI$1,RIGHT(AI$1,2),""),VLOOKUP($D13,素材!$1:$1016,COLUMN($F$1),FALSE))),VLOOKUP($C13,装備品!$1:$998,COLUMN($O$1),FALSE)*VLOOKUP($D13,素材!$1:$1016,COLUMN($E$1),FALSE)/(LEN(VLOOKUP($D13,素材!$1:$1016,COLUMN($F$1),FALSE))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J13">
        <f>IF(ISNUMBER(SEARCH(SUBSTITUTE(AJ$1,RIGHT(AJ$1,2),""),VLOOKUP($D13,素材!$1:$1016,COLUMN($F$1),FALSE))),VLOOKUP($C13,装備品!$1:$998,COLUMN($O$1),FALSE)*VLOOKUP($D13,素材!$1:$1016,COLUMN($E$1),FALSE)/(LEN(VLOOKUP($D13,素材!$1:$1016,COLUMN($F$1),FALSE))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K13">
        <f>IF(ISNUMBER(SEARCH(SUBSTITUTE(AK$1,RIGHT(AK$1,2),""),VLOOKUP($D13,素材!$1:$1016,COLUMN($F$1),FALSE))),VLOOKUP($C13,装備品!$1:$998,COLUMN($O$1),FALSE)*VLOOKUP($D13,素材!$1:$1016,COLUMN($E$1),FALSE)/(LEN(VLOOKUP($D13,素材!$1:$1016,COLUMN($F$1),FALSE))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L13">
        <f>IF(ISNUMBER(SEARCH(SUBSTITUTE(AL$1,RIGHT(AL$1,2),""),VLOOKUP($D13,素材!$1:$1016,COLUMN($F$1),FALSE))),VLOOKUP($C13,装備品!$1:$998,COLUMN($O$1),FALSE)*VLOOKUP($D13,素材!$1:$1016,COLUMN($E$1),FALSE)/(LEN(VLOOKUP($D13,素材!$1:$1016,COLUMN($F$1),FALSE))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M13">
        <f>IF(ISNUMBER(SEARCH(SUBSTITUTE(AM$1,RIGHT(AM$1,2),""),VLOOKUP($D13,素材!$1:$1016,COLUMN($F$1),FALSE))),VLOOKUP($C13,装備品!$1:$998,COLUMN($O$1),FALSE)*VLOOKUP($D13,素材!$1:$1016,COLUMN($E$1),FALSE)/(LEN(VLOOKUP($D13,素材!$1:$1016,COLUMN($F$1),FALSE))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N13">
        <f>IF(ISNUMBER(SEARCH(SUBSTITUTE(AN$1,RIGHT(AN$1,2),""),VLOOKUP($D13,素材!$1:$1016,COLUMN($F$1),FALSE))),VLOOKUP($C13,装備品!$1:$998,COLUMN($O$1),FALSE)*VLOOKUP($D13,素材!$1:$1016,COLUMN($E$1),FALSE)/(LEN(VLOOKUP($D13,素材!$1:$1016,COLUMN($F$1),FALSE))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O13">
        <f>IF(ISNUMBER(SEARCH(SUBSTITUTE(AO$1,RIGHT(AO$1,2),""),VLOOKUP($D13,素材!$1:$1016,COLUMN($F$1),FALSE))),VLOOKUP($C13,装備品!$1:$998,COLUMN($O$1),FALSE)*VLOOKUP($D13,素材!$1:$1016,COLUMN($E$1),FALSE)/(LEN(VLOOKUP($D13,素材!$1:$1016,COLUMN($F$1),FALSE))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P13">
        <f>IF(ISNUMBER(SEARCH(SUBSTITUTE(AP$1,RIGHT(AP$1,2),""),VLOOKUP($D13,素材!$1:$1016,COLUMN($F$1),FALSE))),VLOOKUP($C13,装備品!$1:$998,COLUMN($O$1),FALSE)*VLOOKUP($D13,素材!$1:$1016,COLUMN($E$1),FALSE)/(LEN(VLOOKUP($D13,素材!$1:$1016,COLUMN($F$1),FALSE))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Q13">
        <f>IF(ISNUMBER(SEARCH(SUBSTITUTE(AQ$1,RIGHT(AQ$1,2),""),VLOOKUP($D13,素材!$1:$1016,COLUMN($F$1),FALSE))),VLOOKUP($C13,装備品!$1:$998,COLUMN($O$1),FALSE)*VLOOKUP($D13,素材!$1:$1016,COLUMN($E$1),FALSE)/(LEN(VLOOKUP($D13,素材!$1:$1016,COLUMN($F$1),FALSE))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R13">
        <f>IF(ISNUMBER(SEARCH(SUBSTITUTE(AR$1,RIGHT(AR$1,2),""),VLOOKUP($D13,素材!$1:$1016,COLUMN($F$1),FALSE))),VLOOKUP($C13,装備品!$1:$998,COLUMN($O$1),FALSE)*VLOOKUP($D13,素材!$1:$1016,COLUMN($E$1),FALSE)/(LEN(VLOOKUP($D13,素材!$1:$1016,COLUMN($F$1),FALSE))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S13">
        <f>IF(ISNUMBER(SEARCH(SUBSTITUTE(AS$1,RIGHT(AS$1,2),""),VLOOKUP($D13,素材!$1:$1016,COLUMN($F$1),FALSE))),VLOOKUP($C13,装備品!$1:$998,COLUMN($O$1),FALSE)*VLOOKUP($D13,素材!$1:$1016,COLUMN($E$1),FALSE)/(LEN(VLOOKUP($D13,素材!$1:$1016,COLUMN($F$1),FALSE))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T13">
        <f>IF(ISNUMBER(SEARCH(SUBSTITUTE(AT$1,RIGHT(AT$1,2),""),VLOOKUP($D13,素材!$1:$1016,COLUMN($F$1),FALSE))),VLOOKUP($C13,装備品!$1:$998,COLUMN($O$1),FALSE)*VLOOKUP($D13,素材!$1:$1016,COLUMN($E$1),FALSE)/(LEN(VLOOKUP($D13,素材!$1:$1016,COLUMN($F$1),FALSE))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U13">
        <f>IF(ISNUMBER(SEARCH(SUBSTITUTE(AU$1,RIGHT(AU$1,2),""),VLOOKUP($D13,素材!$1:$1016,COLUMN($F$1),FALSE))),VLOOKUP($C13,装備品!$1:$998,COLUMN($O$1),FALSE)*VLOOKUP($D13,素材!$1:$1016,COLUMN($E$1),FALSE)/(LEN(VLOOKUP($D13,素材!$1:$1016,COLUMN($F$1),FALSE))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V13">
        <f>IF(ISNUMBER(SEARCH(SUBSTITUTE(AV$1,RIGHT(AV$1,2),""),VLOOKUP($D13,素材!$1:$1016,COLUMN($F$1),FALSE))),VLOOKUP($C13,装備品!$1:$998,COLUMN($O$1),FALSE)*VLOOKUP($D13,素材!$1:$1016,COLUMN($E$1),FALSE)/(LEN(VLOOKUP($D13,素材!$1:$1016,COLUMN($F$1),FALSE))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W13">
        <f>IF(ISNUMBER(SEARCH(SUBSTITUTE(AW$1,RIGHT(AW$1,2),""),VLOOKUP($D13,素材!$1:$1016,COLUMN($F$1),FALSE))),VLOOKUP($C13,装備品!$1:$998,COLUMN($O$1),FALSE)*VLOOKUP($D13,素材!$1:$1016,COLUMN($E$1),FALSE)/(LEN(VLOOKUP($D13,素材!$1:$1016,COLUMN($F$1),FALSE))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X13">
        <f>IF(ISNUMBER(SEARCH(SUBSTITUTE(AX$1,RIGHT(AX$1,2),""),VLOOKUP($D13,素材!$1:$1016,COLUMN($F$1),FALSE))),VLOOKUP($C13,装備品!$1:$998,COLUMN($O$1),FALSE)*VLOOKUP($D13,素材!$1:$1016,COLUMN($E$1),FALSE)/(LEN(VLOOKUP($D13,素材!$1:$1016,COLUMN($F$1),FALSE))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Y13">
        <f>IF(ISNUMBER(SEARCH(SUBSTITUTE(AY$1,RIGHT(AY$1,2),""),VLOOKUP($D13,素材!$1:$1016,COLUMN($F$1),FALSE))),VLOOKUP($C13,装備品!$1:$998,COLUMN($O$1),FALSE)*VLOOKUP($D13,素材!$1:$1016,COLUMN($E$1),FALSE)/(LEN(VLOOKUP($D13,素材!$1:$1016,COLUMN($F$1),FALSE))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Z13">
        <f>IF(ISNUMBER(SEARCH(SUBSTITUTE(AZ$1,RIGHT(AZ$1,2),""),VLOOKUP($D13,素材!$1:$1016,COLUMN($F$1),FALSE))),VLOOKUP($C13,装備品!$1:$998,COLUMN($O$1),FALSE)*VLOOKUP($D13,素材!$1:$1016,COLUMN($E$1),FALSE)/(LEN(VLOOKUP($D13,素材!$1:$1016,COLUMN($F$1),FALSE))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BA13">
        <f>IF(ISNUMBER(SEARCH(SUBSTITUTE(BA$1,RIGHT(BA$1,2),""),VLOOKUP($D13,素材!$1:$1016,COLUMN($F$1),FALSE))),VLOOKUP($C13,装備品!$1:$998,COLUMN($O$1),FALSE)*VLOOKUP($D13,素材!$1:$1016,COLUMN($E$1),FALSE)/(LEN(VLOOKUP($D13,素材!$1:$1016,COLUMN($F$1),FALSE))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BB13">
        <f>IF(ISNUMBER(SEARCH(SUBSTITUTE(BB$1,RIGHT(BB$1,2),""),VLOOKUP($D13,素材!$1:$1016,COLUMN($F$1),FALSE))),VLOOKUP($C13,装備品!$1:$998,COLUMN($O$1),FALSE)*VLOOKUP($D13,素材!$1:$1016,COLUMN($E$1),FALSE)/(LEN(VLOOKUP($D13,素材!$1:$1016,COLUMN($F$1),FALSE))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BC13">
        <f>IF(ISNUMBER(SEARCH(SUBSTITUTE(BC$1,RIGHT(BC$1,2),""),VLOOKUP($D13,素材!$1:$1016,COLUMN($F$1),FALSE))),VLOOKUP($C13,装備品!$1:$998,COLUMN($O$1),FALSE)*VLOOKUP($D13,素材!$1:$1016,COLUMN($E$1),FALSE)/(LEN(VLOOKUP($D13,素材!$1:$1016,COLUMN($F$1),FALSE))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BD13">
        <f>IF(ISNUMBER(SEARCH(SUBSTITUTE(BD$1,RIGHT(BD$1,2),""),VLOOKUP($D13,素材!$1:$1016,COLUMN($F$1),FALSE))),VLOOKUP($C13,装備品!$1:$998,COLUMN($O$1),FALSE)*VLOOKUP($D13,素材!$1:$1016,COLUMN($E$1),FALSE)/(LEN(VLOOKUP($D13,素材!$1:$1016,COLUMN($F$1),FALSE))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BE13">
        <f>IF(ISNUMBER(SEARCH(SUBSTITUTE(BE$1,RIGHT(BE$1,2),""),VLOOKUP($D13,素材!$1:$1016,COLUMN($F$1),FALSE))),VLOOKUP($C13,装備品!$1:$998,COLUMN($O$1),FALSE)*VLOOKUP($D13,素材!$1:$1016,COLUMN($E$1),FALSE)/(LEN(VLOOKUP($D13,素材!$1:$1016,COLUMN($F$1),FALSE))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CL13">
        <f t="shared" si="1"/>
        <v>28</v>
      </c>
      <c r="CM13" s="22" t="str">
        <f t="shared" si="2"/>
        <v>貫通.webp</v>
      </c>
      <c r="CN13">
        <f>IFERROR(VLOOKUP($C13,装備品!$1:$998,COLUMN(V$1),FALSE)*VLOOKUP($D13,素材!$1:$1016,COLUMN(N$1),FALSE)+IF(CI13="",0,VLOOKUP($CI13,付与!$1:$1176,COLUMN($CK$1),FALSE)),"")</f>
        <v>0</v>
      </c>
      <c r="CO13" t="str">
        <f>VLOOKUP(D13,素材!$A:$O,COLUMN(素材!O$1),FALSE)</f>
        <v>一般的な鉄。量産品を作るのに使用されることが多い</v>
      </c>
      <c r="CP13" t="str">
        <f>VLOOKUP(C13,装備品!$A:$AB,COLUMN(装備品!AB$1),FALSE)</f>
        <v>騎士槍。突撃に特化した武器で、高い攻撃力を誇る。</v>
      </c>
      <c r="CR13" t="str">
        <f t="shared" si="3"/>
        <v>e_13</v>
      </c>
      <c r="CS13">
        <f t="shared" si="4"/>
        <v>0</v>
      </c>
    </row>
    <row r="14" spans="1:97" outlineLevel="1" x14ac:dyDescent="0.4">
      <c r="A14" t="str">
        <f t="shared" si="0"/>
        <v>鉄の斧槍</v>
      </c>
      <c r="B14" t="str">
        <f>IFERROR(VLOOKUP($D14,素材!$1:$1016,COLUMN($B$1),FALSE)&amp;"・"&amp;VLOOKUP($C14,装備品!$1:$998,COLUMN(B$1),FALSE),"")</f>
        <v>アイアン・ハルバート</v>
      </c>
      <c r="C14" s="24" t="s">
        <v>230</v>
      </c>
      <c r="D14" s="24" t="s">
        <v>256</v>
      </c>
      <c r="E14" t="str">
        <f>IFERROR(VLOOKUP(C14,装備品!$1:$998,COLUMN(C$1),FALSE),"")</f>
        <v>武器</v>
      </c>
      <c r="F14">
        <f>IFERROR(ROUNDDOWN((VLOOKUP($C14,装備品!$1:$998,COLUMN(D$1),FALSE)+IFERROR(VLOOKUP($CI14,付与!$1:$1167,COLUMN(F$1),FALSE),0))*VLOOKUP($D14,素材!$1:$1016,COLUMN(D$1),FALSE),0),"")</f>
        <v>110</v>
      </c>
      <c r="G14">
        <f>IFERROR(ROUNDDOWN((VLOOKUP($C14,装備品!$1:$998,COLUMN(E$1),FALSE)+IFERROR(VLOOKUP($CI14,付与!$1:$1167,COLUMN(G$1),FALSE),0))*VLOOKUP($D14,素材!$1:$1016,COLUMN($E$1),FALSE),0),"")</f>
        <v>8</v>
      </c>
      <c r="H14">
        <f>IFERROR(ROUNDDOWN((VLOOKUP($C14,装備品!$1:$998,COLUMN(F$1),FALSE)+IFERROR(VLOOKUP($CI14,付与!$1:$1167,COLUMN(H$1),FALSE),0))*VLOOKUP($D14,素材!$1:$1016,COLUMN($E$1),FALSE),0),"")</f>
        <v>10</v>
      </c>
      <c r="I14">
        <f>IFERROR(ROUNDDOWN((VLOOKUP($C14,装備品!$1:$998,COLUMN(G$1),FALSE)+IFERROR(VLOOKUP($CI14,付与!$1:$1167,COLUMN(I$1),FALSE),0))*VLOOKUP($D14,素材!$1:$1016,COLUMN($E$1),FALSE),0),"")</f>
        <v>6</v>
      </c>
      <c r="J14">
        <f>IFERROR(ROUNDDOWN((VLOOKUP($C14,装備品!$1:$998,COLUMN(H$1),FALSE)+IFERROR(VLOOKUP($CI14,付与!$1:$1167,COLUMN(J$1),FALSE),0))*VLOOKUP($D14,素材!$1:$1016,COLUMN($E$1),FALSE),0),"")</f>
        <v>19</v>
      </c>
      <c r="K14">
        <f>IFERROR(ROUNDDOWN((VLOOKUP($C14,装備品!$1:$998,COLUMN(I$1),FALSE)+IFERROR(VLOOKUP($CI14,付与!$1:$1167,COLUMN(K$1),FALSE),0))*VLOOKUP($D14,素材!$1:$1016,COLUMN($E$1),FALSE),0),"")</f>
        <v>0</v>
      </c>
      <c r="L14">
        <f>IFERROR(VLOOKUP($D14,素材!$1:$1016,COLUMN($F$1),FALSE),"")</f>
        <v>0</v>
      </c>
      <c r="M14">
        <f>IFERROR(VLOOKUP($C14,装備品!$1:$998,COLUMN(AA$1),FALSE)*VLOOKUP($D14,素材!$1:$1016,COLUMN($G$1),FALSE),"")</f>
        <v>0</v>
      </c>
      <c r="N14">
        <f>IFERROR(VLOOKUP($C14,装備品!$1:$998,COLUMN(I$1),FALSE),"")</f>
        <v>0</v>
      </c>
      <c r="O14" s="23">
        <f>IFERROR((VLOOKUP($C14,装備品!$1:$998,COLUMN(K$1),FALSE)+VLOOKUP($D14,素材!$1:$1016,COLUMN(H$1),FALSE))*100+IFERROR(VLOOKUP($CI14,付与!$1:$1167,COLUMN(O$1),FALSE),0),"")</f>
        <v>10</v>
      </c>
      <c r="P14" s="23">
        <f>IFERROR((VLOOKUP($C14,装備品!$1:$998,COLUMN(L$1),FALSE)+VLOOKUP($D14,素材!$1:$1016,COLUMN(I$1),FALSE))*100+IFERROR(VLOOKUP($CI14,付与!$1:$1167,COLUMN(P$1),FALSE),0),"")</f>
        <v>150</v>
      </c>
      <c r="Q14">
        <f>IFERROR(ROUNDUP(VLOOKUP($C14,装備品!$1:$998,COLUMN(M$1),FALSE)*(VLOOKUP($D14,素材!$1:$1002,COLUMN(D$1),FALSE)/100),1),"")</f>
        <v>-5</v>
      </c>
      <c r="R14">
        <f>IFERROR(ROUNDUP(VLOOKUP($C14,装備品!$1:$998,COLUMN(N$1),FALSE)*(VLOOKUP($D14,素材!$1:$1002,COLUMN(D$1),FALSE)/100),1),"")</f>
        <v>-5</v>
      </c>
      <c r="S14">
        <f>IFERROR(VLOOKUP($C14,装備品!$1:$998,COLUMN(P$1),FALSE),"")</f>
        <v>0</v>
      </c>
      <c r="T14">
        <f>IFERROR(VLOOKUP($C14,装備品!$1:$998,COLUMN(Q$1),FALSE),"")</f>
        <v>0</v>
      </c>
      <c r="U14">
        <f>IFERROR(VLOOKUP($C14,装備品!$1:$998,COLUMN(R$1),FALSE),"")</f>
        <v>0</v>
      </c>
      <c r="V14">
        <f>IFERROR(VLOOKUP($C14,装備品!$1:$998,COLUMN(Q$1),FALSE),"")</f>
        <v>0</v>
      </c>
      <c r="W14">
        <f>IFERROR(VLOOKUP($C14,装備品!$1:$998,COLUMN(T$1),FALSE),"")</f>
        <v>0</v>
      </c>
      <c r="Y14">
        <f>IFERROR(VLOOKUP($C14,装備品!$1:$998,COLUMN(U$1),FALSE),"")</f>
        <v>0</v>
      </c>
      <c r="Z14">
        <f>IFERROR(ROUNDUP(VLOOKUP($C14,装備品!$1:$998,COLUMN(O$1),FALSE)*VLOOKUP($D14,素材!$1:$1016,COLUMN(E$1),FALSE),1),"")</f>
        <v>0</v>
      </c>
      <c r="AA14">
        <f>IF(ISNUMBER(SEARCH(SUBSTITUTE(AA$1,RIGHT(AA$1,2),""),VLOOKUP($D14,素材!$1:$1016,COLUMN($F$1),FALSE))),VLOOKUP($C14,装備品!$1:$998,COLUMN($O$1),FALSE)*VLOOKUP($D14,素材!$1:$1016,COLUMN($E$1),FALSE)/(LEN(VLOOKUP($D14,素材!$1:$1016,COLUMN($F$1),FALSE))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B14">
        <f>IF(ISNUMBER(SEARCH(SUBSTITUTE(AB$1,RIGHT(AB$1,2),""),VLOOKUP($D14,素材!$1:$1016,COLUMN($F$1),FALSE))),VLOOKUP($C14,装備品!$1:$998,COLUMN($O$1),FALSE)*VLOOKUP($D14,素材!$1:$1016,COLUMN($E$1),FALSE)/(LEN(VLOOKUP($D14,素材!$1:$1016,COLUMN($F$1),FALSE))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C14">
        <f>IF(ISNUMBER(SEARCH(SUBSTITUTE(AC$1,RIGHT(AC$1,2),""),VLOOKUP($D14,素材!$1:$1016,COLUMN($F$1),FALSE))),VLOOKUP($C14,装備品!$1:$998,COLUMN($O$1),FALSE)*VLOOKUP($D14,素材!$1:$1016,COLUMN($E$1),FALSE)/(LEN(VLOOKUP($D14,素材!$1:$1016,COLUMN($F$1),FALSE))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D14">
        <f>IF(ISNUMBER(SEARCH(SUBSTITUTE(AD$1,RIGHT(AD$1,2),""),VLOOKUP($D14,素材!$1:$1016,COLUMN($F$1),FALSE))),VLOOKUP($C14,装備品!$1:$998,COLUMN($O$1),FALSE)*VLOOKUP($D14,素材!$1:$1016,COLUMN($E$1),FALSE)/(LEN(VLOOKUP($D14,素材!$1:$1016,COLUMN($F$1),FALSE))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E14">
        <f>IF(ISNUMBER(SEARCH(SUBSTITUTE(AE$1,RIGHT(AE$1,2),""),VLOOKUP($D14,素材!$1:$1016,COLUMN($F$1),FALSE))),VLOOKUP($C14,装備品!$1:$998,COLUMN($O$1),FALSE)*VLOOKUP($D14,素材!$1:$1016,COLUMN($E$1),FALSE)/(LEN(VLOOKUP($D14,素材!$1:$1016,COLUMN($F$1),FALSE))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F14">
        <f>IF(ISNUMBER(SEARCH(SUBSTITUTE(AF$1,RIGHT(AF$1,2),""),VLOOKUP($D14,素材!$1:$1016,COLUMN($F$1),FALSE))),VLOOKUP($C14,装備品!$1:$998,COLUMN($O$1),FALSE)*VLOOKUP($D14,素材!$1:$1016,COLUMN($E$1),FALSE)/(LEN(VLOOKUP($D14,素材!$1:$1016,COLUMN($F$1),FALSE))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G14">
        <f>IF(ISNUMBER(SEARCH(SUBSTITUTE(AG$1,RIGHT(AG$1,2),""),VLOOKUP($D14,素材!$1:$1016,COLUMN($F$1),FALSE))),VLOOKUP($C14,装備品!$1:$998,COLUMN($O$1),FALSE)*VLOOKUP($D14,素材!$1:$1016,COLUMN($E$1),FALSE)/(LEN(VLOOKUP($D14,素材!$1:$1016,COLUMN($F$1),FALSE))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H14">
        <f>IF(ISNUMBER(SEARCH(SUBSTITUTE(AH$1,RIGHT(AH$1,2),""),VLOOKUP($D14,素材!$1:$1016,COLUMN($F$1),FALSE))),VLOOKUP($C14,装備品!$1:$998,COLUMN($O$1),FALSE)*VLOOKUP($D14,素材!$1:$1016,COLUMN($E$1),FALSE)/(LEN(VLOOKUP($D14,素材!$1:$1016,COLUMN($F$1),FALSE))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I14">
        <f>IF(ISNUMBER(SEARCH(SUBSTITUTE(AI$1,RIGHT(AI$1,2),""),VLOOKUP($D14,素材!$1:$1016,COLUMN($F$1),FALSE))),VLOOKUP($C14,装備品!$1:$998,COLUMN($O$1),FALSE)*VLOOKUP($D14,素材!$1:$1016,COLUMN($E$1),FALSE)/(LEN(VLOOKUP($D14,素材!$1:$1016,COLUMN($F$1),FALSE))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J14">
        <f>IF(ISNUMBER(SEARCH(SUBSTITUTE(AJ$1,RIGHT(AJ$1,2),""),VLOOKUP($D14,素材!$1:$1016,COLUMN($F$1),FALSE))),VLOOKUP($C14,装備品!$1:$998,COLUMN($O$1),FALSE)*VLOOKUP($D14,素材!$1:$1016,COLUMN($E$1),FALSE)/(LEN(VLOOKUP($D14,素材!$1:$1016,COLUMN($F$1),FALSE))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K14">
        <f>IF(ISNUMBER(SEARCH(SUBSTITUTE(AK$1,RIGHT(AK$1,2),""),VLOOKUP($D14,素材!$1:$1016,COLUMN($F$1),FALSE))),VLOOKUP($C14,装備品!$1:$998,COLUMN($O$1),FALSE)*VLOOKUP($D14,素材!$1:$1016,COLUMN($E$1),FALSE)/(LEN(VLOOKUP($D14,素材!$1:$1016,COLUMN($F$1),FALSE))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L14">
        <f>IF(ISNUMBER(SEARCH(SUBSTITUTE(AL$1,RIGHT(AL$1,2),""),VLOOKUP($D14,素材!$1:$1016,COLUMN($F$1),FALSE))),VLOOKUP($C14,装備品!$1:$998,COLUMN($O$1),FALSE)*VLOOKUP($D14,素材!$1:$1016,COLUMN($E$1),FALSE)/(LEN(VLOOKUP($D14,素材!$1:$1016,COLUMN($F$1),FALSE))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M14">
        <f>IF(ISNUMBER(SEARCH(SUBSTITUTE(AM$1,RIGHT(AM$1,2),""),VLOOKUP($D14,素材!$1:$1016,COLUMN($F$1),FALSE))),VLOOKUP($C14,装備品!$1:$998,COLUMN($O$1),FALSE)*VLOOKUP($D14,素材!$1:$1016,COLUMN($E$1),FALSE)/(LEN(VLOOKUP($D14,素材!$1:$1016,COLUMN($F$1),FALSE))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N14">
        <f>IF(ISNUMBER(SEARCH(SUBSTITUTE(AN$1,RIGHT(AN$1,2),""),VLOOKUP($D14,素材!$1:$1016,COLUMN($F$1),FALSE))),VLOOKUP($C14,装備品!$1:$998,COLUMN($O$1),FALSE)*VLOOKUP($D14,素材!$1:$1016,COLUMN($E$1),FALSE)/(LEN(VLOOKUP($D14,素材!$1:$1016,COLUMN($F$1),FALSE))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O14">
        <f>IF(ISNUMBER(SEARCH(SUBSTITUTE(AO$1,RIGHT(AO$1,2),""),VLOOKUP($D14,素材!$1:$1016,COLUMN($F$1),FALSE))),VLOOKUP($C14,装備品!$1:$998,COLUMN($O$1),FALSE)*VLOOKUP($D14,素材!$1:$1016,COLUMN($E$1),FALSE)/(LEN(VLOOKUP($D14,素材!$1:$1016,COLUMN($F$1),FALSE))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P14">
        <f>IF(ISNUMBER(SEARCH(SUBSTITUTE(AP$1,RIGHT(AP$1,2),""),VLOOKUP($D14,素材!$1:$1016,COLUMN($F$1),FALSE))),VLOOKUP($C14,装備品!$1:$998,COLUMN($O$1),FALSE)*VLOOKUP($D14,素材!$1:$1016,COLUMN($E$1),FALSE)/(LEN(VLOOKUP($D14,素材!$1:$1016,COLUMN($F$1),FALSE))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Q14">
        <f>IF(ISNUMBER(SEARCH(SUBSTITUTE(AQ$1,RIGHT(AQ$1,2),""),VLOOKUP($D14,素材!$1:$1016,COLUMN($F$1),FALSE))),VLOOKUP($C14,装備品!$1:$998,COLUMN($O$1),FALSE)*VLOOKUP($D14,素材!$1:$1016,COLUMN($E$1),FALSE)/(LEN(VLOOKUP($D14,素材!$1:$1016,COLUMN($F$1),FALSE))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R14">
        <f>IF(ISNUMBER(SEARCH(SUBSTITUTE(AR$1,RIGHT(AR$1,2),""),VLOOKUP($D14,素材!$1:$1016,COLUMN($F$1),FALSE))),VLOOKUP($C14,装備品!$1:$998,COLUMN($O$1),FALSE)*VLOOKUP($D14,素材!$1:$1016,COLUMN($E$1),FALSE)/(LEN(VLOOKUP($D14,素材!$1:$1016,COLUMN($F$1),FALSE))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S14">
        <f>IF(ISNUMBER(SEARCH(SUBSTITUTE(AS$1,RIGHT(AS$1,2),""),VLOOKUP($D14,素材!$1:$1016,COLUMN($F$1),FALSE))),VLOOKUP($C14,装備品!$1:$998,COLUMN($O$1),FALSE)*VLOOKUP($D14,素材!$1:$1016,COLUMN($E$1),FALSE)/(LEN(VLOOKUP($D14,素材!$1:$1016,COLUMN($F$1),FALSE))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T14">
        <f>IF(ISNUMBER(SEARCH(SUBSTITUTE(AT$1,RIGHT(AT$1,2),""),VLOOKUP($D14,素材!$1:$1016,COLUMN($F$1),FALSE))),VLOOKUP($C14,装備品!$1:$998,COLUMN($O$1),FALSE)*VLOOKUP($D14,素材!$1:$1016,COLUMN($E$1),FALSE)/(LEN(VLOOKUP($D14,素材!$1:$1016,COLUMN($F$1),FALSE))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U14">
        <f>IF(ISNUMBER(SEARCH(SUBSTITUTE(AU$1,RIGHT(AU$1,2),""),VLOOKUP($D14,素材!$1:$1016,COLUMN($F$1),FALSE))),VLOOKUP($C14,装備品!$1:$998,COLUMN($O$1),FALSE)*VLOOKUP($D14,素材!$1:$1016,COLUMN($E$1),FALSE)/(LEN(VLOOKUP($D14,素材!$1:$1016,COLUMN($F$1),FALSE))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V14">
        <f>IF(ISNUMBER(SEARCH(SUBSTITUTE(AV$1,RIGHT(AV$1,2),""),VLOOKUP($D14,素材!$1:$1016,COLUMN($F$1),FALSE))),VLOOKUP($C14,装備品!$1:$998,COLUMN($O$1),FALSE)*VLOOKUP($D14,素材!$1:$1016,COLUMN($E$1),FALSE)/(LEN(VLOOKUP($D14,素材!$1:$1016,COLUMN($F$1),FALSE))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W14">
        <f>IF(ISNUMBER(SEARCH(SUBSTITUTE(AW$1,RIGHT(AW$1,2),""),VLOOKUP($D14,素材!$1:$1016,COLUMN($F$1),FALSE))),VLOOKUP($C14,装備品!$1:$998,COLUMN($O$1),FALSE)*VLOOKUP($D14,素材!$1:$1016,COLUMN($E$1),FALSE)/(LEN(VLOOKUP($D14,素材!$1:$1016,COLUMN($F$1),FALSE))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X14">
        <f>IF(ISNUMBER(SEARCH(SUBSTITUTE(AX$1,RIGHT(AX$1,2),""),VLOOKUP($D14,素材!$1:$1016,COLUMN($F$1),FALSE))),VLOOKUP($C14,装備品!$1:$998,COLUMN($O$1),FALSE)*VLOOKUP($D14,素材!$1:$1016,COLUMN($E$1),FALSE)/(LEN(VLOOKUP($D14,素材!$1:$1016,COLUMN($F$1),FALSE))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Y14">
        <f>IF(ISNUMBER(SEARCH(SUBSTITUTE(AY$1,RIGHT(AY$1,2),""),VLOOKUP($D14,素材!$1:$1016,COLUMN($F$1),FALSE))),VLOOKUP($C14,装備品!$1:$998,COLUMN($O$1),FALSE)*VLOOKUP($D14,素材!$1:$1016,COLUMN($E$1),FALSE)/(LEN(VLOOKUP($D14,素材!$1:$1016,COLUMN($F$1),FALSE))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Z14">
        <f>IF(ISNUMBER(SEARCH(SUBSTITUTE(AZ$1,RIGHT(AZ$1,2),""),VLOOKUP($D14,素材!$1:$1016,COLUMN($F$1),FALSE))),VLOOKUP($C14,装備品!$1:$998,COLUMN($O$1),FALSE)*VLOOKUP($D14,素材!$1:$1016,COLUMN($E$1),FALSE)/(LEN(VLOOKUP($D14,素材!$1:$1016,COLUMN($F$1),FALSE))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BA14">
        <f>IF(ISNUMBER(SEARCH(SUBSTITUTE(BA$1,RIGHT(BA$1,2),""),VLOOKUP($D14,素材!$1:$1016,COLUMN($F$1),FALSE))),VLOOKUP($C14,装備品!$1:$998,COLUMN($O$1),FALSE)*VLOOKUP($D14,素材!$1:$1016,COLUMN($E$1),FALSE)/(LEN(VLOOKUP($D14,素材!$1:$1016,COLUMN($F$1),FALSE))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BB14">
        <f>IF(ISNUMBER(SEARCH(SUBSTITUTE(BB$1,RIGHT(BB$1,2),""),VLOOKUP($D14,素材!$1:$1016,COLUMN($F$1),FALSE))),VLOOKUP($C14,装備品!$1:$998,COLUMN($O$1),FALSE)*VLOOKUP($D14,素材!$1:$1016,COLUMN($E$1),FALSE)/(LEN(VLOOKUP($D14,素材!$1:$1016,COLUMN($F$1),FALSE))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BC14">
        <f>IF(ISNUMBER(SEARCH(SUBSTITUTE(BC$1,RIGHT(BC$1,2),""),VLOOKUP($D14,素材!$1:$1016,COLUMN($F$1),FALSE))),VLOOKUP($C14,装備品!$1:$998,COLUMN($O$1),FALSE)*VLOOKUP($D14,素材!$1:$1016,COLUMN($E$1),FALSE)/(LEN(VLOOKUP($D14,素材!$1:$1016,COLUMN($F$1),FALSE))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BD14">
        <f>IF(ISNUMBER(SEARCH(SUBSTITUTE(BD$1,RIGHT(BD$1,2),""),VLOOKUP($D14,素材!$1:$1016,COLUMN($F$1),FALSE))),VLOOKUP($C14,装備品!$1:$998,COLUMN($O$1),FALSE)*VLOOKUP($D14,素材!$1:$1016,COLUMN($E$1),FALSE)/(LEN(VLOOKUP($D14,素材!$1:$1016,COLUMN($F$1),FALSE))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BE14">
        <f>IF(ISNUMBER(SEARCH(SUBSTITUTE(BE$1,RIGHT(BE$1,2),""),VLOOKUP($D14,素材!$1:$1016,COLUMN($F$1),FALSE))),VLOOKUP($C14,装備品!$1:$998,COLUMN($O$1),FALSE)*VLOOKUP($D14,素材!$1:$1016,COLUMN($E$1),FALSE)/(LEN(VLOOKUP($D14,素材!$1:$1016,COLUMN($F$1),FALSE))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CL14">
        <f t="shared" si="1"/>
        <v>24</v>
      </c>
      <c r="CM14" s="22" t="str">
        <f t="shared" si="2"/>
        <v>貫通.webp</v>
      </c>
      <c r="CN14">
        <f>IFERROR(VLOOKUP($C14,装備品!$1:$998,COLUMN(V$1),FALSE)*VLOOKUP($D14,素材!$1:$1016,COLUMN(N$1),FALSE)+IF(CI14="",0,VLOOKUP($CI14,付与!$1:$1176,COLUMN($CK$1),FALSE)),"")</f>
        <v>0</v>
      </c>
      <c r="CO14" t="str">
        <f>VLOOKUP(D14,素材!$A:$O,COLUMN(素材!O$1),FALSE)</f>
        <v>一般的な鉄。量産品を作るのに使用されることが多い</v>
      </c>
      <c r="CP14" t="str">
        <f>VLOOKUP(C14,装備品!$A:$AB,COLUMN(装備品!AB$1),FALSE)</f>
        <v>斧槍。全力時に威力が高く斬撃と突撃の両方に対応できる武器。</v>
      </c>
      <c r="CR14" t="str">
        <f t="shared" si="3"/>
        <v>e_14</v>
      </c>
      <c r="CS14">
        <f t="shared" si="4"/>
        <v>0</v>
      </c>
    </row>
    <row r="15" spans="1:97" outlineLevel="1" x14ac:dyDescent="0.4">
      <c r="A15" t="str">
        <f t="shared" si="0"/>
        <v>鉄の棍棒</v>
      </c>
      <c r="B15" t="str">
        <f>IFERROR(VLOOKUP($D15,素材!$1:$1016,COLUMN($B$1),FALSE)&amp;"・"&amp;VLOOKUP($C15,装備品!$1:$998,COLUMN(B$1),FALSE),"")</f>
        <v>アイアン・クラブ</v>
      </c>
      <c r="C15" s="24" t="s">
        <v>229</v>
      </c>
      <c r="D15" s="24" t="s">
        <v>256</v>
      </c>
      <c r="E15" t="str">
        <f>IFERROR(VLOOKUP(C15,装備品!$1:$998,COLUMN(C$1),FALSE),"")</f>
        <v>武器</v>
      </c>
      <c r="F15">
        <f>IFERROR(ROUNDDOWN((VLOOKUP($C15,装備品!$1:$998,COLUMN(D$1),FALSE)+IFERROR(VLOOKUP($CI15,付与!$1:$1167,COLUMN(F$1),FALSE),0))*VLOOKUP($D15,素材!$1:$1016,COLUMN(D$1),FALSE),0),"")</f>
        <v>105</v>
      </c>
      <c r="G15">
        <f>IFERROR(ROUNDDOWN((VLOOKUP($C15,装備品!$1:$998,COLUMN(E$1),FALSE)+IFERROR(VLOOKUP($CI15,付与!$1:$1167,COLUMN(G$1),FALSE),0))*VLOOKUP($D15,素材!$1:$1016,COLUMN($E$1),FALSE),0),"")</f>
        <v>2</v>
      </c>
      <c r="H15">
        <f>IFERROR(ROUNDDOWN((VLOOKUP($C15,装備品!$1:$998,COLUMN(F$1),FALSE)+IFERROR(VLOOKUP($CI15,付与!$1:$1167,COLUMN(H$1),FALSE),0))*VLOOKUP($D15,素材!$1:$1016,COLUMN($E$1),FALSE),0),"")</f>
        <v>0</v>
      </c>
      <c r="I15">
        <f>IFERROR(ROUNDDOWN((VLOOKUP($C15,装備品!$1:$998,COLUMN(G$1),FALSE)+IFERROR(VLOOKUP($CI15,付与!$1:$1167,COLUMN(I$1),FALSE),0))*VLOOKUP($D15,素材!$1:$1016,COLUMN($E$1),FALSE),0),"")</f>
        <v>20</v>
      </c>
      <c r="J15">
        <f>IFERROR(ROUNDDOWN((VLOOKUP($C15,装備品!$1:$998,COLUMN(H$1),FALSE)+IFERROR(VLOOKUP($CI15,付与!$1:$1167,COLUMN(J$1),FALSE),0))*VLOOKUP($D15,素材!$1:$1016,COLUMN($E$1),FALSE),0),"")</f>
        <v>19</v>
      </c>
      <c r="K15">
        <f>IFERROR(ROUNDDOWN((VLOOKUP($C15,装備品!$1:$998,COLUMN(I$1),FALSE)+IFERROR(VLOOKUP($CI15,付与!$1:$1167,COLUMN(K$1),FALSE),0))*VLOOKUP($D15,素材!$1:$1016,COLUMN($E$1),FALSE),0),"")</f>
        <v>0</v>
      </c>
      <c r="L15">
        <f>IFERROR(VLOOKUP($D15,素材!$1:$1016,COLUMN($F$1),FALSE),"")</f>
        <v>0</v>
      </c>
      <c r="M15">
        <f>IFERROR(VLOOKUP($C15,装備品!$1:$998,COLUMN(AA$1),FALSE)*VLOOKUP($D15,素材!$1:$1016,COLUMN($G$1),FALSE),"")</f>
        <v>0</v>
      </c>
      <c r="N15">
        <f>IFERROR(VLOOKUP($C15,装備品!$1:$998,COLUMN(I$1),FALSE),"")</f>
        <v>0</v>
      </c>
      <c r="O15" s="23">
        <f>IFERROR((VLOOKUP($C15,装備品!$1:$998,COLUMN(K$1),FALSE)+VLOOKUP($D15,素材!$1:$1016,COLUMN(H$1),FALSE))*100+IFERROR(VLOOKUP($CI15,付与!$1:$1167,COLUMN(O$1),FALSE),0),"")</f>
        <v>5</v>
      </c>
      <c r="P15" s="23">
        <f>IFERROR((VLOOKUP($C15,装備品!$1:$998,COLUMN(L$1),FALSE)+VLOOKUP($D15,素材!$1:$1016,COLUMN(I$1),FALSE))*100+IFERROR(VLOOKUP($CI15,付与!$1:$1167,COLUMN(P$1),FALSE),0),"")</f>
        <v>150</v>
      </c>
      <c r="Q15">
        <f>IFERROR(ROUNDUP(VLOOKUP($C15,装備品!$1:$998,COLUMN(M$1),FALSE)*(VLOOKUP($D15,素材!$1:$1002,COLUMN(D$1),FALSE)/100),1),"")</f>
        <v>0</v>
      </c>
      <c r="R15">
        <f>IFERROR(ROUNDUP(VLOOKUP($C15,装備品!$1:$998,COLUMN(N$1),FALSE)*(VLOOKUP($D15,素材!$1:$1002,COLUMN(D$1),FALSE)/100),1),"")</f>
        <v>0</v>
      </c>
      <c r="S15">
        <f>IFERROR(VLOOKUP($C15,装備品!$1:$998,COLUMN(P$1),FALSE),"")</f>
        <v>0</v>
      </c>
      <c r="T15">
        <f>IFERROR(VLOOKUP($C15,装備品!$1:$998,COLUMN(Q$1),FALSE),"")</f>
        <v>0</v>
      </c>
      <c r="U15">
        <f>IFERROR(VLOOKUP($C15,装備品!$1:$998,COLUMN(R$1),FALSE),"")</f>
        <v>0</v>
      </c>
      <c r="V15">
        <f>IFERROR(VLOOKUP($C15,装備品!$1:$998,COLUMN(Q$1),FALSE),"")</f>
        <v>0</v>
      </c>
      <c r="W15">
        <f>IFERROR(VLOOKUP($C15,装備品!$1:$998,COLUMN(T$1),FALSE),"")</f>
        <v>0</v>
      </c>
      <c r="Y15">
        <f>IFERROR(VLOOKUP($C15,装備品!$1:$998,COLUMN(U$1),FALSE),"")</f>
        <v>0</v>
      </c>
      <c r="Z15">
        <f>IFERROR(ROUNDUP(VLOOKUP($C15,装備品!$1:$998,COLUMN(O$1),FALSE)*VLOOKUP($D15,素材!$1:$1016,COLUMN(E$1),FALSE),1),"")</f>
        <v>0</v>
      </c>
      <c r="AA15">
        <f>IF(ISNUMBER(SEARCH(SUBSTITUTE(AA$1,RIGHT(AA$1,2),""),VLOOKUP($D15,素材!$1:$1016,COLUMN($F$1),FALSE))),VLOOKUP($C15,装備品!$1:$998,COLUMN($O$1),FALSE)*VLOOKUP($D15,素材!$1:$1016,COLUMN($E$1),FALSE)/(LEN(VLOOKUP($D15,素材!$1:$1016,COLUMN($F$1),FALSE))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B15">
        <f>IF(ISNUMBER(SEARCH(SUBSTITUTE(AB$1,RIGHT(AB$1,2),""),VLOOKUP($D15,素材!$1:$1016,COLUMN($F$1),FALSE))),VLOOKUP($C15,装備品!$1:$998,COLUMN($O$1),FALSE)*VLOOKUP($D15,素材!$1:$1016,COLUMN($E$1),FALSE)/(LEN(VLOOKUP($D15,素材!$1:$1016,COLUMN($F$1),FALSE))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C15">
        <f>IF(ISNUMBER(SEARCH(SUBSTITUTE(AC$1,RIGHT(AC$1,2),""),VLOOKUP($D15,素材!$1:$1016,COLUMN($F$1),FALSE))),VLOOKUP($C15,装備品!$1:$998,COLUMN($O$1),FALSE)*VLOOKUP($D15,素材!$1:$1016,COLUMN($E$1),FALSE)/(LEN(VLOOKUP($D15,素材!$1:$1016,COLUMN($F$1),FALSE))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D15">
        <f>IF(ISNUMBER(SEARCH(SUBSTITUTE(AD$1,RIGHT(AD$1,2),""),VLOOKUP($D15,素材!$1:$1016,COLUMN($F$1),FALSE))),VLOOKUP($C15,装備品!$1:$998,COLUMN($O$1),FALSE)*VLOOKUP($D15,素材!$1:$1016,COLUMN($E$1),FALSE)/(LEN(VLOOKUP($D15,素材!$1:$1016,COLUMN($F$1),FALSE))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E15">
        <f>IF(ISNUMBER(SEARCH(SUBSTITUTE(AE$1,RIGHT(AE$1,2),""),VLOOKUP($D15,素材!$1:$1016,COLUMN($F$1),FALSE))),VLOOKUP($C15,装備品!$1:$998,COLUMN($O$1),FALSE)*VLOOKUP($D15,素材!$1:$1016,COLUMN($E$1),FALSE)/(LEN(VLOOKUP($D15,素材!$1:$1016,COLUMN($F$1),FALSE))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F15">
        <f>IF(ISNUMBER(SEARCH(SUBSTITUTE(AF$1,RIGHT(AF$1,2),""),VLOOKUP($D15,素材!$1:$1016,COLUMN($F$1),FALSE))),VLOOKUP($C15,装備品!$1:$998,COLUMN($O$1),FALSE)*VLOOKUP($D15,素材!$1:$1016,COLUMN($E$1),FALSE)/(LEN(VLOOKUP($D15,素材!$1:$1016,COLUMN($F$1),FALSE))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G15">
        <f>IF(ISNUMBER(SEARCH(SUBSTITUTE(AG$1,RIGHT(AG$1,2),""),VLOOKUP($D15,素材!$1:$1016,COLUMN($F$1),FALSE))),VLOOKUP($C15,装備品!$1:$998,COLUMN($O$1),FALSE)*VLOOKUP($D15,素材!$1:$1016,COLUMN($E$1),FALSE)/(LEN(VLOOKUP($D15,素材!$1:$1016,COLUMN($F$1),FALSE))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H15">
        <f>IF(ISNUMBER(SEARCH(SUBSTITUTE(AH$1,RIGHT(AH$1,2),""),VLOOKUP($D15,素材!$1:$1016,COLUMN($F$1),FALSE))),VLOOKUP($C15,装備品!$1:$998,COLUMN($O$1),FALSE)*VLOOKUP($D15,素材!$1:$1016,COLUMN($E$1),FALSE)/(LEN(VLOOKUP($D15,素材!$1:$1016,COLUMN($F$1),FALSE))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I15">
        <f>IF(ISNUMBER(SEARCH(SUBSTITUTE(AI$1,RIGHT(AI$1,2),""),VLOOKUP($D15,素材!$1:$1016,COLUMN($F$1),FALSE))),VLOOKUP($C15,装備品!$1:$998,COLUMN($O$1),FALSE)*VLOOKUP($D15,素材!$1:$1016,COLUMN($E$1),FALSE)/(LEN(VLOOKUP($D15,素材!$1:$1016,COLUMN($F$1),FALSE))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J15">
        <f>IF(ISNUMBER(SEARCH(SUBSTITUTE(AJ$1,RIGHT(AJ$1,2),""),VLOOKUP($D15,素材!$1:$1016,COLUMN($F$1),FALSE))),VLOOKUP($C15,装備品!$1:$998,COLUMN($O$1),FALSE)*VLOOKUP($D15,素材!$1:$1016,COLUMN($E$1),FALSE)/(LEN(VLOOKUP($D15,素材!$1:$1016,COLUMN($F$1),FALSE))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K15">
        <f>IF(ISNUMBER(SEARCH(SUBSTITUTE(AK$1,RIGHT(AK$1,2),""),VLOOKUP($D15,素材!$1:$1016,COLUMN($F$1),FALSE))),VLOOKUP($C15,装備品!$1:$998,COLUMN($O$1),FALSE)*VLOOKUP($D15,素材!$1:$1016,COLUMN($E$1),FALSE)/(LEN(VLOOKUP($D15,素材!$1:$1016,COLUMN($F$1),FALSE))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L15">
        <f>IF(ISNUMBER(SEARCH(SUBSTITUTE(AL$1,RIGHT(AL$1,2),""),VLOOKUP($D15,素材!$1:$1016,COLUMN($F$1),FALSE))),VLOOKUP($C15,装備品!$1:$998,COLUMN($O$1),FALSE)*VLOOKUP($D15,素材!$1:$1016,COLUMN($E$1),FALSE)/(LEN(VLOOKUP($D15,素材!$1:$1016,COLUMN($F$1),FALSE))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M15">
        <f>IF(ISNUMBER(SEARCH(SUBSTITUTE(AM$1,RIGHT(AM$1,2),""),VLOOKUP($D15,素材!$1:$1016,COLUMN($F$1),FALSE))),VLOOKUP($C15,装備品!$1:$998,COLUMN($O$1),FALSE)*VLOOKUP($D15,素材!$1:$1016,COLUMN($E$1),FALSE)/(LEN(VLOOKUP($D15,素材!$1:$1016,COLUMN($F$1),FALSE))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N15">
        <f>IF(ISNUMBER(SEARCH(SUBSTITUTE(AN$1,RIGHT(AN$1,2),""),VLOOKUP($D15,素材!$1:$1016,COLUMN($F$1),FALSE))),VLOOKUP($C15,装備品!$1:$998,COLUMN($O$1),FALSE)*VLOOKUP($D15,素材!$1:$1016,COLUMN($E$1),FALSE)/(LEN(VLOOKUP($D15,素材!$1:$1016,COLUMN($F$1),FALSE))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O15">
        <f>IF(ISNUMBER(SEARCH(SUBSTITUTE(AO$1,RIGHT(AO$1,2),""),VLOOKUP($D15,素材!$1:$1016,COLUMN($F$1),FALSE))),VLOOKUP($C15,装備品!$1:$998,COLUMN($O$1),FALSE)*VLOOKUP($D15,素材!$1:$1016,COLUMN($E$1),FALSE)/(LEN(VLOOKUP($D15,素材!$1:$1016,COLUMN($F$1),FALSE))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P15">
        <f>IF(ISNUMBER(SEARCH(SUBSTITUTE(AP$1,RIGHT(AP$1,2),""),VLOOKUP($D15,素材!$1:$1016,COLUMN($F$1),FALSE))),VLOOKUP($C15,装備品!$1:$998,COLUMN($O$1),FALSE)*VLOOKUP($D15,素材!$1:$1016,COLUMN($E$1),FALSE)/(LEN(VLOOKUP($D15,素材!$1:$1016,COLUMN($F$1),FALSE))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Q15">
        <f>IF(ISNUMBER(SEARCH(SUBSTITUTE(AQ$1,RIGHT(AQ$1,2),""),VLOOKUP($D15,素材!$1:$1016,COLUMN($F$1),FALSE))),VLOOKUP($C15,装備品!$1:$998,COLUMN($O$1),FALSE)*VLOOKUP($D15,素材!$1:$1016,COLUMN($E$1),FALSE)/(LEN(VLOOKUP($D15,素材!$1:$1016,COLUMN($F$1),FALSE))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R15">
        <f>IF(ISNUMBER(SEARCH(SUBSTITUTE(AR$1,RIGHT(AR$1,2),""),VLOOKUP($D15,素材!$1:$1016,COLUMN($F$1),FALSE))),VLOOKUP($C15,装備品!$1:$998,COLUMN($O$1),FALSE)*VLOOKUP($D15,素材!$1:$1016,COLUMN($E$1),FALSE)/(LEN(VLOOKUP($D15,素材!$1:$1016,COLUMN($F$1),FALSE))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S15">
        <f>IF(ISNUMBER(SEARCH(SUBSTITUTE(AS$1,RIGHT(AS$1,2),""),VLOOKUP($D15,素材!$1:$1016,COLUMN($F$1),FALSE))),VLOOKUP($C15,装備品!$1:$998,COLUMN($O$1),FALSE)*VLOOKUP($D15,素材!$1:$1016,COLUMN($E$1),FALSE)/(LEN(VLOOKUP($D15,素材!$1:$1016,COLUMN($F$1),FALSE))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T15">
        <f>IF(ISNUMBER(SEARCH(SUBSTITUTE(AT$1,RIGHT(AT$1,2),""),VLOOKUP($D15,素材!$1:$1016,COLUMN($F$1),FALSE))),VLOOKUP($C15,装備品!$1:$998,COLUMN($O$1),FALSE)*VLOOKUP($D15,素材!$1:$1016,COLUMN($E$1),FALSE)/(LEN(VLOOKUP($D15,素材!$1:$1016,COLUMN($F$1),FALSE))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U15">
        <f>IF(ISNUMBER(SEARCH(SUBSTITUTE(AU$1,RIGHT(AU$1,2),""),VLOOKUP($D15,素材!$1:$1016,COLUMN($F$1),FALSE))),VLOOKUP($C15,装備品!$1:$998,COLUMN($O$1),FALSE)*VLOOKUP($D15,素材!$1:$1016,COLUMN($E$1),FALSE)/(LEN(VLOOKUP($D15,素材!$1:$1016,COLUMN($F$1),FALSE))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V15">
        <f>IF(ISNUMBER(SEARCH(SUBSTITUTE(AV$1,RIGHT(AV$1,2),""),VLOOKUP($D15,素材!$1:$1016,COLUMN($F$1),FALSE))),VLOOKUP($C15,装備品!$1:$998,COLUMN($O$1),FALSE)*VLOOKUP($D15,素材!$1:$1016,COLUMN($E$1),FALSE)/(LEN(VLOOKUP($D15,素材!$1:$1016,COLUMN($F$1),FALSE))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W15">
        <f>IF(ISNUMBER(SEARCH(SUBSTITUTE(AW$1,RIGHT(AW$1,2),""),VLOOKUP($D15,素材!$1:$1016,COLUMN($F$1),FALSE))),VLOOKUP($C15,装備品!$1:$998,COLUMN($O$1),FALSE)*VLOOKUP($D15,素材!$1:$1016,COLUMN($E$1),FALSE)/(LEN(VLOOKUP($D15,素材!$1:$1016,COLUMN($F$1),FALSE))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X15">
        <f>IF(ISNUMBER(SEARCH(SUBSTITUTE(AX$1,RIGHT(AX$1,2),""),VLOOKUP($D15,素材!$1:$1016,COLUMN($F$1),FALSE))),VLOOKUP($C15,装備品!$1:$998,COLUMN($O$1),FALSE)*VLOOKUP($D15,素材!$1:$1016,COLUMN($E$1),FALSE)/(LEN(VLOOKUP($D15,素材!$1:$1016,COLUMN($F$1),FALSE))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Y15">
        <f>IF(ISNUMBER(SEARCH(SUBSTITUTE(AY$1,RIGHT(AY$1,2),""),VLOOKUP($D15,素材!$1:$1016,COLUMN($F$1),FALSE))),VLOOKUP($C15,装備品!$1:$998,COLUMN($O$1),FALSE)*VLOOKUP($D15,素材!$1:$1016,COLUMN($E$1),FALSE)/(LEN(VLOOKUP($D15,素材!$1:$1016,COLUMN($F$1),FALSE))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Z15">
        <f>IF(ISNUMBER(SEARCH(SUBSTITUTE(AZ$1,RIGHT(AZ$1,2),""),VLOOKUP($D15,素材!$1:$1016,COLUMN($F$1),FALSE))),VLOOKUP($C15,装備品!$1:$998,COLUMN($O$1),FALSE)*VLOOKUP($D15,素材!$1:$1016,COLUMN($E$1),FALSE)/(LEN(VLOOKUP($D15,素材!$1:$1016,COLUMN($F$1),FALSE))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BA15">
        <f>IF(ISNUMBER(SEARCH(SUBSTITUTE(BA$1,RIGHT(BA$1,2),""),VLOOKUP($D15,素材!$1:$1016,COLUMN($F$1),FALSE))),VLOOKUP($C15,装備品!$1:$998,COLUMN($O$1),FALSE)*VLOOKUP($D15,素材!$1:$1016,COLUMN($E$1),FALSE)/(LEN(VLOOKUP($D15,素材!$1:$1016,COLUMN($F$1),FALSE))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BB15">
        <f>IF(ISNUMBER(SEARCH(SUBSTITUTE(BB$1,RIGHT(BB$1,2),""),VLOOKUP($D15,素材!$1:$1016,COLUMN($F$1),FALSE))),VLOOKUP($C15,装備品!$1:$998,COLUMN($O$1),FALSE)*VLOOKUP($D15,素材!$1:$1016,COLUMN($E$1),FALSE)/(LEN(VLOOKUP($D15,素材!$1:$1016,COLUMN($F$1),FALSE))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BC15">
        <f>IF(ISNUMBER(SEARCH(SUBSTITUTE(BC$1,RIGHT(BC$1,2),""),VLOOKUP($D15,素材!$1:$1016,COLUMN($F$1),FALSE))),VLOOKUP($C15,装備品!$1:$998,COLUMN($O$1),FALSE)*VLOOKUP($D15,素材!$1:$1016,COLUMN($E$1),FALSE)/(LEN(VLOOKUP($D15,素材!$1:$1016,COLUMN($F$1),FALSE))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BD15">
        <f>IF(ISNUMBER(SEARCH(SUBSTITUTE(BD$1,RIGHT(BD$1,2),""),VLOOKUP($D15,素材!$1:$1016,COLUMN($F$1),FALSE))),VLOOKUP($C15,装備品!$1:$998,COLUMN($O$1),FALSE)*VLOOKUP($D15,素材!$1:$1016,COLUMN($E$1),FALSE)/(LEN(VLOOKUP($D15,素材!$1:$1016,COLUMN($F$1),FALSE))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BE15">
        <f>IF(ISNUMBER(SEARCH(SUBSTITUTE(BE$1,RIGHT(BE$1,2),""),VLOOKUP($D15,素材!$1:$1016,COLUMN($F$1),FALSE))),VLOOKUP($C15,装備品!$1:$998,COLUMN($O$1),FALSE)*VLOOKUP($D15,素材!$1:$1016,COLUMN($E$1),FALSE)/(LEN(VLOOKUP($D15,素材!$1:$1016,COLUMN($F$1),FALSE))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CL15">
        <f t="shared" si="1"/>
        <v>22</v>
      </c>
      <c r="CM15" s="22" t="str">
        <f t="shared" si="2"/>
        <v>打撃.webp</v>
      </c>
      <c r="CN15">
        <f>IFERROR(VLOOKUP($C15,装備品!$1:$998,COLUMN(V$1),FALSE)*VLOOKUP($D15,素材!$1:$1016,COLUMN(N$1),FALSE)+IF(CI15="",0,VLOOKUP($CI15,付与!$1:$1176,COLUMN($CK$1),FALSE)),"")</f>
        <v>0</v>
      </c>
      <c r="CO15" t="str">
        <f>VLOOKUP(D15,素材!$A:$O,COLUMN(素材!O$1),FALSE)</f>
        <v>一般的な鉄。量産品を作るのに使用されることが多い</v>
      </c>
      <c r="CP15" t="str">
        <f>VLOOKUP(C15,装備品!$A:$AB,COLUMN(装備品!AB$1),FALSE)</f>
        <v>棍棒。打撃に特化したシンプルな武器。威力は低いがダメージ振れが少ない。</v>
      </c>
      <c r="CR15" t="str">
        <f t="shared" si="3"/>
        <v>e_15</v>
      </c>
      <c r="CS15">
        <f t="shared" si="4"/>
        <v>0</v>
      </c>
    </row>
    <row r="16" spans="1:97" outlineLevel="1" x14ac:dyDescent="0.4">
      <c r="A16" t="str">
        <f t="shared" si="0"/>
        <v>鉄の戦棍</v>
      </c>
      <c r="B16" t="str">
        <f>IFERROR(VLOOKUP($D16,素材!$1:$1016,COLUMN($B$1),FALSE)&amp;"・"&amp;VLOOKUP($C16,装備品!$1:$998,COLUMN(B$1),FALSE),"")</f>
        <v>アイアン・メイス</v>
      </c>
      <c r="C16" s="24" t="s">
        <v>228</v>
      </c>
      <c r="D16" s="24" t="s">
        <v>256</v>
      </c>
      <c r="E16" t="str">
        <f>IFERROR(VLOOKUP(C16,装備品!$1:$998,COLUMN(C$1),FALSE),"")</f>
        <v>武器</v>
      </c>
      <c r="F16">
        <f>IFERROR(ROUNDDOWN((VLOOKUP($C16,装備品!$1:$998,COLUMN(D$1),FALSE)+IFERROR(VLOOKUP($CI16,付与!$1:$1167,COLUMN(F$1),FALSE),0))*VLOOKUP($D16,素材!$1:$1016,COLUMN(D$1),FALSE),0),"")</f>
        <v>110</v>
      </c>
      <c r="G16">
        <f>IFERROR(ROUNDDOWN((VLOOKUP($C16,装備品!$1:$998,COLUMN(E$1),FALSE)+IFERROR(VLOOKUP($CI16,付与!$1:$1167,COLUMN(G$1),FALSE),0))*VLOOKUP($D16,素材!$1:$1016,COLUMN($E$1),FALSE),0),"")</f>
        <v>0</v>
      </c>
      <c r="H16">
        <f>IFERROR(ROUNDDOWN((VLOOKUP($C16,装備品!$1:$998,COLUMN(F$1),FALSE)+IFERROR(VLOOKUP($CI16,付与!$1:$1167,COLUMN(H$1),FALSE),0))*VLOOKUP($D16,素材!$1:$1016,COLUMN($E$1),FALSE),0),"")</f>
        <v>0</v>
      </c>
      <c r="I16">
        <f>IFERROR(ROUNDDOWN((VLOOKUP($C16,装備品!$1:$998,COLUMN(G$1),FALSE)+IFERROR(VLOOKUP($CI16,付与!$1:$1167,COLUMN(I$1),FALSE),0))*VLOOKUP($D16,素材!$1:$1016,COLUMN($E$1),FALSE),0),"")</f>
        <v>23</v>
      </c>
      <c r="J16">
        <f>IFERROR(ROUNDDOWN((VLOOKUP($C16,装備品!$1:$998,COLUMN(H$1),FALSE)+IFERROR(VLOOKUP($CI16,付与!$1:$1167,COLUMN(J$1),FALSE),0))*VLOOKUP($D16,素材!$1:$1016,COLUMN($E$1),FALSE),0),"")</f>
        <v>19</v>
      </c>
      <c r="K16">
        <f>IFERROR(ROUNDDOWN((VLOOKUP($C16,装備品!$1:$998,COLUMN(I$1),FALSE)+IFERROR(VLOOKUP($CI16,付与!$1:$1167,COLUMN(K$1),FALSE),0))*VLOOKUP($D16,素材!$1:$1016,COLUMN($E$1),FALSE),0),"")</f>
        <v>0</v>
      </c>
      <c r="L16">
        <f>IFERROR(VLOOKUP($D16,素材!$1:$1016,COLUMN($F$1),FALSE),"")</f>
        <v>0</v>
      </c>
      <c r="M16">
        <f>IFERROR(VLOOKUP($C16,装備品!$1:$998,COLUMN(AA$1),FALSE)*VLOOKUP($D16,素材!$1:$1016,COLUMN($G$1),FALSE),"")</f>
        <v>0</v>
      </c>
      <c r="N16">
        <f>IFERROR(VLOOKUP($C16,装備品!$1:$998,COLUMN(I$1),FALSE),"")</f>
        <v>0</v>
      </c>
      <c r="O16" s="23">
        <f>IFERROR((VLOOKUP($C16,装備品!$1:$998,COLUMN(K$1),FALSE)+VLOOKUP($D16,素材!$1:$1016,COLUMN(H$1),FALSE))*100+IFERROR(VLOOKUP($CI16,付与!$1:$1167,COLUMN(O$1),FALSE),0),"")</f>
        <v>15</v>
      </c>
      <c r="P16" s="23">
        <f>IFERROR((VLOOKUP($C16,装備品!$1:$998,COLUMN(L$1),FALSE)+VLOOKUP($D16,素材!$1:$1016,COLUMN(I$1),FALSE))*100+IFERROR(VLOOKUP($CI16,付与!$1:$1167,COLUMN(P$1),FALSE),0),"")</f>
        <v>125</v>
      </c>
      <c r="Q16">
        <f>IFERROR(ROUNDUP(VLOOKUP($C16,装備品!$1:$998,COLUMN(M$1),FALSE)*(VLOOKUP($D16,素材!$1:$1002,COLUMN(D$1),FALSE)/100),1),"")</f>
        <v>0</v>
      </c>
      <c r="R16">
        <f>IFERROR(ROUNDUP(VLOOKUP($C16,装備品!$1:$998,COLUMN(N$1),FALSE)*(VLOOKUP($D16,素材!$1:$1002,COLUMN(D$1),FALSE)/100),1),"")</f>
        <v>-2</v>
      </c>
      <c r="S16">
        <f>IFERROR(VLOOKUP($C16,装備品!$1:$998,COLUMN(P$1),FALSE),"")</f>
        <v>0</v>
      </c>
      <c r="T16">
        <f>IFERROR(VLOOKUP($C16,装備品!$1:$998,COLUMN(Q$1),FALSE),"")</f>
        <v>0</v>
      </c>
      <c r="U16">
        <f>IFERROR(VLOOKUP($C16,装備品!$1:$998,COLUMN(R$1),FALSE),"")</f>
        <v>0</v>
      </c>
      <c r="V16">
        <f>IFERROR(VLOOKUP($C16,装備品!$1:$998,COLUMN(Q$1),FALSE),"")</f>
        <v>0</v>
      </c>
      <c r="W16">
        <f>IFERROR(VLOOKUP($C16,装備品!$1:$998,COLUMN(T$1),FALSE),"")</f>
        <v>0</v>
      </c>
      <c r="Y16">
        <f>IFERROR(VLOOKUP($C16,装備品!$1:$998,COLUMN(U$1),FALSE),"")</f>
        <v>0</v>
      </c>
      <c r="Z16">
        <f>IFERROR(ROUNDUP(VLOOKUP($C16,装備品!$1:$998,COLUMN(O$1),FALSE)*VLOOKUP($D16,素材!$1:$1016,COLUMN(E$1),FALSE),1),"")</f>
        <v>0</v>
      </c>
      <c r="AA16">
        <f>IF(ISNUMBER(SEARCH(SUBSTITUTE(AA$1,RIGHT(AA$1,2),""),VLOOKUP($D16,素材!$1:$1016,COLUMN($F$1),FALSE))),VLOOKUP($C16,装備品!$1:$998,COLUMN($O$1),FALSE)*VLOOKUP($D16,素材!$1:$1016,COLUMN($E$1),FALSE)/(LEN(VLOOKUP($D16,素材!$1:$1016,COLUMN($F$1),FALSE))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B16">
        <f>IF(ISNUMBER(SEARCH(SUBSTITUTE(AB$1,RIGHT(AB$1,2),""),VLOOKUP($D16,素材!$1:$1016,COLUMN($F$1),FALSE))),VLOOKUP($C16,装備品!$1:$998,COLUMN($O$1),FALSE)*VLOOKUP($D16,素材!$1:$1016,COLUMN($E$1),FALSE)/(LEN(VLOOKUP($D16,素材!$1:$1016,COLUMN($F$1),FALSE))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C16">
        <f>IF(ISNUMBER(SEARCH(SUBSTITUTE(AC$1,RIGHT(AC$1,2),""),VLOOKUP($D16,素材!$1:$1016,COLUMN($F$1),FALSE))),VLOOKUP($C16,装備品!$1:$998,COLUMN($O$1),FALSE)*VLOOKUP($D16,素材!$1:$1016,COLUMN($E$1),FALSE)/(LEN(VLOOKUP($D16,素材!$1:$1016,COLUMN($F$1),FALSE))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D16">
        <f>IF(ISNUMBER(SEARCH(SUBSTITUTE(AD$1,RIGHT(AD$1,2),""),VLOOKUP($D16,素材!$1:$1016,COLUMN($F$1),FALSE))),VLOOKUP($C16,装備品!$1:$998,COLUMN($O$1),FALSE)*VLOOKUP($D16,素材!$1:$1016,COLUMN($E$1),FALSE)/(LEN(VLOOKUP($D16,素材!$1:$1016,COLUMN($F$1),FALSE))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E16">
        <f>IF(ISNUMBER(SEARCH(SUBSTITUTE(AE$1,RIGHT(AE$1,2),""),VLOOKUP($D16,素材!$1:$1016,COLUMN($F$1),FALSE))),VLOOKUP($C16,装備品!$1:$998,COLUMN($O$1),FALSE)*VLOOKUP($D16,素材!$1:$1016,COLUMN($E$1),FALSE)/(LEN(VLOOKUP($D16,素材!$1:$1016,COLUMN($F$1),FALSE))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F16">
        <f>IF(ISNUMBER(SEARCH(SUBSTITUTE(AF$1,RIGHT(AF$1,2),""),VLOOKUP($D16,素材!$1:$1016,COLUMN($F$1),FALSE))),VLOOKUP($C16,装備品!$1:$998,COLUMN($O$1),FALSE)*VLOOKUP($D16,素材!$1:$1016,COLUMN($E$1),FALSE)/(LEN(VLOOKUP($D16,素材!$1:$1016,COLUMN($F$1),FALSE))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G16">
        <f>IF(ISNUMBER(SEARCH(SUBSTITUTE(AG$1,RIGHT(AG$1,2),""),VLOOKUP($D16,素材!$1:$1016,COLUMN($F$1),FALSE))),VLOOKUP($C16,装備品!$1:$998,COLUMN($O$1),FALSE)*VLOOKUP($D16,素材!$1:$1016,COLUMN($E$1),FALSE)/(LEN(VLOOKUP($D16,素材!$1:$1016,COLUMN($F$1),FALSE))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H16">
        <f>IF(ISNUMBER(SEARCH(SUBSTITUTE(AH$1,RIGHT(AH$1,2),""),VLOOKUP($D16,素材!$1:$1016,COLUMN($F$1),FALSE))),VLOOKUP($C16,装備品!$1:$998,COLUMN($O$1),FALSE)*VLOOKUP($D16,素材!$1:$1016,COLUMN($E$1),FALSE)/(LEN(VLOOKUP($D16,素材!$1:$1016,COLUMN($F$1),FALSE))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I16">
        <f>IF(ISNUMBER(SEARCH(SUBSTITUTE(AI$1,RIGHT(AI$1,2),""),VLOOKUP($D16,素材!$1:$1016,COLUMN($F$1),FALSE))),VLOOKUP($C16,装備品!$1:$998,COLUMN($O$1),FALSE)*VLOOKUP($D16,素材!$1:$1016,COLUMN($E$1),FALSE)/(LEN(VLOOKUP($D16,素材!$1:$1016,COLUMN($F$1),FALSE))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J16">
        <f>IF(ISNUMBER(SEARCH(SUBSTITUTE(AJ$1,RIGHT(AJ$1,2),""),VLOOKUP($D16,素材!$1:$1016,COLUMN($F$1),FALSE))),VLOOKUP($C16,装備品!$1:$998,COLUMN($O$1),FALSE)*VLOOKUP($D16,素材!$1:$1016,COLUMN($E$1),FALSE)/(LEN(VLOOKUP($D16,素材!$1:$1016,COLUMN($F$1),FALSE))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K16">
        <f>IF(ISNUMBER(SEARCH(SUBSTITUTE(AK$1,RIGHT(AK$1,2),""),VLOOKUP($D16,素材!$1:$1016,COLUMN($F$1),FALSE))),VLOOKUP($C16,装備品!$1:$998,COLUMN($O$1),FALSE)*VLOOKUP($D16,素材!$1:$1016,COLUMN($E$1),FALSE)/(LEN(VLOOKUP($D16,素材!$1:$1016,COLUMN($F$1),FALSE))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L16">
        <f>IF(ISNUMBER(SEARCH(SUBSTITUTE(AL$1,RIGHT(AL$1,2),""),VLOOKUP($D16,素材!$1:$1016,COLUMN($F$1),FALSE))),VLOOKUP($C16,装備品!$1:$998,COLUMN($O$1),FALSE)*VLOOKUP($D16,素材!$1:$1016,COLUMN($E$1),FALSE)/(LEN(VLOOKUP($D16,素材!$1:$1016,COLUMN($F$1),FALSE))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M16">
        <f>IF(ISNUMBER(SEARCH(SUBSTITUTE(AM$1,RIGHT(AM$1,2),""),VLOOKUP($D16,素材!$1:$1016,COLUMN($F$1),FALSE))),VLOOKUP($C16,装備品!$1:$998,COLUMN($O$1),FALSE)*VLOOKUP($D16,素材!$1:$1016,COLUMN($E$1),FALSE)/(LEN(VLOOKUP($D16,素材!$1:$1016,COLUMN($F$1),FALSE))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N16">
        <f>IF(ISNUMBER(SEARCH(SUBSTITUTE(AN$1,RIGHT(AN$1,2),""),VLOOKUP($D16,素材!$1:$1016,COLUMN($F$1),FALSE))),VLOOKUP($C16,装備品!$1:$998,COLUMN($O$1),FALSE)*VLOOKUP($D16,素材!$1:$1016,COLUMN($E$1),FALSE)/(LEN(VLOOKUP($D16,素材!$1:$1016,COLUMN($F$1),FALSE))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O16">
        <f>IF(ISNUMBER(SEARCH(SUBSTITUTE(AO$1,RIGHT(AO$1,2),""),VLOOKUP($D16,素材!$1:$1016,COLUMN($F$1),FALSE))),VLOOKUP($C16,装備品!$1:$998,COLUMN($O$1),FALSE)*VLOOKUP($D16,素材!$1:$1016,COLUMN($E$1),FALSE)/(LEN(VLOOKUP($D16,素材!$1:$1016,COLUMN($F$1),FALSE))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P16">
        <f>IF(ISNUMBER(SEARCH(SUBSTITUTE(AP$1,RIGHT(AP$1,2),""),VLOOKUP($D16,素材!$1:$1016,COLUMN($F$1),FALSE))),VLOOKUP($C16,装備品!$1:$998,COLUMN($O$1),FALSE)*VLOOKUP($D16,素材!$1:$1016,COLUMN($E$1),FALSE)/(LEN(VLOOKUP($D16,素材!$1:$1016,COLUMN($F$1),FALSE))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Q16">
        <f>IF(ISNUMBER(SEARCH(SUBSTITUTE(AQ$1,RIGHT(AQ$1,2),""),VLOOKUP($D16,素材!$1:$1016,COLUMN($F$1),FALSE))),VLOOKUP($C16,装備品!$1:$998,COLUMN($O$1),FALSE)*VLOOKUP($D16,素材!$1:$1016,COLUMN($E$1),FALSE)/(LEN(VLOOKUP($D16,素材!$1:$1016,COLUMN($F$1),FALSE))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R16">
        <f>IF(ISNUMBER(SEARCH(SUBSTITUTE(AR$1,RIGHT(AR$1,2),""),VLOOKUP($D16,素材!$1:$1016,COLUMN($F$1),FALSE))),VLOOKUP($C16,装備品!$1:$998,COLUMN($O$1),FALSE)*VLOOKUP($D16,素材!$1:$1016,COLUMN($E$1),FALSE)/(LEN(VLOOKUP($D16,素材!$1:$1016,COLUMN($F$1),FALSE))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S16">
        <f>IF(ISNUMBER(SEARCH(SUBSTITUTE(AS$1,RIGHT(AS$1,2),""),VLOOKUP($D16,素材!$1:$1016,COLUMN($F$1),FALSE))),VLOOKUP($C16,装備品!$1:$998,COLUMN($O$1),FALSE)*VLOOKUP($D16,素材!$1:$1016,COLUMN($E$1),FALSE)/(LEN(VLOOKUP($D16,素材!$1:$1016,COLUMN($F$1),FALSE))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T16">
        <f>IF(ISNUMBER(SEARCH(SUBSTITUTE(AT$1,RIGHT(AT$1,2),""),VLOOKUP($D16,素材!$1:$1016,COLUMN($F$1),FALSE))),VLOOKUP($C16,装備品!$1:$998,COLUMN($O$1),FALSE)*VLOOKUP($D16,素材!$1:$1016,COLUMN($E$1),FALSE)/(LEN(VLOOKUP($D16,素材!$1:$1016,COLUMN($F$1),FALSE))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U16">
        <f>IF(ISNUMBER(SEARCH(SUBSTITUTE(AU$1,RIGHT(AU$1,2),""),VLOOKUP($D16,素材!$1:$1016,COLUMN($F$1),FALSE))),VLOOKUP($C16,装備品!$1:$998,COLUMN($O$1),FALSE)*VLOOKUP($D16,素材!$1:$1016,COLUMN($E$1),FALSE)/(LEN(VLOOKUP($D16,素材!$1:$1016,COLUMN($F$1),FALSE))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V16">
        <f>IF(ISNUMBER(SEARCH(SUBSTITUTE(AV$1,RIGHT(AV$1,2),""),VLOOKUP($D16,素材!$1:$1016,COLUMN($F$1),FALSE))),VLOOKUP($C16,装備品!$1:$998,COLUMN($O$1),FALSE)*VLOOKUP($D16,素材!$1:$1016,COLUMN($E$1),FALSE)/(LEN(VLOOKUP($D16,素材!$1:$1016,COLUMN($F$1),FALSE))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W16">
        <f>IF(ISNUMBER(SEARCH(SUBSTITUTE(AW$1,RIGHT(AW$1,2),""),VLOOKUP($D16,素材!$1:$1016,COLUMN($F$1),FALSE))),VLOOKUP($C16,装備品!$1:$998,COLUMN($O$1),FALSE)*VLOOKUP($D16,素材!$1:$1016,COLUMN($E$1),FALSE)/(LEN(VLOOKUP($D16,素材!$1:$1016,COLUMN($F$1),FALSE))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X16">
        <f>IF(ISNUMBER(SEARCH(SUBSTITUTE(AX$1,RIGHT(AX$1,2),""),VLOOKUP($D16,素材!$1:$1016,COLUMN($F$1),FALSE))),VLOOKUP($C16,装備品!$1:$998,COLUMN($O$1),FALSE)*VLOOKUP($D16,素材!$1:$1016,COLUMN($E$1),FALSE)/(LEN(VLOOKUP($D16,素材!$1:$1016,COLUMN($F$1),FALSE))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Y16">
        <f>IF(ISNUMBER(SEARCH(SUBSTITUTE(AY$1,RIGHT(AY$1,2),""),VLOOKUP($D16,素材!$1:$1016,COLUMN($F$1),FALSE))),VLOOKUP($C16,装備品!$1:$998,COLUMN($O$1),FALSE)*VLOOKUP($D16,素材!$1:$1016,COLUMN($E$1),FALSE)/(LEN(VLOOKUP($D16,素材!$1:$1016,COLUMN($F$1),FALSE))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Z16">
        <f>IF(ISNUMBER(SEARCH(SUBSTITUTE(AZ$1,RIGHT(AZ$1,2),""),VLOOKUP($D16,素材!$1:$1016,COLUMN($F$1),FALSE))),VLOOKUP($C16,装備品!$1:$998,COLUMN($O$1),FALSE)*VLOOKUP($D16,素材!$1:$1016,COLUMN($E$1),FALSE)/(LEN(VLOOKUP($D16,素材!$1:$1016,COLUMN($F$1),FALSE))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BA16">
        <f>IF(ISNUMBER(SEARCH(SUBSTITUTE(BA$1,RIGHT(BA$1,2),""),VLOOKUP($D16,素材!$1:$1016,COLUMN($F$1),FALSE))),VLOOKUP($C16,装備品!$1:$998,COLUMN($O$1),FALSE)*VLOOKUP($D16,素材!$1:$1016,COLUMN($E$1),FALSE)/(LEN(VLOOKUP($D16,素材!$1:$1016,COLUMN($F$1),FALSE))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BB16">
        <f>IF(ISNUMBER(SEARCH(SUBSTITUTE(BB$1,RIGHT(BB$1,2),""),VLOOKUP($D16,素材!$1:$1016,COLUMN($F$1),FALSE))),VLOOKUP($C16,装備品!$1:$998,COLUMN($O$1),FALSE)*VLOOKUP($D16,素材!$1:$1016,COLUMN($E$1),FALSE)/(LEN(VLOOKUP($D16,素材!$1:$1016,COLUMN($F$1),FALSE))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BC16">
        <f>IF(ISNUMBER(SEARCH(SUBSTITUTE(BC$1,RIGHT(BC$1,2),""),VLOOKUP($D16,素材!$1:$1016,COLUMN($F$1),FALSE))),VLOOKUP($C16,装備品!$1:$998,COLUMN($O$1),FALSE)*VLOOKUP($D16,素材!$1:$1016,COLUMN($E$1),FALSE)/(LEN(VLOOKUP($D16,素材!$1:$1016,COLUMN($F$1),FALSE))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BD16">
        <f>IF(ISNUMBER(SEARCH(SUBSTITUTE(BD$1,RIGHT(BD$1,2),""),VLOOKUP($D16,素材!$1:$1016,COLUMN($F$1),FALSE))),VLOOKUP($C16,装備品!$1:$998,COLUMN($O$1),FALSE)*VLOOKUP($D16,素材!$1:$1016,COLUMN($E$1),FALSE)/(LEN(VLOOKUP($D16,素材!$1:$1016,COLUMN($F$1),FALSE))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BE16">
        <f>IF(ISNUMBER(SEARCH(SUBSTITUTE(BE$1,RIGHT(BE$1,2),""),VLOOKUP($D16,素材!$1:$1016,COLUMN($F$1),FALSE))),VLOOKUP($C16,装備品!$1:$998,COLUMN($O$1),FALSE)*VLOOKUP($D16,素材!$1:$1016,COLUMN($E$1),FALSE)/(LEN(VLOOKUP($D16,素材!$1:$1016,COLUMN($F$1),FALSE))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CL16">
        <f t="shared" si="1"/>
        <v>23</v>
      </c>
      <c r="CM16" s="22" t="str">
        <f t="shared" si="2"/>
        <v>打撃.webp</v>
      </c>
      <c r="CN16">
        <f>IFERROR(VLOOKUP($C16,装備品!$1:$998,COLUMN(V$1),FALSE)*VLOOKUP($D16,素材!$1:$1016,COLUMN(N$1),FALSE)+IF(CI16="",0,VLOOKUP($CI16,付与!$1:$1176,COLUMN($CK$1),FALSE)),"")</f>
        <v>0</v>
      </c>
      <c r="CO16" t="str">
        <f>VLOOKUP(D16,素材!$A:$O,COLUMN(素材!O$1),FALSE)</f>
        <v>一般的な鉄。量産品を作るのに使用されることが多い</v>
      </c>
      <c r="CP16" t="str">
        <f>VLOOKUP(C16,装備品!$A:$AB,COLUMN(装備品!AB$1),FALSE)</f>
        <v>戦棍。打撃に優れた武器。Cr率が高い</v>
      </c>
      <c r="CR16" t="str">
        <f t="shared" si="3"/>
        <v>e_16</v>
      </c>
      <c r="CS16">
        <f t="shared" si="4"/>
        <v>0</v>
      </c>
    </row>
    <row r="17" spans="1:97" outlineLevel="1" x14ac:dyDescent="0.4">
      <c r="A17" t="str">
        <f t="shared" si="0"/>
        <v>鉄の棘棍</v>
      </c>
      <c r="B17" t="str">
        <f>IFERROR(VLOOKUP($D17,素材!$1:$1016,COLUMN($B$1),FALSE)&amp;"・"&amp;VLOOKUP($C17,装備品!$1:$998,COLUMN(B$1),FALSE),"")</f>
        <v>アイアン・モーニングスター</v>
      </c>
      <c r="C17" t="s">
        <v>227</v>
      </c>
      <c r="D17" s="24" t="s">
        <v>256</v>
      </c>
      <c r="E17" t="str">
        <f>IFERROR(VLOOKUP(C17,装備品!$1:$998,COLUMN(C$1),FALSE),"")</f>
        <v>武器</v>
      </c>
      <c r="F17">
        <f>IFERROR(ROUNDDOWN((VLOOKUP($C17,装備品!$1:$998,COLUMN(D$1),FALSE)+IFERROR(VLOOKUP($CI17,付与!$1:$1167,COLUMN(F$1),FALSE),0))*VLOOKUP($D17,素材!$1:$1016,COLUMN(D$1),FALSE),0),"")</f>
        <v>105</v>
      </c>
      <c r="G17">
        <f>IFERROR(ROUNDDOWN((VLOOKUP($C17,装備品!$1:$998,COLUMN(E$1),FALSE)+IFERROR(VLOOKUP($CI17,付与!$1:$1167,COLUMN(G$1),FALSE),0))*VLOOKUP($D17,素材!$1:$1016,COLUMN($E$1),FALSE),0),"")</f>
        <v>0</v>
      </c>
      <c r="H17">
        <f>IFERROR(ROUNDDOWN((VLOOKUP($C17,装備品!$1:$998,COLUMN(F$1),FALSE)+IFERROR(VLOOKUP($CI17,付与!$1:$1167,COLUMN(H$1),FALSE),0))*VLOOKUP($D17,素材!$1:$1016,COLUMN($E$1),FALSE),0),"")</f>
        <v>12</v>
      </c>
      <c r="I17">
        <f>IFERROR(ROUNDDOWN((VLOOKUP($C17,装備品!$1:$998,COLUMN(G$1),FALSE)+IFERROR(VLOOKUP($CI17,付与!$1:$1167,COLUMN(I$1),FALSE),0))*VLOOKUP($D17,素材!$1:$1016,COLUMN($E$1),FALSE),0),"")</f>
        <v>12</v>
      </c>
      <c r="J17">
        <f>IFERROR(ROUNDDOWN((VLOOKUP($C17,装備品!$1:$998,COLUMN(H$1),FALSE)+IFERROR(VLOOKUP($CI17,付与!$1:$1167,COLUMN(J$1),FALSE),0))*VLOOKUP($D17,素材!$1:$1016,COLUMN($E$1),FALSE),0),"")</f>
        <v>19</v>
      </c>
      <c r="K17">
        <f>IFERROR(ROUNDDOWN((VLOOKUP($C17,装備品!$1:$998,COLUMN(I$1),FALSE)+IFERROR(VLOOKUP($CI17,付与!$1:$1167,COLUMN(K$1),FALSE),0))*VLOOKUP($D17,素材!$1:$1016,COLUMN($E$1),FALSE),0),"")</f>
        <v>0</v>
      </c>
      <c r="L17">
        <f>IFERROR(VLOOKUP($D17,素材!$1:$1016,COLUMN($F$1),FALSE),"")</f>
        <v>0</v>
      </c>
      <c r="M17">
        <f>IFERROR(VLOOKUP($C17,装備品!$1:$998,COLUMN(AA$1),FALSE)*VLOOKUP($D17,素材!$1:$1016,COLUMN($G$1),FALSE),"")</f>
        <v>0</v>
      </c>
      <c r="N17">
        <f>IFERROR(VLOOKUP($C17,装備品!$1:$998,COLUMN(I$1),FALSE),"")</f>
        <v>0</v>
      </c>
      <c r="O17" s="23">
        <f>IFERROR((VLOOKUP($C17,装備品!$1:$998,COLUMN(K$1),FALSE)+VLOOKUP($D17,素材!$1:$1016,COLUMN(H$1),FALSE))*100+IFERROR(VLOOKUP($CI17,付与!$1:$1167,COLUMN(O$1),FALSE),0),"")</f>
        <v>10</v>
      </c>
      <c r="P17" s="23">
        <f>IFERROR((VLOOKUP($C17,装備品!$1:$998,COLUMN(L$1),FALSE)+VLOOKUP($D17,素材!$1:$1016,COLUMN(I$1),FALSE))*100+IFERROR(VLOOKUP($CI17,付与!$1:$1167,COLUMN(P$1),FALSE),0),"")</f>
        <v>125</v>
      </c>
      <c r="Q17">
        <f>IFERROR(ROUNDUP(VLOOKUP($C17,装備品!$1:$998,COLUMN(M$1),FALSE)*(VLOOKUP($D17,素材!$1:$1002,COLUMN(D$1),FALSE)/100),1),"")</f>
        <v>-2.5</v>
      </c>
      <c r="R17">
        <f>IFERROR(ROUNDUP(VLOOKUP($C17,装備品!$1:$998,COLUMN(N$1),FALSE)*(VLOOKUP($D17,素材!$1:$1002,COLUMN(D$1),FALSE)/100),1),"")</f>
        <v>-2.5</v>
      </c>
      <c r="S17">
        <f>IFERROR(VLOOKUP($C17,装備品!$1:$998,COLUMN(P$1),FALSE),"")</f>
        <v>0</v>
      </c>
      <c r="T17">
        <f>IFERROR(VLOOKUP($C17,装備品!$1:$998,COLUMN(Q$1),FALSE),"")</f>
        <v>0</v>
      </c>
      <c r="U17">
        <f>IFERROR(VLOOKUP($C17,装備品!$1:$998,COLUMN(R$1),FALSE),"")</f>
        <v>0</v>
      </c>
      <c r="V17">
        <f>IFERROR(VLOOKUP($C17,装備品!$1:$998,COLUMN(Q$1),FALSE),"")</f>
        <v>0</v>
      </c>
      <c r="W17">
        <f>IFERROR(VLOOKUP($C17,装備品!$1:$998,COLUMN(T$1),FALSE),"")</f>
        <v>0</v>
      </c>
      <c r="Y17">
        <f>IFERROR(VLOOKUP($C17,装備品!$1:$998,COLUMN(U$1),FALSE),"")</f>
        <v>0</v>
      </c>
      <c r="Z17">
        <f>IFERROR(ROUNDUP(VLOOKUP($C17,装備品!$1:$998,COLUMN(O$1),FALSE)*VLOOKUP($D17,素材!$1:$1016,COLUMN(E$1),FALSE),1),"")</f>
        <v>0</v>
      </c>
      <c r="AA17">
        <f>IF(ISNUMBER(SEARCH(SUBSTITUTE(AA$1,RIGHT(AA$1,2),""),VLOOKUP($D17,素材!$1:$1016,COLUMN($F$1),FALSE))),VLOOKUP($C17,装備品!$1:$998,COLUMN($O$1),FALSE)*VLOOKUP($D17,素材!$1:$1016,COLUMN($E$1),FALSE)/(LEN(VLOOKUP($D17,素材!$1:$1016,COLUMN($F$1),FALSE))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B17">
        <f>IF(ISNUMBER(SEARCH(SUBSTITUTE(AB$1,RIGHT(AB$1,2),""),VLOOKUP($D17,素材!$1:$1016,COLUMN($F$1),FALSE))),VLOOKUP($C17,装備品!$1:$998,COLUMN($O$1),FALSE)*VLOOKUP($D17,素材!$1:$1016,COLUMN($E$1),FALSE)/(LEN(VLOOKUP($D17,素材!$1:$1016,COLUMN($F$1),FALSE))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C17">
        <f>IF(ISNUMBER(SEARCH(SUBSTITUTE(AC$1,RIGHT(AC$1,2),""),VLOOKUP($D17,素材!$1:$1016,COLUMN($F$1),FALSE))),VLOOKUP($C17,装備品!$1:$998,COLUMN($O$1),FALSE)*VLOOKUP($D17,素材!$1:$1016,COLUMN($E$1),FALSE)/(LEN(VLOOKUP($D17,素材!$1:$1016,COLUMN($F$1),FALSE))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D17">
        <f>IF(ISNUMBER(SEARCH(SUBSTITUTE(AD$1,RIGHT(AD$1,2),""),VLOOKUP($D17,素材!$1:$1016,COLUMN($F$1),FALSE))),VLOOKUP($C17,装備品!$1:$998,COLUMN($O$1),FALSE)*VLOOKUP($D17,素材!$1:$1016,COLUMN($E$1),FALSE)/(LEN(VLOOKUP($D17,素材!$1:$1016,COLUMN($F$1),FALSE))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E17">
        <f>IF(ISNUMBER(SEARCH(SUBSTITUTE(AE$1,RIGHT(AE$1,2),""),VLOOKUP($D17,素材!$1:$1016,COLUMN($F$1),FALSE))),VLOOKUP($C17,装備品!$1:$998,COLUMN($O$1),FALSE)*VLOOKUP($D17,素材!$1:$1016,COLUMN($E$1),FALSE)/(LEN(VLOOKUP($D17,素材!$1:$1016,COLUMN($F$1),FALSE))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F17">
        <f>IF(ISNUMBER(SEARCH(SUBSTITUTE(AF$1,RIGHT(AF$1,2),""),VLOOKUP($D17,素材!$1:$1016,COLUMN($F$1),FALSE))),VLOOKUP($C17,装備品!$1:$998,COLUMN($O$1),FALSE)*VLOOKUP($D17,素材!$1:$1016,COLUMN($E$1),FALSE)/(LEN(VLOOKUP($D17,素材!$1:$1016,COLUMN($F$1),FALSE))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G17">
        <f>IF(ISNUMBER(SEARCH(SUBSTITUTE(AG$1,RIGHT(AG$1,2),""),VLOOKUP($D17,素材!$1:$1016,COLUMN($F$1),FALSE))),VLOOKUP($C17,装備品!$1:$998,COLUMN($O$1),FALSE)*VLOOKUP($D17,素材!$1:$1016,COLUMN($E$1),FALSE)/(LEN(VLOOKUP($D17,素材!$1:$1016,COLUMN($F$1),FALSE))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H17">
        <f>IF(ISNUMBER(SEARCH(SUBSTITUTE(AH$1,RIGHT(AH$1,2),""),VLOOKUP($D17,素材!$1:$1016,COLUMN($F$1),FALSE))),VLOOKUP($C17,装備品!$1:$998,COLUMN($O$1),FALSE)*VLOOKUP($D17,素材!$1:$1016,COLUMN($E$1),FALSE)/(LEN(VLOOKUP($D17,素材!$1:$1016,COLUMN($F$1),FALSE))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I17">
        <f>IF(ISNUMBER(SEARCH(SUBSTITUTE(AI$1,RIGHT(AI$1,2),""),VLOOKUP($D17,素材!$1:$1016,COLUMN($F$1),FALSE))),VLOOKUP($C17,装備品!$1:$998,COLUMN($O$1),FALSE)*VLOOKUP($D17,素材!$1:$1016,COLUMN($E$1),FALSE)/(LEN(VLOOKUP($D17,素材!$1:$1016,COLUMN($F$1),FALSE))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J17">
        <f>IF(ISNUMBER(SEARCH(SUBSTITUTE(AJ$1,RIGHT(AJ$1,2),""),VLOOKUP($D17,素材!$1:$1016,COLUMN($F$1),FALSE))),VLOOKUP($C17,装備品!$1:$998,COLUMN($O$1),FALSE)*VLOOKUP($D17,素材!$1:$1016,COLUMN($E$1),FALSE)/(LEN(VLOOKUP($D17,素材!$1:$1016,COLUMN($F$1),FALSE))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K17">
        <f>IF(ISNUMBER(SEARCH(SUBSTITUTE(AK$1,RIGHT(AK$1,2),""),VLOOKUP($D17,素材!$1:$1016,COLUMN($F$1),FALSE))),VLOOKUP($C17,装備品!$1:$998,COLUMN($O$1),FALSE)*VLOOKUP($D17,素材!$1:$1016,COLUMN($E$1),FALSE)/(LEN(VLOOKUP($D17,素材!$1:$1016,COLUMN($F$1),FALSE))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L17">
        <f>IF(ISNUMBER(SEARCH(SUBSTITUTE(AL$1,RIGHT(AL$1,2),""),VLOOKUP($D17,素材!$1:$1016,COLUMN($F$1),FALSE))),VLOOKUP($C17,装備品!$1:$998,COLUMN($O$1),FALSE)*VLOOKUP($D17,素材!$1:$1016,COLUMN($E$1),FALSE)/(LEN(VLOOKUP($D17,素材!$1:$1016,COLUMN($F$1),FALSE))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M17">
        <f>IF(ISNUMBER(SEARCH(SUBSTITUTE(AM$1,RIGHT(AM$1,2),""),VLOOKUP($D17,素材!$1:$1016,COLUMN($F$1),FALSE))),VLOOKUP($C17,装備品!$1:$998,COLUMN($O$1),FALSE)*VLOOKUP($D17,素材!$1:$1016,COLUMN($E$1),FALSE)/(LEN(VLOOKUP($D17,素材!$1:$1016,COLUMN($F$1),FALSE))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N17">
        <f>IF(ISNUMBER(SEARCH(SUBSTITUTE(AN$1,RIGHT(AN$1,2),""),VLOOKUP($D17,素材!$1:$1016,COLUMN($F$1),FALSE))),VLOOKUP($C17,装備品!$1:$998,COLUMN($O$1),FALSE)*VLOOKUP($D17,素材!$1:$1016,COLUMN($E$1),FALSE)/(LEN(VLOOKUP($D17,素材!$1:$1016,COLUMN($F$1),FALSE))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O17">
        <f>IF(ISNUMBER(SEARCH(SUBSTITUTE(AO$1,RIGHT(AO$1,2),""),VLOOKUP($D17,素材!$1:$1016,COLUMN($F$1),FALSE))),VLOOKUP($C17,装備品!$1:$998,COLUMN($O$1),FALSE)*VLOOKUP($D17,素材!$1:$1016,COLUMN($E$1),FALSE)/(LEN(VLOOKUP($D17,素材!$1:$1016,COLUMN($F$1),FALSE))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P17">
        <f>IF(ISNUMBER(SEARCH(SUBSTITUTE(AP$1,RIGHT(AP$1,2),""),VLOOKUP($D17,素材!$1:$1016,COLUMN($F$1),FALSE))),VLOOKUP($C17,装備品!$1:$998,COLUMN($O$1),FALSE)*VLOOKUP($D17,素材!$1:$1016,COLUMN($E$1),FALSE)/(LEN(VLOOKUP($D17,素材!$1:$1016,COLUMN($F$1),FALSE))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Q17">
        <f>IF(ISNUMBER(SEARCH(SUBSTITUTE(AQ$1,RIGHT(AQ$1,2),""),VLOOKUP($D17,素材!$1:$1016,COLUMN($F$1),FALSE))),VLOOKUP($C17,装備品!$1:$998,COLUMN($O$1),FALSE)*VLOOKUP($D17,素材!$1:$1016,COLUMN($E$1),FALSE)/(LEN(VLOOKUP($D17,素材!$1:$1016,COLUMN($F$1),FALSE))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R17">
        <f>IF(ISNUMBER(SEARCH(SUBSTITUTE(AR$1,RIGHT(AR$1,2),""),VLOOKUP($D17,素材!$1:$1016,COLUMN($F$1),FALSE))),VLOOKUP($C17,装備品!$1:$998,COLUMN($O$1),FALSE)*VLOOKUP($D17,素材!$1:$1016,COLUMN($E$1),FALSE)/(LEN(VLOOKUP($D17,素材!$1:$1016,COLUMN($F$1),FALSE))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S17">
        <f>IF(ISNUMBER(SEARCH(SUBSTITUTE(AS$1,RIGHT(AS$1,2),""),VLOOKUP($D17,素材!$1:$1016,COLUMN($F$1),FALSE))),VLOOKUP($C17,装備品!$1:$998,COLUMN($O$1),FALSE)*VLOOKUP($D17,素材!$1:$1016,COLUMN($E$1),FALSE)/(LEN(VLOOKUP($D17,素材!$1:$1016,COLUMN($F$1),FALSE))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T17">
        <f>IF(ISNUMBER(SEARCH(SUBSTITUTE(AT$1,RIGHT(AT$1,2),""),VLOOKUP($D17,素材!$1:$1016,COLUMN($F$1),FALSE))),VLOOKUP($C17,装備品!$1:$998,COLUMN($O$1),FALSE)*VLOOKUP($D17,素材!$1:$1016,COLUMN($E$1),FALSE)/(LEN(VLOOKUP($D17,素材!$1:$1016,COLUMN($F$1),FALSE))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U17">
        <f>IF(ISNUMBER(SEARCH(SUBSTITUTE(AU$1,RIGHT(AU$1,2),""),VLOOKUP($D17,素材!$1:$1016,COLUMN($F$1),FALSE))),VLOOKUP($C17,装備品!$1:$998,COLUMN($O$1),FALSE)*VLOOKUP($D17,素材!$1:$1016,COLUMN($E$1),FALSE)/(LEN(VLOOKUP($D17,素材!$1:$1016,COLUMN($F$1),FALSE))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V17">
        <f>IF(ISNUMBER(SEARCH(SUBSTITUTE(AV$1,RIGHT(AV$1,2),""),VLOOKUP($D17,素材!$1:$1016,COLUMN($F$1),FALSE))),VLOOKUP($C17,装備品!$1:$998,COLUMN($O$1),FALSE)*VLOOKUP($D17,素材!$1:$1016,COLUMN($E$1),FALSE)/(LEN(VLOOKUP($D17,素材!$1:$1016,COLUMN($F$1),FALSE))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W17">
        <f>IF(ISNUMBER(SEARCH(SUBSTITUTE(AW$1,RIGHT(AW$1,2),""),VLOOKUP($D17,素材!$1:$1016,COLUMN($F$1),FALSE))),VLOOKUP($C17,装備品!$1:$998,COLUMN($O$1),FALSE)*VLOOKUP($D17,素材!$1:$1016,COLUMN($E$1),FALSE)/(LEN(VLOOKUP($D17,素材!$1:$1016,COLUMN($F$1),FALSE))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X17">
        <f>IF(ISNUMBER(SEARCH(SUBSTITUTE(AX$1,RIGHT(AX$1,2),""),VLOOKUP($D17,素材!$1:$1016,COLUMN($F$1),FALSE))),VLOOKUP($C17,装備品!$1:$998,COLUMN($O$1),FALSE)*VLOOKUP($D17,素材!$1:$1016,COLUMN($E$1),FALSE)/(LEN(VLOOKUP($D17,素材!$1:$1016,COLUMN($F$1),FALSE))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Y17">
        <f>IF(ISNUMBER(SEARCH(SUBSTITUTE(AY$1,RIGHT(AY$1,2),""),VLOOKUP($D17,素材!$1:$1016,COLUMN($F$1),FALSE))),VLOOKUP($C17,装備品!$1:$998,COLUMN($O$1),FALSE)*VLOOKUP($D17,素材!$1:$1016,COLUMN($E$1),FALSE)/(LEN(VLOOKUP($D17,素材!$1:$1016,COLUMN($F$1),FALSE))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Z17">
        <f>IF(ISNUMBER(SEARCH(SUBSTITUTE(AZ$1,RIGHT(AZ$1,2),""),VLOOKUP($D17,素材!$1:$1016,COLUMN($F$1),FALSE))),VLOOKUP($C17,装備品!$1:$998,COLUMN($O$1),FALSE)*VLOOKUP($D17,素材!$1:$1016,COLUMN($E$1),FALSE)/(LEN(VLOOKUP($D17,素材!$1:$1016,COLUMN($F$1),FALSE))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BA17">
        <f>IF(ISNUMBER(SEARCH(SUBSTITUTE(BA$1,RIGHT(BA$1,2),""),VLOOKUP($D17,素材!$1:$1016,COLUMN($F$1),FALSE))),VLOOKUP($C17,装備品!$1:$998,COLUMN($O$1),FALSE)*VLOOKUP($D17,素材!$1:$1016,COLUMN($E$1),FALSE)/(LEN(VLOOKUP($D17,素材!$1:$1016,COLUMN($F$1),FALSE))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BB17">
        <f>IF(ISNUMBER(SEARCH(SUBSTITUTE(BB$1,RIGHT(BB$1,2),""),VLOOKUP($D17,素材!$1:$1016,COLUMN($F$1),FALSE))),VLOOKUP($C17,装備品!$1:$998,COLUMN($O$1),FALSE)*VLOOKUP($D17,素材!$1:$1016,COLUMN($E$1),FALSE)/(LEN(VLOOKUP($D17,素材!$1:$1016,COLUMN($F$1),FALSE))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BC17">
        <f>IF(ISNUMBER(SEARCH(SUBSTITUTE(BC$1,RIGHT(BC$1,2),""),VLOOKUP($D17,素材!$1:$1016,COLUMN($F$1),FALSE))),VLOOKUP($C17,装備品!$1:$998,COLUMN($O$1),FALSE)*VLOOKUP($D17,素材!$1:$1016,COLUMN($E$1),FALSE)/(LEN(VLOOKUP($D17,素材!$1:$1016,COLUMN($F$1),FALSE))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BD17">
        <f>IF(ISNUMBER(SEARCH(SUBSTITUTE(BD$1,RIGHT(BD$1,2),""),VLOOKUP($D17,素材!$1:$1016,COLUMN($F$1),FALSE))),VLOOKUP($C17,装備品!$1:$998,COLUMN($O$1),FALSE)*VLOOKUP($D17,素材!$1:$1016,COLUMN($E$1),FALSE)/(LEN(VLOOKUP($D17,素材!$1:$1016,COLUMN($F$1),FALSE))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BE17">
        <f>IF(ISNUMBER(SEARCH(SUBSTITUTE(BE$1,RIGHT(BE$1,2),""),VLOOKUP($D17,素材!$1:$1016,COLUMN($F$1),FALSE))),VLOOKUP($C17,装備品!$1:$998,COLUMN($O$1),FALSE)*VLOOKUP($D17,素材!$1:$1016,COLUMN($E$1),FALSE)/(LEN(VLOOKUP($D17,素材!$1:$1016,COLUMN($F$1),FALSE))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CL17">
        <f t="shared" si="1"/>
        <v>24</v>
      </c>
      <c r="CM17" s="22" t="str">
        <f t="shared" si="2"/>
        <v>貫通.webp</v>
      </c>
      <c r="CN17">
        <f>IFERROR(VLOOKUP($C17,装備品!$1:$998,COLUMN(V$1),FALSE)*VLOOKUP($D17,素材!$1:$1016,COLUMN(N$1),FALSE)+IF(CI17="",0,VLOOKUP($CI17,付与!$1:$1176,COLUMN($CK$1),FALSE)),"")</f>
        <v>0</v>
      </c>
      <c r="CO17" t="str">
        <f>VLOOKUP(D17,素材!$A:$O,COLUMN(素材!O$1),FALSE)</f>
        <v>一般的な鉄。量産品を作るのに使用されることが多い</v>
      </c>
      <c r="CP17" t="str">
        <f>VLOOKUP(C17,装備品!$A:$AB,COLUMN(装備品!AB$1),FALSE)</f>
        <v>棘棍。打撃と刺突を兼ね備えた武器。</v>
      </c>
      <c r="CR17" t="str">
        <f t="shared" si="3"/>
        <v>e_17</v>
      </c>
      <c r="CS17">
        <f t="shared" si="4"/>
        <v>0</v>
      </c>
    </row>
    <row r="18" spans="1:97" outlineLevel="1" x14ac:dyDescent="0.4">
      <c r="A18" t="str">
        <f t="shared" si="0"/>
        <v>鉄の鎚</v>
      </c>
      <c r="B18" t="str">
        <f>IFERROR(VLOOKUP($D18,素材!$1:$1016,COLUMN($B$1),FALSE)&amp;"・"&amp;VLOOKUP($C18,装備品!$1:$998,COLUMN(B$1),FALSE),"")</f>
        <v>アイアン・ハンマー</v>
      </c>
      <c r="C18" t="s">
        <v>226</v>
      </c>
      <c r="D18" s="24" t="s">
        <v>256</v>
      </c>
      <c r="E18" t="str">
        <f>IFERROR(VLOOKUP(C18,装備品!$1:$998,COLUMN(C$1),FALSE),"")</f>
        <v>武器</v>
      </c>
      <c r="F18">
        <f>IFERROR(ROUNDDOWN((VLOOKUP($C18,装備品!$1:$998,COLUMN(D$1),FALSE)+IFERROR(VLOOKUP($CI18,付与!$1:$1167,COLUMN(F$1),FALSE),0))*VLOOKUP($D18,素材!$1:$1016,COLUMN(D$1),FALSE),0),"")</f>
        <v>110</v>
      </c>
      <c r="G18">
        <f>IFERROR(ROUNDDOWN((VLOOKUP($C18,装備品!$1:$998,COLUMN(E$1),FALSE)+IFERROR(VLOOKUP($CI18,付与!$1:$1167,COLUMN(G$1),FALSE),0))*VLOOKUP($D18,素材!$1:$1016,COLUMN($E$1),FALSE),0),"")</f>
        <v>0</v>
      </c>
      <c r="H18">
        <f>IFERROR(ROUNDDOWN((VLOOKUP($C18,装備品!$1:$998,COLUMN(F$1),FALSE)+IFERROR(VLOOKUP($CI18,付与!$1:$1167,COLUMN(H$1),FALSE),0))*VLOOKUP($D18,素材!$1:$1016,COLUMN($E$1),FALSE),0),"")</f>
        <v>0</v>
      </c>
      <c r="I18">
        <f>IFERROR(ROUNDDOWN((VLOOKUP($C18,装備品!$1:$998,COLUMN(G$1),FALSE)+IFERROR(VLOOKUP($CI18,付与!$1:$1167,COLUMN(I$1),FALSE),0))*VLOOKUP($D18,素材!$1:$1016,COLUMN($E$1),FALSE),0),"")</f>
        <v>22</v>
      </c>
      <c r="J18">
        <f>IFERROR(ROUNDDOWN((VLOOKUP($C18,装備品!$1:$998,COLUMN(H$1),FALSE)+IFERROR(VLOOKUP($CI18,付与!$1:$1167,COLUMN(J$1),FALSE),0))*VLOOKUP($D18,素材!$1:$1016,COLUMN($E$1),FALSE),0),"")</f>
        <v>19</v>
      </c>
      <c r="K18">
        <f>IFERROR(ROUNDDOWN((VLOOKUP($C18,装備品!$1:$998,COLUMN(I$1),FALSE)+IFERROR(VLOOKUP($CI18,付与!$1:$1167,COLUMN(K$1),FALSE),0))*VLOOKUP($D18,素材!$1:$1016,COLUMN($E$1),FALSE),0),"")</f>
        <v>0</v>
      </c>
      <c r="L18">
        <f>IFERROR(VLOOKUP($D18,素材!$1:$1016,COLUMN($F$1),FALSE),"")</f>
        <v>0</v>
      </c>
      <c r="M18">
        <f>IFERROR(VLOOKUP($C18,装備品!$1:$998,COLUMN(AA$1),FALSE)*VLOOKUP($D18,素材!$1:$1016,COLUMN($G$1),FALSE),"")</f>
        <v>0</v>
      </c>
      <c r="N18">
        <f>IFERROR(VLOOKUP($C18,装備品!$1:$998,COLUMN(I$1),FALSE),"")</f>
        <v>0</v>
      </c>
      <c r="O18" s="23">
        <f>IFERROR((VLOOKUP($C18,装備品!$1:$998,COLUMN(K$1),FALSE)+VLOOKUP($D18,素材!$1:$1016,COLUMN(H$1),FALSE))*100+IFERROR(VLOOKUP($CI18,付与!$1:$1167,COLUMN(O$1),FALSE),0),"")</f>
        <v>10</v>
      </c>
      <c r="P18" s="23">
        <f>IFERROR((VLOOKUP($C18,装備品!$1:$998,COLUMN(L$1),FALSE)+VLOOKUP($D18,素材!$1:$1016,COLUMN(I$1),FALSE))*100+IFERROR(VLOOKUP($CI18,付与!$1:$1167,COLUMN(P$1),FALSE),0),"")</f>
        <v>150</v>
      </c>
      <c r="Q18">
        <f>IFERROR(ROUNDUP(VLOOKUP($C18,装備品!$1:$998,COLUMN(M$1),FALSE)*(VLOOKUP($D18,素材!$1:$1002,COLUMN(D$1),FALSE)/100),1),"")</f>
        <v>-2.5</v>
      </c>
      <c r="R18">
        <f>IFERROR(ROUNDUP(VLOOKUP($C18,装備品!$1:$998,COLUMN(N$1),FALSE)*(VLOOKUP($D18,素材!$1:$1002,COLUMN(D$1),FALSE)/100),1),"")</f>
        <v>0</v>
      </c>
      <c r="S18">
        <f>IFERROR(VLOOKUP($C18,装備品!$1:$998,COLUMN(P$1),FALSE),"")</f>
        <v>0</v>
      </c>
      <c r="T18">
        <f>IFERROR(VLOOKUP($C18,装備品!$1:$998,COLUMN(Q$1),FALSE),"")</f>
        <v>0</v>
      </c>
      <c r="U18">
        <f>IFERROR(VLOOKUP($C18,装備品!$1:$998,COLUMN(R$1),FALSE),"")</f>
        <v>0</v>
      </c>
      <c r="V18">
        <f>IFERROR(VLOOKUP($C18,装備品!$1:$998,COLUMN(Q$1),FALSE),"")</f>
        <v>0</v>
      </c>
      <c r="W18">
        <f>IFERROR(VLOOKUP($C18,装備品!$1:$998,COLUMN(T$1),FALSE),"")</f>
        <v>0</v>
      </c>
      <c r="Y18">
        <f>IFERROR(VLOOKUP($C18,装備品!$1:$998,COLUMN(U$1),FALSE),"")</f>
        <v>0</v>
      </c>
      <c r="Z18">
        <f>IFERROR(ROUNDUP(VLOOKUP($C18,装備品!$1:$998,COLUMN(O$1),FALSE)*VLOOKUP($D18,素材!$1:$1016,COLUMN(E$1),FALSE),1),"")</f>
        <v>0</v>
      </c>
      <c r="AA18">
        <f>IF(ISNUMBER(SEARCH(SUBSTITUTE(AA$1,RIGHT(AA$1,2),""),VLOOKUP($D18,素材!$1:$1016,COLUMN($F$1),FALSE))),VLOOKUP($C18,装備品!$1:$998,COLUMN($O$1),FALSE)*VLOOKUP($D18,素材!$1:$1016,COLUMN($E$1),FALSE)/(LEN(VLOOKUP($D18,素材!$1:$1016,COLUMN($F$1),FALSE))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B18">
        <f>IF(ISNUMBER(SEARCH(SUBSTITUTE(AB$1,RIGHT(AB$1,2),""),VLOOKUP($D18,素材!$1:$1016,COLUMN($F$1),FALSE))),VLOOKUP($C18,装備品!$1:$998,COLUMN($O$1),FALSE)*VLOOKUP($D18,素材!$1:$1016,COLUMN($E$1),FALSE)/(LEN(VLOOKUP($D18,素材!$1:$1016,COLUMN($F$1),FALSE))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C18">
        <f>IF(ISNUMBER(SEARCH(SUBSTITUTE(AC$1,RIGHT(AC$1,2),""),VLOOKUP($D18,素材!$1:$1016,COLUMN($F$1),FALSE))),VLOOKUP($C18,装備品!$1:$998,COLUMN($O$1),FALSE)*VLOOKUP($D18,素材!$1:$1016,COLUMN($E$1),FALSE)/(LEN(VLOOKUP($D18,素材!$1:$1016,COLUMN($F$1),FALSE))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D18">
        <f>IF(ISNUMBER(SEARCH(SUBSTITUTE(AD$1,RIGHT(AD$1,2),""),VLOOKUP($D18,素材!$1:$1016,COLUMN($F$1),FALSE))),VLOOKUP($C18,装備品!$1:$998,COLUMN($O$1),FALSE)*VLOOKUP($D18,素材!$1:$1016,COLUMN($E$1),FALSE)/(LEN(VLOOKUP($D18,素材!$1:$1016,COLUMN($F$1),FALSE))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E18">
        <f>IF(ISNUMBER(SEARCH(SUBSTITUTE(AE$1,RIGHT(AE$1,2),""),VLOOKUP($D18,素材!$1:$1016,COLUMN($F$1),FALSE))),VLOOKUP($C18,装備品!$1:$998,COLUMN($O$1),FALSE)*VLOOKUP($D18,素材!$1:$1016,COLUMN($E$1),FALSE)/(LEN(VLOOKUP($D18,素材!$1:$1016,COLUMN($F$1),FALSE))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F18">
        <f>IF(ISNUMBER(SEARCH(SUBSTITUTE(AF$1,RIGHT(AF$1,2),""),VLOOKUP($D18,素材!$1:$1016,COLUMN($F$1),FALSE))),VLOOKUP($C18,装備品!$1:$998,COLUMN($O$1),FALSE)*VLOOKUP($D18,素材!$1:$1016,COLUMN($E$1),FALSE)/(LEN(VLOOKUP($D18,素材!$1:$1016,COLUMN($F$1),FALSE))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G18">
        <f>IF(ISNUMBER(SEARCH(SUBSTITUTE(AG$1,RIGHT(AG$1,2),""),VLOOKUP($D18,素材!$1:$1016,COLUMN($F$1),FALSE))),VLOOKUP($C18,装備品!$1:$998,COLUMN($O$1),FALSE)*VLOOKUP($D18,素材!$1:$1016,COLUMN($E$1),FALSE)/(LEN(VLOOKUP($D18,素材!$1:$1016,COLUMN($F$1),FALSE))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H18">
        <f>IF(ISNUMBER(SEARCH(SUBSTITUTE(AH$1,RIGHT(AH$1,2),""),VLOOKUP($D18,素材!$1:$1016,COLUMN($F$1),FALSE))),VLOOKUP($C18,装備品!$1:$998,COLUMN($O$1),FALSE)*VLOOKUP($D18,素材!$1:$1016,COLUMN($E$1),FALSE)/(LEN(VLOOKUP($D18,素材!$1:$1016,COLUMN($F$1),FALSE))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I18">
        <f>IF(ISNUMBER(SEARCH(SUBSTITUTE(AI$1,RIGHT(AI$1,2),""),VLOOKUP($D18,素材!$1:$1016,COLUMN($F$1),FALSE))),VLOOKUP($C18,装備品!$1:$998,COLUMN($O$1),FALSE)*VLOOKUP($D18,素材!$1:$1016,COLUMN($E$1),FALSE)/(LEN(VLOOKUP($D18,素材!$1:$1016,COLUMN($F$1),FALSE))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J18">
        <f>IF(ISNUMBER(SEARCH(SUBSTITUTE(AJ$1,RIGHT(AJ$1,2),""),VLOOKUP($D18,素材!$1:$1016,COLUMN($F$1),FALSE))),VLOOKUP($C18,装備品!$1:$998,COLUMN($O$1),FALSE)*VLOOKUP($D18,素材!$1:$1016,COLUMN($E$1),FALSE)/(LEN(VLOOKUP($D18,素材!$1:$1016,COLUMN($F$1),FALSE))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K18">
        <f>IF(ISNUMBER(SEARCH(SUBSTITUTE(AK$1,RIGHT(AK$1,2),""),VLOOKUP($D18,素材!$1:$1016,COLUMN($F$1),FALSE))),VLOOKUP($C18,装備品!$1:$998,COLUMN($O$1),FALSE)*VLOOKUP($D18,素材!$1:$1016,COLUMN($E$1),FALSE)/(LEN(VLOOKUP($D18,素材!$1:$1016,COLUMN($F$1),FALSE))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L18">
        <f>IF(ISNUMBER(SEARCH(SUBSTITUTE(AL$1,RIGHT(AL$1,2),""),VLOOKUP($D18,素材!$1:$1016,COLUMN($F$1),FALSE))),VLOOKUP($C18,装備品!$1:$998,COLUMN($O$1),FALSE)*VLOOKUP($D18,素材!$1:$1016,COLUMN($E$1),FALSE)/(LEN(VLOOKUP($D18,素材!$1:$1016,COLUMN($F$1),FALSE))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M18">
        <f>IF(ISNUMBER(SEARCH(SUBSTITUTE(AM$1,RIGHT(AM$1,2),""),VLOOKUP($D18,素材!$1:$1016,COLUMN($F$1),FALSE))),VLOOKUP($C18,装備品!$1:$998,COLUMN($O$1),FALSE)*VLOOKUP($D18,素材!$1:$1016,COLUMN($E$1),FALSE)/(LEN(VLOOKUP($D18,素材!$1:$1016,COLUMN($F$1),FALSE))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N18">
        <f>IF(ISNUMBER(SEARCH(SUBSTITUTE(AN$1,RIGHT(AN$1,2),""),VLOOKUP($D18,素材!$1:$1016,COLUMN($F$1),FALSE))),VLOOKUP($C18,装備品!$1:$998,COLUMN($O$1),FALSE)*VLOOKUP($D18,素材!$1:$1016,COLUMN($E$1),FALSE)/(LEN(VLOOKUP($D18,素材!$1:$1016,COLUMN($F$1),FALSE))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O18">
        <f>IF(ISNUMBER(SEARCH(SUBSTITUTE(AO$1,RIGHT(AO$1,2),""),VLOOKUP($D18,素材!$1:$1016,COLUMN($F$1),FALSE))),VLOOKUP($C18,装備品!$1:$998,COLUMN($O$1),FALSE)*VLOOKUP($D18,素材!$1:$1016,COLUMN($E$1),FALSE)/(LEN(VLOOKUP($D18,素材!$1:$1016,COLUMN($F$1),FALSE))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P18">
        <f>IF(ISNUMBER(SEARCH(SUBSTITUTE(AP$1,RIGHT(AP$1,2),""),VLOOKUP($D18,素材!$1:$1016,COLUMN($F$1),FALSE))),VLOOKUP($C18,装備品!$1:$998,COLUMN($O$1),FALSE)*VLOOKUP($D18,素材!$1:$1016,COLUMN($E$1),FALSE)/(LEN(VLOOKUP($D18,素材!$1:$1016,COLUMN($F$1),FALSE))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Q18">
        <f>IF(ISNUMBER(SEARCH(SUBSTITUTE(AQ$1,RIGHT(AQ$1,2),""),VLOOKUP($D18,素材!$1:$1016,COLUMN($F$1),FALSE))),VLOOKUP($C18,装備品!$1:$998,COLUMN($O$1),FALSE)*VLOOKUP($D18,素材!$1:$1016,COLUMN($E$1),FALSE)/(LEN(VLOOKUP($D18,素材!$1:$1016,COLUMN($F$1),FALSE))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R18">
        <f>IF(ISNUMBER(SEARCH(SUBSTITUTE(AR$1,RIGHT(AR$1,2),""),VLOOKUP($D18,素材!$1:$1016,COLUMN($F$1),FALSE))),VLOOKUP($C18,装備品!$1:$998,COLUMN($O$1),FALSE)*VLOOKUP($D18,素材!$1:$1016,COLUMN($E$1),FALSE)/(LEN(VLOOKUP($D18,素材!$1:$1016,COLUMN($F$1),FALSE))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S18">
        <f>IF(ISNUMBER(SEARCH(SUBSTITUTE(AS$1,RIGHT(AS$1,2),""),VLOOKUP($D18,素材!$1:$1016,COLUMN($F$1),FALSE))),VLOOKUP($C18,装備品!$1:$998,COLUMN($O$1),FALSE)*VLOOKUP($D18,素材!$1:$1016,COLUMN($E$1),FALSE)/(LEN(VLOOKUP($D18,素材!$1:$1016,COLUMN($F$1),FALSE))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T18">
        <f>IF(ISNUMBER(SEARCH(SUBSTITUTE(AT$1,RIGHT(AT$1,2),""),VLOOKUP($D18,素材!$1:$1016,COLUMN($F$1),FALSE))),VLOOKUP($C18,装備品!$1:$998,COLUMN($O$1),FALSE)*VLOOKUP($D18,素材!$1:$1016,COLUMN($E$1),FALSE)/(LEN(VLOOKUP($D18,素材!$1:$1016,COLUMN($F$1),FALSE))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U18">
        <f>IF(ISNUMBER(SEARCH(SUBSTITUTE(AU$1,RIGHT(AU$1,2),""),VLOOKUP($D18,素材!$1:$1016,COLUMN($F$1),FALSE))),VLOOKUP($C18,装備品!$1:$998,COLUMN($O$1),FALSE)*VLOOKUP($D18,素材!$1:$1016,COLUMN($E$1),FALSE)/(LEN(VLOOKUP($D18,素材!$1:$1016,COLUMN($F$1),FALSE))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V18">
        <f>IF(ISNUMBER(SEARCH(SUBSTITUTE(AV$1,RIGHT(AV$1,2),""),VLOOKUP($D18,素材!$1:$1016,COLUMN($F$1),FALSE))),VLOOKUP($C18,装備品!$1:$998,COLUMN($O$1),FALSE)*VLOOKUP($D18,素材!$1:$1016,COLUMN($E$1),FALSE)/(LEN(VLOOKUP($D18,素材!$1:$1016,COLUMN($F$1),FALSE))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W18">
        <f>IF(ISNUMBER(SEARCH(SUBSTITUTE(AW$1,RIGHT(AW$1,2),""),VLOOKUP($D18,素材!$1:$1016,COLUMN($F$1),FALSE))),VLOOKUP($C18,装備品!$1:$998,COLUMN($O$1),FALSE)*VLOOKUP($D18,素材!$1:$1016,COLUMN($E$1),FALSE)/(LEN(VLOOKUP($D18,素材!$1:$1016,COLUMN($F$1),FALSE))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X18">
        <f>IF(ISNUMBER(SEARCH(SUBSTITUTE(AX$1,RIGHT(AX$1,2),""),VLOOKUP($D18,素材!$1:$1016,COLUMN($F$1),FALSE))),VLOOKUP($C18,装備品!$1:$998,COLUMN($O$1),FALSE)*VLOOKUP($D18,素材!$1:$1016,COLUMN($E$1),FALSE)/(LEN(VLOOKUP($D18,素材!$1:$1016,COLUMN($F$1),FALSE))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Y18">
        <f>IF(ISNUMBER(SEARCH(SUBSTITUTE(AY$1,RIGHT(AY$1,2),""),VLOOKUP($D18,素材!$1:$1016,COLUMN($F$1),FALSE))),VLOOKUP($C18,装備品!$1:$998,COLUMN($O$1),FALSE)*VLOOKUP($D18,素材!$1:$1016,COLUMN($E$1),FALSE)/(LEN(VLOOKUP($D18,素材!$1:$1016,COLUMN($F$1),FALSE))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Z18">
        <f>IF(ISNUMBER(SEARCH(SUBSTITUTE(AZ$1,RIGHT(AZ$1,2),""),VLOOKUP($D18,素材!$1:$1016,COLUMN($F$1),FALSE))),VLOOKUP($C18,装備品!$1:$998,COLUMN($O$1),FALSE)*VLOOKUP($D18,素材!$1:$1016,COLUMN($E$1),FALSE)/(LEN(VLOOKUP($D18,素材!$1:$1016,COLUMN($F$1),FALSE))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BA18">
        <f>IF(ISNUMBER(SEARCH(SUBSTITUTE(BA$1,RIGHT(BA$1,2),""),VLOOKUP($D18,素材!$1:$1016,COLUMN($F$1),FALSE))),VLOOKUP($C18,装備品!$1:$998,COLUMN($O$1),FALSE)*VLOOKUP($D18,素材!$1:$1016,COLUMN($E$1),FALSE)/(LEN(VLOOKUP($D18,素材!$1:$1016,COLUMN($F$1),FALSE))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BB18">
        <f>IF(ISNUMBER(SEARCH(SUBSTITUTE(BB$1,RIGHT(BB$1,2),""),VLOOKUP($D18,素材!$1:$1016,COLUMN($F$1),FALSE))),VLOOKUP($C18,装備品!$1:$998,COLUMN($O$1),FALSE)*VLOOKUP($D18,素材!$1:$1016,COLUMN($E$1),FALSE)/(LEN(VLOOKUP($D18,素材!$1:$1016,COLUMN($F$1),FALSE))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BC18">
        <f>IF(ISNUMBER(SEARCH(SUBSTITUTE(BC$1,RIGHT(BC$1,2),""),VLOOKUP($D18,素材!$1:$1016,COLUMN($F$1),FALSE))),VLOOKUP($C18,装備品!$1:$998,COLUMN($O$1),FALSE)*VLOOKUP($D18,素材!$1:$1016,COLUMN($E$1),FALSE)/(LEN(VLOOKUP($D18,素材!$1:$1016,COLUMN($F$1),FALSE))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BD18">
        <f>IF(ISNUMBER(SEARCH(SUBSTITUTE(BD$1,RIGHT(BD$1,2),""),VLOOKUP($D18,素材!$1:$1016,COLUMN($F$1),FALSE))),VLOOKUP($C18,装備品!$1:$998,COLUMN($O$1),FALSE)*VLOOKUP($D18,素材!$1:$1016,COLUMN($E$1),FALSE)/(LEN(VLOOKUP($D18,素材!$1:$1016,COLUMN($F$1),FALSE))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BE18">
        <f>IF(ISNUMBER(SEARCH(SUBSTITUTE(BE$1,RIGHT(BE$1,2),""),VLOOKUP($D18,素材!$1:$1016,COLUMN($F$1),FALSE))),VLOOKUP($C18,装備品!$1:$998,COLUMN($O$1),FALSE)*VLOOKUP($D18,素材!$1:$1016,COLUMN($E$1),FALSE)/(LEN(VLOOKUP($D18,素材!$1:$1016,COLUMN($F$1),FALSE))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CL18">
        <f t="shared" si="1"/>
        <v>22</v>
      </c>
      <c r="CM18" s="22" t="str">
        <f t="shared" si="2"/>
        <v>打撃.webp</v>
      </c>
      <c r="CN18">
        <f>IFERROR(VLOOKUP($C18,装備品!$1:$998,COLUMN(V$1),FALSE)*VLOOKUP($D18,素材!$1:$1016,COLUMN(N$1),FALSE)+IF(CI18="",0,VLOOKUP($CI18,付与!$1:$1176,COLUMN($CK$1),FALSE)),"")</f>
        <v>0</v>
      </c>
      <c r="CO18" t="str">
        <f>VLOOKUP(D18,素材!$A:$O,COLUMN(素材!O$1),FALSE)</f>
        <v>一般的な鉄。量産品を作るのに使用されることが多い</v>
      </c>
      <c r="CP18" t="str">
        <f>VLOOKUP(C18,装備品!$A:$AB,COLUMN(装備品!AB$1),FALSE)</f>
        <v>鎚。打撃力に優れ、投擲にも対応。</v>
      </c>
      <c r="CR18" t="str">
        <f t="shared" si="3"/>
        <v>e_18</v>
      </c>
      <c r="CS18">
        <f t="shared" si="4"/>
        <v>0</v>
      </c>
    </row>
    <row r="19" spans="1:97" outlineLevel="1" x14ac:dyDescent="0.4">
      <c r="A19" t="str">
        <f t="shared" si="0"/>
        <v>鉄の戦鎚</v>
      </c>
      <c r="B19" t="str">
        <f>IFERROR(VLOOKUP($D19,素材!$1:$1016,COLUMN($B$1),FALSE)&amp;"・"&amp;VLOOKUP($C19,装備品!$1:$998,COLUMN(B$1),FALSE),"")</f>
        <v>アイアン・ウォーハンマー</v>
      </c>
      <c r="C19" t="s">
        <v>225</v>
      </c>
      <c r="D19" s="24" t="s">
        <v>256</v>
      </c>
      <c r="E19" t="str">
        <f>IFERROR(VLOOKUP(C19,装備品!$1:$998,COLUMN(C$1),FALSE),"")</f>
        <v>武器</v>
      </c>
      <c r="F19">
        <f>IFERROR(ROUNDDOWN((VLOOKUP($C19,装備品!$1:$998,COLUMN(D$1),FALSE)+IFERROR(VLOOKUP($CI19,付与!$1:$1167,COLUMN(F$1),FALSE),0))*VLOOKUP($D19,素材!$1:$1016,COLUMN(D$1),FALSE),0),"")</f>
        <v>125</v>
      </c>
      <c r="G19">
        <f>IFERROR(ROUNDDOWN((VLOOKUP($C19,装備品!$1:$998,COLUMN(E$1),FALSE)+IFERROR(VLOOKUP($CI19,付与!$1:$1167,COLUMN(G$1),FALSE),0))*VLOOKUP($D19,素材!$1:$1016,COLUMN($E$1),FALSE),0),"")</f>
        <v>0</v>
      </c>
      <c r="H19">
        <f>IFERROR(ROUNDDOWN((VLOOKUP($C19,装備品!$1:$998,COLUMN(F$1),FALSE)+IFERROR(VLOOKUP($CI19,付与!$1:$1167,COLUMN(H$1),FALSE),0))*VLOOKUP($D19,素材!$1:$1016,COLUMN($E$1),FALSE),0),"")</f>
        <v>0</v>
      </c>
      <c r="I19">
        <f>IFERROR(ROUNDDOWN((VLOOKUP($C19,装備品!$1:$998,COLUMN(G$1),FALSE)+IFERROR(VLOOKUP($CI19,付与!$1:$1167,COLUMN(I$1),FALSE),0))*VLOOKUP($D19,素材!$1:$1016,COLUMN($E$1),FALSE),0),"")</f>
        <v>24</v>
      </c>
      <c r="J19">
        <f>IFERROR(ROUNDDOWN((VLOOKUP($C19,装備品!$1:$998,COLUMN(H$1),FALSE)+IFERROR(VLOOKUP($CI19,付与!$1:$1167,COLUMN(J$1),FALSE),0))*VLOOKUP($D19,素材!$1:$1016,COLUMN($E$1),FALSE),0),"")</f>
        <v>21</v>
      </c>
      <c r="K19">
        <f>IFERROR(ROUNDDOWN((VLOOKUP($C19,装備品!$1:$998,COLUMN(I$1),FALSE)+IFERROR(VLOOKUP($CI19,付与!$1:$1167,COLUMN(K$1),FALSE),0))*VLOOKUP($D19,素材!$1:$1016,COLUMN($E$1),FALSE),0),"")</f>
        <v>0</v>
      </c>
      <c r="L19">
        <f>IFERROR(VLOOKUP($D19,素材!$1:$1016,COLUMN($F$1),FALSE),"")</f>
        <v>0</v>
      </c>
      <c r="M19">
        <f>IFERROR(VLOOKUP($C19,装備品!$1:$998,COLUMN(AA$1),FALSE)*VLOOKUP($D19,素材!$1:$1016,COLUMN($G$1),FALSE),"")</f>
        <v>0</v>
      </c>
      <c r="N19">
        <f>IFERROR(VLOOKUP($C19,装備品!$1:$998,COLUMN(I$1),FALSE),"")</f>
        <v>0</v>
      </c>
      <c r="O19" s="23">
        <f>IFERROR((VLOOKUP($C19,装備品!$1:$998,COLUMN(K$1),FALSE)+VLOOKUP($D19,素材!$1:$1016,COLUMN(H$1),FALSE))*100+IFERROR(VLOOKUP($CI19,付与!$1:$1167,COLUMN(O$1),FALSE),0),"")</f>
        <v>10</v>
      </c>
      <c r="P19" s="23">
        <f>IFERROR((VLOOKUP($C19,装備品!$1:$998,COLUMN(L$1),FALSE)+VLOOKUP($D19,素材!$1:$1016,COLUMN(I$1),FALSE))*100+IFERROR(VLOOKUP($CI19,付与!$1:$1167,COLUMN(P$1),FALSE),0),"")</f>
        <v>150</v>
      </c>
      <c r="Q19">
        <f>IFERROR(ROUNDUP(VLOOKUP($C19,装備品!$1:$998,COLUMN(M$1),FALSE)*(VLOOKUP($D19,素材!$1:$1002,COLUMN(D$1),FALSE)/100),1),"")</f>
        <v>-5</v>
      </c>
      <c r="R19">
        <f>IFERROR(ROUNDUP(VLOOKUP($C19,装備品!$1:$998,COLUMN(N$1),FALSE)*(VLOOKUP($D19,素材!$1:$1002,COLUMN(D$1),FALSE)/100),1),"")</f>
        <v>-5</v>
      </c>
      <c r="S19">
        <f>IFERROR(VLOOKUP($C19,装備品!$1:$998,COLUMN(P$1),FALSE),"")</f>
        <v>0</v>
      </c>
      <c r="T19">
        <f>IFERROR(VLOOKUP($C19,装備品!$1:$998,COLUMN(Q$1),FALSE),"")</f>
        <v>0</v>
      </c>
      <c r="U19">
        <f>IFERROR(VLOOKUP($C19,装備品!$1:$998,COLUMN(R$1),FALSE),"")</f>
        <v>0</v>
      </c>
      <c r="V19">
        <f>IFERROR(VLOOKUP($C19,装備品!$1:$998,COLUMN(Q$1),FALSE),"")</f>
        <v>0</v>
      </c>
      <c r="W19">
        <f>IFERROR(VLOOKUP($C19,装備品!$1:$998,COLUMN(T$1),FALSE),"")</f>
        <v>0</v>
      </c>
      <c r="Y19">
        <f>IFERROR(VLOOKUP($C19,装備品!$1:$998,COLUMN(U$1),FALSE),"")</f>
        <v>0</v>
      </c>
      <c r="Z19">
        <f>IFERROR(ROUNDUP(VLOOKUP($C19,装備品!$1:$998,COLUMN(O$1),FALSE)*VLOOKUP($D19,素材!$1:$1016,COLUMN(E$1),FALSE),1),"")</f>
        <v>0</v>
      </c>
      <c r="AA19">
        <f>IF(ISNUMBER(SEARCH(SUBSTITUTE(AA$1,RIGHT(AA$1,2),""),VLOOKUP($D19,素材!$1:$1016,COLUMN($F$1),FALSE))),VLOOKUP($C19,装備品!$1:$998,COLUMN($O$1),FALSE)*VLOOKUP($D19,素材!$1:$1016,COLUMN($E$1),FALSE)/(LEN(VLOOKUP($D19,素材!$1:$1016,COLUMN($F$1),FALSE))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B19">
        <f>IF(ISNUMBER(SEARCH(SUBSTITUTE(AB$1,RIGHT(AB$1,2),""),VLOOKUP($D19,素材!$1:$1016,COLUMN($F$1),FALSE))),VLOOKUP($C19,装備品!$1:$998,COLUMN($O$1),FALSE)*VLOOKUP($D19,素材!$1:$1016,COLUMN($E$1),FALSE)/(LEN(VLOOKUP($D19,素材!$1:$1016,COLUMN($F$1),FALSE))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C19">
        <f>IF(ISNUMBER(SEARCH(SUBSTITUTE(AC$1,RIGHT(AC$1,2),""),VLOOKUP($D19,素材!$1:$1016,COLUMN($F$1),FALSE))),VLOOKUP($C19,装備品!$1:$998,COLUMN($O$1),FALSE)*VLOOKUP($D19,素材!$1:$1016,COLUMN($E$1),FALSE)/(LEN(VLOOKUP($D19,素材!$1:$1016,COLUMN($F$1),FALSE))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D19">
        <f>IF(ISNUMBER(SEARCH(SUBSTITUTE(AD$1,RIGHT(AD$1,2),""),VLOOKUP($D19,素材!$1:$1016,COLUMN($F$1),FALSE))),VLOOKUP($C19,装備品!$1:$998,COLUMN($O$1),FALSE)*VLOOKUP($D19,素材!$1:$1016,COLUMN($E$1),FALSE)/(LEN(VLOOKUP($D19,素材!$1:$1016,COLUMN($F$1),FALSE))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E19">
        <f>IF(ISNUMBER(SEARCH(SUBSTITUTE(AE$1,RIGHT(AE$1,2),""),VLOOKUP($D19,素材!$1:$1016,COLUMN($F$1),FALSE))),VLOOKUP($C19,装備品!$1:$998,COLUMN($O$1),FALSE)*VLOOKUP($D19,素材!$1:$1016,COLUMN($E$1),FALSE)/(LEN(VLOOKUP($D19,素材!$1:$1016,COLUMN($F$1),FALSE))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F19">
        <f>IF(ISNUMBER(SEARCH(SUBSTITUTE(AF$1,RIGHT(AF$1,2),""),VLOOKUP($D19,素材!$1:$1016,COLUMN($F$1),FALSE))),VLOOKUP($C19,装備品!$1:$998,COLUMN($O$1),FALSE)*VLOOKUP($D19,素材!$1:$1016,COLUMN($E$1),FALSE)/(LEN(VLOOKUP($D19,素材!$1:$1016,COLUMN($F$1),FALSE))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G19">
        <f>IF(ISNUMBER(SEARCH(SUBSTITUTE(AG$1,RIGHT(AG$1,2),""),VLOOKUP($D19,素材!$1:$1016,COLUMN($F$1),FALSE))),VLOOKUP($C19,装備品!$1:$998,COLUMN($O$1),FALSE)*VLOOKUP($D19,素材!$1:$1016,COLUMN($E$1),FALSE)/(LEN(VLOOKUP($D19,素材!$1:$1016,COLUMN($F$1),FALSE))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H19">
        <f>IF(ISNUMBER(SEARCH(SUBSTITUTE(AH$1,RIGHT(AH$1,2),""),VLOOKUP($D19,素材!$1:$1016,COLUMN($F$1),FALSE))),VLOOKUP($C19,装備品!$1:$998,COLUMN($O$1),FALSE)*VLOOKUP($D19,素材!$1:$1016,COLUMN($E$1),FALSE)/(LEN(VLOOKUP($D19,素材!$1:$1016,COLUMN($F$1),FALSE))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I19">
        <f>IF(ISNUMBER(SEARCH(SUBSTITUTE(AI$1,RIGHT(AI$1,2),""),VLOOKUP($D19,素材!$1:$1016,COLUMN($F$1),FALSE))),VLOOKUP($C19,装備品!$1:$998,COLUMN($O$1),FALSE)*VLOOKUP($D19,素材!$1:$1016,COLUMN($E$1),FALSE)/(LEN(VLOOKUP($D19,素材!$1:$1016,COLUMN($F$1),FALSE))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J19">
        <f>IF(ISNUMBER(SEARCH(SUBSTITUTE(AJ$1,RIGHT(AJ$1,2),""),VLOOKUP($D19,素材!$1:$1016,COLUMN($F$1),FALSE))),VLOOKUP($C19,装備品!$1:$998,COLUMN($O$1),FALSE)*VLOOKUP($D19,素材!$1:$1016,COLUMN($E$1),FALSE)/(LEN(VLOOKUP($D19,素材!$1:$1016,COLUMN($F$1),FALSE))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K19">
        <f>IF(ISNUMBER(SEARCH(SUBSTITUTE(AK$1,RIGHT(AK$1,2),""),VLOOKUP($D19,素材!$1:$1016,COLUMN($F$1),FALSE))),VLOOKUP($C19,装備品!$1:$998,COLUMN($O$1),FALSE)*VLOOKUP($D19,素材!$1:$1016,COLUMN($E$1),FALSE)/(LEN(VLOOKUP($D19,素材!$1:$1016,COLUMN($F$1),FALSE))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L19">
        <f>IF(ISNUMBER(SEARCH(SUBSTITUTE(AL$1,RIGHT(AL$1,2),""),VLOOKUP($D19,素材!$1:$1016,COLUMN($F$1),FALSE))),VLOOKUP($C19,装備品!$1:$998,COLUMN($O$1),FALSE)*VLOOKUP($D19,素材!$1:$1016,COLUMN($E$1),FALSE)/(LEN(VLOOKUP($D19,素材!$1:$1016,COLUMN($F$1),FALSE))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M19">
        <f>IF(ISNUMBER(SEARCH(SUBSTITUTE(AM$1,RIGHT(AM$1,2),""),VLOOKUP($D19,素材!$1:$1016,COLUMN($F$1),FALSE))),VLOOKUP($C19,装備品!$1:$998,COLUMN($O$1),FALSE)*VLOOKUP($D19,素材!$1:$1016,COLUMN($E$1),FALSE)/(LEN(VLOOKUP($D19,素材!$1:$1016,COLUMN($F$1),FALSE))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N19">
        <f>IF(ISNUMBER(SEARCH(SUBSTITUTE(AN$1,RIGHT(AN$1,2),""),VLOOKUP($D19,素材!$1:$1016,COLUMN($F$1),FALSE))),VLOOKUP($C19,装備品!$1:$998,COLUMN($O$1),FALSE)*VLOOKUP($D19,素材!$1:$1016,COLUMN($E$1),FALSE)/(LEN(VLOOKUP($D19,素材!$1:$1016,COLUMN($F$1),FALSE))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O19">
        <f>IF(ISNUMBER(SEARCH(SUBSTITUTE(AO$1,RIGHT(AO$1,2),""),VLOOKUP($D19,素材!$1:$1016,COLUMN($F$1),FALSE))),VLOOKUP($C19,装備品!$1:$998,COLUMN($O$1),FALSE)*VLOOKUP($D19,素材!$1:$1016,COLUMN($E$1),FALSE)/(LEN(VLOOKUP($D19,素材!$1:$1016,COLUMN($F$1),FALSE))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P19">
        <f>IF(ISNUMBER(SEARCH(SUBSTITUTE(AP$1,RIGHT(AP$1,2),""),VLOOKUP($D19,素材!$1:$1016,COLUMN($F$1),FALSE))),VLOOKUP($C19,装備品!$1:$998,COLUMN($O$1),FALSE)*VLOOKUP($D19,素材!$1:$1016,COLUMN($E$1),FALSE)/(LEN(VLOOKUP($D19,素材!$1:$1016,COLUMN($F$1),FALSE))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Q19">
        <f>IF(ISNUMBER(SEARCH(SUBSTITUTE(AQ$1,RIGHT(AQ$1,2),""),VLOOKUP($D19,素材!$1:$1016,COLUMN($F$1),FALSE))),VLOOKUP($C19,装備品!$1:$998,COLUMN($O$1),FALSE)*VLOOKUP($D19,素材!$1:$1016,COLUMN($E$1),FALSE)/(LEN(VLOOKUP($D19,素材!$1:$1016,COLUMN($F$1),FALSE))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R19">
        <f>IF(ISNUMBER(SEARCH(SUBSTITUTE(AR$1,RIGHT(AR$1,2),""),VLOOKUP($D19,素材!$1:$1016,COLUMN($F$1),FALSE))),VLOOKUP($C19,装備品!$1:$998,COLUMN($O$1),FALSE)*VLOOKUP($D19,素材!$1:$1016,COLUMN($E$1),FALSE)/(LEN(VLOOKUP($D19,素材!$1:$1016,COLUMN($F$1),FALSE))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S19">
        <f>IF(ISNUMBER(SEARCH(SUBSTITUTE(AS$1,RIGHT(AS$1,2),""),VLOOKUP($D19,素材!$1:$1016,COLUMN($F$1),FALSE))),VLOOKUP($C19,装備品!$1:$998,COLUMN($O$1),FALSE)*VLOOKUP($D19,素材!$1:$1016,COLUMN($E$1),FALSE)/(LEN(VLOOKUP($D19,素材!$1:$1016,COLUMN($F$1),FALSE))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T19">
        <f>IF(ISNUMBER(SEARCH(SUBSTITUTE(AT$1,RIGHT(AT$1,2),""),VLOOKUP($D19,素材!$1:$1016,COLUMN($F$1),FALSE))),VLOOKUP($C19,装備品!$1:$998,COLUMN($O$1),FALSE)*VLOOKUP($D19,素材!$1:$1016,COLUMN($E$1),FALSE)/(LEN(VLOOKUP($D19,素材!$1:$1016,COLUMN($F$1),FALSE))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U19">
        <f>IF(ISNUMBER(SEARCH(SUBSTITUTE(AU$1,RIGHT(AU$1,2),""),VLOOKUP($D19,素材!$1:$1016,COLUMN($F$1),FALSE))),VLOOKUP($C19,装備品!$1:$998,COLUMN($O$1),FALSE)*VLOOKUP($D19,素材!$1:$1016,COLUMN($E$1),FALSE)/(LEN(VLOOKUP($D19,素材!$1:$1016,COLUMN($F$1),FALSE))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V19">
        <f>IF(ISNUMBER(SEARCH(SUBSTITUTE(AV$1,RIGHT(AV$1,2),""),VLOOKUP($D19,素材!$1:$1016,COLUMN($F$1),FALSE))),VLOOKUP($C19,装備品!$1:$998,COLUMN($O$1),FALSE)*VLOOKUP($D19,素材!$1:$1016,COLUMN($E$1),FALSE)/(LEN(VLOOKUP($D19,素材!$1:$1016,COLUMN($F$1),FALSE))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W19">
        <f>IF(ISNUMBER(SEARCH(SUBSTITUTE(AW$1,RIGHT(AW$1,2),""),VLOOKUP($D19,素材!$1:$1016,COLUMN($F$1),FALSE))),VLOOKUP($C19,装備品!$1:$998,COLUMN($O$1),FALSE)*VLOOKUP($D19,素材!$1:$1016,COLUMN($E$1),FALSE)/(LEN(VLOOKUP($D19,素材!$1:$1016,COLUMN($F$1),FALSE))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X19">
        <f>IF(ISNUMBER(SEARCH(SUBSTITUTE(AX$1,RIGHT(AX$1,2),""),VLOOKUP($D19,素材!$1:$1016,COLUMN($F$1),FALSE))),VLOOKUP($C19,装備品!$1:$998,COLUMN($O$1),FALSE)*VLOOKUP($D19,素材!$1:$1016,COLUMN($E$1),FALSE)/(LEN(VLOOKUP($D19,素材!$1:$1016,COLUMN($F$1),FALSE))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Y19">
        <f>IF(ISNUMBER(SEARCH(SUBSTITUTE(AY$1,RIGHT(AY$1,2),""),VLOOKUP($D19,素材!$1:$1016,COLUMN($F$1),FALSE))),VLOOKUP($C19,装備品!$1:$998,COLUMN($O$1),FALSE)*VLOOKUP($D19,素材!$1:$1016,COLUMN($E$1),FALSE)/(LEN(VLOOKUP($D19,素材!$1:$1016,COLUMN($F$1),FALSE))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Z19">
        <f>IF(ISNUMBER(SEARCH(SUBSTITUTE(AZ$1,RIGHT(AZ$1,2),""),VLOOKUP($D19,素材!$1:$1016,COLUMN($F$1),FALSE))),VLOOKUP($C19,装備品!$1:$998,COLUMN($O$1),FALSE)*VLOOKUP($D19,素材!$1:$1016,COLUMN($E$1),FALSE)/(LEN(VLOOKUP($D19,素材!$1:$1016,COLUMN($F$1),FALSE))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BA19">
        <f>IF(ISNUMBER(SEARCH(SUBSTITUTE(BA$1,RIGHT(BA$1,2),""),VLOOKUP($D19,素材!$1:$1016,COLUMN($F$1),FALSE))),VLOOKUP($C19,装備品!$1:$998,COLUMN($O$1),FALSE)*VLOOKUP($D19,素材!$1:$1016,COLUMN($E$1),FALSE)/(LEN(VLOOKUP($D19,素材!$1:$1016,COLUMN($F$1),FALSE))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BB19">
        <f>IF(ISNUMBER(SEARCH(SUBSTITUTE(BB$1,RIGHT(BB$1,2),""),VLOOKUP($D19,素材!$1:$1016,COLUMN($F$1),FALSE))),VLOOKUP($C19,装備品!$1:$998,COLUMN($O$1),FALSE)*VLOOKUP($D19,素材!$1:$1016,COLUMN($E$1),FALSE)/(LEN(VLOOKUP($D19,素材!$1:$1016,COLUMN($F$1),FALSE))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BC19">
        <f>IF(ISNUMBER(SEARCH(SUBSTITUTE(BC$1,RIGHT(BC$1,2),""),VLOOKUP($D19,素材!$1:$1016,COLUMN($F$1),FALSE))),VLOOKUP($C19,装備品!$1:$998,COLUMN($O$1),FALSE)*VLOOKUP($D19,素材!$1:$1016,COLUMN($E$1),FALSE)/(LEN(VLOOKUP($D19,素材!$1:$1016,COLUMN($F$1),FALSE))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BD19">
        <f>IF(ISNUMBER(SEARCH(SUBSTITUTE(BD$1,RIGHT(BD$1,2),""),VLOOKUP($D19,素材!$1:$1016,COLUMN($F$1),FALSE))),VLOOKUP($C19,装備品!$1:$998,COLUMN($O$1),FALSE)*VLOOKUP($D19,素材!$1:$1016,COLUMN($E$1),FALSE)/(LEN(VLOOKUP($D19,素材!$1:$1016,COLUMN($F$1),FALSE))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BE19">
        <f>IF(ISNUMBER(SEARCH(SUBSTITUTE(BE$1,RIGHT(BE$1,2),""),VLOOKUP($D19,素材!$1:$1016,COLUMN($F$1),FALSE))),VLOOKUP($C19,装備品!$1:$998,COLUMN($O$1),FALSE)*VLOOKUP($D19,素材!$1:$1016,COLUMN($E$1),FALSE)/(LEN(VLOOKUP($D19,素材!$1:$1016,COLUMN($F$1),FALSE))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CL19">
        <f t="shared" si="1"/>
        <v>24</v>
      </c>
      <c r="CM19" s="22" t="str">
        <f t="shared" si="2"/>
        <v>打撃.webp</v>
      </c>
      <c r="CN19">
        <f>IFERROR(VLOOKUP($C19,装備品!$1:$998,COLUMN(V$1),FALSE)*VLOOKUP($D19,素材!$1:$1016,COLUMN(N$1),FALSE)+IF(CI19="",0,VLOOKUP($CI19,付与!$1:$1176,COLUMN($CK$1),FALSE)),"")</f>
        <v>0</v>
      </c>
      <c r="CO19" t="str">
        <f>VLOOKUP(D19,素材!$A:$O,COLUMN(素材!O$1),FALSE)</f>
        <v>一般的な鉄。量産品を作るのに使用されることが多い</v>
      </c>
      <c r="CP19" t="str">
        <f>VLOOKUP(C19,装備品!$A:$AB,COLUMN(装備品!AB$1),FALSE)</f>
        <v>戦鎚。重い打撃を与える強力な武器。</v>
      </c>
      <c r="CR19" t="str">
        <f t="shared" si="3"/>
        <v>e_19</v>
      </c>
      <c r="CS19">
        <f t="shared" si="4"/>
        <v>0</v>
      </c>
    </row>
    <row r="20" spans="1:97" outlineLevel="1" x14ac:dyDescent="0.4">
      <c r="A20" t="str">
        <f t="shared" si="0"/>
        <v>鉄の鎌</v>
      </c>
      <c r="B20" t="str">
        <f>IFERROR(VLOOKUP($D20,素材!$1:$1016,COLUMN($B$1),FALSE)&amp;"・"&amp;VLOOKUP($C20,装備品!$1:$998,COLUMN(B$1),FALSE),"")</f>
        <v>アイアン・シックル</v>
      </c>
      <c r="C20" t="s">
        <v>224</v>
      </c>
      <c r="D20" s="24" t="s">
        <v>256</v>
      </c>
      <c r="E20" t="str">
        <f>IFERROR(VLOOKUP(C20,装備品!$1:$998,COLUMN(C$1),FALSE),"")</f>
        <v>武器</v>
      </c>
      <c r="F20">
        <f>IFERROR(ROUNDDOWN((VLOOKUP($C20,装備品!$1:$998,COLUMN(D$1),FALSE)+IFERROR(VLOOKUP($CI20,付与!$1:$1167,COLUMN(F$1),FALSE),0))*VLOOKUP($D20,素材!$1:$1016,COLUMN(D$1),FALSE),0),"")</f>
        <v>125</v>
      </c>
      <c r="G20">
        <f>IFERROR(ROUNDDOWN((VLOOKUP($C20,装備品!$1:$998,COLUMN(E$1),FALSE)+IFERROR(VLOOKUP($CI20,付与!$1:$1167,COLUMN(G$1),FALSE),0))*VLOOKUP($D20,素材!$1:$1016,COLUMN($E$1),FALSE),0),"")</f>
        <v>9</v>
      </c>
      <c r="H20">
        <f>IFERROR(ROUNDDOWN((VLOOKUP($C20,装備品!$1:$998,COLUMN(F$1),FALSE)+IFERROR(VLOOKUP($CI20,付与!$1:$1167,COLUMN(H$1),FALSE),0))*VLOOKUP($D20,素材!$1:$1016,COLUMN($E$1),FALSE),0),"")</f>
        <v>11</v>
      </c>
      <c r="I20">
        <f>IFERROR(ROUNDDOWN((VLOOKUP($C20,装備品!$1:$998,COLUMN(G$1),FALSE)+IFERROR(VLOOKUP($CI20,付与!$1:$1167,COLUMN(I$1),FALSE),0))*VLOOKUP($D20,素材!$1:$1016,COLUMN($E$1),FALSE),0),"")</f>
        <v>1</v>
      </c>
      <c r="J20">
        <f>IFERROR(ROUNDDOWN((VLOOKUP($C20,装備品!$1:$998,COLUMN(H$1),FALSE)+IFERROR(VLOOKUP($CI20,付与!$1:$1167,COLUMN(J$1),FALSE),0))*VLOOKUP($D20,素材!$1:$1016,COLUMN($E$1),FALSE),0),"")</f>
        <v>17</v>
      </c>
      <c r="K20">
        <f>IFERROR(ROUNDDOWN((VLOOKUP($C20,装備品!$1:$998,COLUMN(I$1),FALSE)+IFERROR(VLOOKUP($CI20,付与!$1:$1167,COLUMN(K$1),FALSE),0))*VLOOKUP($D20,素材!$1:$1016,COLUMN($E$1),FALSE),0),"")</f>
        <v>0</v>
      </c>
      <c r="L20">
        <f>IFERROR(VLOOKUP($D20,素材!$1:$1016,COLUMN($F$1),FALSE),"")</f>
        <v>0</v>
      </c>
      <c r="M20">
        <f>IFERROR(VLOOKUP($C20,装備品!$1:$998,COLUMN(AA$1),FALSE)*VLOOKUP($D20,素材!$1:$1016,COLUMN($G$1),FALSE),"")</f>
        <v>0</v>
      </c>
      <c r="N20">
        <f>IFERROR(VLOOKUP($C20,装備品!$1:$998,COLUMN(I$1),FALSE),"")</f>
        <v>0</v>
      </c>
      <c r="O20" s="23">
        <f>IFERROR((VLOOKUP($C20,装備品!$1:$998,COLUMN(K$1),FALSE)+VLOOKUP($D20,素材!$1:$1016,COLUMN(H$1),FALSE))*100+IFERROR(VLOOKUP($CI20,付与!$1:$1167,COLUMN(O$1),FALSE),0),"")</f>
        <v>5</v>
      </c>
      <c r="P20" s="23">
        <f>IFERROR((VLOOKUP($C20,装備品!$1:$998,COLUMN(L$1),FALSE)+VLOOKUP($D20,素材!$1:$1016,COLUMN(I$1),FALSE))*100+IFERROR(VLOOKUP($CI20,付与!$1:$1167,COLUMN(P$1),FALSE),0),"")</f>
        <v>200</v>
      </c>
      <c r="Q20">
        <f>IFERROR(ROUNDUP(VLOOKUP($C20,装備品!$1:$998,COLUMN(M$1),FALSE)*(VLOOKUP($D20,素材!$1:$1002,COLUMN(D$1),FALSE)/100),1),"")</f>
        <v>0</v>
      </c>
      <c r="R20">
        <f>IFERROR(ROUNDUP(VLOOKUP($C20,装備品!$1:$998,COLUMN(N$1),FALSE)*(VLOOKUP($D20,素材!$1:$1002,COLUMN(D$1),FALSE)/100),1),"")</f>
        <v>0</v>
      </c>
      <c r="S20">
        <f>IFERROR(VLOOKUP($C20,装備品!$1:$998,COLUMN(P$1),FALSE),"")</f>
        <v>0</v>
      </c>
      <c r="T20">
        <f>IFERROR(VLOOKUP($C20,装備品!$1:$998,COLUMN(Q$1),FALSE),"")</f>
        <v>0</v>
      </c>
      <c r="U20">
        <f>IFERROR(VLOOKUP($C20,装備品!$1:$998,COLUMN(R$1),FALSE),"")</f>
        <v>0</v>
      </c>
      <c r="V20">
        <f>IFERROR(VLOOKUP($C20,装備品!$1:$998,COLUMN(Q$1),FALSE),"")</f>
        <v>0</v>
      </c>
      <c r="W20">
        <f>IFERROR(VLOOKUP($C20,装備品!$1:$998,COLUMN(T$1),FALSE),"")</f>
        <v>0</v>
      </c>
      <c r="Y20">
        <f>IFERROR(VLOOKUP($C20,装備品!$1:$998,COLUMN(U$1),FALSE),"")</f>
        <v>0</v>
      </c>
      <c r="Z20">
        <f>IFERROR(ROUNDUP(VLOOKUP($C20,装備品!$1:$998,COLUMN(O$1),FALSE)*VLOOKUP($D20,素材!$1:$1016,COLUMN(E$1),FALSE),1),"")</f>
        <v>0</v>
      </c>
      <c r="AA20">
        <f>IF(ISNUMBER(SEARCH(SUBSTITUTE(AA$1,RIGHT(AA$1,2),""),VLOOKUP($D20,素材!$1:$1016,COLUMN($F$1),FALSE))),VLOOKUP($C20,装備品!$1:$998,COLUMN($O$1),FALSE)*VLOOKUP($D20,素材!$1:$1016,COLUMN($E$1),FALSE)/(LEN(VLOOKUP($D20,素材!$1:$1016,COLUMN($F$1),FALSE))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B20">
        <f>IF(ISNUMBER(SEARCH(SUBSTITUTE(AB$1,RIGHT(AB$1,2),""),VLOOKUP($D20,素材!$1:$1016,COLUMN($F$1),FALSE))),VLOOKUP($C20,装備品!$1:$998,COLUMN($O$1),FALSE)*VLOOKUP($D20,素材!$1:$1016,COLUMN($E$1),FALSE)/(LEN(VLOOKUP($D20,素材!$1:$1016,COLUMN($F$1),FALSE))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C20">
        <f>IF(ISNUMBER(SEARCH(SUBSTITUTE(AC$1,RIGHT(AC$1,2),""),VLOOKUP($D20,素材!$1:$1016,COLUMN($F$1),FALSE))),VLOOKUP($C20,装備品!$1:$998,COLUMN($O$1),FALSE)*VLOOKUP($D20,素材!$1:$1016,COLUMN($E$1),FALSE)/(LEN(VLOOKUP($D20,素材!$1:$1016,COLUMN($F$1),FALSE))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D20">
        <f>IF(ISNUMBER(SEARCH(SUBSTITUTE(AD$1,RIGHT(AD$1,2),""),VLOOKUP($D20,素材!$1:$1016,COLUMN($F$1),FALSE))),VLOOKUP($C20,装備品!$1:$998,COLUMN($O$1),FALSE)*VLOOKUP($D20,素材!$1:$1016,COLUMN($E$1),FALSE)/(LEN(VLOOKUP($D20,素材!$1:$1016,COLUMN($F$1),FALSE))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E20">
        <f>IF(ISNUMBER(SEARCH(SUBSTITUTE(AE$1,RIGHT(AE$1,2),""),VLOOKUP($D20,素材!$1:$1016,COLUMN($F$1),FALSE))),VLOOKUP($C20,装備品!$1:$998,COLUMN($O$1),FALSE)*VLOOKUP($D20,素材!$1:$1016,COLUMN($E$1),FALSE)/(LEN(VLOOKUP($D20,素材!$1:$1016,COLUMN($F$1),FALSE))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F20">
        <f>IF(ISNUMBER(SEARCH(SUBSTITUTE(AF$1,RIGHT(AF$1,2),""),VLOOKUP($D20,素材!$1:$1016,COLUMN($F$1),FALSE))),VLOOKUP($C20,装備品!$1:$998,COLUMN($O$1),FALSE)*VLOOKUP($D20,素材!$1:$1016,COLUMN($E$1),FALSE)/(LEN(VLOOKUP($D20,素材!$1:$1016,COLUMN($F$1),FALSE))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G20">
        <f>IF(ISNUMBER(SEARCH(SUBSTITUTE(AG$1,RIGHT(AG$1,2),""),VLOOKUP($D20,素材!$1:$1016,COLUMN($F$1),FALSE))),VLOOKUP($C20,装備品!$1:$998,COLUMN($O$1),FALSE)*VLOOKUP($D20,素材!$1:$1016,COLUMN($E$1),FALSE)/(LEN(VLOOKUP($D20,素材!$1:$1016,COLUMN($F$1),FALSE))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H20">
        <f>IF(ISNUMBER(SEARCH(SUBSTITUTE(AH$1,RIGHT(AH$1,2),""),VLOOKUP($D20,素材!$1:$1016,COLUMN($F$1),FALSE))),VLOOKUP($C20,装備品!$1:$998,COLUMN($O$1),FALSE)*VLOOKUP($D20,素材!$1:$1016,COLUMN($E$1),FALSE)/(LEN(VLOOKUP($D20,素材!$1:$1016,COLUMN($F$1),FALSE))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I20">
        <f>IF(ISNUMBER(SEARCH(SUBSTITUTE(AI$1,RIGHT(AI$1,2),""),VLOOKUP($D20,素材!$1:$1016,COLUMN($F$1),FALSE))),VLOOKUP($C20,装備品!$1:$998,COLUMN($O$1),FALSE)*VLOOKUP($D20,素材!$1:$1016,COLUMN($E$1),FALSE)/(LEN(VLOOKUP($D20,素材!$1:$1016,COLUMN($F$1),FALSE))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J20">
        <f>IF(ISNUMBER(SEARCH(SUBSTITUTE(AJ$1,RIGHT(AJ$1,2),""),VLOOKUP($D20,素材!$1:$1016,COLUMN($F$1),FALSE))),VLOOKUP($C20,装備品!$1:$998,COLUMN($O$1),FALSE)*VLOOKUP($D20,素材!$1:$1016,COLUMN($E$1),FALSE)/(LEN(VLOOKUP($D20,素材!$1:$1016,COLUMN($F$1),FALSE))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K20">
        <f>IF(ISNUMBER(SEARCH(SUBSTITUTE(AK$1,RIGHT(AK$1,2),""),VLOOKUP($D20,素材!$1:$1016,COLUMN($F$1),FALSE))),VLOOKUP($C20,装備品!$1:$998,COLUMN($O$1),FALSE)*VLOOKUP($D20,素材!$1:$1016,COLUMN($E$1),FALSE)/(LEN(VLOOKUP($D20,素材!$1:$1016,COLUMN($F$1),FALSE))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L20">
        <f>IF(ISNUMBER(SEARCH(SUBSTITUTE(AL$1,RIGHT(AL$1,2),""),VLOOKUP($D20,素材!$1:$1016,COLUMN($F$1),FALSE))),VLOOKUP($C20,装備品!$1:$998,COLUMN($O$1),FALSE)*VLOOKUP($D20,素材!$1:$1016,COLUMN($E$1),FALSE)/(LEN(VLOOKUP($D20,素材!$1:$1016,COLUMN($F$1),FALSE))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M20">
        <f>IF(ISNUMBER(SEARCH(SUBSTITUTE(AM$1,RIGHT(AM$1,2),""),VLOOKUP($D20,素材!$1:$1016,COLUMN($F$1),FALSE))),VLOOKUP($C20,装備品!$1:$998,COLUMN($O$1),FALSE)*VLOOKUP($D20,素材!$1:$1016,COLUMN($E$1),FALSE)/(LEN(VLOOKUP($D20,素材!$1:$1016,COLUMN($F$1),FALSE))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N20">
        <f>IF(ISNUMBER(SEARCH(SUBSTITUTE(AN$1,RIGHT(AN$1,2),""),VLOOKUP($D20,素材!$1:$1016,COLUMN($F$1),FALSE))),VLOOKUP($C20,装備品!$1:$998,COLUMN($O$1),FALSE)*VLOOKUP($D20,素材!$1:$1016,COLUMN($E$1),FALSE)/(LEN(VLOOKUP($D20,素材!$1:$1016,COLUMN($F$1),FALSE))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O20">
        <f>IF(ISNUMBER(SEARCH(SUBSTITUTE(AO$1,RIGHT(AO$1,2),""),VLOOKUP($D20,素材!$1:$1016,COLUMN($F$1),FALSE))),VLOOKUP($C20,装備品!$1:$998,COLUMN($O$1),FALSE)*VLOOKUP($D20,素材!$1:$1016,COLUMN($E$1),FALSE)/(LEN(VLOOKUP($D20,素材!$1:$1016,COLUMN($F$1),FALSE))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P20">
        <f>IF(ISNUMBER(SEARCH(SUBSTITUTE(AP$1,RIGHT(AP$1,2),""),VLOOKUP($D20,素材!$1:$1016,COLUMN($F$1),FALSE))),VLOOKUP($C20,装備品!$1:$998,COLUMN($O$1),FALSE)*VLOOKUP($D20,素材!$1:$1016,COLUMN($E$1),FALSE)/(LEN(VLOOKUP($D20,素材!$1:$1016,COLUMN($F$1),FALSE))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Q20">
        <f>IF(ISNUMBER(SEARCH(SUBSTITUTE(AQ$1,RIGHT(AQ$1,2),""),VLOOKUP($D20,素材!$1:$1016,COLUMN($F$1),FALSE))),VLOOKUP($C20,装備品!$1:$998,COLUMN($O$1),FALSE)*VLOOKUP($D20,素材!$1:$1016,COLUMN($E$1),FALSE)/(LEN(VLOOKUP($D20,素材!$1:$1016,COLUMN($F$1),FALSE))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R20">
        <f>IF(ISNUMBER(SEARCH(SUBSTITUTE(AR$1,RIGHT(AR$1,2),""),VLOOKUP($D20,素材!$1:$1016,COLUMN($F$1),FALSE))),VLOOKUP($C20,装備品!$1:$998,COLUMN($O$1),FALSE)*VLOOKUP($D20,素材!$1:$1016,COLUMN($E$1),FALSE)/(LEN(VLOOKUP($D20,素材!$1:$1016,COLUMN($F$1),FALSE))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S20">
        <f>IF(ISNUMBER(SEARCH(SUBSTITUTE(AS$1,RIGHT(AS$1,2),""),VLOOKUP($D20,素材!$1:$1016,COLUMN($F$1),FALSE))),VLOOKUP($C20,装備品!$1:$998,COLUMN($O$1),FALSE)*VLOOKUP($D20,素材!$1:$1016,COLUMN($E$1),FALSE)/(LEN(VLOOKUP($D20,素材!$1:$1016,COLUMN($F$1),FALSE))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T20">
        <f>IF(ISNUMBER(SEARCH(SUBSTITUTE(AT$1,RIGHT(AT$1,2),""),VLOOKUP($D20,素材!$1:$1016,COLUMN($F$1),FALSE))),VLOOKUP($C20,装備品!$1:$998,COLUMN($O$1),FALSE)*VLOOKUP($D20,素材!$1:$1016,COLUMN($E$1),FALSE)/(LEN(VLOOKUP($D20,素材!$1:$1016,COLUMN($F$1),FALSE))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U20">
        <f>IF(ISNUMBER(SEARCH(SUBSTITUTE(AU$1,RIGHT(AU$1,2),""),VLOOKUP($D20,素材!$1:$1016,COLUMN($F$1),FALSE))),VLOOKUP($C20,装備品!$1:$998,COLUMN($O$1),FALSE)*VLOOKUP($D20,素材!$1:$1016,COLUMN($E$1),FALSE)/(LEN(VLOOKUP($D20,素材!$1:$1016,COLUMN($F$1),FALSE))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V20">
        <f>IF(ISNUMBER(SEARCH(SUBSTITUTE(AV$1,RIGHT(AV$1,2),""),VLOOKUP($D20,素材!$1:$1016,COLUMN($F$1),FALSE))),VLOOKUP($C20,装備品!$1:$998,COLUMN($O$1),FALSE)*VLOOKUP($D20,素材!$1:$1016,COLUMN($E$1),FALSE)/(LEN(VLOOKUP($D20,素材!$1:$1016,COLUMN($F$1),FALSE))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W20">
        <f>IF(ISNUMBER(SEARCH(SUBSTITUTE(AW$1,RIGHT(AW$1,2),""),VLOOKUP($D20,素材!$1:$1016,COLUMN($F$1),FALSE))),VLOOKUP($C20,装備品!$1:$998,COLUMN($O$1),FALSE)*VLOOKUP($D20,素材!$1:$1016,COLUMN($E$1),FALSE)/(LEN(VLOOKUP($D20,素材!$1:$1016,COLUMN($F$1),FALSE))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X20">
        <f>IF(ISNUMBER(SEARCH(SUBSTITUTE(AX$1,RIGHT(AX$1,2),""),VLOOKUP($D20,素材!$1:$1016,COLUMN($F$1),FALSE))),VLOOKUP($C20,装備品!$1:$998,COLUMN($O$1),FALSE)*VLOOKUP($D20,素材!$1:$1016,COLUMN($E$1),FALSE)/(LEN(VLOOKUP($D20,素材!$1:$1016,COLUMN($F$1),FALSE))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Y20">
        <f>IF(ISNUMBER(SEARCH(SUBSTITUTE(AY$1,RIGHT(AY$1,2),""),VLOOKUP($D20,素材!$1:$1016,COLUMN($F$1),FALSE))),VLOOKUP($C20,装備品!$1:$998,COLUMN($O$1),FALSE)*VLOOKUP($D20,素材!$1:$1016,COLUMN($E$1),FALSE)/(LEN(VLOOKUP($D20,素材!$1:$1016,COLUMN($F$1),FALSE))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Z20">
        <f>IF(ISNUMBER(SEARCH(SUBSTITUTE(AZ$1,RIGHT(AZ$1,2),""),VLOOKUP($D20,素材!$1:$1016,COLUMN($F$1),FALSE))),VLOOKUP($C20,装備品!$1:$998,COLUMN($O$1),FALSE)*VLOOKUP($D20,素材!$1:$1016,COLUMN($E$1),FALSE)/(LEN(VLOOKUP($D20,素材!$1:$1016,COLUMN($F$1),FALSE))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BA20">
        <f>IF(ISNUMBER(SEARCH(SUBSTITUTE(BA$1,RIGHT(BA$1,2),""),VLOOKUP($D20,素材!$1:$1016,COLUMN($F$1),FALSE))),VLOOKUP($C20,装備品!$1:$998,COLUMN($O$1),FALSE)*VLOOKUP($D20,素材!$1:$1016,COLUMN($E$1),FALSE)/(LEN(VLOOKUP($D20,素材!$1:$1016,COLUMN($F$1),FALSE))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BB20">
        <f>IF(ISNUMBER(SEARCH(SUBSTITUTE(BB$1,RIGHT(BB$1,2),""),VLOOKUP($D20,素材!$1:$1016,COLUMN($F$1),FALSE))),VLOOKUP($C20,装備品!$1:$998,COLUMN($O$1),FALSE)*VLOOKUP($D20,素材!$1:$1016,COLUMN($E$1),FALSE)/(LEN(VLOOKUP($D20,素材!$1:$1016,COLUMN($F$1),FALSE))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BC20">
        <f>IF(ISNUMBER(SEARCH(SUBSTITUTE(BC$1,RIGHT(BC$1,2),""),VLOOKUP($D20,素材!$1:$1016,COLUMN($F$1),FALSE))),VLOOKUP($C20,装備品!$1:$998,COLUMN($O$1),FALSE)*VLOOKUP($D20,素材!$1:$1016,COLUMN($E$1),FALSE)/(LEN(VLOOKUP($D20,素材!$1:$1016,COLUMN($F$1),FALSE))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BD20">
        <f>IF(ISNUMBER(SEARCH(SUBSTITUTE(BD$1,RIGHT(BD$1,2),""),VLOOKUP($D20,素材!$1:$1016,COLUMN($F$1),FALSE))),VLOOKUP($C20,装備品!$1:$998,COLUMN($O$1),FALSE)*VLOOKUP($D20,素材!$1:$1016,COLUMN($E$1),FALSE)/(LEN(VLOOKUP($D20,素材!$1:$1016,COLUMN($F$1),FALSE))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BE20">
        <f>IF(ISNUMBER(SEARCH(SUBSTITUTE(BE$1,RIGHT(BE$1,2),""),VLOOKUP($D20,素材!$1:$1016,COLUMN($F$1),FALSE))),VLOOKUP($C20,装備品!$1:$998,COLUMN($O$1),FALSE)*VLOOKUP($D20,素材!$1:$1016,COLUMN($E$1),FALSE)/(LEN(VLOOKUP($D20,素材!$1:$1016,COLUMN($F$1),FALSE))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CL20">
        <f t="shared" si="1"/>
        <v>21</v>
      </c>
      <c r="CM20" s="22" t="str">
        <f t="shared" si="2"/>
        <v>貫通.webp</v>
      </c>
      <c r="CN20">
        <f>IFERROR(VLOOKUP($C20,装備品!$1:$998,COLUMN(V$1),FALSE)*VLOOKUP($D20,素材!$1:$1016,COLUMN(N$1),FALSE)+IF(CI20="",0,VLOOKUP($CI20,付与!$1:$1176,COLUMN($CK$1),FALSE)),"")</f>
        <v>0</v>
      </c>
      <c r="CO20" t="str">
        <f>VLOOKUP(D20,素材!$A:$O,COLUMN(素材!O$1),FALSE)</f>
        <v>一般的な鉄。量産品を作るのに使用されることが多い</v>
      </c>
      <c r="CP20" t="str">
        <f>VLOOKUP(C20,装備品!$A:$AB,COLUMN(装備品!AB$1),FALSE)</f>
        <v>鎌。農具を転用した武器で、鋭い斬撃を与える。</v>
      </c>
      <c r="CR20" t="str">
        <f t="shared" si="3"/>
        <v>e_20</v>
      </c>
      <c r="CS20">
        <f t="shared" si="4"/>
        <v>0</v>
      </c>
    </row>
    <row r="21" spans="1:97" outlineLevel="1" x14ac:dyDescent="0.4">
      <c r="A21" t="str">
        <f t="shared" si="0"/>
        <v>鉄の戦斧</v>
      </c>
      <c r="B21" t="str">
        <f>IFERROR(VLOOKUP($D21,素材!$1:$1016,COLUMN($B$1),FALSE)&amp;"・"&amp;VLOOKUP($C21,装備品!$1:$998,COLUMN(B$1),FALSE),"")</f>
        <v>アイアン・バトルアックス</v>
      </c>
      <c r="C21" t="s">
        <v>223</v>
      </c>
      <c r="D21" s="24" t="s">
        <v>256</v>
      </c>
      <c r="E21" t="str">
        <f>IFERROR(VLOOKUP(C21,装備品!$1:$998,COLUMN(C$1),FALSE),"")</f>
        <v>武器</v>
      </c>
      <c r="F21">
        <f>IFERROR(ROUNDDOWN((VLOOKUP($C21,装備品!$1:$998,COLUMN(D$1),FALSE)+IFERROR(VLOOKUP($CI21,付与!$1:$1167,COLUMN(F$1),FALSE),0))*VLOOKUP($D21,素材!$1:$1016,COLUMN(D$1),FALSE),0),"")</f>
        <v>115</v>
      </c>
      <c r="G21">
        <f>IFERROR(ROUNDDOWN((VLOOKUP($C21,装備品!$1:$998,COLUMN(E$1),FALSE)+IFERROR(VLOOKUP($CI21,付与!$1:$1167,COLUMN(G$1),FALSE),0))*VLOOKUP($D21,素材!$1:$1016,COLUMN($E$1),FALSE),0),"")</f>
        <v>19</v>
      </c>
      <c r="H21">
        <f>IFERROR(ROUNDDOWN((VLOOKUP($C21,装備品!$1:$998,COLUMN(F$1),FALSE)+IFERROR(VLOOKUP($CI21,付与!$1:$1167,COLUMN(H$1),FALSE),0))*VLOOKUP($D21,素材!$1:$1016,COLUMN($E$1),FALSE),0),"")</f>
        <v>0</v>
      </c>
      <c r="I21">
        <f>IFERROR(ROUNDDOWN((VLOOKUP($C21,装備品!$1:$998,COLUMN(G$1),FALSE)+IFERROR(VLOOKUP($CI21,付与!$1:$1167,COLUMN(I$1),FALSE),0))*VLOOKUP($D21,素材!$1:$1016,COLUMN($E$1),FALSE),0),"")</f>
        <v>6</v>
      </c>
      <c r="J21">
        <f>IFERROR(ROUNDDOWN((VLOOKUP($C21,装備品!$1:$998,COLUMN(H$1),FALSE)+IFERROR(VLOOKUP($CI21,付与!$1:$1167,COLUMN(J$1),FALSE),0))*VLOOKUP($D21,素材!$1:$1016,COLUMN($E$1),FALSE),0),"")</f>
        <v>20</v>
      </c>
      <c r="K21">
        <f>IFERROR(ROUNDDOWN((VLOOKUP($C21,装備品!$1:$998,COLUMN(I$1),FALSE)+IFERROR(VLOOKUP($CI21,付与!$1:$1167,COLUMN(K$1),FALSE),0))*VLOOKUP($D21,素材!$1:$1016,COLUMN($E$1),FALSE),0),"")</f>
        <v>0</v>
      </c>
      <c r="L21">
        <f>IFERROR(VLOOKUP($D21,素材!$1:$1016,COLUMN($F$1),FALSE),"")</f>
        <v>0</v>
      </c>
      <c r="M21">
        <f>IFERROR(VLOOKUP($C21,装備品!$1:$998,COLUMN(AA$1),FALSE)*VLOOKUP($D21,素材!$1:$1016,COLUMN($G$1),FALSE),"")</f>
        <v>0</v>
      </c>
      <c r="N21">
        <f>IFERROR(VLOOKUP($C21,装備品!$1:$998,COLUMN(I$1),FALSE),"")</f>
        <v>0</v>
      </c>
      <c r="O21" s="23">
        <f>IFERROR((VLOOKUP($C21,装備品!$1:$998,COLUMN(K$1),FALSE)+VLOOKUP($D21,素材!$1:$1016,COLUMN(H$1),FALSE))*100+IFERROR(VLOOKUP($CI21,付与!$1:$1167,COLUMN(O$1),FALSE),0),"")</f>
        <v>5</v>
      </c>
      <c r="P21" s="23">
        <f>IFERROR((VLOOKUP($C21,装備品!$1:$998,COLUMN(L$1),FALSE)+VLOOKUP($D21,素材!$1:$1016,COLUMN(I$1),FALSE))*100+IFERROR(VLOOKUP($CI21,付与!$1:$1167,COLUMN(P$1),FALSE),0),"")</f>
        <v>175</v>
      </c>
      <c r="Q21">
        <f>IFERROR(ROUNDUP(VLOOKUP($C21,装備品!$1:$998,COLUMN(M$1),FALSE)*(VLOOKUP($D21,素材!$1:$1002,COLUMN(D$1),FALSE)/100),1),"")</f>
        <v>-2.5</v>
      </c>
      <c r="R21">
        <f>IFERROR(ROUNDUP(VLOOKUP($C21,装備品!$1:$998,COLUMN(N$1),FALSE)*(VLOOKUP($D21,素材!$1:$1002,COLUMN(D$1),FALSE)/100),1),"")</f>
        <v>0</v>
      </c>
      <c r="S21">
        <f>IFERROR(VLOOKUP($C21,装備品!$1:$998,COLUMN(P$1),FALSE),"")</f>
        <v>0</v>
      </c>
      <c r="T21">
        <f>IFERROR(VLOOKUP($C21,装備品!$1:$998,COLUMN(Q$1),FALSE),"")</f>
        <v>0</v>
      </c>
      <c r="U21">
        <f>IFERROR(VLOOKUP($C21,装備品!$1:$998,COLUMN(R$1),FALSE),"")</f>
        <v>0</v>
      </c>
      <c r="V21">
        <f>IFERROR(VLOOKUP($C21,装備品!$1:$998,COLUMN(Q$1),FALSE),"")</f>
        <v>0</v>
      </c>
      <c r="W21">
        <f>IFERROR(VLOOKUP($C21,装備品!$1:$998,COLUMN(T$1),FALSE),"")</f>
        <v>0</v>
      </c>
      <c r="Y21">
        <f>IFERROR(VLOOKUP($C21,装備品!$1:$998,COLUMN(U$1),FALSE),"")</f>
        <v>0</v>
      </c>
      <c r="Z21">
        <f>IFERROR(ROUNDUP(VLOOKUP($C21,装備品!$1:$998,COLUMN(O$1),FALSE)*VLOOKUP($D21,素材!$1:$1016,COLUMN(E$1),FALSE),1),"")</f>
        <v>0</v>
      </c>
      <c r="AA21">
        <f>IF(ISNUMBER(SEARCH(SUBSTITUTE(AA$1,RIGHT(AA$1,2),""),VLOOKUP($D21,素材!$1:$1016,COLUMN($F$1),FALSE))),VLOOKUP($C21,装備品!$1:$998,COLUMN($O$1),FALSE)*VLOOKUP($D21,素材!$1:$1016,COLUMN($E$1),FALSE)/(LEN(VLOOKUP($D21,素材!$1:$1016,COLUMN($F$1),FALSE))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B21">
        <f>IF(ISNUMBER(SEARCH(SUBSTITUTE(AB$1,RIGHT(AB$1,2),""),VLOOKUP($D21,素材!$1:$1016,COLUMN($F$1),FALSE))),VLOOKUP($C21,装備品!$1:$998,COLUMN($O$1),FALSE)*VLOOKUP($D21,素材!$1:$1016,COLUMN($E$1),FALSE)/(LEN(VLOOKUP($D21,素材!$1:$1016,COLUMN($F$1),FALSE))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C21">
        <f>IF(ISNUMBER(SEARCH(SUBSTITUTE(AC$1,RIGHT(AC$1,2),""),VLOOKUP($D21,素材!$1:$1016,COLUMN($F$1),FALSE))),VLOOKUP($C21,装備品!$1:$998,COLUMN($O$1),FALSE)*VLOOKUP($D21,素材!$1:$1016,COLUMN($E$1),FALSE)/(LEN(VLOOKUP($D21,素材!$1:$1016,COLUMN($F$1),FALSE))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D21">
        <f>IF(ISNUMBER(SEARCH(SUBSTITUTE(AD$1,RIGHT(AD$1,2),""),VLOOKUP($D21,素材!$1:$1016,COLUMN($F$1),FALSE))),VLOOKUP($C21,装備品!$1:$998,COLUMN($O$1),FALSE)*VLOOKUP($D21,素材!$1:$1016,COLUMN($E$1),FALSE)/(LEN(VLOOKUP($D21,素材!$1:$1016,COLUMN($F$1),FALSE))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E21">
        <f>IF(ISNUMBER(SEARCH(SUBSTITUTE(AE$1,RIGHT(AE$1,2),""),VLOOKUP($D21,素材!$1:$1016,COLUMN($F$1),FALSE))),VLOOKUP($C21,装備品!$1:$998,COLUMN($O$1),FALSE)*VLOOKUP($D21,素材!$1:$1016,COLUMN($E$1),FALSE)/(LEN(VLOOKUP($D21,素材!$1:$1016,COLUMN($F$1),FALSE))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F21">
        <f>IF(ISNUMBER(SEARCH(SUBSTITUTE(AF$1,RIGHT(AF$1,2),""),VLOOKUP($D21,素材!$1:$1016,COLUMN($F$1),FALSE))),VLOOKUP($C21,装備品!$1:$998,COLUMN($O$1),FALSE)*VLOOKUP($D21,素材!$1:$1016,COLUMN($E$1),FALSE)/(LEN(VLOOKUP($D21,素材!$1:$1016,COLUMN($F$1),FALSE))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G21">
        <f>IF(ISNUMBER(SEARCH(SUBSTITUTE(AG$1,RIGHT(AG$1,2),""),VLOOKUP($D21,素材!$1:$1016,COLUMN($F$1),FALSE))),VLOOKUP($C21,装備品!$1:$998,COLUMN($O$1),FALSE)*VLOOKUP($D21,素材!$1:$1016,COLUMN($E$1),FALSE)/(LEN(VLOOKUP($D21,素材!$1:$1016,COLUMN($F$1),FALSE))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H21">
        <f>IF(ISNUMBER(SEARCH(SUBSTITUTE(AH$1,RIGHT(AH$1,2),""),VLOOKUP($D21,素材!$1:$1016,COLUMN($F$1),FALSE))),VLOOKUP($C21,装備品!$1:$998,COLUMN($O$1),FALSE)*VLOOKUP($D21,素材!$1:$1016,COLUMN($E$1),FALSE)/(LEN(VLOOKUP($D21,素材!$1:$1016,COLUMN($F$1),FALSE))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I21">
        <f>IF(ISNUMBER(SEARCH(SUBSTITUTE(AI$1,RIGHT(AI$1,2),""),VLOOKUP($D21,素材!$1:$1016,COLUMN($F$1),FALSE))),VLOOKUP($C21,装備品!$1:$998,COLUMN($O$1),FALSE)*VLOOKUP($D21,素材!$1:$1016,COLUMN($E$1),FALSE)/(LEN(VLOOKUP($D21,素材!$1:$1016,COLUMN($F$1),FALSE))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J21">
        <f>IF(ISNUMBER(SEARCH(SUBSTITUTE(AJ$1,RIGHT(AJ$1,2),""),VLOOKUP($D21,素材!$1:$1016,COLUMN($F$1),FALSE))),VLOOKUP($C21,装備品!$1:$998,COLUMN($O$1),FALSE)*VLOOKUP($D21,素材!$1:$1016,COLUMN($E$1),FALSE)/(LEN(VLOOKUP($D21,素材!$1:$1016,COLUMN($F$1),FALSE))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K21">
        <f>IF(ISNUMBER(SEARCH(SUBSTITUTE(AK$1,RIGHT(AK$1,2),""),VLOOKUP($D21,素材!$1:$1016,COLUMN($F$1),FALSE))),VLOOKUP($C21,装備品!$1:$998,COLUMN($O$1),FALSE)*VLOOKUP($D21,素材!$1:$1016,COLUMN($E$1),FALSE)/(LEN(VLOOKUP($D21,素材!$1:$1016,COLUMN($F$1),FALSE))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L21">
        <f>IF(ISNUMBER(SEARCH(SUBSTITUTE(AL$1,RIGHT(AL$1,2),""),VLOOKUP($D21,素材!$1:$1016,COLUMN($F$1),FALSE))),VLOOKUP($C21,装備品!$1:$998,COLUMN($O$1),FALSE)*VLOOKUP($D21,素材!$1:$1016,COLUMN($E$1),FALSE)/(LEN(VLOOKUP($D21,素材!$1:$1016,COLUMN($F$1),FALSE))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M21">
        <f>IF(ISNUMBER(SEARCH(SUBSTITUTE(AM$1,RIGHT(AM$1,2),""),VLOOKUP($D21,素材!$1:$1016,COLUMN($F$1),FALSE))),VLOOKUP($C21,装備品!$1:$998,COLUMN($O$1),FALSE)*VLOOKUP($D21,素材!$1:$1016,COLUMN($E$1),FALSE)/(LEN(VLOOKUP($D21,素材!$1:$1016,COLUMN($F$1),FALSE))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N21">
        <f>IF(ISNUMBER(SEARCH(SUBSTITUTE(AN$1,RIGHT(AN$1,2),""),VLOOKUP($D21,素材!$1:$1016,COLUMN($F$1),FALSE))),VLOOKUP($C21,装備品!$1:$998,COLUMN($O$1),FALSE)*VLOOKUP($D21,素材!$1:$1016,COLUMN($E$1),FALSE)/(LEN(VLOOKUP($D21,素材!$1:$1016,COLUMN($F$1),FALSE))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O21">
        <f>IF(ISNUMBER(SEARCH(SUBSTITUTE(AO$1,RIGHT(AO$1,2),""),VLOOKUP($D21,素材!$1:$1016,COLUMN($F$1),FALSE))),VLOOKUP($C21,装備品!$1:$998,COLUMN($O$1),FALSE)*VLOOKUP($D21,素材!$1:$1016,COLUMN($E$1),FALSE)/(LEN(VLOOKUP($D21,素材!$1:$1016,COLUMN($F$1),FALSE))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P21">
        <f>IF(ISNUMBER(SEARCH(SUBSTITUTE(AP$1,RIGHT(AP$1,2),""),VLOOKUP($D21,素材!$1:$1016,COLUMN($F$1),FALSE))),VLOOKUP($C21,装備品!$1:$998,COLUMN($O$1),FALSE)*VLOOKUP($D21,素材!$1:$1016,COLUMN($E$1),FALSE)/(LEN(VLOOKUP($D21,素材!$1:$1016,COLUMN($F$1),FALSE))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Q21">
        <f>IF(ISNUMBER(SEARCH(SUBSTITUTE(AQ$1,RIGHT(AQ$1,2),""),VLOOKUP($D21,素材!$1:$1016,COLUMN($F$1),FALSE))),VLOOKUP($C21,装備品!$1:$998,COLUMN($O$1),FALSE)*VLOOKUP($D21,素材!$1:$1016,COLUMN($E$1),FALSE)/(LEN(VLOOKUP($D21,素材!$1:$1016,COLUMN($F$1),FALSE))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R21">
        <f>IF(ISNUMBER(SEARCH(SUBSTITUTE(AR$1,RIGHT(AR$1,2),""),VLOOKUP($D21,素材!$1:$1016,COLUMN($F$1),FALSE))),VLOOKUP($C21,装備品!$1:$998,COLUMN($O$1),FALSE)*VLOOKUP($D21,素材!$1:$1016,COLUMN($E$1),FALSE)/(LEN(VLOOKUP($D21,素材!$1:$1016,COLUMN($F$1),FALSE))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S21">
        <f>IF(ISNUMBER(SEARCH(SUBSTITUTE(AS$1,RIGHT(AS$1,2),""),VLOOKUP($D21,素材!$1:$1016,COLUMN($F$1),FALSE))),VLOOKUP($C21,装備品!$1:$998,COLUMN($O$1),FALSE)*VLOOKUP($D21,素材!$1:$1016,COLUMN($E$1),FALSE)/(LEN(VLOOKUP($D21,素材!$1:$1016,COLUMN($F$1),FALSE))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T21">
        <f>IF(ISNUMBER(SEARCH(SUBSTITUTE(AT$1,RIGHT(AT$1,2),""),VLOOKUP($D21,素材!$1:$1016,COLUMN($F$1),FALSE))),VLOOKUP($C21,装備品!$1:$998,COLUMN($O$1),FALSE)*VLOOKUP($D21,素材!$1:$1016,COLUMN($E$1),FALSE)/(LEN(VLOOKUP($D21,素材!$1:$1016,COLUMN($F$1),FALSE))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U21">
        <f>IF(ISNUMBER(SEARCH(SUBSTITUTE(AU$1,RIGHT(AU$1,2),""),VLOOKUP($D21,素材!$1:$1016,COLUMN($F$1),FALSE))),VLOOKUP($C21,装備品!$1:$998,COLUMN($O$1),FALSE)*VLOOKUP($D21,素材!$1:$1016,COLUMN($E$1),FALSE)/(LEN(VLOOKUP($D21,素材!$1:$1016,COLUMN($F$1),FALSE))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V21">
        <f>IF(ISNUMBER(SEARCH(SUBSTITUTE(AV$1,RIGHT(AV$1,2),""),VLOOKUP($D21,素材!$1:$1016,COLUMN($F$1),FALSE))),VLOOKUP($C21,装備品!$1:$998,COLUMN($O$1),FALSE)*VLOOKUP($D21,素材!$1:$1016,COLUMN($E$1),FALSE)/(LEN(VLOOKUP($D21,素材!$1:$1016,COLUMN($F$1),FALSE))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W21">
        <f>IF(ISNUMBER(SEARCH(SUBSTITUTE(AW$1,RIGHT(AW$1,2),""),VLOOKUP($D21,素材!$1:$1016,COLUMN($F$1),FALSE))),VLOOKUP($C21,装備品!$1:$998,COLUMN($O$1),FALSE)*VLOOKUP($D21,素材!$1:$1016,COLUMN($E$1),FALSE)/(LEN(VLOOKUP($D21,素材!$1:$1016,COLUMN($F$1),FALSE))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X21">
        <f>IF(ISNUMBER(SEARCH(SUBSTITUTE(AX$1,RIGHT(AX$1,2),""),VLOOKUP($D21,素材!$1:$1016,COLUMN($F$1),FALSE))),VLOOKUP($C21,装備品!$1:$998,COLUMN($O$1),FALSE)*VLOOKUP($D21,素材!$1:$1016,COLUMN($E$1),FALSE)/(LEN(VLOOKUP($D21,素材!$1:$1016,COLUMN($F$1),FALSE))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Y21">
        <f>IF(ISNUMBER(SEARCH(SUBSTITUTE(AY$1,RIGHT(AY$1,2),""),VLOOKUP($D21,素材!$1:$1016,COLUMN($F$1),FALSE))),VLOOKUP($C21,装備品!$1:$998,COLUMN($O$1),FALSE)*VLOOKUP($D21,素材!$1:$1016,COLUMN($E$1),FALSE)/(LEN(VLOOKUP($D21,素材!$1:$1016,COLUMN($F$1),FALSE))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Z21">
        <f>IF(ISNUMBER(SEARCH(SUBSTITUTE(AZ$1,RIGHT(AZ$1,2),""),VLOOKUP($D21,素材!$1:$1016,COLUMN($F$1),FALSE))),VLOOKUP($C21,装備品!$1:$998,COLUMN($O$1),FALSE)*VLOOKUP($D21,素材!$1:$1016,COLUMN($E$1),FALSE)/(LEN(VLOOKUP($D21,素材!$1:$1016,COLUMN($F$1),FALSE))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BA21">
        <f>IF(ISNUMBER(SEARCH(SUBSTITUTE(BA$1,RIGHT(BA$1,2),""),VLOOKUP($D21,素材!$1:$1016,COLUMN($F$1),FALSE))),VLOOKUP($C21,装備品!$1:$998,COLUMN($O$1),FALSE)*VLOOKUP($D21,素材!$1:$1016,COLUMN($E$1),FALSE)/(LEN(VLOOKUP($D21,素材!$1:$1016,COLUMN($F$1),FALSE))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BB21">
        <f>IF(ISNUMBER(SEARCH(SUBSTITUTE(BB$1,RIGHT(BB$1,2),""),VLOOKUP($D21,素材!$1:$1016,COLUMN($F$1),FALSE))),VLOOKUP($C21,装備品!$1:$998,COLUMN($O$1),FALSE)*VLOOKUP($D21,素材!$1:$1016,COLUMN($E$1),FALSE)/(LEN(VLOOKUP($D21,素材!$1:$1016,COLUMN($F$1),FALSE))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BC21">
        <f>IF(ISNUMBER(SEARCH(SUBSTITUTE(BC$1,RIGHT(BC$1,2),""),VLOOKUP($D21,素材!$1:$1016,COLUMN($F$1),FALSE))),VLOOKUP($C21,装備品!$1:$998,COLUMN($O$1),FALSE)*VLOOKUP($D21,素材!$1:$1016,COLUMN($E$1),FALSE)/(LEN(VLOOKUP($D21,素材!$1:$1016,COLUMN($F$1),FALSE))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BD21">
        <f>IF(ISNUMBER(SEARCH(SUBSTITUTE(BD$1,RIGHT(BD$1,2),""),VLOOKUP($D21,素材!$1:$1016,COLUMN($F$1),FALSE))),VLOOKUP($C21,装備品!$1:$998,COLUMN($O$1),FALSE)*VLOOKUP($D21,素材!$1:$1016,COLUMN($E$1),FALSE)/(LEN(VLOOKUP($D21,素材!$1:$1016,COLUMN($F$1),FALSE))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BE21">
        <f>IF(ISNUMBER(SEARCH(SUBSTITUTE(BE$1,RIGHT(BE$1,2),""),VLOOKUP($D21,素材!$1:$1016,COLUMN($F$1),FALSE))),VLOOKUP($C21,装備品!$1:$998,COLUMN($O$1),FALSE)*VLOOKUP($D21,素材!$1:$1016,COLUMN($E$1),FALSE)/(LEN(VLOOKUP($D21,素材!$1:$1016,COLUMN($F$1),FALSE))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CL21">
        <f t="shared" si="1"/>
        <v>25</v>
      </c>
      <c r="CM21" s="22" t="str">
        <f t="shared" si="2"/>
        <v>切断.webp</v>
      </c>
      <c r="CN21">
        <f>IFERROR(VLOOKUP($C21,装備品!$1:$998,COLUMN(V$1),FALSE)*VLOOKUP($D21,素材!$1:$1016,COLUMN(N$1),FALSE)+IF(CI21="",0,VLOOKUP($CI21,付与!$1:$1176,COLUMN($CK$1),FALSE)),"")</f>
        <v>0</v>
      </c>
      <c r="CO21" t="str">
        <f>VLOOKUP(D21,素材!$A:$O,COLUMN(素材!O$1),FALSE)</f>
        <v>一般的な鉄。量産品を作るのに使用されることが多い</v>
      </c>
      <c r="CP21" t="str">
        <f>VLOOKUP(C21,装備品!$A:$AB,COLUMN(装備品!AB$1),FALSE)</f>
        <v>戦斧。攻撃力が高く、重いが信頼性がある武器。</v>
      </c>
      <c r="CR21" t="str">
        <f t="shared" si="3"/>
        <v>e_21</v>
      </c>
      <c r="CS21">
        <f t="shared" si="4"/>
        <v>0</v>
      </c>
    </row>
    <row r="22" spans="1:97" outlineLevel="1" x14ac:dyDescent="0.4">
      <c r="A22" t="str">
        <f t="shared" si="0"/>
        <v>鉄の鞭</v>
      </c>
      <c r="B22" t="str">
        <f>IFERROR(VLOOKUP($D22,素材!$1:$1016,COLUMN($B$1),FALSE)&amp;"・"&amp;VLOOKUP($C22,装備品!$1:$998,COLUMN(B$1),FALSE),"")</f>
        <v>アイアン・ウィップ</v>
      </c>
      <c r="C22" t="s">
        <v>222</v>
      </c>
      <c r="D22" s="24" t="s">
        <v>256</v>
      </c>
      <c r="E22" t="str">
        <f>IFERROR(VLOOKUP(C22,装備品!$1:$998,COLUMN(C$1),FALSE),"")</f>
        <v>武器</v>
      </c>
      <c r="F22">
        <f>IFERROR(ROUNDDOWN((VLOOKUP($C22,装備品!$1:$998,COLUMN(D$1),FALSE)+IFERROR(VLOOKUP($CI22,付与!$1:$1167,COLUMN(F$1),FALSE),0))*VLOOKUP($D22,素材!$1:$1016,COLUMN(D$1),FALSE),0),"")</f>
        <v>105</v>
      </c>
      <c r="G22">
        <f>IFERROR(ROUNDDOWN((VLOOKUP($C22,装備品!$1:$998,COLUMN(E$1),FALSE)+IFERROR(VLOOKUP($CI22,付与!$1:$1167,COLUMN(G$1),FALSE),0))*VLOOKUP($D22,素材!$1:$1016,COLUMN($E$1),FALSE),0),"")</f>
        <v>18</v>
      </c>
      <c r="H22">
        <f>IFERROR(ROUNDDOWN((VLOOKUP($C22,装備品!$1:$998,COLUMN(F$1),FALSE)+IFERROR(VLOOKUP($CI22,付与!$1:$1167,COLUMN(H$1),FALSE),0))*VLOOKUP($D22,素材!$1:$1016,COLUMN($E$1),FALSE),0),"")</f>
        <v>0</v>
      </c>
      <c r="I22">
        <f>IFERROR(ROUNDDOWN((VLOOKUP($C22,装備品!$1:$998,COLUMN(G$1),FALSE)+IFERROR(VLOOKUP($CI22,付与!$1:$1167,COLUMN(I$1),FALSE),0))*VLOOKUP($D22,素材!$1:$1016,COLUMN($E$1),FALSE),0),"")</f>
        <v>4</v>
      </c>
      <c r="J22">
        <f>IFERROR(ROUNDDOWN((VLOOKUP($C22,装備品!$1:$998,COLUMN(H$1),FALSE)+IFERROR(VLOOKUP($CI22,付与!$1:$1167,COLUMN(J$1),FALSE),0))*VLOOKUP($D22,素材!$1:$1016,COLUMN($E$1),FALSE),0),"")</f>
        <v>11</v>
      </c>
      <c r="K22">
        <f>IFERROR(ROUNDDOWN((VLOOKUP($C22,装備品!$1:$998,COLUMN(I$1),FALSE)+IFERROR(VLOOKUP($CI22,付与!$1:$1167,COLUMN(K$1),FALSE),0))*VLOOKUP($D22,素材!$1:$1016,COLUMN($E$1),FALSE),0),"")</f>
        <v>0</v>
      </c>
      <c r="L22">
        <f>IFERROR(VLOOKUP($D22,素材!$1:$1016,COLUMN($F$1),FALSE),"")</f>
        <v>0</v>
      </c>
      <c r="M22">
        <f>IFERROR(VLOOKUP($C22,装備品!$1:$998,COLUMN(AA$1),FALSE)*VLOOKUP($D22,素材!$1:$1016,COLUMN($G$1),FALSE),"")</f>
        <v>0</v>
      </c>
      <c r="N22">
        <f>IFERROR(VLOOKUP($C22,装備品!$1:$998,COLUMN(I$1),FALSE),"")</f>
        <v>0</v>
      </c>
      <c r="O22" s="23">
        <f>IFERROR((VLOOKUP($C22,装備品!$1:$998,COLUMN(K$1),FALSE)+VLOOKUP($D22,素材!$1:$1016,COLUMN(H$1),FALSE))*100+IFERROR(VLOOKUP($CI22,付与!$1:$1167,COLUMN(O$1),FALSE),0),"")</f>
        <v>10</v>
      </c>
      <c r="P22" s="23">
        <f>IFERROR((VLOOKUP($C22,装備品!$1:$998,COLUMN(L$1),FALSE)+VLOOKUP($D22,素材!$1:$1016,COLUMN(I$1),FALSE))*100+IFERROR(VLOOKUP($CI22,付与!$1:$1167,COLUMN(P$1),FALSE),0),"")</f>
        <v>150</v>
      </c>
      <c r="Q22">
        <f>IFERROR(ROUNDUP(VLOOKUP($C22,装備品!$1:$998,COLUMN(M$1),FALSE)*(VLOOKUP($D22,素材!$1:$1002,COLUMN(D$1),FALSE)/100),1),"")</f>
        <v>0</v>
      </c>
      <c r="R22">
        <f>IFERROR(ROUNDUP(VLOOKUP($C22,装備品!$1:$998,COLUMN(N$1),FALSE)*(VLOOKUP($D22,素材!$1:$1002,COLUMN(D$1),FALSE)/100),1),"")</f>
        <v>0</v>
      </c>
      <c r="S22">
        <f>IFERROR(VLOOKUP($C22,装備品!$1:$998,COLUMN(P$1),FALSE),"")</f>
        <v>0</v>
      </c>
      <c r="T22">
        <f>IFERROR(VLOOKUP($C22,装備品!$1:$998,COLUMN(Q$1),FALSE),"")</f>
        <v>0</v>
      </c>
      <c r="U22">
        <f>IFERROR(VLOOKUP($C22,装備品!$1:$998,COLUMN(R$1),FALSE),"")</f>
        <v>0</v>
      </c>
      <c r="V22">
        <f>IFERROR(VLOOKUP($C22,装備品!$1:$998,COLUMN(Q$1),FALSE),"")</f>
        <v>0</v>
      </c>
      <c r="W22">
        <f>IFERROR(VLOOKUP($C22,装備品!$1:$998,COLUMN(T$1),FALSE),"")</f>
        <v>0</v>
      </c>
      <c r="Y22">
        <f>IFERROR(VLOOKUP($C22,装備品!$1:$998,COLUMN(U$1),FALSE),"")</f>
        <v>1</v>
      </c>
      <c r="Z22">
        <f>IFERROR(ROUNDUP(VLOOKUP($C22,装備品!$1:$998,COLUMN(O$1),FALSE)*VLOOKUP($D22,素材!$1:$1016,COLUMN(E$1),FALSE),1),"")</f>
        <v>0</v>
      </c>
      <c r="AA22">
        <f>IF(ISNUMBER(SEARCH(SUBSTITUTE(AA$1,RIGHT(AA$1,2),""),VLOOKUP($D22,素材!$1:$1016,COLUMN($F$1),FALSE))),VLOOKUP($C22,装備品!$1:$998,COLUMN($O$1),FALSE)*VLOOKUP($D22,素材!$1:$1016,COLUMN($E$1),FALSE)/(LEN(VLOOKUP($D22,素材!$1:$1016,COLUMN($F$1),FALSE))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B22">
        <f>IF(ISNUMBER(SEARCH(SUBSTITUTE(AB$1,RIGHT(AB$1,2),""),VLOOKUP($D22,素材!$1:$1016,COLUMN($F$1),FALSE))),VLOOKUP($C22,装備品!$1:$998,COLUMN($O$1),FALSE)*VLOOKUP($D22,素材!$1:$1016,COLUMN($E$1),FALSE)/(LEN(VLOOKUP($D22,素材!$1:$1016,COLUMN($F$1),FALSE))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C22">
        <f>IF(ISNUMBER(SEARCH(SUBSTITUTE(AC$1,RIGHT(AC$1,2),""),VLOOKUP($D22,素材!$1:$1016,COLUMN($F$1),FALSE))),VLOOKUP($C22,装備品!$1:$998,COLUMN($O$1),FALSE)*VLOOKUP($D22,素材!$1:$1016,COLUMN($E$1),FALSE)/(LEN(VLOOKUP($D22,素材!$1:$1016,COLUMN($F$1),FALSE))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D22">
        <f>IF(ISNUMBER(SEARCH(SUBSTITUTE(AD$1,RIGHT(AD$1,2),""),VLOOKUP($D22,素材!$1:$1016,COLUMN($F$1),FALSE))),VLOOKUP($C22,装備品!$1:$998,COLUMN($O$1),FALSE)*VLOOKUP($D22,素材!$1:$1016,COLUMN($E$1),FALSE)/(LEN(VLOOKUP($D22,素材!$1:$1016,COLUMN($F$1),FALSE))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E22">
        <f>IF(ISNUMBER(SEARCH(SUBSTITUTE(AE$1,RIGHT(AE$1,2),""),VLOOKUP($D22,素材!$1:$1016,COLUMN($F$1),FALSE))),VLOOKUP($C22,装備品!$1:$998,COLUMN($O$1),FALSE)*VLOOKUP($D22,素材!$1:$1016,COLUMN($E$1),FALSE)/(LEN(VLOOKUP($D22,素材!$1:$1016,COLUMN($F$1),FALSE))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F22">
        <f>IF(ISNUMBER(SEARCH(SUBSTITUTE(AF$1,RIGHT(AF$1,2),""),VLOOKUP($D22,素材!$1:$1016,COLUMN($F$1),FALSE))),VLOOKUP($C22,装備品!$1:$998,COLUMN($O$1),FALSE)*VLOOKUP($D22,素材!$1:$1016,COLUMN($E$1),FALSE)/(LEN(VLOOKUP($D22,素材!$1:$1016,COLUMN($F$1),FALSE))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G22">
        <f>IF(ISNUMBER(SEARCH(SUBSTITUTE(AG$1,RIGHT(AG$1,2),""),VLOOKUP($D22,素材!$1:$1016,COLUMN($F$1),FALSE))),VLOOKUP($C22,装備品!$1:$998,COLUMN($O$1),FALSE)*VLOOKUP($D22,素材!$1:$1016,COLUMN($E$1),FALSE)/(LEN(VLOOKUP($D22,素材!$1:$1016,COLUMN($F$1),FALSE))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H22">
        <f>IF(ISNUMBER(SEARCH(SUBSTITUTE(AH$1,RIGHT(AH$1,2),""),VLOOKUP($D22,素材!$1:$1016,COLUMN($F$1),FALSE))),VLOOKUP($C22,装備品!$1:$998,COLUMN($O$1),FALSE)*VLOOKUP($D22,素材!$1:$1016,COLUMN($E$1),FALSE)/(LEN(VLOOKUP($D22,素材!$1:$1016,COLUMN($F$1),FALSE))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I22">
        <f>IF(ISNUMBER(SEARCH(SUBSTITUTE(AI$1,RIGHT(AI$1,2),""),VLOOKUP($D22,素材!$1:$1016,COLUMN($F$1),FALSE))),VLOOKUP($C22,装備品!$1:$998,COLUMN($O$1),FALSE)*VLOOKUP($D22,素材!$1:$1016,COLUMN($E$1),FALSE)/(LEN(VLOOKUP($D22,素材!$1:$1016,COLUMN($F$1),FALSE))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J22">
        <f>IF(ISNUMBER(SEARCH(SUBSTITUTE(AJ$1,RIGHT(AJ$1,2),""),VLOOKUP($D22,素材!$1:$1016,COLUMN($F$1),FALSE))),VLOOKUP($C22,装備品!$1:$998,COLUMN($O$1),FALSE)*VLOOKUP($D22,素材!$1:$1016,COLUMN($E$1),FALSE)/(LEN(VLOOKUP($D22,素材!$1:$1016,COLUMN($F$1),FALSE))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K22">
        <f>IF(ISNUMBER(SEARCH(SUBSTITUTE(AK$1,RIGHT(AK$1,2),""),VLOOKUP($D22,素材!$1:$1016,COLUMN($F$1),FALSE))),VLOOKUP($C22,装備品!$1:$998,COLUMN($O$1),FALSE)*VLOOKUP($D22,素材!$1:$1016,COLUMN($E$1),FALSE)/(LEN(VLOOKUP($D22,素材!$1:$1016,COLUMN($F$1),FALSE))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L22">
        <f>IF(ISNUMBER(SEARCH(SUBSTITUTE(AL$1,RIGHT(AL$1,2),""),VLOOKUP($D22,素材!$1:$1016,COLUMN($F$1),FALSE))),VLOOKUP($C22,装備品!$1:$998,COLUMN($O$1),FALSE)*VLOOKUP($D22,素材!$1:$1016,COLUMN($E$1),FALSE)/(LEN(VLOOKUP($D22,素材!$1:$1016,COLUMN($F$1),FALSE))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M22">
        <f>IF(ISNUMBER(SEARCH(SUBSTITUTE(AM$1,RIGHT(AM$1,2),""),VLOOKUP($D22,素材!$1:$1016,COLUMN($F$1),FALSE))),VLOOKUP($C22,装備品!$1:$998,COLUMN($O$1),FALSE)*VLOOKUP($D22,素材!$1:$1016,COLUMN($E$1),FALSE)/(LEN(VLOOKUP($D22,素材!$1:$1016,COLUMN($F$1),FALSE))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N22">
        <f>IF(ISNUMBER(SEARCH(SUBSTITUTE(AN$1,RIGHT(AN$1,2),""),VLOOKUP($D22,素材!$1:$1016,COLUMN($F$1),FALSE))),VLOOKUP($C22,装備品!$1:$998,COLUMN($O$1),FALSE)*VLOOKUP($D22,素材!$1:$1016,COLUMN($E$1),FALSE)/(LEN(VLOOKUP($D22,素材!$1:$1016,COLUMN($F$1),FALSE))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O22">
        <f>IF(ISNUMBER(SEARCH(SUBSTITUTE(AO$1,RIGHT(AO$1,2),""),VLOOKUP($D22,素材!$1:$1016,COLUMN($F$1),FALSE))),VLOOKUP($C22,装備品!$1:$998,COLUMN($O$1),FALSE)*VLOOKUP($D22,素材!$1:$1016,COLUMN($E$1),FALSE)/(LEN(VLOOKUP($D22,素材!$1:$1016,COLUMN($F$1),FALSE))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P22">
        <f>IF(ISNUMBER(SEARCH(SUBSTITUTE(AP$1,RIGHT(AP$1,2),""),VLOOKUP($D22,素材!$1:$1016,COLUMN($F$1),FALSE))),VLOOKUP($C22,装備品!$1:$998,COLUMN($O$1),FALSE)*VLOOKUP($D22,素材!$1:$1016,COLUMN($E$1),FALSE)/(LEN(VLOOKUP($D22,素材!$1:$1016,COLUMN($F$1),FALSE))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Q22">
        <f>IF(ISNUMBER(SEARCH(SUBSTITUTE(AQ$1,RIGHT(AQ$1,2),""),VLOOKUP($D22,素材!$1:$1016,COLUMN($F$1),FALSE))),VLOOKUP($C22,装備品!$1:$998,COLUMN($O$1),FALSE)*VLOOKUP($D22,素材!$1:$1016,COLUMN($E$1),FALSE)/(LEN(VLOOKUP($D22,素材!$1:$1016,COLUMN($F$1),FALSE))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R22">
        <f>IF(ISNUMBER(SEARCH(SUBSTITUTE(AR$1,RIGHT(AR$1,2),""),VLOOKUP($D22,素材!$1:$1016,COLUMN($F$1),FALSE))),VLOOKUP($C22,装備品!$1:$998,COLUMN($O$1),FALSE)*VLOOKUP($D22,素材!$1:$1016,COLUMN($E$1),FALSE)/(LEN(VLOOKUP($D22,素材!$1:$1016,COLUMN($F$1),FALSE))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S22">
        <f>IF(ISNUMBER(SEARCH(SUBSTITUTE(AS$1,RIGHT(AS$1,2),""),VLOOKUP($D22,素材!$1:$1016,COLUMN($F$1),FALSE))),VLOOKUP($C22,装備品!$1:$998,COLUMN($O$1),FALSE)*VLOOKUP($D22,素材!$1:$1016,COLUMN($E$1),FALSE)/(LEN(VLOOKUP($D22,素材!$1:$1016,COLUMN($F$1),FALSE))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T22">
        <f>IF(ISNUMBER(SEARCH(SUBSTITUTE(AT$1,RIGHT(AT$1,2),""),VLOOKUP($D22,素材!$1:$1016,COLUMN($F$1),FALSE))),VLOOKUP($C22,装備品!$1:$998,COLUMN($O$1),FALSE)*VLOOKUP($D22,素材!$1:$1016,COLUMN($E$1),FALSE)/(LEN(VLOOKUP($D22,素材!$1:$1016,COLUMN($F$1),FALSE))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U22">
        <f>IF(ISNUMBER(SEARCH(SUBSTITUTE(AU$1,RIGHT(AU$1,2),""),VLOOKUP($D22,素材!$1:$1016,COLUMN($F$1),FALSE))),VLOOKUP($C22,装備品!$1:$998,COLUMN($O$1),FALSE)*VLOOKUP($D22,素材!$1:$1016,COLUMN($E$1),FALSE)/(LEN(VLOOKUP($D22,素材!$1:$1016,COLUMN($F$1),FALSE))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V22">
        <f>IF(ISNUMBER(SEARCH(SUBSTITUTE(AV$1,RIGHT(AV$1,2),""),VLOOKUP($D22,素材!$1:$1016,COLUMN($F$1),FALSE))),VLOOKUP($C22,装備品!$1:$998,COLUMN($O$1),FALSE)*VLOOKUP($D22,素材!$1:$1016,COLUMN($E$1),FALSE)/(LEN(VLOOKUP($D22,素材!$1:$1016,COLUMN($F$1),FALSE))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W22">
        <f>IF(ISNUMBER(SEARCH(SUBSTITUTE(AW$1,RIGHT(AW$1,2),""),VLOOKUP($D22,素材!$1:$1016,COLUMN($F$1),FALSE))),VLOOKUP($C22,装備品!$1:$998,COLUMN($O$1),FALSE)*VLOOKUP($D22,素材!$1:$1016,COLUMN($E$1),FALSE)/(LEN(VLOOKUP($D22,素材!$1:$1016,COLUMN($F$1),FALSE))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X22">
        <f>IF(ISNUMBER(SEARCH(SUBSTITUTE(AX$1,RIGHT(AX$1,2),""),VLOOKUP($D22,素材!$1:$1016,COLUMN($F$1),FALSE))),VLOOKUP($C22,装備品!$1:$998,COLUMN($O$1),FALSE)*VLOOKUP($D22,素材!$1:$1016,COLUMN($E$1),FALSE)/(LEN(VLOOKUP($D22,素材!$1:$1016,COLUMN($F$1),FALSE))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Y22">
        <f>IF(ISNUMBER(SEARCH(SUBSTITUTE(AY$1,RIGHT(AY$1,2),""),VLOOKUP($D22,素材!$1:$1016,COLUMN($F$1),FALSE))),VLOOKUP($C22,装備品!$1:$998,COLUMN($O$1),FALSE)*VLOOKUP($D22,素材!$1:$1016,COLUMN($E$1),FALSE)/(LEN(VLOOKUP($D22,素材!$1:$1016,COLUMN($F$1),FALSE))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Z22">
        <f>IF(ISNUMBER(SEARCH(SUBSTITUTE(AZ$1,RIGHT(AZ$1,2),""),VLOOKUP($D22,素材!$1:$1016,COLUMN($F$1),FALSE))),VLOOKUP($C22,装備品!$1:$998,COLUMN($O$1),FALSE)*VLOOKUP($D22,素材!$1:$1016,COLUMN($E$1),FALSE)/(LEN(VLOOKUP($D22,素材!$1:$1016,COLUMN($F$1),FALSE))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BA22">
        <f>IF(ISNUMBER(SEARCH(SUBSTITUTE(BA$1,RIGHT(BA$1,2),""),VLOOKUP($D22,素材!$1:$1016,COLUMN($F$1),FALSE))),VLOOKUP($C22,装備品!$1:$998,COLUMN($O$1),FALSE)*VLOOKUP($D22,素材!$1:$1016,COLUMN($E$1),FALSE)/(LEN(VLOOKUP($D22,素材!$1:$1016,COLUMN($F$1),FALSE))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BB22">
        <f>IF(ISNUMBER(SEARCH(SUBSTITUTE(BB$1,RIGHT(BB$1,2),""),VLOOKUP($D22,素材!$1:$1016,COLUMN($F$1),FALSE))),VLOOKUP($C22,装備品!$1:$998,COLUMN($O$1),FALSE)*VLOOKUP($D22,素材!$1:$1016,COLUMN($E$1),FALSE)/(LEN(VLOOKUP($D22,素材!$1:$1016,COLUMN($F$1),FALSE))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BC22">
        <f>IF(ISNUMBER(SEARCH(SUBSTITUTE(BC$1,RIGHT(BC$1,2),""),VLOOKUP($D22,素材!$1:$1016,COLUMN($F$1),FALSE))),VLOOKUP($C22,装備品!$1:$998,COLUMN($O$1),FALSE)*VLOOKUP($D22,素材!$1:$1016,COLUMN($E$1),FALSE)/(LEN(VLOOKUP($D22,素材!$1:$1016,COLUMN($F$1),FALSE))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BD22">
        <f>IF(ISNUMBER(SEARCH(SUBSTITUTE(BD$1,RIGHT(BD$1,2),""),VLOOKUP($D22,素材!$1:$1016,COLUMN($F$1),FALSE))),VLOOKUP($C22,装備品!$1:$998,COLUMN($O$1),FALSE)*VLOOKUP($D22,素材!$1:$1016,COLUMN($E$1),FALSE)/(LEN(VLOOKUP($D22,素材!$1:$1016,COLUMN($F$1),FALSE))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BE22">
        <f>IF(ISNUMBER(SEARCH(SUBSTITUTE(BE$1,RIGHT(BE$1,2),""),VLOOKUP($D22,素材!$1:$1016,COLUMN($F$1),FALSE))),VLOOKUP($C22,装備品!$1:$998,COLUMN($O$1),FALSE)*VLOOKUP($D22,素材!$1:$1016,COLUMN($E$1),FALSE)/(LEN(VLOOKUP($D22,素材!$1:$1016,COLUMN($F$1),FALSE))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CL22">
        <f t="shared" si="1"/>
        <v>22</v>
      </c>
      <c r="CM22" s="22" t="str">
        <f t="shared" si="2"/>
        <v>切断.webp</v>
      </c>
      <c r="CN22">
        <f>IFERROR(VLOOKUP($C22,装備品!$1:$998,COLUMN(V$1),FALSE)*VLOOKUP($D22,素材!$1:$1016,COLUMN(N$1),FALSE)+IF(CI22="",0,VLOOKUP($CI22,付与!$1:$1176,COLUMN($CK$1),FALSE)),"")</f>
        <v>0</v>
      </c>
      <c r="CO22" t="str">
        <f>VLOOKUP(D22,素材!$A:$O,COLUMN(素材!O$1),FALSE)</f>
        <v>一般的な鉄。量産品を作るのに使用されることが多い</v>
      </c>
      <c r="CP22" t="str">
        <f>VLOOKUP(C22,装備品!$A:$AB,COLUMN(装備品!AB$1),FALSE)</f>
        <v>鞭。リーチが長く、敵を絡め取る戦闘に適する。</v>
      </c>
      <c r="CR22" t="str">
        <f t="shared" si="3"/>
        <v>e_22</v>
      </c>
      <c r="CS22">
        <f t="shared" si="4"/>
        <v>0</v>
      </c>
    </row>
    <row r="23" spans="1:97" outlineLevel="1" x14ac:dyDescent="0.4">
      <c r="A23" t="str">
        <f t="shared" si="0"/>
        <v>鉄の丸盾</v>
      </c>
      <c r="B23" t="str">
        <f>IFERROR(VLOOKUP($D23,素材!$1:$1016,COLUMN($B$1),FALSE)&amp;"・"&amp;VLOOKUP($C23,装備品!$1:$998,COLUMN(B$1),FALSE),"")</f>
        <v>アイアン・バックラー</v>
      </c>
      <c r="C23" t="s">
        <v>221</v>
      </c>
      <c r="D23" s="24" t="s">
        <v>256</v>
      </c>
      <c r="E23" t="str">
        <f>IFERROR(VLOOKUP(C23,装備品!$1:$998,COLUMN(C$1),FALSE),"")</f>
        <v>盾</v>
      </c>
      <c r="F23">
        <f>IFERROR(ROUNDDOWN((VLOOKUP($C23,装備品!$1:$998,COLUMN(D$1),FALSE)+IFERROR(VLOOKUP($CI23,付与!$1:$1167,COLUMN(F$1),FALSE),0))*VLOOKUP($D23,素材!$1:$1016,COLUMN(D$1),FALSE),0),"")</f>
        <v>100</v>
      </c>
      <c r="G23">
        <f>IFERROR(ROUNDDOWN((VLOOKUP($C23,装備品!$1:$998,COLUMN(E$1),FALSE)+IFERROR(VLOOKUP($CI23,付与!$1:$1167,COLUMN(G$1),FALSE),0))*VLOOKUP($D23,素材!$1:$1016,COLUMN($E$1),FALSE),0),"")</f>
        <v>8</v>
      </c>
      <c r="H23">
        <f>IFERROR(ROUNDDOWN((VLOOKUP($C23,装備品!$1:$998,COLUMN(F$1),FALSE)+IFERROR(VLOOKUP($CI23,付与!$1:$1167,COLUMN(H$1),FALSE),0))*VLOOKUP($D23,素材!$1:$1016,COLUMN($E$1),FALSE),0),"")</f>
        <v>0</v>
      </c>
      <c r="I23">
        <f>IFERROR(ROUNDDOWN((VLOOKUP($C23,装備品!$1:$998,COLUMN(G$1),FALSE)+IFERROR(VLOOKUP($CI23,付与!$1:$1167,COLUMN(I$1),FALSE),0))*VLOOKUP($D23,素材!$1:$1016,COLUMN($E$1),FALSE),0),"")</f>
        <v>8</v>
      </c>
      <c r="J23">
        <f>IFERROR(ROUNDDOWN((VLOOKUP($C23,装備品!$1:$998,COLUMN(H$1),FALSE)+IFERROR(VLOOKUP($CI23,付与!$1:$1167,COLUMN(J$1),FALSE),0))*VLOOKUP($D23,素材!$1:$1016,COLUMN($E$1),FALSE),0),"")</f>
        <v>23</v>
      </c>
      <c r="K23">
        <f>IFERROR(ROUNDDOWN((VLOOKUP($C23,装備品!$1:$998,COLUMN(I$1),FALSE)+IFERROR(VLOOKUP($CI23,付与!$1:$1167,COLUMN(K$1),FALSE),0))*VLOOKUP($D23,素材!$1:$1016,COLUMN($E$1),FALSE),0),"")</f>
        <v>0</v>
      </c>
      <c r="L23">
        <f>IFERROR(VLOOKUP($D23,素材!$1:$1016,COLUMN($F$1),FALSE),"")</f>
        <v>0</v>
      </c>
      <c r="M23">
        <f>IFERROR(VLOOKUP($C23,装備品!$1:$998,COLUMN(AA$1),FALSE)*VLOOKUP($D23,素材!$1:$1016,COLUMN($G$1),FALSE),"")</f>
        <v>0</v>
      </c>
      <c r="N23">
        <f>IFERROR(VLOOKUP($C23,装備品!$1:$998,COLUMN(I$1),FALSE),"")</f>
        <v>0</v>
      </c>
      <c r="O23" s="23">
        <f>IFERROR((VLOOKUP($C23,装備品!$1:$998,COLUMN(K$1),FALSE)+VLOOKUP($D23,素材!$1:$1016,COLUMN(H$1),FALSE))*100+IFERROR(VLOOKUP($CI23,付与!$1:$1167,COLUMN(O$1),FALSE),0),"")</f>
        <v>5</v>
      </c>
      <c r="P23" s="23">
        <f>IFERROR((VLOOKUP($C23,装備品!$1:$998,COLUMN(L$1),FALSE)+VLOOKUP($D23,素材!$1:$1016,COLUMN(I$1),FALSE))*100+IFERROR(VLOOKUP($CI23,付与!$1:$1167,COLUMN(P$1),FALSE),0),"")</f>
        <v>125</v>
      </c>
      <c r="Q23">
        <f>IFERROR(ROUNDUP(VLOOKUP($C23,装備品!$1:$998,COLUMN(M$1),FALSE)*(VLOOKUP($D23,素材!$1:$1002,COLUMN(D$1),FALSE)/100),1),"")</f>
        <v>0</v>
      </c>
      <c r="R23">
        <f>IFERROR(ROUNDUP(VLOOKUP($C23,装備品!$1:$998,COLUMN(N$1),FALSE)*(VLOOKUP($D23,素材!$1:$1002,COLUMN(D$1),FALSE)/100),1),"")</f>
        <v>0</v>
      </c>
      <c r="S23">
        <f>IFERROR(VLOOKUP($C23,装備品!$1:$998,COLUMN(P$1),FALSE),"")</f>
        <v>0</v>
      </c>
      <c r="T23">
        <f>IFERROR(VLOOKUP($C23,装備品!$1:$998,COLUMN(Q$1),FALSE),"")</f>
        <v>0</v>
      </c>
      <c r="U23">
        <f>IFERROR(VLOOKUP($C23,装備品!$1:$998,COLUMN(R$1),FALSE),"")</f>
        <v>0</v>
      </c>
      <c r="V23">
        <f>IFERROR(VLOOKUP($C23,装備品!$1:$998,COLUMN(Q$1),FALSE),"")</f>
        <v>0</v>
      </c>
      <c r="W23">
        <f>IFERROR(VLOOKUP($C23,装備品!$1:$998,COLUMN(T$1),FALSE),"")</f>
        <v>0</v>
      </c>
      <c r="Y23">
        <f>IFERROR(VLOOKUP($C23,装備品!$1:$998,COLUMN(U$1),FALSE),"")</f>
        <v>0</v>
      </c>
      <c r="Z23">
        <f>IFERROR(ROUNDUP(VLOOKUP($C23,装備品!$1:$998,COLUMN(O$1),FALSE)*VLOOKUP($D23,素材!$1:$1016,COLUMN(E$1),FALSE),1),"")</f>
        <v>0</v>
      </c>
      <c r="AA23">
        <f>IF(ISNUMBER(SEARCH(SUBSTITUTE(AA$1,RIGHT(AA$1,2),""),VLOOKUP($D23,素材!$1:$1016,COLUMN($F$1),FALSE))),VLOOKUP($C23,装備品!$1:$998,COLUMN($O$1),FALSE)*VLOOKUP($D23,素材!$1:$1016,COLUMN($E$1),FALSE)/(LEN(VLOOKUP($D23,素材!$1:$1016,COLUMN($F$1),FALSE))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B23">
        <f>IF(ISNUMBER(SEARCH(SUBSTITUTE(AB$1,RIGHT(AB$1,2),""),VLOOKUP($D23,素材!$1:$1016,COLUMN($F$1),FALSE))),VLOOKUP($C23,装備品!$1:$998,COLUMN($O$1),FALSE)*VLOOKUP($D23,素材!$1:$1016,COLUMN($E$1),FALSE)/(LEN(VLOOKUP($D23,素材!$1:$1016,COLUMN($F$1),FALSE))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C23">
        <f>IF(ISNUMBER(SEARCH(SUBSTITUTE(AC$1,RIGHT(AC$1,2),""),VLOOKUP($D23,素材!$1:$1016,COLUMN($F$1),FALSE))),VLOOKUP($C23,装備品!$1:$998,COLUMN($O$1),FALSE)*VLOOKUP($D23,素材!$1:$1016,COLUMN($E$1),FALSE)/(LEN(VLOOKUP($D23,素材!$1:$1016,COLUMN($F$1),FALSE))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D23">
        <f>IF(ISNUMBER(SEARCH(SUBSTITUTE(AD$1,RIGHT(AD$1,2),""),VLOOKUP($D23,素材!$1:$1016,COLUMN($F$1),FALSE))),VLOOKUP($C23,装備品!$1:$998,COLUMN($O$1),FALSE)*VLOOKUP($D23,素材!$1:$1016,COLUMN($E$1),FALSE)/(LEN(VLOOKUP($D23,素材!$1:$1016,COLUMN($F$1),FALSE))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E23">
        <f>IF(ISNUMBER(SEARCH(SUBSTITUTE(AE$1,RIGHT(AE$1,2),""),VLOOKUP($D23,素材!$1:$1016,COLUMN($F$1),FALSE))),VLOOKUP($C23,装備品!$1:$998,COLUMN($O$1),FALSE)*VLOOKUP($D23,素材!$1:$1016,COLUMN($E$1),FALSE)/(LEN(VLOOKUP($D23,素材!$1:$1016,COLUMN($F$1),FALSE))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F23">
        <f>IF(ISNUMBER(SEARCH(SUBSTITUTE(AF$1,RIGHT(AF$1,2),""),VLOOKUP($D23,素材!$1:$1016,COLUMN($F$1),FALSE))),VLOOKUP($C23,装備品!$1:$998,COLUMN($O$1),FALSE)*VLOOKUP($D23,素材!$1:$1016,COLUMN($E$1),FALSE)/(LEN(VLOOKUP($D23,素材!$1:$1016,COLUMN($F$1),FALSE))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G23">
        <f>IF(ISNUMBER(SEARCH(SUBSTITUTE(AG$1,RIGHT(AG$1,2),""),VLOOKUP($D23,素材!$1:$1016,COLUMN($F$1),FALSE))),VLOOKUP($C23,装備品!$1:$998,COLUMN($O$1),FALSE)*VLOOKUP($D23,素材!$1:$1016,COLUMN($E$1),FALSE)/(LEN(VLOOKUP($D23,素材!$1:$1016,COLUMN($F$1),FALSE))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H23">
        <f>IF(ISNUMBER(SEARCH(SUBSTITUTE(AH$1,RIGHT(AH$1,2),""),VLOOKUP($D23,素材!$1:$1016,COLUMN($F$1),FALSE))),VLOOKUP($C23,装備品!$1:$998,COLUMN($O$1),FALSE)*VLOOKUP($D23,素材!$1:$1016,COLUMN($E$1),FALSE)/(LEN(VLOOKUP($D23,素材!$1:$1016,COLUMN($F$1),FALSE))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I23">
        <f>IF(ISNUMBER(SEARCH(SUBSTITUTE(AI$1,RIGHT(AI$1,2),""),VLOOKUP($D23,素材!$1:$1016,COLUMN($F$1),FALSE))),VLOOKUP($C23,装備品!$1:$998,COLUMN($O$1),FALSE)*VLOOKUP($D23,素材!$1:$1016,COLUMN($E$1),FALSE)/(LEN(VLOOKUP($D23,素材!$1:$1016,COLUMN($F$1),FALSE))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J23">
        <f>IF(ISNUMBER(SEARCH(SUBSTITUTE(AJ$1,RIGHT(AJ$1,2),""),VLOOKUP($D23,素材!$1:$1016,COLUMN($F$1),FALSE))),VLOOKUP($C23,装備品!$1:$998,COLUMN($O$1),FALSE)*VLOOKUP($D23,素材!$1:$1016,COLUMN($E$1),FALSE)/(LEN(VLOOKUP($D23,素材!$1:$1016,COLUMN($F$1),FALSE))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K23">
        <f>IF(ISNUMBER(SEARCH(SUBSTITUTE(AK$1,RIGHT(AK$1,2),""),VLOOKUP($D23,素材!$1:$1016,COLUMN($F$1),FALSE))),VLOOKUP($C23,装備品!$1:$998,COLUMN($O$1),FALSE)*VLOOKUP($D23,素材!$1:$1016,COLUMN($E$1),FALSE)/(LEN(VLOOKUP($D23,素材!$1:$1016,COLUMN($F$1),FALSE))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L23">
        <f>IF(ISNUMBER(SEARCH(SUBSTITUTE(AL$1,RIGHT(AL$1,2),""),VLOOKUP($D23,素材!$1:$1016,COLUMN($F$1),FALSE))),VLOOKUP($C23,装備品!$1:$998,COLUMN($O$1),FALSE)*VLOOKUP($D23,素材!$1:$1016,COLUMN($E$1),FALSE)/(LEN(VLOOKUP($D23,素材!$1:$1016,COLUMN($F$1),FALSE))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M23">
        <f>IF(ISNUMBER(SEARCH(SUBSTITUTE(AM$1,RIGHT(AM$1,2),""),VLOOKUP($D23,素材!$1:$1016,COLUMN($F$1),FALSE))),VLOOKUP($C23,装備品!$1:$998,COLUMN($O$1),FALSE)*VLOOKUP($D23,素材!$1:$1016,COLUMN($E$1),FALSE)/(LEN(VLOOKUP($D23,素材!$1:$1016,COLUMN($F$1),FALSE))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N23">
        <f>IF(ISNUMBER(SEARCH(SUBSTITUTE(AN$1,RIGHT(AN$1,2),""),VLOOKUP($D23,素材!$1:$1016,COLUMN($F$1),FALSE))),VLOOKUP($C23,装備品!$1:$998,COLUMN($O$1),FALSE)*VLOOKUP($D23,素材!$1:$1016,COLUMN($E$1),FALSE)/(LEN(VLOOKUP($D23,素材!$1:$1016,COLUMN($F$1),FALSE))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O23">
        <f>IF(ISNUMBER(SEARCH(SUBSTITUTE(AO$1,RIGHT(AO$1,2),""),VLOOKUP($D23,素材!$1:$1016,COLUMN($F$1),FALSE))),VLOOKUP($C23,装備品!$1:$998,COLUMN($O$1),FALSE)*VLOOKUP($D23,素材!$1:$1016,COLUMN($E$1),FALSE)/(LEN(VLOOKUP($D23,素材!$1:$1016,COLUMN($F$1),FALSE))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P23">
        <f>IF(ISNUMBER(SEARCH(SUBSTITUTE(AP$1,RIGHT(AP$1,2),""),VLOOKUP($D23,素材!$1:$1016,COLUMN($F$1),FALSE))),VLOOKUP($C23,装備品!$1:$998,COLUMN($O$1),FALSE)*VLOOKUP($D23,素材!$1:$1016,COLUMN($E$1),FALSE)/(LEN(VLOOKUP($D23,素材!$1:$1016,COLUMN($F$1),FALSE))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Q23">
        <f>IF(ISNUMBER(SEARCH(SUBSTITUTE(AQ$1,RIGHT(AQ$1,2),""),VLOOKUP($D23,素材!$1:$1016,COLUMN($F$1),FALSE))),VLOOKUP($C23,装備品!$1:$998,COLUMN($O$1),FALSE)*VLOOKUP($D23,素材!$1:$1016,COLUMN($E$1),FALSE)/(LEN(VLOOKUP($D23,素材!$1:$1016,COLUMN($F$1),FALSE))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R23">
        <f>IF(ISNUMBER(SEARCH(SUBSTITUTE(AR$1,RIGHT(AR$1,2),""),VLOOKUP($D23,素材!$1:$1016,COLUMN($F$1),FALSE))),VLOOKUP($C23,装備品!$1:$998,COLUMN($O$1),FALSE)*VLOOKUP($D23,素材!$1:$1016,COLUMN($E$1),FALSE)/(LEN(VLOOKUP($D23,素材!$1:$1016,COLUMN($F$1),FALSE))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S23">
        <f>IF(ISNUMBER(SEARCH(SUBSTITUTE(AS$1,RIGHT(AS$1,2),""),VLOOKUP($D23,素材!$1:$1016,COLUMN($F$1),FALSE))),VLOOKUP($C23,装備品!$1:$998,COLUMN($O$1),FALSE)*VLOOKUP($D23,素材!$1:$1016,COLUMN($E$1),FALSE)/(LEN(VLOOKUP($D23,素材!$1:$1016,COLUMN($F$1),FALSE))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T23">
        <f>IF(ISNUMBER(SEARCH(SUBSTITUTE(AT$1,RIGHT(AT$1,2),""),VLOOKUP($D23,素材!$1:$1016,COLUMN($F$1),FALSE))),VLOOKUP($C23,装備品!$1:$998,COLUMN($O$1),FALSE)*VLOOKUP($D23,素材!$1:$1016,COLUMN($E$1),FALSE)/(LEN(VLOOKUP($D23,素材!$1:$1016,COLUMN($F$1),FALSE))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U23">
        <f>IF(ISNUMBER(SEARCH(SUBSTITUTE(AU$1,RIGHT(AU$1,2),""),VLOOKUP($D23,素材!$1:$1016,COLUMN($F$1),FALSE))),VLOOKUP($C23,装備品!$1:$998,COLUMN($O$1),FALSE)*VLOOKUP($D23,素材!$1:$1016,COLUMN($E$1),FALSE)/(LEN(VLOOKUP($D23,素材!$1:$1016,COLUMN($F$1),FALSE))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V23">
        <f>IF(ISNUMBER(SEARCH(SUBSTITUTE(AV$1,RIGHT(AV$1,2),""),VLOOKUP($D23,素材!$1:$1016,COLUMN($F$1),FALSE))),VLOOKUP($C23,装備品!$1:$998,COLUMN($O$1),FALSE)*VLOOKUP($D23,素材!$1:$1016,COLUMN($E$1),FALSE)/(LEN(VLOOKUP($D23,素材!$1:$1016,COLUMN($F$1),FALSE))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W23">
        <f>IF(ISNUMBER(SEARCH(SUBSTITUTE(AW$1,RIGHT(AW$1,2),""),VLOOKUP($D23,素材!$1:$1016,COLUMN($F$1),FALSE))),VLOOKUP($C23,装備品!$1:$998,COLUMN($O$1),FALSE)*VLOOKUP($D23,素材!$1:$1016,COLUMN($E$1),FALSE)/(LEN(VLOOKUP($D23,素材!$1:$1016,COLUMN($F$1),FALSE))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X23">
        <f>IF(ISNUMBER(SEARCH(SUBSTITUTE(AX$1,RIGHT(AX$1,2),""),VLOOKUP($D23,素材!$1:$1016,COLUMN($F$1),FALSE))),VLOOKUP($C23,装備品!$1:$998,COLUMN($O$1),FALSE)*VLOOKUP($D23,素材!$1:$1016,COLUMN($E$1),FALSE)/(LEN(VLOOKUP($D23,素材!$1:$1016,COLUMN($F$1),FALSE))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Y23">
        <f>IF(ISNUMBER(SEARCH(SUBSTITUTE(AY$1,RIGHT(AY$1,2),""),VLOOKUP($D23,素材!$1:$1016,COLUMN($F$1),FALSE))),VLOOKUP($C23,装備品!$1:$998,COLUMN($O$1),FALSE)*VLOOKUP($D23,素材!$1:$1016,COLUMN($E$1),FALSE)/(LEN(VLOOKUP($D23,素材!$1:$1016,COLUMN($F$1),FALSE))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Z23">
        <f>IF(ISNUMBER(SEARCH(SUBSTITUTE(AZ$1,RIGHT(AZ$1,2),""),VLOOKUP($D23,素材!$1:$1016,COLUMN($F$1),FALSE))),VLOOKUP($C23,装備品!$1:$998,COLUMN($O$1),FALSE)*VLOOKUP($D23,素材!$1:$1016,COLUMN($E$1),FALSE)/(LEN(VLOOKUP($D23,素材!$1:$1016,COLUMN($F$1),FALSE))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BA23">
        <f>IF(ISNUMBER(SEARCH(SUBSTITUTE(BA$1,RIGHT(BA$1,2),""),VLOOKUP($D23,素材!$1:$1016,COLUMN($F$1),FALSE))),VLOOKUP($C23,装備品!$1:$998,COLUMN($O$1),FALSE)*VLOOKUP($D23,素材!$1:$1016,COLUMN($E$1),FALSE)/(LEN(VLOOKUP($D23,素材!$1:$1016,COLUMN($F$1),FALSE))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BB23">
        <f>IF(ISNUMBER(SEARCH(SUBSTITUTE(BB$1,RIGHT(BB$1,2),""),VLOOKUP($D23,素材!$1:$1016,COLUMN($F$1),FALSE))),VLOOKUP($C23,装備品!$1:$998,COLUMN($O$1),FALSE)*VLOOKUP($D23,素材!$1:$1016,COLUMN($E$1),FALSE)/(LEN(VLOOKUP($D23,素材!$1:$1016,COLUMN($F$1),FALSE))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BC23">
        <f>IF(ISNUMBER(SEARCH(SUBSTITUTE(BC$1,RIGHT(BC$1,2),""),VLOOKUP($D23,素材!$1:$1016,COLUMN($F$1),FALSE))),VLOOKUP($C23,装備品!$1:$998,COLUMN($O$1),FALSE)*VLOOKUP($D23,素材!$1:$1016,COLUMN($E$1),FALSE)/(LEN(VLOOKUP($D23,素材!$1:$1016,COLUMN($F$1),FALSE))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BD23">
        <f>IF(ISNUMBER(SEARCH(SUBSTITUTE(BD$1,RIGHT(BD$1,2),""),VLOOKUP($D23,素材!$1:$1016,COLUMN($F$1),FALSE))),VLOOKUP($C23,装備品!$1:$998,COLUMN($O$1),FALSE)*VLOOKUP($D23,素材!$1:$1016,COLUMN($E$1),FALSE)/(LEN(VLOOKUP($D23,素材!$1:$1016,COLUMN($F$1),FALSE))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BE23">
        <f>IF(ISNUMBER(SEARCH(SUBSTITUTE(BE$1,RIGHT(BE$1,2),""),VLOOKUP($D23,素材!$1:$1016,COLUMN($F$1),FALSE))),VLOOKUP($C23,装備品!$1:$998,COLUMN($O$1),FALSE)*VLOOKUP($D23,素材!$1:$1016,COLUMN($E$1),FALSE)/(LEN(VLOOKUP($D23,素材!$1:$1016,COLUMN($F$1),FALSE))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CL23">
        <f t="shared" si="1"/>
        <v>16</v>
      </c>
      <c r="CM23" s="22" t="str">
        <f t="shared" si="2"/>
        <v>盾.webp</v>
      </c>
      <c r="CN23">
        <f>IFERROR(VLOOKUP($C23,装備品!$1:$998,COLUMN(V$1),FALSE)*VLOOKUP($D23,素材!$1:$1016,COLUMN(N$1),FALSE)+IF(CI23="",0,VLOOKUP($CI23,付与!$1:$1176,COLUMN($CK$1),FALSE)),"")</f>
        <v>0</v>
      </c>
      <c r="CO23" t="str">
        <f>VLOOKUP(D23,素材!$A:$O,COLUMN(素材!O$1),FALSE)</f>
        <v>一般的な鉄。量産品を作るのに使用されることが多い</v>
      </c>
      <c r="CP23" t="str">
        <f>VLOOKUP(C23,装備品!$A:$AB,COLUMN(装備品!AB$1),FALSE)</f>
        <v>丸盾。軽量で投擲にも使える盾。</v>
      </c>
      <c r="CR23" t="str">
        <f t="shared" si="3"/>
        <v>e_23</v>
      </c>
      <c r="CS23">
        <f t="shared" si="4"/>
        <v>0</v>
      </c>
    </row>
    <row r="24" spans="1:97" outlineLevel="1" x14ac:dyDescent="0.4">
      <c r="A24" t="str">
        <f t="shared" si="0"/>
        <v>鉄の盾</v>
      </c>
      <c r="B24" t="str">
        <f>IFERROR(VLOOKUP($D24,素材!$1:$1016,COLUMN($B$1),FALSE)&amp;"・"&amp;VLOOKUP($C24,装備品!$1:$998,COLUMN(B$1),FALSE),"")</f>
        <v>アイアン・シールド</v>
      </c>
      <c r="C24" t="s">
        <v>220</v>
      </c>
      <c r="D24" s="24" t="s">
        <v>256</v>
      </c>
      <c r="E24" t="str">
        <f>IFERROR(VLOOKUP(C24,装備品!$1:$998,COLUMN(C$1),FALSE),"")</f>
        <v>盾</v>
      </c>
      <c r="F24">
        <f>IFERROR(ROUNDDOWN((VLOOKUP($C24,装備品!$1:$998,COLUMN(D$1),FALSE)+IFERROR(VLOOKUP($CI24,付与!$1:$1167,COLUMN(F$1),FALSE),0))*VLOOKUP($D24,素材!$1:$1016,COLUMN(D$1),FALSE),0),"")</f>
        <v>100</v>
      </c>
      <c r="G24">
        <f>IFERROR(ROUNDDOWN((VLOOKUP($C24,装備品!$1:$998,COLUMN(E$1),FALSE)+IFERROR(VLOOKUP($CI24,付与!$1:$1167,COLUMN(G$1),FALSE),0))*VLOOKUP($D24,素材!$1:$1016,COLUMN($E$1),FALSE),0),"")</f>
        <v>0</v>
      </c>
      <c r="H24">
        <f>IFERROR(ROUNDDOWN((VLOOKUP($C24,装備品!$1:$998,COLUMN(F$1),FALSE)+IFERROR(VLOOKUP($CI24,付与!$1:$1167,COLUMN(H$1),FALSE),0))*VLOOKUP($D24,素材!$1:$1016,COLUMN($E$1),FALSE),0),"")</f>
        <v>0</v>
      </c>
      <c r="I24">
        <f>IFERROR(ROUNDDOWN((VLOOKUP($C24,装備品!$1:$998,COLUMN(G$1),FALSE)+IFERROR(VLOOKUP($CI24,付与!$1:$1167,COLUMN(I$1),FALSE),0))*VLOOKUP($D24,素材!$1:$1016,COLUMN($E$1),FALSE),0),"")</f>
        <v>16</v>
      </c>
      <c r="J24">
        <f>IFERROR(ROUNDDOWN((VLOOKUP($C24,装備品!$1:$998,COLUMN(H$1),FALSE)+IFERROR(VLOOKUP($CI24,付与!$1:$1167,COLUMN(J$1),FALSE),0))*VLOOKUP($D24,素材!$1:$1016,COLUMN($E$1),FALSE),0),"")</f>
        <v>25</v>
      </c>
      <c r="K24">
        <f>IFERROR(ROUNDDOWN((VLOOKUP($C24,装備品!$1:$998,COLUMN(I$1),FALSE)+IFERROR(VLOOKUP($CI24,付与!$1:$1167,COLUMN(K$1),FALSE),0))*VLOOKUP($D24,素材!$1:$1016,COLUMN($E$1),FALSE),0),"")</f>
        <v>0</v>
      </c>
      <c r="L24">
        <f>IFERROR(VLOOKUP($D24,素材!$1:$1016,COLUMN($F$1),FALSE),"")</f>
        <v>0</v>
      </c>
      <c r="M24">
        <f>IFERROR(VLOOKUP($C24,装備品!$1:$998,COLUMN(AA$1),FALSE)*VLOOKUP($D24,素材!$1:$1016,COLUMN($G$1),FALSE),"")</f>
        <v>0</v>
      </c>
      <c r="N24">
        <f>IFERROR(VLOOKUP($C24,装備品!$1:$998,COLUMN(I$1),FALSE),"")</f>
        <v>0</v>
      </c>
      <c r="O24" s="23">
        <f>IFERROR((VLOOKUP($C24,装備品!$1:$998,COLUMN(K$1),FALSE)+VLOOKUP($D24,素材!$1:$1016,COLUMN(H$1),FALSE))*100+IFERROR(VLOOKUP($CI24,付与!$1:$1167,COLUMN(O$1),FALSE),0),"")</f>
        <v>5</v>
      </c>
      <c r="P24" s="23">
        <f>IFERROR((VLOOKUP($C24,装備品!$1:$998,COLUMN(L$1),FALSE)+VLOOKUP($D24,素材!$1:$1016,COLUMN(I$1),FALSE))*100+IFERROR(VLOOKUP($CI24,付与!$1:$1167,COLUMN(P$1),FALSE),0),"")</f>
        <v>125</v>
      </c>
      <c r="Q24">
        <f>IFERROR(ROUNDUP(VLOOKUP($C24,装備品!$1:$998,COLUMN(M$1),FALSE)*(VLOOKUP($D24,素材!$1:$1002,COLUMN(D$1),FALSE)/100),1),"")</f>
        <v>0</v>
      </c>
      <c r="R24">
        <f>IFERROR(ROUNDUP(VLOOKUP($C24,装備品!$1:$998,COLUMN(N$1),FALSE)*(VLOOKUP($D24,素材!$1:$1002,COLUMN(D$1),FALSE)/100),1),"")</f>
        <v>0</v>
      </c>
      <c r="S24">
        <f>IFERROR(VLOOKUP($C24,装備品!$1:$998,COLUMN(P$1),FALSE),"")</f>
        <v>0</v>
      </c>
      <c r="T24">
        <f>IFERROR(VLOOKUP($C24,装備品!$1:$998,COLUMN(Q$1),FALSE),"")</f>
        <v>0</v>
      </c>
      <c r="U24">
        <f>IFERROR(VLOOKUP($C24,装備品!$1:$998,COLUMN(R$1),FALSE),"")</f>
        <v>0</v>
      </c>
      <c r="V24">
        <f>IFERROR(VLOOKUP($C24,装備品!$1:$998,COLUMN(Q$1),FALSE),"")</f>
        <v>0</v>
      </c>
      <c r="W24">
        <f>IFERROR(VLOOKUP($C24,装備品!$1:$998,COLUMN(T$1),FALSE),"")</f>
        <v>0</v>
      </c>
      <c r="Y24">
        <f>IFERROR(VLOOKUP($C24,装備品!$1:$998,COLUMN(U$1),FALSE),"")</f>
        <v>0</v>
      </c>
      <c r="Z24">
        <f>IFERROR(ROUNDUP(VLOOKUP($C24,装備品!$1:$998,COLUMN(O$1),FALSE)*VLOOKUP($D24,素材!$1:$1016,COLUMN(E$1),FALSE),1),"")</f>
        <v>0</v>
      </c>
      <c r="AA24">
        <f>IF(ISNUMBER(SEARCH(SUBSTITUTE(AA$1,RIGHT(AA$1,2),""),VLOOKUP($D24,素材!$1:$1016,COLUMN($F$1),FALSE))),VLOOKUP($C24,装備品!$1:$998,COLUMN($O$1),FALSE)*VLOOKUP($D24,素材!$1:$1016,COLUMN($E$1),FALSE)/(LEN(VLOOKUP($D24,素材!$1:$1016,COLUMN($F$1),FALSE))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B24">
        <f>IF(ISNUMBER(SEARCH(SUBSTITUTE(AB$1,RIGHT(AB$1,2),""),VLOOKUP($D24,素材!$1:$1016,COLUMN($F$1),FALSE))),VLOOKUP($C24,装備品!$1:$998,COLUMN($O$1),FALSE)*VLOOKUP($D24,素材!$1:$1016,COLUMN($E$1),FALSE)/(LEN(VLOOKUP($D24,素材!$1:$1016,COLUMN($F$1),FALSE))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C24">
        <f>IF(ISNUMBER(SEARCH(SUBSTITUTE(AC$1,RIGHT(AC$1,2),""),VLOOKUP($D24,素材!$1:$1016,COLUMN($F$1),FALSE))),VLOOKUP($C24,装備品!$1:$998,COLUMN($O$1),FALSE)*VLOOKUP($D24,素材!$1:$1016,COLUMN($E$1),FALSE)/(LEN(VLOOKUP($D24,素材!$1:$1016,COLUMN($F$1),FALSE))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D24">
        <f>IF(ISNUMBER(SEARCH(SUBSTITUTE(AD$1,RIGHT(AD$1,2),""),VLOOKUP($D24,素材!$1:$1016,COLUMN($F$1),FALSE))),VLOOKUP($C24,装備品!$1:$998,COLUMN($O$1),FALSE)*VLOOKUP($D24,素材!$1:$1016,COLUMN($E$1),FALSE)/(LEN(VLOOKUP($D24,素材!$1:$1016,COLUMN($F$1),FALSE))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E24">
        <f>IF(ISNUMBER(SEARCH(SUBSTITUTE(AE$1,RIGHT(AE$1,2),""),VLOOKUP($D24,素材!$1:$1016,COLUMN($F$1),FALSE))),VLOOKUP($C24,装備品!$1:$998,COLUMN($O$1),FALSE)*VLOOKUP($D24,素材!$1:$1016,COLUMN($E$1),FALSE)/(LEN(VLOOKUP($D24,素材!$1:$1016,COLUMN($F$1),FALSE))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F24">
        <f>IF(ISNUMBER(SEARCH(SUBSTITUTE(AF$1,RIGHT(AF$1,2),""),VLOOKUP($D24,素材!$1:$1016,COLUMN($F$1),FALSE))),VLOOKUP($C24,装備品!$1:$998,COLUMN($O$1),FALSE)*VLOOKUP($D24,素材!$1:$1016,COLUMN($E$1),FALSE)/(LEN(VLOOKUP($D24,素材!$1:$1016,COLUMN($F$1),FALSE))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G24">
        <f>IF(ISNUMBER(SEARCH(SUBSTITUTE(AG$1,RIGHT(AG$1,2),""),VLOOKUP($D24,素材!$1:$1016,COLUMN($F$1),FALSE))),VLOOKUP($C24,装備品!$1:$998,COLUMN($O$1),FALSE)*VLOOKUP($D24,素材!$1:$1016,COLUMN($E$1),FALSE)/(LEN(VLOOKUP($D24,素材!$1:$1016,COLUMN($F$1),FALSE))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H24">
        <f>IF(ISNUMBER(SEARCH(SUBSTITUTE(AH$1,RIGHT(AH$1,2),""),VLOOKUP($D24,素材!$1:$1016,COLUMN($F$1),FALSE))),VLOOKUP($C24,装備品!$1:$998,COLUMN($O$1),FALSE)*VLOOKUP($D24,素材!$1:$1016,COLUMN($E$1),FALSE)/(LEN(VLOOKUP($D24,素材!$1:$1016,COLUMN($F$1),FALSE))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I24">
        <f>IF(ISNUMBER(SEARCH(SUBSTITUTE(AI$1,RIGHT(AI$1,2),""),VLOOKUP($D24,素材!$1:$1016,COLUMN($F$1),FALSE))),VLOOKUP($C24,装備品!$1:$998,COLUMN($O$1),FALSE)*VLOOKUP($D24,素材!$1:$1016,COLUMN($E$1),FALSE)/(LEN(VLOOKUP($D24,素材!$1:$1016,COLUMN($F$1),FALSE))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J24">
        <f>IF(ISNUMBER(SEARCH(SUBSTITUTE(AJ$1,RIGHT(AJ$1,2),""),VLOOKUP($D24,素材!$1:$1016,COLUMN($F$1),FALSE))),VLOOKUP($C24,装備品!$1:$998,COLUMN($O$1),FALSE)*VLOOKUP($D24,素材!$1:$1016,COLUMN($E$1),FALSE)/(LEN(VLOOKUP($D24,素材!$1:$1016,COLUMN($F$1),FALSE))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K24">
        <f>IF(ISNUMBER(SEARCH(SUBSTITUTE(AK$1,RIGHT(AK$1,2),""),VLOOKUP($D24,素材!$1:$1016,COLUMN($F$1),FALSE))),VLOOKUP($C24,装備品!$1:$998,COLUMN($O$1),FALSE)*VLOOKUP($D24,素材!$1:$1016,COLUMN($E$1),FALSE)/(LEN(VLOOKUP($D24,素材!$1:$1016,COLUMN($F$1),FALSE))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L24">
        <f>IF(ISNUMBER(SEARCH(SUBSTITUTE(AL$1,RIGHT(AL$1,2),""),VLOOKUP($D24,素材!$1:$1016,COLUMN($F$1),FALSE))),VLOOKUP($C24,装備品!$1:$998,COLUMN($O$1),FALSE)*VLOOKUP($D24,素材!$1:$1016,COLUMN($E$1),FALSE)/(LEN(VLOOKUP($D24,素材!$1:$1016,COLUMN($F$1),FALSE))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M24">
        <f>IF(ISNUMBER(SEARCH(SUBSTITUTE(AM$1,RIGHT(AM$1,2),""),VLOOKUP($D24,素材!$1:$1016,COLUMN($F$1),FALSE))),VLOOKUP($C24,装備品!$1:$998,COLUMN($O$1),FALSE)*VLOOKUP($D24,素材!$1:$1016,COLUMN($E$1),FALSE)/(LEN(VLOOKUP($D24,素材!$1:$1016,COLUMN($F$1),FALSE))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N24">
        <f>IF(ISNUMBER(SEARCH(SUBSTITUTE(AN$1,RIGHT(AN$1,2),""),VLOOKUP($D24,素材!$1:$1016,COLUMN($F$1),FALSE))),VLOOKUP($C24,装備品!$1:$998,COLUMN($O$1),FALSE)*VLOOKUP($D24,素材!$1:$1016,COLUMN($E$1),FALSE)/(LEN(VLOOKUP($D24,素材!$1:$1016,COLUMN($F$1),FALSE))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O24">
        <f>IF(ISNUMBER(SEARCH(SUBSTITUTE(AO$1,RIGHT(AO$1,2),""),VLOOKUP($D24,素材!$1:$1016,COLUMN($F$1),FALSE))),VLOOKUP($C24,装備品!$1:$998,COLUMN($O$1),FALSE)*VLOOKUP($D24,素材!$1:$1016,COLUMN($E$1),FALSE)/(LEN(VLOOKUP($D24,素材!$1:$1016,COLUMN($F$1),FALSE))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P24">
        <f>IF(ISNUMBER(SEARCH(SUBSTITUTE(AP$1,RIGHT(AP$1,2),""),VLOOKUP($D24,素材!$1:$1016,COLUMN($F$1),FALSE))),VLOOKUP($C24,装備品!$1:$998,COLUMN($O$1),FALSE)*VLOOKUP($D24,素材!$1:$1016,COLUMN($E$1),FALSE)/(LEN(VLOOKUP($D24,素材!$1:$1016,COLUMN($F$1),FALSE))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Q24">
        <f>IF(ISNUMBER(SEARCH(SUBSTITUTE(AQ$1,RIGHT(AQ$1,2),""),VLOOKUP($D24,素材!$1:$1016,COLUMN($F$1),FALSE))),VLOOKUP($C24,装備品!$1:$998,COLUMN($O$1),FALSE)*VLOOKUP($D24,素材!$1:$1016,COLUMN($E$1),FALSE)/(LEN(VLOOKUP($D24,素材!$1:$1016,COLUMN($F$1),FALSE))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R24">
        <f>IF(ISNUMBER(SEARCH(SUBSTITUTE(AR$1,RIGHT(AR$1,2),""),VLOOKUP($D24,素材!$1:$1016,COLUMN($F$1),FALSE))),VLOOKUP($C24,装備品!$1:$998,COLUMN($O$1),FALSE)*VLOOKUP($D24,素材!$1:$1016,COLUMN($E$1),FALSE)/(LEN(VLOOKUP($D24,素材!$1:$1016,COLUMN($F$1),FALSE))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S24">
        <f>IF(ISNUMBER(SEARCH(SUBSTITUTE(AS$1,RIGHT(AS$1,2),""),VLOOKUP($D24,素材!$1:$1016,COLUMN($F$1),FALSE))),VLOOKUP($C24,装備品!$1:$998,COLUMN($O$1),FALSE)*VLOOKUP($D24,素材!$1:$1016,COLUMN($E$1),FALSE)/(LEN(VLOOKUP($D24,素材!$1:$1016,COLUMN($F$1),FALSE))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T24">
        <f>IF(ISNUMBER(SEARCH(SUBSTITUTE(AT$1,RIGHT(AT$1,2),""),VLOOKUP($D24,素材!$1:$1016,COLUMN($F$1),FALSE))),VLOOKUP($C24,装備品!$1:$998,COLUMN($O$1),FALSE)*VLOOKUP($D24,素材!$1:$1016,COLUMN($E$1),FALSE)/(LEN(VLOOKUP($D24,素材!$1:$1016,COLUMN($F$1),FALSE))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U24">
        <f>IF(ISNUMBER(SEARCH(SUBSTITUTE(AU$1,RIGHT(AU$1,2),""),VLOOKUP($D24,素材!$1:$1016,COLUMN($F$1),FALSE))),VLOOKUP($C24,装備品!$1:$998,COLUMN($O$1),FALSE)*VLOOKUP($D24,素材!$1:$1016,COLUMN($E$1),FALSE)/(LEN(VLOOKUP($D24,素材!$1:$1016,COLUMN($F$1),FALSE))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V24">
        <f>IF(ISNUMBER(SEARCH(SUBSTITUTE(AV$1,RIGHT(AV$1,2),""),VLOOKUP($D24,素材!$1:$1016,COLUMN($F$1),FALSE))),VLOOKUP($C24,装備品!$1:$998,COLUMN($O$1),FALSE)*VLOOKUP($D24,素材!$1:$1016,COLUMN($E$1),FALSE)/(LEN(VLOOKUP($D24,素材!$1:$1016,COLUMN($F$1),FALSE))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W24">
        <f>IF(ISNUMBER(SEARCH(SUBSTITUTE(AW$1,RIGHT(AW$1,2),""),VLOOKUP($D24,素材!$1:$1016,COLUMN($F$1),FALSE))),VLOOKUP($C24,装備品!$1:$998,COLUMN($O$1),FALSE)*VLOOKUP($D24,素材!$1:$1016,COLUMN($E$1),FALSE)/(LEN(VLOOKUP($D24,素材!$1:$1016,COLUMN($F$1),FALSE))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X24">
        <f>IF(ISNUMBER(SEARCH(SUBSTITUTE(AX$1,RIGHT(AX$1,2),""),VLOOKUP($D24,素材!$1:$1016,COLUMN($F$1),FALSE))),VLOOKUP($C24,装備品!$1:$998,COLUMN($O$1),FALSE)*VLOOKUP($D24,素材!$1:$1016,COLUMN($E$1),FALSE)/(LEN(VLOOKUP($D24,素材!$1:$1016,COLUMN($F$1),FALSE))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Y24">
        <f>IF(ISNUMBER(SEARCH(SUBSTITUTE(AY$1,RIGHT(AY$1,2),""),VLOOKUP($D24,素材!$1:$1016,COLUMN($F$1),FALSE))),VLOOKUP($C24,装備品!$1:$998,COLUMN($O$1),FALSE)*VLOOKUP($D24,素材!$1:$1016,COLUMN($E$1),FALSE)/(LEN(VLOOKUP($D24,素材!$1:$1016,COLUMN($F$1),FALSE))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Z24">
        <f>IF(ISNUMBER(SEARCH(SUBSTITUTE(AZ$1,RIGHT(AZ$1,2),""),VLOOKUP($D24,素材!$1:$1016,COLUMN($F$1),FALSE))),VLOOKUP($C24,装備品!$1:$998,COLUMN($O$1),FALSE)*VLOOKUP($D24,素材!$1:$1016,COLUMN($E$1),FALSE)/(LEN(VLOOKUP($D24,素材!$1:$1016,COLUMN($F$1),FALSE))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BA24">
        <f>IF(ISNUMBER(SEARCH(SUBSTITUTE(BA$1,RIGHT(BA$1,2),""),VLOOKUP($D24,素材!$1:$1016,COLUMN($F$1),FALSE))),VLOOKUP($C24,装備品!$1:$998,COLUMN($O$1),FALSE)*VLOOKUP($D24,素材!$1:$1016,COLUMN($E$1),FALSE)/(LEN(VLOOKUP($D24,素材!$1:$1016,COLUMN($F$1),FALSE))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BB24">
        <f>IF(ISNUMBER(SEARCH(SUBSTITUTE(BB$1,RIGHT(BB$1,2),""),VLOOKUP($D24,素材!$1:$1016,COLUMN($F$1),FALSE))),VLOOKUP($C24,装備品!$1:$998,COLUMN($O$1),FALSE)*VLOOKUP($D24,素材!$1:$1016,COLUMN($E$1),FALSE)/(LEN(VLOOKUP($D24,素材!$1:$1016,COLUMN($F$1),FALSE))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BC24">
        <f>IF(ISNUMBER(SEARCH(SUBSTITUTE(BC$1,RIGHT(BC$1,2),""),VLOOKUP($D24,素材!$1:$1016,COLUMN($F$1),FALSE))),VLOOKUP($C24,装備品!$1:$998,COLUMN($O$1),FALSE)*VLOOKUP($D24,素材!$1:$1016,COLUMN($E$1),FALSE)/(LEN(VLOOKUP($D24,素材!$1:$1016,COLUMN($F$1),FALSE))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BD24">
        <f>IF(ISNUMBER(SEARCH(SUBSTITUTE(BD$1,RIGHT(BD$1,2),""),VLOOKUP($D24,素材!$1:$1016,COLUMN($F$1),FALSE))),VLOOKUP($C24,装備品!$1:$998,COLUMN($O$1),FALSE)*VLOOKUP($D24,素材!$1:$1016,COLUMN($E$1),FALSE)/(LEN(VLOOKUP($D24,素材!$1:$1016,COLUMN($F$1),FALSE))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BE24">
        <f>IF(ISNUMBER(SEARCH(SUBSTITUTE(BE$1,RIGHT(BE$1,2),""),VLOOKUP($D24,素材!$1:$1016,COLUMN($F$1),FALSE))),VLOOKUP($C24,装備品!$1:$998,COLUMN($O$1),FALSE)*VLOOKUP($D24,素材!$1:$1016,COLUMN($E$1),FALSE)/(LEN(VLOOKUP($D24,素材!$1:$1016,COLUMN($F$1),FALSE))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CL24">
        <f t="shared" si="1"/>
        <v>16</v>
      </c>
      <c r="CM24" s="22" t="str">
        <f t="shared" si="2"/>
        <v>盾.webp</v>
      </c>
      <c r="CN24">
        <f>IFERROR(VLOOKUP($C24,装備品!$1:$998,COLUMN(V$1),FALSE)*VLOOKUP($D24,素材!$1:$1016,COLUMN(N$1),FALSE)+IF(CI24="",0,VLOOKUP($CI24,付与!$1:$1176,COLUMN($CK$1),FALSE)),"")</f>
        <v>0</v>
      </c>
      <c r="CO24" t="str">
        <f>VLOOKUP(D24,素材!$A:$O,COLUMN(素材!O$1),FALSE)</f>
        <v>一般的な鉄。量産品を作るのに使用されることが多い</v>
      </c>
      <c r="CP24" t="str">
        <f>VLOOKUP(C24,装備品!$A:$AB,COLUMN(装備品!AB$1),FALSE)</f>
        <v>盾。防御力が高く、汎用性がある防具。</v>
      </c>
      <c r="CR24" t="str">
        <f t="shared" si="3"/>
        <v>e_24</v>
      </c>
      <c r="CS24">
        <f t="shared" si="4"/>
        <v>0</v>
      </c>
    </row>
    <row r="25" spans="1:97" outlineLevel="1" x14ac:dyDescent="0.4">
      <c r="A25" t="str">
        <f t="shared" si="0"/>
        <v>鉄の丸大盾</v>
      </c>
      <c r="B25" t="str">
        <f>IFERROR(VLOOKUP($D25,素材!$1:$1016,COLUMN($B$1),FALSE)&amp;"・"&amp;VLOOKUP($C25,装備品!$1:$998,COLUMN(B$1),FALSE),"")</f>
        <v>アイアン・ラウンドシールド</v>
      </c>
      <c r="C25" t="s">
        <v>219</v>
      </c>
      <c r="D25" s="24" t="s">
        <v>256</v>
      </c>
      <c r="E25" t="str">
        <f>IFERROR(VLOOKUP(C25,装備品!$1:$998,COLUMN(C$1),FALSE),"")</f>
        <v>盾</v>
      </c>
      <c r="F25">
        <f>IFERROR(ROUNDDOWN((VLOOKUP($C25,装備品!$1:$998,COLUMN(D$1),FALSE)+IFERROR(VLOOKUP($CI25,付与!$1:$1167,COLUMN(F$1),FALSE),0))*VLOOKUP($D25,素材!$1:$1016,COLUMN(D$1),FALSE),0),"")</f>
        <v>110</v>
      </c>
      <c r="G25">
        <f>IFERROR(ROUNDDOWN((VLOOKUP($C25,装備品!$1:$998,COLUMN(E$1),FALSE)+IFERROR(VLOOKUP($CI25,付与!$1:$1167,COLUMN(G$1),FALSE),0))*VLOOKUP($D25,素材!$1:$1016,COLUMN($E$1),FALSE),0),"")</f>
        <v>9</v>
      </c>
      <c r="H25">
        <f>IFERROR(ROUNDDOWN((VLOOKUP($C25,装備品!$1:$998,COLUMN(F$1),FALSE)+IFERROR(VLOOKUP($CI25,付与!$1:$1167,COLUMN(H$1),FALSE),0))*VLOOKUP($D25,素材!$1:$1016,COLUMN($E$1),FALSE),0),"")</f>
        <v>0</v>
      </c>
      <c r="I25">
        <f>IFERROR(ROUNDDOWN((VLOOKUP($C25,装備品!$1:$998,COLUMN(G$1),FALSE)+IFERROR(VLOOKUP($CI25,付与!$1:$1167,COLUMN(I$1),FALSE),0))*VLOOKUP($D25,素材!$1:$1016,COLUMN($E$1),FALSE),0),"")</f>
        <v>9</v>
      </c>
      <c r="J25">
        <f>IFERROR(ROUNDDOWN((VLOOKUP($C25,装備品!$1:$998,COLUMN(H$1),FALSE)+IFERROR(VLOOKUP($CI25,付与!$1:$1167,COLUMN(J$1),FALSE),0))*VLOOKUP($D25,素材!$1:$1016,COLUMN($E$1),FALSE),0),"")</f>
        <v>25</v>
      </c>
      <c r="K25">
        <f>IFERROR(ROUNDDOWN((VLOOKUP($C25,装備品!$1:$998,COLUMN(I$1),FALSE)+IFERROR(VLOOKUP($CI25,付与!$1:$1167,COLUMN(K$1),FALSE),0))*VLOOKUP($D25,素材!$1:$1016,COLUMN($E$1),FALSE),0),"")</f>
        <v>0</v>
      </c>
      <c r="L25">
        <f>IFERROR(VLOOKUP($D25,素材!$1:$1016,COLUMN($F$1),FALSE),"")</f>
        <v>0</v>
      </c>
      <c r="M25">
        <f>IFERROR(VLOOKUP($C25,装備品!$1:$998,COLUMN(AA$1),FALSE)*VLOOKUP($D25,素材!$1:$1016,COLUMN($G$1),FALSE),"")</f>
        <v>0</v>
      </c>
      <c r="N25">
        <f>IFERROR(VLOOKUP($C25,装備品!$1:$998,COLUMN(I$1),FALSE),"")</f>
        <v>0</v>
      </c>
      <c r="O25" s="23">
        <f>IFERROR((VLOOKUP($C25,装備品!$1:$998,COLUMN(K$1),FALSE)+VLOOKUP($D25,素材!$1:$1016,COLUMN(H$1),FALSE))*100+IFERROR(VLOOKUP($CI25,付与!$1:$1167,COLUMN(O$1),FALSE),0),"")</f>
        <v>5</v>
      </c>
      <c r="P25" s="23">
        <f>IFERROR((VLOOKUP($C25,装備品!$1:$998,COLUMN(L$1),FALSE)+VLOOKUP($D25,素材!$1:$1016,COLUMN(I$1),FALSE))*100+IFERROR(VLOOKUP($CI25,付与!$1:$1167,COLUMN(P$1),FALSE),0),"")</f>
        <v>125</v>
      </c>
      <c r="Q25">
        <f>IFERROR(ROUNDUP(VLOOKUP($C25,装備品!$1:$998,COLUMN(M$1),FALSE)*(VLOOKUP($D25,素材!$1:$1002,COLUMN(D$1),FALSE)/100),1),"")</f>
        <v>-5</v>
      </c>
      <c r="R25">
        <f>IFERROR(ROUNDUP(VLOOKUP($C25,装備品!$1:$998,COLUMN(N$1),FALSE)*(VLOOKUP($D25,素材!$1:$1002,COLUMN(D$1),FALSE)/100),1),"")</f>
        <v>0</v>
      </c>
      <c r="S25">
        <f>IFERROR(VLOOKUP($C25,装備品!$1:$998,COLUMN(P$1),FALSE),"")</f>
        <v>0</v>
      </c>
      <c r="T25">
        <f>IFERROR(VLOOKUP($C25,装備品!$1:$998,COLUMN(Q$1),FALSE),"")</f>
        <v>0</v>
      </c>
      <c r="U25">
        <f>IFERROR(VLOOKUP($C25,装備品!$1:$998,COLUMN(R$1),FALSE),"")</f>
        <v>0</v>
      </c>
      <c r="V25">
        <f>IFERROR(VLOOKUP($C25,装備品!$1:$998,COLUMN(Q$1),FALSE),"")</f>
        <v>0</v>
      </c>
      <c r="W25">
        <f>IFERROR(VLOOKUP($C25,装備品!$1:$998,COLUMN(T$1),FALSE),"")</f>
        <v>0</v>
      </c>
      <c r="Y25">
        <f>IFERROR(VLOOKUP($C25,装備品!$1:$998,COLUMN(U$1),FALSE),"")</f>
        <v>0</v>
      </c>
      <c r="Z25">
        <f>IFERROR(ROUNDUP(VLOOKUP($C25,装備品!$1:$998,COLUMN(O$1),FALSE)*VLOOKUP($D25,素材!$1:$1016,COLUMN(E$1),FALSE),1),"")</f>
        <v>0</v>
      </c>
      <c r="AA25">
        <f>IF(ISNUMBER(SEARCH(SUBSTITUTE(AA$1,RIGHT(AA$1,2),""),VLOOKUP($D25,素材!$1:$1016,COLUMN($F$1),FALSE))),VLOOKUP($C25,装備品!$1:$998,COLUMN($O$1),FALSE)*VLOOKUP($D25,素材!$1:$1016,COLUMN($E$1),FALSE)/(LEN(VLOOKUP($D25,素材!$1:$1016,COLUMN($F$1),FALSE))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B25">
        <f>IF(ISNUMBER(SEARCH(SUBSTITUTE(AB$1,RIGHT(AB$1,2),""),VLOOKUP($D25,素材!$1:$1016,COLUMN($F$1),FALSE))),VLOOKUP($C25,装備品!$1:$998,COLUMN($O$1),FALSE)*VLOOKUP($D25,素材!$1:$1016,COLUMN($E$1),FALSE)/(LEN(VLOOKUP($D25,素材!$1:$1016,COLUMN($F$1),FALSE))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C25">
        <f>IF(ISNUMBER(SEARCH(SUBSTITUTE(AC$1,RIGHT(AC$1,2),""),VLOOKUP($D25,素材!$1:$1016,COLUMN($F$1),FALSE))),VLOOKUP($C25,装備品!$1:$998,COLUMN($O$1),FALSE)*VLOOKUP($D25,素材!$1:$1016,COLUMN($E$1),FALSE)/(LEN(VLOOKUP($D25,素材!$1:$1016,COLUMN($F$1),FALSE))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D25">
        <f>IF(ISNUMBER(SEARCH(SUBSTITUTE(AD$1,RIGHT(AD$1,2),""),VLOOKUP($D25,素材!$1:$1016,COLUMN($F$1),FALSE))),VLOOKUP($C25,装備品!$1:$998,COLUMN($O$1),FALSE)*VLOOKUP($D25,素材!$1:$1016,COLUMN($E$1),FALSE)/(LEN(VLOOKUP($D25,素材!$1:$1016,COLUMN($F$1),FALSE))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E25">
        <f>IF(ISNUMBER(SEARCH(SUBSTITUTE(AE$1,RIGHT(AE$1,2),""),VLOOKUP($D25,素材!$1:$1016,COLUMN($F$1),FALSE))),VLOOKUP($C25,装備品!$1:$998,COLUMN($O$1),FALSE)*VLOOKUP($D25,素材!$1:$1016,COLUMN($E$1),FALSE)/(LEN(VLOOKUP($D25,素材!$1:$1016,COLUMN($F$1),FALSE))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F25">
        <f>IF(ISNUMBER(SEARCH(SUBSTITUTE(AF$1,RIGHT(AF$1,2),""),VLOOKUP($D25,素材!$1:$1016,COLUMN($F$1),FALSE))),VLOOKUP($C25,装備品!$1:$998,COLUMN($O$1),FALSE)*VLOOKUP($D25,素材!$1:$1016,COLUMN($E$1),FALSE)/(LEN(VLOOKUP($D25,素材!$1:$1016,COLUMN($F$1),FALSE))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G25">
        <f>IF(ISNUMBER(SEARCH(SUBSTITUTE(AG$1,RIGHT(AG$1,2),""),VLOOKUP($D25,素材!$1:$1016,COLUMN($F$1),FALSE))),VLOOKUP($C25,装備品!$1:$998,COLUMN($O$1),FALSE)*VLOOKUP($D25,素材!$1:$1016,COLUMN($E$1),FALSE)/(LEN(VLOOKUP($D25,素材!$1:$1016,COLUMN($F$1),FALSE))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H25">
        <f>IF(ISNUMBER(SEARCH(SUBSTITUTE(AH$1,RIGHT(AH$1,2),""),VLOOKUP($D25,素材!$1:$1016,COLUMN($F$1),FALSE))),VLOOKUP($C25,装備品!$1:$998,COLUMN($O$1),FALSE)*VLOOKUP($D25,素材!$1:$1016,COLUMN($E$1),FALSE)/(LEN(VLOOKUP($D25,素材!$1:$1016,COLUMN($F$1),FALSE))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I25">
        <f>IF(ISNUMBER(SEARCH(SUBSTITUTE(AI$1,RIGHT(AI$1,2),""),VLOOKUP($D25,素材!$1:$1016,COLUMN($F$1),FALSE))),VLOOKUP($C25,装備品!$1:$998,COLUMN($O$1),FALSE)*VLOOKUP($D25,素材!$1:$1016,COLUMN($E$1),FALSE)/(LEN(VLOOKUP($D25,素材!$1:$1016,COLUMN($F$1),FALSE))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J25">
        <f>IF(ISNUMBER(SEARCH(SUBSTITUTE(AJ$1,RIGHT(AJ$1,2),""),VLOOKUP($D25,素材!$1:$1016,COLUMN($F$1),FALSE))),VLOOKUP($C25,装備品!$1:$998,COLUMN($O$1),FALSE)*VLOOKUP($D25,素材!$1:$1016,COLUMN($E$1),FALSE)/(LEN(VLOOKUP($D25,素材!$1:$1016,COLUMN($F$1),FALSE))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K25">
        <f>IF(ISNUMBER(SEARCH(SUBSTITUTE(AK$1,RIGHT(AK$1,2),""),VLOOKUP($D25,素材!$1:$1016,COLUMN($F$1),FALSE))),VLOOKUP($C25,装備品!$1:$998,COLUMN($O$1),FALSE)*VLOOKUP($D25,素材!$1:$1016,COLUMN($E$1),FALSE)/(LEN(VLOOKUP($D25,素材!$1:$1016,COLUMN($F$1),FALSE))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L25">
        <f>IF(ISNUMBER(SEARCH(SUBSTITUTE(AL$1,RIGHT(AL$1,2),""),VLOOKUP($D25,素材!$1:$1016,COLUMN($F$1),FALSE))),VLOOKUP($C25,装備品!$1:$998,COLUMN($O$1),FALSE)*VLOOKUP($D25,素材!$1:$1016,COLUMN($E$1),FALSE)/(LEN(VLOOKUP($D25,素材!$1:$1016,COLUMN($F$1),FALSE))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M25">
        <f>IF(ISNUMBER(SEARCH(SUBSTITUTE(AM$1,RIGHT(AM$1,2),""),VLOOKUP($D25,素材!$1:$1016,COLUMN($F$1),FALSE))),VLOOKUP($C25,装備品!$1:$998,COLUMN($O$1),FALSE)*VLOOKUP($D25,素材!$1:$1016,COLUMN($E$1),FALSE)/(LEN(VLOOKUP($D25,素材!$1:$1016,COLUMN($F$1),FALSE))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N25">
        <f>IF(ISNUMBER(SEARCH(SUBSTITUTE(AN$1,RIGHT(AN$1,2),""),VLOOKUP($D25,素材!$1:$1016,COLUMN($F$1),FALSE))),VLOOKUP($C25,装備品!$1:$998,COLUMN($O$1),FALSE)*VLOOKUP($D25,素材!$1:$1016,COLUMN($E$1),FALSE)/(LEN(VLOOKUP($D25,素材!$1:$1016,COLUMN($F$1),FALSE))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O25">
        <f>IF(ISNUMBER(SEARCH(SUBSTITUTE(AO$1,RIGHT(AO$1,2),""),VLOOKUP($D25,素材!$1:$1016,COLUMN($F$1),FALSE))),VLOOKUP($C25,装備品!$1:$998,COLUMN($O$1),FALSE)*VLOOKUP($D25,素材!$1:$1016,COLUMN($E$1),FALSE)/(LEN(VLOOKUP($D25,素材!$1:$1016,COLUMN($F$1),FALSE))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P25">
        <f>IF(ISNUMBER(SEARCH(SUBSTITUTE(AP$1,RIGHT(AP$1,2),""),VLOOKUP($D25,素材!$1:$1016,COLUMN($F$1),FALSE))),VLOOKUP($C25,装備品!$1:$998,COLUMN($O$1),FALSE)*VLOOKUP($D25,素材!$1:$1016,COLUMN($E$1),FALSE)/(LEN(VLOOKUP($D25,素材!$1:$1016,COLUMN($F$1),FALSE))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Q25">
        <f>IF(ISNUMBER(SEARCH(SUBSTITUTE(AQ$1,RIGHT(AQ$1,2),""),VLOOKUP($D25,素材!$1:$1016,COLUMN($F$1),FALSE))),VLOOKUP($C25,装備品!$1:$998,COLUMN($O$1),FALSE)*VLOOKUP($D25,素材!$1:$1016,COLUMN($E$1),FALSE)/(LEN(VLOOKUP($D25,素材!$1:$1016,COLUMN($F$1),FALSE))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R25">
        <f>IF(ISNUMBER(SEARCH(SUBSTITUTE(AR$1,RIGHT(AR$1,2),""),VLOOKUP($D25,素材!$1:$1016,COLUMN($F$1),FALSE))),VLOOKUP($C25,装備品!$1:$998,COLUMN($O$1),FALSE)*VLOOKUP($D25,素材!$1:$1016,COLUMN($E$1),FALSE)/(LEN(VLOOKUP($D25,素材!$1:$1016,COLUMN($F$1),FALSE))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S25">
        <f>IF(ISNUMBER(SEARCH(SUBSTITUTE(AS$1,RIGHT(AS$1,2),""),VLOOKUP($D25,素材!$1:$1016,COLUMN($F$1),FALSE))),VLOOKUP($C25,装備品!$1:$998,COLUMN($O$1),FALSE)*VLOOKUP($D25,素材!$1:$1016,COLUMN($E$1),FALSE)/(LEN(VLOOKUP($D25,素材!$1:$1016,COLUMN($F$1),FALSE))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T25">
        <f>IF(ISNUMBER(SEARCH(SUBSTITUTE(AT$1,RIGHT(AT$1,2),""),VLOOKUP($D25,素材!$1:$1016,COLUMN($F$1),FALSE))),VLOOKUP($C25,装備品!$1:$998,COLUMN($O$1),FALSE)*VLOOKUP($D25,素材!$1:$1016,COLUMN($E$1),FALSE)/(LEN(VLOOKUP($D25,素材!$1:$1016,COLUMN($F$1),FALSE))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U25">
        <f>IF(ISNUMBER(SEARCH(SUBSTITUTE(AU$1,RIGHT(AU$1,2),""),VLOOKUP($D25,素材!$1:$1016,COLUMN($F$1),FALSE))),VLOOKUP($C25,装備品!$1:$998,COLUMN($O$1),FALSE)*VLOOKUP($D25,素材!$1:$1016,COLUMN($E$1),FALSE)/(LEN(VLOOKUP($D25,素材!$1:$1016,COLUMN($F$1),FALSE))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V25">
        <f>IF(ISNUMBER(SEARCH(SUBSTITUTE(AV$1,RIGHT(AV$1,2),""),VLOOKUP($D25,素材!$1:$1016,COLUMN($F$1),FALSE))),VLOOKUP($C25,装備品!$1:$998,COLUMN($O$1),FALSE)*VLOOKUP($D25,素材!$1:$1016,COLUMN($E$1),FALSE)/(LEN(VLOOKUP($D25,素材!$1:$1016,COLUMN($F$1),FALSE))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W25">
        <f>IF(ISNUMBER(SEARCH(SUBSTITUTE(AW$1,RIGHT(AW$1,2),""),VLOOKUP($D25,素材!$1:$1016,COLUMN($F$1),FALSE))),VLOOKUP($C25,装備品!$1:$998,COLUMN($O$1),FALSE)*VLOOKUP($D25,素材!$1:$1016,COLUMN($E$1),FALSE)/(LEN(VLOOKUP($D25,素材!$1:$1016,COLUMN($F$1),FALSE))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X25">
        <f>IF(ISNUMBER(SEARCH(SUBSTITUTE(AX$1,RIGHT(AX$1,2),""),VLOOKUP($D25,素材!$1:$1016,COLUMN($F$1),FALSE))),VLOOKUP($C25,装備品!$1:$998,COLUMN($O$1),FALSE)*VLOOKUP($D25,素材!$1:$1016,COLUMN($E$1),FALSE)/(LEN(VLOOKUP($D25,素材!$1:$1016,COLUMN($F$1),FALSE))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Y25">
        <f>IF(ISNUMBER(SEARCH(SUBSTITUTE(AY$1,RIGHT(AY$1,2),""),VLOOKUP($D25,素材!$1:$1016,COLUMN($F$1),FALSE))),VLOOKUP($C25,装備品!$1:$998,COLUMN($O$1),FALSE)*VLOOKUP($D25,素材!$1:$1016,COLUMN($E$1),FALSE)/(LEN(VLOOKUP($D25,素材!$1:$1016,COLUMN($F$1),FALSE))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Z25">
        <f>IF(ISNUMBER(SEARCH(SUBSTITUTE(AZ$1,RIGHT(AZ$1,2),""),VLOOKUP($D25,素材!$1:$1016,COLUMN($F$1),FALSE))),VLOOKUP($C25,装備品!$1:$998,COLUMN($O$1),FALSE)*VLOOKUP($D25,素材!$1:$1016,COLUMN($E$1),FALSE)/(LEN(VLOOKUP($D25,素材!$1:$1016,COLUMN($F$1),FALSE))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BA25">
        <f>IF(ISNUMBER(SEARCH(SUBSTITUTE(BA$1,RIGHT(BA$1,2),""),VLOOKUP($D25,素材!$1:$1016,COLUMN($F$1),FALSE))),VLOOKUP($C25,装備品!$1:$998,COLUMN($O$1),FALSE)*VLOOKUP($D25,素材!$1:$1016,COLUMN($E$1),FALSE)/(LEN(VLOOKUP($D25,素材!$1:$1016,COLUMN($F$1),FALSE))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BB25">
        <f>IF(ISNUMBER(SEARCH(SUBSTITUTE(BB$1,RIGHT(BB$1,2),""),VLOOKUP($D25,素材!$1:$1016,COLUMN($F$1),FALSE))),VLOOKUP($C25,装備品!$1:$998,COLUMN($O$1),FALSE)*VLOOKUP($D25,素材!$1:$1016,COLUMN($E$1),FALSE)/(LEN(VLOOKUP($D25,素材!$1:$1016,COLUMN($F$1),FALSE))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BC25">
        <f>IF(ISNUMBER(SEARCH(SUBSTITUTE(BC$1,RIGHT(BC$1,2),""),VLOOKUP($D25,素材!$1:$1016,COLUMN($F$1),FALSE))),VLOOKUP($C25,装備品!$1:$998,COLUMN($O$1),FALSE)*VLOOKUP($D25,素材!$1:$1016,COLUMN($E$1),FALSE)/(LEN(VLOOKUP($D25,素材!$1:$1016,COLUMN($F$1),FALSE))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BD25">
        <f>IF(ISNUMBER(SEARCH(SUBSTITUTE(BD$1,RIGHT(BD$1,2),""),VLOOKUP($D25,素材!$1:$1016,COLUMN($F$1),FALSE))),VLOOKUP($C25,装備品!$1:$998,COLUMN($O$1),FALSE)*VLOOKUP($D25,素材!$1:$1016,COLUMN($E$1),FALSE)/(LEN(VLOOKUP($D25,素材!$1:$1016,COLUMN($F$1),FALSE))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BE25">
        <f>IF(ISNUMBER(SEARCH(SUBSTITUTE(BE$1,RIGHT(BE$1,2),""),VLOOKUP($D25,素材!$1:$1016,COLUMN($F$1),FALSE))),VLOOKUP($C25,装備品!$1:$998,COLUMN($O$1),FALSE)*VLOOKUP($D25,素材!$1:$1016,COLUMN($E$1),FALSE)/(LEN(VLOOKUP($D25,素材!$1:$1016,COLUMN($F$1),FALSE))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CL25">
        <f t="shared" si="1"/>
        <v>18</v>
      </c>
      <c r="CM25" s="22" t="str">
        <f t="shared" si="2"/>
        <v>盾.webp</v>
      </c>
      <c r="CN25">
        <f>IFERROR(VLOOKUP($C25,装備品!$1:$998,COLUMN(V$1),FALSE)*VLOOKUP($D25,素材!$1:$1016,COLUMN(N$1),FALSE)+IF(CI25="",0,VLOOKUP($CI25,付与!$1:$1176,COLUMN($CK$1),FALSE)),"")</f>
        <v>0</v>
      </c>
      <c r="CO25" t="str">
        <f>VLOOKUP(D25,素材!$A:$O,COLUMN(素材!O$1),FALSE)</f>
        <v>一般的な鉄。量産品を作るのに使用されることが多い</v>
      </c>
      <c r="CP25" t="str">
        <f>VLOOKUP(C25,装備品!$A:$AB,COLUMN(装備品!AB$1),FALSE)</f>
        <v>丸大盾。防御範囲が広く、投擲も可能。</v>
      </c>
      <c r="CR25" t="str">
        <f t="shared" si="3"/>
        <v>e_25</v>
      </c>
      <c r="CS25">
        <f t="shared" si="4"/>
        <v>0</v>
      </c>
    </row>
    <row r="26" spans="1:97" outlineLevel="1" x14ac:dyDescent="0.4">
      <c r="A26" t="str">
        <f t="shared" si="0"/>
        <v>鉄の大盾</v>
      </c>
      <c r="B26" t="str">
        <f>IFERROR(VLOOKUP($D26,素材!$1:$1016,COLUMN($B$1),FALSE)&amp;"・"&amp;VLOOKUP($C26,装備品!$1:$998,COLUMN(B$1),FALSE),"")</f>
        <v>アイアン・ラージシールド</v>
      </c>
      <c r="C26" t="s">
        <v>218</v>
      </c>
      <c r="D26" s="24" t="s">
        <v>256</v>
      </c>
      <c r="E26" t="str">
        <f>IFERROR(VLOOKUP(C26,装備品!$1:$998,COLUMN(C$1),FALSE),"")</f>
        <v>盾</v>
      </c>
      <c r="F26">
        <f>IFERROR(ROUNDDOWN((VLOOKUP($C26,装備品!$1:$998,COLUMN(D$1),FALSE)+IFERROR(VLOOKUP($CI26,付与!$1:$1167,COLUMN(F$1),FALSE),0))*VLOOKUP($D26,素材!$1:$1016,COLUMN(D$1),FALSE),0),"")</f>
        <v>115</v>
      </c>
      <c r="G26">
        <f>IFERROR(ROUNDDOWN((VLOOKUP($C26,装備品!$1:$998,COLUMN(E$1),FALSE)+IFERROR(VLOOKUP($CI26,付与!$1:$1167,COLUMN(G$1),FALSE),0))*VLOOKUP($D26,素材!$1:$1016,COLUMN($E$1),FALSE),0),"")</f>
        <v>0</v>
      </c>
      <c r="H26">
        <f>IFERROR(ROUNDDOWN((VLOOKUP($C26,装備品!$1:$998,COLUMN(F$1),FALSE)+IFERROR(VLOOKUP($CI26,付与!$1:$1167,COLUMN(H$1),FALSE),0))*VLOOKUP($D26,素材!$1:$1016,COLUMN($E$1),FALSE),0),"")</f>
        <v>0</v>
      </c>
      <c r="I26">
        <f>IFERROR(ROUNDDOWN((VLOOKUP($C26,装備品!$1:$998,COLUMN(G$1),FALSE)+IFERROR(VLOOKUP($CI26,付与!$1:$1167,COLUMN(I$1),FALSE),0))*VLOOKUP($D26,素材!$1:$1016,COLUMN($E$1),FALSE),0),"")</f>
        <v>17</v>
      </c>
      <c r="J26">
        <f>IFERROR(ROUNDDOWN((VLOOKUP($C26,装備品!$1:$998,COLUMN(H$1),FALSE)+IFERROR(VLOOKUP($CI26,付与!$1:$1167,COLUMN(J$1),FALSE),0))*VLOOKUP($D26,素材!$1:$1016,COLUMN($E$1),FALSE),0),"")</f>
        <v>27</v>
      </c>
      <c r="K26">
        <f>IFERROR(ROUNDDOWN((VLOOKUP($C26,装備品!$1:$998,COLUMN(I$1),FALSE)+IFERROR(VLOOKUP($CI26,付与!$1:$1167,COLUMN(K$1),FALSE),0))*VLOOKUP($D26,素材!$1:$1016,COLUMN($E$1),FALSE),0),"")</f>
        <v>0</v>
      </c>
      <c r="L26">
        <f>IFERROR(VLOOKUP($D26,素材!$1:$1016,COLUMN($F$1),FALSE),"")</f>
        <v>0</v>
      </c>
      <c r="M26">
        <f>IFERROR(VLOOKUP($C26,装備品!$1:$998,COLUMN(AA$1),FALSE)*VLOOKUP($D26,素材!$1:$1016,COLUMN($G$1),FALSE),"")</f>
        <v>0</v>
      </c>
      <c r="N26">
        <f>IFERROR(VLOOKUP($C26,装備品!$1:$998,COLUMN(I$1),FALSE),"")</f>
        <v>0</v>
      </c>
      <c r="O26" s="23">
        <f>IFERROR((VLOOKUP($C26,装備品!$1:$998,COLUMN(K$1),FALSE)+VLOOKUP($D26,素材!$1:$1016,COLUMN(H$1),FALSE))*100+IFERROR(VLOOKUP($CI26,付与!$1:$1167,COLUMN(O$1),FALSE),0),"")</f>
        <v>5</v>
      </c>
      <c r="P26" s="23">
        <f>IFERROR((VLOOKUP($C26,装備品!$1:$998,COLUMN(L$1),FALSE)+VLOOKUP($D26,素材!$1:$1016,COLUMN(I$1),FALSE))*100+IFERROR(VLOOKUP($CI26,付与!$1:$1167,COLUMN(P$1),FALSE),0),"")</f>
        <v>125</v>
      </c>
      <c r="Q26">
        <f>IFERROR(ROUNDUP(VLOOKUP($C26,装備品!$1:$998,COLUMN(M$1),FALSE)*(VLOOKUP($D26,素材!$1:$1002,COLUMN(D$1),FALSE)/100),1),"")</f>
        <v>-5</v>
      </c>
      <c r="R26">
        <f>IFERROR(ROUNDUP(VLOOKUP($C26,装備品!$1:$998,COLUMN(N$1),FALSE)*(VLOOKUP($D26,素材!$1:$1002,COLUMN(D$1),FALSE)/100),1),"")</f>
        <v>0</v>
      </c>
      <c r="S26">
        <f>IFERROR(VLOOKUP($C26,装備品!$1:$998,COLUMN(P$1),FALSE),"")</f>
        <v>0</v>
      </c>
      <c r="T26">
        <f>IFERROR(VLOOKUP($C26,装備品!$1:$998,COLUMN(Q$1),FALSE),"")</f>
        <v>0</v>
      </c>
      <c r="U26">
        <f>IFERROR(VLOOKUP($C26,装備品!$1:$998,COLUMN(R$1),FALSE),"")</f>
        <v>0</v>
      </c>
      <c r="V26">
        <f>IFERROR(VLOOKUP($C26,装備品!$1:$998,COLUMN(Q$1),FALSE),"")</f>
        <v>0</v>
      </c>
      <c r="W26">
        <f>IFERROR(VLOOKUP($C26,装備品!$1:$998,COLUMN(T$1),FALSE),"")</f>
        <v>0</v>
      </c>
      <c r="Y26">
        <f>IFERROR(VLOOKUP($C26,装備品!$1:$998,COLUMN(U$1),FALSE),"")</f>
        <v>0</v>
      </c>
      <c r="Z26">
        <f>IFERROR(ROUNDUP(VLOOKUP($C26,装備品!$1:$998,COLUMN(O$1),FALSE)*VLOOKUP($D26,素材!$1:$1016,COLUMN(E$1),FALSE),1),"")</f>
        <v>0</v>
      </c>
      <c r="AA26">
        <f>IF(ISNUMBER(SEARCH(SUBSTITUTE(AA$1,RIGHT(AA$1,2),""),VLOOKUP($D26,素材!$1:$1016,COLUMN($F$1),FALSE))),VLOOKUP($C26,装備品!$1:$998,COLUMN($O$1),FALSE)*VLOOKUP($D26,素材!$1:$1016,COLUMN($E$1),FALSE)/(LEN(VLOOKUP($D26,素材!$1:$1016,COLUMN($F$1),FALSE))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B26">
        <f>IF(ISNUMBER(SEARCH(SUBSTITUTE(AB$1,RIGHT(AB$1,2),""),VLOOKUP($D26,素材!$1:$1016,COLUMN($F$1),FALSE))),VLOOKUP($C26,装備品!$1:$998,COLUMN($O$1),FALSE)*VLOOKUP($D26,素材!$1:$1016,COLUMN($E$1),FALSE)/(LEN(VLOOKUP($D26,素材!$1:$1016,COLUMN($F$1),FALSE))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C26">
        <f>IF(ISNUMBER(SEARCH(SUBSTITUTE(AC$1,RIGHT(AC$1,2),""),VLOOKUP($D26,素材!$1:$1016,COLUMN($F$1),FALSE))),VLOOKUP($C26,装備品!$1:$998,COLUMN($O$1),FALSE)*VLOOKUP($D26,素材!$1:$1016,COLUMN($E$1),FALSE)/(LEN(VLOOKUP($D26,素材!$1:$1016,COLUMN($F$1),FALSE))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D26">
        <f>IF(ISNUMBER(SEARCH(SUBSTITUTE(AD$1,RIGHT(AD$1,2),""),VLOOKUP($D26,素材!$1:$1016,COLUMN($F$1),FALSE))),VLOOKUP($C26,装備品!$1:$998,COLUMN($O$1),FALSE)*VLOOKUP($D26,素材!$1:$1016,COLUMN($E$1),FALSE)/(LEN(VLOOKUP($D26,素材!$1:$1016,COLUMN($F$1),FALSE))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E26">
        <f>IF(ISNUMBER(SEARCH(SUBSTITUTE(AE$1,RIGHT(AE$1,2),""),VLOOKUP($D26,素材!$1:$1016,COLUMN($F$1),FALSE))),VLOOKUP($C26,装備品!$1:$998,COLUMN($O$1),FALSE)*VLOOKUP($D26,素材!$1:$1016,COLUMN($E$1),FALSE)/(LEN(VLOOKUP($D26,素材!$1:$1016,COLUMN($F$1),FALSE))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F26">
        <f>IF(ISNUMBER(SEARCH(SUBSTITUTE(AF$1,RIGHT(AF$1,2),""),VLOOKUP($D26,素材!$1:$1016,COLUMN($F$1),FALSE))),VLOOKUP($C26,装備品!$1:$998,COLUMN($O$1),FALSE)*VLOOKUP($D26,素材!$1:$1016,COLUMN($E$1),FALSE)/(LEN(VLOOKUP($D26,素材!$1:$1016,COLUMN($F$1),FALSE))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G26">
        <f>IF(ISNUMBER(SEARCH(SUBSTITUTE(AG$1,RIGHT(AG$1,2),""),VLOOKUP($D26,素材!$1:$1016,COLUMN($F$1),FALSE))),VLOOKUP($C26,装備品!$1:$998,COLUMN($O$1),FALSE)*VLOOKUP($D26,素材!$1:$1016,COLUMN($E$1),FALSE)/(LEN(VLOOKUP($D26,素材!$1:$1016,COLUMN($F$1),FALSE))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H26">
        <f>IF(ISNUMBER(SEARCH(SUBSTITUTE(AH$1,RIGHT(AH$1,2),""),VLOOKUP($D26,素材!$1:$1016,COLUMN($F$1),FALSE))),VLOOKUP($C26,装備品!$1:$998,COLUMN($O$1),FALSE)*VLOOKUP($D26,素材!$1:$1016,COLUMN($E$1),FALSE)/(LEN(VLOOKUP($D26,素材!$1:$1016,COLUMN($F$1),FALSE))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I26">
        <f>IF(ISNUMBER(SEARCH(SUBSTITUTE(AI$1,RIGHT(AI$1,2),""),VLOOKUP($D26,素材!$1:$1016,COLUMN($F$1),FALSE))),VLOOKUP($C26,装備品!$1:$998,COLUMN($O$1),FALSE)*VLOOKUP($D26,素材!$1:$1016,COLUMN($E$1),FALSE)/(LEN(VLOOKUP($D26,素材!$1:$1016,COLUMN($F$1),FALSE))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J26">
        <f>IF(ISNUMBER(SEARCH(SUBSTITUTE(AJ$1,RIGHT(AJ$1,2),""),VLOOKUP($D26,素材!$1:$1016,COLUMN($F$1),FALSE))),VLOOKUP($C26,装備品!$1:$998,COLUMN($O$1),FALSE)*VLOOKUP($D26,素材!$1:$1016,COLUMN($E$1),FALSE)/(LEN(VLOOKUP($D26,素材!$1:$1016,COLUMN($F$1),FALSE))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K26">
        <f>IF(ISNUMBER(SEARCH(SUBSTITUTE(AK$1,RIGHT(AK$1,2),""),VLOOKUP($D26,素材!$1:$1016,COLUMN($F$1),FALSE))),VLOOKUP($C26,装備品!$1:$998,COLUMN($O$1),FALSE)*VLOOKUP($D26,素材!$1:$1016,COLUMN($E$1),FALSE)/(LEN(VLOOKUP($D26,素材!$1:$1016,COLUMN($F$1),FALSE))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L26">
        <f>IF(ISNUMBER(SEARCH(SUBSTITUTE(AL$1,RIGHT(AL$1,2),""),VLOOKUP($D26,素材!$1:$1016,COLUMN($F$1),FALSE))),VLOOKUP($C26,装備品!$1:$998,COLUMN($O$1),FALSE)*VLOOKUP($D26,素材!$1:$1016,COLUMN($E$1),FALSE)/(LEN(VLOOKUP($D26,素材!$1:$1016,COLUMN($F$1),FALSE))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M26">
        <f>IF(ISNUMBER(SEARCH(SUBSTITUTE(AM$1,RIGHT(AM$1,2),""),VLOOKUP($D26,素材!$1:$1016,COLUMN($F$1),FALSE))),VLOOKUP($C26,装備品!$1:$998,COLUMN($O$1),FALSE)*VLOOKUP($D26,素材!$1:$1016,COLUMN($E$1),FALSE)/(LEN(VLOOKUP($D26,素材!$1:$1016,COLUMN($F$1),FALSE))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N26">
        <f>IF(ISNUMBER(SEARCH(SUBSTITUTE(AN$1,RIGHT(AN$1,2),""),VLOOKUP($D26,素材!$1:$1016,COLUMN($F$1),FALSE))),VLOOKUP($C26,装備品!$1:$998,COLUMN($O$1),FALSE)*VLOOKUP($D26,素材!$1:$1016,COLUMN($E$1),FALSE)/(LEN(VLOOKUP($D26,素材!$1:$1016,COLUMN($F$1),FALSE))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O26">
        <f>IF(ISNUMBER(SEARCH(SUBSTITUTE(AO$1,RIGHT(AO$1,2),""),VLOOKUP($D26,素材!$1:$1016,COLUMN($F$1),FALSE))),VLOOKUP($C26,装備品!$1:$998,COLUMN($O$1),FALSE)*VLOOKUP($D26,素材!$1:$1016,COLUMN($E$1),FALSE)/(LEN(VLOOKUP($D26,素材!$1:$1016,COLUMN($F$1),FALSE))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P26">
        <f>IF(ISNUMBER(SEARCH(SUBSTITUTE(AP$1,RIGHT(AP$1,2),""),VLOOKUP($D26,素材!$1:$1016,COLUMN($F$1),FALSE))),VLOOKUP($C26,装備品!$1:$998,COLUMN($O$1),FALSE)*VLOOKUP($D26,素材!$1:$1016,COLUMN($E$1),FALSE)/(LEN(VLOOKUP($D26,素材!$1:$1016,COLUMN($F$1),FALSE))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Q26">
        <f>IF(ISNUMBER(SEARCH(SUBSTITUTE(AQ$1,RIGHT(AQ$1,2),""),VLOOKUP($D26,素材!$1:$1016,COLUMN($F$1),FALSE))),VLOOKUP($C26,装備品!$1:$998,COLUMN($O$1),FALSE)*VLOOKUP($D26,素材!$1:$1016,COLUMN($E$1),FALSE)/(LEN(VLOOKUP($D26,素材!$1:$1016,COLUMN($F$1),FALSE))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R26">
        <f>IF(ISNUMBER(SEARCH(SUBSTITUTE(AR$1,RIGHT(AR$1,2),""),VLOOKUP($D26,素材!$1:$1016,COLUMN($F$1),FALSE))),VLOOKUP($C26,装備品!$1:$998,COLUMN($O$1),FALSE)*VLOOKUP($D26,素材!$1:$1016,COLUMN($E$1),FALSE)/(LEN(VLOOKUP($D26,素材!$1:$1016,COLUMN($F$1),FALSE))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S26">
        <f>IF(ISNUMBER(SEARCH(SUBSTITUTE(AS$1,RIGHT(AS$1,2),""),VLOOKUP($D26,素材!$1:$1016,COLUMN($F$1),FALSE))),VLOOKUP($C26,装備品!$1:$998,COLUMN($O$1),FALSE)*VLOOKUP($D26,素材!$1:$1016,COLUMN($E$1),FALSE)/(LEN(VLOOKUP($D26,素材!$1:$1016,COLUMN($F$1),FALSE))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T26">
        <f>IF(ISNUMBER(SEARCH(SUBSTITUTE(AT$1,RIGHT(AT$1,2),""),VLOOKUP($D26,素材!$1:$1016,COLUMN($F$1),FALSE))),VLOOKUP($C26,装備品!$1:$998,COLUMN($O$1),FALSE)*VLOOKUP($D26,素材!$1:$1016,COLUMN($E$1),FALSE)/(LEN(VLOOKUP($D26,素材!$1:$1016,COLUMN($F$1),FALSE))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U26">
        <f>IF(ISNUMBER(SEARCH(SUBSTITUTE(AU$1,RIGHT(AU$1,2),""),VLOOKUP($D26,素材!$1:$1016,COLUMN($F$1),FALSE))),VLOOKUP($C26,装備品!$1:$998,COLUMN($O$1),FALSE)*VLOOKUP($D26,素材!$1:$1016,COLUMN($E$1),FALSE)/(LEN(VLOOKUP($D26,素材!$1:$1016,COLUMN($F$1),FALSE))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V26">
        <f>IF(ISNUMBER(SEARCH(SUBSTITUTE(AV$1,RIGHT(AV$1,2),""),VLOOKUP($D26,素材!$1:$1016,COLUMN($F$1),FALSE))),VLOOKUP($C26,装備品!$1:$998,COLUMN($O$1),FALSE)*VLOOKUP($D26,素材!$1:$1016,COLUMN($E$1),FALSE)/(LEN(VLOOKUP($D26,素材!$1:$1016,COLUMN($F$1),FALSE))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W26">
        <f>IF(ISNUMBER(SEARCH(SUBSTITUTE(AW$1,RIGHT(AW$1,2),""),VLOOKUP($D26,素材!$1:$1016,COLUMN($F$1),FALSE))),VLOOKUP($C26,装備品!$1:$998,COLUMN($O$1),FALSE)*VLOOKUP($D26,素材!$1:$1016,COLUMN($E$1),FALSE)/(LEN(VLOOKUP($D26,素材!$1:$1016,COLUMN($F$1),FALSE))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X26">
        <f>IF(ISNUMBER(SEARCH(SUBSTITUTE(AX$1,RIGHT(AX$1,2),""),VLOOKUP($D26,素材!$1:$1016,COLUMN($F$1),FALSE))),VLOOKUP($C26,装備品!$1:$998,COLUMN($O$1),FALSE)*VLOOKUP($D26,素材!$1:$1016,COLUMN($E$1),FALSE)/(LEN(VLOOKUP($D26,素材!$1:$1016,COLUMN($F$1),FALSE))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Y26">
        <f>IF(ISNUMBER(SEARCH(SUBSTITUTE(AY$1,RIGHT(AY$1,2),""),VLOOKUP($D26,素材!$1:$1016,COLUMN($F$1),FALSE))),VLOOKUP($C26,装備品!$1:$998,COLUMN($O$1),FALSE)*VLOOKUP($D26,素材!$1:$1016,COLUMN($E$1),FALSE)/(LEN(VLOOKUP($D26,素材!$1:$1016,COLUMN($F$1),FALSE))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Z26">
        <f>IF(ISNUMBER(SEARCH(SUBSTITUTE(AZ$1,RIGHT(AZ$1,2),""),VLOOKUP($D26,素材!$1:$1016,COLUMN($F$1),FALSE))),VLOOKUP($C26,装備品!$1:$998,COLUMN($O$1),FALSE)*VLOOKUP($D26,素材!$1:$1016,COLUMN($E$1),FALSE)/(LEN(VLOOKUP($D26,素材!$1:$1016,COLUMN($F$1),FALSE))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BA26">
        <f>IF(ISNUMBER(SEARCH(SUBSTITUTE(BA$1,RIGHT(BA$1,2),""),VLOOKUP($D26,素材!$1:$1016,COLUMN($F$1),FALSE))),VLOOKUP($C26,装備品!$1:$998,COLUMN($O$1),FALSE)*VLOOKUP($D26,素材!$1:$1016,COLUMN($E$1),FALSE)/(LEN(VLOOKUP($D26,素材!$1:$1016,COLUMN($F$1),FALSE))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BB26">
        <f>IF(ISNUMBER(SEARCH(SUBSTITUTE(BB$1,RIGHT(BB$1,2),""),VLOOKUP($D26,素材!$1:$1016,COLUMN($F$1),FALSE))),VLOOKUP($C26,装備品!$1:$998,COLUMN($O$1),FALSE)*VLOOKUP($D26,素材!$1:$1016,COLUMN($E$1),FALSE)/(LEN(VLOOKUP($D26,素材!$1:$1016,COLUMN($F$1),FALSE))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BC26">
        <f>IF(ISNUMBER(SEARCH(SUBSTITUTE(BC$1,RIGHT(BC$1,2),""),VLOOKUP($D26,素材!$1:$1016,COLUMN($F$1),FALSE))),VLOOKUP($C26,装備品!$1:$998,COLUMN($O$1),FALSE)*VLOOKUP($D26,素材!$1:$1016,COLUMN($E$1),FALSE)/(LEN(VLOOKUP($D26,素材!$1:$1016,COLUMN($F$1),FALSE))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BD26">
        <f>IF(ISNUMBER(SEARCH(SUBSTITUTE(BD$1,RIGHT(BD$1,2),""),VLOOKUP($D26,素材!$1:$1016,COLUMN($F$1),FALSE))),VLOOKUP($C26,装備品!$1:$998,COLUMN($O$1),FALSE)*VLOOKUP($D26,素材!$1:$1016,COLUMN($E$1),FALSE)/(LEN(VLOOKUP($D26,素材!$1:$1016,COLUMN($F$1),FALSE))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BE26">
        <f>IF(ISNUMBER(SEARCH(SUBSTITUTE(BE$1,RIGHT(BE$1,2),""),VLOOKUP($D26,素材!$1:$1016,COLUMN($F$1),FALSE))),VLOOKUP($C26,装備品!$1:$998,COLUMN($O$1),FALSE)*VLOOKUP($D26,素材!$1:$1016,COLUMN($E$1),FALSE)/(LEN(VLOOKUP($D26,素材!$1:$1016,COLUMN($F$1),FALSE))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CL26">
        <f t="shared" si="1"/>
        <v>17</v>
      </c>
      <c r="CM26" s="22" t="str">
        <f t="shared" si="2"/>
        <v>盾.webp</v>
      </c>
      <c r="CN26">
        <f>IFERROR(VLOOKUP($C26,装備品!$1:$998,COLUMN(V$1),FALSE)*VLOOKUP($D26,素材!$1:$1016,COLUMN(N$1),FALSE)+IF(CI26="",0,VLOOKUP($CI26,付与!$1:$1176,COLUMN($CK$1),FALSE)),"")</f>
        <v>0</v>
      </c>
      <c r="CO26" t="str">
        <f>VLOOKUP(D26,素材!$A:$O,COLUMN(素材!O$1),FALSE)</f>
        <v>一般的な鉄。量産品を作るのに使用されることが多い</v>
      </c>
      <c r="CP26" t="str">
        <f>VLOOKUP(C26,装備品!$A:$AB,COLUMN(装備品!AB$1),FALSE)</f>
        <v>大盾。さらに大きな盾で、高い防御力を持つ。</v>
      </c>
      <c r="CR26" t="str">
        <f t="shared" si="3"/>
        <v>e_26</v>
      </c>
      <c r="CS26">
        <f t="shared" si="4"/>
        <v>0</v>
      </c>
    </row>
    <row r="27" spans="1:97" outlineLevel="1" x14ac:dyDescent="0.4">
      <c r="A27" t="str">
        <f t="shared" si="0"/>
        <v>鉄の短弓</v>
      </c>
      <c r="B27" t="str">
        <f>IFERROR(VLOOKUP($D27,素材!$1:$1016,COLUMN($B$1),FALSE)&amp;"・"&amp;VLOOKUP($C27,装備品!$1:$998,COLUMN(B$1),FALSE),"")</f>
        <v>アイアン・ボウ</v>
      </c>
      <c r="C27" t="s">
        <v>217</v>
      </c>
      <c r="D27" s="24" t="s">
        <v>256</v>
      </c>
      <c r="E27" t="str">
        <f>IFERROR(VLOOKUP(C27,装備品!$1:$998,COLUMN(C$1),FALSE),"")</f>
        <v>武器</v>
      </c>
      <c r="F27">
        <f>IFERROR(ROUNDDOWN((VLOOKUP($C27,装備品!$1:$998,COLUMN(D$1),FALSE)+IFERROR(VLOOKUP($CI27,付与!$1:$1167,COLUMN(F$1),FALSE),0))*VLOOKUP($D27,素材!$1:$1016,COLUMN(D$1),FALSE),0),"")</f>
        <v>110</v>
      </c>
      <c r="G27">
        <f>IFERROR(ROUNDDOWN((VLOOKUP($C27,装備品!$1:$998,COLUMN(E$1),FALSE)+IFERROR(VLOOKUP($CI27,付与!$1:$1167,COLUMN(G$1),FALSE),0))*VLOOKUP($D27,素材!$1:$1016,COLUMN($E$1),FALSE),0),"")</f>
        <v>5</v>
      </c>
      <c r="H27">
        <f>IFERROR(ROUNDDOWN((VLOOKUP($C27,装備品!$1:$998,COLUMN(F$1),FALSE)+IFERROR(VLOOKUP($CI27,付与!$1:$1167,COLUMN(H$1),FALSE),0))*VLOOKUP($D27,素材!$1:$1016,COLUMN($E$1),FALSE),0),"")</f>
        <v>5</v>
      </c>
      <c r="I27">
        <f>IFERROR(ROUNDDOWN((VLOOKUP($C27,装備品!$1:$998,COLUMN(G$1),FALSE)+IFERROR(VLOOKUP($CI27,付与!$1:$1167,COLUMN(I$1),FALSE),0))*VLOOKUP($D27,素材!$1:$1016,COLUMN($E$1),FALSE),0),"")</f>
        <v>0</v>
      </c>
      <c r="J27">
        <f>IFERROR(ROUNDDOWN((VLOOKUP($C27,装備品!$1:$998,COLUMN(H$1),FALSE)+IFERROR(VLOOKUP($CI27,付与!$1:$1167,COLUMN(J$1),FALSE),0))*VLOOKUP($D27,素材!$1:$1016,COLUMN($E$1),FALSE),0),"")</f>
        <v>0</v>
      </c>
      <c r="K27">
        <f>IFERROR(ROUNDDOWN((VLOOKUP($C27,装備品!$1:$998,COLUMN(I$1),FALSE)+IFERROR(VLOOKUP($CI27,付与!$1:$1167,COLUMN(K$1),FALSE),0))*VLOOKUP($D27,素材!$1:$1016,COLUMN($E$1),FALSE),0),"")</f>
        <v>20</v>
      </c>
      <c r="L27">
        <f>IFERROR(VLOOKUP($D27,素材!$1:$1016,COLUMN($F$1),FALSE),"")</f>
        <v>0</v>
      </c>
      <c r="M27">
        <f>IFERROR(VLOOKUP($C27,装備品!$1:$998,COLUMN(AA$1),FALSE)*VLOOKUP($D27,素材!$1:$1016,COLUMN($G$1),FALSE),"")</f>
        <v>0</v>
      </c>
      <c r="N27">
        <f>IFERROR(VLOOKUP($C27,装備品!$1:$998,COLUMN(I$1),FALSE),"")</f>
        <v>1</v>
      </c>
      <c r="O27" s="23">
        <f>IFERROR((VLOOKUP($C27,装備品!$1:$998,COLUMN(K$1),FALSE)+VLOOKUP($D27,素材!$1:$1016,COLUMN(H$1),FALSE))*100+IFERROR(VLOOKUP($CI27,付与!$1:$1167,COLUMN(O$1),FALSE),0),"")</f>
        <v>10</v>
      </c>
      <c r="P27" s="23">
        <f>IFERROR((VLOOKUP($C27,装備品!$1:$998,COLUMN(L$1),FALSE)+VLOOKUP($D27,素材!$1:$1016,COLUMN(I$1),FALSE))*100+IFERROR(VLOOKUP($CI27,付与!$1:$1167,COLUMN(P$1),FALSE),0),"")</f>
        <v>130</v>
      </c>
      <c r="Q27">
        <f>IFERROR(ROUNDUP(VLOOKUP($C27,装備品!$1:$998,COLUMN(M$1),FALSE)*(VLOOKUP($D27,素材!$1:$1002,COLUMN(D$1),FALSE)/100),1),"")</f>
        <v>-2.5</v>
      </c>
      <c r="R27">
        <f>IFERROR(ROUNDUP(VLOOKUP($C27,装備品!$1:$998,COLUMN(N$1),FALSE)*(VLOOKUP($D27,素材!$1:$1002,COLUMN(D$1),FALSE)/100),1),"")</f>
        <v>0</v>
      </c>
      <c r="S27">
        <f>IFERROR(VLOOKUP($C27,装備品!$1:$998,COLUMN(P$1),FALSE),"")</f>
        <v>0</v>
      </c>
      <c r="T27">
        <f>IFERROR(VLOOKUP($C27,装備品!$1:$998,COLUMN(Q$1),FALSE),"")</f>
        <v>0</v>
      </c>
      <c r="U27">
        <f>IFERROR(VLOOKUP($C27,装備品!$1:$998,COLUMN(R$1),FALSE),"")</f>
        <v>0</v>
      </c>
      <c r="V27">
        <f>IFERROR(VLOOKUP($C27,装備品!$1:$998,COLUMN(Q$1),FALSE),"")</f>
        <v>0</v>
      </c>
      <c r="W27">
        <f>IFERROR(VLOOKUP($C27,装備品!$1:$998,COLUMN(T$1),FALSE),"")</f>
        <v>0</v>
      </c>
      <c r="Y27">
        <f>IFERROR(VLOOKUP($C27,装備品!$1:$998,COLUMN(U$1),FALSE),"")</f>
        <v>2</v>
      </c>
      <c r="Z27">
        <f>IFERROR(ROUNDUP(VLOOKUP($C27,装備品!$1:$998,COLUMN(O$1),FALSE)*VLOOKUP($D27,素材!$1:$1016,COLUMN(E$1),FALSE),1),"")</f>
        <v>0</v>
      </c>
      <c r="AA27">
        <f>IF(ISNUMBER(SEARCH(SUBSTITUTE(AA$1,RIGHT(AA$1,2),""),VLOOKUP($D27,素材!$1:$1016,COLUMN($F$1),FALSE))),VLOOKUP($C27,装備品!$1:$998,COLUMN($O$1),FALSE)*VLOOKUP($D27,素材!$1:$1016,COLUMN($E$1),FALSE)/(LEN(VLOOKUP($D27,素材!$1:$1016,COLUMN($F$1),FALSE))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B27">
        <f>IF(ISNUMBER(SEARCH(SUBSTITUTE(AB$1,RIGHT(AB$1,2),""),VLOOKUP($D27,素材!$1:$1016,COLUMN($F$1),FALSE))),VLOOKUP($C27,装備品!$1:$998,COLUMN($O$1),FALSE)*VLOOKUP($D27,素材!$1:$1016,COLUMN($E$1),FALSE)/(LEN(VLOOKUP($D27,素材!$1:$1016,COLUMN($F$1),FALSE))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C27">
        <f>IF(ISNUMBER(SEARCH(SUBSTITUTE(AC$1,RIGHT(AC$1,2),""),VLOOKUP($D27,素材!$1:$1016,COLUMN($F$1),FALSE))),VLOOKUP($C27,装備品!$1:$998,COLUMN($O$1),FALSE)*VLOOKUP($D27,素材!$1:$1016,COLUMN($E$1),FALSE)/(LEN(VLOOKUP($D27,素材!$1:$1016,COLUMN($F$1),FALSE))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D27">
        <f>IF(ISNUMBER(SEARCH(SUBSTITUTE(AD$1,RIGHT(AD$1,2),""),VLOOKUP($D27,素材!$1:$1016,COLUMN($F$1),FALSE))),VLOOKUP($C27,装備品!$1:$998,COLUMN($O$1),FALSE)*VLOOKUP($D27,素材!$1:$1016,COLUMN($E$1),FALSE)/(LEN(VLOOKUP($D27,素材!$1:$1016,COLUMN($F$1),FALSE))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E27">
        <f>IF(ISNUMBER(SEARCH(SUBSTITUTE(AE$1,RIGHT(AE$1,2),""),VLOOKUP($D27,素材!$1:$1016,COLUMN($F$1),FALSE))),VLOOKUP($C27,装備品!$1:$998,COLUMN($O$1),FALSE)*VLOOKUP($D27,素材!$1:$1016,COLUMN($E$1),FALSE)/(LEN(VLOOKUP($D27,素材!$1:$1016,COLUMN($F$1),FALSE))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F27">
        <f>IF(ISNUMBER(SEARCH(SUBSTITUTE(AF$1,RIGHT(AF$1,2),""),VLOOKUP($D27,素材!$1:$1016,COLUMN($F$1),FALSE))),VLOOKUP($C27,装備品!$1:$998,COLUMN($O$1),FALSE)*VLOOKUP($D27,素材!$1:$1016,COLUMN($E$1),FALSE)/(LEN(VLOOKUP($D27,素材!$1:$1016,COLUMN($F$1),FALSE))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G27">
        <f>IF(ISNUMBER(SEARCH(SUBSTITUTE(AG$1,RIGHT(AG$1,2),""),VLOOKUP($D27,素材!$1:$1016,COLUMN($F$1),FALSE))),VLOOKUP($C27,装備品!$1:$998,COLUMN($O$1),FALSE)*VLOOKUP($D27,素材!$1:$1016,COLUMN($E$1),FALSE)/(LEN(VLOOKUP($D27,素材!$1:$1016,COLUMN($F$1),FALSE))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H27">
        <f>IF(ISNUMBER(SEARCH(SUBSTITUTE(AH$1,RIGHT(AH$1,2),""),VLOOKUP($D27,素材!$1:$1016,COLUMN($F$1),FALSE))),VLOOKUP($C27,装備品!$1:$998,COLUMN($O$1),FALSE)*VLOOKUP($D27,素材!$1:$1016,COLUMN($E$1),FALSE)/(LEN(VLOOKUP($D27,素材!$1:$1016,COLUMN($F$1),FALSE))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I27">
        <f>IF(ISNUMBER(SEARCH(SUBSTITUTE(AI$1,RIGHT(AI$1,2),""),VLOOKUP($D27,素材!$1:$1016,COLUMN($F$1),FALSE))),VLOOKUP($C27,装備品!$1:$998,COLUMN($O$1),FALSE)*VLOOKUP($D27,素材!$1:$1016,COLUMN($E$1),FALSE)/(LEN(VLOOKUP($D27,素材!$1:$1016,COLUMN($F$1),FALSE))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J27">
        <f>IF(ISNUMBER(SEARCH(SUBSTITUTE(AJ$1,RIGHT(AJ$1,2),""),VLOOKUP($D27,素材!$1:$1016,COLUMN($F$1),FALSE))),VLOOKUP($C27,装備品!$1:$998,COLUMN($O$1),FALSE)*VLOOKUP($D27,素材!$1:$1016,COLUMN($E$1),FALSE)/(LEN(VLOOKUP($D27,素材!$1:$1016,COLUMN($F$1),FALSE))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K27">
        <f>IF(ISNUMBER(SEARCH(SUBSTITUTE(AK$1,RIGHT(AK$1,2),""),VLOOKUP($D27,素材!$1:$1016,COLUMN($F$1),FALSE))),VLOOKUP($C27,装備品!$1:$998,COLUMN($O$1),FALSE)*VLOOKUP($D27,素材!$1:$1016,COLUMN($E$1),FALSE)/(LEN(VLOOKUP($D27,素材!$1:$1016,COLUMN($F$1),FALSE))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L27">
        <f>IF(ISNUMBER(SEARCH(SUBSTITUTE(AL$1,RIGHT(AL$1,2),""),VLOOKUP($D27,素材!$1:$1016,COLUMN($F$1),FALSE))),VLOOKUP($C27,装備品!$1:$998,COLUMN($O$1),FALSE)*VLOOKUP($D27,素材!$1:$1016,COLUMN($E$1),FALSE)/(LEN(VLOOKUP($D27,素材!$1:$1016,COLUMN($F$1),FALSE))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M27">
        <f>IF(ISNUMBER(SEARCH(SUBSTITUTE(AM$1,RIGHT(AM$1,2),""),VLOOKUP($D27,素材!$1:$1016,COLUMN($F$1),FALSE))),VLOOKUP($C27,装備品!$1:$998,COLUMN($O$1),FALSE)*VLOOKUP($D27,素材!$1:$1016,COLUMN($E$1),FALSE)/(LEN(VLOOKUP($D27,素材!$1:$1016,COLUMN($F$1),FALSE))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N27">
        <f>IF(ISNUMBER(SEARCH(SUBSTITUTE(AN$1,RIGHT(AN$1,2),""),VLOOKUP($D27,素材!$1:$1016,COLUMN($F$1),FALSE))),VLOOKUP($C27,装備品!$1:$998,COLUMN($O$1),FALSE)*VLOOKUP($D27,素材!$1:$1016,COLUMN($E$1),FALSE)/(LEN(VLOOKUP($D27,素材!$1:$1016,COLUMN($F$1),FALSE))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O27">
        <f>IF(ISNUMBER(SEARCH(SUBSTITUTE(AO$1,RIGHT(AO$1,2),""),VLOOKUP($D27,素材!$1:$1016,COLUMN($F$1),FALSE))),VLOOKUP($C27,装備品!$1:$998,COLUMN($O$1),FALSE)*VLOOKUP($D27,素材!$1:$1016,COLUMN($E$1),FALSE)/(LEN(VLOOKUP($D27,素材!$1:$1016,COLUMN($F$1),FALSE))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P27">
        <f>IF(ISNUMBER(SEARCH(SUBSTITUTE(AP$1,RIGHT(AP$1,2),""),VLOOKUP($D27,素材!$1:$1016,COLUMN($F$1),FALSE))),VLOOKUP($C27,装備品!$1:$998,COLUMN($O$1),FALSE)*VLOOKUP($D27,素材!$1:$1016,COLUMN($E$1),FALSE)/(LEN(VLOOKUP($D27,素材!$1:$1016,COLUMN($F$1),FALSE))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Q27">
        <f>IF(ISNUMBER(SEARCH(SUBSTITUTE(AQ$1,RIGHT(AQ$1,2),""),VLOOKUP($D27,素材!$1:$1016,COLUMN($F$1),FALSE))),VLOOKUP($C27,装備品!$1:$998,COLUMN($O$1),FALSE)*VLOOKUP($D27,素材!$1:$1016,COLUMN($E$1),FALSE)/(LEN(VLOOKUP($D27,素材!$1:$1016,COLUMN($F$1),FALSE))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R27">
        <f>IF(ISNUMBER(SEARCH(SUBSTITUTE(AR$1,RIGHT(AR$1,2),""),VLOOKUP($D27,素材!$1:$1016,COLUMN($F$1),FALSE))),VLOOKUP($C27,装備品!$1:$998,COLUMN($O$1),FALSE)*VLOOKUP($D27,素材!$1:$1016,COLUMN($E$1),FALSE)/(LEN(VLOOKUP($D27,素材!$1:$1016,COLUMN($F$1),FALSE))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S27">
        <f>IF(ISNUMBER(SEARCH(SUBSTITUTE(AS$1,RIGHT(AS$1,2),""),VLOOKUP($D27,素材!$1:$1016,COLUMN($F$1),FALSE))),VLOOKUP($C27,装備品!$1:$998,COLUMN($O$1),FALSE)*VLOOKUP($D27,素材!$1:$1016,COLUMN($E$1),FALSE)/(LEN(VLOOKUP($D27,素材!$1:$1016,COLUMN($F$1),FALSE))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T27">
        <f>IF(ISNUMBER(SEARCH(SUBSTITUTE(AT$1,RIGHT(AT$1,2),""),VLOOKUP($D27,素材!$1:$1016,COLUMN($F$1),FALSE))),VLOOKUP($C27,装備品!$1:$998,COLUMN($O$1),FALSE)*VLOOKUP($D27,素材!$1:$1016,COLUMN($E$1),FALSE)/(LEN(VLOOKUP($D27,素材!$1:$1016,COLUMN($F$1),FALSE))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U27">
        <f>IF(ISNUMBER(SEARCH(SUBSTITUTE(AU$1,RIGHT(AU$1,2),""),VLOOKUP($D27,素材!$1:$1016,COLUMN($F$1),FALSE))),VLOOKUP($C27,装備品!$1:$998,COLUMN($O$1),FALSE)*VLOOKUP($D27,素材!$1:$1016,COLUMN($E$1),FALSE)/(LEN(VLOOKUP($D27,素材!$1:$1016,COLUMN($F$1),FALSE))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V27">
        <f>IF(ISNUMBER(SEARCH(SUBSTITUTE(AV$1,RIGHT(AV$1,2),""),VLOOKUP($D27,素材!$1:$1016,COLUMN($F$1),FALSE))),VLOOKUP($C27,装備品!$1:$998,COLUMN($O$1),FALSE)*VLOOKUP($D27,素材!$1:$1016,COLUMN($E$1),FALSE)/(LEN(VLOOKUP($D27,素材!$1:$1016,COLUMN($F$1),FALSE))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W27">
        <f>IF(ISNUMBER(SEARCH(SUBSTITUTE(AW$1,RIGHT(AW$1,2),""),VLOOKUP($D27,素材!$1:$1016,COLUMN($F$1),FALSE))),VLOOKUP($C27,装備品!$1:$998,COLUMN($O$1),FALSE)*VLOOKUP($D27,素材!$1:$1016,COLUMN($E$1),FALSE)/(LEN(VLOOKUP($D27,素材!$1:$1016,COLUMN($F$1),FALSE))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X27">
        <f>IF(ISNUMBER(SEARCH(SUBSTITUTE(AX$1,RIGHT(AX$1,2),""),VLOOKUP($D27,素材!$1:$1016,COLUMN($F$1),FALSE))),VLOOKUP($C27,装備品!$1:$998,COLUMN($O$1),FALSE)*VLOOKUP($D27,素材!$1:$1016,COLUMN($E$1),FALSE)/(LEN(VLOOKUP($D27,素材!$1:$1016,COLUMN($F$1),FALSE))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Y27">
        <f>IF(ISNUMBER(SEARCH(SUBSTITUTE(AY$1,RIGHT(AY$1,2),""),VLOOKUP($D27,素材!$1:$1016,COLUMN($F$1),FALSE))),VLOOKUP($C27,装備品!$1:$998,COLUMN($O$1),FALSE)*VLOOKUP($D27,素材!$1:$1016,COLUMN($E$1),FALSE)/(LEN(VLOOKUP($D27,素材!$1:$1016,COLUMN($F$1),FALSE))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Z27">
        <f>IF(ISNUMBER(SEARCH(SUBSTITUTE(AZ$1,RIGHT(AZ$1,2),""),VLOOKUP($D27,素材!$1:$1016,COLUMN($F$1),FALSE))),VLOOKUP($C27,装備品!$1:$998,COLUMN($O$1),FALSE)*VLOOKUP($D27,素材!$1:$1016,COLUMN($E$1),FALSE)/(LEN(VLOOKUP($D27,素材!$1:$1016,COLUMN($F$1),FALSE))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BA27">
        <f>IF(ISNUMBER(SEARCH(SUBSTITUTE(BA$1,RIGHT(BA$1,2),""),VLOOKUP($D27,素材!$1:$1016,COLUMN($F$1),FALSE))),VLOOKUP($C27,装備品!$1:$998,COLUMN($O$1),FALSE)*VLOOKUP($D27,素材!$1:$1016,COLUMN($E$1),FALSE)/(LEN(VLOOKUP($D27,素材!$1:$1016,COLUMN($F$1),FALSE))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BB27">
        <f>IF(ISNUMBER(SEARCH(SUBSTITUTE(BB$1,RIGHT(BB$1,2),""),VLOOKUP($D27,素材!$1:$1016,COLUMN($F$1),FALSE))),VLOOKUP($C27,装備品!$1:$998,COLUMN($O$1),FALSE)*VLOOKUP($D27,素材!$1:$1016,COLUMN($E$1),FALSE)/(LEN(VLOOKUP($D27,素材!$1:$1016,COLUMN($F$1),FALSE))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BC27">
        <f>IF(ISNUMBER(SEARCH(SUBSTITUTE(BC$1,RIGHT(BC$1,2),""),VLOOKUP($D27,素材!$1:$1016,COLUMN($F$1),FALSE))),VLOOKUP($C27,装備品!$1:$998,COLUMN($O$1),FALSE)*VLOOKUP($D27,素材!$1:$1016,COLUMN($E$1),FALSE)/(LEN(VLOOKUP($D27,素材!$1:$1016,COLUMN($F$1),FALSE))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BD27">
        <f>IF(ISNUMBER(SEARCH(SUBSTITUTE(BD$1,RIGHT(BD$1,2),""),VLOOKUP($D27,素材!$1:$1016,COLUMN($F$1),FALSE))),VLOOKUP($C27,装備品!$1:$998,COLUMN($O$1),FALSE)*VLOOKUP($D27,素材!$1:$1016,COLUMN($E$1),FALSE)/(LEN(VLOOKUP($D27,素材!$1:$1016,COLUMN($F$1),FALSE))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BE27">
        <f>IF(ISNUMBER(SEARCH(SUBSTITUTE(BE$1,RIGHT(BE$1,2),""),VLOOKUP($D27,素材!$1:$1016,COLUMN($F$1),FALSE))),VLOOKUP($C27,装備品!$1:$998,COLUMN($O$1),FALSE)*VLOOKUP($D27,素材!$1:$1016,COLUMN($E$1),FALSE)/(LEN(VLOOKUP($D27,素材!$1:$1016,COLUMN($F$1),FALSE))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CL27">
        <f t="shared" si="1"/>
        <v>10</v>
      </c>
      <c r="CM27" s="22" t="str">
        <f t="shared" si="2"/>
        <v>切断.webp</v>
      </c>
      <c r="CN27">
        <f>IFERROR(VLOOKUP($C27,装備品!$1:$998,COLUMN(V$1),FALSE)*VLOOKUP($D27,素材!$1:$1016,COLUMN(N$1),FALSE)+IF(CI27="",0,VLOOKUP($CI27,付与!$1:$1176,COLUMN($CK$1),FALSE)),"")</f>
        <v>0</v>
      </c>
      <c r="CO27" t="str">
        <f>VLOOKUP(D27,素材!$A:$O,COLUMN(素材!O$1),FALSE)</f>
        <v>一般的な鉄。量産品を作るのに使用されることが多い</v>
      </c>
      <c r="CP27" t="str">
        <f>VLOOKUP(C27,装備品!$A:$AB,COLUMN(装備品!AB$1),FALSE)</f>
        <v>短弓。軽量で扱いやすい遠距離武器。</v>
      </c>
      <c r="CR27" t="str">
        <f t="shared" si="3"/>
        <v>e_27</v>
      </c>
      <c r="CS27">
        <f t="shared" si="4"/>
        <v>0</v>
      </c>
    </row>
    <row r="28" spans="1:97" outlineLevel="1" x14ac:dyDescent="0.4">
      <c r="A28" t="str">
        <f t="shared" si="0"/>
        <v>鉄の長弓</v>
      </c>
      <c r="B28" t="str">
        <f>IFERROR(VLOOKUP($D28,素材!$1:$1016,COLUMN($B$1),FALSE)&amp;"・"&amp;VLOOKUP($C28,装備品!$1:$998,COLUMN(B$1),FALSE),"")</f>
        <v>アイアン・ロングボウ</v>
      </c>
      <c r="C28" t="s">
        <v>216</v>
      </c>
      <c r="D28" s="24" t="s">
        <v>256</v>
      </c>
      <c r="E28" t="str">
        <f>IFERROR(VLOOKUP(C28,装備品!$1:$998,COLUMN(C$1),FALSE),"")</f>
        <v>武器</v>
      </c>
      <c r="F28">
        <f>IFERROR(ROUNDDOWN((VLOOKUP($C28,装備品!$1:$998,COLUMN(D$1),FALSE)+IFERROR(VLOOKUP($CI28,付与!$1:$1167,COLUMN(F$1),FALSE),0))*VLOOKUP($D28,素材!$1:$1016,COLUMN(D$1),FALSE),0),"")</f>
        <v>120</v>
      </c>
      <c r="G28">
        <f>IFERROR(ROUNDDOWN((VLOOKUP($C28,装備品!$1:$998,COLUMN(E$1),FALSE)+IFERROR(VLOOKUP($CI28,付与!$1:$1167,COLUMN(G$1),FALSE),0))*VLOOKUP($D28,素材!$1:$1016,COLUMN($E$1),FALSE),0),"")</f>
        <v>5</v>
      </c>
      <c r="H28">
        <f>IFERROR(ROUNDDOWN((VLOOKUP($C28,装備品!$1:$998,COLUMN(F$1),FALSE)+IFERROR(VLOOKUP($CI28,付与!$1:$1167,COLUMN(H$1),FALSE),0))*VLOOKUP($D28,素材!$1:$1016,COLUMN($E$1),FALSE),0),"")</f>
        <v>5</v>
      </c>
      <c r="I28">
        <f>IFERROR(ROUNDDOWN((VLOOKUP($C28,装備品!$1:$998,COLUMN(G$1),FALSE)+IFERROR(VLOOKUP($CI28,付与!$1:$1167,COLUMN(I$1),FALSE),0))*VLOOKUP($D28,素材!$1:$1016,COLUMN($E$1),FALSE),0),"")</f>
        <v>0</v>
      </c>
      <c r="J28">
        <f>IFERROR(ROUNDDOWN((VLOOKUP($C28,装備品!$1:$998,COLUMN(H$1),FALSE)+IFERROR(VLOOKUP($CI28,付与!$1:$1167,COLUMN(J$1),FALSE),0))*VLOOKUP($D28,素材!$1:$1016,COLUMN($E$1),FALSE),0),"")</f>
        <v>0</v>
      </c>
      <c r="K28">
        <f>IFERROR(ROUNDDOWN((VLOOKUP($C28,装備品!$1:$998,COLUMN(I$1),FALSE)+IFERROR(VLOOKUP($CI28,付与!$1:$1167,COLUMN(K$1),FALSE),0))*VLOOKUP($D28,素材!$1:$1016,COLUMN($E$1),FALSE),0),"")</f>
        <v>23</v>
      </c>
      <c r="L28">
        <f>IFERROR(VLOOKUP($D28,素材!$1:$1016,COLUMN($F$1),FALSE),"")</f>
        <v>0</v>
      </c>
      <c r="M28">
        <f>IFERROR(VLOOKUP($C28,装備品!$1:$998,COLUMN(AA$1),FALSE)*VLOOKUP($D28,素材!$1:$1016,COLUMN($G$1),FALSE),"")</f>
        <v>0</v>
      </c>
      <c r="N28">
        <f>IFERROR(VLOOKUP($C28,装備品!$1:$998,COLUMN(I$1),FALSE),"")</f>
        <v>1.1499999999999999</v>
      </c>
      <c r="O28" s="23">
        <f>IFERROR((VLOOKUP($C28,装備品!$1:$998,COLUMN(K$1),FALSE)+VLOOKUP($D28,素材!$1:$1016,COLUMN(H$1),FALSE))*100+IFERROR(VLOOKUP($CI28,付与!$1:$1167,COLUMN(O$1),FALSE),0),"")</f>
        <v>10</v>
      </c>
      <c r="P28" s="23">
        <f>IFERROR((VLOOKUP($C28,装備品!$1:$998,COLUMN(L$1),FALSE)+VLOOKUP($D28,素材!$1:$1016,COLUMN(I$1),FALSE))*100+IFERROR(VLOOKUP($CI28,付与!$1:$1167,COLUMN(P$1),FALSE),0),"")</f>
        <v>130</v>
      </c>
      <c r="Q28">
        <f>IFERROR(ROUNDUP(VLOOKUP($C28,装備品!$1:$998,COLUMN(M$1),FALSE)*(VLOOKUP($D28,素材!$1:$1002,COLUMN(D$1),FALSE)/100),1),"")</f>
        <v>-5</v>
      </c>
      <c r="R28">
        <f>IFERROR(ROUNDUP(VLOOKUP($C28,装備品!$1:$998,COLUMN(N$1),FALSE)*(VLOOKUP($D28,素材!$1:$1002,COLUMN(D$1),FALSE)/100),1),"")</f>
        <v>-2.5</v>
      </c>
      <c r="S28">
        <f>IFERROR(VLOOKUP($C28,装備品!$1:$998,COLUMN(P$1),FALSE),"")</f>
        <v>0</v>
      </c>
      <c r="T28">
        <f>IFERROR(VLOOKUP($C28,装備品!$1:$998,COLUMN(Q$1),FALSE),"")</f>
        <v>0</v>
      </c>
      <c r="U28">
        <f>IFERROR(VLOOKUP($C28,装備品!$1:$998,COLUMN(R$1),FALSE),"")</f>
        <v>0</v>
      </c>
      <c r="V28">
        <f>IFERROR(VLOOKUP($C28,装備品!$1:$998,COLUMN(Q$1),FALSE),"")</f>
        <v>0</v>
      </c>
      <c r="W28">
        <f>IFERROR(VLOOKUP($C28,装備品!$1:$998,COLUMN(T$1),FALSE),"")</f>
        <v>0</v>
      </c>
      <c r="Y28">
        <f>IFERROR(VLOOKUP($C28,装備品!$1:$998,COLUMN(U$1),FALSE),"")</f>
        <v>2</v>
      </c>
      <c r="Z28">
        <f>IFERROR(ROUNDUP(VLOOKUP($C28,装備品!$1:$998,COLUMN(O$1),FALSE)*VLOOKUP($D28,素材!$1:$1016,COLUMN(E$1),FALSE),1),"")</f>
        <v>0</v>
      </c>
      <c r="AA28">
        <f>IF(ISNUMBER(SEARCH(SUBSTITUTE(AA$1,RIGHT(AA$1,2),""),VLOOKUP($D28,素材!$1:$1016,COLUMN($F$1),FALSE))),VLOOKUP($C28,装備品!$1:$998,COLUMN($O$1),FALSE)*VLOOKUP($D28,素材!$1:$1016,COLUMN($E$1),FALSE)/(LEN(VLOOKUP($D28,素材!$1:$1016,COLUMN($F$1),FALSE))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B28">
        <f>IF(ISNUMBER(SEARCH(SUBSTITUTE(AB$1,RIGHT(AB$1,2),""),VLOOKUP($D28,素材!$1:$1016,COLUMN($F$1),FALSE))),VLOOKUP($C28,装備品!$1:$998,COLUMN($O$1),FALSE)*VLOOKUP($D28,素材!$1:$1016,COLUMN($E$1),FALSE)/(LEN(VLOOKUP($D28,素材!$1:$1016,COLUMN($F$1),FALSE))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C28">
        <f>IF(ISNUMBER(SEARCH(SUBSTITUTE(AC$1,RIGHT(AC$1,2),""),VLOOKUP($D28,素材!$1:$1016,COLUMN($F$1),FALSE))),VLOOKUP($C28,装備品!$1:$998,COLUMN($O$1),FALSE)*VLOOKUP($D28,素材!$1:$1016,COLUMN($E$1),FALSE)/(LEN(VLOOKUP($D28,素材!$1:$1016,COLUMN($F$1),FALSE))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D28">
        <f>IF(ISNUMBER(SEARCH(SUBSTITUTE(AD$1,RIGHT(AD$1,2),""),VLOOKUP($D28,素材!$1:$1016,COLUMN($F$1),FALSE))),VLOOKUP($C28,装備品!$1:$998,COLUMN($O$1),FALSE)*VLOOKUP($D28,素材!$1:$1016,COLUMN($E$1),FALSE)/(LEN(VLOOKUP($D28,素材!$1:$1016,COLUMN($F$1),FALSE))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E28">
        <f>IF(ISNUMBER(SEARCH(SUBSTITUTE(AE$1,RIGHT(AE$1,2),""),VLOOKUP($D28,素材!$1:$1016,COLUMN($F$1),FALSE))),VLOOKUP($C28,装備品!$1:$998,COLUMN($O$1),FALSE)*VLOOKUP($D28,素材!$1:$1016,COLUMN($E$1),FALSE)/(LEN(VLOOKUP($D28,素材!$1:$1016,COLUMN($F$1),FALSE))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F28">
        <f>IF(ISNUMBER(SEARCH(SUBSTITUTE(AF$1,RIGHT(AF$1,2),""),VLOOKUP($D28,素材!$1:$1016,COLUMN($F$1),FALSE))),VLOOKUP($C28,装備品!$1:$998,COLUMN($O$1),FALSE)*VLOOKUP($D28,素材!$1:$1016,COLUMN($E$1),FALSE)/(LEN(VLOOKUP($D28,素材!$1:$1016,COLUMN($F$1),FALSE))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G28">
        <f>IF(ISNUMBER(SEARCH(SUBSTITUTE(AG$1,RIGHT(AG$1,2),""),VLOOKUP($D28,素材!$1:$1016,COLUMN($F$1),FALSE))),VLOOKUP($C28,装備品!$1:$998,COLUMN($O$1),FALSE)*VLOOKUP($D28,素材!$1:$1016,COLUMN($E$1),FALSE)/(LEN(VLOOKUP($D28,素材!$1:$1016,COLUMN($F$1),FALSE))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H28">
        <f>IF(ISNUMBER(SEARCH(SUBSTITUTE(AH$1,RIGHT(AH$1,2),""),VLOOKUP($D28,素材!$1:$1016,COLUMN($F$1),FALSE))),VLOOKUP($C28,装備品!$1:$998,COLUMN($O$1),FALSE)*VLOOKUP($D28,素材!$1:$1016,COLUMN($E$1),FALSE)/(LEN(VLOOKUP($D28,素材!$1:$1016,COLUMN($F$1),FALSE))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I28">
        <f>IF(ISNUMBER(SEARCH(SUBSTITUTE(AI$1,RIGHT(AI$1,2),""),VLOOKUP($D28,素材!$1:$1016,COLUMN($F$1),FALSE))),VLOOKUP($C28,装備品!$1:$998,COLUMN($O$1),FALSE)*VLOOKUP($D28,素材!$1:$1016,COLUMN($E$1),FALSE)/(LEN(VLOOKUP($D28,素材!$1:$1016,COLUMN($F$1),FALSE))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J28">
        <f>IF(ISNUMBER(SEARCH(SUBSTITUTE(AJ$1,RIGHT(AJ$1,2),""),VLOOKUP($D28,素材!$1:$1016,COLUMN($F$1),FALSE))),VLOOKUP($C28,装備品!$1:$998,COLUMN($O$1),FALSE)*VLOOKUP($D28,素材!$1:$1016,COLUMN($E$1),FALSE)/(LEN(VLOOKUP($D28,素材!$1:$1016,COLUMN($F$1),FALSE))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K28">
        <f>IF(ISNUMBER(SEARCH(SUBSTITUTE(AK$1,RIGHT(AK$1,2),""),VLOOKUP($D28,素材!$1:$1016,COLUMN($F$1),FALSE))),VLOOKUP($C28,装備品!$1:$998,COLUMN($O$1),FALSE)*VLOOKUP($D28,素材!$1:$1016,COLUMN($E$1),FALSE)/(LEN(VLOOKUP($D28,素材!$1:$1016,COLUMN($F$1),FALSE))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L28">
        <f>IF(ISNUMBER(SEARCH(SUBSTITUTE(AL$1,RIGHT(AL$1,2),""),VLOOKUP($D28,素材!$1:$1016,COLUMN($F$1),FALSE))),VLOOKUP($C28,装備品!$1:$998,COLUMN($O$1),FALSE)*VLOOKUP($D28,素材!$1:$1016,COLUMN($E$1),FALSE)/(LEN(VLOOKUP($D28,素材!$1:$1016,COLUMN($F$1),FALSE))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M28">
        <f>IF(ISNUMBER(SEARCH(SUBSTITUTE(AM$1,RIGHT(AM$1,2),""),VLOOKUP($D28,素材!$1:$1016,COLUMN($F$1),FALSE))),VLOOKUP($C28,装備品!$1:$998,COLUMN($O$1),FALSE)*VLOOKUP($D28,素材!$1:$1016,COLUMN($E$1),FALSE)/(LEN(VLOOKUP($D28,素材!$1:$1016,COLUMN($F$1),FALSE))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N28">
        <f>IF(ISNUMBER(SEARCH(SUBSTITUTE(AN$1,RIGHT(AN$1,2),""),VLOOKUP($D28,素材!$1:$1016,COLUMN($F$1),FALSE))),VLOOKUP($C28,装備品!$1:$998,COLUMN($O$1),FALSE)*VLOOKUP($D28,素材!$1:$1016,COLUMN($E$1),FALSE)/(LEN(VLOOKUP($D28,素材!$1:$1016,COLUMN($F$1),FALSE))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O28">
        <f>IF(ISNUMBER(SEARCH(SUBSTITUTE(AO$1,RIGHT(AO$1,2),""),VLOOKUP($D28,素材!$1:$1016,COLUMN($F$1),FALSE))),VLOOKUP($C28,装備品!$1:$998,COLUMN($O$1),FALSE)*VLOOKUP($D28,素材!$1:$1016,COLUMN($E$1),FALSE)/(LEN(VLOOKUP($D28,素材!$1:$1016,COLUMN($F$1),FALSE))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P28">
        <f>IF(ISNUMBER(SEARCH(SUBSTITUTE(AP$1,RIGHT(AP$1,2),""),VLOOKUP($D28,素材!$1:$1016,COLUMN($F$1),FALSE))),VLOOKUP($C28,装備品!$1:$998,COLUMN($O$1),FALSE)*VLOOKUP($D28,素材!$1:$1016,COLUMN($E$1),FALSE)/(LEN(VLOOKUP($D28,素材!$1:$1016,COLUMN($F$1),FALSE))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Q28">
        <f>IF(ISNUMBER(SEARCH(SUBSTITUTE(AQ$1,RIGHT(AQ$1,2),""),VLOOKUP($D28,素材!$1:$1016,COLUMN($F$1),FALSE))),VLOOKUP($C28,装備品!$1:$998,COLUMN($O$1),FALSE)*VLOOKUP($D28,素材!$1:$1016,COLUMN($E$1),FALSE)/(LEN(VLOOKUP($D28,素材!$1:$1016,COLUMN($F$1),FALSE))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R28">
        <f>IF(ISNUMBER(SEARCH(SUBSTITUTE(AR$1,RIGHT(AR$1,2),""),VLOOKUP($D28,素材!$1:$1016,COLUMN($F$1),FALSE))),VLOOKUP($C28,装備品!$1:$998,COLUMN($O$1),FALSE)*VLOOKUP($D28,素材!$1:$1016,COLUMN($E$1),FALSE)/(LEN(VLOOKUP($D28,素材!$1:$1016,COLUMN($F$1),FALSE))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S28">
        <f>IF(ISNUMBER(SEARCH(SUBSTITUTE(AS$1,RIGHT(AS$1,2),""),VLOOKUP($D28,素材!$1:$1016,COLUMN($F$1),FALSE))),VLOOKUP($C28,装備品!$1:$998,COLUMN($O$1),FALSE)*VLOOKUP($D28,素材!$1:$1016,COLUMN($E$1),FALSE)/(LEN(VLOOKUP($D28,素材!$1:$1016,COLUMN($F$1),FALSE))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T28">
        <f>IF(ISNUMBER(SEARCH(SUBSTITUTE(AT$1,RIGHT(AT$1,2),""),VLOOKUP($D28,素材!$1:$1016,COLUMN($F$1),FALSE))),VLOOKUP($C28,装備品!$1:$998,COLUMN($O$1),FALSE)*VLOOKUP($D28,素材!$1:$1016,COLUMN($E$1),FALSE)/(LEN(VLOOKUP($D28,素材!$1:$1016,COLUMN($F$1),FALSE))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U28">
        <f>IF(ISNUMBER(SEARCH(SUBSTITUTE(AU$1,RIGHT(AU$1,2),""),VLOOKUP($D28,素材!$1:$1016,COLUMN($F$1),FALSE))),VLOOKUP($C28,装備品!$1:$998,COLUMN($O$1),FALSE)*VLOOKUP($D28,素材!$1:$1016,COLUMN($E$1),FALSE)/(LEN(VLOOKUP($D28,素材!$1:$1016,COLUMN($F$1),FALSE))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V28">
        <f>IF(ISNUMBER(SEARCH(SUBSTITUTE(AV$1,RIGHT(AV$1,2),""),VLOOKUP($D28,素材!$1:$1016,COLUMN($F$1),FALSE))),VLOOKUP($C28,装備品!$1:$998,COLUMN($O$1),FALSE)*VLOOKUP($D28,素材!$1:$1016,COLUMN($E$1),FALSE)/(LEN(VLOOKUP($D28,素材!$1:$1016,COLUMN($F$1),FALSE))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W28">
        <f>IF(ISNUMBER(SEARCH(SUBSTITUTE(AW$1,RIGHT(AW$1,2),""),VLOOKUP($D28,素材!$1:$1016,COLUMN($F$1),FALSE))),VLOOKUP($C28,装備品!$1:$998,COLUMN($O$1),FALSE)*VLOOKUP($D28,素材!$1:$1016,COLUMN($E$1),FALSE)/(LEN(VLOOKUP($D28,素材!$1:$1016,COLUMN($F$1),FALSE))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X28">
        <f>IF(ISNUMBER(SEARCH(SUBSTITUTE(AX$1,RIGHT(AX$1,2),""),VLOOKUP($D28,素材!$1:$1016,COLUMN($F$1),FALSE))),VLOOKUP($C28,装備品!$1:$998,COLUMN($O$1),FALSE)*VLOOKUP($D28,素材!$1:$1016,COLUMN($E$1),FALSE)/(LEN(VLOOKUP($D28,素材!$1:$1016,COLUMN($F$1),FALSE))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Y28">
        <f>IF(ISNUMBER(SEARCH(SUBSTITUTE(AY$1,RIGHT(AY$1,2),""),VLOOKUP($D28,素材!$1:$1016,COLUMN($F$1),FALSE))),VLOOKUP($C28,装備品!$1:$998,COLUMN($O$1),FALSE)*VLOOKUP($D28,素材!$1:$1016,COLUMN($E$1),FALSE)/(LEN(VLOOKUP($D28,素材!$1:$1016,COLUMN($F$1),FALSE))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Z28">
        <f>IF(ISNUMBER(SEARCH(SUBSTITUTE(AZ$1,RIGHT(AZ$1,2),""),VLOOKUP($D28,素材!$1:$1016,COLUMN($F$1),FALSE))),VLOOKUP($C28,装備品!$1:$998,COLUMN($O$1),FALSE)*VLOOKUP($D28,素材!$1:$1016,COLUMN($E$1),FALSE)/(LEN(VLOOKUP($D28,素材!$1:$1016,COLUMN($F$1),FALSE))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BA28">
        <f>IF(ISNUMBER(SEARCH(SUBSTITUTE(BA$1,RIGHT(BA$1,2),""),VLOOKUP($D28,素材!$1:$1016,COLUMN($F$1),FALSE))),VLOOKUP($C28,装備品!$1:$998,COLUMN($O$1),FALSE)*VLOOKUP($D28,素材!$1:$1016,COLUMN($E$1),FALSE)/(LEN(VLOOKUP($D28,素材!$1:$1016,COLUMN($F$1),FALSE))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BB28">
        <f>IF(ISNUMBER(SEARCH(SUBSTITUTE(BB$1,RIGHT(BB$1,2),""),VLOOKUP($D28,素材!$1:$1016,COLUMN($F$1),FALSE))),VLOOKUP($C28,装備品!$1:$998,COLUMN($O$1),FALSE)*VLOOKUP($D28,素材!$1:$1016,COLUMN($E$1),FALSE)/(LEN(VLOOKUP($D28,素材!$1:$1016,COLUMN($F$1),FALSE))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BC28">
        <f>IF(ISNUMBER(SEARCH(SUBSTITUTE(BC$1,RIGHT(BC$1,2),""),VLOOKUP($D28,素材!$1:$1016,COLUMN($F$1),FALSE))),VLOOKUP($C28,装備品!$1:$998,COLUMN($O$1),FALSE)*VLOOKUP($D28,素材!$1:$1016,COLUMN($E$1),FALSE)/(LEN(VLOOKUP($D28,素材!$1:$1016,COLUMN($F$1),FALSE))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BD28">
        <f>IF(ISNUMBER(SEARCH(SUBSTITUTE(BD$1,RIGHT(BD$1,2),""),VLOOKUP($D28,素材!$1:$1016,COLUMN($F$1),FALSE))),VLOOKUP($C28,装備品!$1:$998,COLUMN($O$1),FALSE)*VLOOKUP($D28,素材!$1:$1016,COLUMN($E$1),FALSE)/(LEN(VLOOKUP($D28,素材!$1:$1016,COLUMN($F$1),FALSE))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BE28">
        <f>IF(ISNUMBER(SEARCH(SUBSTITUTE(BE$1,RIGHT(BE$1,2),""),VLOOKUP($D28,素材!$1:$1016,COLUMN($F$1),FALSE))),VLOOKUP($C28,装備品!$1:$998,COLUMN($O$1),FALSE)*VLOOKUP($D28,素材!$1:$1016,COLUMN($E$1),FALSE)/(LEN(VLOOKUP($D28,素材!$1:$1016,COLUMN($F$1),FALSE))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CL28">
        <f t="shared" si="1"/>
        <v>10</v>
      </c>
      <c r="CM28" s="22" t="str">
        <f t="shared" si="2"/>
        <v>切断.webp</v>
      </c>
      <c r="CN28">
        <f>IFERROR(VLOOKUP($C28,装備品!$1:$998,COLUMN(V$1),FALSE)*VLOOKUP($D28,素材!$1:$1016,COLUMN(N$1),FALSE)+IF(CI28="",0,VLOOKUP($CI28,付与!$1:$1176,COLUMN($CK$1),FALSE)),"")</f>
        <v>0</v>
      </c>
      <c r="CO28" t="str">
        <f>VLOOKUP(D28,素材!$A:$O,COLUMN(素材!O$1),FALSE)</f>
        <v>一般的な鉄。量産品を作るのに使用されることが多い</v>
      </c>
      <c r="CP28" t="str">
        <f>VLOOKUP(C28,装備品!$A:$AB,COLUMN(装備品!AB$1),FALSE)</f>
        <v>長弓。射程が長く、高い威力を持つ。</v>
      </c>
      <c r="CR28" t="str">
        <f t="shared" si="3"/>
        <v>e_28</v>
      </c>
      <c r="CS28">
        <f t="shared" si="4"/>
        <v>0</v>
      </c>
    </row>
    <row r="29" spans="1:97" outlineLevel="1" x14ac:dyDescent="0.4">
      <c r="A29" t="str">
        <f t="shared" si="0"/>
        <v>鉄の杖</v>
      </c>
      <c r="B29" t="str">
        <f>IFERROR(VLOOKUP($D29,素材!$1:$1016,COLUMN($B$1),FALSE)&amp;"・"&amp;VLOOKUP($C29,装備品!$1:$998,COLUMN(B$1),FALSE),"")</f>
        <v>アイアン・ロッド</v>
      </c>
      <c r="C29" t="s">
        <v>215</v>
      </c>
      <c r="D29" s="24" t="s">
        <v>256</v>
      </c>
      <c r="E29" t="str">
        <f>IFERROR(VLOOKUP(C29,装備品!$1:$998,COLUMN(C$1),FALSE),"")</f>
        <v>杖</v>
      </c>
      <c r="F29">
        <f>IFERROR(ROUNDDOWN((VLOOKUP($C29,装備品!$1:$998,COLUMN(D$1),FALSE)+IFERROR(VLOOKUP($CI29,付与!$1:$1167,COLUMN(F$1),FALSE),0))*VLOOKUP($D29,素材!$1:$1016,COLUMN(D$1),FALSE),0),"")</f>
        <v>110</v>
      </c>
      <c r="G29">
        <f>IFERROR(ROUNDDOWN((VLOOKUP($C29,装備品!$1:$998,COLUMN(E$1),FALSE)+IFERROR(VLOOKUP($CI29,付与!$1:$1167,COLUMN(G$1),FALSE),0))*VLOOKUP($D29,素材!$1:$1016,COLUMN($E$1),FALSE),0),"")</f>
        <v>0</v>
      </c>
      <c r="H29">
        <f>IFERROR(ROUNDDOWN((VLOOKUP($C29,装備品!$1:$998,COLUMN(F$1),FALSE)+IFERROR(VLOOKUP($CI29,付与!$1:$1167,COLUMN(H$1),FALSE),0))*VLOOKUP($D29,素材!$1:$1016,COLUMN($E$1),FALSE),0),"")</f>
        <v>5</v>
      </c>
      <c r="I29">
        <f>IFERROR(ROUNDDOWN((VLOOKUP($C29,装備品!$1:$998,COLUMN(G$1),FALSE)+IFERROR(VLOOKUP($CI29,付与!$1:$1167,COLUMN(I$1),FALSE),0))*VLOOKUP($D29,素材!$1:$1016,COLUMN($E$1),FALSE),0),"")</f>
        <v>14</v>
      </c>
      <c r="J29">
        <f>IFERROR(ROUNDDOWN((VLOOKUP($C29,装備品!$1:$998,COLUMN(H$1),FALSE)+IFERROR(VLOOKUP($CI29,付与!$1:$1167,COLUMN(J$1),FALSE),0))*VLOOKUP($D29,素材!$1:$1016,COLUMN($E$1),FALSE),0),"")</f>
        <v>18</v>
      </c>
      <c r="K29">
        <f>IFERROR(ROUNDDOWN((VLOOKUP($C29,装備品!$1:$998,COLUMN(I$1),FALSE)+IFERROR(VLOOKUP($CI29,付与!$1:$1167,COLUMN(K$1),FALSE),0))*VLOOKUP($D29,素材!$1:$1016,COLUMN($E$1),FALSE),0),"")</f>
        <v>0</v>
      </c>
      <c r="L29">
        <f>IFERROR(VLOOKUP($D29,素材!$1:$1016,COLUMN($F$1),FALSE),"")</f>
        <v>0</v>
      </c>
      <c r="M29">
        <f>IFERROR(VLOOKUP($C29,装備品!$1:$998,COLUMN(AA$1),FALSE)*VLOOKUP($D29,素材!$1:$1016,COLUMN($G$1),FALSE),"")</f>
        <v>0</v>
      </c>
      <c r="N29">
        <f>IFERROR(VLOOKUP($C29,装備品!$1:$998,COLUMN(I$1),FALSE),"")</f>
        <v>0</v>
      </c>
      <c r="O29" s="23">
        <f>IFERROR((VLOOKUP($C29,装備品!$1:$998,COLUMN(K$1),FALSE)+VLOOKUP($D29,素材!$1:$1016,COLUMN(H$1),FALSE))*100+IFERROR(VLOOKUP($CI29,付与!$1:$1167,COLUMN(O$1),FALSE),0),"")</f>
        <v>5</v>
      </c>
      <c r="P29" s="23">
        <f>IFERROR((VLOOKUP($C29,装備品!$1:$998,COLUMN(L$1),FALSE)+VLOOKUP($D29,素材!$1:$1016,COLUMN(I$1),FALSE))*100+IFERROR(VLOOKUP($CI29,付与!$1:$1167,COLUMN(P$1),FALSE),0),"")</f>
        <v>150</v>
      </c>
      <c r="Q29">
        <f>IFERROR(ROUNDUP(VLOOKUP($C29,装備品!$1:$998,COLUMN(M$1),FALSE)*(VLOOKUP($D29,素材!$1:$1002,COLUMN(D$1),FALSE)/100),1),"")</f>
        <v>0</v>
      </c>
      <c r="R29">
        <f>IFERROR(ROUNDUP(VLOOKUP($C29,装備品!$1:$998,COLUMN(N$1),FALSE)*(VLOOKUP($D29,素材!$1:$1002,COLUMN(D$1),FALSE)/100),1),"")</f>
        <v>0</v>
      </c>
      <c r="S29">
        <f>IFERROR(VLOOKUP($C29,装備品!$1:$998,COLUMN(P$1),FALSE),"")</f>
        <v>0</v>
      </c>
      <c r="T29">
        <f>IFERROR(VLOOKUP($C29,装備品!$1:$998,COLUMN(Q$1),FALSE),"")</f>
        <v>0</v>
      </c>
      <c r="U29">
        <f>IFERROR(VLOOKUP($C29,装備品!$1:$998,COLUMN(R$1),FALSE),"")</f>
        <v>0</v>
      </c>
      <c r="V29">
        <f>IFERROR(VLOOKUP($C29,装備品!$1:$998,COLUMN(Q$1),FALSE),"")</f>
        <v>0</v>
      </c>
      <c r="W29">
        <f>IFERROR(VLOOKUP($C29,装備品!$1:$998,COLUMN(T$1),FALSE),"")</f>
        <v>0</v>
      </c>
      <c r="Y29">
        <f>IFERROR(VLOOKUP($C29,装備品!$1:$998,COLUMN(U$1),FALSE),"")</f>
        <v>0</v>
      </c>
      <c r="Z29">
        <f>IFERROR(ROUNDUP(VLOOKUP($C29,装備品!$1:$998,COLUMN(O$1),FALSE)*VLOOKUP($D29,素材!$1:$1016,COLUMN(E$1),FALSE),1),"")</f>
        <v>0</v>
      </c>
      <c r="AA29">
        <f>IF(ISNUMBER(SEARCH(SUBSTITUTE(AA$1,RIGHT(AA$1,2),""),VLOOKUP($D29,素材!$1:$1016,COLUMN($F$1),FALSE))),VLOOKUP($C29,装備品!$1:$998,COLUMN($O$1),FALSE)*VLOOKUP($D29,素材!$1:$1016,COLUMN($E$1),FALSE)/(LEN(VLOOKUP($D29,素材!$1:$1016,COLUMN($F$1),FALSE))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B29">
        <f>IF(ISNUMBER(SEARCH(SUBSTITUTE(AB$1,RIGHT(AB$1,2),""),VLOOKUP($D29,素材!$1:$1016,COLUMN($F$1),FALSE))),VLOOKUP($C29,装備品!$1:$998,COLUMN($O$1),FALSE)*VLOOKUP($D29,素材!$1:$1016,COLUMN($E$1),FALSE)/(LEN(VLOOKUP($D29,素材!$1:$1016,COLUMN($F$1),FALSE))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C29">
        <f>IF(ISNUMBER(SEARCH(SUBSTITUTE(AC$1,RIGHT(AC$1,2),""),VLOOKUP($D29,素材!$1:$1016,COLUMN($F$1),FALSE))),VLOOKUP($C29,装備品!$1:$998,COLUMN($O$1),FALSE)*VLOOKUP($D29,素材!$1:$1016,COLUMN($E$1),FALSE)/(LEN(VLOOKUP($D29,素材!$1:$1016,COLUMN($F$1),FALSE))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D29">
        <f>IF(ISNUMBER(SEARCH(SUBSTITUTE(AD$1,RIGHT(AD$1,2),""),VLOOKUP($D29,素材!$1:$1016,COLUMN($F$1),FALSE))),VLOOKUP($C29,装備品!$1:$998,COLUMN($O$1),FALSE)*VLOOKUP($D29,素材!$1:$1016,COLUMN($E$1),FALSE)/(LEN(VLOOKUP($D29,素材!$1:$1016,COLUMN($F$1),FALSE))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E29">
        <f>IF(ISNUMBER(SEARCH(SUBSTITUTE(AE$1,RIGHT(AE$1,2),""),VLOOKUP($D29,素材!$1:$1016,COLUMN($F$1),FALSE))),VLOOKUP($C29,装備品!$1:$998,COLUMN($O$1),FALSE)*VLOOKUP($D29,素材!$1:$1016,COLUMN($E$1),FALSE)/(LEN(VLOOKUP($D29,素材!$1:$1016,COLUMN($F$1),FALSE))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F29">
        <f>IF(ISNUMBER(SEARCH(SUBSTITUTE(AF$1,RIGHT(AF$1,2),""),VLOOKUP($D29,素材!$1:$1016,COLUMN($F$1),FALSE))),VLOOKUP($C29,装備品!$1:$998,COLUMN($O$1),FALSE)*VLOOKUP($D29,素材!$1:$1016,COLUMN($E$1),FALSE)/(LEN(VLOOKUP($D29,素材!$1:$1016,COLUMN($F$1),FALSE))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G29">
        <f>IF(ISNUMBER(SEARCH(SUBSTITUTE(AG$1,RIGHT(AG$1,2),""),VLOOKUP($D29,素材!$1:$1016,COLUMN($F$1),FALSE))),VLOOKUP($C29,装備品!$1:$998,COLUMN($O$1),FALSE)*VLOOKUP($D29,素材!$1:$1016,COLUMN($E$1),FALSE)/(LEN(VLOOKUP($D29,素材!$1:$1016,COLUMN($F$1),FALSE))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H29">
        <f>IF(ISNUMBER(SEARCH(SUBSTITUTE(AH$1,RIGHT(AH$1,2),""),VLOOKUP($D29,素材!$1:$1016,COLUMN($F$1),FALSE))),VLOOKUP($C29,装備品!$1:$998,COLUMN($O$1),FALSE)*VLOOKUP($D29,素材!$1:$1016,COLUMN($E$1),FALSE)/(LEN(VLOOKUP($D29,素材!$1:$1016,COLUMN($F$1),FALSE))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I29">
        <f>IF(ISNUMBER(SEARCH(SUBSTITUTE(AI$1,RIGHT(AI$1,2),""),VLOOKUP($D29,素材!$1:$1016,COLUMN($F$1),FALSE))),VLOOKUP($C29,装備品!$1:$998,COLUMN($O$1),FALSE)*VLOOKUP($D29,素材!$1:$1016,COLUMN($E$1),FALSE)/(LEN(VLOOKUP($D29,素材!$1:$1016,COLUMN($F$1),FALSE))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J29">
        <f>IF(ISNUMBER(SEARCH(SUBSTITUTE(AJ$1,RIGHT(AJ$1,2),""),VLOOKUP($D29,素材!$1:$1016,COLUMN($F$1),FALSE))),VLOOKUP($C29,装備品!$1:$998,COLUMN($O$1),FALSE)*VLOOKUP($D29,素材!$1:$1016,COLUMN($E$1),FALSE)/(LEN(VLOOKUP($D29,素材!$1:$1016,COLUMN($F$1),FALSE))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K29">
        <f>IF(ISNUMBER(SEARCH(SUBSTITUTE(AK$1,RIGHT(AK$1,2),""),VLOOKUP($D29,素材!$1:$1016,COLUMN($F$1),FALSE))),VLOOKUP($C29,装備品!$1:$998,COLUMN($O$1),FALSE)*VLOOKUP($D29,素材!$1:$1016,COLUMN($E$1),FALSE)/(LEN(VLOOKUP($D29,素材!$1:$1016,COLUMN($F$1),FALSE))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L29">
        <f>IF(ISNUMBER(SEARCH(SUBSTITUTE(AL$1,RIGHT(AL$1,2),""),VLOOKUP($D29,素材!$1:$1016,COLUMN($F$1),FALSE))),VLOOKUP($C29,装備品!$1:$998,COLUMN($O$1),FALSE)*VLOOKUP($D29,素材!$1:$1016,COLUMN($E$1),FALSE)/(LEN(VLOOKUP($D29,素材!$1:$1016,COLUMN($F$1),FALSE))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M29">
        <f>IF(ISNUMBER(SEARCH(SUBSTITUTE(AM$1,RIGHT(AM$1,2),""),VLOOKUP($D29,素材!$1:$1016,COLUMN($F$1),FALSE))),VLOOKUP($C29,装備品!$1:$998,COLUMN($O$1),FALSE)*VLOOKUP($D29,素材!$1:$1016,COLUMN($E$1),FALSE)/(LEN(VLOOKUP($D29,素材!$1:$1016,COLUMN($F$1),FALSE))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N29">
        <f>IF(ISNUMBER(SEARCH(SUBSTITUTE(AN$1,RIGHT(AN$1,2),""),VLOOKUP($D29,素材!$1:$1016,COLUMN($F$1),FALSE))),VLOOKUP($C29,装備品!$1:$998,COLUMN($O$1),FALSE)*VLOOKUP($D29,素材!$1:$1016,COLUMN($E$1),FALSE)/(LEN(VLOOKUP($D29,素材!$1:$1016,COLUMN($F$1),FALSE))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O29">
        <f>IF(ISNUMBER(SEARCH(SUBSTITUTE(AO$1,RIGHT(AO$1,2),""),VLOOKUP($D29,素材!$1:$1016,COLUMN($F$1),FALSE))),VLOOKUP($C29,装備品!$1:$998,COLUMN($O$1),FALSE)*VLOOKUP($D29,素材!$1:$1016,COLUMN($E$1),FALSE)/(LEN(VLOOKUP($D29,素材!$1:$1016,COLUMN($F$1),FALSE))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P29">
        <f>IF(ISNUMBER(SEARCH(SUBSTITUTE(AP$1,RIGHT(AP$1,2),""),VLOOKUP($D29,素材!$1:$1016,COLUMN($F$1),FALSE))),VLOOKUP($C29,装備品!$1:$998,COLUMN($O$1),FALSE)*VLOOKUP($D29,素材!$1:$1016,COLUMN($E$1),FALSE)/(LEN(VLOOKUP($D29,素材!$1:$1016,COLUMN($F$1),FALSE))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Q29">
        <f>IF(ISNUMBER(SEARCH(SUBSTITUTE(AQ$1,RIGHT(AQ$1,2),""),VLOOKUP($D29,素材!$1:$1016,COLUMN($F$1),FALSE))),VLOOKUP($C29,装備品!$1:$998,COLUMN($O$1),FALSE)*VLOOKUP($D29,素材!$1:$1016,COLUMN($E$1),FALSE)/(LEN(VLOOKUP($D29,素材!$1:$1016,COLUMN($F$1),FALSE))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R29">
        <f>IF(ISNUMBER(SEARCH(SUBSTITUTE(AR$1,RIGHT(AR$1,2),""),VLOOKUP($D29,素材!$1:$1016,COLUMN($F$1),FALSE))),VLOOKUP($C29,装備品!$1:$998,COLUMN($O$1),FALSE)*VLOOKUP($D29,素材!$1:$1016,COLUMN($E$1),FALSE)/(LEN(VLOOKUP($D29,素材!$1:$1016,COLUMN($F$1),FALSE))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S29">
        <f>IF(ISNUMBER(SEARCH(SUBSTITUTE(AS$1,RIGHT(AS$1,2),""),VLOOKUP($D29,素材!$1:$1016,COLUMN($F$1),FALSE))),VLOOKUP($C29,装備品!$1:$998,COLUMN($O$1),FALSE)*VLOOKUP($D29,素材!$1:$1016,COLUMN($E$1),FALSE)/(LEN(VLOOKUP($D29,素材!$1:$1016,COLUMN($F$1),FALSE))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T29">
        <f>IF(ISNUMBER(SEARCH(SUBSTITUTE(AT$1,RIGHT(AT$1,2),""),VLOOKUP($D29,素材!$1:$1016,COLUMN($F$1),FALSE))),VLOOKUP($C29,装備品!$1:$998,COLUMN($O$1),FALSE)*VLOOKUP($D29,素材!$1:$1016,COLUMN($E$1),FALSE)/(LEN(VLOOKUP($D29,素材!$1:$1016,COLUMN($F$1),FALSE))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U29">
        <f>IF(ISNUMBER(SEARCH(SUBSTITUTE(AU$1,RIGHT(AU$1,2),""),VLOOKUP($D29,素材!$1:$1016,COLUMN($F$1),FALSE))),VLOOKUP($C29,装備品!$1:$998,COLUMN($O$1),FALSE)*VLOOKUP($D29,素材!$1:$1016,COLUMN($E$1),FALSE)/(LEN(VLOOKUP($D29,素材!$1:$1016,COLUMN($F$1),FALSE))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V29">
        <f>IF(ISNUMBER(SEARCH(SUBSTITUTE(AV$1,RIGHT(AV$1,2),""),VLOOKUP($D29,素材!$1:$1016,COLUMN($F$1),FALSE))),VLOOKUP($C29,装備品!$1:$998,COLUMN($O$1),FALSE)*VLOOKUP($D29,素材!$1:$1016,COLUMN($E$1),FALSE)/(LEN(VLOOKUP($D29,素材!$1:$1016,COLUMN($F$1),FALSE))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W29">
        <f>IF(ISNUMBER(SEARCH(SUBSTITUTE(AW$1,RIGHT(AW$1,2),""),VLOOKUP($D29,素材!$1:$1016,COLUMN($F$1),FALSE))),VLOOKUP($C29,装備品!$1:$998,COLUMN($O$1),FALSE)*VLOOKUP($D29,素材!$1:$1016,COLUMN($E$1),FALSE)/(LEN(VLOOKUP($D29,素材!$1:$1016,COLUMN($F$1),FALSE))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X29">
        <f>IF(ISNUMBER(SEARCH(SUBSTITUTE(AX$1,RIGHT(AX$1,2),""),VLOOKUP($D29,素材!$1:$1016,COLUMN($F$1),FALSE))),VLOOKUP($C29,装備品!$1:$998,COLUMN($O$1),FALSE)*VLOOKUP($D29,素材!$1:$1016,COLUMN($E$1),FALSE)/(LEN(VLOOKUP($D29,素材!$1:$1016,COLUMN($F$1),FALSE))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Y29">
        <f>IF(ISNUMBER(SEARCH(SUBSTITUTE(AY$1,RIGHT(AY$1,2),""),VLOOKUP($D29,素材!$1:$1016,COLUMN($F$1),FALSE))),VLOOKUP($C29,装備品!$1:$998,COLUMN($O$1),FALSE)*VLOOKUP($D29,素材!$1:$1016,COLUMN($E$1),FALSE)/(LEN(VLOOKUP($D29,素材!$1:$1016,COLUMN($F$1),FALSE))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Z29">
        <f>IF(ISNUMBER(SEARCH(SUBSTITUTE(AZ$1,RIGHT(AZ$1,2),""),VLOOKUP($D29,素材!$1:$1016,COLUMN($F$1),FALSE))),VLOOKUP($C29,装備品!$1:$998,COLUMN($O$1),FALSE)*VLOOKUP($D29,素材!$1:$1016,COLUMN($E$1),FALSE)/(LEN(VLOOKUP($D29,素材!$1:$1016,COLUMN($F$1),FALSE))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BA29">
        <f>IF(ISNUMBER(SEARCH(SUBSTITUTE(BA$1,RIGHT(BA$1,2),""),VLOOKUP($D29,素材!$1:$1016,COLUMN($F$1),FALSE))),VLOOKUP($C29,装備品!$1:$998,COLUMN($O$1),FALSE)*VLOOKUP($D29,素材!$1:$1016,COLUMN($E$1),FALSE)/(LEN(VLOOKUP($D29,素材!$1:$1016,COLUMN($F$1),FALSE))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BB29">
        <f>IF(ISNUMBER(SEARCH(SUBSTITUTE(BB$1,RIGHT(BB$1,2),""),VLOOKUP($D29,素材!$1:$1016,COLUMN($F$1),FALSE))),VLOOKUP($C29,装備品!$1:$998,COLUMN($O$1),FALSE)*VLOOKUP($D29,素材!$1:$1016,COLUMN($E$1),FALSE)/(LEN(VLOOKUP($D29,素材!$1:$1016,COLUMN($F$1),FALSE))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BC29">
        <f>IF(ISNUMBER(SEARCH(SUBSTITUTE(BC$1,RIGHT(BC$1,2),""),VLOOKUP($D29,素材!$1:$1016,COLUMN($F$1),FALSE))),VLOOKUP($C29,装備品!$1:$998,COLUMN($O$1),FALSE)*VLOOKUP($D29,素材!$1:$1016,COLUMN($E$1),FALSE)/(LEN(VLOOKUP($D29,素材!$1:$1016,COLUMN($F$1),FALSE))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BD29">
        <f>IF(ISNUMBER(SEARCH(SUBSTITUTE(BD$1,RIGHT(BD$1,2),""),VLOOKUP($D29,素材!$1:$1016,COLUMN($F$1),FALSE))),VLOOKUP($C29,装備品!$1:$998,COLUMN($O$1),FALSE)*VLOOKUP($D29,素材!$1:$1016,COLUMN($E$1),FALSE)/(LEN(VLOOKUP($D29,素材!$1:$1016,COLUMN($F$1),FALSE))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BE29">
        <f>IF(ISNUMBER(SEARCH(SUBSTITUTE(BE$1,RIGHT(BE$1,2),""),VLOOKUP($D29,素材!$1:$1016,COLUMN($F$1),FALSE))),VLOOKUP($C29,装備品!$1:$998,COLUMN($O$1),FALSE)*VLOOKUP($D29,素材!$1:$1016,COLUMN($E$1),FALSE)/(LEN(VLOOKUP($D29,素材!$1:$1016,COLUMN($F$1),FALSE))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CL29">
        <f t="shared" si="1"/>
        <v>19</v>
      </c>
      <c r="CM29" s="22" t="str">
        <f t="shared" si="2"/>
        <v>杖.webp</v>
      </c>
      <c r="CN29">
        <f>IFERROR(VLOOKUP($C29,装備品!$1:$998,COLUMN(V$1),FALSE)*VLOOKUP($D29,素材!$1:$1016,COLUMN(N$1),FALSE)+IF(CI29="",0,VLOOKUP($CI29,付与!$1:$1176,COLUMN($CK$1),FALSE)),"")</f>
        <v>0</v>
      </c>
      <c r="CO29" t="str">
        <f>VLOOKUP(D29,素材!$A:$O,COLUMN(素材!O$1),FALSE)</f>
        <v>一般的な鉄。量産品を作るのに使用されることが多い</v>
      </c>
      <c r="CP29" t="str">
        <f>VLOOKUP(C29,装備品!$A:$AB,COLUMN(装備品!AB$1),FALSE)</f>
        <v>杖。バランスの取れた魔法武器。</v>
      </c>
      <c r="CR29" t="str">
        <f t="shared" si="3"/>
        <v>e_29</v>
      </c>
      <c r="CS29">
        <f t="shared" si="4"/>
        <v>0</v>
      </c>
    </row>
    <row r="30" spans="1:97" outlineLevel="1" x14ac:dyDescent="0.4">
      <c r="A30" t="str">
        <f t="shared" si="0"/>
        <v>鉄の長杖</v>
      </c>
      <c r="B30" t="str">
        <f>IFERROR(VLOOKUP($D30,素材!$1:$1016,COLUMN($B$1),FALSE)&amp;"・"&amp;VLOOKUP($C30,装備品!$1:$998,COLUMN(B$1),FALSE),"")</f>
        <v>アイアン・スタッフ</v>
      </c>
      <c r="C30" t="s">
        <v>214</v>
      </c>
      <c r="D30" s="24" t="s">
        <v>256</v>
      </c>
      <c r="E30" t="str">
        <f>IFERROR(VLOOKUP(C30,装備品!$1:$998,COLUMN(C$1),FALSE),"")</f>
        <v>杖</v>
      </c>
      <c r="F30">
        <f>IFERROR(ROUNDDOWN((VLOOKUP($C30,装備品!$1:$998,COLUMN(D$1),FALSE)+IFERROR(VLOOKUP($CI30,付与!$1:$1167,COLUMN(F$1),FALSE),0))*VLOOKUP($D30,素材!$1:$1016,COLUMN(D$1),FALSE),0),"")</f>
        <v>115</v>
      </c>
      <c r="G30">
        <f>IFERROR(ROUNDDOWN((VLOOKUP($C30,装備品!$1:$998,COLUMN(E$1),FALSE)+IFERROR(VLOOKUP($CI30,付与!$1:$1167,COLUMN(G$1),FALSE),0))*VLOOKUP($D30,素材!$1:$1016,COLUMN($E$1),FALSE),0),"")</f>
        <v>0</v>
      </c>
      <c r="H30">
        <f>IFERROR(ROUNDDOWN((VLOOKUP($C30,装備品!$1:$998,COLUMN(F$1),FALSE)+IFERROR(VLOOKUP($CI30,付与!$1:$1167,COLUMN(H$1),FALSE),0))*VLOOKUP($D30,素材!$1:$1016,COLUMN($E$1),FALSE),0),"")</f>
        <v>6</v>
      </c>
      <c r="I30">
        <f>IFERROR(ROUNDDOWN((VLOOKUP($C30,装備品!$1:$998,COLUMN(G$1),FALSE)+IFERROR(VLOOKUP($CI30,付与!$1:$1167,COLUMN(I$1),FALSE),0))*VLOOKUP($D30,素材!$1:$1016,COLUMN($E$1),FALSE),0),"")</f>
        <v>16</v>
      </c>
      <c r="J30">
        <f>IFERROR(ROUNDDOWN((VLOOKUP($C30,装備品!$1:$998,COLUMN(H$1),FALSE)+IFERROR(VLOOKUP($CI30,付与!$1:$1167,COLUMN(J$1),FALSE),0))*VLOOKUP($D30,素材!$1:$1016,COLUMN($E$1),FALSE),0),"")</f>
        <v>19</v>
      </c>
      <c r="K30">
        <f>IFERROR(ROUNDDOWN((VLOOKUP($C30,装備品!$1:$998,COLUMN(I$1),FALSE)+IFERROR(VLOOKUP($CI30,付与!$1:$1167,COLUMN(K$1),FALSE),0))*VLOOKUP($D30,素材!$1:$1016,COLUMN($E$1),FALSE),0),"")</f>
        <v>0</v>
      </c>
      <c r="L30">
        <f>IFERROR(VLOOKUP($D30,素材!$1:$1016,COLUMN($F$1),FALSE),"")</f>
        <v>0</v>
      </c>
      <c r="M30">
        <f>IFERROR(VLOOKUP($C30,装備品!$1:$998,COLUMN(AA$1),FALSE)*VLOOKUP($D30,素材!$1:$1016,COLUMN($G$1),FALSE),"")</f>
        <v>0</v>
      </c>
      <c r="N30">
        <f>IFERROR(VLOOKUP($C30,装備品!$1:$998,COLUMN(I$1),FALSE),"")</f>
        <v>0</v>
      </c>
      <c r="O30" s="23">
        <f>IFERROR((VLOOKUP($C30,装備品!$1:$998,COLUMN(K$1),FALSE)+VLOOKUP($D30,素材!$1:$1016,COLUMN(H$1),FALSE))*100+IFERROR(VLOOKUP($CI30,付与!$1:$1167,COLUMN(O$1),FALSE),0),"")</f>
        <v>5</v>
      </c>
      <c r="P30" s="23">
        <f>IFERROR((VLOOKUP($C30,装備品!$1:$998,COLUMN(L$1),FALSE)+VLOOKUP($D30,素材!$1:$1016,COLUMN(I$1),FALSE))*100+IFERROR(VLOOKUP($CI30,付与!$1:$1167,COLUMN(P$1),FALSE),0),"")</f>
        <v>150</v>
      </c>
      <c r="Q30">
        <f>IFERROR(ROUNDUP(VLOOKUP($C30,装備品!$1:$998,COLUMN(M$1),FALSE)*(VLOOKUP($D30,素材!$1:$1002,COLUMN(D$1),FALSE)/100),1),"")</f>
        <v>-4</v>
      </c>
      <c r="R30">
        <f>IFERROR(ROUNDUP(VLOOKUP($C30,装備品!$1:$998,COLUMN(N$1),FALSE)*(VLOOKUP($D30,素材!$1:$1002,COLUMN(D$1),FALSE)/100),1),"")</f>
        <v>-4</v>
      </c>
      <c r="S30">
        <f>IFERROR(VLOOKUP($C30,装備品!$1:$998,COLUMN(P$1),FALSE),"")</f>
        <v>0</v>
      </c>
      <c r="T30">
        <f>IFERROR(VLOOKUP($C30,装備品!$1:$998,COLUMN(Q$1),FALSE),"")</f>
        <v>0</v>
      </c>
      <c r="U30">
        <f>IFERROR(VLOOKUP($C30,装備品!$1:$998,COLUMN(R$1),FALSE),"")</f>
        <v>0</v>
      </c>
      <c r="V30">
        <f>IFERROR(VLOOKUP($C30,装備品!$1:$998,COLUMN(Q$1),FALSE),"")</f>
        <v>0</v>
      </c>
      <c r="W30">
        <f>IFERROR(VLOOKUP($C30,装備品!$1:$998,COLUMN(T$1),FALSE),"")</f>
        <v>0</v>
      </c>
      <c r="Y30">
        <f>IFERROR(VLOOKUP($C30,装備品!$1:$998,COLUMN(U$1),FALSE),"")</f>
        <v>0</v>
      </c>
      <c r="Z30">
        <f>IFERROR(ROUNDUP(VLOOKUP($C30,装備品!$1:$998,COLUMN(O$1),FALSE)*VLOOKUP($D30,素材!$1:$1016,COLUMN(E$1),FALSE),1),"")</f>
        <v>0</v>
      </c>
      <c r="AA30">
        <f>IF(ISNUMBER(SEARCH(SUBSTITUTE(AA$1,RIGHT(AA$1,2),""),VLOOKUP($D30,素材!$1:$1016,COLUMN($F$1),FALSE))),VLOOKUP($C30,装備品!$1:$998,COLUMN($O$1),FALSE)*VLOOKUP($D30,素材!$1:$1016,COLUMN($E$1),FALSE)/(LEN(VLOOKUP($D30,素材!$1:$1016,COLUMN($F$1),FALSE))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B30">
        <f>IF(ISNUMBER(SEARCH(SUBSTITUTE(AB$1,RIGHT(AB$1,2),""),VLOOKUP($D30,素材!$1:$1016,COLUMN($F$1),FALSE))),VLOOKUP($C30,装備品!$1:$998,COLUMN($O$1),FALSE)*VLOOKUP($D30,素材!$1:$1016,COLUMN($E$1),FALSE)/(LEN(VLOOKUP($D30,素材!$1:$1016,COLUMN($F$1),FALSE))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C30">
        <f>IF(ISNUMBER(SEARCH(SUBSTITUTE(AC$1,RIGHT(AC$1,2),""),VLOOKUP($D30,素材!$1:$1016,COLUMN($F$1),FALSE))),VLOOKUP($C30,装備品!$1:$998,COLUMN($O$1),FALSE)*VLOOKUP($D30,素材!$1:$1016,COLUMN($E$1),FALSE)/(LEN(VLOOKUP($D30,素材!$1:$1016,COLUMN($F$1),FALSE))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D30">
        <f>IF(ISNUMBER(SEARCH(SUBSTITUTE(AD$1,RIGHT(AD$1,2),""),VLOOKUP($D30,素材!$1:$1016,COLUMN($F$1),FALSE))),VLOOKUP($C30,装備品!$1:$998,COLUMN($O$1),FALSE)*VLOOKUP($D30,素材!$1:$1016,COLUMN($E$1),FALSE)/(LEN(VLOOKUP($D30,素材!$1:$1016,COLUMN($F$1),FALSE))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E30">
        <f>IF(ISNUMBER(SEARCH(SUBSTITUTE(AE$1,RIGHT(AE$1,2),""),VLOOKUP($D30,素材!$1:$1016,COLUMN($F$1),FALSE))),VLOOKUP($C30,装備品!$1:$998,COLUMN($O$1),FALSE)*VLOOKUP($D30,素材!$1:$1016,COLUMN($E$1),FALSE)/(LEN(VLOOKUP($D30,素材!$1:$1016,COLUMN($F$1),FALSE))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F30">
        <f>IF(ISNUMBER(SEARCH(SUBSTITUTE(AF$1,RIGHT(AF$1,2),""),VLOOKUP($D30,素材!$1:$1016,COLUMN($F$1),FALSE))),VLOOKUP($C30,装備品!$1:$998,COLUMN($O$1),FALSE)*VLOOKUP($D30,素材!$1:$1016,COLUMN($E$1),FALSE)/(LEN(VLOOKUP($D30,素材!$1:$1016,COLUMN($F$1),FALSE))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G30">
        <f>IF(ISNUMBER(SEARCH(SUBSTITUTE(AG$1,RIGHT(AG$1,2),""),VLOOKUP($D30,素材!$1:$1016,COLUMN($F$1),FALSE))),VLOOKUP($C30,装備品!$1:$998,COLUMN($O$1),FALSE)*VLOOKUP($D30,素材!$1:$1016,COLUMN($E$1),FALSE)/(LEN(VLOOKUP($D30,素材!$1:$1016,COLUMN($F$1),FALSE))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H30">
        <f>IF(ISNUMBER(SEARCH(SUBSTITUTE(AH$1,RIGHT(AH$1,2),""),VLOOKUP($D30,素材!$1:$1016,COLUMN($F$1),FALSE))),VLOOKUP($C30,装備品!$1:$998,COLUMN($O$1),FALSE)*VLOOKUP($D30,素材!$1:$1016,COLUMN($E$1),FALSE)/(LEN(VLOOKUP($D30,素材!$1:$1016,COLUMN($F$1),FALSE))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I30">
        <f>IF(ISNUMBER(SEARCH(SUBSTITUTE(AI$1,RIGHT(AI$1,2),""),VLOOKUP($D30,素材!$1:$1016,COLUMN($F$1),FALSE))),VLOOKUP($C30,装備品!$1:$998,COLUMN($O$1),FALSE)*VLOOKUP($D30,素材!$1:$1016,COLUMN($E$1),FALSE)/(LEN(VLOOKUP($D30,素材!$1:$1016,COLUMN($F$1),FALSE))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J30">
        <f>IF(ISNUMBER(SEARCH(SUBSTITUTE(AJ$1,RIGHT(AJ$1,2),""),VLOOKUP($D30,素材!$1:$1016,COLUMN($F$1),FALSE))),VLOOKUP($C30,装備品!$1:$998,COLUMN($O$1),FALSE)*VLOOKUP($D30,素材!$1:$1016,COLUMN($E$1),FALSE)/(LEN(VLOOKUP($D30,素材!$1:$1016,COLUMN($F$1),FALSE))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K30">
        <f>IF(ISNUMBER(SEARCH(SUBSTITUTE(AK$1,RIGHT(AK$1,2),""),VLOOKUP($D30,素材!$1:$1016,COLUMN($F$1),FALSE))),VLOOKUP($C30,装備品!$1:$998,COLUMN($O$1),FALSE)*VLOOKUP($D30,素材!$1:$1016,COLUMN($E$1),FALSE)/(LEN(VLOOKUP($D30,素材!$1:$1016,COLUMN($F$1),FALSE))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L30">
        <f>IF(ISNUMBER(SEARCH(SUBSTITUTE(AL$1,RIGHT(AL$1,2),""),VLOOKUP($D30,素材!$1:$1016,COLUMN($F$1),FALSE))),VLOOKUP($C30,装備品!$1:$998,COLUMN($O$1),FALSE)*VLOOKUP($D30,素材!$1:$1016,COLUMN($E$1),FALSE)/(LEN(VLOOKUP($D30,素材!$1:$1016,COLUMN($F$1),FALSE))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M30">
        <f>IF(ISNUMBER(SEARCH(SUBSTITUTE(AM$1,RIGHT(AM$1,2),""),VLOOKUP($D30,素材!$1:$1016,COLUMN($F$1),FALSE))),VLOOKUP($C30,装備品!$1:$998,COLUMN($O$1),FALSE)*VLOOKUP($D30,素材!$1:$1016,COLUMN($E$1),FALSE)/(LEN(VLOOKUP($D30,素材!$1:$1016,COLUMN($F$1),FALSE))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N30">
        <f>IF(ISNUMBER(SEARCH(SUBSTITUTE(AN$1,RIGHT(AN$1,2),""),VLOOKUP($D30,素材!$1:$1016,COLUMN($F$1),FALSE))),VLOOKUP($C30,装備品!$1:$998,COLUMN($O$1),FALSE)*VLOOKUP($D30,素材!$1:$1016,COLUMN($E$1),FALSE)/(LEN(VLOOKUP($D30,素材!$1:$1016,COLUMN($F$1),FALSE))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O30">
        <f>IF(ISNUMBER(SEARCH(SUBSTITUTE(AO$1,RIGHT(AO$1,2),""),VLOOKUP($D30,素材!$1:$1016,COLUMN($F$1),FALSE))),VLOOKUP($C30,装備品!$1:$998,COLUMN($O$1),FALSE)*VLOOKUP($D30,素材!$1:$1016,COLUMN($E$1),FALSE)/(LEN(VLOOKUP($D30,素材!$1:$1016,COLUMN($F$1),FALSE))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P30">
        <f>IF(ISNUMBER(SEARCH(SUBSTITUTE(AP$1,RIGHT(AP$1,2),""),VLOOKUP($D30,素材!$1:$1016,COLUMN($F$1),FALSE))),VLOOKUP($C30,装備品!$1:$998,COLUMN($O$1),FALSE)*VLOOKUP($D30,素材!$1:$1016,COLUMN($E$1),FALSE)/(LEN(VLOOKUP($D30,素材!$1:$1016,COLUMN($F$1),FALSE))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Q30">
        <f>IF(ISNUMBER(SEARCH(SUBSTITUTE(AQ$1,RIGHT(AQ$1,2),""),VLOOKUP($D30,素材!$1:$1016,COLUMN($F$1),FALSE))),VLOOKUP($C30,装備品!$1:$998,COLUMN($O$1),FALSE)*VLOOKUP($D30,素材!$1:$1016,COLUMN($E$1),FALSE)/(LEN(VLOOKUP($D30,素材!$1:$1016,COLUMN($F$1),FALSE))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R30">
        <f>IF(ISNUMBER(SEARCH(SUBSTITUTE(AR$1,RIGHT(AR$1,2),""),VLOOKUP($D30,素材!$1:$1016,COLUMN($F$1),FALSE))),VLOOKUP($C30,装備品!$1:$998,COLUMN($O$1),FALSE)*VLOOKUP($D30,素材!$1:$1016,COLUMN($E$1),FALSE)/(LEN(VLOOKUP($D30,素材!$1:$1016,COLUMN($F$1),FALSE))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S30">
        <f>IF(ISNUMBER(SEARCH(SUBSTITUTE(AS$1,RIGHT(AS$1,2),""),VLOOKUP($D30,素材!$1:$1016,COLUMN($F$1),FALSE))),VLOOKUP($C30,装備品!$1:$998,COLUMN($O$1),FALSE)*VLOOKUP($D30,素材!$1:$1016,COLUMN($E$1),FALSE)/(LEN(VLOOKUP($D30,素材!$1:$1016,COLUMN($F$1),FALSE))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T30">
        <f>IF(ISNUMBER(SEARCH(SUBSTITUTE(AT$1,RIGHT(AT$1,2),""),VLOOKUP($D30,素材!$1:$1016,COLUMN($F$1),FALSE))),VLOOKUP($C30,装備品!$1:$998,COLUMN($O$1),FALSE)*VLOOKUP($D30,素材!$1:$1016,COLUMN($E$1),FALSE)/(LEN(VLOOKUP($D30,素材!$1:$1016,COLUMN($F$1),FALSE))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U30">
        <f>IF(ISNUMBER(SEARCH(SUBSTITUTE(AU$1,RIGHT(AU$1,2),""),VLOOKUP($D30,素材!$1:$1016,COLUMN($F$1),FALSE))),VLOOKUP($C30,装備品!$1:$998,COLUMN($O$1),FALSE)*VLOOKUP($D30,素材!$1:$1016,COLUMN($E$1),FALSE)/(LEN(VLOOKUP($D30,素材!$1:$1016,COLUMN($F$1),FALSE))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V30">
        <f>IF(ISNUMBER(SEARCH(SUBSTITUTE(AV$1,RIGHT(AV$1,2),""),VLOOKUP($D30,素材!$1:$1016,COLUMN($F$1),FALSE))),VLOOKUP($C30,装備品!$1:$998,COLUMN($O$1),FALSE)*VLOOKUP($D30,素材!$1:$1016,COLUMN($E$1),FALSE)/(LEN(VLOOKUP($D30,素材!$1:$1016,COLUMN($F$1),FALSE))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W30">
        <f>IF(ISNUMBER(SEARCH(SUBSTITUTE(AW$1,RIGHT(AW$1,2),""),VLOOKUP($D30,素材!$1:$1016,COLUMN($F$1),FALSE))),VLOOKUP($C30,装備品!$1:$998,COLUMN($O$1),FALSE)*VLOOKUP($D30,素材!$1:$1016,COLUMN($E$1),FALSE)/(LEN(VLOOKUP($D30,素材!$1:$1016,COLUMN($F$1),FALSE))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X30">
        <f>IF(ISNUMBER(SEARCH(SUBSTITUTE(AX$1,RIGHT(AX$1,2),""),VLOOKUP($D30,素材!$1:$1016,COLUMN($F$1),FALSE))),VLOOKUP($C30,装備品!$1:$998,COLUMN($O$1),FALSE)*VLOOKUP($D30,素材!$1:$1016,COLUMN($E$1),FALSE)/(LEN(VLOOKUP($D30,素材!$1:$1016,COLUMN($F$1),FALSE))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Y30">
        <f>IF(ISNUMBER(SEARCH(SUBSTITUTE(AY$1,RIGHT(AY$1,2),""),VLOOKUP($D30,素材!$1:$1016,COLUMN($F$1),FALSE))),VLOOKUP($C30,装備品!$1:$998,COLUMN($O$1),FALSE)*VLOOKUP($D30,素材!$1:$1016,COLUMN($E$1),FALSE)/(LEN(VLOOKUP($D30,素材!$1:$1016,COLUMN($F$1),FALSE))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Z30">
        <f>IF(ISNUMBER(SEARCH(SUBSTITUTE(AZ$1,RIGHT(AZ$1,2),""),VLOOKUP($D30,素材!$1:$1016,COLUMN($F$1),FALSE))),VLOOKUP($C30,装備品!$1:$998,COLUMN($O$1),FALSE)*VLOOKUP($D30,素材!$1:$1016,COLUMN($E$1),FALSE)/(LEN(VLOOKUP($D30,素材!$1:$1016,COLUMN($F$1),FALSE))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BA30">
        <f>IF(ISNUMBER(SEARCH(SUBSTITUTE(BA$1,RIGHT(BA$1,2),""),VLOOKUP($D30,素材!$1:$1016,COLUMN($F$1),FALSE))),VLOOKUP($C30,装備品!$1:$998,COLUMN($O$1),FALSE)*VLOOKUP($D30,素材!$1:$1016,COLUMN($E$1),FALSE)/(LEN(VLOOKUP($D30,素材!$1:$1016,COLUMN($F$1),FALSE))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BB30">
        <f>IF(ISNUMBER(SEARCH(SUBSTITUTE(BB$1,RIGHT(BB$1,2),""),VLOOKUP($D30,素材!$1:$1016,COLUMN($F$1),FALSE))),VLOOKUP($C30,装備品!$1:$998,COLUMN($O$1),FALSE)*VLOOKUP($D30,素材!$1:$1016,COLUMN($E$1),FALSE)/(LEN(VLOOKUP($D30,素材!$1:$1016,COLUMN($F$1),FALSE))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BC30">
        <f>IF(ISNUMBER(SEARCH(SUBSTITUTE(BC$1,RIGHT(BC$1,2),""),VLOOKUP($D30,素材!$1:$1016,COLUMN($F$1),FALSE))),VLOOKUP($C30,装備品!$1:$998,COLUMN($O$1),FALSE)*VLOOKUP($D30,素材!$1:$1016,COLUMN($E$1),FALSE)/(LEN(VLOOKUP($D30,素材!$1:$1016,COLUMN($F$1),FALSE))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BD30">
        <f>IF(ISNUMBER(SEARCH(SUBSTITUTE(BD$1,RIGHT(BD$1,2),""),VLOOKUP($D30,素材!$1:$1016,COLUMN($F$1),FALSE))),VLOOKUP($C30,装備品!$1:$998,COLUMN($O$1),FALSE)*VLOOKUP($D30,素材!$1:$1016,COLUMN($E$1),FALSE)/(LEN(VLOOKUP($D30,素材!$1:$1016,COLUMN($F$1),FALSE))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BE30">
        <f>IF(ISNUMBER(SEARCH(SUBSTITUTE(BE$1,RIGHT(BE$1,2),""),VLOOKUP($D30,素材!$1:$1016,COLUMN($F$1),FALSE))),VLOOKUP($C30,装備品!$1:$998,COLUMN($O$1),FALSE)*VLOOKUP($D30,素材!$1:$1016,COLUMN($E$1),FALSE)/(LEN(VLOOKUP($D30,素材!$1:$1016,COLUMN($F$1),FALSE))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CL30">
        <f t="shared" si="1"/>
        <v>22</v>
      </c>
      <c r="CM30" s="22" t="str">
        <f t="shared" si="2"/>
        <v>杖.webp</v>
      </c>
      <c r="CN30">
        <f>IFERROR(VLOOKUP($C30,装備品!$1:$998,COLUMN(V$1),FALSE)*VLOOKUP($D30,素材!$1:$1016,COLUMN(N$1),FALSE)+IF(CI30="",0,VLOOKUP($CI30,付与!$1:$1176,COLUMN($CK$1),FALSE)),"")</f>
        <v>0</v>
      </c>
      <c r="CO30" t="str">
        <f>VLOOKUP(D30,素材!$A:$O,COLUMN(素材!O$1),FALSE)</f>
        <v>一般的な鉄。量産品を作るのに使用されることが多い</v>
      </c>
      <c r="CP30" t="str">
        <f>VLOOKUP(C30,装備品!$A:$AB,COLUMN(装備品!AB$1),FALSE)</f>
        <v>長杖。強力な魔法を扱える杖だが、重い。</v>
      </c>
      <c r="CR30" t="str">
        <f t="shared" si="3"/>
        <v>e_30</v>
      </c>
      <c r="CS30">
        <f t="shared" si="4"/>
        <v>0</v>
      </c>
    </row>
    <row r="31" spans="1:97" outlineLevel="1" x14ac:dyDescent="0.4">
      <c r="A31" t="str">
        <f t="shared" si="0"/>
        <v>鉄の軽射出弓</v>
      </c>
      <c r="B31" t="str">
        <f>IFERROR(VLOOKUP($D31,素材!$1:$1016,COLUMN($B$1),FALSE)&amp;"・"&amp;VLOOKUP($C31,装備品!$1:$998,COLUMN(B$1),FALSE),"")</f>
        <v>アイアン・ライトクロスボウ</v>
      </c>
      <c r="C31" t="s">
        <v>213</v>
      </c>
      <c r="D31" s="24" t="s">
        <v>256</v>
      </c>
      <c r="E31" t="str">
        <f>IFERROR(VLOOKUP(C31,装備品!$1:$998,COLUMN(C$1),FALSE),"")</f>
        <v>銃</v>
      </c>
      <c r="F31">
        <f>IFERROR(ROUNDDOWN((VLOOKUP($C31,装備品!$1:$998,COLUMN(D$1),FALSE)+IFERROR(VLOOKUP($CI31,付与!$1:$1167,COLUMN(F$1),FALSE),0))*VLOOKUP($D31,素材!$1:$1016,COLUMN(D$1),FALSE),0),"")</f>
        <v>100</v>
      </c>
      <c r="G31">
        <f>IFERROR(ROUNDDOWN((VLOOKUP($C31,装備品!$1:$998,COLUMN(E$1),FALSE)+IFERROR(VLOOKUP($CI31,付与!$1:$1167,COLUMN(G$1),FALSE),0))*VLOOKUP($D31,素材!$1:$1016,COLUMN($E$1),FALSE),0),"")</f>
        <v>0</v>
      </c>
      <c r="H31">
        <f>IFERROR(ROUNDDOWN((VLOOKUP($C31,装備品!$1:$998,COLUMN(F$1),FALSE)+IFERROR(VLOOKUP($CI31,付与!$1:$1167,COLUMN(H$1),FALSE),0))*VLOOKUP($D31,素材!$1:$1016,COLUMN($E$1),FALSE),0),"")</f>
        <v>0</v>
      </c>
      <c r="I31">
        <f>IFERROR(ROUNDDOWN((VLOOKUP($C31,装備品!$1:$998,COLUMN(G$1),FALSE)+IFERROR(VLOOKUP($CI31,付与!$1:$1167,COLUMN(I$1),FALSE),0))*VLOOKUP($D31,素材!$1:$1016,COLUMN($E$1),FALSE),0),"")</f>
        <v>0</v>
      </c>
      <c r="J31">
        <f>IFERROR(ROUNDDOWN((VLOOKUP($C31,装備品!$1:$998,COLUMN(H$1),FALSE)+IFERROR(VLOOKUP($CI31,付与!$1:$1167,COLUMN(J$1),FALSE),0))*VLOOKUP($D31,素材!$1:$1016,COLUMN($E$1),FALSE),0),"")</f>
        <v>0</v>
      </c>
      <c r="K31">
        <f>IFERROR(ROUNDDOWN((VLOOKUP($C31,装備品!$1:$998,COLUMN(I$1),FALSE)+IFERROR(VLOOKUP($CI31,付与!$1:$1167,COLUMN(K$1),FALSE),0))*VLOOKUP($D31,素材!$1:$1016,COLUMN($E$1),FALSE),0),"")</f>
        <v>54</v>
      </c>
      <c r="L31">
        <f>IFERROR(VLOOKUP($D31,素材!$1:$1016,COLUMN($F$1),FALSE),"")</f>
        <v>0</v>
      </c>
      <c r="M31">
        <f>IFERROR(VLOOKUP($C31,装備品!$1:$998,COLUMN(AA$1),FALSE)*VLOOKUP($D31,素材!$1:$1016,COLUMN($G$1),FALSE),"")</f>
        <v>0</v>
      </c>
      <c r="N31">
        <f>IFERROR(VLOOKUP($C31,装備品!$1:$998,COLUMN(I$1),FALSE),"")</f>
        <v>2.7</v>
      </c>
      <c r="O31" s="23">
        <f>IFERROR((VLOOKUP($C31,装備品!$1:$998,COLUMN(K$1),FALSE)+VLOOKUP($D31,素材!$1:$1016,COLUMN(H$1),FALSE))*100+IFERROR(VLOOKUP($CI31,付与!$1:$1167,COLUMN(O$1),FALSE),0),"")</f>
        <v>10</v>
      </c>
      <c r="P31" s="23">
        <f>IFERROR((VLOOKUP($C31,装備品!$1:$998,COLUMN(L$1),FALSE)+VLOOKUP($D31,素材!$1:$1016,COLUMN(I$1),FALSE))*100+IFERROR(VLOOKUP($CI31,付与!$1:$1167,COLUMN(P$1),FALSE),0),"")</f>
        <v>150</v>
      </c>
      <c r="Q31">
        <f>IFERROR(ROUNDUP(VLOOKUP($C31,装備品!$1:$998,COLUMN(M$1),FALSE)*(VLOOKUP($D31,素材!$1:$1002,COLUMN(D$1),FALSE)/100),1),"")</f>
        <v>0</v>
      </c>
      <c r="R31">
        <f>IFERROR(ROUNDUP(VLOOKUP($C31,装備品!$1:$998,COLUMN(N$1),FALSE)*(VLOOKUP($D31,素材!$1:$1002,COLUMN(D$1),FALSE)/100),1),"")</f>
        <v>-15</v>
      </c>
      <c r="S31">
        <f>IFERROR(VLOOKUP($C31,装備品!$1:$998,COLUMN(P$1),FALSE),"")</f>
        <v>0</v>
      </c>
      <c r="T31">
        <f>IFERROR(VLOOKUP($C31,装備品!$1:$998,COLUMN(Q$1),FALSE),"")</f>
        <v>0</v>
      </c>
      <c r="U31">
        <f>IFERROR(VLOOKUP($C31,装備品!$1:$998,COLUMN(R$1),FALSE),"")</f>
        <v>0</v>
      </c>
      <c r="V31">
        <f>IFERROR(VLOOKUP($C31,装備品!$1:$998,COLUMN(Q$1),FALSE),"")</f>
        <v>0</v>
      </c>
      <c r="W31">
        <f>IFERROR(VLOOKUP($C31,装備品!$1:$998,COLUMN(T$1),FALSE),"")</f>
        <v>0</v>
      </c>
      <c r="Y31">
        <f>IFERROR(VLOOKUP($C31,装備品!$1:$998,COLUMN(U$1),FALSE),"")</f>
        <v>0</v>
      </c>
      <c r="Z31">
        <f>IFERROR(ROUNDUP(VLOOKUP($C31,装備品!$1:$998,COLUMN(O$1),FALSE)*VLOOKUP($D31,素材!$1:$1016,COLUMN(E$1),FALSE),1),"")</f>
        <v>0</v>
      </c>
      <c r="AA31">
        <f>IF(ISNUMBER(SEARCH(SUBSTITUTE(AA$1,RIGHT(AA$1,2),""),VLOOKUP($D31,素材!$1:$1016,COLUMN($F$1),FALSE))),VLOOKUP($C31,装備品!$1:$998,COLUMN($O$1),FALSE)*VLOOKUP($D31,素材!$1:$1016,COLUMN($E$1),FALSE)/(LEN(VLOOKUP($D31,素材!$1:$1016,COLUMN($F$1),FALSE))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B31">
        <f>IF(ISNUMBER(SEARCH(SUBSTITUTE(AB$1,RIGHT(AB$1,2),""),VLOOKUP($D31,素材!$1:$1016,COLUMN($F$1),FALSE))),VLOOKUP($C31,装備品!$1:$998,COLUMN($O$1),FALSE)*VLOOKUP($D31,素材!$1:$1016,COLUMN($E$1),FALSE)/(LEN(VLOOKUP($D31,素材!$1:$1016,COLUMN($F$1),FALSE))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C31">
        <f>IF(ISNUMBER(SEARCH(SUBSTITUTE(AC$1,RIGHT(AC$1,2),""),VLOOKUP($D31,素材!$1:$1016,COLUMN($F$1),FALSE))),VLOOKUP($C31,装備品!$1:$998,COLUMN($O$1),FALSE)*VLOOKUP($D31,素材!$1:$1016,COLUMN($E$1),FALSE)/(LEN(VLOOKUP($D31,素材!$1:$1016,COLUMN($F$1),FALSE))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D31">
        <f>IF(ISNUMBER(SEARCH(SUBSTITUTE(AD$1,RIGHT(AD$1,2),""),VLOOKUP($D31,素材!$1:$1016,COLUMN($F$1),FALSE))),VLOOKUP($C31,装備品!$1:$998,COLUMN($O$1),FALSE)*VLOOKUP($D31,素材!$1:$1016,COLUMN($E$1),FALSE)/(LEN(VLOOKUP($D31,素材!$1:$1016,COLUMN($F$1),FALSE))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E31">
        <f>IF(ISNUMBER(SEARCH(SUBSTITUTE(AE$1,RIGHT(AE$1,2),""),VLOOKUP($D31,素材!$1:$1016,COLUMN($F$1),FALSE))),VLOOKUP($C31,装備品!$1:$998,COLUMN($O$1),FALSE)*VLOOKUP($D31,素材!$1:$1016,COLUMN($E$1),FALSE)/(LEN(VLOOKUP($D31,素材!$1:$1016,COLUMN($F$1),FALSE))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F31">
        <f>IF(ISNUMBER(SEARCH(SUBSTITUTE(AF$1,RIGHT(AF$1,2),""),VLOOKUP($D31,素材!$1:$1016,COLUMN($F$1),FALSE))),VLOOKUP($C31,装備品!$1:$998,COLUMN($O$1),FALSE)*VLOOKUP($D31,素材!$1:$1016,COLUMN($E$1),FALSE)/(LEN(VLOOKUP($D31,素材!$1:$1016,COLUMN($F$1),FALSE))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G31">
        <f>IF(ISNUMBER(SEARCH(SUBSTITUTE(AG$1,RIGHT(AG$1,2),""),VLOOKUP($D31,素材!$1:$1016,COLUMN($F$1),FALSE))),VLOOKUP($C31,装備品!$1:$998,COLUMN($O$1),FALSE)*VLOOKUP($D31,素材!$1:$1016,COLUMN($E$1),FALSE)/(LEN(VLOOKUP($D31,素材!$1:$1016,COLUMN($F$1),FALSE))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H31">
        <f>IF(ISNUMBER(SEARCH(SUBSTITUTE(AH$1,RIGHT(AH$1,2),""),VLOOKUP($D31,素材!$1:$1016,COLUMN($F$1),FALSE))),VLOOKUP($C31,装備品!$1:$998,COLUMN($O$1),FALSE)*VLOOKUP($D31,素材!$1:$1016,COLUMN($E$1),FALSE)/(LEN(VLOOKUP($D31,素材!$1:$1016,COLUMN($F$1),FALSE))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I31">
        <f>IF(ISNUMBER(SEARCH(SUBSTITUTE(AI$1,RIGHT(AI$1,2),""),VLOOKUP($D31,素材!$1:$1016,COLUMN($F$1),FALSE))),VLOOKUP($C31,装備品!$1:$998,COLUMN($O$1),FALSE)*VLOOKUP($D31,素材!$1:$1016,COLUMN($E$1),FALSE)/(LEN(VLOOKUP($D31,素材!$1:$1016,COLUMN($F$1),FALSE))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J31">
        <f>IF(ISNUMBER(SEARCH(SUBSTITUTE(AJ$1,RIGHT(AJ$1,2),""),VLOOKUP($D31,素材!$1:$1016,COLUMN($F$1),FALSE))),VLOOKUP($C31,装備品!$1:$998,COLUMN($O$1),FALSE)*VLOOKUP($D31,素材!$1:$1016,COLUMN($E$1),FALSE)/(LEN(VLOOKUP($D31,素材!$1:$1016,COLUMN($F$1),FALSE))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K31">
        <f>IF(ISNUMBER(SEARCH(SUBSTITUTE(AK$1,RIGHT(AK$1,2),""),VLOOKUP($D31,素材!$1:$1016,COLUMN($F$1),FALSE))),VLOOKUP($C31,装備品!$1:$998,COLUMN($O$1),FALSE)*VLOOKUP($D31,素材!$1:$1016,COLUMN($E$1),FALSE)/(LEN(VLOOKUP($D31,素材!$1:$1016,COLUMN($F$1),FALSE))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L31">
        <f>IF(ISNUMBER(SEARCH(SUBSTITUTE(AL$1,RIGHT(AL$1,2),""),VLOOKUP($D31,素材!$1:$1016,COLUMN($F$1),FALSE))),VLOOKUP($C31,装備品!$1:$998,COLUMN($O$1),FALSE)*VLOOKUP($D31,素材!$1:$1016,COLUMN($E$1),FALSE)/(LEN(VLOOKUP($D31,素材!$1:$1016,COLUMN($F$1),FALSE))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M31">
        <f>IF(ISNUMBER(SEARCH(SUBSTITUTE(AM$1,RIGHT(AM$1,2),""),VLOOKUP($D31,素材!$1:$1016,COLUMN($F$1),FALSE))),VLOOKUP($C31,装備品!$1:$998,COLUMN($O$1),FALSE)*VLOOKUP($D31,素材!$1:$1016,COLUMN($E$1),FALSE)/(LEN(VLOOKUP($D31,素材!$1:$1016,COLUMN($F$1),FALSE))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N31">
        <f>IF(ISNUMBER(SEARCH(SUBSTITUTE(AN$1,RIGHT(AN$1,2),""),VLOOKUP($D31,素材!$1:$1016,COLUMN($F$1),FALSE))),VLOOKUP($C31,装備品!$1:$998,COLUMN($O$1),FALSE)*VLOOKUP($D31,素材!$1:$1016,COLUMN($E$1),FALSE)/(LEN(VLOOKUP($D31,素材!$1:$1016,COLUMN($F$1),FALSE))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O31">
        <f>IF(ISNUMBER(SEARCH(SUBSTITUTE(AO$1,RIGHT(AO$1,2),""),VLOOKUP($D31,素材!$1:$1016,COLUMN($F$1),FALSE))),VLOOKUP($C31,装備品!$1:$998,COLUMN($O$1),FALSE)*VLOOKUP($D31,素材!$1:$1016,COLUMN($E$1),FALSE)/(LEN(VLOOKUP($D31,素材!$1:$1016,COLUMN($F$1),FALSE))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P31">
        <f>IF(ISNUMBER(SEARCH(SUBSTITUTE(AP$1,RIGHT(AP$1,2),""),VLOOKUP($D31,素材!$1:$1016,COLUMN($F$1),FALSE))),VLOOKUP($C31,装備品!$1:$998,COLUMN($O$1),FALSE)*VLOOKUP($D31,素材!$1:$1016,COLUMN($E$1),FALSE)/(LEN(VLOOKUP($D31,素材!$1:$1016,COLUMN($F$1),FALSE))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Q31">
        <f>IF(ISNUMBER(SEARCH(SUBSTITUTE(AQ$1,RIGHT(AQ$1,2),""),VLOOKUP($D31,素材!$1:$1016,COLUMN($F$1),FALSE))),VLOOKUP($C31,装備品!$1:$998,COLUMN($O$1),FALSE)*VLOOKUP($D31,素材!$1:$1016,COLUMN($E$1),FALSE)/(LEN(VLOOKUP($D31,素材!$1:$1016,COLUMN($F$1),FALSE))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R31">
        <f>IF(ISNUMBER(SEARCH(SUBSTITUTE(AR$1,RIGHT(AR$1,2),""),VLOOKUP($D31,素材!$1:$1016,COLUMN($F$1),FALSE))),VLOOKUP($C31,装備品!$1:$998,COLUMN($O$1),FALSE)*VLOOKUP($D31,素材!$1:$1016,COLUMN($E$1),FALSE)/(LEN(VLOOKUP($D31,素材!$1:$1016,COLUMN($F$1),FALSE))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S31">
        <f>IF(ISNUMBER(SEARCH(SUBSTITUTE(AS$1,RIGHT(AS$1,2),""),VLOOKUP($D31,素材!$1:$1016,COLUMN($F$1),FALSE))),VLOOKUP($C31,装備品!$1:$998,COLUMN($O$1),FALSE)*VLOOKUP($D31,素材!$1:$1016,COLUMN($E$1),FALSE)/(LEN(VLOOKUP($D31,素材!$1:$1016,COLUMN($F$1),FALSE))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T31">
        <f>IF(ISNUMBER(SEARCH(SUBSTITUTE(AT$1,RIGHT(AT$1,2),""),VLOOKUP($D31,素材!$1:$1016,COLUMN($F$1),FALSE))),VLOOKUP($C31,装備品!$1:$998,COLUMN($O$1),FALSE)*VLOOKUP($D31,素材!$1:$1016,COLUMN($E$1),FALSE)/(LEN(VLOOKUP($D31,素材!$1:$1016,COLUMN($F$1),FALSE))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U31">
        <f>IF(ISNUMBER(SEARCH(SUBSTITUTE(AU$1,RIGHT(AU$1,2),""),VLOOKUP($D31,素材!$1:$1016,COLUMN($F$1),FALSE))),VLOOKUP($C31,装備品!$1:$998,COLUMN($O$1),FALSE)*VLOOKUP($D31,素材!$1:$1016,COLUMN($E$1),FALSE)/(LEN(VLOOKUP($D31,素材!$1:$1016,COLUMN($F$1),FALSE))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V31">
        <f>IF(ISNUMBER(SEARCH(SUBSTITUTE(AV$1,RIGHT(AV$1,2),""),VLOOKUP($D31,素材!$1:$1016,COLUMN($F$1),FALSE))),VLOOKUP($C31,装備品!$1:$998,COLUMN($O$1),FALSE)*VLOOKUP($D31,素材!$1:$1016,COLUMN($E$1),FALSE)/(LEN(VLOOKUP($D31,素材!$1:$1016,COLUMN($F$1),FALSE))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W31">
        <f>IF(ISNUMBER(SEARCH(SUBSTITUTE(AW$1,RIGHT(AW$1,2),""),VLOOKUP($D31,素材!$1:$1016,COLUMN($F$1),FALSE))),VLOOKUP($C31,装備品!$1:$998,COLUMN($O$1),FALSE)*VLOOKUP($D31,素材!$1:$1016,COLUMN($E$1),FALSE)/(LEN(VLOOKUP($D31,素材!$1:$1016,COLUMN($F$1),FALSE))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X31">
        <f>IF(ISNUMBER(SEARCH(SUBSTITUTE(AX$1,RIGHT(AX$1,2),""),VLOOKUP($D31,素材!$1:$1016,COLUMN($F$1),FALSE))),VLOOKUP($C31,装備品!$1:$998,COLUMN($O$1),FALSE)*VLOOKUP($D31,素材!$1:$1016,COLUMN($E$1),FALSE)/(LEN(VLOOKUP($D31,素材!$1:$1016,COLUMN($F$1),FALSE))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Y31">
        <f>IF(ISNUMBER(SEARCH(SUBSTITUTE(AY$1,RIGHT(AY$1,2),""),VLOOKUP($D31,素材!$1:$1016,COLUMN($F$1),FALSE))),VLOOKUP($C31,装備品!$1:$998,COLUMN($O$1),FALSE)*VLOOKUP($D31,素材!$1:$1016,COLUMN($E$1),FALSE)/(LEN(VLOOKUP($D31,素材!$1:$1016,COLUMN($F$1),FALSE))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Z31">
        <f>IF(ISNUMBER(SEARCH(SUBSTITUTE(AZ$1,RIGHT(AZ$1,2),""),VLOOKUP($D31,素材!$1:$1016,COLUMN($F$1),FALSE))),VLOOKUP($C31,装備品!$1:$998,COLUMN($O$1),FALSE)*VLOOKUP($D31,素材!$1:$1016,COLUMN($E$1),FALSE)/(LEN(VLOOKUP($D31,素材!$1:$1016,COLUMN($F$1),FALSE))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BA31">
        <f>IF(ISNUMBER(SEARCH(SUBSTITUTE(BA$1,RIGHT(BA$1,2),""),VLOOKUP($D31,素材!$1:$1016,COLUMN($F$1),FALSE))),VLOOKUP($C31,装備品!$1:$998,COLUMN($O$1),FALSE)*VLOOKUP($D31,素材!$1:$1016,COLUMN($E$1),FALSE)/(LEN(VLOOKUP($D31,素材!$1:$1016,COLUMN($F$1),FALSE))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BB31">
        <f>IF(ISNUMBER(SEARCH(SUBSTITUTE(BB$1,RIGHT(BB$1,2),""),VLOOKUP($D31,素材!$1:$1016,COLUMN($F$1),FALSE))),VLOOKUP($C31,装備品!$1:$998,COLUMN($O$1),FALSE)*VLOOKUP($D31,素材!$1:$1016,COLUMN($E$1),FALSE)/(LEN(VLOOKUP($D31,素材!$1:$1016,COLUMN($F$1),FALSE))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BC31">
        <f>IF(ISNUMBER(SEARCH(SUBSTITUTE(BC$1,RIGHT(BC$1,2),""),VLOOKUP($D31,素材!$1:$1016,COLUMN($F$1),FALSE))),VLOOKUP($C31,装備品!$1:$998,COLUMN($O$1),FALSE)*VLOOKUP($D31,素材!$1:$1016,COLUMN($E$1),FALSE)/(LEN(VLOOKUP($D31,素材!$1:$1016,COLUMN($F$1),FALSE))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BD31">
        <f>IF(ISNUMBER(SEARCH(SUBSTITUTE(BD$1,RIGHT(BD$1,2),""),VLOOKUP($D31,素材!$1:$1016,COLUMN($F$1),FALSE))),VLOOKUP($C31,装備品!$1:$998,COLUMN($O$1),FALSE)*VLOOKUP($D31,素材!$1:$1016,COLUMN($E$1),FALSE)/(LEN(VLOOKUP($D31,素材!$1:$1016,COLUMN($F$1),FALSE))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BE31">
        <f>IF(ISNUMBER(SEARCH(SUBSTITUTE(BE$1,RIGHT(BE$1,2),""),VLOOKUP($D31,素材!$1:$1016,COLUMN($F$1),FALSE))),VLOOKUP($C31,装備品!$1:$998,COLUMN($O$1),FALSE)*VLOOKUP($D31,素材!$1:$1016,COLUMN($E$1),FALSE)/(LEN(VLOOKUP($D31,素材!$1:$1016,COLUMN($F$1),FALSE))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CL31">
        <f t="shared" si="1"/>
        <v>0</v>
      </c>
      <c r="CM31" s="22" t="str">
        <f t="shared" si="2"/>
        <v>銃.webp</v>
      </c>
      <c r="CN31">
        <f>IFERROR(VLOOKUP($C31,装備品!$1:$998,COLUMN(V$1),FALSE)*VLOOKUP($D31,素材!$1:$1016,COLUMN(N$1),FALSE)+IF(CI31="",0,VLOOKUP($CI31,付与!$1:$1176,COLUMN($CK$1),FALSE)),"")</f>
        <v>200</v>
      </c>
      <c r="CO31" t="str">
        <f>VLOOKUP(D31,素材!$A:$O,COLUMN(素材!O$1),FALSE)</f>
        <v>一般的な鉄。量産品を作るのに使用されることが多い</v>
      </c>
      <c r="CP31" t="str">
        <f>VLOOKUP(C31,装備品!$A:$AB,COLUMN(装備品!AB$1),FALSE)</f>
        <v/>
      </c>
      <c r="CR31" t="str">
        <f t="shared" si="3"/>
        <v>e_31</v>
      </c>
      <c r="CS31">
        <f t="shared" si="4"/>
        <v>20000</v>
      </c>
    </row>
    <row r="32" spans="1:97" outlineLevel="1" x14ac:dyDescent="0.4">
      <c r="A32" t="str">
        <f t="shared" si="0"/>
        <v>鉄の射出弓</v>
      </c>
      <c r="B32" t="str">
        <f>IFERROR(VLOOKUP($D32,素材!$1:$1016,COLUMN($B$1),FALSE)&amp;"・"&amp;VLOOKUP($C32,装備品!$1:$998,COLUMN(B$1),FALSE),"")</f>
        <v>アイアン・クロスボウ</v>
      </c>
      <c r="C32" t="s">
        <v>212</v>
      </c>
      <c r="D32" s="24" t="s">
        <v>256</v>
      </c>
      <c r="E32" t="str">
        <f>IFERROR(VLOOKUP(C32,装備品!$1:$998,COLUMN(C$1),FALSE),"")</f>
        <v>銃</v>
      </c>
      <c r="F32">
        <f>IFERROR(ROUNDDOWN((VLOOKUP($C32,装備品!$1:$998,COLUMN(D$1),FALSE)+IFERROR(VLOOKUP($CI32,付与!$1:$1167,COLUMN(F$1),FALSE),0))*VLOOKUP($D32,素材!$1:$1016,COLUMN(D$1),FALSE),0),"")</f>
        <v>100</v>
      </c>
      <c r="G32">
        <f>IFERROR(ROUNDDOWN((VLOOKUP($C32,装備品!$1:$998,COLUMN(E$1),FALSE)+IFERROR(VLOOKUP($CI32,付与!$1:$1167,COLUMN(G$1),FALSE),0))*VLOOKUP($D32,素材!$1:$1016,COLUMN($E$1),FALSE),0),"")</f>
        <v>0</v>
      </c>
      <c r="H32">
        <f>IFERROR(ROUNDDOWN((VLOOKUP($C32,装備品!$1:$998,COLUMN(F$1),FALSE)+IFERROR(VLOOKUP($CI32,付与!$1:$1167,COLUMN(H$1),FALSE),0))*VLOOKUP($D32,素材!$1:$1016,COLUMN($E$1),FALSE),0),"")</f>
        <v>0</v>
      </c>
      <c r="I32">
        <f>IFERROR(ROUNDDOWN((VLOOKUP($C32,装備品!$1:$998,COLUMN(G$1),FALSE)+IFERROR(VLOOKUP($CI32,付与!$1:$1167,COLUMN(I$1),FALSE),0))*VLOOKUP($D32,素材!$1:$1016,COLUMN($E$1),FALSE),0),"")</f>
        <v>0</v>
      </c>
      <c r="J32">
        <f>IFERROR(ROUNDDOWN((VLOOKUP($C32,装備品!$1:$998,COLUMN(H$1),FALSE)+IFERROR(VLOOKUP($CI32,付与!$1:$1167,COLUMN(J$1),FALSE),0))*VLOOKUP($D32,素材!$1:$1016,COLUMN($E$1),FALSE),0),"")</f>
        <v>0</v>
      </c>
      <c r="K32">
        <f>IFERROR(ROUNDDOWN((VLOOKUP($C32,装備品!$1:$998,COLUMN(I$1),FALSE)+IFERROR(VLOOKUP($CI32,付与!$1:$1167,COLUMN(K$1),FALSE),0))*VLOOKUP($D32,素材!$1:$1016,COLUMN($E$1),FALSE),0),"")</f>
        <v>78</v>
      </c>
      <c r="L32">
        <f>IFERROR(VLOOKUP($D32,素材!$1:$1016,COLUMN($F$1),FALSE),"")</f>
        <v>0</v>
      </c>
      <c r="M32">
        <f>IFERROR(VLOOKUP($C32,装備品!$1:$998,COLUMN(AA$1),FALSE)*VLOOKUP($D32,素材!$1:$1016,COLUMN($G$1),FALSE),"")</f>
        <v>0</v>
      </c>
      <c r="N32">
        <f>IFERROR(VLOOKUP($C32,装備品!$1:$998,COLUMN(I$1),FALSE),"")</f>
        <v>3.9</v>
      </c>
      <c r="O32" s="23">
        <f>IFERROR((VLOOKUP($C32,装備品!$1:$998,COLUMN(K$1),FALSE)+VLOOKUP($D32,素材!$1:$1016,COLUMN(H$1),FALSE))*100+IFERROR(VLOOKUP($CI32,付与!$1:$1167,COLUMN(O$1),FALSE),0),"")</f>
        <v>10</v>
      </c>
      <c r="P32" s="23">
        <f>IFERROR((VLOOKUP($C32,装備品!$1:$998,COLUMN(L$1),FALSE)+VLOOKUP($D32,素材!$1:$1016,COLUMN(I$1),FALSE))*100+IFERROR(VLOOKUP($CI32,付与!$1:$1167,COLUMN(P$1),FALSE),0),"")</f>
        <v>150</v>
      </c>
      <c r="Q32">
        <f>IFERROR(ROUNDUP(VLOOKUP($C32,装備品!$1:$998,COLUMN(M$1),FALSE)*(VLOOKUP($D32,素材!$1:$1002,COLUMN(D$1),FALSE)/100),1),"")</f>
        <v>0</v>
      </c>
      <c r="R32">
        <f>IFERROR(ROUNDUP(VLOOKUP($C32,装備品!$1:$998,COLUMN(N$1),FALSE)*(VLOOKUP($D32,素材!$1:$1002,COLUMN(D$1),FALSE)/100),1),"")</f>
        <v>-15</v>
      </c>
      <c r="S32">
        <f>IFERROR(VLOOKUP($C32,装備品!$1:$998,COLUMN(P$1),FALSE),"")</f>
        <v>0</v>
      </c>
      <c r="T32">
        <f>IFERROR(VLOOKUP($C32,装備品!$1:$998,COLUMN(Q$1),FALSE),"")</f>
        <v>0</v>
      </c>
      <c r="U32">
        <f>IFERROR(VLOOKUP($C32,装備品!$1:$998,COLUMN(R$1),FALSE),"")</f>
        <v>0</v>
      </c>
      <c r="V32">
        <f>IFERROR(VLOOKUP($C32,装備品!$1:$998,COLUMN(Q$1),FALSE),"")</f>
        <v>0</v>
      </c>
      <c r="W32">
        <f>IFERROR(VLOOKUP($C32,装備品!$1:$998,COLUMN(T$1),FALSE),"")</f>
        <v>0</v>
      </c>
      <c r="Y32">
        <f>IFERROR(VLOOKUP($C32,装備品!$1:$998,COLUMN(U$1),FALSE),"")</f>
        <v>0</v>
      </c>
      <c r="Z32">
        <f>IFERROR(ROUNDUP(VLOOKUP($C32,装備品!$1:$998,COLUMN(O$1),FALSE)*VLOOKUP($D32,素材!$1:$1016,COLUMN(E$1),FALSE),1),"")</f>
        <v>0</v>
      </c>
      <c r="AA32">
        <f>IF(ISNUMBER(SEARCH(SUBSTITUTE(AA$1,RIGHT(AA$1,2),""),VLOOKUP($D32,素材!$1:$1016,COLUMN($F$1),FALSE))),VLOOKUP($C32,装備品!$1:$998,COLUMN($O$1),FALSE)*VLOOKUP($D32,素材!$1:$1016,COLUMN($E$1),FALSE)/(LEN(VLOOKUP($D32,素材!$1:$1016,COLUMN($F$1),FALSE))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B32">
        <f>IF(ISNUMBER(SEARCH(SUBSTITUTE(AB$1,RIGHT(AB$1,2),""),VLOOKUP($D32,素材!$1:$1016,COLUMN($F$1),FALSE))),VLOOKUP($C32,装備品!$1:$998,COLUMN($O$1),FALSE)*VLOOKUP($D32,素材!$1:$1016,COLUMN($E$1),FALSE)/(LEN(VLOOKUP($D32,素材!$1:$1016,COLUMN($F$1),FALSE))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C32">
        <f>IF(ISNUMBER(SEARCH(SUBSTITUTE(AC$1,RIGHT(AC$1,2),""),VLOOKUP($D32,素材!$1:$1016,COLUMN($F$1),FALSE))),VLOOKUP($C32,装備品!$1:$998,COLUMN($O$1),FALSE)*VLOOKUP($D32,素材!$1:$1016,COLUMN($E$1),FALSE)/(LEN(VLOOKUP($D32,素材!$1:$1016,COLUMN($F$1),FALSE))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D32">
        <f>IF(ISNUMBER(SEARCH(SUBSTITUTE(AD$1,RIGHT(AD$1,2),""),VLOOKUP($D32,素材!$1:$1016,COLUMN($F$1),FALSE))),VLOOKUP($C32,装備品!$1:$998,COLUMN($O$1),FALSE)*VLOOKUP($D32,素材!$1:$1016,COLUMN($E$1),FALSE)/(LEN(VLOOKUP($D32,素材!$1:$1016,COLUMN($F$1),FALSE))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E32">
        <f>IF(ISNUMBER(SEARCH(SUBSTITUTE(AE$1,RIGHT(AE$1,2),""),VLOOKUP($D32,素材!$1:$1016,COLUMN($F$1),FALSE))),VLOOKUP($C32,装備品!$1:$998,COLUMN($O$1),FALSE)*VLOOKUP($D32,素材!$1:$1016,COLUMN($E$1),FALSE)/(LEN(VLOOKUP($D32,素材!$1:$1016,COLUMN($F$1),FALSE))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F32">
        <f>IF(ISNUMBER(SEARCH(SUBSTITUTE(AF$1,RIGHT(AF$1,2),""),VLOOKUP($D32,素材!$1:$1016,COLUMN($F$1),FALSE))),VLOOKUP($C32,装備品!$1:$998,COLUMN($O$1),FALSE)*VLOOKUP($D32,素材!$1:$1016,COLUMN($E$1),FALSE)/(LEN(VLOOKUP($D32,素材!$1:$1016,COLUMN($F$1),FALSE))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G32">
        <f>IF(ISNUMBER(SEARCH(SUBSTITUTE(AG$1,RIGHT(AG$1,2),""),VLOOKUP($D32,素材!$1:$1016,COLUMN($F$1),FALSE))),VLOOKUP($C32,装備品!$1:$998,COLUMN($O$1),FALSE)*VLOOKUP($D32,素材!$1:$1016,COLUMN($E$1),FALSE)/(LEN(VLOOKUP($D32,素材!$1:$1016,COLUMN($F$1),FALSE))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H32">
        <f>IF(ISNUMBER(SEARCH(SUBSTITUTE(AH$1,RIGHT(AH$1,2),""),VLOOKUP($D32,素材!$1:$1016,COLUMN($F$1),FALSE))),VLOOKUP($C32,装備品!$1:$998,COLUMN($O$1),FALSE)*VLOOKUP($D32,素材!$1:$1016,COLUMN($E$1),FALSE)/(LEN(VLOOKUP($D32,素材!$1:$1016,COLUMN($F$1),FALSE))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I32">
        <f>IF(ISNUMBER(SEARCH(SUBSTITUTE(AI$1,RIGHT(AI$1,2),""),VLOOKUP($D32,素材!$1:$1016,COLUMN($F$1),FALSE))),VLOOKUP($C32,装備品!$1:$998,COLUMN($O$1),FALSE)*VLOOKUP($D32,素材!$1:$1016,COLUMN($E$1),FALSE)/(LEN(VLOOKUP($D32,素材!$1:$1016,COLUMN($F$1),FALSE))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J32">
        <f>IF(ISNUMBER(SEARCH(SUBSTITUTE(AJ$1,RIGHT(AJ$1,2),""),VLOOKUP($D32,素材!$1:$1016,COLUMN($F$1),FALSE))),VLOOKUP($C32,装備品!$1:$998,COLUMN($O$1),FALSE)*VLOOKUP($D32,素材!$1:$1016,COLUMN($E$1),FALSE)/(LEN(VLOOKUP($D32,素材!$1:$1016,COLUMN($F$1),FALSE))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K32">
        <f>IF(ISNUMBER(SEARCH(SUBSTITUTE(AK$1,RIGHT(AK$1,2),""),VLOOKUP($D32,素材!$1:$1016,COLUMN($F$1),FALSE))),VLOOKUP($C32,装備品!$1:$998,COLUMN($O$1),FALSE)*VLOOKUP($D32,素材!$1:$1016,COLUMN($E$1),FALSE)/(LEN(VLOOKUP($D32,素材!$1:$1016,COLUMN($F$1),FALSE))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L32">
        <f>IF(ISNUMBER(SEARCH(SUBSTITUTE(AL$1,RIGHT(AL$1,2),""),VLOOKUP($D32,素材!$1:$1016,COLUMN($F$1),FALSE))),VLOOKUP($C32,装備品!$1:$998,COLUMN($O$1),FALSE)*VLOOKUP($D32,素材!$1:$1016,COLUMN($E$1),FALSE)/(LEN(VLOOKUP($D32,素材!$1:$1016,COLUMN($F$1),FALSE))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M32">
        <f>IF(ISNUMBER(SEARCH(SUBSTITUTE(AM$1,RIGHT(AM$1,2),""),VLOOKUP($D32,素材!$1:$1016,COLUMN($F$1),FALSE))),VLOOKUP($C32,装備品!$1:$998,COLUMN($O$1),FALSE)*VLOOKUP($D32,素材!$1:$1016,COLUMN($E$1),FALSE)/(LEN(VLOOKUP($D32,素材!$1:$1016,COLUMN($F$1),FALSE))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N32">
        <f>IF(ISNUMBER(SEARCH(SUBSTITUTE(AN$1,RIGHT(AN$1,2),""),VLOOKUP($D32,素材!$1:$1016,COLUMN($F$1),FALSE))),VLOOKUP($C32,装備品!$1:$998,COLUMN($O$1),FALSE)*VLOOKUP($D32,素材!$1:$1016,COLUMN($E$1),FALSE)/(LEN(VLOOKUP($D32,素材!$1:$1016,COLUMN($F$1),FALSE))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O32">
        <f>IF(ISNUMBER(SEARCH(SUBSTITUTE(AO$1,RIGHT(AO$1,2),""),VLOOKUP($D32,素材!$1:$1016,COLUMN($F$1),FALSE))),VLOOKUP($C32,装備品!$1:$998,COLUMN($O$1),FALSE)*VLOOKUP($D32,素材!$1:$1016,COLUMN($E$1),FALSE)/(LEN(VLOOKUP($D32,素材!$1:$1016,COLUMN($F$1),FALSE))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P32">
        <f>IF(ISNUMBER(SEARCH(SUBSTITUTE(AP$1,RIGHT(AP$1,2),""),VLOOKUP($D32,素材!$1:$1016,COLUMN($F$1),FALSE))),VLOOKUP($C32,装備品!$1:$998,COLUMN($O$1),FALSE)*VLOOKUP($D32,素材!$1:$1016,COLUMN($E$1),FALSE)/(LEN(VLOOKUP($D32,素材!$1:$1016,COLUMN($F$1),FALSE))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Q32">
        <f>IF(ISNUMBER(SEARCH(SUBSTITUTE(AQ$1,RIGHT(AQ$1,2),""),VLOOKUP($D32,素材!$1:$1016,COLUMN($F$1),FALSE))),VLOOKUP($C32,装備品!$1:$998,COLUMN($O$1),FALSE)*VLOOKUP($D32,素材!$1:$1016,COLUMN($E$1),FALSE)/(LEN(VLOOKUP($D32,素材!$1:$1016,COLUMN($F$1),FALSE))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R32">
        <f>IF(ISNUMBER(SEARCH(SUBSTITUTE(AR$1,RIGHT(AR$1,2),""),VLOOKUP($D32,素材!$1:$1016,COLUMN($F$1),FALSE))),VLOOKUP($C32,装備品!$1:$998,COLUMN($O$1),FALSE)*VLOOKUP($D32,素材!$1:$1016,COLUMN($E$1),FALSE)/(LEN(VLOOKUP($D32,素材!$1:$1016,COLUMN($F$1),FALSE))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S32">
        <f>IF(ISNUMBER(SEARCH(SUBSTITUTE(AS$1,RIGHT(AS$1,2),""),VLOOKUP($D32,素材!$1:$1016,COLUMN($F$1),FALSE))),VLOOKUP($C32,装備品!$1:$998,COLUMN($O$1),FALSE)*VLOOKUP($D32,素材!$1:$1016,COLUMN($E$1),FALSE)/(LEN(VLOOKUP($D32,素材!$1:$1016,COLUMN($F$1),FALSE))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T32">
        <f>IF(ISNUMBER(SEARCH(SUBSTITUTE(AT$1,RIGHT(AT$1,2),""),VLOOKUP($D32,素材!$1:$1016,COLUMN($F$1),FALSE))),VLOOKUP($C32,装備品!$1:$998,COLUMN($O$1),FALSE)*VLOOKUP($D32,素材!$1:$1016,COLUMN($E$1),FALSE)/(LEN(VLOOKUP($D32,素材!$1:$1016,COLUMN($F$1),FALSE))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U32">
        <f>IF(ISNUMBER(SEARCH(SUBSTITUTE(AU$1,RIGHT(AU$1,2),""),VLOOKUP($D32,素材!$1:$1016,COLUMN($F$1),FALSE))),VLOOKUP($C32,装備品!$1:$998,COLUMN($O$1),FALSE)*VLOOKUP($D32,素材!$1:$1016,COLUMN($E$1),FALSE)/(LEN(VLOOKUP($D32,素材!$1:$1016,COLUMN($F$1),FALSE))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V32">
        <f>IF(ISNUMBER(SEARCH(SUBSTITUTE(AV$1,RIGHT(AV$1,2),""),VLOOKUP($D32,素材!$1:$1016,COLUMN($F$1),FALSE))),VLOOKUP($C32,装備品!$1:$998,COLUMN($O$1),FALSE)*VLOOKUP($D32,素材!$1:$1016,COLUMN($E$1),FALSE)/(LEN(VLOOKUP($D32,素材!$1:$1016,COLUMN($F$1),FALSE))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W32">
        <f>IF(ISNUMBER(SEARCH(SUBSTITUTE(AW$1,RIGHT(AW$1,2),""),VLOOKUP($D32,素材!$1:$1016,COLUMN($F$1),FALSE))),VLOOKUP($C32,装備品!$1:$998,COLUMN($O$1),FALSE)*VLOOKUP($D32,素材!$1:$1016,COLUMN($E$1),FALSE)/(LEN(VLOOKUP($D32,素材!$1:$1016,COLUMN($F$1),FALSE))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X32">
        <f>IF(ISNUMBER(SEARCH(SUBSTITUTE(AX$1,RIGHT(AX$1,2),""),VLOOKUP($D32,素材!$1:$1016,COLUMN($F$1),FALSE))),VLOOKUP($C32,装備品!$1:$998,COLUMN($O$1),FALSE)*VLOOKUP($D32,素材!$1:$1016,COLUMN($E$1),FALSE)/(LEN(VLOOKUP($D32,素材!$1:$1016,COLUMN($F$1),FALSE))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Y32">
        <f>IF(ISNUMBER(SEARCH(SUBSTITUTE(AY$1,RIGHT(AY$1,2),""),VLOOKUP($D32,素材!$1:$1016,COLUMN($F$1),FALSE))),VLOOKUP($C32,装備品!$1:$998,COLUMN($O$1),FALSE)*VLOOKUP($D32,素材!$1:$1016,COLUMN($E$1),FALSE)/(LEN(VLOOKUP($D32,素材!$1:$1016,COLUMN($F$1),FALSE))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Z32">
        <f>IF(ISNUMBER(SEARCH(SUBSTITUTE(AZ$1,RIGHT(AZ$1,2),""),VLOOKUP($D32,素材!$1:$1016,COLUMN($F$1),FALSE))),VLOOKUP($C32,装備品!$1:$998,COLUMN($O$1),FALSE)*VLOOKUP($D32,素材!$1:$1016,COLUMN($E$1),FALSE)/(LEN(VLOOKUP($D32,素材!$1:$1016,COLUMN($F$1),FALSE))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BA32">
        <f>IF(ISNUMBER(SEARCH(SUBSTITUTE(BA$1,RIGHT(BA$1,2),""),VLOOKUP($D32,素材!$1:$1016,COLUMN($F$1),FALSE))),VLOOKUP($C32,装備品!$1:$998,COLUMN($O$1),FALSE)*VLOOKUP($D32,素材!$1:$1016,COLUMN($E$1),FALSE)/(LEN(VLOOKUP($D32,素材!$1:$1016,COLUMN($F$1),FALSE))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BB32">
        <f>IF(ISNUMBER(SEARCH(SUBSTITUTE(BB$1,RIGHT(BB$1,2),""),VLOOKUP($D32,素材!$1:$1016,COLUMN($F$1),FALSE))),VLOOKUP($C32,装備品!$1:$998,COLUMN($O$1),FALSE)*VLOOKUP($D32,素材!$1:$1016,COLUMN($E$1),FALSE)/(LEN(VLOOKUP($D32,素材!$1:$1016,COLUMN($F$1),FALSE))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BC32">
        <f>IF(ISNUMBER(SEARCH(SUBSTITUTE(BC$1,RIGHT(BC$1,2),""),VLOOKUP($D32,素材!$1:$1016,COLUMN($F$1),FALSE))),VLOOKUP($C32,装備品!$1:$998,COLUMN($O$1),FALSE)*VLOOKUP($D32,素材!$1:$1016,COLUMN($E$1),FALSE)/(LEN(VLOOKUP($D32,素材!$1:$1016,COLUMN($F$1),FALSE))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BD32">
        <f>IF(ISNUMBER(SEARCH(SUBSTITUTE(BD$1,RIGHT(BD$1,2),""),VLOOKUP($D32,素材!$1:$1016,COLUMN($F$1),FALSE))),VLOOKUP($C32,装備品!$1:$998,COLUMN($O$1),FALSE)*VLOOKUP($D32,素材!$1:$1016,COLUMN($E$1),FALSE)/(LEN(VLOOKUP($D32,素材!$1:$1016,COLUMN($F$1),FALSE))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BE32">
        <f>IF(ISNUMBER(SEARCH(SUBSTITUTE(BE$1,RIGHT(BE$1,2),""),VLOOKUP($D32,素材!$1:$1016,COLUMN($F$1),FALSE))),VLOOKUP($C32,装備品!$1:$998,COLUMN($O$1),FALSE)*VLOOKUP($D32,素材!$1:$1016,COLUMN($E$1),FALSE)/(LEN(VLOOKUP($D32,素材!$1:$1016,COLUMN($F$1),FALSE))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CL32">
        <f t="shared" si="1"/>
        <v>0</v>
      </c>
      <c r="CM32" s="22" t="str">
        <f t="shared" si="2"/>
        <v>銃.webp</v>
      </c>
      <c r="CN32">
        <f>IFERROR(VLOOKUP($C32,装備品!$1:$998,COLUMN(V$1),FALSE)*VLOOKUP($D32,素材!$1:$1016,COLUMN(N$1),FALSE)+IF(CI32="",0,VLOOKUP($CI32,付与!$1:$1176,COLUMN($CK$1),FALSE)),"")</f>
        <v>200</v>
      </c>
      <c r="CO32" t="str">
        <f>VLOOKUP(D32,素材!$A:$O,COLUMN(素材!O$1),FALSE)</f>
        <v>一般的な鉄。量産品を作るのに使用されることが多い</v>
      </c>
      <c r="CP32" t="str">
        <f>VLOOKUP(C32,装備品!$A:$AB,COLUMN(装備品!AB$1),FALSE)</f>
        <v/>
      </c>
      <c r="CR32" t="str">
        <f t="shared" si="3"/>
        <v>e_32</v>
      </c>
      <c r="CS32">
        <f t="shared" si="4"/>
        <v>20000</v>
      </c>
    </row>
    <row r="33" spans="1:97" outlineLevel="1" x14ac:dyDescent="0.4">
      <c r="A33" t="str">
        <f t="shared" si="0"/>
        <v>鉄の回転式拳銃</v>
      </c>
      <c r="B33" t="str">
        <f>IFERROR(VLOOKUP($D33,素材!$1:$1016,COLUMN($B$1),FALSE)&amp;"・"&amp;VLOOKUP($C33,装備品!$1:$998,COLUMN(B$1),FALSE),"")</f>
        <v>アイアン・リボルバー</v>
      </c>
      <c r="C33" t="s">
        <v>211</v>
      </c>
      <c r="D33" s="24" t="s">
        <v>256</v>
      </c>
      <c r="E33" t="str">
        <f>IFERROR(VLOOKUP(C33,装備品!$1:$998,COLUMN(C$1),FALSE),"")</f>
        <v>銃</v>
      </c>
      <c r="F33">
        <f>IFERROR(ROUNDDOWN((VLOOKUP($C33,装備品!$1:$998,COLUMN(D$1),FALSE)+IFERROR(VLOOKUP($CI33,付与!$1:$1167,COLUMN(F$1),FALSE),0))*VLOOKUP($D33,素材!$1:$1016,COLUMN(D$1),FALSE),0),"")</f>
        <v>100</v>
      </c>
      <c r="G33">
        <f>IFERROR(ROUNDDOWN((VLOOKUP($C33,装備品!$1:$998,COLUMN(E$1),FALSE)+IFERROR(VLOOKUP($CI33,付与!$1:$1167,COLUMN(G$1),FALSE),0))*VLOOKUP($D33,素材!$1:$1016,COLUMN($E$1),FALSE),0),"")</f>
        <v>0</v>
      </c>
      <c r="H33">
        <f>IFERROR(ROUNDDOWN((VLOOKUP($C33,装備品!$1:$998,COLUMN(F$1),FALSE)+IFERROR(VLOOKUP($CI33,付与!$1:$1167,COLUMN(H$1),FALSE),0))*VLOOKUP($D33,素材!$1:$1016,COLUMN($E$1),FALSE),0),"")</f>
        <v>0</v>
      </c>
      <c r="I33">
        <f>IFERROR(ROUNDDOWN((VLOOKUP($C33,装備品!$1:$998,COLUMN(G$1),FALSE)+IFERROR(VLOOKUP($CI33,付与!$1:$1167,COLUMN(I$1),FALSE),0))*VLOOKUP($D33,素材!$1:$1016,COLUMN($E$1),FALSE),0),"")</f>
        <v>0</v>
      </c>
      <c r="J33">
        <f>IFERROR(ROUNDDOWN((VLOOKUP($C33,装備品!$1:$998,COLUMN(H$1),FALSE)+IFERROR(VLOOKUP($CI33,付与!$1:$1167,COLUMN(J$1),FALSE),0))*VLOOKUP($D33,素材!$1:$1016,COLUMN($E$1),FALSE),0),"")</f>
        <v>0</v>
      </c>
      <c r="K33">
        <f>IFERROR(ROUNDDOWN((VLOOKUP($C33,装備品!$1:$998,COLUMN(I$1),FALSE)+IFERROR(VLOOKUP($CI33,付与!$1:$1167,COLUMN(K$1),FALSE),0))*VLOOKUP($D33,素材!$1:$1016,COLUMN($E$1),FALSE),0),"")</f>
        <v>51</v>
      </c>
      <c r="L33">
        <f>IFERROR(VLOOKUP($D33,素材!$1:$1016,COLUMN($F$1),FALSE),"")</f>
        <v>0</v>
      </c>
      <c r="M33">
        <f>IFERROR(VLOOKUP($C33,装備品!$1:$998,COLUMN(AA$1),FALSE)*VLOOKUP($D33,素材!$1:$1016,COLUMN($G$1),FALSE),"")</f>
        <v>0</v>
      </c>
      <c r="N33">
        <f>IFERROR(VLOOKUP($C33,装備品!$1:$998,COLUMN(I$1),FALSE),"")</f>
        <v>2.5700000000000003</v>
      </c>
      <c r="O33" s="23">
        <f>IFERROR((VLOOKUP($C33,装備品!$1:$998,COLUMN(K$1),FALSE)+VLOOKUP($D33,素材!$1:$1016,COLUMN(H$1),FALSE))*100+IFERROR(VLOOKUP($CI33,付与!$1:$1167,COLUMN(O$1),FALSE),0),"")</f>
        <v>10</v>
      </c>
      <c r="P33" s="23">
        <f>IFERROR((VLOOKUP($C33,装備品!$1:$998,COLUMN(L$1),FALSE)+VLOOKUP($D33,素材!$1:$1016,COLUMN(I$1),FALSE))*100+IFERROR(VLOOKUP($CI33,付与!$1:$1167,COLUMN(P$1),FALSE),0),"")</f>
        <v>140</v>
      </c>
      <c r="Q33">
        <f>IFERROR(ROUNDUP(VLOOKUP($C33,装備品!$1:$998,COLUMN(M$1),FALSE)*(VLOOKUP($D33,素材!$1:$1002,COLUMN(D$1),FALSE)/100),1),"")</f>
        <v>0</v>
      </c>
      <c r="R33">
        <f>IFERROR(ROUNDUP(VLOOKUP($C33,装備品!$1:$998,COLUMN(N$1),FALSE)*(VLOOKUP($D33,素材!$1:$1002,COLUMN(D$1),FALSE)/100),1),"")</f>
        <v>-25</v>
      </c>
      <c r="S33">
        <f>IFERROR(VLOOKUP($C33,装備品!$1:$998,COLUMN(P$1),FALSE),"")</f>
        <v>0</v>
      </c>
      <c r="T33">
        <f>IFERROR(VLOOKUP($C33,装備品!$1:$998,COLUMN(Q$1),FALSE),"")</f>
        <v>0</v>
      </c>
      <c r="U33">
        <f>IFERROR(VLOOKUP($C33,装備品!$1:$998,COLUMN(R$1),FALSE),"")</f>
        <v>0</v>
      </c>
      <c r="V33">
        <f>IFERROR(VLOOKUP($C33,装備品!$1:$998,COLUMN(Q$1),FALSE),"")</f>
        <v>0</v>
      </c>
      <c r="W33">
        <f>IFERROR(VLOOKUP($C33,装備品!$1:$998,COLUMN(T$1),FALSE),"")</f>
        <v>0</v>
      </c>
      <c r="Y33">
        <f>IFERROR(VLOOKUP($C33,装備品!$1:$998,COLUMN(U$1),FALSE),"")</f>
        <v>0</v>
      </c>
      <c r="Z33">
        <f>IFERROR(ROUNDUP(VLOOKUP($C33,装備品!$1:$998,COLUMN(O$1),FALSE)*VLOOKUP($D33,素材!$1:$1016,COLUMN(E$1),FALSE),1),"")</f>
        <v>0</v>
      </c>
      <c r="AA33">
        <f>IF(ISNUMBER(SEARCH(SUBSTITUTE(AA$1,RIGHT(AA$1,2),""),VLOOKUP($D33,素材!$1:$1016,COLUMN($F$1),FALSE))),VLOOKUP($C33,装備品!$1:$998,COLUMN($O$1),FALSE)*VLOOKUP($D33,素材!$1:$1016,COLUMN($E$1),FALSE)/(LEN(VLOOKUP($D33,素材!$1:$1016,COLUMN($F$1),FALSE))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B33">
        <f>IF(ISNUMBER(SEARCH(SUBSTITUTE(AB$1,RIGHT(AB$1,2),""),VLOOKUP($D33,素材!$1:$1016,COLUMN($F$1),FALSE))),VLOOKUP($C33,装備品!$1:$998,COLUMN($O$1),FALSE)*VLOOKUP($D33,素材!$1:$1016,COLUMN($E$1),FALSE)/(LEN(VLOOKUP($D33,素材!$1:$1016,COLUMN($F$1),FALSE))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C33">
        <f>IF(ISNUMBER(SEARCH(SUBSTITUTE(AC$1,RIGHT(AC$1,2),""),VLOOKUP($D33,素材!$1:$1016,COLUMN($F$1),FALSE))),VLOOKUP($C33,装備品!$1:$998,COLUMN($O$1),FALSE)*VLOOKUP($D33,素材!$1:$1016,COLUMN($E$1),FALSE)/(LEN(VLOOKUP($D33,素材!$1:$1016,COLUMN($F$1),FALSE))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D33">
        <f>IF(ISNUMBER(SEARCH(SUBSTITUTE(AD$1,RIGHT(AD$1,2),""),VLOOKUP($D33,素材!$1:$1016,COLUMN($F$1),FALSE))),VLOOKUP($C33,装備品!$1:$998,COLUMN($O$1),FALSE)*VLOOKUP($D33,素材!$1:$1016,COLUMN($E$1),FALSE)/(LEN(VLOOKUP($D33,素材!$1:$1016,COLUMN($F$1),FALSE))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E33">
        <f>IF(ISNUMBER(SEARCH(SUBSTITUTE(AE$1,RIGHT(AE$1,2),""),VLOOKUP($D33,素材!$1:$1016,COLUMN($F$1),FALSE))),VLOOKUP($C33,装備品!$1:$998,COLUMN($O$1),FALSE)*VLOOKUP($D33,素材!$1:$1016,COLUMN($E$1),FALSE)/(LEN(VLOOKUP($D33,素材!$1:$1016,COLUMN($F$1),FALSE))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F33">
        <f>IF(ISNUMBER(SEARCH(SUBSTITUTE(AF$1,RIGHT(AF$1,2),""),VLOOKUP($D33,素材!$1:$1016,COLUMN($F$1),FALSE))),VLOOKUP($C33,装備品!$1:$998,COLUMN($O$1),FALSE)*VLOOKUP($D33,素材!$1:$1016,COLUMN($E$1),FALSE)/(LEN(VLOOKUP($D33,素材!$1:$1016,COLUMN($F$1),FALSE))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G33">
        <f>IF(ISNUMBER(SEARCH(SUBSTITUTE(AG$1,RIGHT(AG$1,2),""),VLOOKUP($D33,素材!$1:$1016,COLUMN($F$1),FALSE))),VLOOKUP($C33,装備品!$1:$998,COLUMN($O$1),FALSE)*VLOOKUP($D33,素材!$1:$1016,COLUMN($E$1),FALSE)/(LEN(VLOOKUP($D33,素材!$1:$1016,COLUMN($F$1),FALSE))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H33">
        <f>IF(ISNUMBER(SEARCH(SUBSTITUTE(AH$1,RIGHT(AH$1,2),""),VLOOKUP($D33,素材!$1:$1016,COLUMN($F$1),FALSE))),VLOOKUP($C33,装備品!$1:$998,COLUMN($O$1),FALSE)*VLOOKUP($D33,素材!$1:$1016,COLUMN($E$1),FALSE)/(LEN(VLOOKUP($D33,素材!$1:$1016,COLUMN($F$1),FALSE))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I33">
        <f>IF(ISNUMBER(SEARCH(SUBSTITUTE(AI$1,RIGHT(AI$1,2),""),VLOOKUP($D33,素材!$1:$1016,COLUMN($F$1),FALSE))),VLOOKUP($C33,装備品!$1:$998,COLUMN($O$1),FALSE)*VLOOKUP($D33,素材!$1:$1016,COLUMN($E$1),FALSE)/(LEN(VLOOKUP($D33,素材!$1:$1016,COLUMN($F$1),FALSE))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J33">
        <f>IF(ISNUMBER(SEARCH(SUBSTITUTE(AJ$1,RIGHT(AJ$1,2),""),VLOOKUP($D33,素材!$1:$1016,COLUMN($F$1),FALSE))),VLOOKUP($C33,装備品!$1:$998,COLUMN($O$1),FALSE)*VLOOKUP($D33,素材!$1:$1016,COLUMN($E$1),FALSE)/(LEN(VLOOKUP($D33,素材!$1:$1016,COLUMN($F$1),FALSE))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K33">
        <f>IF(ISNUMBER(SEARCH(SUBSTITUTE(AK$1,RIGHT(AK$1,2),""),VLOOKUP($D33,素材!$1:$1016,COLUMN($F$1),FALSE))),VLOOKUP($C33,装備品!$1:$998,COLUMN($O$1),FALSE)*VLOOKUP($D33,素材!$1:$1016,COLUMN($E$1),FALSE)/(LEN(VLOOKUP($D33,素材!$1:$1016,COLUMN($F$1),FALSE))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L33">
        <f>IF(ISNUMBER(SEARCH(SUBSTITUTE(AL$1,RIGHT(AL$1,2),""),VLOOKUP($D33,素材!$1:$1016,COLUMN($F$1),FALSE))),VLOOKUP($C33,装備品!$1:$998,COLUMN($O$1),FALSE)*VLOOKUP($D33,素材!$1:$1016,COLUMN($E$1),FALSE)/(LEN(VLOOKUP($D33,素材!$1:$1016,COLUMN($F$1),FALSE))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M33">
        <f>IF(ISNUMBER(SEARCH(SUBSTITUTE(AM$1,RIGHT(AM$1,2),""),VLOOKUP($D33,素材!$1:$1016,COLUMN($F$1),FALSE))),VLOOKUP($C33,装備品!$1:$998,COLUMN($O$1),FALSE)*VLOOKUP($D33,素材!$1:$1016,COLUMN($E$1),FALSE)/(LEN(VLOOKUP($D33,素材!$1:$1016,COLUMN($F$1),FALSE))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N33">
        <f>IF(ISNUMBER(SEARCH(SUBSTITUTE(AN$1,RIGHT(AN$1,2),""),VLOOKUP($D33,素材!$1:$1016,COLUMN($F$1),FALSE))),VLOOKUP($C33,装備品!$1:$998,COLUMN($O$1),FALSE)*VLOOKUP($D33,素材!$1:$1016,COLUMN($E$1),FALSE)/(LEN(VLOOKUP($D33,素材!$1:$1016,COLUMN($F$1),FALSE))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O33">
        <f>IF(ISNUMBER(SEARCH(SUBSTITUTE(AO$1,RIGHT(AO$1,2),""),VLOOKUP($D33,素材!$1:$1016,COLUMN($F$1),FALSE))),VLOOKUP($C33,装備品!$1:$998,COLUMN($O$1),FALSE)*VLOOKUP($D33,素材!$1:$1016,COLUMN($E$1),FALSE)/(LEN(VLOOKUP($D33,素材!$1:$1016,COLUMN($F$1),FALSE))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P33">
        <f>IF(ISNUMBER(SEARCH(SUBSTITUTE(AP$1,RIGHT(AP$1,2),""),VLOOKUP($D33,素材!$1:$1016,COLUMN($F$1),FALSE))),VLOOKUP($C33,装備品!$1:$998,COLUMN($O$1),FALSE)*VLOOKUP($D33,素材!$1:$1016,COLUMN($E$1),FALSE)/(LEN(VLOOKUP($D33,素材!$1:$1016,COLUMN($F$1),FALSE))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Q33">
        <f>IF(ISNUMBER(SEARCH(SUBSTITUTE(AQ$1,RIGHT(AQ$1,2),""),VLOOKUP($D33,素材!$1:$1016,COLUMN($F$1),FALSE))),VLOOKUP($C33,装備品!$1:$998,COLUMN($O$1),FALSE)*VLOOKUP($D33,素材!$1:$1016,COLUMN($E$1),FALSE)/(LEN(VLOOKUP($D33,素材!$1:$1016,COLUMN($F$1),FALSE))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R33">
        <f>IF(ISNUMBER(SEARCH(SUBSTITUTE(AR$1,RIGHT(AR$1,2),""),VLOOKUP($D33,素材!$1:$1016,COLUMN($F$1),FALSE))),VLOOKUP($C33,装備品!$1:$998,COLUMN($O$1),FALSE)*VLOOKUP($D33,素材!$1:$1016,COLUMN($E$1),FALSE)/(LEN(VLOOKUP($D33,素材!$1:$1016,COLUMN($F$1),FALSE))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S33">
        <f>IF(ISNUMBER(SEARCH(SUBSTITUTE(AS$1,RIGHT(AS$1,2),""),VLOOKUP($D33,素材!$1:$1016,COLUMN($F$1),FALSE))),VLOOKUP($C33,装備品!$1:$998,COLUMN($O$1),FALSE)*VLOOKUP($D33,素材!$1:$1016,COLUMN($E$1),FALSE)/(LEN(VLOOKUP($D33,素材!$1:$1016,COLUMN($F$1),FALSE))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T33">
        <f>IF(ISNUMBER(SEARCH(SUBSTITUTE(AT$1,RIGHT(AT$1,2),""),VLOOKUP($D33,素材!$1:$1016,COLUMN($F$1),FALSE))),VLOOKUP($C33,装備品!$1:$998,COLUMN($O$1),FALSE)*VLOOKUP($D33,素材!$1:$1016,COLUMN($E$1),FALSE)/(LEN(VLOOKUP($D33,素材!$1:$1016,COLUMN($F$1),FALSE))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U33">
        <f>IF(ISNUMBER(SEARCH(SUBSTITUTE(AU$1,RIGHT(AU$1,2),""),VLOOKUP($D33,素材!$1:$1016,COLUMN($F$1),FALSE))),VLOOKUP($C33,装備品!$1:$998,COLUMN($O$1),FALSE)*VLOOKUP($D33,素材!$1:$1016,COLUMN($E$1),FALSE)/(LEN(VLOOKUP($D33,素材!$1:$1016,COLUMN($F$1),FALSE))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V33">
        <f>IF(ISNUMBER(SEARCH(SUBSTITUTE(AV$1,RIGHT(AV$1,2),""),VLOOKUP($D33,素材!$1:$1016,COLUMN($F$1),FALSE))),VLOOKUP($C33,装備品!$1:$998,COLUMN($O$1),FALSE)*VLOOKUP($D33,素材!$1:$1016,COLUMN($E$1),FALSE)/(LEN(VLOOKUP($D33,素材!$1:$1016,COLUMN($F$1),FALSE))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W33">
        <f>IF(ISNUMBER(SEARCH(SUBSTITUTE(AW$1,RIGHT(AW$1,2),""),VLOOKUP($D33,素材!$1:$1016,COLUMN($F$1),FALSE))),VLOOKUP($C33,装備品!$1:$998,COLUMN($O$1),FALSE)*VLOOKUP($D33,素材!$1:$1016,COLUMN($E$1),FALSE)/(LEN(VLOOKUP($D33,素材!$1:$1016,COLUMN($F$1),FALSE))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X33">
        <f>IF(ISNUMBER(SEARCH(SUBSTITUTE(AX$1,RIGHT(AX$1,2),""),VLOOKUP($D33,素材!$1:$1016,COLUMN($F$1),FALSE))),VLOOKUP($C33,装備品!$1:$998,COLUMN($O$1),FALSE)*VLOOKUP($D33,素材!$1:$1016,COLUMN($E$1),FALSE)/(LEN(VLOOKUP($D33,素材!$1:$1016,COLUMN($F$1),FALSE))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Y33">
        <f>IF(ISNUMBER(SEARCH(SUBSTITUTE(AY$1,RIGHT(AY$1,2),""),VLOOKUP($D33,素材!$1:$1016,COLUMN($F$1),FALSE))),VLOOKUP($C33,装備品!$1:$998,COLUMN($O$1),FALSE)*VLOOKUP($D33,素材!$1:$1016,COLUMN($E$1),FALSE)/(LEN(VLOOKUP($D33,素材!$1:$1016,COLUMN($F$1),FALSE))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Z33">
        <f>IF(ISNUMBER(SEARCH(SUBSTITUTE(AZ$1,RIGHT(AZ$1,2),""),VLOOKUP($D33,素材!$1:$1016,COLUMN($F$1),FALSE))),VLOOKUP($C33,装備品!$1:$998,COLUMN($O$1),FALSE)*VLOOKUP($D33,素材!$1:$1016,COLUMN($E$1),FALSE)/(LEN(VLOOKUP($D33,素材!$1:$1016,COLUMN($F$1),FALSE))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BA33">
        <f>IF(ISNUMBER(SEARCH(SUBSTITUTE(BA$1,RIGHT(BA$1,2),""),VLOOKUP($D33,素材!$1:$1016,COLUMN($F$1),FALSE))),VLOOKUP($C33,装備品!$1:$998,COLUMN($O$1),FALSE)*VLOOKUP($D33,素材!$1:$1016,COLUMN($E$1),FALSE)/(LEN(VLOOKUP($D33,素材!$1:$1016,COLUMN($F$1),FALSE))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BB33">
        <f>IF(ISNUMBER(SEARCH(SUBSTITUTE(BB$1,RIGHT(BB$1,2),""),VLOOKUP($D33,素材!$1:$1016,COLUMN($F$1),FALSE))),VLOOKUP($C33,装備品!$1:$998,COLUMN($O$1),FALSE)*VLOOKUP($D33,素材!$1:$1016,COLUMN($E$1),FALSE)/(LEN(VLOOKUP($D33,素材!$1:$1016,COLUMN($F$1),FALSE))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BC33">
        <f>IF(ISNUMBER(SEARCH(SUBSTITUTE(BC$1,RIGHT(BC$1,2),""),VLOOKUP($D33,素材!$1:$1016,COLUMN($F$1),FALSE))),VLOOKUP($C33,装備品!$1:$998,COLUMN($O$1),FALSE)*VLOOKUP($D33,素材!$1:$1016,COLUMN($E$1),FALSE)/(LEN(VLOOKUP($D33,素材!$1:$1016,COLUMN($F$1),FALSE))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BD33">
        <f>IF(ISNUMBER(SEARCH(SUBSTITUTE(BD$1,RIGHT(BD$1,2),""),VLOOKUP($D33,素材!$1:$1016,COLUMN($F$1),FALSE))),VLOOKUP($C33,装備品!$1:$998,COLUMN($O$1),FALSE)*VLOOKUP($D33,素材!$1:$1016,COLUMN($E$1),FALSE)/(LEN(VLOOKUP($D33,素材!$1:$1016,COLUMN($F$1),FALSE))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BE33">
        <f>IF(ISNUMBER(SEARCH(SUBSTITUTE(BE$1,RIGHT(BE$1,2),""),VLOOKUP($D33,素材!$1:$1016,COLUMN($F$1),FALSE))),VLOOKUP($C33,装備品!$1:$998,COLUMN($O$1),FALSE)*VLOOKUP($D33,素材!$1:$1016,COLUMN($E$1),FALSE)/(LEN(VLOOKUP($D33,素材!$1:$1016,COLUMN($F$1),FALSE))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CL33">
        <f t="shared" si="1"/>
        <v>0</v>
      </c>
      <c r="CM33" s="22" t="str">
        <f t="shared" si="2"/>
        <v>銃.webp</v>
      </c>
      <c r="CN33">
        <f>IFERROR(VLOOKUP($C33,装備品!$1:$998,COLUMN(V$1),FALSE)*VLOOKUP($D33,素材!$1:$1016,COLUMN(N$1),FALSE)+IF(CI33="",0,VLOOKUP($CI33,付与!$1:$1176,COLUMN($CK$1),FALSE)),"")</f>
        <v>1200</v>
      </c>
      <c r="CO33" t="str">
        <f>VLOOKUP(D33,素材!$A:$O,COLUMN(素材!O$1),FALSE)</f>
        <v>一般的な鉄。量産品を作るのに使用されることが多い</v>
      </c>
      <c r="CP33" t="str">
        <f>VLOOKUP(C33,装備品!$A:$AB,COLUMN(装備品!AB$1),FALSE)</f>
        <v/>
      </c>
      <c r="CR33" t="str">
        <f t="shared" si="3"/>
        <v>e_33</v>
      </c>
      <c r="CS33">
        <f t="shared" si="4"/>
        <v>120000</v>
      </c>
    </row>
    <row r="34" spans="1:97" outlineLevel="1" x14ac:dyDescent="0.4">
      <c r="A34" t="str">
        <f t="shared" si="0"/>
        <v>鉄の拳銃</v>
      </c>
      <c r="B34" t="str">
        <f>IFERROR(VLOOKUP($D34,素材!$1:$1016,COLUMN($B$1),FALSE)&amp;"・"&amp;VLOOKUP($C34,装備品!$1:$998,COLUMN(B$1),FALSE),"")</f>
        <v>アイアン・ハンドガン</v>
      </c>
      <c r="C34" t="s">
        <v>210</v>
      </c>
      <c r="D34" s="24" t="s">
        <v>256</v>
      </c>
      <c r="E34" t="str">
        <f>IFERROR(VLOOKUP(C34,装備品!$1:$998,COLUMN(C$1),FALSE),"")</f>
        <v>銃</v>
      </c>
      <c r="F34">
        <f>IFERROR(ROUNDDOWN((VLOOKUP($C34,装備品!$1:$998,COLUMN(D$1),FALSE)+IFERROR(VLOOKUP($CI34,付与!$1:$1167,COLUMN(F$1),FALSE),0))*VLOOKUP($D34,素材!$1:$1016,COLUMN(D$1),FALSE),0),"")</f>
        <v>100</v>
      </c>
      <c r="G34">
        <f>IFERROR(ROUNDDOWN((VLOOKUP($C34,装備品!$1:$998,COLUMN(E$1),FALSE)+IFERROR(VLOOKUP($CI34,付与!$1:$1167,COLUMN(G$1),FALSE),0))*VLOOKUP($D34,素材!$1:$1016,COLUMN($E$1),FALSE),0),"")</f>
        <v>0</v>
      </c>
      <c r="H34">
        <f>IFERROR(ROUNDDOWN((VLOOKUP($C34,装備品!$1:$998,COLUMN(F$1),FALSE)+IFERROR(VLOOKUP($CI34,付与!$1:$1167,COLUMN(H$1),FALSE),0))*VLOOKUP($D34,素材!$1:$1016,COLUMN($E$1),FALSE),0),"")</f>
        <v>0</v>
      </c>
      <c r="I34">
        <f>IFERROR(ROUNDDOWN((VLOOKUP($C34,装備品!$1:$998,COLUMN(G$1),FALSE)+IFERROR(VLOOKUP($CI34,付与!$1:$1167,COLUMN(I$1),FALSE),0))*VLOOKUP($D34,素材!$1:$1016,COLUMN($E$1),FALSE),0),"")</f>
        <v>0</v>
      </c>
      <c r="J34">
        <f>IFERROR(ROUNDDOWN((VLOOKUP($C34,装備品!$1:$998,COLUMN(H$1),FALSE)+IFERROR(VLOOKUP($CI34,付与!$1:$1167,COLUMN(J$1),FALSE),0))*VLOOKUP($D34,素材!$1:$1016,COLUMN($E$1),FALSE),0),"")</f>
        <v>0</v>
      </c>
      <c r="K34">
        <f>IFERROR(ROUNDDOWN((VLOOKUP($C34,装備品!$1:$998,COLUMN(I$1),FALSE)+IFERROR(VLOOKUP($CI34,付与!$1:$1167,COLUMN(K$1),FALSE),0))*VLOOKUP($D34,素材!$1:$1016,COLUMN($E$1),FALSE),0),"")</f>
        <v>36</v>
      </c>
      <c r="L34">
        <f>IFERROR(VLOOKUP($D34,素材!$1:$1016,COLUMN($F$1),FALSE),"")</f>
        <v>0</v>
      </c>
      <c r="M34">
        <f>IFERROR(VLOOKUP($C34,装備品!$1:$998,COLUMN(AA$1),FALSE)*VLOOKUP($D34,素材!$1:$1016,COLUMN($G$1),FALSE),"")</f>
        <v>0</v>
      </c>
      <c r="N34">
        <f>IFERROR(VLOOKUP($C34,装備品!$1:$998,COLUMN(I$1),FALSE),"")</f>
        <v>1.8</v>
      </c>
      <c r="O34" s="23">
        <f>IFERROR((VLOOKUP($C34,装備品!$1:$998,COLUMN(K$1),FALSE)+VLOOKUP($D34,素材!$1:$1016,COLUMN(H$1),FALSE))*100+IFERROR(VLOOKUP($CI34,付与!$1:$1167,COLUMN(O$1),FALSE),0),"")</f>
        <v>15</v>
      </c>
      <c r="P34" s="23">
        <f>IFERROR((VLOOKUP($C34,装備品!$1:$998,COLUMN(L$1),FALSE)+VLOOKUP($D34,素材!$1:$1016,COLUMN(I$1),FALSE))*100+IFERROR(VLOOKUP($CI34,付与!$1:$1167,COLUMN(P$1),FALSE),0),"")</f>
        <v>175</v>
      </c>
      <c r="Q34">
        <f>IFERROR(ROUNDUP(VLOOKUP($C34,装備品!$1:$998,COLUMN(M$1),FALSE)*(VLOOKUP($D34,素材!$1:$1002,COLUMN(D$1),FALSE)/100),1),"")</f>
        <v>0</v>
      </c>
      <c r="R34">
        <f>IFERROR(ROUNDUP(VLOOKUP($C34,装備品!$1:$998,COLUMN(N$1),FALSE)*(VLOOKUP($D34,素材!$1:$1002,COLUMN(D$1),FALSE)/100),1),"")</f>
        <v>-15</v>
      </c>
      <c r="S34">
        <f>IFERROR(VLOOKUP($C34,装備品!$1:$998,COLUMN(P$1),FALSE),"")</f>
        <v>0</v>
      </c>
      <c r="T34">
        <f>IFERROR(VLOOKUP($C34,装備品!$1:$998,COLUMN(Q$1),FALSE),"")</f>
        <v>0</v>
      </c>
      <c r="U34">
        <f>IFERROR(VLOOKUP($C34,装備品!$1:$998,COLUMN(R$1),FALSE),"")</f>
        <v>0</v>
      </c>
      <c r="V34">
        <f>IFERROR(VLOOKUP($C34,装備品!$1:$998,COLUMN(Q$1),FALSE),"")</f>
        <v>0</v>
      </c>
      <c r="W34">
        <f>IFERROR(VLOOKUP($C34,装備品!$1:$998,COLUMN(T$1),FALSE),"")</f>
        <v>0</v>
      </c>
      <c r="Y34">
        <f>IFERROR(VLOOKUP($C34,装備品!$1:$998,COLUMN(U$1),FALSE),"")</f>
        <v>0</v>
      </c>
      <c r="Z34">
        <f>IFERROR(ROUNDUP(VLOOKUP($C34,装備品!$1:$998,COLUMN(O$1),FALSE)*VLOOKUP($D34,素材!$1:$1016,COLUMN(E$1),FALSE),1),"")</f>
        <v>0</v>
      </c>
      <c r="AA34">
        <f>IF(ISNUMBER(SEARCH(SUBSTITUTE(AA$1,RIGHT(AA$1,2),""),VLOOKUP($D34,素材!$1:$1016,COLUMN($F$1),FALSE))),VLOOKUP($C34,装備品!$1:$998,COLUMN($O$1),FALSE)*VLOOKUP($D34,素材!$1:$1016,COLUMN($E$1),FALSE)/(LEN(VLOOKUP($D34,素材!$1:$1016,COLUMN($F$1),FALSE))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B34">
        <f>IF(ISNUMBER(SEARCH(SUBSTITUTE(AB$1,RIGHT(AB$1,2),""),VLOOKUP($D34,素材!$1:$1016,COLUMN($F$1),FALSE))),VLOOKUP($C34,装備品!$1:$998,COLUMN($O$1),FALSE)*VLOOKUP($D34,素材!$1:$1016,COLUMN($E$1),FALSE)/(LEN(VLOOKUP($D34,素材!$1:$1016,COLUMN($F$1),FALSE))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C34">
        <f>IF(ISNUMBER(SEARCH(SUBSTITUTE(AC$1,RIGHT(AC$1,2),""),VLOOKUP($D34,素材!$1:$1016,COLUMN($F$1),FALSE))),VLOOKUP($C34,装備品!$1:$998,COLUMN($O$1),FALSE)*VLOOKUP($D34,素材!$1:$1016,COLUMN($E$1),FALSE)/(LEN(VLOOKUP($D34,素材!$1:$1016,COLUMN($F$1),FALSE))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D34">
        <f>IF(ISNUMBER(SEARCH(SUBSTITUTE(AD$1,RIGHT(AD$1,2),""),VLOOKUP($D34,素材!$1:$1016,COLUMN($F$1),FALSE))),VLOOKUP($C34,装備品!$1:$998,COLUMN($O$1),FALSE)*VLOOKUP($D34,素材!$1:$1016,COLUMN($E$1),FALSE)/(LEN(VLOOKUP($D34,素材!$1:$1016,COLUMN($F$1),FALSE))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E34">
        <f>IF(ISNUMBER(SEARCH(SUBSTITUTE(AE$1,RIGHT(AE$1,2),""),VLOOKUP($D34,素材!$1:$1016,COLUMN($F$1),FALSE))),VLOOKUP($C34,装備品!$1:$998,COLUMN($O$1),FALSE)*VLOOKUP($D34,素材!$1:$1016,COLUMN($E$1),FALSE)/(LEN(VLOOKUP($D34,素材!$1:$1016,COLUMN($F$1),FALSE))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F34">
        <f>IF(ISNUMBER(SEARCH(SUBSTITUTE(AF$1,RIGHT(AF$1,2),""),VLOOKUP($D34,素材!$1:$1016,COLUMN($F$1),FALSE))),VLOOKUP($C34,装備品!$1:$998,COLUMN($O$1),FALSE)*VLOOKUP($D34,素材!$1:$1016,COLUMN($E$1),FALSE)/(LEN(VLOOKUP($D34,素材!$1:$1016,COLUMN($F$1),FALSE))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G34">
        <f>IF(ISNUMBER(SEARCH(SUBSTITUTE(AG$1,RIGHT(AG$1,2),""),VLOOKUP($D34,素材!$1:$1016,COLUMN($F$1),FALSE))),VLOOKUP($C34,装備品!$1:$998,COLUMN($O$1),FALSE)*VLOOKUP($D34,素材!$1:$1016,COLUMN($E$1),FALSE)/(LEN(VLOOKUP($D34,素材!$1:$1016,COLUMN($F$1),FALSE))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H34">
        <f>IF(ISNUMBER(SEARCH(SUBSTITUTE(AH$1,RIGHT(AH$1,2),""),VLOOKUP($D34,素材!$1:$1016,COLUMN($F$1),FALSE))),VLOOKUP($C34,装備品!$1:$998,COLUMN($O$1),FALSE)*VLOOKUP($D34,素材!$1:$1016,COLUMN($E$1),FALSE)/(LEN(VLOOKUP($D34,素材!$1:$1016,COLUMN($F$1),FALSE))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I34">
        <f>IF(ISNUMBER(SEARCH(SUBSTITUTE(AI$1,RIGHT(AI$1,2),""),VLOOKUP($D34,素材!$1:$1016,COLUMN($F$1),FALSE))),VLOOKUP($C34,装備品!$1:$998,COLUMN($O$1),FALSE)*VLOOKUP($D34,素材!$1:$1016,COLUMN($E$1),FALSE)/(LEN(VLOOKUP($D34,素材!$1:$1016,COLUMN($F$1),FALSE))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J34">
        <f>IF(ISNUMBER(SEARCH(SUBSTITUTE(AJ$1,RIGHT(AJ$1,2),""),VLOOKUP($D34,素材!$1:$1016,COLUMN($F$1),FALSE))),VLOOKUP($C34,装備品!$1:$998,COLUMN($O$1),FALSE)*VLOOKUP($D34,素材!$1:$1016,COLUMN($E$1),FALSE)/(LEN(VLOOKUP($D34,素材!$1:$1016,COLUMN($F$1),FALSE))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K34">
        <f>IF(ISNUMBER(SEARCH(SUBSTITUTE(AK$1,RIGHT(AK$1,2),""),VLOOKUP($D34,素材!$1:$1016,COLUMN($F$1),FALSE))),VLOOKUP($C34,装備品!$1:$998,COLUMN($O$1),FALSE)*VLOOKUP($D34,素材!$1:$1016,COLUMN($E$1),FALSE)/(LEN(VLOOKUP($D34,素材!$1:$1016,COLUMN($F$1),FALSE))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L34">
        <f>IF(ISNUMBER(SEARCH(SUBSTITUTE(AL$1,RIGHT(AL$1,2),""),VLOOKUP($D34,素材!$1:$1016,COLUMN($F$1),FALSE))),VLOOKUP($C34,装備品!$1:$998,COLUMN($O$1),FALSE)*VLOOKUP($D34,素材!$1:$1016,COLUMN($E$1),FALSE)/(LEN(VLOOKUP($D34,素材!$1:$1016,COLUMN($F$1),FALSE))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M34">
        <f>IF(ISNUMBER(SEARCH(SUBSTITUTE(AM$1,RIGHT(AM$1,2),""),VLOOKUP($D34,素材!$1:$1016,COLUMN($F$1),FALSE))),VLOOKUP($C34,装備品!$1:$998,COLUMN($O$1),FALSE)*VLOOKUP($D34,素材!$1:$1016,COLUMN($E$1),FALSE)/(LEN(VLOOKUP($D34,素材!$1:$1016,COLUMN($F$1),FALSE))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N34">
        <f>IF(ISNUMBER(SEARCH(SUBSTITUTE(AN$1,RIGHT(AN$1,2),""),VLOOKUP($D34,素材!$1:$1016,COLUMN($F$1),FALSE))),VLOOKUP($C34,装備品!$1:$998,COLUMN($O$1),FALSE)*VLOOKUP($D34,素材!$1:$1016,COLUMN($E$1),FALSE)/(LEN(VLOOKUP($D34,素材!$1:$1016,COLUMN($F$1),FALSE))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O34">
        <f>IF(ISNUMBER(SEARCH(SUBSTITUTE(AO$1,RIGHT(AO$1,2),""),VLOOKUP($D34,素材!$1:$1016,COLUMN($F$1),FALSE))),VLOOKUP($C34,装備品!$1:$998,COLUMN($O$1),FALSE)*VLOOKUP($D34,素材!$1:$1016,COLUMN($E$1),FALSE)/(LEN(VLOOKUP($D34,素材!$1:$1016,COLUMN($F$1),FALSE))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P34">
        <f>IF(ISNUMBER(SEARCH(SUBSTITUTE(AP$1,RIGHT(AP$1,2),""),VLOOKUP($D34,素材!$1:$1016,COLUMN($F$1),FALSE))),VLOOKUP($C34,装備品!$1:$998,COLUMN($O$1),FALSE)*VLOOKUP($D34,素材!$1:$1016,COLUMN($E$1),FALSE)/(LEN(VLOOKUP($D34,素材!$1:$1016,COLUMN($F$1),FALSE))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Q34">
        <f>IF(ISNUMBER(SEARCH(SUBSTITUTE(AQ$1,RIGHT(AQ$1,2),""),VLOOKUP($D34,素材!$1:$1016,COLUMN($F$1),FALSE))),VLOOKUP($C34,装備品!$1:$998,COLUMN($O$1),FALSE)*VLOOKUP($D34,素材!$1:$1016,COLUMN($E$1),FALSE)/(LEN(VLOOKUP($D34,素材!$1:$1016,COLUMN($F$1),FALSE))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R34">
        <f>IF(ISNUMBER(SEARCH(SUBSTITUTE(AR$1,RIGHT(AR$1,2),""),VLOOKUP($D34,素材!$1:$1016,COLUMN($F$1),FALSE))),VLOOKUP($C34,装備品!$1:$998,COLUMN($O$1),FALSE)*VLOOKUP($D34,素材!$1:$1016,COLUMN($E$1),FALSE)/(LEN(VLOOKUP($D34,素材!$1:$1016,COLUMN($F$1),FALSE))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S34">
        <f>IF(ISNUMBER(SEARCH(SUBSTITUTE(AS$1,RIGHT(AS$1,2),""),VLOOKUP($D34,素材!$1:$1016,COLUMN($F$1),FALSE))),VLOOKUP($C34,装備品!$1:$998,COLUMN($O$1),FALSE)*VLOOKUP($D34,素材!$1:$1016,COLUMN($E$1),FALSE)/(LEN(VLOOKUP($D34,素材!$1:$1016,COLUMN($F$1),FALSE))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T34">
        <f>IF(ISNUMBER(SEARCH(SUBSTITUTE(AT$1,RIGHT(AT$1,2),""),VLOOKUP($D34,素材!$1:$1016,COLUMN($F$1),FALSE))),VLOOKUP($C34,装備品!$1:$998,COLUMN($O$1),FALSE)*VLOOKUP($D34,素材!$1:$1016,COLUMN($E$1),FALSE)/(LEN(VLOOKUP($D34,素材!$1:$1016,COLUMN($F$1),FALSE))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U34">
        <f>IF(ISNUMBER(SEARCH(SUBSTITUTE(AU$1,RIGHT(AU$1,2),""),VLOOKUP($D34,素材!$1:$1016,COLUMN($F$1),FALSE))),VLOOKUP($C34,装備品!$1:$998,COLUMN($O$1),FALSE)*VLOOKUP($D34,素材!$1:$1016,COLUMN($E$1),FALSE)/(LEN(VLOOKUP($D34,素材!$1:$1016,COLUMN($F$1),FALSE))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V34">
        <f>IF(ISNUMBER(SEARCH(SUBSTITUTE(AV$1,RIGHT(AV$1,2),""),VLOOKUP($D34,素材!$1:$1016,COLUMN($F$1),FALSE))),VLOOKUP($C34,装備品!$1:$998,COLUMN($O$1),FALSE)*VLOOKUP($D34,素材!$1:$1016,COLUMN($E$1),FALSE)/(LEN(VLOOKUP($D34,素材!$1:$1016,COLUMN($F$1),FALSE))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W34">
        <f>IF(ISNUMBER(SEARCH(SUBSTITUTE(AW$1,RIGHT(AW$1,2),""),VLOOKUP($D34,素材!$1:$1016,COLUMN($F$1),FALSE))),VLOOKUP($C34,装備品!$1:$998,COLUMN($O$1),FALSE)*VLOOKUP($D34,素材!$1:$1016,COLUMN($E$1),FALSE)/(LEN(VLOOKUP($D34,素材!$1:$1016,COLUMN($F$1),FALSE))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X34">
        <f>IF(ISNUMBER(SEARCH(SUBSTITUTE(AX$1,RIGHT(AX$1,2),""),VLOOKUP($D34,素材!$1:$1016,COLUMN($F$1),FALSE))),VLOOKUP($C34,装備品!$1:$998,COLUMN($O$1),FALSE)*VLOOKUP($D34,素材!$1:$1016,COLUMN($E$1),FALSE)/(LEN(VLOOKUP($D34,素材!$1:$1016,COLUMN($F$1),FALSE))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Y34">
        <f>IF(ISNUMBER(SEARCH(SUBSTITUTE(AY$1,RIGHT(AY$1,2),""),VLOOKUP($D34,素材!$1:$1016,COLUMN($F$1),FALSE))),VLOOKUP($C34,装備品!$1:$998,COLUMN($O$1),FALSE)*VLOOKUP($D34,素材!$1:$1016,COLUMN($E$1),FALSE)/(LEN(VLOOKUP($D34,素材!$1:$1016,COLUMN($F$1),FALSE))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Z34">
        <f>IF(ISNUMBER(SEARCH(SUBSTITUTE(AZ$1,RIGHT(AZ$1,2),""),VLOOKUP($D34,素材!$1:$1016,COLUMN($F$1),FALSE))),VLOOKUP($C34,装備品!$1:$998,COLUMN($O$1),FALSE)*VLOOKUP($D34,素材!$1:$1016,COLUMN($E$1),FALSE)/(LEN(VLOOKUP($D34,素材!$1:$1016,COLUMN($F$1),FALSE))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BA34">
        <f>IF(ISNUMBER(SEARCH(SUBSTITUTE(BA$1,RIGHT(BA$1,2),""),VLOOKUP($D34,素材!$1:$1016,COLUMN($F$1),FALSE))),VLOOKUP($C34,装備品!$1:$998,COLUMN($O$1),FALSE)*VLOOKUP($D34,素材!$1:$1016,COLUMN($E$1),FALSE)/(LEN(VLOOKUP($D34,素材!$1:$1016,COLUMN($F$1),FALSE))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BB34">
        <f>IF(ISNUMBER(SEARCH(SUBSTITUTE(BB$1,RIGHT(BB$1,2),""),VLOOKUP($D34,素材!$1:$1016,COLUMN($F$1),FALSE))),VLOOKUP($C34,装備品!$1:$998,COLUMN($O$1),FALSE)*VLOOKUP($D34,素材!$1:$1016,COLUMN($E$1),FALSE)/(LEN(VLOOKUP($D34,素材!$1:$1016,COLUMN($F$1),FALSE))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BC34">
        <f>IF(ISNUMBER(SEARCH(SUBSTITUTE(BC$1,RIGHT(BC$1,2),""),VLOOKUP($D34,素材!$1:$1016,COLUMN($F$1),FALSE))),VLOOKUP($C34,装備品!$1:$998,COLUMN($O$1),FALSE)*VLOOKUP($D34,素材!$1:$1016,COLUMN($E$1),FALSE)/(LEN(VLOOKUP($D34,素材!$1:$1016,COLUMN($F$1),FALSE))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BD34">
        <f>IF(ISNUMBER(SEARCH(SUBSTITUTE(BD$1,RIGHT(BD$1,2),""),VLOOKUP($D34,素材!$1:$1016,COLUMN($F$1),FALSE))),VLOOKUP($C34,装備品!$1:$998,COLUMN($O$1),FALSE)*VLOOKUP($D34,素材!$1:$1016,COLUMN($E$1),FALSE)/(LEN(VLOOKUP($D34,素材!$1:$1016,COLUMN($F$1),FALSE))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BE34">
        <f>IF(ISNUMBER(SEARCH(SUBSTITUTE(BE$1,RIGHT(BE$1,2),""),VLOOKUP($D34,素材!$1:$1016,COLUMN($F$1),FALSE))),VLOOKUP($C34,装備品!$1:$998,COLUMN($O$1),FALSE)*VLOOKUP($D34,素材!$1:$1016,COLUMN($E$1),FALSE)/(LEN(VLOOKUP($D34,素材!$1:$1016,COLUMN($F$1),FALSE))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CL34">
        <f t="shared" si="1"/>
        <v>0</v>
      </c>
      <c r="CM34" s="22" t="str">
        <f t="shared" si="2"/>
        <v>銃.webp</v>
      </c>
      <c r="CN34">
        <f>IFERROR(VLOOKUP($C34,装備品!$1:$998,COLUMN(V$1),FALSE)*VLOOKUP($D34,素材!$1:$1016,COLUMN(N$1),FALSE)+IF(CI34="",0,VLOOKUP($CI34,付与!$1:$1176,COLUMN($CK$1),FALSE)),"")</f>
        <v>2400</v>
      </c>
      <c r="CO34" t="str">
        <f>VLOOKUP(D34,素材!$A:$O,COLUMN(素材!O$1),FALSE)</f>
        <v>一般的な鉄。量産品を作るのに使用されることが多い</v>
      </c>
      <c r="CP34" t="str">
        <f>VLOOKUP(C34,装備品!$A:$AB,COLUMN(装備品!AB$1),FALSE)</f>
        <v/>
      </c>
      <c r="CR34" t="str">
        <f t="shared" si="3"/>
        <v>e_34</v>
      </c>
      <c r="CS34">
        <f t="shared" si="4"/>
        <v>240000</v>
      </c>
    </row>
    <row r="35" spans="1:97" outlineLevel="1" x14ac:dyDescent="0.4">
      <c r="A35" t="str">
        <f t="shared" ref="A35:A66" si="5">D35&amp;"の"&amp;C35</f>
        <v>鉄の面兜</v>
      </c>
      <c r="B35" t="str">
        <f>IFERROR(VLOOKUP($D35,素材!$1:$1016,COLUMN($B$1),FALSE)&amp;"・"&amp;VLOOKUP($C35,装備品!$1:$998,COLUMN(B$1),FALSE),"")</f>
        <v>アイアン・バイザーヘルム</v>
      </c>
      <c r="C35" t="s">
        <v>209</v>
      </c>
      <c r="D35" s="24" t="s">
        <v>256</v>
      </c>
      <c r="E35" t="str">
        <f>IFERROR(VLOOKUP(C35,装備品!$1:$998,COLUMN(C$1),FALSE),"")</f>
        <v>頭</v>
      </c>
      <c r="F35">
        <f>IFERROR(ROUNDDOWN((VLOOKUP($C35,装備品!$1:$998,COLUMN(D$1),FALSE)+IFERROR(VLOOKUP($CI35,付与!$1:$1167,COLUMN(F$1),FALSE),0))*VLOOKUP($D35,素材!$1:$1016,COLUMN(D$1),FALSE),0),"")</f>
        <v>0</v>
      </c>
      <c r="G35">
        <f>IFERROR(ROUNDDOWN((VLOOKUP($C35,装備品!$1:$998,COLUMN(E$1),FALSE)+IFERROR(VLOOKUP($CI35,付与!$1:$1167,COLUMN(G$1),FALSE),0))*VLOOKUP($D35,素材!$1:$1016,COLUMN($E$1),FALSE),0),"")</f>
        <v>0</v>
      </c>
      <c r="H35">
        <f>IFERROR(ROUNDDOWN((VLOOKUP($C35,装備品!$1:$998,COLUMN(F$1),FALSE)+IFERROR(VLOOKUP($CI35,付与!$1:$1167,COLUMN(H$1),FALSE),0))*VLOOKUP($D35,素材!$1:$1016,COLUMN($E$1),FALSE),0),"")</f>
        <v>0</v>
      </c>
      <c r="I35">
        <f>IFERROR(ROUNDDOWN((VLOOKUP($C35,装備品!$1:$998,COLUMN(G$1),FALSE)+IFERROR(VLOOKUP($CI35,付与!$1:$1167,COLUMN(I$1),FALSE),0))*VLOOKUP($D35,素材!$1:$1016,COLUMN($E$1),FALSE),0),"")</f>
        <v>17</v>
      </c>
      <c r="J35">
        <f>IFERROR(ROUNDDOWN((VLOOKUP($C35,装備品!$1:$998,COLUMN(H$1),FALSE)+IFERROR(VLOOKUP($CI35,付与!$1:$1167,COLUMN(J$1),FALSE),0))*VLOOKUP($D35,素材!$1:$1016,COLUMN($E$1),FALSE),0),"")</f>
        <v>0</v>
      </c>
      <c r="K35">
        <f>IFERROR(ROUNDDOWN((VLOOKUP($C35,装備品!$1:$998,COLUMN(I$1),FALSE)+IFERROR(VLOOKUP($CI35,付与!$1:$1167,COLUMN(K$1),FALSE),0))*VLOOKUP($D35,素材!$1:$1016,COLUMN($E$1),FALSE),0),"")</f>
        <v>0</v>
      </c>
      <c r="L35">
        <f>IFERROR(VLOOKUP($D35,素材!$1:$1016,COLUMN($F$1),FALSE),"")</f>
        <v>0</v>
      </c>
      <c r="M35">
        <f>IFERROR(VLOOKUP($C35,装備品!$1:$998,COLUMN(AA$1),FALSE)*VLOOKUP($D35,素材!$1:$1016,COLUMN($G$1),FALSE),"")</f>
        <v>0</v>
      </c>
      <c r="N35">
        <f>IFERROR(VLOOKUP($C35,装備品!$1:$998,COLUMN(I$1),FALSE),"")</f>
        <v>0</v>
      </c>
      <c r="O35" s="23">
        <f>IFERROR((VLOOKUP($C35,装備品!$1:$998,COLUMN(K$1),FALSE)+VLOOKUP($D35,素材!$1:$1016,COLUMN(H$1),FALSE))*100+IFERROR(VLOOKUP($CI35,付与!$1:$1167,COLUMN(O$1),FALSE),0),"")</f>
        <v>5</v>
      </c>
      <c r="P35" s="23">
        <f>IFERROR((VLOOKUP($C35,装備品!$1:$998,COLUMN(L$1),FALSE)+VLOOKUP($D35,素材!$1:$1016,COLUMN(I$1),FALSE))*100+IFERROR(VLOOKUP($CI35,付与!$1:$1167,COLUMN(P$1),FALSE),0),"")</f>
        <v>125</v>
      </c>
      <c r="Q35">
        <f>IFERROR(ROUNDUP(VLOOKUP($C35,装備品!$1:$998,COLUMN(M$1),FALSE)*(VLOOKUP($D35,素材!$1:$1002,COLUMN(D$1),FALSE)/100),1),"")</f>
        <v>-7.5</v>
      </c>
      <c r="R35">
        <f>IFERROR(ROUNDUP(VLOOKUP($C35,装備品!$1:$998,COLUMN(N$1),FALSE)*(VLOOKUP($D35,素材!$1:$1002,COLUMN(D$1),FALSE)/100),1),"")</f>
        <v>0</v>
      </c>
      <c r="S35">
        <f>IFERROR(VLOOKUP($C35,装備品!$1:$998,COLUMN(P$1),FALSE),"")</f>
        <v>0</v>
      </c>
      <c r="T35">
        <f>IFERROR(VLOOKUP($C35,装備品!$1:$998,COLUMN(Q$1),FALSE),"")</f>
        <v>0</v>
      </c>
      <c r="U35">
        <f>IFERROR(VLOOKUP($C35,装備品!$1:$998,COLUMN(R$1),FALSE),"")</f>
        <v>0</v>
      </c>
      <c r="V35">
        <f>IFERROR(VLOOKUP($C35,装備品!$1:$998,COLUMN(Q$1),FALSE),"")</f>
        <v>0</v>
      </c>
      <c r="W35">
        <f>IFERROR(VLOOKUP($C35,装備品!$1:$998,COLUMN(T$1),FALSE),"")</f>
        <v>0.35</v>
      </c>
      <c r="Y35">
        <f>IFERROR(VLOOKUP($C35,装備品!$1:$998,COLUMN(U$1),FALSE),"")</f>
        <v>0</v>
      </c>
      <c r="Z35">
        <f>IFERROR(ROUNDUP(VLOOKUP($C35,装備品!$1:$998,COLUMN(O$1),FALSE)*VLOOKUP($D35,素材!$1:$1016,COLUMN(E$1),FALSE),1),"")</f>
        <v>-600</v>
      </c>
      <c r="AA35">
        <f>IF(ISNUMBER(SEARCH(SUBSTITUTE(AA$1,RIGHT(AA$1,2),""),VLOOKUP($D35,素材!$1:$1016,COLUMN($F$1),FALSE))),VLOOKUP($C35,装備品!$1:$998,COLUMN($O$1),FALSE)*VLOOKUP($D35,素材!$1:$1016,COLUMN($E$1),FALSE)/(LEN(VLOOKUP($D35,素材!$1:$1016,COLUMN($F$1),FALSE))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B35">
        <f>IF(ISNUMBER(SEARCH(SUBSTITUTE(AB$1,RIGHT(AB$1,2),""),VLOOKUP($D35,素材!$1:$1016,COLUMN($F$1),FALSE))),VLOOKUP($C35,装備品!$1:$998,COLUMN($O$1),FALSE)*VLOOKUP($D35,素材!$1:$1016,COLUMN($E$1),FALSE)/(LEN(VLOOKUP($D35,素材!$1:$1016,COLUMN($F$1),FALSE))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C35">
        <f>IF(ISNUMBER(SEARCH(SUBSTITUTE(AC$1,RIGHT(AC$1,2),""),VLOOKUP($D35,素材!$1:$1016,COLUMN($F$1),FALSE))),VLOOKUP($C35,装備品!$1:$998,COLUMN($O$1),FALSE)*VLOOKUP($D35,素材!$1:$1016,COLUMN($E$1),FALSE)/(LEN(VLOOKUP($D35,素材!$1:$1016,COLUMN($F$1),FALSE))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D35">
        <f>IF(ISNUMBER(SEARCH(SUBSTITUTE(AD$1,RIGHT(AD$1,2),""),VLOOKUP($D35,素材!$1:$1016,COLUMN($F$1),FALSE))),VLOOKUP($C35,装備品!$1:$998,COLUMN($O$1),FALSE)*VLOOKUP($D35,素材!$1:$1016,COLUMN($E$1),FALSE)/(LEN(VLOOKUP($D35,素材!$1:$1016,COLUMN($F$1),FALSE))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E35">
        <f>IF(ISNUMBER(SEARCH(SUBSTITUTE(AE$1,RIGHT(AE$1,2),""),VLOOKUP($D35,素材!$1:$1016,COLUMN($F$1),FALSE))),VLOOKUP($C35,装備品!$1:$998,COLUMN($O$1),FALSE)*VLOOKUP($D35,素材!$1:$1016,COLUMN($E$1),FALSE)/(LEN(VLOOKUP($D35,素材!$1:$1016,COLUMN($F$1),FALSE))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F35">
        <f>IF(ISNUMBER(SEARCH(SUBSTITUTE(AF$1,RIGHT(AF$1,2),""),VLOOKUP($D35,素材!$1:$1016,COLUMN($F$1),FALSE))),VLOOKUP($C35,装備品!$1:$998,COLUMN($O$1),FALSE)*VLOOKUP($D35,素材!$1:$1016,COLUMN($E$1),FALSE)/(LEN(VLOOKUP($D35,素材!$1:$1016,COLUMN($F$1),FALSE))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G35">
        <f>IF(ISNUMBER(SEARCH(SUBSTITUTE(AG$1,RIGHT(AG$1,2),""),VLOOKUP($D35,素材!$1:$1016,COLUMN($F$1),FALSE))),VLOOKUP($C35,装備品!$1:$998,COLUMN($O$1),FALSE)*VLOOKUP($D35,素材!$1:$1016,COLUMN($E$1),FALSE)/(LEN(VLOOKUP($D35,素材!$1:$1016,COLUMN($F$1),FALSE))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H35">
        <f>IF(ISNUMBER(SEARCH(SUBSTITUTE(AH$1,RIGHT(AH$1,2),""),VLOOKUP($D35,素材!$1:$1016,COLUMN($F$1),FALSE))),VLOOKUP($C35,装備品!$1:$998,COLUMN($O$1),FALSE)*VLOOKUP($D35,素材!$1:$1016,COLUMN($E$1),FALSE)/(LEN(VLOOKUP($D35,素材!$1:$1016,COLUMN($F$1),FALSE))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I35">
        <f>IF(ISNUMBER(SEARCH(SUBSTITUTE(AI$1,RIGHT(AI$1,2),""),VLOOKUP($D35,素材!$1:$1016,COLUMN($F$1),FALSE))),VLOOKUP($C35,装備品!$1:$998,COLUMN($O$1),FALSE)*VLOOKUP($D35,素材!$1:$1016,COLUMN($E$1),FALSE)/(LEN(VLOOKUP($D35,素材!$1:$1016,COLUMN($F$1),FALSE))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J35">
        <f>IF(ISNUMBER(SEARCH(SUBSTITUTE(AJ$1,RIGHT(AJ$1,2),""),VLOOKUP($D35,素材!$1:$1016,COLUMN($F$1),FALSE))),VLOOKUP($C35,装備品!$1:$998,COLUMN($O$1),FALSE)*VLOOKUP($D35,素材!$1:$1016,COLUMN($E$1),FALSE)/(LEN(VLOOKUP($D35,素材!$1:$1016,COLUMN($F$1),FALSE))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K35">
        <f>IF(ISNUMBER(SEARCH(SUBSTITUTE(AK$1,RIGHT(AK$1,2),""),VLOOKUP($D35,素材!$1:$1016,COLUMN($F$1),FALSE))),VLOOKUP($C35,装備品!$1:$998,COLUMN($O$1),FALSE)*VLOOKUP($D35,素材!$1:$1016,COLUMN($E$1),FALSE)/(LEN(VLOOKUP($D35,素材!$1:$1016,COLUMN($F$1),FALSE))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L35">
        <f>IF(ISNUMBER(SEARCH(SUBSTITUTE(AL$1,RIGHT(AL$1,2),""),VLOOKUP($D35,素材!$1:$1016,COLUMN($F$1),FALSE))),VLOOKUP($C35,装備品!$1:$998,COLUMN($O$1),FALSE)*VLOOKUP($D35,素材!$1:$1016,COLUMN($E$1),FALSE)/(LEN(VLOOKUP($D35,素材!$1:$1016,COLUMN($F$1),FALSE))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M35">
        <f>IF(ISNUMBER(SEARCH(SUBSTITUTE(AM$1,RIGHT(AM$1,2),""),VLOOKUP($D35,素材!$1:$1016,COLUMN($F$1),FALSE))),VLOOKUP($C35,装備品!$1:$998,COLUMN($O$1),FALSE)*VLOOKUP($D35,素材!$1:$1016,COLUMN($E$1),FALSE)/(LEN(VLOOKUP($D35,素材!$1:$1016,COLUMN($F$1),FALSE))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N35">
        <f>IF(ISNUMBER(SEARCH(SUBSTITUTE(AN$1,RIGHT(AN$1,2),""),VLOOKUP($D35,素材!$1:$1016,COLUMN($F$1),FALSE))),VLOOKUP($C35,装備品!$1:$998,COLUMN($O$1),FALSE)*VLOOKUP($D35,素材!$1:$1016,COLUMN($E$1),FALSE)/(LEN(VLOOKUP($D35,素材!$1:$1016,COLUMN($F$1),FALSE))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O35">
        <f>IF(ISNUMBER(SEARCH(SUBSTITUTE(AO$1,RIGHT(AO$1,2),""),VLOOKUP($D35,素材!$1:$1016,COLUMN($F$1),FALSE))),VLOOKUP($C35,装備品!$1:$998,COLUMN($O$1),FALSE)*VLOOKUP($D35,素材!$1:$1016,COLUMN($E$1),FALSE)/(LEN(VLOOKUP($D35,素材!$1:$1016,COLUMN($F$1),FALSE))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P35">
        <f>IF(ISNUMBER(SEARCH(SUBSTITUTE(AP$1,RIGHT(AP$1,2),""),VLOOKUP($D35,素材!$1:$1016,COLUMN($F$1),FALSE))),VLOOKUP($C35,装備品!$1:$998,COLUMN($O$1),FALSE)*VLOOKUP($D35,素材!$1:$1016,COLUMN($E$1),FALSE)/(LEN(VLOOKUP($D35,素材!$1:$1016,COLUMN($F$1),FALSE))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Q35">
        <f>IF(ISNUMBER(SEARCH(SUBSTITUTE(AQ$1,RIGHT(AQ$1,2),""),VLOOKUP($D35,素材!$1:$1016,COLUMN($F$1),FALSE))),VLOOKUP($C35,装備品!$1:$998,COLUMN($O$1),FALSE)*VLOOKUP($D35,素材!$1:$1016,COLUMN($E$1),FALSE)/(LEN(VLOOKUP($D35,素材!$1:$1016,COLUMN($F$1),FALSE))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R35">
        <f>IF(ISNUMBER(SEARCH(SUBSTITUTE(AR$1,RIGHT(AR$1,2),""),VLOOKUP($D35,素材!$1:$1016,COLUMN($F$1),FALSE))),VLOOKUP($C35,装備品!$1:$998,COLUMN($O$1),FALSE)*VLOOKUP($D35,素材!$1:$1016,COLUMN($E$1),FALSE)/(LEN(VLOOKUP($D35,素材!$1:$1016,COLUMN($F$1),FALSE))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S35">
        <f>IF(ISNUMBER(SEARCH(SUBSTITUTE(AS$1,RIGHT(AS$1,2),""),VLOOKUP($D35,素材!$1:$1016,COLUMN($F$1),FALSE))),VLOOKUP($C35,装備品!$1:$998,COLUMN($O$1),FALSE)*VLOOKUP($D35,素材!$1:$1016,COLUMN($E$1),FALSE)/(LEN(VLOOKUP($D35,素材!$1:$1016,COLUMN($F$1),FALSE))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T35">
        <f>IF(ISNUMBER(SEARCH(SUBSTITUTE(AT$1,RIGHT(AT$1,2),""),VLOOKUP($D35,素材!$1:$1016,COLUMN($F$1),FALSE))),VLOOKUP($C35,装備品!$1:$998,COLUMN($O$1),FALSE)*VLOOKUP($D35,素材!$1:$1016,COLUMN($E$1),FALSE)/(LEN(VLOOKUP($D35,素材!$1:$1016,COLUMN($F$1),FALSE))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U35">
        <f>IF(ISNUMBER(SEARCH(SUBSTITUTE(AU$1,RIGHT(AU$1,2),""),VLOOKUP($D35,素材!$1:$1016,COLUMN($F$1),FALSE))),VLOOKUP($C35,装備品!$1:$998,COLUMN($O$1),FALSE)*VLOOKUP($D35,素材!$1:$1016,COLUMN($E$1),FALSE)/(LEN(VLOOKUP($D35,素材!$1:$1016,COLUMN($F$1),FALSE))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V35">
        <f>IF(ISNUMBER(SEARCH(SUBSTITUTE(AV$1,RIGHT(AV$1,2),""),VLOOKUP($D35,素材!$1:$1016,COLUMN($F$1),FALSE))),VLOOKUP($C35,装備品!$1:$998,COLUMN($O$1),FALSE)*VLOOKUP($D35,素材!$1:$1016,COLUMN($E$1),FALSE)/(LEN(VLOOKUP($D35,素材!$1:$1016,COLUMN($F$1),FALSE))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W35">
        <f>IF(ISNUMBER(SEARCH(SUBSTITUTE(AW$1,RIGHT(AW$1,2),""),VLOOKUP($D35,素材!$1:$1016,COLUMN($F$1),FALSE))),VLOOKUP($C35,装備品!$1:$998,COLUMN($O$1),FALSE)*VLOOKUP($D35,素材!$1:$1016,COLUMN($E$1),FALSE)/(LEN(VLOOKUP($D35,素材!$1:$1016,COLUMN($F$1),FALSE))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X35">
        <f>IF(ISNUMBER(SEARCH(SUBSTITUTE(AX$1,RIGHT(AX$1,2),""),VLOOKUP($D35,素材!$1:$1016,COLUMN($F$1),FALSE))),VLOOKUP($C35,装備品!$1:$998,COLUMN($O$1),FALSE)*VLOOKUP($D35,素材!$1:$1016,COLUMN($E$1),FALSE)/(LEN(VLOOKUP($D35,素材!$1:$1016,COLUMN($F$1),FALSE))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Y35">
        <f>IF(ISNUMBER(SEARCH(SUBSTITUTE(AY$1,RIGHT(AY$1,2),""),VLOOKUP($D35,素材!$1:$1016,COLUMN($F$1),FALSE))),VLOOKUP($C35,装備品!$1:$998,COLUMN($O$1),FALSE)*VLOOKUP($D35,素材!$1:$1016,COLUMN($E$1),FALSE)/(LEN(VLOOKUP($D35,素材!$1:$1016,COLUMN($F$1),FALSE))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Z35">
        <f>IF(ISNUMBER(SEARCH(SUBSTITUTE(AZ$1,RIGHT(AZ$1,2),""),VLOOKUP($D35,素材!$1:$1016,COLUMN($F$1),FALSE))),VLOOKUP($C35,装備品!$1:$998,COLUMN($O$1),FALSE)*VLOOKUP($D35,素材!$1:$1016,COLUMN($E$1),FALSE)/(LEN(VLOOKUP($D35,素材!$1:$1016,COLUMN($F$1),FALSE))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BA35">
        <f>IF(ISNUMBER(SEARCH(SUBSTITUTE(BA$1,RIGHT(BA$1,2),""),VLOOKUP($D35,素材!$1:$1016,COLUMN($F$1),FALSE))),VLOOKUP($C35,装備品!$1:$998,COLUMN($O$1),FALSE)*VLOOKUP($D35,素材!$1:$1016,COLUMN($E$1),FALSE)/(LEN(VLOOKUP($D35,素材!$1:$1016,COLUMN($F$1),FALSE))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BB35">
        <f>IF(ISNUMBER(SEARCH(SUBSTITUTE(BB$1,RIGHT(BB$1,2),""),VLOOKUP($D35,素材!$1:$1016,COLUMN($F$1),FALSE))),VLOOKUP($C35,装備品!$1:$998,COLUMN($O$1),FALSE)*VLOOKUP($D35,素材!$1:$1016,COLUMN($E$1),FALSE)/(LEN(VLOOKUP($D35,素材!$1:$1016,COLUMN($F$1),FALSE))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BC35">
        <f>IF(ISNUMBER(SEARCH(SUBSTITUTE(BC$1,RIGHT(BC$1,2),""),VLOOKUP($D35,素材!$1:$1016,COLUMN($F$1),FALSE))),VLOOKUP($C35,装備品!$1:$998,COLUMN($O$1),FALSE)*VLOOKUP($D35,素材!$1:$1016,COLUMN($E$1),FALSE)/(LEN(VLOOKUP($D35,素材!$1:$1016,COLUMN($F$1),FALSE))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BD35">
        <f>IF(ISNUMBER(SEARCH(SUBSTITUTE(BD$1,RIGHT(BD$1,2),""),VLOOKUP($D35,素材!$1:$1016,COLUMN($F$1),FALSE))),VLOOKUP($C35,装備品!$1:$998,COLUMN($O$1),FALSE)*VLOOKUP($D35,素材!$1:$1016,COLUMN($E$1),FALSE)/(LEN(VLOOKUP($D35,素材!$1:$1016,COLUMN($F$1),FALSE))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BE35">
        <f>IF(ISNUMBER(SEARCH(SUBSTITUTE(BE$1,RIGHT(BE$1,2),""),VLOOKUP($D35,素材!$1:$1016,COLUMN($F$1),FALSE))),VLOOKUP($C35,装備品!$1:$998,COLUMN($O$1),FALSE)*VLOOKUP($D35,素材!$1:$1016,COLUMN($E$1),FALSE)/(LEN(VLOOKUP($D35,素材!$1:$1016,COLUMN($F$1),FALSE))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CL35">
        <f t="shared" si="1"/>
        <v>17</v>
      </c>
      <c r="CM35" s="22" t="str">
        <f t="shared" si="2"/>
        <v>頭.webp</v>
      </c>
      <c r="CN35">
        <f>IFERROR(VLOOKUP($C35,装備品!$1:$998,COLUMN(V$1),FALSE)*VLOOKUP($D35,素材!$1:$1016,COLUMN(N$1),FALSE)+IF(CI35="",0,VLOOKUP($CI35,付与!$1:$1176,COLUMN($CK$1),FALSE)),"")</f>
        <v>0</v>
      </c>
      <c r="CO35" t="str">
        <f>VLOOKUP(D35,素材!$A:$O,COLUMN(素材!O$1),FALSE)</f>
        <v>一般的な鉄。量産品を作るのに使用されることが多い</v>
      </c>
      <c r="CP35" t="str">
        <f>VLOOKUP(C35,装備品!$A:$AB,COLUMN(装備品!AB$1),FALSE)</f>
        <v>命中 魔防 Cr</v>
      </c>
      <c r="CR35" t="str">
        <f t="shared" si="3"/>
        <v>e_35</v>
      </c>
      <c r="CS35">
        <f t="shared" si="4"/>
        <v>0</v>
      </c>
    </row>
    <row r="36" spans="1:97" outlineLevel="1" x14ac:dyDescent="0.4">
      <c r="A36" t="str">
        <f t="shared" si="5"/>
        <v>鉄の兜</v>
      </c>
      <c r="B36" t="str">
        <f>IFERROR(VLOOKUP($D36,素材!$1:$1016,COLUMN($B$1),FALSE)&amp;"・"&amp;VLOOKUP($C36,装備品!$1:$998,COLUMN(B$1),FALSE),"")</f>
        <v>アイアン・ヘルム</v>
      </c>
      <c r="C36" t="s">
        <v>208</v>
      </c>
      <c r="D36" s="24" t="s">
        <v>256</v>
      </c>
      <c r="E36" t="str">
        <f>IFERROR(VLOOKUP(C36,装備品!$1:$998,COLUMN(C$1),FALSE),"")</f>
        <v>頭</v>
      </c>
      <c r="F36">
        <f>IFERROR(ROUNDDOWN((VLOOKUP($C36,装備品!$1:$998,COLUMN(D$1),FALSE)+IFERROR(VLOOKUP($CI36,付与!$1:$1167,COLUMN(F$1),FALSE),0))*VLOOKUP($D36,素材!$1:$1016,COLUMN(D$1),FALSE),0),"")</f>
        <v>0</v>
      </c>
      <c r="G36">
        <f>IFERROR(ROUNDDOWN((VLOOKUP($C36,装備品!$1:$998,COLUMN(E$1),FALSE)+IFERROR(VLOOKUP($CI36,付与!$1:$1167,COLUMN(G$1),FALSE),0))*VLOOKUP($D36,素材!$1:$1016,COLUMN($E$1),FALSE),0),"")</f>
        <v>0</v>
      </c>
      <c r="H36">
        <f>IFERROR(ROUNDDOWN((VLOOKUP($C36,装備品!$1:$998,COLUMN(F$1),FALSE)+IFERROR(VLOOKUP($CI36,付与!$1:$1167,COLUMN(H$1),FALSE),0))*VLOOKUP($D36,素材!$1:$1016,COLUMN($E$1),FALSE),0),"")</f>
        <v>0</v>
      </c>
      <c r="I36">
        <f>IFERROR(ROUNDDOWN((VLOOKUP($C36,装備品!$1:$998,COLUMN(G$1),FALSE)+IFERROR(VLOOKUP($CI36,付与!$1:$1167,COLUMN(I$1),FALSE),0))*VLOOKUP($D36,素材!$1:$1016,COLUMN($E$1),FALSE),0),"")</f>
        <v>17</v>
      </c>
      <c r="J36">
        <f>IFERROR(ROUNDDOWN((VLOOKUP($C36,装備品!$1:$998,COLUMN(H$1),FALSE)+IFERROR(VLOOKUP($CI36,付与!$1:$1167,COLUMN(J$1),FALSE),0))*VLOOKUP($D36,素材!$1:$1016,COLUMN($E$1),FALSE),0),"")</f>
        <v>0</v>
      </c>
      <c r="K36">
        <f>IFERROR(ROUNDDOWN((VLOOKUP($C36,装備品!$1:$998,COLUMN(I$1),FALSE)+IFERROR(VLOOKUP($CI36,付与!$1:$1167,COLUMN(K$1),FALSE),0))*VLOOKUP($D36,素材!$1:$1016,COLUMN($E$1),FALSE),0),"")</f>
        <v>0</v>
      </c>
      <c r="L36">
        <f>IFERROR(VLOOKUP($D36,素材!$1:$1016,COLUMN($F$1),FALSE),"")</f>
        <v>0</v>
      </c>
      <c r="M36">
        <f>IFERROR(VLOOKUP($C36,装備品!$1:$998,COLUMN(AA$1),FALSE)*VLOOKUP($D36,素材!$1:$1016,COLUMN($G$1),FALSE),"")</f>
        <v>0</v>
      </c>
      <c r="N36">
        <f>IFERROR(VLOOKUP($C36,装備品!$1:$998,COLUMN(I$1),FALSE),"")</f>
        <v>0</v>
      </c>
      <c r="O36" s="23">
        <f>IFERROR((VLOOKUP($C36,装備品!$1:$998,COLUMN(K$1),FALSE)+VLOOKUP($D36,素材!$1:$1016,COLUMN(H$1),FALSE))*100+IFERROR(VLOOKUP($CI36,付与!$1:$1167,COLUMN(O$1),FALSE),0),"")</f>
        <v>5</v>
      </c>
      <c r="P36" s="23">
        <f>IFERROR((VLOOKUP($C36,装備品!$1:$998,COLUMN(L$1),FALSE)+VLOOKUP($D36,素材!$1:$1016,COLUMN(I$1),FALSE))*100+IFERROR(VLOOKUP($CI36,付与!$1:$1167,COLUMN(P$1),FALSE),0),"")</f>
        <v>125</v>
      </c>
      <c r="Q36">
        <f>IFERROR(ROUNDUP(VLOOKUP($C36,装備品!$1:$998,COLUMN(M$1),FALSE)*(VLOOKUP($D36,素材!$1:$1002,COLUMN(D$1),FALSE)/100),1),"")</f>
        <v>-5</v>
      </c>
      <c r="R36">
        <f>IFERROR(ROUNDUP(VLOOKUP($C36,装備品!$1:$998,COLUMN(N$1),FALSE)*(VLOOKUP($D36,素材!$1:$1002,COLUMN(D$1),FALSE)/100),1),"")</f>
        <v>0</v>
      </c>
      <c r="S36">
        <f>IFERROR(VLOOKUP($C36,装備品!$1:$998,COLUMN(P$1),FALSE),"")</f>
        <v>0</v>
      </c>
      <c r="T36">
        <f>IFERROR(VLOOKUP($C36,装備品!$1:$998,COLUMN(Q$1),FALSE),"")</f>
        <v>0</v>
      </c>
      <c r="U36">
        <f>IFERROR(VLOOKUP($C36,装備品!$1:$998,COLUMN(R$1),FALSE),"")</f>
        <v>0</v>
      </c>
      <c r="V36">
        <f>IFERROR(VLOOKUP($C36,装備品!$1:$998,COLUMN(Q$1),FALSE),"")</f>
        <v>0</v>
      </c>
      <c r="W36">
        <f>IFERROR(VLOOKUP($C36,装備品!$1:$998,COLUMN(T$1),FALSE),"")</f>
        <v>0.25</v>
      </c>
      <c r="Y36">
        <f>IFERROR(VLOOKUP($C36,装備品!$1:$998,COLUMN(U$1),FALSE),"")</f>
        <v>0</v>
      </c>
      <c r="Z36">
        <f>IFERROR(ROUNDUP(VLOOKUP($C36,装備品!$1:$998,COLUMN(O$1),FALSE)*VLOOKUP($D36,素材!$1:$1016,COLUMN(E$1),FALSE),1),"")</f>
        <v>-300</v>
      </c>
      <c r="AA36">
        <f>IF(ISNUMBER(SEARCH(SUBSTITUTE(AA$1,RIGHT(AA$1,2),""),VLOOKUP($D36,素材!$1:$1016,COLUMN($F$1),FALSE))),VLOOKUP($C36,装備品!$1:$998,COLUMN($O$1),FALSE)*VLOOKUP($D36,素材!$1:$1016,COLUMN($E$1),FALSE)/(LEN(VLOOKUP($D36,素材!$1:$1016,COLUMN($F$1),FALSE))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B36">
        <f>IF(ISNUMBER(SEARCH(SUBSTITUTE(AB$1,RIGHT(AB$1,2),""),VLOOKUP($D36,素材!$1:$1016,COLUMN($F$1),FALSE))),VLOOKUP($C36,装備品!$1:$998,COLUMN($O$1),FALSE)*VLOOKUP($D36,素材!$1:$1016,COLUMN($E$1),FALSE)/(LEN(VLOOKUP($D36,素材!$1:$1016,COLUMN($F$1),FALSE))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C36">
        <f>IF(ISNUMBER(SEARCH(SUBSTITUTE(AC$1,RIGHT(AC$1,2),""),VLOOKUP($D36,素材!$1:$1016,COLUMN($F$1),FALSE))),VLOOKUP($C36,装備品!$1:$998,COLUMN($O$1),FALSE)*VLOOKUP($D36,素材!$1:$1016,COLUMN($E$1),FALSE)/(LEN(VLOOKUP($D36,素材!$1:$1016,COLUMN($F$1),FALSE))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D36">
        <f>IF(ISNUMBER(SEARCH(SUBSTITUTE(AD$1,RIGHT(AD$1,2),""),VLOOKUP($D36,素材!$1:$1016,COLUMN($F$1),FALSE))),VLOOKUP($C36,装備品!$1:$998,COLUMN($O$1),FALSE)*VLOOKUP($D36,素材!$1:$1016,COLUMN($E$1),FALSE)/(LEN(VLOOKUP($D36,素材!$1:$1016,COLUMN($F$1),FALSE))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E36">
        <f>IF(ISNUMBER(SEARCH(SUBSTITUTE(AE$1,RIGHT(AE$1,2),""),VLOOKUP($D36,素材!$1:$1016,COLUMN($F$1),FALSE))),VLOOKUP($C36,装備品!$1:$998,COLUMN($O$1),FALSE)*VLOOKUP($D36,素材!$1:$1016,COLUMN($E$1),FALSE)/(LEN(VLOOKUP($D36,素材!$1:$1016,COLUMN($F$1),FALSE))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F36">
        <f>IF(ISNUMBER(SEARCH(SUBSTITUTE(AF$1,RIGHT(AF$1,2),""),VLOOKUP($D36,素材!$1:$1016,COLUMN($F$1),FALSE))),VLOOKUP($C36,装備品!$1:$998,COLUMN($O$1),FALSE)*VLOOKUP($D36,素材!$1:$1016,COLUMN($E$1),FALSE)/(LEN(VLOOKUP($D36,素材!$1:$1016,COLUMN($F$1),FALSE))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G36">
        <f>IF(ISNUMBER(SEARCH(SUBSTITUTE(AG$1,RIGHT(AG$1,2),""),VLOOKUP($D36,素材!$1:$1016,COLUMN($F$1),FALSE))),VLOOKUP($C36,装備品!$1:$998,COLUMN($O$1),FALSE)*VLOOKUP($D36,素材!$1:$1016,COLUMN($E$1),FALSE)/(LEN(VLOOKUP($D36,素材!$1:$1016,COLUMN($F$1),FALSE))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H36">
        <f>IF(ISNUMBER(SEARCH(SUBSTITUTE(AH$1,RIGHT(AH$1,2),""),VLOOKUP($D36,素材!$1:$1016,COLUMN($F$1),FALSE))),VLOOKUP($C36,装備品!$1:$998,COLUMN($O$1),FALSE)*VLOOKUP($D36,素材!$1:$1016,COLUMN($E$1),FALSE)/(LEN(VLOOKUP($D36,素材!$1:$1016,COLUMN($F$1),FALSE))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I36">
        <f>IF(ISNUMBER(SEARCH(SUBSTITUTE(AI$1,RIGHT(AI$1,2),""),VLOOKUP($D36,素材!$1:$1016,COLUMN($F$1),FALSE))),VLOOKUP($C36,装備品!$1:$998,COLUMN($O$1),FALSE)*VLOOKUP($D36,素材!$1:$1016,COLUMN($E$1),FALSE)/(LEN(VLOOKUP($D36,素材!$1:$1016,COLUMN($F$1),FALSE))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J36">
        <f>IF(ISNUMBER(SEARCH(SUBSTITUTE(AJ$1,RIGHT(AJ$1,2),""),VLOOKUP($D36,素材!$1:$1016,COLUMN($F$1),FALSE))),VLOOKUP($C36,装備品!$1:$998,COLUMN($O$1),FALSE)*VLOOKUP($D36,素材!$1:$1016,COLUMN($E$1),FALSE)/(LEN(VLOOKUP($D36,素材!$1:$1016,COLUMN($F$1),FALSE))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K36">
        <f>IF(ISNUMBER(SEARCH(SUBSTITUTE(AK$1,RIGHT(AK$1,2),""),VLOOKUP($D36,素材!$1:$1016,COLUMN($F$1),FALSE))),VLOOKUP($C36,装備品!$1:$998,COLUMN($O$1),FALSE)*VLOOKUP($D36,素材!$1:$1016,COLUMN($E$1),FALSE)/(LEN(VLOOKUP($D36,素材!$1:$1016,COLUMN($F$1),FALSE))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L36">
        <f>IF(ISNUMBER(SEARCH(SUBSTITUTE(AL$1,RIGHT(AL$1,2),""),VLOOKUP($D36,素材!$1:$1016,COLUMN($F$1),FALSE))),VLOOKUP($C36,装備品!$1:$998,COLUMN($O$1),FALSE)*VLOOKUP($D36,素材!$1:$1016,COLUMN($E$1),FALSE)/(LEN(VLOOKUP($D36,素材!$1:$1016,COLUMN($F$1),FALSE))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M36">
        <f>IF(ISNUMBER(SEARCH(SUBSTITUTE(AM$1,RIGHT(AM$1,2),""),VLOOKUP($D36,素材!$1:$1016,COLUMN($F$1),FALSE))),VLOOKUP($C36,装備品!$1:$998,COLUMN($O$1),FALSE)*VLOOKUP($D36,素材!$1:$1016,COLUMN($E$1),FALSE)/(LEN(VLOOKUP($D36,素材!$1:$1016,COLUMN($F$1),FALSE))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N36">
        <f>IF(ISNUMBER(SEARCH(SUBSTITUTE(AN$1,RIGHT(AN$1,2),""),VLOOKUP($D36,素材!$1:$1016,COLUMN($F$1),FALSE))),VLOOKUP($C36,装備品!$1:$998,COLUMN($O$1),FALSE)*VLOOKUP($D36,素材!$1:$1016,COLUMN($E$1),FALSE)/(LEN(VLOOKUP($D36,素材!$1:$1016,COLUMN($F$1),FALSE))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O36">
        <f>IF(ISNUMBER(SEARCH(SUBSTITUTE(AO$1,RIGHT(AO$1,2),""),VLOOKUP($D36,素材!$1:$1016,COLUMN($F$1),FALSE))),VLOOKUP($C36,装備品!$1:$998,COLUMN($O$1),FALSE)*VLOOKUP($D36,素材!$1:$1016,COLUMN($E$1),FALSE)/(LEN(VLOOKUP($D36,素材!$1:$1016,COLUMN($F$1),FALSE))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P36">
        <f>IF(ISNUMBER(SEARCH(SUBSTITUTE(AP$1,RIGHT(AP$1,2),""),VLOOKUP($D36,素材!$1:$1016,COLUMN($F$1),FALSE))),VLOOKUP($C36,装備品!$1:$998,COLUMN($O$1),FALSE)*VLOOKUP($D36,素材!$1:$1016,COLUMN($E$1),FALSE)/(LEN(VLOOKUP($D36,素材!$1:$1016,COLUMN($F$1),FALSE))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Q36">
        <f>IF(ISNUMBER(SEARCH(SUBSTITUTE(AQ$1,RIGHT(AQ$1,2),""),VLOOKUP($D36,素材!$1:$1016,COLUMN($F$1),FALSE))),VLOOKUP($C36,装備品!$1:$998,COLUMN($O$1),FALSE)*VLOOKUP($D36,素材!$1:$1016,COLUMN($E$1),FALSE)/(LEN(VLOOKUP($D36,素材!$1:$1016,COLUMN($F$1),FALSE))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R36">
        <f>IF(ISNUMBER(SEARCH(SUBSTITUTE(AR$1,RIGHT(AR$1,2),""),VLOOKUP($D36,素材!$1:$1016,COLUMN($F$1),FALSE))),VLOOKUP($C36,装備品!$1:$998,COLUMN($O$1),FALSE)*VLOOKUP($D36,素材!$1:$1016,COLUMN($E$1),FALSE)/(LEN(VLOOKUP($D36,素材!$1:$1016,COLUMN($F$1),FALSE))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S36">
        <f>IF(ISNUMBER(SEARCH(SUBSTITUTE(AS$1,RIGHT(AS$1,2),""),VLOOKUP($D36,素材!$1:$1016,COLUMN($F$1),FALSE))),VLOOKUP($C36,装備品!$1:$998,COLUMN($O$1),FALSE)*VLOOKUP($D36,素材!$1:$1016,COLUMN($E$1),FALSE)/(LEN(VLOOKUP($D36,素材!$1:$1016,COLUMN($F$1),FALSE))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T36">
        <f>IF(ISNUMBER(SEARCH(SUBSTITUTE(AT$1,RIGHT(AT$1,2),""),VLOOKUP($D36,素材!$1:$1016,COLUMN($F$1),FALSE))),VLOOKUP($C36,装備品!$1:$998,COLUMN($O$1),FALSE)*VLOOKUP($D36,素材!$1:$1016,COLUMN($E$1),FALSE)/(LEN(VLOOKUP($D36,素材!$1:$1016,COLUMN($F$1),FALSE))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U36">
        <f>IF(ISNUMBER(SEARCH(SUBSTITUTE(AU$1,RIGHT(AU$1,2),""),VLOOKUP($D36,素材!$1:$1016,COLUMN($F$1),FALSE))),VLOOKUP($C36,装備品!$1:$998,COLUMN($O$1),FALSE)*VLOOKUP($D36,素材!$1:$1016,COLUMN($E$1),FALSE)/(LEN(VLOOKUP($D36,素材!$1:$1016,COLUMN($F$1),FALSE))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V36">
        <f>IF(ISNUMBER(SEARCH(SUBSTITUTE(AV$1,RIGHT(AV$1,2),""),VLOOKUP($D36,素材!$1:$1016,COLUMN($F$1),FALSE))),VLOOKUP($C36,装備品!$1:$998,COLUMN($O$1),FALSE)*VLOOKUP($D36,素材!$1:$1016,COLUMN($E$1),FALSE)/(LEN(VLOOKUP($D36,素材!$1:$1016,COLUMN($F$1),FALSE))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W36">
        <f>IF(ISNUMBER(SEARCH(SUBSTITUTE(AW$1,RIGHT(AW$1,2),""),VLOOKUP($D36,素材!$1:$1016,COLUMN($F$1),FALSE))),VLOOKUP($C36,装備品!$1:$998,COLUMN($O$1),FALSE)*VLOOKUP($D36,素材!$1:$1016,COLUMN($E$1),FALSE)/(LEN(VLOOKUP($D36,素材!$1:$1016,COLUMN($F$1),FALSE))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X36">
        <f>IF(ISNUMBER(SEARCH(SUBSTITUTE(AX$1,RIGHT(AX$1,2),""),VLOOKUP($D36,素材!$1:$1016,COLUMN($F$1),FALSE))),VLOOKUP($C36,装備品!$1:$998,COLUMN($O$1),FALSE)*VLOOKUP($D36,素材!$1:$1016,COLUMN($E$1),FALSE)/(LEN(VLOOKUP($D36,素材!$1:$1016,COLUMN($F$1),FALSE))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Y36">
        <f>IF(ISNUMBER(SEARCH(SUBSTITUTE(AY$1,RIGHT(AY$1,2),""),VLOOKUP($D36,素材!$1:$1016,COLUMN($F$1),FALSE))),VLOOKUP($C36,装備品!$1:$998,COLUMN($O$1),FALSE)*VLOOKUP($D36,素材!$1:$1016,COLUMN($E$1),FALSE)/(LEN(VLOOKUP($D36,素材!$1:$1016,COLUMN($F$1),FALSE))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Z36">
        <f>IF(ISNUMBER(SEARCH(SUBSTITUTE(AZ$1,RIGHT(AZ$1,2),""),VLOOKUP($D36,素材!$1:$1016,COLUMN($F$1),FALSE))),VLOOKUP($C36,装備品!$1:$998,COLUMN($O$1),FALSE)*VLOOKUP($D36,素材!$1:$1016,COLUMN($E$1),FALSE)/(LEN(VLOOKUP($D36,素材!$1:$1016,COLUMN($F$1),FALSE))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BA36">
        <f>IF(ISNUMBER(SEARCH(SUBSTITUTE(BA$1,RIGHT(BA$1,2),""),VLOOKUP($D36,素材!$1:$1016,COLUMN($F$1),FALSE))),VLOOKUP($C36,装備品!$1:$998,COLUMN($O$1),FALSE)*VLOOKUP($D36,素材!$1:$1016,COLUMN($E$1),FALSE)/(LEN(VLOOKUP($D36,素材!$1:$1016,COLUMN($F$1),FALSE))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BB36">
        <f>IF(ISNUMBER(SEARCH(SUBSTITUTE(BB$1,RIGHT(BB$1,2),""),VLOOKUP($D36,素材!$1:$1016,COLUMN($F$1),FALSE))),VLOOKUP($C36,装備品!$1:$998,COLUMN($O$1),FALSE)*VLOOKUP($D36,素材!$1:$1016,COLUMN($E$1),FALSE)/(LEN(VLOOKUP($D36,素材!$1:$1016,COLUMN($F$1),FALSE))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BC36">
        <f>IF(ISNUMBER(SEARCH(SUBSTITUTE(BC$1,RIGHT(BC$1,2),""),VLOOKUP($D36,素材!$1:$1016,COLUMN($F$1),FALSE))),VLOOKUP($C36,装備品!$1:$998,COLUMN($O$1),FALSE)*VLOOKUP($D36,素材!$1:$1016,COLUMN($E$1),FALSE)/(LEN(VLOOKUP($D36,素材!$1:$1016,COLUMN($F$1),FALSE))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BD36">
        <f>IF(ISNUMBER(SEARCH(SUBSTITUTE(BD$1,RIGHT(BD$1,2),""),VLOOKUP($D36,素材!$1:$1016,COLUMN($F$1),FALSE))),VLOOKUP($C36,装備品!$1:$998,COLUMN($O$1),FALSE)*VLOOKUP($D36,素材!$1:$1016,COLUMN($E$1),FALSE)/(LEN(VLOOKUP($D36,素材!$1:$1016,COLUMN($F$1),FALSE))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BE36">
        <f>IF(ISNUMBER(SEARCH(SUBSTITUTE(BE$1,RIGHT(BE$1,2),""),VLOOKUP($D36,素材!$1:$1016,COLUMN($F$1),FALSE))),VLOOKUP($C36,装備品!$1:$998,COLUMN($O$1),FALSE)*VLOOKUP($D36,素材!$1:$1016,COLUMN($E$1),FALSE)/(LEN(VLOOKUP($D36,素材!$1:$1016,COLUMN($F$1),FALSE))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CL36">
        <f t="shared" si="1"/>
        <v>17</v>
      </c>
      <c r="CM36" s="22" t="str">
        <f t="shared" si="2"/>
        <v>頭.webp</v>
      </c>
      <c r="CN36">
        <f>IFERROR(VLOOKUP($C36,装備品!$1:$998,COLUMN(V$1),FALSE)*VLOOKUP($D36,素材!$1:$1016,COLUMN(N$1),FALSE)+IF(CI36="",0,VLOOKUP($CI36,付与!$1:$1176,COLUMN($CK$1),FALSE)),"")</f>
        <v>0</v>
      </c>
      <c r="CO36" t="str">
        <f>VLOOKUP(D36,素材!$A:$O,COLUMN(素材!O$1),FALSE)</f>
        <v>一般的な鉄。量産品を作るのに使用されることが多い</v>
      </c>
      <c r="CP36" t="str">
        <f>VLOOKUP(C36,装備品!$A:$AB,COLUMN(装備品!AB$1),FALSE)</f>
        <v>命中 魔防 Cr</v>
      </c>
      <c r="CR36" t="str">
        <f t="shared" si="3"/>
        <v>e_36</v>
      </c>
      <c r="CS36">
        <f t="shared" si="4"/>
        <v>0</v>
      </c>
    </row>
    <row r="37" spans="1:97" outlineLevel="1" x14ac:dyDescent="0.4">
      <c r="A37" t="str">
        <f t="shared" si="5"/>
        <v>鉄の鎧</v>
      </c>
      <c r="B37" t="str">
        <f>IFERROR(VLOOKUP($D37,素材!$1:$1016,COLUMN($B$1),FALSE)&amp;"・"&amp;VLOOKUP($C37,装備品!$1:$998,COLUMN(B$1),FALSE),"")</f>
        <v>アイアン・アーマー</v>
      </c>
      <c r="C37" t="s">
        <v>207</v>
      </c>
      <c r="D37" s="24" t="s">
        <v>256</v>
      </c>
      <c r="E37" t="str">
        <f>IFERROR(VLOOKUP(C37,装備品!$1:$998,COLUMN(C$1),FALSE),"")</f>
        <v>体</v>
      </c>
      <c r="F37">
        <f>IFERROR(ROUNDDOWN((VLOOKUP($C37,装備品!$1:$998,COLUMN(D$1),FALSE)+IFERROR(VLOOKUP($CI37,付与!$1:$1167,COLUMN(F$1),FALSE),0))*VLOOKUP($D37,素材!$1:$1016,COLUMN(D$1),FALSE),0),"")</f>
        <v>0</v>
      </c>
      <c r="G37">
        <f>IFERROR(ROUNDDOWN((VLOOKUP($C37,装備品!$1:$998,COLUMN(E$1),FALSE)+IFERROR(VLOOKUP($CI37,付与!$1:$1167,COLUMN(G$1),FALSE),0))*VLOOKUP($D37,素材!$1:$1016,COLUMN($E$1),FALSE),0),"")</f>
        <v>0</v>
      </c>
      <c r="H37">
        <f>IFERROR(ROUNDDOWN((VLOOKUP($C37,装備品!$1:$998,COLUMN(F$1),FALSE)+IFERROR(VLOOKUP($CI37,付与!$1:$1167,COLUMN(H$1),FALSE),0))*VLOOKUP($D37,素材!$1:$1016,COLUMN($E$1),FALSE),0),"")</f>
        <v>0</v>
      </c>
      <c r="I37">
        <f>IFERROR(ROUNDDOWN((VLOOKUP($C37,装備品!$1:$998,COLUMN(G$1),FALSE)+IFERROR(VLOOKUP($CI37,付与!$1:$1167,COLUMN(I$1),FALSE),0))*VLOOKUP($D37,素材!$1:$1016,COLUMN($E$1),FALSE),0),"")</f>
        <v>0</v>
      </c>
      <c r="J37">
        <f>IFERROR(ROUNDDOWN((VLOOKUP($C37,装備品!$1:$998,COLUMN(H$1),FALSE)+IFERROR(VLOOKUP($CI37,付与!$1:$1167,COLUMN(J$1),FALSE),0))*VLOOKUP($D37,素材!$1:$1016,COLUMN($E$1),FALSE),0),"")</f>
        <v>0</v>
      </c>
      <c r="K37">
        <f>IFERROR(ROUNDDOWN((VLOOKUP($C37,装備品!$1:$998,COLUMN(I$1),FALSE)+IFERROR(VLOOKUP($CI37,付与!$1:$1167,COLUMN(K$1),FALSE),0))*VLOOKUP($D37,素材!$1:$1016,COLUMN($E$1),FALSE),0),"")</f>
        <v>0</v>
      </c>
      <c r="L37">
        <f>IFERROR(VLOOKUP($D37,素材!$1:$1016,COLUMN($F$1),FALSE),"")</f>
        <v>0</v>
      </c>
      <c r="M37">
        <f>IFERROR(VLOOKUP($C37,装備品!$1:$998,COLUMN(AA$1),FALSE)*VLOOKUP($D37,素材!$1:$1016,COLUMN($G$1),FALSE),"")</f>
        <v>0</v>
      </c>
      <c r="N37">
        <f>IFERROR(VLOOKUP($C37,装備品!$1:$998,COLUMN(I$1),FALSE),"")</f>
        <v>0</v>
      </c>
      <c r="O37" s="23">
        <f>IFERROR((VLOOKUP($C37,装備品!$1:$998,COLUMN(K$1),FALSE)+VLOOKUP($D37,素材!$1:$1016,COLUMN(H$1),FALSE))*100+IFERROR(VLOOKUP($CI37,付与!$1:$1167,COLUMN(O$1),FALSE),0),"")</f>
        <v>0</v>
      </c>
      <c r="P37" s="23">
        <f>IFERROR((VLOOKUP($C37,装備品!$1:$998,COLUMN(L$1),FALSE)+VLOOKUP($D37,素材!$1:$1016,COLUMN(I$1),FALSE))*100+IFERROR(VLOOKUP($CI37,付与!$1:$1167,COLUMN(P$1),FALSE),0),"")</f>
        <v>0</v>
      </c>
      <c r="Q37">
        <f>IFERROR(ROUNDUP(VLOOKUP($C37,装備品!$1:$998,COLUMN(M$1),FALSE)*(VLOOKUP($D37,素材!$1:$1002,COLUMN(D$1),FALSE)/100),1),"")</f>
        <v>-15</v>
      </c>
      <c r="R37">
        <f>IFERROR(ROUNDUP(VLOOKUP($C37,装備品!$1:$998,COLUMN(N$1),FALSE)*(VLOOKUP($D37,素材!$1:$1002,COLUMN(D$1),FALSE)/100),1),"")</f>
        <v>0</v>
      </c>
      <c r="S37">
        <f>IFERROR(VLOOKUP($C37,装備品!$1:$998,COLUMN(P$1),FALSE),"")</f>
        <v>-35</v>
      </c>
      <c r="T37">
        <f>IFERROR(VLOOKUP($C37,装備品!$1:$998,COLUMN(Q$1),FALSE),"")</f>
        <v>0</v>
      </c>
      <c r="U37">
        <f>IFERROR(VLOOKUP($C37,装備品!$1:$998,COLUMN(R$1),FALSE),"")</f>
        <v>0</v>
      </c>
      <c r="V37">
        <f>IFERROR(VLOOKUP($C37,装備品!$1:$998,COLUMN(Q$1),FALSE),"")</f>
        <v>0</v>
      </c>
      <c r="W37">
        <f>IFERROR(VLOOKUP($C37,装備品!$1:$998,COLUMN(T$1),FALSE),"")</f>
        <v>0.7</v>
      </c>
      <c r="Y37">
        <f>IFERROR(VLOOKUP($C37,装備品!$1:$998,COLUMN(U$1),FALSE),"")</f>
        <v>0</v>
      </c>
      <c r="Z37">
        <f>IFERROR(ROUNDUP(VLOOKUP($C37,装備品!$1:$998,COLUMN(O$1),FALSE)*VLOOKUP($D37,素材!$1:$1016,COLUMN(E$1),FALSE),1),"")</f>
        <v>0</v>
      </c>
      <c r="AA37">
        <f>IF(ISNUMBER(SEARCH(SUBSTITUTE(AA$1,RIGHT(AA$1,2),""),VLOOKUP($D37,素材!$1:$1016,COLUMN($F$1),FALSE))),VLOOKUP($C37,装備品!$1:$998,COLUMN($O$1),FALSE)*VLOOKUP($D37,素材!$1:$1016,COLUMN($E$1),FALSE)/(LEN(VLOOKUP($D37,素材!$1:$1016,COLUMN($F$1),FALSE))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B37">
        <f>IF(ISNUMBER(SEARCH(SUBSTITUTE(AB$1,RIGHT(AB$1,2),""),VLOOKUP($D37,素材!$1:$1016,COLUMN($F$1),FALSE))),VLOOKUP($C37,装備品!$1:$998,COLUMN($O$1),FALSE)*VLOOKUP($D37,素材!$1:$1016,COLUMN($E$1),FALSE)/(LEN(VLOOKUP($D37,素材!$1:$1016,COLUMN($F$1),FALSE))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C37">
        <f>IF(ISNUMBER(SEARCH(SUBSTITUTE(AC$1,RIGHT(AC$1,2),""),VLOOKUP($D37,素材!$1:$1016,COLUMN($F$1),FALSE))),VLOOKUP($C37,装備品!$1:$998,COLUMN($O$1),FALSE)*VLOOKUP($D37,素材!$1:$1016,COLUMN($E$1),FALSE)/(LEN(VLOOKUP($D37,素材!$1:$1016,COLUMN($F$1),FALSE))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D37">
        <f>IF(ISNUMBER(SEARCH(SUBSTITUTE(AD$1,RIGHT(AD$1,2),""),VLOOKUP($D37,素材!$1:$1016,COLUMN($F$1),FALSE))),VLOOKUP($C37,装備品!$1:$998,COLUMN($O$1),FALSE)*VLOOKUP($D37,素材!$1:$1016,COLUMN($E$1),FALSE)/(LEN(VLOOKUP($D37,素材!$1:$1016,COLUMN($F$1),FALSE))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E37">
        <f>IF(ISNUMBER(SEARCH(SUBSTITUTE(AE$1,RIGHT(AE$1,2),""),VLOOKUP($D37,素材!$1:$1016,COLUMN($F$1),FALSE))),VLOOKUP($C37,装備品!$1:$998,COLUMN($O$1),FALSE)*VLOOKUP($D37,素材!$1:$1016,COLUMN($E$1),FALSE)/(LEN(VLOOKUP($D37,素材!$1:$1016,COLUMN($F$1),FALSE))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F37">
        <f>IF(ISNUMBER(SEARCH(SUBSTITUTE(AF$1,RIGHT(AF$1,2),""),VLOOKUP($D37,素材!$1:$1016,COLUMN($F$1),FALSE))),VLOOKUP($C37,装備品!$1:$998,COLUMN($O$1),FALSE)*VLOOKUP($D37,素材!$1:$1016,COLUMN($E$1),FALSE)/(LEN(VLOOKUP($D37,素材!$1:$1016,COLUMN($F$1),FALSE))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G37">
        <f>IF(ISNUMBER(SEARCH(SUBSTITUTE(AG$1,RIGHT(AG$1,2),""),VLOOKUP($D37,素材!$1:$1016,COLUMN($F$1),FALSE))),VLOOKUP($C37,装備品!$1:$998,COLUMN($O$1),FALSE)*VLOOKUP($D37,素材!$1:$1016,COLUMN($E$1),FALSE)/(LEN(VLOOKUP($D37,素材!$1:$1016,COLUMN($F$1),FALSE))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H37">
        <f>IF(ISNUMBER(SEARCH(SUBSTITUTE(AH$1,RIGHT(AH$1,2),""),VLOOKUP($D37,素材!$1:$1016,COLUMN($F$1),FALSE))),VLOOKUP($C37,装備品!$1:$998,COLUMN($O$1),FALSE)*VLOOKUP($D37,素材!$1:$1016,COLUMN($E$1),FALSE)/(LEN(VLOOKUP($D37,素材!$1:$1016,COLUMN($F$1),FALSE))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I37">
        <f>IF(ISNUMBER(SEARCH(SUBSTITUTE(AI$1,RIGHT(AI$1,2),""),VLOOKUP($D37,素材!$1:$1016,COLUMN($F$1),FALSE))),VLOOKUP($C37,装備品!$1:$998,COLUMN($O$1),FALSE)*VLOOKUP($D37,素材!$1:$1016,COLUMN($E$1),FALSE)/(LEN(VLOOKUP($D37,素材!$1:$1016,COLUMN($F$1),FALSE))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J37">
        <f>IF(ISNUMBER(SEARCH(SUBSTITUTE(AJ$1,RIGHT(AJ$1,2),""),VLOOKUP($D37,素材!$1:$1016,COLUMN($F$1),FALSE))),VLOOKUP($C37,装備品!$1:$998,COLUMN($O$1),FALSE)*VLOOKUP($D37,素材!$1:$1016,COLUMN($E$1),FALSE)/(LEN(VLOOKUP($D37,素材!$1:$1016,COLUMN($F$1),FALSE))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K37">
        <f>IF(ISNUMBER(SEARCH(SUBSTITUTE(AK$1,RIGHT(AK$1,2),""),VLOOKUP($D37,素材!$1:$1016,COLUMN($F$1),FALSE))),VLOOKUP($C37,装備品!$1:$998,COLUMN($O$1),FALSE)*VLOOKUP($D37,素材!$1:$1016,COLUMN($E$1),FALSE)/(LEN(VLOOKUP($D37,素材!$1:$1016,COLUMN($F$1),FALSE))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L37">
        <f>IF(ISNUMBER(SEARCH(SUBSTITUTE(AL$1,RIGHT(AL$1,2),""),VLOOKUP($D37,素材!$1:$1016,COLUMN($F$1),FALSE))),VLOOKUP($C37,装備品!$1:$998,COLUMN($O$1),FALSE)*VLOOKUP($D37,素材!$1:$1016,COLUMN($E$1),FALSE)/(LEN(VLOOKUP($D37,素材!$1:$1016,COLUMN($F$1),FALSE))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M37">
        <f>IF(ISNUMBER(SEARCH(SUBSTITUTE(AM$1,RIGHT(AM$1,2),""),VLOOKUP($D37,素材!$1:$1016,COLUMN($F$1),FALSE))),VLOOKUP($C37,装備品!$1:$998,COLUMN($O$1),FALSE)*VLOOKUP($D37,素材!$1:$1016,COLUMN($E$1),FALSE)/(LEN(VLOOKUP($D37,素材!$1:$1016,COLUMN($F$1),FALSE))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N37">
        <f>IF(ISNUMBER(SEARCH(SUBSTITUTE(AN$1,RIGHT(AN$1,2),""),VLOOKUP($D37,素材!$1:$1016,COLUMN($F$1),FALSE))),VLOOKUP($C37,装備品!$1:$998,COLUMN($O$1),FALSE)*VLOOKUP($D37,素材!$1:$1016,COLUMN($E$1),FALSE)/(LEN(VLOOKUP($D37,素材!$1:$1016,COLUMN($F$1),FALSE))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O37">
        <f>IF(ISNUMBER(SEARCH(SUBSTITUTE(AO$1,RIGHT(AO$1,2),""),VLOOKUP($D37,素材!$1:$1016,COLUMN($F$1),FALSE))),VLOOKUP($C37,装備品!$1:$998,COLUMN($O$1),FALSE)*VLOOKUP($D37,素材!$1:$1016,COLUMN($E$1),FALSE)/(LEN(VLOOKUP($D37,素材!$1:$1016,COLUMN($F$1),FALSE))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P37">
        <f>IF(ISNUMBER(SEARCH(SUBSTITUTE(AP$1,RIGHT(AP$1,2),""),VLOOKUP($D37,素材!$1:$1016,COLUMN($F$1),FALSE))),VLOOKUP($C37,装備品!$1:$998,COLUMN($O$1),FALSE)*VLOOKUP($D37,素材!$1:$1016,COLUMN($E$1),FALSE)/(LEN(VLOOKUP($D37,素材!$1:$1016,COLUMN($F$1),FALSE))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Q37">
        <f>IF(ISNUMBER(SEARCH(SUBSTITUTE(AQ$1,RIGHT(AQ$1,2),""),VLOOKUP($D37,素材!$1:$1016,COLUMN($F$1),FALSE))),VLOOKUP($C37,装備品!$1:$998,COLUMN($O$1),FALSE)*VLOOKUP($D37,素材!$1:$1016,COLUMN($E$1),FALSE)/(LEN(VLOOKUP($D37,素材!$1:$1016,COLUMN($F$1),FALSE))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R37">
        <f>IF(ISNUMBER(SEARCH(SUBSTITUTE(AR$1,RIGHT(AR$1,2),""),VLOOKUP($D37,素材!$1:$1016,COLUMN($F$1),FALSE))),VLOOKUP($C37,装備品!$1:$998,COLUMN($O$1),FALSE)*VLOOKUP($D37,素材!$1:$1016,COLUMN($E$1),FALSE)/(LEN(VLOOKUP($D37,素材!$1:$1016,COLUMN($F$1),FALSE))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S37">
        <f>IF(ISNUMBER(SEARCH(SUBSTITUTE(AS$1,RIGHT(AS$1,2),""),VLOOKUP($D37,素材!$1:$1016,COLUMN($F$1),FALSE))),VLOOKUP($C37,装備品!$1:$998,COLUMN($O$1),FALSE)*VLOOKUP($D37,素材!$1:$1016,COLUMN($E$1),FALSE)/(LEN(VLOOKUP($D37,素材!$1:$1016,COLUMN($F$1),FALSE))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T37">
        <f>IF(ISNUMBER(SEARCH(SUBSTITUTE(AT$1,RIGHT(AT$1,2),""),VLOOKUP($D37,素材!$1:$1016,COLUMN($F$1),FALSE))),VLOOKUP($C37,装備品!$1:$998,COLUMN($O$1),FALSE)*VLOOKUP($D37,素材!$1:$1016,COLUMN($E$1),FALSE)/(LEN(VLOOKUP($D37,素材!$1:$1016,COLUMN($F$1),FALSE))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U37">
        <f>IF(ISNUMBER(SEARCH(SUBSTITUTE(AU$1,RIGHT(AU$1,2),""),VLOOKUP($D37,素材!$1:$1016,COLUMN($F$1),FALSE))),VLOOKUP($C37,装備品!$1:$998,COLUMN($O$1),FALSE)*VLOOKUP($D37,素材!$1:$1016,COLUMN($E$1),FALSE)/(LEN(VLOOKUP($D37,素材!$1:$1016,COLUMN($F$1),FALSE))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V37">
        <f>IF(ISNUMBER(SEARCH(SUBSTITUTE(AV$1,RIGHT(AV$1,2),""),VLOOKUP($D37,素材!$1:$1016,COLUMN($F$1),FALSE))),VLOOKUP($C37,装備品!$1:$998,COLUMN($O$1),FALSE)*VLOOKUP($D37,素材!$1:$1016,COLUMN($E$1),FALSE)/(LEN(VLOOKUP($D37,素材!$1:$1016,COLUMN($F$1),FALSE))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W37">
        <f>IF(ISNUMBER(SEARCH(SUBSTITUTE(AW$1,RIGHT(AW$1,2),""),VLOOKUP($D37,素材!$1:$1016,COLUMN($F$1),FALSE))),VLOOKUP($C37,装備品!$1:$998,COLUMN($O$1),FALSE)*VLOOKUP($D37,素材!$1:$1016,COLUMN($E$1),FALSE)/(LEN(VLOOKUP($D37,素材!$1:$1016,COLUMN($F$1),FALSE))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X37">
        <f>IF(ISNUMBER(SEARCH(SUBSTITUTE(AX$1,RIGHT(AX$1,2),""),VLOOKUP($D37,素材!$1:$1016,COLUMN($F$1),FALSE))),VLOOKUP($C37,装備品!$1:$998,COLUMN($O$1),FALSE)*VLOOKUP($D37,素材!$1:$1016,COLUMN($E$1),FALSE)/(LEN(VLOOKUP($D37,素材!$1:$1016,COLUMN($F$1),FALSE))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Y37">
        <f>IF(ISNUMBER(SEARCH(SUBSTITUTE(AY$1,RIGHT(AY$1,2),""),VLOOKUP($D37,素材!$1:$1016,COLUMN($F$1),FALSE))),VLOOKUP($C37,装備品!$1:$998,COLUMN($O$1),FALSE)*VLOOKUP($D37,素材!$1:$1016,COLUMN($E$1),FALSE)/(LEN(VLOOKUP($D37,素材!$1:$1016,COLUMN($F$1),FALSE))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Z37">
        <f>IF(ISNUMBER(SEARCH(SUBSTITUTE(AZ$1,RIGHT(AZ$1,2),""),VLOOKUP($D37,素材!$1:$1016,COLUMN($F$1),FALSE))),VLOOKUP($C37,装備品!$1:$998,COLUMN($O$1),FALSE)*VLOOKUP($D37,素材!$1:$1016,COLUMN($E$1),FALSE)/(LEN(VLOOKUP($D37,素材!$1:$1016,COLUMN($F$1),FALSE))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BA37">
        <f>IF(ISNUMBER(SEARCH(SUBSTITUTE(BA$1,RIGHT(BA$1,2),""),VLOOKUP($D37,素材!$1:$1016,COLUMN($F$1),FALSE))),VLOOKUP($C37,装備品!$1:$998,COLUMN($O$1),FALSE)*VLOOKUP($D37,素材!$1:$1016,COLUMN($E$1),FALSE)/(LEN(VLOOKUP($D37,素材!$1:$1016,COLUMN($F$1),FALSE))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BB37">
        <f>IF(ISNUMBER(SEARCH(SUBSTITUTE(BB$1,RIGHT(BB$1,2),""),VLOOKUP($D37,素材!$1:$1016,COLUMN($F$1),FALSE))),VLOOKUP($C37,装備品!$1:$998,COLUMN($O$1),FALSE)*VLOOKUP($D37,素材!$1:$1016,COLUMN($E$1),FALSE)/(LEN(VLOOKUP($D37,素材!$1:$1016,COLUMN($F$1),FALSE))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BC37">
        <f>IF(ISNUMBER(SEARCH(SUBSTITUTE(BC$1,RIGHT(BC$1,2),""),VLOOKUP($D37,素材!$1:$1016,COLUMN($F$1),FALSE))),VLOOKUP($C37,装備品!$1:$998,COLUMN($O$1),FALSE)*VLOOKUP($D37,素材!$1:$1016,COLUMN($E$1),FALSE)/(LEN(VLOOKUP($D37,素材!$1:$1016,COLUMN($F$1),FALSE))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BD37">
        <f>IF(ISNUMBER(SEARCH(SUBSTITUTE(BD$1,RIGHT(BD$1,2),""),VLOOKUP($D37,素材!$1:$1016,COLUMN($F$1),FALSE))),VLOOKUP($C37,装備品!$1:$998,COLUMN($O$1),FALSE)*VLOOKUP($D37,素材!$1:$1016,COLUMN($E$1),FALSE)/(LEN(VLOOKUP($D37,素材!$1:$1016,COLUMN($F$1),FALSE))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BE37">
        <f>IF(ISNUMBER(SEARCH(SUBSTITUTE(BE$1,RIGHT(BE$1,2),""),VLOOKUP($D37,素材!$1:$1016,COLUMN($F$1),FALSE))),VLOOKUP($C37,装備品!$1:$998,COLUMN($O$1),FALSE)*VLOOKUP($D37,素材!$1:$1016,COLUMN($E$1),FALSE)/(LEN(VLOOKUP($D37,素材!$1:$1016,COLUMN($F$1),FALSE))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CL37">
        <f t="shared" si="1"/>
        <v>0</v>
      </c>
      <c r="CM37" s="22" t="str">
        <f t="shared" si="2"/>
        <v>体.webp</v>
      </c>
      <c r="CN37">
        <f>IFERROR(VLOOKUP($C37,装備品!$1:$998,COLUMN(V$1),FALSE)*VLOOKUP($D37,素材!$1:$1016,COLUMN(N$1),FALSE)+IF(CI37="",0,VLOOKUP($CI37,付与!$1:$1176,COLUMN($CK$1),FALSE)),"")</f>
        <v>0</v>
      </c>
      <c r="CO37" t="str">
        <f>VLOOKUP(D37,素材!$A:$O,COLUMN(素材!O$1),FALSE)</f>
        <v>一般的な鉄。量産品を作るのに使用されることが多い</v>
      </c>
      <c r="CP37" t="str">
        <f>VLOOKUP(C37,装備品!$A:$AB,COLUMN(装備品!AB$1),FALSE)</f>
        <v>HP 物理 魔法 体幹 出血 疲労 Cr</v>
      </c>
      <c r="CR37" t="str">
        <f t="shared" si="3"/>
        <v>e_37</v>
      </c>
      <c r="CS37">
        <f t="shared" si="4"/>
        <v>0</v>
      </c>
    </row>
    <row r="38" spans="1:97" outlineLevel="1" x14ac:dyDescent="0.4">
      <c r="A38" t="str">
        <f t="shared" si="5"/>
        <v>鉄の胴衣</v>
      </c>
      <c r="B38" t="str">
        <f>IFERROR(VLOOKUP($D38,素材!$1:$1016,COLUMN($B$1),FALSE)&amp;"・"&amp;VLOOKUP($C38,装備品!$1:$998,COLUMN(B$1),FALSE),"")</f>
        <v>アイアン・ベスト</v>
      </c>
      <c r="C38" t="s">
        <v>206</v>
      </c>
      <c r="D38" s="24" t="s">
        <v>256</v>
      </c>
      <c r="E38" t="str">
        <f>IFERROR(VLOOKUP(C38,装備品!$1:$998,COLUMN(C$1),FALSE),"")</f>
        <v>体</v>
      </c>
      <c r="F38">
        <f>IFERROR(ROUNDDOWN((VLOOKUP($C38,装備品!$1:$998,COLUMN(D$1),FALSE)+IFERROR(VLOOKUP($CI38,付与!$1:$1167,COLUMN(F$1),FALSE),0))*VLOOKUP($D38,素材!$1:$1016,COLUMN(D$1),FALSE),0),"")</f>
        <v>0</v>
      </c>
      <c r="G38">
        <f>IFERROR(ROUNDDOWN((VLOOKUP($C38,装備品!$1:$998,COLUMN(E$1),FALSE)+IFERROR(VLOOKUP($CI38,付与!$1:$1167,COLUMN(G$1),FALSE),0))*VLOOKUP($D38,素材!$1:$1016,COLUMN($E$1),FALSE),0),"")</f>
        <v>0</v>
      </c>
      <c r="H38">
        <f>IFERROR(ROUNDDOWN((VLOOKUP($C38,装備品!$1:$998,COLUMN(F$1),FALSE)+IFERROR(VLOOKUP($CI38,付与!$1:$1167,COLUMN(H$1),FALSE),0))*VLOOKUP($D38,素材!$1:$1016,COLUMN($E$1),FALSE),0),"")</f>
        <v>0</v>
      </c>
      <c r="I38">
        <f>IFERROR(ROUNDDOWN((VLOOKUP($C38,装備品!$1:$998,COLUMN(G$1),FALSE)+IFERROR(VLOOKUP($CI38,付与!$1:$1167,COLUMN(I$1),FALSE),0))*VLOOKUP($D38,素材!$1:$1016,COLUMN($E$1),FALSE),0),"")</f>
        <v>0</v>
      </c>
      <c r="J38">
        <f>IFERROR(ROUNDDOWN((VLOOKUP($C38,装備品!$1:$998,COLUMN(H$1),FALSE)+IFERROR(VLOOKUP($CI38,付与!$1:$1167,COLUMN(J$1),FALSE),0))*VLOOKUP($D38,素材!$1:$1016,COLUMN($E$1),FALSE),0),"")</f>
        <v>0</v>
      </c>
      <c r="K38">
        <f>IFERROR(ROUNDDOWN((VLOOKUP($C38,装備品!$1:$998,COLUMN(I$1),FALSE)+IFERROR(VLOOKUP($CI38,付与!$1:$1167,COLUMN(K$1),FALSE),0))*VLOOKUP($D38,素材!$1:$1016,COLUMN($E$1),FALSE),0),"")</f>
        <v>0</v>
      </c>
      <c r="L38">
        <f>IFERROR(VLOOKUP($D38,素材!$1:$1016,COLUMN($F$1),FALSE),"")</f>
        <v>0</v>
      </c>
      <c r="M38">
        <f>IFERROR(VLOOKUP($C38,装備品!$1:$998,COLUMN(AA$1),FALSE)*VLOOKUP($D38,素材!$1:$1016,COLUMN($G$1),FALSE),"")</f>
        <v>0</v>
      </c>
      <c r="N38">
        <f>IFERROR(VLOOKUP($C38,装備品!$1:$998,COLUMN(I$1),FALSE),"")</f>
        <v>0</v>
      </c>
      <c r="O38" s="23">
        <f>IFERROR((VLOOKUP($C38,装備品!$1:$998,COLUMN(K$1),FALSE)+VLOOKUP($D38,素材!$1:$1016,COLUMN(H$1),FALSE))*100+IFERROR(VLOOKUP($CI38,付与!$1:$1167,COLUMN(O$1),FALSE),0),"")</f>
        <v>0</v>
      </c>
      <c r="P38" s="23">
        <f>IFERROR((VLOOKUP($C38,装備品!$1:$998,COLUMN(L$1),FALSE)+VLOOKUP($D38,素材!$1:$1016,COLUMN(I$1),FALSE))*100+IFERROR(VLOOKUP($CI38,付与!$1:$1167,COLUMN(P$1),FALSE),0),"")</f>
        <v>0</v>
      </c>
      <c r="Q38">
        <f>IFERROR(ROUNDUP(VLOOKUP($C38,装備品!$1:$998,COLUMN(M$1),FALSE)*(VLOOKUP($D38,素材!$1:$1002,COLUMN(D$1),FALSE)/100),1),"")</f>
        <v>-7.5</v>
      </c>
      <c r="R38">
        <f>IFERROR(ROUNDUP(VLOOKUP($C38,装備品!$1:$998,COLUMN(N$1),FALSE)*(VLOOKUP($D38,素材!$1:$1002,COLUMN(D$1),FALSE)/100),1),"")</f>
        <v>0</v>
      </c>
      <c r="S38">
        <f>IFERROR(VLOOKUP($C38,装備品!$1:$998,COLUMN(P$1),FALSE),"")</f>
        <v>-15</v>
      </c>
      <c r="T38">
        <f>IFERROR(VLOOKUP($C38,装備品!$1:$998,COLUMN(Q$1),FALSE),"")</f>
        <v>0</v>
      </c>
      <c r="U38">
        <f>IFERROR(VLOOKUP($C38,装備品!$1:$998,COLUMN(R$1),FALSE),"")</f>
        <v>0</v>
      </c>
      <c r="V38">
        <f>IFERROR(VLOOKUP($C38,装備品!$1:$998,COLUMN(Q$1),FALSE),"")</f>
        <v>0</v>
      </c>
      <c r="W38">
        <f>IFERROR(VLOOKUP($C38,装備品!$1:$998,COLUMN(T$1),FALSE),"")</f>
        <v>0.5</v>
      </c>
      <c r="Y38">
        <f>IFERROR(VLOOKUP($C38,装備品!$1:$998,COLUMN(U$1),FALSE),"")</f>
        <v>0</v>
      </c>
      <c r="Z38">
        <f>IFERROR(ROUNDUP(VLOOKUP($C38,装備品!$1:$998,COLUMN(O$1),FALSE)*VLOOKUP($D38,素材!$1:$1016,COLUMN(E$1),FALSE),1),"")</f>
        <v>0</v>
      </c>
      <c r="AA38">
        <f>IF(ISNUMBER(SEARCH(SUBSTITUTE(AA$1,RIGHT(AA$1,2),""),VLOOKUP($D38,素材!$1:$1016,COLUMN($F$1),FALSE))),VLOOKUP($C38,装備品!$1:$998,COLUMN($O$1),FALSE)*VLOOKUP($D38,素材!$1:$1016,COLUMN($E$1),FALSE)/(LEN(VLOOKUP($D38,素材!$1:$1016,COLUMN($F$1),FALSE))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B38">
        <f>IF(ISNUMBER(SEARCH(SUBSTITUTE(AB$1,RIGHT(AB$1,2),""),VLOOKUP($D38,素材!$1:$1016,COLUMN($F$1),FALSE))),VLOOKUP($C38,装備品!$1:$998,COLUMN($O$1),FALSE)*VLOOKUP($D38,素材!$1:$1016,COLUMN($E$1),FALSE)/(LEN(VLOOKUP($D38,素材!$1:$1016,COLUMN($F$1),FALSE))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C38">
        <f>IF(ISNUMBER(SEARCH(SUBSTITUTE(AC$1,RIGHT(AC$1,2),""),VLOOKUP($D38,素材!$1:$1016,COLUMN($F$1),FALSE))),VLOOKUP($C38,装備品!$1:$998,COLUMN($O$1),FALSE)*VLOOKUP($D38,素材!$1:$1016,COLUMN($E$1),FALSE)/(LEN(VLOOKUP($D38,素材!$1:$1016,COLUMN($F$1),FALSE))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D38">
        <f>IF(ISNUMBER(SEARCH(SUBSTITUTE(AD$1,RIGHT(AD$1,2),""),VLOOKUP($D38,素材!$1:$1016,COLUMN($F$1),FALSE))),VLOOKUP($C38,装備品!$1:$998,COLUMN($O$1),FALSE)*VLOOKUP($D38,素材!$1:$1016,COLUMN($E$1),FALSE)/(LEN(VLOOKUP($D38,素材!$1:$1016,COLUMN($F$1),FALSE))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E38">
        <f>IF(ISNUMBER(SEARCH(SUBSTITUTE(AE$1,RIGHT(AE$1,2),""),VLOOKUP($D38,素材!$1:$1016,COLUMN($F$1),FALSE))),VLOOKUP($C38,装備品!$1:$998,COLUMN($O$1),FALSE)*VLOOKUP($D38,素材!$1:$1016,COLUMN($E$1),FALSE)/(LEN(VLOOKUP($D38,素材!$1:$1016,COLUMN($F$1),FALSE))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F38">
        <f>IF(ISNUMBER(SEARCH(SUBSTITUTE(AF$1,RIGHT(AF$1,2),""),VLOOKUP($D38,素材!$1:$1016,COLUMN($F$1),FALSE))),VLOOKUP($C38,装備品!$1:$998,COLUMN($O$1),FALSE)*VLOOKUP($D38,素材!$1:$1016,COLUMN($E$1),FALSE)/(LEN(VLOOKUP($D38,素材!$1:$1016,COLUMN($F$1),FALSE))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G38">
        <f>IF(ISNUMBER(SEARCH(SUBSTITUTE(AG$1,RIGHT(AG$1,2),""),VLOOKUP($D38,素材!$1:$1016,COLUMN($F$1),FALSE))),VLOOKUP($C38,装備品!$1:$998,COLUMN($O$1),FALSE)*VLOOKUP($D38,素材!$1:$1016,COLUMN($E$1),FALSE)/(LEN(VLOOKUP($D38,素材!$1:$1016,COLUMN($F$1),FALSE))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H38">
        <f>IF(ISNUMBER(SEARCH(SUBSTITUTE(AH$1,RIGHT(AH$1,2),""),VLOOKUP($D38,素材!$1:$1016,COLUMN($F$1),FALSE))),VLOOKUP($C38,装備品!$1:$998,COLUMN($O$1),FALSE)*VLOOKUP($D38,素材!$1:$1016,COLUMN($E$1),FALSE)/(LEN(VLOOKUP($D38,素材!$1:$1016,COLUMN($F$1),FALSE))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I38">
        <f>IF(ISNUMBER(SEARCH(SUBSTITUTE(AI$1,RIGHT(AI$1,2),""),VLOOKUP($D38,素材!$1:$1016,COLUMN($F$1),FALSE))),VLOOKUP($C38,装備品!$1:$998,COLUMN($O$1),FALSE)*VLOOKUP($D38,素材!$1:$1016,COLUMN($E$1),FALSE)/(LEN(VLOOKUP($D38,素材!$1:$1016,COLUMN($F$1),FALSE))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J38">
        <f>IF(ISNUMBER(SEARCH(SUBSTITUTE(AJ$1,RIGHT(AJ$1,2),""),VLOOKUP($D38,素材!$1:$1016,COLUMN($F$1),FALSE))),VLOOKUP($C38,装備品!$1:$998,COLUMN($O$1),FALSE)*VLOOKUP($D38,素材!$1:$1016,COLUMN($E$1),FALSE)/(LEN(VLOOKUP($D38,素材!$1:$1016,COLUMN($F$1),FALSE))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K38">
        <f>IF(ISNUMBER(SEARCH(SUBSTITUTE(AK$1,RIGHT(AK$1,2),""),VLOOKUP($D38,素材!$1:$1016,COLUMN($F$1),FALSE))),VLOOKUP($C38,装備品!$1:$998,COLUMN($O$1),FALSE)*VLOOKUP($D38,素材!$1:$1016,COLUMN($E$1),FALSE)/(LEN(VLOOKUP($D38,素材!$1:$1016,COLUMN($F$1),FALSE))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L38">
        <f>IF(ISNUMBER(SEARCH(SUBSTITUTE(AL$1,RIGHT(AL$1,2),""),VLOOKUP($D38,素材!$1:$1016,COLUMN($F$1),FALSE))),VLOOKUP($C38,装備品!$1:$998,COLUMN($O$1),FALSE)*VLOOKUP($D38,素材!$1:$1016,COLUMN($E$1),FALSE)/(LEN(VLOOKUP($D38,素材!$1:$1016,COLUMN($F$1),FALSE))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M38">
        <f>IF(ISNUMBER(SEARCH(SUBSTITUTE(AM$1,RIGHT(AM$1,2),""),VLOOKUP($D38,素材!$1:$1016,COLUMN($F$1),FALSE))),VLOOKUP($C38,装備品!$1:$998,COLUMN($O$1),FALSE)*VLOOKUP($D38,素材!$1:$1016,COLUMN($E$1),FALSE)/(LEN(VLOOKUP($D38,素材!$1:$1016,COLUMN($F$1),FALSE))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N38">
        <f>IF(ISNUMBER(SEARCH(SUBSTITUTE(AN$1,RIGHT(AN$1,2),""),VLOOKUP($D38,素材!$1:$1016,COLUMN($F$1),FALSE))),VLOOKUP($C38,装備品!$1:$998,COLUMN($O$1),FALSE)*VLOOKUP($D38,素材!$1:$1016,COLUMN($E$1),FALSE)/(LEN(VLOOKUP($D38,素材!$1:$1016,COLUMN($F$1),FALSE))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O38">
        <f>IF(ISNUMBER(SEARCH(SUBSTITUTE(AO$1,RIGHT(AO$1,2),""),VLOOKUP($D38,素材!$1:$1016,COLUMN($F$1),FALSE))),VLOOKUP($C38,装備品!$1:$998,COLUMN($O$1),FALSE)*VLOOKUP($D38,素材!$1:$1016,COLUMN($E$1),FALSE)/(LEN(VLOOKUP($D38,素材!$1:$1016,COLUMN($F$1),FALSE))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P38">
        <f>IF(ISNUMBER(SEARCH(SUBSTITUTE(AP$1,RIGHT(AP$1,2),""),VLOOKUP($D38,素材!$1:$1016,COLUMN($F$1),FALSE))),VLOOKUP($C38,装備品!$1:$998,COLUMN($O$1),FALSE)*VLOOKUP($D38,素材!$1:$1016,COLUMN($E$1),FALSE)/(LEN(VLOOKUP($D38,素材!$1:$1016,COLUMN($F$1),FALSE))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Q38">
        <f>IF(ISNUMBER(SEARCH(SUBSTITUTE(AQ$1,RIGHT(AQ$1,2),""),VLOOKUP($D38,素材!$1:$1016,COLUMN($F$1),FALSE))),VLOOKUP($C38,装備品!$1:$998,COLUMN($O$1),FALSE)*VLOOKUP($D38,素材!$1:$1016,COLUMN($E$1),FALSE)/(LEN(VLOOKUP($D38,素材!$1:$1016,COLUMN($F$1),FALSE))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R38">
        <f>IF(ISNUMBER(SEARCH(SUBSTITUTE(AR$1,RIGHT(AR$1,2),""),VLOOKUP($D38,素材!$1:$1016,COLUMN($F$1),FALSE))),VLOOKUP($C38,装備品!$1:$998,COLUMN($O$1),FALSE)*VLOOKUP($D38,素材!$1:$1016,COLUMN($E$1),FALSE)/(LEN(VLOOKUP($D38,素材!$1:$1016,COLUMN($F$1),FALSE))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S38">
        <f>IF(ISNUMBER(SEARCH(SUBSTITUTE(AS$1,RIGHT(AS$1,2),""),VLOOKUP($D38,素材!$1:$1016,COLUMN($F$1),FALSE))),VLOOKUP($C38,装備品!$1:$998,COLUMN($O$1),FALSE)*VLOOKUP($D38,素材!$1:$1016,COLUMN($E$1),FALSE)/(LEN(VLOOKUP($D38,素材!$1:$1016,COLUMN($F$1),FALSE))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T38">
        <f>IF(ISNUMBER(SEARCH(SUBSTITUTE(AT$1,RIGHT(AT$1,2),""),VLOOKUP($D38,素材!$1:$1016,COLUMN($F$1),FALSE))),VLOOKUP($C38,装備品!$1:$998,COLUMN($O$1),FALSE)*VLOOKUP($D38,素材!$1:$1016,COLUMN($E$1),FALSE)/(LEN(VLOOKUP($D38,素材!$1:$1016,COLUMN($F$1),FALSE))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U38">
        <f>IF(ISNUMBER(SEARCH(SUBSTITUTE(AU$1,RIGHT(AU$1,2),""),VLOOKUP($D38,素材!$1:$1016,COLUMN($F$1),FALSE))),VLOOKUP($C38,装備品!$1:$998,COLUMN($O$1),FALSE)*VLOOKUP($D38,素材!$1:$1016,COLUMN($E$1),FALSE)/(LEN(VLOOKUP($D38,素材!$1:$1016,COLUMN($F$1),FALSE))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V38">
        <f>IF(ISNUMBER(SEARCH(SUBSTITUTE(AV$1,RIGHT(AV$1,2),""),VLOOKUP($D38,素材!$1:$1016,COLUMN($F$1),FALSE))),VLOOKUP($C38,装備品!$1:$998,COLUMN($O$1),FALSE)*VLOOKUP($D38,素材!$1:$1016,COLUMN($E$1),FALSE)/(LEN(VLOOKUP($D38,素材!$1:$1016,COLUMN($F$1),FALSE))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W38">
        <f>IF(ISNUMBER(SEARCH(SUBSTITUTE(AW$1,RIGHT(AW$1,2),""),VLOOKUP($D38,素材!$1:$1016,COLUMN($F$1),FALSE))),VLOOKUP($C38,装備品!$1:$998,COLUMN($O$1),FALSE)*VLOOKUP($D38,素材!$1:$1016,COLUMN($E$1),FALSE)/(LEN(VLOOKUP($D38,素材!$1:$1016,COLUMN($F$1),FALSE))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X38">
        <f>IF(ISNUMBER(SEARCH(SUBSTITUTE(AX$1,RIGHT(AX$1,2),""),VLOOKUP($D38,素材!$1:$1016,COLUMN($F$1),FALSE))),VLOOKUP($C38,装備品!$1:$998,COLUMN($O$1),FALSE)*VLOOKUP($D38,素材!$1:$1016,COLUMN($E$1),FALSE)/(LEN(VLOOKUP($D38,素材!$1:$1016,COLUMN($F$1),FALSE))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Y38">
        <f>IF(ISNUMBER(SEARCH(SUBSTITUTE(AY$1,RIGHT(AY$1,2),""),VLOOKUP($D38,素材!$1:$1016,COLUMN($F$1),FALSE))),VLOOKUP($C38,装備品!$1:$998,COLUMN($O$1),FALSE)*VLOOKUP($D38,素材!$1:$1016,COLUMN($E$1),FALSE)/(LEN(VLOOKUP($D38,素材!$1:$1016,COLUMN($F$1),FALSE))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Z38">
        <f>IF(ISNUMBER(SEARCH(SUBSTITUTE(AZ$1,RIGHT(AZ$1,2),""),VLOOKUP($D38,素材!$1:$1016,COLUMN($F$1),FALSE))),VLOOKUP($C38,装備品!$1:$998,COLUMN($O$1),FALSE)*VLOOKUP($D38,素材!$1:$1016,COLUMN($E$1),FALSE)/(LEN(VLOOKUP($D38,素材!$1:$1016,COLUMN($F$1),FALSE))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BA38">
        <f>IF(ISNUMBER(SEARCH(SUBSTITUTE(BA$1,RIGHT(BA$1,2),""),VLOOKUP($D38,素材!$1:$1016,COLUMN($F$1),FALSE))),VLOOKUP($C38,装備品!$1:$998,COLUMN($O$1),FALSE)*VLOOKUP($D38,素材!$1:$1016,COLUMN($E$1),FALSE)/(LEN(VLOOKUP($D38,素材!$1:$1016,COLUMN($F$1),FALSE))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BB38">
        <f>IF(ISNUMBER(SEARCH(SUBSTITUTE(BB$1,RIGHT(BB$1,2),""),VLOOKUP($D38,素材!$1:$1016,COLUMN($F$1),FALSE))),VLOOKUP($C38,装備品!$1:$998,COLUMN($O$1),FALSE)*VLOOKUP($D38,素材!$1:$1016,COLUMN($E$1),FALSE)/(LEN(VLOOKUP($D38,素材!$1:$1016,COLUMN($F$1),FALSE))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BC38">
        <f>IF(ISNUMBER(SEARCH(SUBSTITUTE(BC$1,RIGHT(BC$1,2),""),VLOOKUP($D38,素材!$1:$1016,COLUMN($F$1),FALSE))),VLOOKUP($C38,装備品!$1:$998,COLUMN($O$1),FALSE)*VLOOKUP($D38,素材!$1:$1016,COLUMN($E$1),FALSE)/(LEN(VLOOKUP($D38,素材!$1:$1016,COLUMN($F$1),FALSE))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BD38">
        <f>IF(ISNUMBER(SEARCH(SUBSTITUTE(BD$1,RIGHT(BD$1,2),""),VLOOKUP($D38,素材!$1:$1016,COLUMN($F$1),FALSE))),VLOOKUP($C38,装備品!$1:$998,COLUMN($O$1),FALSE)*VLOOKUP($D38,素材!$1:$1016,COLUMN($E$1),FALSE)/(LEN(VLOOKUP($D38,素材!$1:$1016,COLUMN($F$1),FALSE))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BE38">
        <f>IF(ISNUMBER(SEARCH(SUBSTITUTE(BE$1,RIGHT(BE$1,2),""),VLOOKUP($D38,素材!$1:$1016,COLUMN($F$1),FALSE))),VLOOKUP($C38,装備品!$1:$998,COLUMN($O$1),FALSE)*VLOOKUP($D38,素材!$1:$1016,COLUMN($E$1),FALSE)/(LEN(VLOOKUP($D38,素材!$1:$1016,COLUMN($F$1),FALSE))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CL38">
        <f t="shared" si="1"/>
        <v>0</v>
      </c>
      <c r="CM38" s="22" t="str">
        <f t="shared" si="2"/>
        <v>体.webp</v>
      </c>
      <c r="CN38">
        <f>IFERROR(VLOOKUP($C38,装備品!$1:$998,COLUMN(V$1),FALSE)*VLOOKUP($D38,素材!$1:$1016,COLUMN(N$1),FALSE)+IF(CI38="",0,VLOOKUP($CI38,付与!$1:$1176,COLUMN($CK$1),FALSE)),"")</f>
        <v>0</v>
      </c>
      <c r="CO38" t="str">
        <f>VLOOKUP(D38,素材!$A:$O,COLUMN(素材!O$1),FALSE)</f>
        <v>一般的な鉄。量産品を作るのに使用されることが多い</v>
      </c>
      <c r="CP38" t="str">
        <f>VLOOKUP(C38,装備品!$A:$AB,COLUMN(装備品!AB$1),FALSE)</f>
        <v>HP 物理 魔法 体幹 出血 疲労 Cr</v>
      </c>
      <c r="CR38" t="str">
        <f t="shared" si="3"/>
        <v>e_38</v>
      </c>
      <c r="CS38">
        <f t="shared" si="4"/>
        <v>0</v>
      </c>
    </row>
    <row r="39" spans="1:97" outlineLevel="1" x14ac:dyDescent="0.4">
      <c r="A39" t="str">
        <f t="shared" si="5"/>
        <v>鉄の靴</v>
      </c>
      <c r="B39" t="str">
        <f>IFERROR(VLOOKUP($D39,素材!$1:$1016,COLUMN($B$1),FALSE)&amp;"・"&amp;VLOOKUP($C39,装備品!$1:$998,COLUMN(B$1),FALSE),"")</f>
        <v>アイアン・ブーツ</v>
      </c>
      <c r="C39" t="s">
        <v>205</v>
      </c>
      <c r="D39" s="24" t="s">
        <v>256</v>
      </c>
      <c r="E39" t="str">
        <f>IFERROR(VLOOKUP(C39,装備品!$1:$998,COLUMN(C$1),FALSE),"")</f>
        <v>足</v>
      </c>
      <c r="F39">
        <f>IFERROR(ROUNDDOWN((VLOOKUP($C39,装備品!$1:$998,COLUMN(D$1),FALSE)+IFERROR(VLOOKUP($CI39,付与!$1:$1167,COLUMN(F$1),FALSE),0))*VLOOKUP($D39,素材!$1:$1016,COLUMN(D$1),FALSE),0),"")</f>
        <v>0</v>
      </c>
      <c r="G39">
        <f>IFERROR(ROUNDDOWN((VLOOKUP($C39,装備品!$1:$998,COLUMN(E$1),FALSE)+IFERROR(VLOOKUP($CI39,付与!$1:$1167,COLUMN(G$1),FALSE),0))*VLOOKUP($D39,素材!$1:$1016,COLUMN($E$1),FALSE),0),"")</f>
        <v>0</v>
      </c>
      <c r="H39">
        <f>IFERROR(ROUNDDOWN((VLOOKUP($C39,装備品!$1:$998,COLUMN(F$1),FALSE)+IFERROR(VLOOKUP($CI39,付与!$1:$1167,COLUMN(H$1),FALSE),0))*VLOOKUP($D39,素材!$1:$1016,COLUMN($E$1),FALSE),0),"")</f>
        <v>0</v>
      </c>
      <c r="I39">
        <f>IFERROR(ROUNDDOWN((VLOOKUP($C39,装備品!$1:$998,COLUMN(G$1),FALSE)+IFERROR(VLOOKUP($CI39,付与!$1:$1167,COLUMN(I$1),FALSE),0))*VLOOKUP($D39,素材!$1:$1016,COLUMN($E$1),FALSE),0),"")</f>
        <v>20</v>
      </c>
      <c r="J39">
        <f>IFERROR(ROUNDDOWN((VLOOKUP($C39,装備品!$1:$998,COLUMN(H$1),FALSE)+IFERROR(VLOOKUP($CI39,付与!$1:$1167,COLUMN(J$1),FALSE),0))*VLOOKUP($D39,素材!$1:$1016,COLUMN($E$1),FALSE),0),"")</f>
        <v>0</v>
      </c>
      <c r="K39">
        <f>IFERROR(ROUNDDOWN((VLOOKUP($C39,装備品!$1:$998,COLUMN(I$1),FALSE)+IFERROR(VLOOKUP($CI39,付与!$1:$1167,COLUMN(K$1),FALSE),0))*VLOOKUP($D39,素材!$1:$1016,COLUMN($E$1),FALSE),0),"")</f>
        <v>0</v>
      </c>
      <c r="L39">
        <f>IFERROR(VLOOKUP($D39,素材!$1:$1016,COLUMN($F$1),FALSE),"")</f>
        <v>0</v>
      </c>
      <c r="M39">
        <f>IFERROR(VLOOKUP($C39,装備品!$1:$998,COLUMN(AA$1),FALSE)*VLOOKUP($D39,素材!$1:$1016,COLUMN($G$1),FALSE),"")</f>
        <v>0</v>
      </c>
      <c r="N39">
        <f>IFERROR(VLOOKUP($C39,装備品!$1:$998,COLUMN(I$1),FALSE),"")</f>
        <v>0</v>
      </c>
      <c r="O39" s="23">
        <f>IFERROR((VLOOKUP($C39,装備品!$1:$998,COLUMN(K$1),FALSE)+VLOOKUP($D39,素材!$1:$1016,COLUMN(H$1),FALSE))*100+IFERROR(VLOOKUP($CI39,付与!$1:$1167,COLUMN(O$1),FALSE),0),"")</f>
        <v>10</v>
      </c>
      <c r="P39" s="23">
        <f>IFERROR((VLOOKUP($C39,装備品!$1:$998,COLUMN(L$1),FALSE)+VLOOKUP($D39,素材!$1:$1016,COLUMN(I$1),FALSE))*100+IFERROR(VLOOKUP($CI39,付与!$1:$1167,COLUMN(P$1),FALSE),0),"")</f>
        <v>150</v>
      </c>
      <c r="Q39">
        <f>IFERROR(ROUNDUP(VLOOKUP($C39,装備品!$1:$998,COLUMN(M$1),FALSE)*(VLOOKUP($D39,素材!$1:$1002,COLUMN(D$1),FALSE)/100),1),"")</f>
        <v>0</v>
      </c>
      <c r="R39">
        <f>IFERROR(ROUNDUP(VLOOKUP($C39,装備品!$1:$998,COLUMN(N$1),FALSE)*(VLOOKUP($D39,素材!$1:$1002,COLUMN(D$1),FALSE)/100),1),"")</f>
        <v>0</v>
      </c>
      <c r="S39">
        <f>IFERROR(VLOOKUP($C39,装備品!$1:$998,COLUMN(P$1),FALSE),"")</f>
        <v>0</v>
      </c>
      <c r="T39">
        <f>IFERROR(VLOOKUP($C39,装備品!$1:$998,COLUMN(Q$1),FALSE),"")</f>
        <v>0</v>
      </c>
      <c r="U39">
        <f>IFERROR(VLOOKUP($C39,装備品!$1:$998,COLUMN(R$1),FALSE),"")</f>
        <v>0</v>
      </c>
      <c r="V39">
        <f>IFERROR(VLOOKUP($C39,装備品!$1:$998,COLUMN(Q$1),FALSE),"")</f>
        <v>0</v>
      </c>
      <c r="W39">
        <f>IFERROR(VLOOKUP($C39,装備品!$1:$998,COLUMN(T$1),FALSE),"")</f>
        <v>0.15</v>
      </c>
      <c r="Y39">
        <f>IFERROR(VLOOKUP($C39,装備品!$1:$998,COLUMN(U$1),FALSE),"")</f>
        <v>0</v>
      </c>
      <c r="Z39">
        <f>IFERROR(ROUNDUP(VLOOKUP($C39,装備品!$1:$998,COLUMN(O$1),FALSE)*VLOOKUP($D39,素材!$1:$1016,COLUMN(E$1),FALSE),1),"")</f>
        <v>0</v>
      </c>
      <c r="AA39">
        <f>IF(ISNUMBER(SEARCH(SUBSTITUTE(AA$1,RIGHT(AA$1,2),""),VLOOKUP($D39,素材!$1:$1016,COLUMN($F$1),FALSE))),VLOOKUP($C39,装備品!$1:$998,COLUMN($O$1),FALSE)*VLOOKUP($D39,素材!$1:$1016,COLUMN($E$1),FALSE)/(LEN(VLOOKUP($D39,素材!$1:$1016,COLUMN($F$1),FALSE))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B39">
        <f>IF(ISNUMBER(SEARCH(SUBSTITUTE(AB$1,RIGHT(AB$1,2),""),VLOOKUP($D39,素材!$1:$1016,COLUMN($F$1),FALSE))),VLOOKUP($C39,装備品!$1:$998,COLUMN($O$1),FALSE)*VLOOKUP($D39,素材!$1:$1016,COLUMN($E$1),FALSE)/(LEN(VLOOKUP($D39,素材!$1:$1016,COLUMN($F$1),FALSE))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C39">
        <f>IF(ISNUMBER(SEARCH(SUBSTITUTE(AC$1,RIGHT(AC$1,2),""),VLOOKUP($D39,素材!$1:$1016,COLUMN($F$1),FALSE))),VLOOKUP($C39,装備品!$1:$998,COLUMN($O$1),FALSE)*VLOOKUP($D39,素材!$1:$1016,COLUMN($E$1),FALSE)/(LEN(VLOOKUP($D39,素材!$1:$1016,COLUMN($F$1),FALSE))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D39">
        <f>IF(ISNUMBER(SEARCH(SUBSTITUTE(AD$1,RIGHT(AD$1,2),""),VLOOKUP($D39,素材!$1:$1016,COLUMN($F$1),FALSE))),VLOOKUP($C39,装備品!$1:$998,COLUMN($O$1),FALSE)*VLOOKUP($D39,素材!$1:$1016,COLUMN($E$1),FALSE)/(LEN(VLOOKUP($D39,素材!$1:$1016,COLUMN($F$1),FALSE))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E39">
        <f>IF(ISNUMBER(SEARCH(SUBSTITUTE(AE$1,RIGHT(AE$1,2),""),VLOOKUP($D39,素材!$1:$1016,COLUMN($F$1),FALSE))),VLOOKUP($C39,装備品!$1:$998,COLUMN($O$1),FALSE)*VLOOKUP($D39,素材!$1:$1016,COLUMN($E$1),FALSE)/(LEN(VLOOKUP($D39,素材!$1:$1016,COLUMN($F$1),FALSE))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F39">
        <f>IF(ISNUMBER(SEARCH(SUBSTITUTE(AF$1,RIGHT(AF$1,2),""),VLOOKUP($D39,素材!$1:$1016,COLUMN($F$1),FALSE))),VLOOKUP($C39,装備品!$1:$998,COLUMN($O$1),FALSE)*VLOOKUP($D39,素材!$1:$1016,COLUMN($E$1),FALSE)/(LEN(VLOOKUP($D39,素材!$1:$1016,COLUMN($F$1),FALSE))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G39">
        <f>IF(ISNUMBER(SEARCH(SUBSTITUTE(AG$1,RIGHT(AG$1,2),""),VLOOKUP($D39,素材!$1:$1016,COLUMN($F$1),FALSE))),VLOOKUP($C39,装備品!$1:$998,COLUMN($O$1),FALSE)*VLOOKUP($D39,素材!$1:$1016,COLUMN($E$1),FALSE)/(LEN(VLOOKUP($D39,素材!$1:$1016,COLUMN($F$1),FALSE))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H39">
        <f>IF(ISNUMBER(SEARCH(SUBSTITUTE(AH$1,RIGHT(AH$1,2),""),VLOOKUP($D39,素材!$1:$1016,COLUMN($F$1),FALSE))),VLOOKUP($C39,装備品!$1:$998,COLUMN($O$1),FALSE)*VLOOKUP($D39,素材!$1:$1016,COLUMN($E$1),FALSE)/(LEN(VLOOKUP($D39,素材!$1:$1016,COLUMN($F$1),FALSE))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I39">
        <f>IF(ISNUMBER(SEARCH(SUBSTITUTE(AI$1,RIGHT(AI$1,2),""),VLOOKUP($D39,素材!$1:$1016,COLUMN($F$1),FALSE))),VLOOKUP($C39,装備品!$1:$998,COLUMN($O$1),FALSE)*VLOOKUP($D39,素材!$1:$1016,COLUMN($E$1),FALSE)/(LEN(VLOOKUP($D39,素材!$1:$1016,COLUMN($F$1),FALSE))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J39">
        <f>IF(ISNUMBER(SEARCH(SUBSTITUTE(AJ$1,RIGHT(AJ$1,2),""),VLOOKUP($D39,素材!$1:$1016,COLUMN($F$1),FALSE))),VLOOKUP($C39,装備品!$1:$998,COLUMN($O$1),FALSE)*VLOOKUP($D39,素材!$1:$1016,COLUMN($E$1),FALSE)/(LEN(VLOOKUP($D39,素材!$1:$1016,COLUMN($F$1),FALSE))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K39">
        <f>IF(ISNUMBER(SEARCH(SUBSTITUTE(AK$1,RIGHT(AK$1,2),""),VLOOKUP($D39,素材!$1:$1016,COLUMN($F$1),FALSE))),VLOOKUP($C39,装備品!$1:$998,COLUMN($O$1),FALSE)*VLOOKUP($D39,素材!$1:$1016,COLUMN($E$1),FALSE)/(LEN(VLOOKUP($D39,素材!$1:$1016,COLUMN($F$1),FALSE))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L39">
        <f>IF(ISNUMBER(SEARCH(SUBSTITUTE(AL$1,RIGHT(AL$1,2),""),VLOOKUP($D39,素材!$1:$1016,COLUMN($F$1),FALSE))),VLOOKUP($C39,装備品!$1:$998,COLUMN($O$1),FALSE)*VLOOKUP($D39,素材!$1:$1016,COLUMN($E$1),FALSE)/(LEN(VLOOKUP($D39,素材!$1:$1016,COLUMN($F$1),FALSE))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M39">
        <f>IF(ISNUMBER(SEARCH(SUBSTITUTE(AM$1,RIGHT(AM$1,2),""),VLOOKUP($D39,素材!$1:$1016,COLUMN($F$1),FALSE))),VLOOKUP($C39,装備品!$1:$998,COLUMN($O$1),FALSE)*VLOOKUP($D39,素材!$1:$1016,COLUMN($E$1),FALSE)/(LEN(VLOOKUP($D39,素材!$1:$1016,COLUMN($F$1),FALSE))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N39">
        <f>IF(ISNUMBER(SEARCH(SUBSTITUTE(AN$1,RIGHT(AN$1,2),""),VLOOKUP($D39,素材!$1:$1016,COLUMN($F$1),FALSE))),VLOOKUP($C39,装備品!$1:$998,COLUMN($O$1),FALSE)*VLOOKUP($D39,素材!$1:$1016,COLUMN($E$1),FALSE)/(LEN(VLOOKUP($D39,素材!$1:$1016,COLUMN($F$1),FALSE))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O39">
        <f>IF(ISNUMBER(SEARCH(SUBSTITUTE(AO$1,RIGHT(AO$1,2),""),VLOOKUP($D39,素材!$1:$1016,COLUMN($F$1),FALSE))),VLOOKUP($C39,装備品!$1:$998,COLUMN($O$1),FALSE)*VLOOKUP($D39,素材!$1:$1016,COLUMN($E$1),FALSE)/(LEN(VLOOKUP($D39,素材!$1:$1016,COLUMN($F$1),FALSE))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P39">
        <f>IF(ISNUMBER(SEARCH(SUBSTITUTE(AP$1,RIGHT(AP$1,2),""),VLOOKUP($D39,素材!$1:$1016,COLUMN($F$1),FALSE))),VLOOKUP($C39,装備品!$1:$998,COLUMN($O$1),FALSE)*VLOOKUP($D39,素材!$1:$1016,COLUMN($E$1),FALSE)/(LEN(VLOOKUP($D39,素材!$1:$1016,COLUMN($F$1),FALSE))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Q39">
        <f>IF(ISNUMBER(SEARCH(SUBSTITUTE(AQ$1,RIGHT(AQ$1,2),""),VLOOKUP($D39,素材!$1:$1016,COLUMN($F$1),FALSE))),VLOOKUP($C39,装備品!$1:$998,COLUMN($O$1),FALSE)*VLOOKUP($D39,素材!$1:$1016,COLUMN($E$1),FALSE)/(LEN(VLOOKUP($D39,素材!$1:$1016,COLUMN($F$1),FALSE))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R39">
        <f>IF(ISNUMBER(SEARCH(SUBSTITUTE(AR$1,RIGHT(AR$1,2),""),VLOOKUP($D39,素材!$1:$1016,COLUMN($F$1),FALSE))),VLOOKUP($C39,装備品!$1:$998,COLUMN($O$1),FALSE)*VLOOKUP($D39,素材!$1:$1016,COLUMN($E$1),FALSE)/(LEN(VLOOKUP($D39,素材!$1:$1016,COLUMN($F$1),FALSE))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S39">
        <f>IF(ISNUMBER(SEARCH(SUBSTITUTE(AS$1,RIGHT(AS$1,2),""),VLOOKUP($D39,素材!$1:$1016,COLUMN($F$1),FALSE))),VLOOKUP($C39,装備品!$1:$998,COLUMN($O$1),FALSE)*VLOOKUP($D39,素材!$1:$1016,COLUMN($E$1),FALSE)/(LEN(VLOOKUP($D39,素材!$1:$1016,COLUMN($F$1),FALSE))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T39">
        <f>IF(ISNUMBER(SEARCH(SUBSTITUTE(AT$1,RIGHT(AT$1,2),""),VLOOKUP($D39,素材!$1:$1016,COLUMN($F$1),FALSE))),VLOOKUP($C39,装備品!$1:$998,COLUMN($O$1),FALSE)*VLOOKUP($D39,素材!$1:$1016,COLUMN($E$1),FALSE)/(LEN(VLOOKUP($D39,素材!$1:$1016,COLUMN($F$1),FALSE))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U39">
        <f>IF(ISNUMBER(SEARCH(SUBSTITUTE(AU$1,RIGHT(AU$1,2),""),VLOOKUP($D39,素材!$1:$1016,COLUMN($F$1),FALSE))),VLOOKUP($C39,装備品!$1:$998,COLUMN($O$1),FALSE)*VLOOKUP($D39,素材!$1:$1016,COLUMN($E$1),FALSE)/(LEN(VLOOKUP($D39,素材!$1:$1016,COLUMN($F$1),FALSE))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V39">
        <f>IF(ISNUMBER(SEARCH(SUBSTITUTE(AV$1,RIGHT(AV$1,2),""),VLOOKUP($D39,素材!$1:$1016,COLUMN($F$1),FALSE))),VLOOKUP($C39,装備品!$1:$998,COLUMN($O$1),FALSE)*VLOOKUP($D39,素材!$1:$1016,COLUMN($E$1),FALSE)/(LEN(VLOOKUP($D39,素材!$1:$1016,COLUMN($F$1),FALSE))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W39">
        <f>IF(ISNUMBER(SEARCH(SUBSTITUTE(AW$1,RIGHT(AW$1,2),""),VLOOKUP($D39,素材!$1:$1016,COLUMN($F$1),FALSE))),VLOOKUP($C39,装備品!$1:$998,COLUMN($O$1),FALSE)*VLOOKUP($D39,素材!$1:$1016,COLUMN($E$1),FALSE)/(LEN(VLOOKUP($D39,素材!$1:$1016,COLUMN($F$1),FALSE))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X39">
        <f>IF(ISNUMBER(SEARCH(SUBSTITUTE(AX$1,RIGHT(AX$1,2),""),VLOOKUP($D39,素材!$1:$1016,COLUMN($F$1),FALSE))),VLOOKUP($C39,装備品!$1:$998,COLUMN($O$1),FALSE)*VLOOKUP($D39,素材!$1:$1016,COLUMN($E$1),FALSE)/(LEN(VLOOKUP($D39,素材!$1:$1016,COLUMN($F$1),FALSE))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Y39">
        <f>IF(ISNUMBER(SEARCH(SUBSTITUTE(AY$1,RIGHT(AY$1,2),""),VLOOKUP($D39,素材!$1:$1016,COLUMN($F$1),FALSE))),VLOOKUP($C39,装備品!$1:$998,COLUMN($O$1),FALSE)*VLOOKUP($D39,素材!$1:$1016,COLUMN($E$1),FALSE)/(LEN(VLOOKUP($D39,素材!$1:$1016,COLUMN($F$1),FALSE))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Z39">
        <f>IF(ISNUMBER(SEARCH(SUBSTITUTE(AZ$1,RIGHT(AZ$1,2),""),VLOOKUP($D39,素材!$1:$1016,COLUMN($F$1),FALSE))),VLOOKUP($C39,装備品!$1:$998,COLUMN($O$1),FALSE)*VLOOKUP($D39,素材!$1:$1016,COLUMN($E$1),FALSE)/(LEN(VLOOKUP($D39,素材!$1:$1016,COLUMN($F$1),FALSE))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BA39">
        <f>IF(ISNUMBER(SEARCH(SUBSTITUTE(BA$1,RIGHT(BA$1,2),""),VLOOKUP($D39,素材!$1:$1016,COLUMN($F$1),FALSE))),VLOOKUP($C39,装備品!$1:$998,COLUMN($O$1),FALSE)*VLOOKUP($D39,素材!$1:$1016,COLUMN($E$1),FALSE)/(LEN(VLOOKUP($D39,素材!$1:$1016,COLUMN($F$1),FALSE))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BB39">
        <f>IF(ISNUMBER(SEARCH(SUBSTITUTE(BB$1,RIGHT(BB$1,2),""),VLOOKUP($D39,素材!$1:$1016,COLUMN($F$1),FALSE))),VLOOKUP($C39,装備品!$1:$998,COLUMN($O$1),FALSE)*VLOOKUP($D39,素材!$1:$1016,COLUMN($E$1),FALSE)/(LEN(VLOOKUP($D39,素材!$1:$1016,COLUMN($F$1),FALSE))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BC39">
        <f>IF(ISNUMBER(SEARCH(SUBSTITUTE(BC$1,RIGHT(BC$1,2),""),VLOOKUP($D39,素材!$1:$1016,COLUMN($F$1),FALSE))),VLOOKUP($C39,装備品!$1:$998,COLUMN($O$1),FALSE)*VLOOKUP($D39,素材!$1:$1016,COLUMN($E$1),FALSE)/(LEN(VLOOKUP($D39,素材!$1:$1016,COLUMN($F$1),FALSE))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BD39">
        <f>IF(ISNUMBER(SEARCH(SUBSTITUTE(BD$1,RIGHT(BD$1,2),""),VLOOKUP($D39,素材!$1:$1016,COLUMN($F$1),FALSE))),VLOOKUP($C39,装備品!$1:$998,COLUMN($O$1),FALSE)*VLOOKUP($D39,素材!$1:$1016,COLUMN($E$1),FALSE)/(LEN(VLOOKUP($D39,素材!$1:$1016,COLUMN($F$1),FALSE))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BE39">
        <f>IF(ISNUMBER(SEARCH(SUBSTITUTE(BE$1,RIGHT(BE$1,2),""),VLOOKUP($D39,素材!$1:$1016,COLUMN($F$1),FALSE))),VLOOKUP($C39,装備品!$1:$998,COLUMN($O$1),FALSE)*VLOOKUP($D39,素材!$1:$1016,COLUMN($E$1),FALSE)/(LEN(VLOOKUP($D39,素材!$1:$1016,COLUMN($F$1),FALSE))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CL39">
        <f t="shared" si="1"/>
        <v>20</v>
      </c>
      <c r="CM39" s="22" t="str">
        <f t="shared" si="2"/>
        <v>足.webp</v>
      </c>
      <c r="CN39">
        <f>IFERROR(VLOOKUP($C39,装備品!$1:$998,COLUMN(V$1),FALSE)*VLOOKUP($D39,素材!$1:$1016,COLUMN(N$1),FALSE)+IF(CI39="",0,VLOOKUP($CI39,付与!$1:$1176,COLUMN($CK$1),FALSE)),"")</f>
        <v>0</v>
      </c>
      <c r="CO39" t="str">
        <f>VLOOKUP(D39,素材!$A:$O,COLUMN(素材!O$1),FALSE)</f>
        <v>一般的な鉄。量産品を作るのに使用されることが多い</v>
      </c>
      <c r="CP39" t="str">
        <f>VLOOKUP(C39,装備品!$A:$AB,COLUMN(装備品!AB$1),FALSE)</f>
        <v>速度 隠密 軽業 体幹</v>
      </c>
      <c r="CR39" t="str">
        <f t="shared" si="3"/>
        <v>e_39</v>
      </c>
      <c r="CS39">
        <f t="shared" si="4"/>
        <v>0</v>
      </c>
    </row>
    <row r="40" spans="1:97" x14ac:dyDescent="0.4">
      <c r="A40" t="str">
        <f t="shared" si="5"/>
        <v>木の短刀</v>
      </c>
      <c r="B40" t="str">
        <f>IFERROR(VLOOKUP($D40,素材!$1:$1016,COLUMN($B$1),FALSE)&amp;"・"&amp;VLOOKUP($C40,装備品!$1:$998,COLUMN(B$1),FALSE),"")</f>
        <v>ウッド・ナイフ</v>
      </c>
      <c r="C40" s="24" t="s">
        <v>241</v>
      </c>
      <c r="D40" s="24" t="s">
        <v>254</v>
      </c>
      <c r="E40" t="str">
        <f>IFERROR(VLOOKUP(C40,装備品!$1:$998,COLUMN(C$1),FALSE),"")</f>
        <v>武器</v>
      </c>
      <c r="F40">
        <f>IFERROR(ROUNDDOWN((VLOOKUP($C40,装備品!$1:$998,COLUMN(D$1),FALSE)+IFERROR(VLOOKUP($CI40,付与!$1:$1167,COLUMN(F$1),FALSE),0))*VLOOKUP($D40,素材!$1:$1016,COLUMN(D$1),FALSE),0),"")</f>
        <v>75</v>
      </c>
      <c r="G40">
        <f>IFERROR(ROUNDDOWN((VLOOKUP($C40,装備品!$1:$998,COLUMN(E$1),FALSE)+IFERROR(VLOOKUP($CI40,付与!$1:$1167,COLUMN(G$1),FALSE),0))*VLOOKUP($D40,素材!$1:$1016,COLUMN($E$1),FALSE),0),"")</f>
        <v>7</v>
      </c>
      <c r="H40">
        <f>IFERROR(ROUNDDOWN((VLOOKUP($C40,装備品!$1:$998,COLUMN(F$1),FALSE)+IFERROR(VLOOKUP($CI40,付与!$1:$1167,COLUMN(H$1),FALSE),0))*VLOOKUP($D40,素材!$1:$1016,COLUMN($E$1),FALSE),0),"")</f>
        <v>6</v>
      </c>
      <c r="I40">
        <f>IFERROR(ROUNDDOWN((VLOOKUP($C40,装備品!$1:$998,COLUMN(G$1),FALSE)+IFERROR(VLOOKUP($CI40,付与!$1:$1167,COLUMN(I$1),FALSE),0))*VLOOKUP($D40,素材!$1:$1016,COLUMN($E$1),FALSE),0),"")</f>
        <v>1</v>
      </c>
      <c r="J40">
        <f>IFERROR(ROUNDDOWN((VLOOKUP($C40,装備品!$1:$998,COLUMN(H$1),FALSE)+IFERROR(VLOOKUP($CI40,付与!$1:$1167,COLUMN(J$1),FALSE),0))*VLOOKUP($D40,素材!$1:$1016,COLUMN($E$1),FALSE),0),"")</f>
        <v>9</v>
      </c>
      <c r="K40">
        <f>IFERROR(ROUNDDOWN((VLOOKUP($C40,装備品!$1:$998,COLUMN(I$1),FALSE)+IFERROR(VLOOKUP($CI40,付与!$1:$1167,COLUMN(K$1),FALSE),0))*VLOOKUP($D40,素材!$1:$1016,COLUMN($E$1),FALSE),0),"")</f>
        <v>0</v>
      </c>
      <c r="L40">
        <f>IFERROR(VLOOKUP($D40,素材!$1:$1016,COLUMN($F$1),FALSE),"")</f>
        <v>0</v>
      </c>
      <c r="M40">
        <f>IFERROR(VLOOKUP($C40,装備品!$1:$998,COLUMN(AA$1),FALSE)*VLOOKUP($D40,素材!$1:$1016,COLUMN($G$1),FALSE),"")</f>
        <v>0</v>
      </c>
      <c r="N40">
        <f>IFERROR(VLOOKUP($C40,装備品!$1:$998,COLUMN(I$1),FALSE),"")</f>
        <v>0</v>
      </c>
      <c r="O40" s="23">
        <f>IFERROR((VLOOKUP($C40,装備品!$1:$998,COLUMN(K$1),FALSE)+VLOOKUP($D40,素材!$1:$1016,COLUMN(H$1),FALSE))*100+IFERROR(VLOOKUP($CI40,付与!$1:$1167,COLUMN(O$1),FALSE),0),"")</f>
        <v>10</v>
      </c>
      <c r="P40" s="23">
        <f>IFERROR((VLOOKUP($C40,装備品!$1:$998,COLUMN(L$1),FALSE)+VLOOKUP($D40,素材!$1:$1016,COLUMN(I$1),FALSE))*100+IFERROR(VLOOKUP($CI40,付与!$1:$1167,COLUMN(P$1),FALSE),0),"")</f>
        <v>175</v>
      </c>
      <c r="Q40">
        <f>IFERROR(ROUNDUP(VLOOKUP($C40,装備品!$1:$998,COLUMN(M$1),FALSE)*(VLOOKUP($D40,素材!$1:$1002,COLUMN(D$1),FALSE)/100),1),"")</f>
        <v>0</v>
      </c>
      <c r="R40">
        <f>IFERROR(ROUNDUP(VLOOKUP($C40,装備品!$1:$998,COLUMN(N$1),FALSE)*(VLOOKUP($D40,素材!$1:$1002,COLUMN(D$1),FALSE)/100),1),"")</f>
        <v>0</v>
      </c>
      <c r="S40">
        <f>IFERROR(VLOOKUP($C40,装備品!$1:$998,COLUMN(P$1),FALSE),"")</f>
        <v>0</v>
      </c>
      <c r="T40">
        <f>IFERROR(VLOOKUP($C40,装備品!$1:$998,COLUMN(Q$1),FALSE),"")</f>
        <v>0</v>
      </c>
      <c r="U40">
        <f>IFERROR(VLOOKUP($C40,装備品!$1:$998,COLUMN(R$1),FALSE),"")</f>
        <v>0</v>
      </c>
      <c r="V40">
        <f>IFERROR(VLOOKUP($C40,装備品!$1:$998,COLUMN(Q$1),FALSE),"")</f>
        <v>0</v>
      </c>
      <c r="W40">
        <f>IFERROR(VLOOKUP($C40,装備品!$1:$998,COLUMN(T$1),FALSE),"")</f>
        <v>0</v>
      </c>
      <c r="Y40">
        <f>IFERROR(VLOOKUP($C40,装備品!$1:$998,COLUMN(U$1),FALSE),"")</f>
        <v>0</v>
      </c>
      <c r="Z40">
        <f>IFERROR(ROUNDUP(VLOOKUP($C40,装備品!$1:$998,COLUMN(O$1),FALSE)*VLOOKUP($D40,素材!$1:$1016,COLUMN(E$1),FALSE),1),"")</f>
        <v>0</v>
      </c>
      <c r="AA40">
        <f>IF(ISNUMBER(SEARCH(SUBSTITUTE(AA$1,RIGHT(AA$1,2),""),VLOOKUP($D40,素材!$1:$1016,COLUMN($F$1),FALSE))),VLOOKUP($C40,装備品!$1:$998,COLUMN($O$1),FALSE)*VLOOKUP($D40,素材!$1:$1016,COLUMN($E$1),FALSE)/(LEN(VLOOKUP($D40,素材!$1:$1016,COLUMN($F$1),FALSE))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B40">
        <f>IF(ISNUMBER(SEARCH(SUBSTITUTE(AB$1,RIGHT(AB$1,2),""),VLOOKUP($D40,素材!$1:$1016,COLUMN($F$1),FALSE))),VLOOKUP($C40,装備品!$1:$998,COLUMN($O$1),FALSE)*VLOOKUP($D40,素材!$1:$1016,COLUMN($E$1),FALSE)/(LEN(VLOOKUP($D40,素材!$1:$1016,COLUMN($F$1),FALSE))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C40">
        <f>IF(ISNUMBER(SEARCH(SUBSTITUTE(AC$1,RIGHT(AC$1,2),""),VLOOKUP($D40,素材!$1:$1016,COLUMN($F$1),FALSE))),VLOOKUP($C40,装備品!$1:$998,COLUMN($O$1),FALSE)*VLOOKUP($D40,素材!$1:$1016,COLUMN($E$1),FALSE)/(LEN(VLOOKUP($D40,素材!$1:$1016,COLUMN($F$1),FALSE))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D40">
        <f>IF(ISNUMBER(SEARCH(SUBSTITUTE(AD$1,RIGHT(AD$1,2),""),VLOOKUP($D40,素材!$1:$1016,COLUMN($F$1),FALSE))),VLOOKUP($C40,装備品!$1:$998,COLUMN($O$1),FALSE)*VLOOKUP($D40,素材!$1:$1016,COLUMN($E$1),FALSE)/(LEN(VLOOKUP($D40,素材!$1:$1016,COLUMN($F$1),FALSE))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E40">
        <f>IF(ISNUMBER(SEARCH(SUBSTITUTE(AE$1,RIGHT(AE$1,2),""),VLOOKUP($D40,素材!$1:$1016,COLUMN($F$1),FALSE))),VLOOKUP($C40,装備品!$1:$998,COLUMN($O$1),FALSE)*VLOOKUP($D40,素材!$1:$1016,COLUMN($E$1),FALSE)/(LEN(VLOOKUP($D40,素材!$1:$1016,COLUMN($F$1),FALSE))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F40">
        <f>IF(ISNUMBER(SEARCH(SUBSTITUTE(AF$1,RIGHT(AF$1,2),""),VLOOKUP($D40,素材!$1:$1016,COLUMN($F$1),FALSE))),VLOOKUP($C40,装備品!$1:$998,COLUMN($O$1),FALSE)*VLOOKUP($D40,素材!$1:$1016,COLUMN($E$1),FALSE)/(LEN(VLOOKUP($D40,素材!$1:$1016,COLUMN($F$1),FALSE))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G40">
        <f>IF(ISNUMBER(SEARCH(SUBSTITUTE(AG$1,RIGHT(AG$1,2),""),VLOOKUP($D40,素材!$1:$1016,COLUMN($F$1),FALSE))),VLOOKUP($C40,装備品!$1:$998,COLUMN($O$1),FALSE)*VLOOKUP($D40,素材!$1:$1016,COLUMN($E$1),FALSE)/(LEN(VLOOKUP($D40,素材!$1:$1016,COLUMN($F$1),FALSE))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H40">
        <f>IF(ISNUMBER(SEARCH(SUBSTITUTE(AH$1,RIGHT(AH$1,2),""),VLOOKUP($D40,素材!$1:$1016,COLUMN($F$1),FALSE))),VLOOKUP($C40,装備品!$1:$998,COLUMN($O$1),FALSE)*VLOOKUP($D40,素材!$1:$1016,COLUMN($E$1),FALSE)/(LEN(VLOOKUP($D40,素材!$1:$1016,COLUMN($F$1),FALSE))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I40">
        <f>IF(ISNUMBER(SEARCH(SUBSTITUTE(AI$1,RIGHT(AI$1,2),""),VLOOKUP($D40,素材!$1:$1016,COLUMN($F$1),FALSE))),VLOOKUP($C40,装備品!$1:$998,COLUMN($O$1),FALSE)*VLOOKUP($D40,素材!$1:$1016,COLUMN($E$1),FALSE)/(LEN(VLOOKUP($D40,素材!$1:$1016,COLUMN($F$1),FALSE))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J40">
        <f>IF(ISNUMBER(SEARCH(SUBSTITUTE(AJ$1,RIGHT(AJ$1,2),""),VLOOKUP($D40,素材!$1:$1016,COLUMN($F$1),FALSE))),VLOOKUP($C40,装備品!$1:$998,COLUMN($O$1),FALSE)*VLOOKUP($D40,素材!$1:$1016,COLUMN($E$1),FALSE)/(LEN(VLOOKUP($D40,素材!$1:$1016,COLUMN($F$1),FALSE))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K40">
        <f>IF(ISNUMBER(SEARCH(SUBSTITUTE(AK$1,RIGHT(AK$1,2),""),VLOOKUP($D40,素材!$1:$1016,COLUMN($F$1),FALSE))),VLOOKUP($C40,装備品!$1:$998,COLUMN($O$1),FALSE)*VLOOKUP($D40,素材!$1:$1016,COLUMN($E$1),FALSE)/(LEN(VLOOKUP($D40,素材!$1:$1016,COLUMN($F$1),FALSE))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L40">
        <f>IF(ISNUMBER(SEARCH(SUBSTITUTE(AL$1,RIGHT(AL$1,2),""),VLOOKUP($D40,素材!$1:$1016,COLUMN($F$1),FALSE))),VLOOKUP($C40,装備品!$1:$998,COLUMN($O$1),FALSE)*VLOOKUP($D40,素材!$1:$1016,COLUMN($E$1),FALSE)/(LEN(VLOOKUP($D40,素材!$1:$1016,COLUMN($F$1),FALSE))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M40">
        <f>IF(ISNUMBER(SEARCH(SUBSTITUTE(AM$1,RIGHT(AM$1,2),""),VLOOKUP($D40,素材!$1:$1016,COLUMN($F$1),FALSE))),VLOOKUP($C40,装備品!$1:$998,COLUMN($O$1),FALSE)*VLOOKUP($D40,素材!$1:$1016,COLUMN($E$1),FALSE)/(LEN(VLOOKUP($D40,素材!$1:$1016,COLUMN($F$1),FALSE))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N40">
        <f>IF(ISNUMBER(SEARCH(SUBSTITUTE(AN$1,RIGHT(AN$1,2),""),VLOOKUP($D40,素材!$1:$1016,COLUMN($F$1),FALSE))),VLOOKUP($C40,装備品!$1:$998,COLUMN($O$1),FALSE)*VLOOKUP($D40,素材!$1:$1016,COLUMN($E$1),FALSE)/(LEN(VLOOKUP($D40,素材!$1:$1016,COLUMN($F$1),FALSE))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O40">
        <f>IF(ISNUMBER(SEARCH(SUBSTITUTE(AO$1,RIGHT(AO$1,2),""),VLOOKUP($D40,素材!$1:$1016,COLUMN($F$1),FALSE))),VLOOKUP($C40,装備品!$1:$998,COLUMN($O$1),FALSE)*VLOOKUP($D40,素材!$1:$1016,COLUMN($E$1),FALSE)/(LEN(VLOOKUP($D40,素材!$1:$1016,COLUMN($F$1),FALSE))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P40">
        <f>IF(ISNUMBER(SEARCH(SUBSTITUTE(AP$1,RIGHT(AP$1,2),""),VLOOKUP($D40,素材!$1:$1016,COLUMN($F$1),FALSE))),VLOOKUP($C40,装備品!$1:$998,COLUMN($O$1),FALSE)*VLOOKUP($D40,素材!$1:$1016,COLUMN($E$1),FALSE)/(LEN(VLOOKUP($D40,素材!$1:$1016,COLUMN($F$1),FALSE))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Q40">
        <f>IF(ISNUMBER(SEARCH(SUBSTITUTE(AQ$1,RIGHT(AQ$1,2),""),VLOOKUP($D40,素材!$1:$1016,COLUMN($F$1),FALSE))),VLOOKUP($C40,装備品!$1:$998,COLUMN($O$1),FALSE)*VLOOKUP($D40,素材!$1:$1016,COLUMN($E$1),FALSE)/(LEN(VLOOKUP($D40,素材!$1:$1016,COLUMN($F$1),FALSE))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R40">
        <f>IF(ISNUMBER(SEARCH(SUBSTITUTE(AR$1,RIGHT(AR$1,2),""),VLOOKUP($D40,素材!$1:$1016,COLUMN($F$1),FALSE))),VLOOKUP($C40,装備品!$1:$998,COLUMN($O$1),FALSE)*VLOOKUP($D40,素材!$1:$1016,COLUMN($E$1),FALSE)/(LEN(VLOOKUP($D40,素材!$1:$1016,COLUMN($F$1),FALSE))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S40">
        <f>IF(ISNUMBER(SEARCH(SUBSTITUTE(AS$1,RIGHT(AS$1,2),""),VLOOKUP($D40,素材!$1:$1016,COLUMN($F$1),FALSE))),VLOOKUP($C40,装備品!$1:$998,COLUMN($O$1),FALSE)*VLOOKUP($D40,素材!$1:$1016,COLUMN($E$1),FALSE)/(LEN(VLOOKUP($D40,素材!$1:$1016,COLUMN($F$1),FALSE))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T40">
        <f>IF(ISNUMBER(SEARCH(SUBSTITUTE(AT$1,RIGHT(AT$1,2),""),VLOOKUP($D40,素材!$1:$1016,COLUMN($F$1),FALSE))),VLOOKUP($C40,装備品!$1:$998,COLUMN($O$1),FALSE)*VLOOKUP($D40,素材!$1:$1016,COLUMN($E$1),FALSE)/(LEN(VLOOKUP($D40,素材!$1:$1016,COLUMN($F$1),FALSE))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U40">
        <f>IF(ISNUMBER(SEARCH(SUBSTITUTE(AU$1,RIGHT(AU$1,2),""),VLOOKUP($D40,素材!$1:$1016,COLUMN($F$1),FALSE))),VLOOKUP($C40,装備品!$1:$998,COLUMN($O$1),FALSE)*VLOOKUP($D40,素材!$1:$1016,COLUMN($E$1),FALSE)/(LEN(VLOOKUP($D40,素材!$1:$1016,COLUMN($F$1),FALSE))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V40">
        <f>IF(ISNUMBER(SEARCH(SUBSTITUTE(AV$1,RIGHT(AV$1,2),""),VLOOKUP($D40,素材!$1:$1016,COLUMN($F$1),FALSE))),VLOOKUP($C40,装備品!$1:$998,COLUMN($O$1),FALSE)*VLOOKUP($D40,素材!$1:$1016,COLUMN($E$1),FALSE)/(LEN(VLOOKUP($D40,素材!$1:$1016,COLUMN($F$1),FALSE))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W40">
        <f>IF(ISNUMBER(SEARCH(SUBSTITUTE(AW$1,RIGHT(AW$1,2),""),VLOOKUP($D40,素材!$1:$1016,COLUMN($F$1),FALSE))),VLOOKUP($C40,装備品!$1:$998,COLUMN($O$1),FALSE)*VLOOKUP($D40,素材!$1:$1016,COLUMN($E$1),FALSE)/(LEN(VLOOKUP($D40,素材!$1:$1016,COLUMN($F$1),FALSE))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X40">
        <f>IF(ISNUMBER(SEARCH(SUBSTITUTE(AX$1,RIGHT(AX$1,2),""),VLOOKUP($D40,素材!$1:$1016,COLUMN($F$1),FALSE))),VLOOKUP($C40,装備品!$1:$998,COLUMN($O$1),FALSE)*VLOOKUP($D40,素材!$1:$1016,COLUMN($E$1),FALSE)/(LEN(VLOOKUP($D40,素材!$1:$1016,COLUMN($F$1),FALSE))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Y40">
        <f>IF(ISNUMBER(SEARCH(SUBSTITUTE(AY$1,RIGHT(AY$1,2),""),VLOOKUP($D40,素材!$1:$1016,COLUMN($F$1),FALSE))),VLOOKUP($C40,装備品!$1:$998,COLUMN($O$1),FALSE)*VLOOKUP($D40,素材!$1:$1016,COLUMN($E$1),FALSE)/(LEN(VLOOKUP($D40,素材!$1:$1016,COLUMN($F$1),FALSE))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Z40">
        <f>IF(ISNUMBER(SEARCH(SUBSTITUTE(AZ$1,RIGHT(AZ$1,2),""),VLOOKUP($D40,素材!$1:$1016,COLUMN($F$1),FALSE))),VLOOKUP($C40,装備品!$1:$998,COLUMN($O$1),FALSE)*VLOOKUP($D40,素材!$1:$1016,COLUMN($E$1),FALSE)/(LEN(VLOOKUP($D40,素材!$1:$1016,COLUMN($F$1),FALSE))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BA40">
        <f>IF(ISNUMBER(SEARCH(SUBSTITUTE(BA$1,RIGHT(BA$1,2),""),VLOOKUP($D40,素材!$1:$1016,COLUMN($F$1),FALSE))),VLOOKUP($C40,装備品!$1:$998,COLUMN($O$1),FALSE)*VLOOKUP($D40,素材!$1:$1016,COLUMN($E$1),FALSE)/(LEN(VLOOKUP($D40,素材!$1:$1016,COLUMN($F$1),FALSE))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BB40">
        <f>IF(ISNUMBER(SEARCH(SUBSTITUTE(BB$1,RIGHT(BB$1,2),""),VLOOKUP($D40,素材!$1:$1016,COLUMN($F$1),FALSE))),VLOOKUP($C40,装備品!$1:$998,COLUMN($O$1),FALSE)*VLOOKUP($D40,素材!$1:$1016,COLUMN($E$1),FALSE)/(LEN(VLOOKUP($D40,素材!$1:$1016,COLUMN($F$1),FALSE))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BC40">
        <f>IF(ISNUMBER(SEARCH(SUBSTITUTE(BC$1,RIGHT(BC$1,2),""),VLOOKUP($D40,素材!$1:$1016,COLUMN($F$1),FALSE))),VLOOKUP($C40,装備品!$1:$998,COLUMN($O$1),FALSE)*VLOOKUP($D40,素材!$1:$1016,COLUMN($E$1),FALSE)/(LEN(VLOOKUP($D40,素材!$1:$1016,COLUMN($F$1),FALSE))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BD40">
        <f>IF(ISNUMBER(SEARCH(SUBSTITUTE(BD$1,RIGHT(BD$1,2),""),VLOOKUP($D40,素材!$1:$1016,COLUMN($F$1),FALSE))),VLOOKUP($C40,装備品!$1:$998,COLUMN($O$1),FALSE)*VLOOKUP($D40,素材!$1:$1016,COLUMN($E$1),FALSE)/(LEN(VLOOKUP($D40,素材!$1:$1016,COLUMN($F$1),FALSE))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BE40">
        <f>IF(ISNUMBER(SEARCH(SUBSTITUTE(BE$1,RIGHT(BE$1,2),""),VLOOKUP($D40,素材!$1:$1016,COLUMN($F$1),FALSE))),VLOOKUP($C40,装備品!$1:$998,COLUMN($O$1),FALSE)*VLOOKUP($D40,素材!$1:$1016,COLUMN($E$1),FALSE)/(LEN(VLOOKUP($D40,素材!$1:$1016,COLUMN($F$1),FALSE))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CL40">
        <f t="shared" si="1"/>
        <v>14</v>
      </c>
      <c r="CM40" s="22" t="str">
        <f t="shared" si="2"/>
        <v>切断.webp</v>
      </c>
      <c r="CN40">
        <f>IFERROR(VLOOKUP($C40,装備品!$1:$998,COLUMN(V$1),FALSE)*VLOOKUP($D40,素材!$1:$1016,COLUMN(N$1),FALSE)+IF(CI40="",0,VLOOKUP($CI40,付与!$1:$1176,COLUMN($CK$1),FALSE)),"")</f>
        <v>0</v>
      </c>
      <c r="CO40" t="str">
        <f>VLOOKUP(D40,素材!$A:$O,COLUMN(素材!O$1),FALSE)</f>
        <v>一般的な木材。金属より軽いが少し脆い</v>
      </c>
      <c r="CP40" t="str">
        <f>VLOOKUP(C40,装備品!$A:$AB,COLUMN(装備品!AB$1),FALSE)</f>
        <v>短刀。暗殺向けの武器で、軽量かつ片手操作に適する。Cr威力が高い</v>
      </c>
      <c r="CR40" t="str">
        <f t="shared" si="3"/>
        <v>e_40</v>
      </c>
      <c r="CS40">
        <f t="shared" si="4"/>
        <v>0</v>
      </c>
    </row>
    <row r="41" spans="1:97" outlineLevel="1" x14ac:dyDescent="0.4">
      <c r="A41" t="str">
        <f t="shared" si="5"/>
        <v>木の刀</v>
      </c>
      <c r="B41" t="str">
        <f>IFERROR(VLOOKUP($D41,素材!$1:$1016,COLUMN($B$1),FALSE)&amp;"・"&amp;VLOOKUP($C41,装備品!$1:$998,COLUMN(B$1),FALSE),"")</f>
        <v>ウッド・カタナ</v>
      </c>
      <c r="C41" s="24" t="s">
        <v>240</v>
      </c>
      <c r="D41" s="24" t="s">
        <v>254</v>
      </c>
      <c r="E41" t="str">
        <f>IFERROR(VLOOKUP(C41,装備品!$1:$998,COLUMN(C$1),FALSE),"")</f>
        <v>武器</v>
      </c>
      <c r="F41">
        <f>IFERROR(ROUNDDOWN((VLOOKUP($C41,装備品!$1:$998,COLUMN(D$1),FALSE)+IFERROR(VLOOKUP($CI41,付与!$1:$1167,COLUMN(F$1),FALSE),0))*VLOOKUP($D41,素材!$1:$1016,COLUMN(D$1),FALSE),0),"")</f>
        <v>78</v>
      </c>
      <c r="G41">
        <f>IFERROR(ROUNDDOWN((VLOOKUP($C41,装備品!$1:$998,COLUMN(E$1),FALSE)+IFERROR(VLOOKUP($CI41,付与!$1:$1167,COLUMN(G$1),FALSE),0))*VLOOKUP($D41,素材!$1:$1016,COLUMN($E$1),FALSE),0),"")</f>
        <v>10</v>
      </c>
      <c r="H41">
        <f>IFERROR(ROUNDDOWN((VLOOKUP($C41,装備品!$1:$998,COLUMN(F$1),FALSE)+IFERROR(VLOOKUP($CI41,付与!$1:$1167,COLUMN(H$1),FALSE),0))*VLOOKUP($D41,素材!$1:$1016,COLUMN($E$1),FALSE),0),"")</f>
        <v>6</v>
      </c>
      <c r="I41">
        <f>IFERROR(ROUNDDOWN((VLOOKUP($C41,装備品!$1:$998,COLUMN(G$1),FALSE)+IFERROR(VLOOKUP($CI41,付与!$1:$1167,COLUMN(I$1),FALSE),0))*VLOOKUP($D41,素材!$1:$1016,COLUMN($E$1),FALSE),0),"")</f>
        <v>1</v>
      </c>
      <c r="J41">
        <f>IFERROR(ROUNDDOWN((VLOOKUP($C41,装備品!$1:$998,COLUMN(H$1),FALSE)+IFERROR(VLOOKUP($CI41,付与!$1:$1167,COLUMN(J$1),FALSE),0))*VLOOKUP($D41,素材!$1:$1016,COLUMN($E$1),FALSE),0),"")</f>
        <v>12</v>
      </c>
      <c r="K41">
        <f>IFERROR(ROUNDDOWN((VLOOKUP($C41,装備品!$1:$998,COLUMN(I$1),FALSE)+IFERROR(VLOOKUP($CI41,付与!$1:$1167,COLUMN(K$1),FALSE),0))*VLOOKUP($D41,素材!$1:$1016,COLUMN($E$1),FALSE),0),"")</f>
        <v>0</v>
      </c>
      <c r="L41">
        <f>IFERROR(VLOOKUP($D41,素材!$1:$1016,COLUMN($F$1),FALSE),"")</f>
        <v>0</v>
      </c>
      <c r="M41">
        <f>IFERROR(VLOOKUP($C41,装備品!$1:$998,COLUMN(AA$1),FALSE)*VLOOKUP($D41,素材!$1:$1016,COLUMN($G$1),FALSE),"")</f>
        <v>0</v>
      </c>
      <c r="N41">
        <f>IFERROR(VLOOKUP($C41,装備品!$1:$998,COLUMN(I$1),FALSE),"")</f>
        <v>0</v>
      </c>
      <c r="O41" s="23">
        <f>IFERROR((VLOOKUP($C41,装備品!$1:$998,COLUMN(K$1),FALSE)+VLOOKUP($D41,素材!$1:$1016,COLUMN(H$1),FALSE))*100+IFERROR(VLOOKUP($CI41,付与!$1:$1167,COLUMN(O$1),FALSE),0),"")</f>
        <v>10</v>
      </c>
      <c r="P41" s="23">
        <f>IFERROR((VLOOKUP($C41,装備品!$1:$998,COLUMN(L$1),FALSE)+VLOOKUP($D41,素材!$1:$1016,COLUMN(I$1),FALSE))*100+IFERROR(VLOOKUP($CI41,付与!$1:$1167,COLUMN(P$1),FALSE),0),"")</f>
        <v>175</v>
      </c>
      <c r="Q41">
        <f>IFERROR(ROUNDUP(VLOOKUP($C41,装備品!$1:$998,COLUMN(M$1),FALSE)*(VLOOKUP($D41,素材!$1:$1002,COLUMN(D$1),FALSE)/100),1),"")</f>
        <v>0</v>
      </c>
      <c r="R41">
        <f>IFERROR(ROUNDUP(VLOOKUP($C41,装備品!$1:$998,COLUMN(N$1),FALSE)*(VLOOKUP($D41,素材!$1:$1002,COLUMN(D$1),FALSE)/100),1),"")</f>
        <v>0</v>
      </c>
      <c r="S41">
        <f>IFERROR(VLOOKUP($C41,装備品!$1:$998,COLUMN(P$1),FALSE),"")</f>
        <v>0</v>
      </c>
      <c r="T41">
        <f>IFERROR(VLOOKUP($C41,装備品!$1:$998,COLUMN(Q$1),FALSE),"")</f>
        <v>0</v>
      </c>
      <c r="U41">
        <f>IFERROR(VLOOKUP($C41,装備品!$1:$998,COLUMN(R$1),FALSE),"")</f>
        <v>0</v>
      </c>
      <c r="V41">
        <f>IFERROR(VLOOKUP($C41,装備品!$1:$998,COLUMN(Q$1),FALSE),"")</f>
        <v>0</v>
      </c>
      <c r="W41">
        <f>IFERROR(VLOOKUP($C41,装備品!$1:$998,COLUMN(T$1),FALSE),"")</f>
        <v>0</v>
      </c>
      <c r="Y41">
        <f>IFERROR(VLOOKUP($C41,装備品!$1:$998,COLUMN(U$1),FALSE),"")</f>
        <v>0</v>
      </c>
      <c r="Z41">
        <f>IFERROR(ROUNDUP(VLOOKUP($C41,装備品!$1:$998,COLUMN(O$1),FALSE)*VLOOKUP($D41,素材!$1:$1016,COLUMN(E$1),FALSE),1),"")</f>
        <v>0</v>
      </c>
      <c r="AA41">
        <f>IF(ISNUMBER(SEARCH(SUBSTITUTE(AA$1,RIGHT(AA$1,2),""),VLOOKUP($D41,素材!$1:$1016,COLUMN($F$1),FALSE))),VLOOKUP($C41,装備品!$1:$998,COLUMN($O$1),FALSE)*VLOOKUP($D41,素材!$1:$1016,COLUMN($E$1),FALSE)/(LEN(VLOOKUP($D41,素材!$1:$1016,COLUMN($F$1),FALSE))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B41">
        <f>IF(ISNUMBER(SEARCH(SUBSTITUTE(AB$1,RIGHT(AB$1,2),""),VLOOKUP($D41,素材!$1:$1016,COLUMN($F$1),FALSE))),VLOOKUP($C41,装備品!$1:$998,COLUMN($O$1),FALSE)*VLOOKUP($D41,素材!$1:$1016,COLUMN($E$1),FALSE)/(LEN(VLOOKUP($D41,素材!$1:$1016,COLUMN($F$1),FALSE))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C41">
        <f>IF(ISNUMBER(SEARCH(SUBSTITUTE(AC$1,RIGHT(AC$1,2),""),VLOOKUP($D41,素材!$1:$1016,COLUMN($F$1),FALSE))),VLOOKUP($C41,装備品!$1:$998,COLUMN($O$1),FALSE)*VLOOKUP($D41,素材!$1:$1016,COLUMN($E$1),FALSE)/(LEN(VLOOKUP($D41,素材!$1:$1016,COLUMN($F$1),FALSE))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D41">
        <f>IF(ISNUMBER(SEARCH(SUBSTITUTE(AD$1,RIGHT(AD$1,2),""),VLOOKUP($D41,素材!$1:$1016,COLUMN($F$1),FALSE))),VLOOKUP($C41,装備品!$1:$998,COLUMN($O$1),FALSE)*VLOOKUP($D41,素材!$1:$1016,COLUMN($E$1),FALSE)/(LEN(VLOOKUP($D41,素材!$1:$1016,COLUMN($F$1),FALSE))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E41">
        <f>IF(ISNUMBER(SEARCH(SUBSTITUTE(AE$1,RIGHT(AE$1,2),""),VLOOKUP($D41,素材!$1:$1016,COLUMN($F$1),FALSE))),VLOOKUP($C41,装備品!$1:$998,COLUMN($O$1),FALSE)*VLOOKUP($D41,素材!$1:$1016,COLUMN($E$1),FALSE)/(LEN(VLOOKUP($D41,素材!$1:$1016,COLUMN($F$1),FALSE))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F41">
        <f>IF(ISNUMBER(SEARCH(SUBSTITUTE(AF$1,RIGHT(AF$1,2),""),VLOOKUP($D41,素材!$1:$1016,COLUMN($F$1),FALSE))),VLOOKUP($C41,装備品!$1:$998,COLUMN($O$1),FALSE)*VLOOKUP($D41,素材!$1:$1016,COLUMN($E$1),FALSE)/(LEN(VLOOKUP($D41,素材!$1:$1016,COLUMN($F$1),FALSE))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G41">
        <f>IF(ISNUMBER(SEARCH(SUBSTITUTE(AG$1,RIGHT(AG$1,2),""),VLOOKUP($D41,素材!$1:$1016,COLUMN($F$1),FALSE))),VLOOKUP($C41,装備品!$1:$998,COLUMN($O$1),FALSE)*VLOOKUP($D41,素材!$1:$1016,COLUMN($E$1),FALSE)/(LEN(VLOOKUP($D41,素材!$1:$1016,COLUMN($F$1),FALSE))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H41">
        <f>IF(ISNUMBER(SEARCH(SUBSTITUTE(AH$1,RIGHT(AH$1,2),""),VLOOKUP($D41,素材!$1:$1016,COLUMN($F$1),FALSE))),VLOOKUP($C41,装備品!$1:$998,COLUMN($O$1),FALSE)*VLOOKUP($D41,素材!$1:$1016,COLUMN($E$1),FALSE)/(LEN(VLOOKUP($D41,素材!$1:$1016,COLUMN($F$1),FALSE))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I41">
        <f>IF(ISNUMBER(SEARCH(SUBSTITUTE(AI$1,RIGHT(AI$1,2),""),VLOOKUP($D41,素材!$1:$1016,COLUMN($F$1),FALSE))),VLOOKUP($C41,装備品!$1:$998,COLUMN($O$1),FALSE)*VLOOKUP($D41,素材!$1:$1016,COLUMN($E$1),FALSE)/(LEN(VLOOKUP($D41,素材!$1:$1016,COLUMN($F$1),FALSE))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J41">
        <f>IF(ISNUMBER(SEARCH(SUBSTITUTE(AJ$1,RIGHT(AJ$1,2),""),VLOOKUP($D41,素材!$1:$1016,COLUMN($F$1),FALSE))),VLOOKUP($C41,装備品!$1:$998,COLUMN($O$1),FALSE)*VLOOKUP($D41,素材!$1:$1016,COLUMN($E$1),FALSE)/(LEN(VLOOKUP($D41,素材!$1:$1016,COLUMN($F$1),FALSE))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K41">
        <f>IF(ISNUMBER(SEARCH(SUBSTITUTE(AK$1,RIGHT(AK$1,2),""),VLOOKUP($D41,素材!$1:$1016,COLUMN($F$1),FALSE))),VLOOKUP($C41,装備品!$1:$998,COLUMN($O$1),FALSE)*VLOOKUP($D41,素材!$1:$1016,COLUMN($E$1),FALSE)/(LEN(VLOOKUP($D41,素材!$1:$1016,COLUMN($F$1),FALSE))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L41">
        <f>IF(ISNUMBER(SEARCH(SUBSTITUTE(AL$1,RIGHT(AL$1,2),""),VLOOKUP($D41,素材!$1:$1016,COLUMN($F$1),FALSE))),VLOOKUP($C41,装備品!$1:$998,COLUMN($O$1),FALSE)*VLOOKUP($D41,素材!$1:$1016,COLUMN($E$1),FALSE)/(LEN(VLOOKUP($D41,素材!$1:$1016,COLUMN($F$1),FALSE))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M41">
        <f>IF(ISNUMBER(SEARCH(SUBSTITUTE(AM$1,RIGHT(AM$1,2),""),VLOOKUP($D41,素材!$1:$1016,COLUMN($F$1),FALSE))),VLOOKUP($C41,装備品!$1:$998,COLUMN($O$1),FALSE)*VLOOKUP($D41,素材!$1:$1016,COLUMN($E$1),FALSE)/(LEN(VLOOKUP($D41,素材!$1:$1016,COLUMN($F$1),FALSE))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N41">
        <f>IF(ISNUMBER(SEARCH(SUBSTITUTE(AN$1,RIGHT(AN$1,2),""),VLOOKUP($D41,素材!$1:$1016,COLUMN($F$1),FALSE))),VLOOKUP($C41,装備品!$1:$998,COLUMN($O$1),FALSE)*VLOOKUP($D41,素材!$1:$1016,COLUMN($E$1),FALSE)/(LEN(VLOOKUP($D41,素材!$1:$1016,COLUMN($F$1),FALSE))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O41">
        <f>IF(ISNUMBER(SEARCH(SUBSTITUTE(AO$1,RIGHT(AO$1,2),""),VLOOKUP($D41,素材!$1:$1016,COLUMN($F$1),FALSE))),VLOOKUP($C41,装備品!$1:$998,COLUMN($O$1),FALSE)*VLOOKUP($D41,素材!$1:$1016,COLUMN($E$1),FALSE)/(LEN(VLOOKUP($D41,素材!$1:$1016,COLUMN($F$1),FALSE))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P41">
        <f>IF(ISNUMBER(SEARCH(SUBSTITUTE(AP$1,RIGHT(AP$1,2),""),VLOOKUP($D41,素材!$1:$1016,COLUMN($F$1),FALSE))),VLOOKUP($C41,装備品!$1:$998,COLUMN($O$1),FALSE)*VLOOKUP($D41,素材!$1:$1016,COLUMN($E$1),FALSE)/(LEN(VLOOKUP($D41,素材!$1:$1016,COLUMN($F$1),FALSE))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Q41">
        <f>IF(ISNUMBER(SEARCH(SUBSTITUTE(AQ$1,RIGHT(AQ$1,2),""),VLOOKUP($D41,素材!$1:$1016,COLUMN($F$1),FALSE))),VLOOKUP($C41,装備品!$1:$998,COLUMN($O$1),FALSE)*VLOOKUP($D41,素材!$1:$1016,COLUMN($E$1),FALSE)/(LEN(VLOOKUP($D41,素材!$1:$1016,COLUMN($F$1),FALSE))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R41">
        <f>IF(ISNUMBER(SEARCH(SUBSTITUTE(AR$1,RIGHT(AR$1,2),""),VLOOKUP($D41,素材!$1:$1016,COLUMN($F$1),FALSE))),VLOOKUP($C41,装備品!$1:$998,COLUMN($O$1),FALSE)*VLOOKUP($D41,素材!$1:$1016,COLUMN($E$1),FALSE)/(LEN(VLOOKUP($D41,素材!$1:$1016,COLUMN($F$1),FALSE))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S41">
        <f>IF(ISNUMBER(SEARCH(SUBSTITUTE(AS$1,RIGHT(AS$1,2),""),VLOOKUP($D41,素材!$1:$1016,COLUMN($F$1),FALSE))),VLOOKUP($C41,装備品!$1:$998,COLUMN($O$1),FALSE)*VLOOKUP($D41,素材!$1:$1016,COLUMN($E$1),FALSE)/(LEN(VLOOKUP($D41,素材!$1:$1016,COLUMN($F$1),FALSE))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T41">
        <f>IF(ISNUMBER(SEARCH(SUBSTITUTE(AT$1,RIGHT(AT$1,2),""),VLOOKUP($D41,素材!$1:$1016,COLUMN($F$1),FALSE))),VLOOKUP($C41,装備品!$1:$998,COLUMN($O$1),FALSE)*VLOOKUP($D41,素材!$1:$1016,COLUMN($E$1),FALSE)/(LEN(VLOOKUP($D41,素材!$1:$1016,COLUMN($F$1),FALSE))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U41">
        <f>IF(ISNUMBER(SEARCH(SUBSTITUTE(AU$1,RIGHT(AU$1,2),""),VLOOKUP($D41,素材!$1:$1016,COLUMN($F$1),FALSE))),VLOOKUP($C41,装備品!$1:$998,COLUMN($O$1),FALSE)*VLOOKUP($D41,素材!$1:$1016,COLUMN($E$1),FALSE)/(LEN(VLOOKUP($D41,素材!$1:$1016,COLUMN($F$1),FALSE))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V41">
        <f>IF(ISNUMBER(SEARCH(SUBSTITUTE(AV$1,RIGHT(AV$1,2),""),VLOOKUP($D41,素材!$1:$1016,COLUMN($F$1),FALSE))),VLOOKUP($C41,装備品!$1:$998,COLUMN($O$1),FALSE)*VLOOKUP($D41,素材!$1:$1016,COLUMN($E$1),FALSE)/(LEN(VLOOKUP($D41,素材!$1:$1016,COLUMN($F$1),FALSE))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W41">
        <f>IF(ISNUMBER(SEARCH(SUBSTITUTE(AW$1,RIGHT(AW$1,2),""),VLOOKUP($D41,素材!$1:$1016,COLUMN($F$1),FALSE))),VLOOKUP($C41,装備品!$1:$998,COLUMN($O$1),FALSE)*VLOOKUP($D41,素材!$1:$1016,COLUMN($E$1),FALSE)/(LEN(VLOOKUP($D41,素材!$1:$1016,COLUMN($F$1),FALSE))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X41">
        <f>IF(ISNUMBER(SEARCH(SUBSTITUTE(AX$1,RIGHT(AX$1,2),""),VLOOKUP($D41,素材!$1:$1016,COLUMN($F$1),FALSE))),VLOOKUP($C41,装備品!$1:$998,COLUMN($O$1),FALSE)*VLOOKUP($D41,素材!$1:$1016,COLUMN($E$1),FALSE)/(LEN(VLOOKUP($D41,素材!$1:$1016,COLUMN($F$1),FALSE))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Y41">
        <f>IF(ISNUMBER(SEARCH(SUBSTITUTE(AY$1,RIGHT(AY$1,2),""),VLOOKUP($D41,素材!$1:$1016,COLUMN($F$1),FALSE))),VLOOKUP($C41,装備品!$1:$998,COLUMN($O$1),FALSE)*VLOOKUP($D41,素材!$1:$1016,COLUMN($E$1),FALSE)/(LEN(VLOOKUP($D41,素材!$1:$1016,COLUMN($F$1),FALSE))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Z41">
        <f>IF(ISNUMBER(SEARCH(SUBSTITUTE(AZ$1,RIGHT(AZ$1,2),""),VLOOKUP($D41,素材!$1:$1016,COLUMN($F$1),FALSE))),VLOOKUP($C41,装備品!$1:$998,COLUMN($O$1),FALSE)*VLOOKUP($D41,素材!$1:$1016,COLUMN($E$1),FALSE)/(LEN(VLOOKUP($D41,素材!$1:$1016,COLUMN($F$1),FALSE))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BA41">
        <f>IF(ISNUMBER(SEARCH(SUBSTITUTE(BA$1,RIGHT(BA$1,2),""),VLOOKUP($D41,素材!$1:$1016,COLUMN($F$1),FALSE))),VLOOKUP($C41,装備品!$1:$998,COLUMN($O$1),FALSE)*VLOOKUP($D41,素材!$1:$1016,COLUMN($E$1),FALSE)/(LEN(VLOOKUP($D41,素材!$1:$1016,COLUMN($F$1),FALSE))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BB41">
        <f>IF(ISNUMBER(SEARCH(SUBSTITUTE(BB$1,RIGHT(BB$1,2),""),VLOOKUP($D41,素材!$1:$1016,COLUMN($F$1),FALSE))),VLOOKUP($C41,装備品!$1:$998,COLUMN($O$1),FALSE)*VLOOKUP($D41,素材!$1:$1016,COLUMN($E$1),FALSE)/(LEN(VLOOKUP($D41,素材!$1:$1016,COLUMN($F$1),FALSE))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BC41">
        <f>IF(ISNUMBER(SEARCH(SUBSTITUTE(BC$1,RIGHT(BC$1,2),""),VLOOKUP($D41,素材!$1:$1016,COLUMN($F$1),FALSE))),VLOOKUP($C41,装備品!$1:$998,COLUMN($O$1),FALSE)*VLOOKUP($D41,素材!$1:$1016,COLUMN($E$1),FALSE)/(LEN(VLOOKUP($D41,素材!$1:$1016,COLUMN($F$1),FALSE))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BD41">
        <f>IF(ISNUMBER(SEARCH(SUBSTITUTE(BD$1,RIGHT(BD$1,2),""),VLOOKUP($D41,素材!$1:$1016,COLUMN($F$1),FALSE))),VLOOKUP($C41,装備品!$1:$998,COLUMN($O$1),FALSE)*VLOOKUP($D41,素材!$1:$1016,COLUMN($E$1),FALSE)/(LEN(VLOOKUP($D41,素材!$1:$1016,COLUMN($F$1),FALSE))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BE41">
        <f>IF(ISNUMBER(SEARCH(SUBSTITUTE(BE$1,RIGHT(BE$1,2),""),VLOOKUP($D41,素材!$1:$1016,COLUMN($F$1),FALSE))),VLOOKUP($C41,装備品!$1:$998,COLUMN($O$1),FALSE)*VLOOKUP($D41,素材!$1:$1016,COLUMN($E$1),FALSE)/(LEN(VLOOKUP($D41,素材!$1:$1016,COLUMN($F$1),FALSE))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CL41">
        <f t="shared" si="1"/>
        <v>17</v>
      </c>
      <c r="CM41" s="22" t="str">
        <f t="shared" si="2"/>
        <v>切断.webp</v>
      </c>
      <c r="CN41">
        <f>IFERROR(VLOOKUP($C41,装備品!$1:$998,COLUMN(V$1),FALSE)*VLOOKUP($D41,素材!$1:$1016,COLUMN(N$1),FALSE)+IF(CI41="",0,VLOOKUP($CI41,付与!$1:$1176,COLUMN($CK$1),FALSE)),"")</f>
        <v>0</v>
      </c>
      <c r="CO41" t="str">
        <f>VLOOKUP(D41,素材!$A:$O,COLUMN(素材!O$1),FALSE)</f>
        <v>一般的な木材。金属より軽いが少し脆い</v>
      </c>
      <c r="CP41" t="str">
        <f>VLOOKUP(C41,装備品!$A:$AB,COLUMN(装備品!AB$1),FALSE)</f>
        <v>刀。切断力に優れた武器で、Cr威力が高い</v>
      </c>
      <c r="CR41" t="str">
        <f t="shared" si="3"/>
        <v>e_41</v>
      </c>
      <c r="CS41">
        <f t="shared" si="4"/>
        <v>0</v>
      </c>
    </row>
    <row r="42" spans="1:97" outlineLevel="1" x14ac:dyDescent="0.4">
      <c r="A42" t="str">
        <f t="shared" si="5"/>
        <v>木の剣</v>
      </c>
      <c r="B42" t="str">
        <f>IFERROR(VLOOKUP($D42,素材!$1:$1016,COLUMN($B$1),FALSE)&amp;"・"&amp;VLOOKUP($C42,装備品!$1:$998,COLUMN(B$1),FALSE),"")</f>
        <v>ウッド・ソード</v>
      </c>
      <c r="C42" s="24" t="s">
        <v>239</v>
      </c>
      <c r="D42" s="24" t="s">
        <v>254</v>
      </c>
      <c r="E42" t="str">
        <f>IFERROR(VLOOKUP(C42,装備品!$1:$998,COLUMN(C$1),FALSE),"")</f>
        <v>武器</v>
      </c>
      <c r="F42">
        <f>IFERROR(ROUNDDOWN((VLOOKUP($C42,装備品!$1:$998,COLUMN(D$1),FALSE)+IFERROR(VLOOKUP($CI42,付与!$1:$1167,COLUMN(F$1),FALSE),0))*VLOOKUP($D42,素材!$1:$1016,COLUMN(D$1),FALSE),0),"")</f>
        <v>75</v>
      </c>
      <c r="G42">
        <f>IFERROR(ROUNDDOWN((VLOOKUP($C42,装備品!$1:$998,COLUMN(E$1),FALSE)+IFERROR(VLOOKUP($CI42,付与!$1:$1167,COLUMN(G$1),FALSE),0))*VLOOKUP($D42,素材!$1:$1016,COLUMN($E$1),FALSE),0),"")</f>
        <v>9</v>
      </c>
      <c r="H42">
        <f>IFERROR(ROUNDDOWN((VLOOKUP($C42,装備品!$1:$998,COLUMN(F$1),FALSE)+IFERROR(VLOOKUP($CI42,付与!$1:$1167,COLUMN(H$1),FALSE),0))*VLOOKUP($D42,素材!$1:$1016,COLUMN($E$1),FALSE),0),"")</f>
        <v>6</v>
      </c>
      <c r="I42">
        <f>IFERROR(ROUNDDOWN((VLOOKUP($C42,装備品!$1:$998,COLUMN(G$1),FALSE)+IFERROR(VLOOKUP($CI42,付与!$1:$1167,COLUMN(I$1),FALSE),0))*VLOOKUP($D42,素材!$1:$1016,COLUMN($E$1),FALSE),0),"")</f>
        <v>2</v>
      </c>
      <c r="J42">
        <f>IFERROR(ROUNDDOWN((VLOOKUP($C42,装備品!$1:$998,COLUMN(H$1),FALSE)+IFERROR(VLOOKUP($CI42,付与!$1:$1167,COLUMN(J$1),FALSE),0))*VLOOKUP($D42,素材!$1:$1016,COLUMN($E$1),FALSE),0),"")</f>
        <v>14</v>
      </c>
      <c r="K42">
        <f>IFERROR(ROUNDDOWN((VLOOKUP($C42,装備品!$1:$998,COLUMN(I$1),FALSE)+IFERROR(VLOOKUP($CI42,付与!$1:$1167,COLUMN(K$1),FALSE),0))*VLOOKUP($D42,素材!$1:$1016,COLUMN($E$1),FALSE),0),"")</f>
        <v>0</v>
      </c>
      <c r="L42">
        <f>IFERROR(VLOOKUP($D42,素材!$1:$1016,COLUMN($F$1),FALSE),"")</f>
        <v>0</v>
      </c>
      <c r="M42">
        <f>IFERROR(VLOOKUP($C42,装備品!$1:$998,COLUMN(AA$1),FALSE)*VLOOKUP($D42,素材!$1:$1016,COLUMN($G$1),FALSE),"")</f>
        <v>0</v>
      </c>
      <c r="N42">
        <f>IFERROR(VLOOKUP($C42,装備品!$1:$998,COLUMN(I$1),FALSE),"")</f>
        <v>0</v>
      </c>
      <c r="O42" s="23">
        <f>IFERROR((VLOOKUP($C42,装備品!$1:$998,COLUMN(K$1),FALSE)+VLOOKUP($D42,素材!$1:$1016,COLUMN(H$1),FALSE))*100+IFERROR(VLOOKUP($CI42,付与!$1:$1167,COLUMN(O$1),FALSE),0),"")</f>
        <v>10</v>
      </c>
      <c r="P42" s="23">
        <f>IFERROR((VLOOKUP($C42,装備品!$1:$998,COLUMN(L$1),FALSE)+VLOOKUP($D42,素材!$1:$1016,COLUMN(I$1),FALSE))*100+IFERROR(VLOOKUP($CI42,付与!$1:$1167,COLUMN(P$1),FALSE),0),"")</f>
        <v>150</v>
      </c>
      <c r="Q42">
        <f>IFERROR(ROUNDUP(VLOOKUP($C42,装備品!$1:$998,COLUMN(M$1),FALSE)*(VLOOKUP($D42,素材!$1:$1002,COLUMN(D$1),FALSE)/100),1),"")</f>
        <v>0</v>
      </c>
      <c r="R42">
        <f>IFERROR(ROUNDUP(VLOOKUP($C42,装備品!$1:$998,COLUMN(N$1),FALSE)*(VLOOKUP($D42,素材!$1:$1002,COLUMN(D$1),FALSE)/100),1),"")</f>
        <v>0</v>
      </c>
      <c r="S42">
        <f>IFERROR(VLOOKUP($C42,装備品!$1:$998,COLUMN(P$1),FALSE),"")</f>
        <v>0</v>
      </c>
      <c r="T42">
        <f>IFERROR(VLOOKUP($C42,装備品!$1:$998,COLUMN(Q$1),FALSE),"")</f>
        <v>0</v>
      </c>
      <c r="U42">
        <f>IFERROR(VLOOKUP($C42,装備品!$1:$998,COLUMN(R$1),FALSE),"")</f>
        <v>0</v>
      </c>
      <c r="V42">
        <f>IFERROR(VLOOKUP($C42,装備品!$1:$998,COLUMN(Q$1),FALSE),"")</f>
        <v>0</v>
      </c>
      <c r="W42">
        <f>IFERROR(VLOOKUP($C42,装備品!$1:$998,COLUMN(T$1),FALSE),"")</f>
        <v>0</v>
      </c>
      <c r="Y42">
        <f>IFERROR(VLOOKUP($C42,装備品!$1:$998,COLUMN(U$1),FALSE),"")</f>
        <v>0</v>
      </c>
      <c r="Z42">
        <f>IFERROR(ROUNDUP(VLOOKUP($C42,装備品!$1:$998,COLUMN(O$1),FALSE)*VLOOKUP($D42,素材!$1:$1016,COLUMN(E$1),FALSE),1),"")</f>
        <v>0</v>
      </c>
      <c r="AA42">
        <f>IF(ISNUMBER(SEARCH(SUBSTITUTE(AA$1,RIGHT(AA$1,2),""),VLOOKUP($D42,素材!$1:$1016,COLUMN($F$1),FALSE))),VLOOKUP($C42,装備品!$1:$998,COLUMN($O$1),FALSE)*VLOOKUP($D42,素材!$1:$1016,COLUMN($E$1),FALSE)/(LEN(VLOOKUP($D42,素材!$1:$1016,COLUMN($F$1),FALSE))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B42">
        <f>IF(ISNUMBER(SEARCH(SUBSTITUTE(AB$1,RIGHT(AB$1,2),""),VLOOKUP($D42,素材!$1:$1016,COLUMN($F$1),FALSE))),VLOOKUP($C42,装備品!$1:$998,COLUMN($O$1),FALSE)*VLOOKUP($D42,素材!$1:$1016,COLUMN($E$1),FALSE)/(LEN(VLOOKUP($D42,素材!$1:$1016,COLUMN($F$1),FALSE))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C42">
        <f>IF(ISNUMBER(SEARCH(SUBSTITUTE(AC$1,RIGHT(AC$1,2),""),VLOOKUP($D42,素材!$1:$1016,COLUMN($F$1),FALSE))),VLOOKUP($C42,装備品!$1:$998,COLUMN($O$1),FALSE)*VLOOKUP($D42,素材!$1:$1016,COLUMN($E$1),FALSE)/(LEN(VLOOKUP($D42,素材!$1:$1016,COLUMN($F$1),FALSE))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D42">
        <f>IF(ISNUMBER(SEARCH(SUBSTITUTE(AD$1,RIGHT(AD$1,2),""),VLOOKUP($D42,素材!$1:$1016,COLUMN($F$1),FALSE))),VLOOKUP($C42,装備品!$1:$998,COLUMN($O$1),FALSE)*VLOOKUP($D42,素材!$1:$1016,COLUMN($E$1),FALSE)/(LEN(VLOOKUP($D42,素材!$1:$1016,COLUMN($F$1),FALSE))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E42">
        <f>IF(ISNUMBER(SEARCH(SUBSTITUTE(AE$1,RIGHT(AE$1,2),""),VLOOKUP($D42,素材!$1:$1016,COLUMN($F$1),FALSE))),VLOOKUP($C42,装備品!$1:$998,COLUMN($O$1),FALSE)*VLOOKUP($D42,素材!$1:$1016,COLUMN($E$1),FALSE)/(LEN(VLOOKUP($D42,素材!$1:$1016,COLUMN($F$1),FALSE))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F42">
        <f>IF(ISNUMBER(SEARCH(SUBSTITUTE(AF$1,RIGHT(AF$1,2),""),VLOOKUP($D42,素材!$1:$1016,COLUMN($F$1),FALSE))),VLOOKUP($C42,装備品!$1:$998,COLUMN($O$1),FALSE)*VLOOKUP($D42,素材!$1:$1016,COLUMN($E$1),FALSE)/(LEN(VLOOKUP($D42,素材!$1:$1016,COLUMN($F$1),FALSE))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G42">
        <f>IF(ISNUMBER(SEARCH(SUBSTITUTE(AG$1,RIGHT(AG$1,2),""),VLOOKUP($D42,素材!$1:$1016,COLUMN($F$1),FALSE))),VLOOKUP($C42,装備品!$1:$998,COLUMN($O$1),FALSE)*VLOOKUP($D42,素材!$1:$1016,COLUMN($E$1),FALSE)/(LEN(VLOOKUP($D42,素材!$1:$1016,COLUMN($F$1),FALSE))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H42">
        <f>IF(ISNUMBER(SEARCH(SUBSTITUTE(AH$1,RIGHT(AH$1,2),""),VLOOKUP($D42,素材!$1:$1016,COLUMN($F$1),FALSE))),VLOOKUP($C42,装備品!$1:$998,COLUMN($O$1),FALSE)*VLOOKUP($D42,素材!$1:$1016,COLUMN($E$1),FALSE)/(LEN(VLOOKUP($D42,素材!$1:$1016,COLUMN($F$1),FALSE))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I42">
        <f>IF(ISNUMBER(SEARCH(SUBSTITUTE(AI$1,RIGHT(AI$1,2),""),VLOOKUP($D42,素材!$1:$1016,COLUMN($F$1),FALSE))),VLOOKUP($C42,装備品!$1:$998,COLUMN($O$1),FALSE)*VLOOKUP($D42,素材!$1:$1016,COLUMN($E$1),FALSE)/(LEN(VLOOKUP($D42,素材!$1:$1016,COLUMN($F$1),FALSE))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J42">
        <f>IF(ISNUMBER(SEARCH(SUBSTITUTE(AJ$1,RIGHT(AJ$1,2),""),VLOOKUP($D42,素材!$1:$1016,COLUMN($F$1),FALSE))),VLOOKUP($C42,装備品!$1:$998,COLUMN($O$1),FALSE)*VLOOKUP($D42,素材!$1:$1016,COLUMN($E$1),FALSE)/(LEN(VLOOKUP($D42,素材!$1:$1016,COLUMN($F$1),FALSE))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K42">
        <f>IF(ISNUMBER(SEARCH(SUBSTITUTE(AK$1,RIGHT(AK$1,2),""),VLOOKUP($D42,素材!$1:$1016,COLUMN($F$1),FALSE))),VLOOKUP($C42,装備品!$1:$998,COLUMN($O$1),FALSE)*VLOOKUP($D42,素材!$1:$1016,COLUMN($E$1),FALSE)/(LEN(VLOOKUP($D42,素材!$1:$1016,COLUMN($F$1),FALSE))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L42">
        <f>IF(ISNUMBER(SEARCH(SUBSTITUTE(AL$1,RIGHT(AL$1,2),""),VLOOKUP($D42,素材!$1:$1016,COLUMN($F$1),FALSE))),VLOOKUP($C42,装備品!$1:$998,COLUMN($O$1),FALSE)*VLOOKUP($D42,素材!$1:$1016,COLUMN($E$1),FALSE)/(LEN(VLOOKUP($D42,素材!$1:$1016,COLUMN($F$1),FALSE))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M42">
        <f>IF(ISNUMBER(SEARCH(SUBSTITUTE(AM$1,RIGHT(AM$1,2),""),VLOOKUP($D42,素材!$1:$1016,COLUMN($F$1),FALSE))),VLOOKUP($C42,装備品!$1:$998,COLUMN($O$1),FALSE)*VLOOKUP($D42,素材!$1:$1016,COLUMN($E$1),FALSE)/(LEN(VLOOKUP($D42,素材!$1:$1016,COLUMN($F$1),FALSE))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N42">
        <f>IF(ISNUMBER(SEARCH(SUBSTITUTE(AN$1,RIGHT(AN$1,2),""),VLOOKUP($D42,素材!$1:$1016,COLUMN($F$1),FALSE))),VLOOKUP($C42,装備品!$1:$998,COLUMN($O$1),FALSE)*VLOOKUP($D42,素材!$1:$1016,COLUMN($E$1),FALSE)/(LEN(VLOOKUP($D42,素材!$1:$1016,COLUMN($F$1),FALSE))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O42">
        <f>IF(ISNUMBER(SEARCH(SUBSTITUTE(AO$1,RIGHT(AO$1,2),""),VLOOKUP($D42,素材!$1:$1016,COLUMN($F$1),FALSE))),VLOOKUP($C42,装備品!$1:$998,COLUMN($O$1),FALSE)*VLOOKUP($D42,素材!$1:$1016,COLUMN($E$1),FALSE)/(LEN(VLOOKUP($D42,素材!$1:$1016,COLUMN($F$1),FALSE))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P42">
        <f>IF(ISNUMBER(SEARCH(SUBSTITUTE(AP$1,RIGHT(AP$1,2),""),VLOOKUP($D42,素材!$1:$1016,COLUMN($F$1),FALSE))),VLOOKUP($C42,装備品!$1:$998,COLUMN($O$1),FALSE)*VLOOKUP($D42,素材!$1:$1016,COLUMN($E$1),FALSE)/(LEN(VLOOKUP($D42,素材!$1:$1016,COLUMN($F$1),FALSE))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Q42">
        <f>IF(ISNUMBER(SEARCH(SUBSTITUTE(AQ$1,RIGHT(AQ$1,2),""),VLOOKUP($D42,素材!$1:$1016,COLUMN($F$1),FALSE))),VLOOKUP($C42,装備品!$1:$998,COLUMN($O$1),FALSE)*VLOOKUP($D42,素材!$1:$1016,COLUMN($E$1),FALSE)/(LEN(VLOOKUP($D42,素材!$1:$1016,COLUMN($F$1),FALSE))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R42">
        <f>IF(ISNUMBER(SEARCH(SUBSTITUTE(AR$1,RIGHT(AR$1,2),""),VLOOKUP($D42,素材!$1:$1016,COLUMN($F$1),FALSE))),VLOOKUP($C42,装備品!$1:$998,COLUMN($O$1),FALSE)*VLOOKUP($D42,素材!$1:$1016,COLUMN($E$1),FALSE)/(LEN(VLOOKUP($D42,素材!$1:$1016,COLUMN($F$1),FALSE))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S42">
        <f>IF(ISNUMBER(SEARCH(SUBSTITUTE(AS$1,RIGHT(AS$1,2),""),VLOOKUP($D42,素材!$1:$1016,COLUMN($F$1),FALSE))),VLOOKUP($C42,装備品!$1:$998,COLUMN($O$1),FALSE)*VLOOKUP($D42,素材!$1:$1016,COLUMN($E$1),FALSE)/(LEN(VLOOKUP($D42,素材!$1:$1016,COLUMN($F$1),FALSE))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T42">
        <f>IF(ISNUMBER(SEARCH(SUBSTITUTE(AT$1,RIGHT(AT$1,2),""),VLOOKUP($D42,素材!$1:$1016,COLUMN($F$1),FALSE))),VLOOKUP($C42,装備品!$1:$998,COLUMN($O$1),FALSE)*VLOOKUP($D42,素材!$1:$1016,COLUMN($E$1),FALSE)/(LEN(VLOOKUP($D42,素材!$1:$1016,COLUMN($F$1),FALSE))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U42">
        <f>IF(ISNUMBER(SEARCH(SUBSTITUTE(AU$1,RIGHT(AU$1,2),""),VLOOKUP($D42,素材!$1:$1016,COLUMN($F$1),FALSE))),VLOOKUP($C42,装備品!$1:$998,COLUMN($O$1),FALSE)*VLOOKUP($D42,素材!$1:$1016,COLUMN($E$1),FALSE)/(LEN(VLOOKUP($D42,素材!$1:$1016,COLUMN($F$1),FALSE))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V42">
        <f>IF(ISNUMBER(SEARCH(SUBSTITUTE(AV$1,RIGHT(AV$1,2),""),VLOOKUP($D42,素材!$1:$1016,COLUMN($F$1),FALSE))),VLOOKUP($C42,装備品!$1:$998,COLUMN($O$1),FALSE)*VLOOKUP($D42,素材!$1:$1016,COLUMN($E$1),FALSE)/(LEN(VLOOKUP($D42,素材!$1:$1016,COLUMN($F$1),FALSE))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W42">
        <f>IF(ISNUMBER(SEARCH(SUBSTITUTE(AW$1,RIGHT(AW$1,2),""),VLOOKUP($D42,素材!$1:$1016,COLUMN($F$1),FALSE))),VLOOKUP($C42,装備品!$1:$998,COLUMN($O$1),FALSE)*VLOOKUP($D42,素材!$1:$1016,COLUMN($E$1),FALSE)/(LEN(VLOOKUP($D42,素材!$1:$1016,COLUMN($F$1),FALSE))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X42">
        <f>IF(ISNUMBER(SEARCH(SUBSTITUTE(AX$1,RIGHT(AX$1,2),""),VLOOKUP($D42,素材!$1:$1016,COLUMN($F$1),FALSE))),VLOOKUP($C42,装備品!$1:$998,COLUMN($O$1),FALSE)*VLOOKUP($D42,素材!$1:$1016,COLUMN($E$1),FALSE)/(LEN(VLOOKUP($D42,素材!$1:$1016,COLUMN($F$1),FALSE))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Y42">
        <f>IF(ISNUMBER(SEARCH(SUBSTITUTE(AY$1,RIGHT(AY$1,2),""),VLOOKUP($D42,素材!$1:$1016,COLUMN($F$1),FALSE))),VLOOKUP($C42,装備品!$1:$998,COLUMN($O$1),FALSE)*VLOOKUP($D42,素材!$1:$1016,COLUMN($E$1),FALSE)/(LEN(VLOOKUP($D42,素材!$1:$1016,COLUMN($F$1),FALSE))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Z42">
        <f>IF(ISNUMBER(SEARCH(SUBSTITUTE(AZ$1,RIGHT(AZ$1,2),""),VLOOKUP($D42,素材!$1:$1016,COLUMN($F$1),FALSE))),VLOOKUP($C42,装備品!$1:$998,COLUMN($O$1),FALSE)*VLOOKUP($D42,素材!$1:$1016,COLUMN($E$1),FALSE)/(LEN(VLOOKUP($D42,素材!$1:$1016,COLUMN($F$1),FALSE))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BA42">
        <f>IF(ISNUMBER(SEARCH(SUBSTITUTE(BA$1,RIGHT(BA$1,2),""),VLOOKUP($D42,素材!$1:$1016,COLUMN($F$1),FALSE))),VLOOKUP($C42,装備品!$1:$998,COLUMN($O$1),FALSE)*VLOOKUP($D42,素材!$1:$1016,COLUMN($E$1),FALSE)/(LEN(VLOOKUP($D42,素材!$1:$1016,COLUMN($F$1),FALSE))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BB42">
        <f>IF(ISNUMBER(SEARCH(SUBSTITUTE(BB$1,RIGHT(BB$1,2),""),VLOOKUP($D42,素材!$1:$1016,COLUMN($F$1),FALSE))),VLOOKUP($C42,装備品!$1:$998,COLUMN($O$1),FALSE)*VLOOKUP($D42,素材!$1:$1016,COLUMN($E$1),FALSE)/(LEN(VLOOKUP($D42,素材!$1:$1016,COLUMN($F$1),FALSE))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BC42">
        <f>IF(ISNUMBER(SEARCH(SUBSTITUTE(BC$1,RIGHT(BC$1,2),""),VLOOKUP($D42,素材!$1:$1016,COLUMN($F$1),FALSE))),VLOOKUP($C42,装備品!$1:$998,COLUMN($O$1),FALSE)*VLOOKUP($D42,素材!$1:$1016,COLUMN($E$1),FALSE)/(LEN(VLOOKUP($D42,素材!$1:$1016,COLUMN($F$1),FALSE))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BD42">
        <f>IF(ISNUMBER(SEARCH(SUBSTITUTE(BD$1,RIGHT(BD$1,2),""),VLOOKUP($D42,素材!$1:$1016,COLUMN($F$1),FALSE))),VLOOKUP($C42,装備品!$1:$998,COLUMN($O$1),FALSE)*VLOOKUP($D42,素材!$1:$1016,COLUMN($E$1),FALSE)/(LEN(VLOOKUP($D42,素材!$1:$1016,COLUMN($F$1),FALSE))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BE42">
        <f>IF(ISNUMBER(SEARCH(SUBSTITUTE(BE$1,RIGHT(BE$1,2),""),VLOOKUP($D42,素材!$1:$1016,COLUMN($F$1),FALSE))),VLOOKUP($C42,装備品!$1:$998,COLUMN($O$1),FALSE)*VLOOKUP($D42,素材!$1:$1016,COLUMN($E$1),FALSE)/(LEN(VLOOKUP($D42,素材!$1:$1016,COLUMN($F$1),FALSE))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CL42">
        <f t="shared" si="1"/>
        <v>17</v>
      </c>
      <c r="CM42" s="22" t="str">
        <f t="shared" si="2"/>
        <v>切断.webp</v>
      </c>
      <c r="CN42">
        <f>IFERROR(VLOOKUP($C42,装備品!$1:$998,COLUMN(V$1),FALSE)*VLOOKUP($D42,素材!$1:$1016,COLUMN(N$1),FALSE)+IF(CI42="",0,VLOOKUP($CI42,付与!$1:$1176,COLUMN($CK$1),FALSE)),"")</f>
        <v>0</v>
      </c>
      <c r="CO42" t="str">
        <f>VLOOKUP(D42,素材!$A:$O,COLUMN(素材!O$1),FALSE)</f>
        <v>一般的な木材。金属より軽いが少し脆い</v>
      </c>
      <c r="CP42" t="str">
        <f>VLOOKUP(C42,装備品!$A:$AB,COLUMN(装備品!AB$1),FALSE)</f>
        <v>剣。短い剣で片手で扱いやすく、初心者向けの武器。</v>
      </c>
      <c r="CR42" t="str">
        <f t="shared" si="3"/>
        <v>e_42</v>
      </c>
      <c r="CS42">
        <f t="shared" si="4"/>
        <v>0</v>
      </c>
    </row>
    <row r="43" spans="1:97" outlineLevel="1" x14ac:dyDescent="0.4">
      <c r="A43" t="str">
        <f t="shared" si="5"/>
        <v>木の広剣</v>
      </c>
      <c r="B43" t="str">
        <f>IFERROR(VLOOKUP($D43,素材!$1:$1016,COLUMN($B$1),FALSE)&amp;"・"&amp;VLOOKUP($C43,装備品!$1:$998,COLUMN(B$1),FALSE),"")</f>
        <v>ウッド・ブロードソード</v>
      </c>
      <c r="C43" s="24" t="s">
        <v>238</v>
      </c>
      <c r="D43" s="24" t="s">
        <v>254</v>
      </c>
      <c r="E43" t="str">
        <f>IFERROR(VLOOKUP(C43,装備品!$1:$998,COLUMN(C$1),FALSE),"")</f>
        <v>武器</v>
      </c>
      <c r="F43">
        <f>IFERROR(ROUNDDOWN((VLOOKUP($C43,装備品!$1:$998,COLUMN(D$1),FALSE)+IFERROR(VLOOKUP($CI43,付与!$1:$1167,COLUMN(F$1),FALSE),0))*VLOOKUP($D43,素材!$1:$1016,COLUMN(D$1),FALSE),0),"")</f>
        <v>82</v>
      </c>
      <c r="G43">
        <f>IFERROR(ROUNDDOWN((VLOOKUP($C43,装備品!$1:$998,COLUMN(E$1),FALSE)+IFERROR(VLOOKUP($CI43,付与!$1:$1167,COLUMN(G$1),FALSE),0))*VLOOKUP($D43,素材!$1:$1016,COLUMN($E$1),FALSE),0),"")</f>
        <v>9</v>
      </c>
      <c r="H43">
        <f>IFERROR(ROUNDDOWN((VLOOKUP($C43,装備品!$1:$998,COLUMN(F$1),FALSE)+IFERROR(VLOOKUP($CI43,付与!$1:$1167,COLUMN(H$1),FALSE),0))*VLOOKUP($D43,素材!$1:$1016,COLUMN($E$1),FALSE),0),"")</f>
        <v>6</v>
      </c>
      <c r="I43">
        <f>IFERROR(ROUNDDOWN((VLOOKUP($C43,装備品!$1:$998,COLUMN(G$1),FALSE)+IFERROR(VLOOKUP($CI43,付与!$1:$1167,COLUMN(I$1),FALSE),0))*VLOOKUP($D43,素材!$1:$1016,COLUMN($E$1),FALSE),0),"")</f>
        <v>2</v>
      </c>
      <c r="J43">
        <f>IFERROR(ROUNDDOWN((VLOOKUP($C43,装備品!$1:$998,COLUMN(H$1),FALSE)+IFERROR(VLOOKUP($CI43,付与!$1:$1167,COLUMN(J$1),FALSE),0))*VLOOKUP($D43,素材!$1:$1016,COLUMN($E$1),FALSE),0),"")</f>
        <v>17</v>
      </c>
      <c r="K43">
        <f>IFERROR(ROUNDDOWN((VLOOKUP($C43,装備品!$1:$998,COLUMN(I$1),FALSE)+IFERROR(VLOOKUP($CI43,付与!$1:$1167,COLUMN(K$1),FALSE),0))*VLOOKUP($D43,素材!$1:$1016,COLUMN($E$1),FALSE),0),"")</f>
        <v>0</v>
      </c>
      <c r="L43">
        <f>IFERROR(VLOOKUP($D43,素材!$1:$1016,COLUMN($F$1),FALSE),"")</f>
        <v>0</v>
      </c>
      <c r="M43">
        <f>IFERROR(VLOOKUP($C43,装備品!$1:$998,COLUMN(AA$1),FALSE)*VLOOKUP($D43,素材!$1:$1016,COLUMN($G$1),FALSE),"")</f>
        <v>0</v>
      </c>
      <c r="N43">
        <f>IFERROR(VLOOKUP($C43,装備品!$1:$998,COLUMN(I$1),FALSE),"")</f>
        <v>0</v>
      </c>
      <c r="O43" s="23">
        <f>IFERROR((VLOOKUP($C43,装備品!$1:$998,COLUMN(K$1),FALSE)+VLOOKUP($D43,素材!$1:$1016,COLUMN(H$1),FALSE))*100+IFERROR(VLOOKUP($CI43,付与!$1:$1167,COLUMN(O$1),FALSE),0),"")</f>
        <v>10</v>
      </c>
      <c r="P43" s="23">
        <f>IFERROR((VLOOKUP($C43,装備品!$1:$998,COLUMN(L$1),FALSE)+VLOOKUP($D43,素材!$1:$1016,COLUMN(I$1),FALSE))*100+IFERROR(VLOOKUP($CI43,付与!$1:$1167,COLUMN(P$1),FALSE),0),"")</f>
        <v>150</v>
      </c>
      <c r="Q43">
        <f>IFERROR(ROUNDUP(VLOOKUP($C43,装備品!$1:$998,COLUMN(M$1),FALSE)*(VLOOKUP($D43,素材!$1:$1002,COLUMN(D$1),FALSE)/100),1),"")</f>
        <v>-1.9000000000000001</v>
      </c>
      <c r="R43">
        <f>IFERROR(ROUNDUP(VLOOKUP($C43,装備品!$1:$998,COLUMN(N$1),FALSE)*(VLOOKUP($D43,素材!$1:$1002,COLUMN(D$1),FALSE)/100),1),"")</f>
        <v>-1.9000000000000001</v>
      </c>
      <c r="S43">
        <f>IFERROR(VLOOKUP($C43,装備品!$1:$998,COLUMN(P$1),FALSE),"")</f>
        <v>0</v>
      </c>
      <c r="T43">
        <f>IFERROR(VLOOKUP($C43,装備品!$1:$998,COLUMN(Q$1),FALSE),"")</f>
        <v>0</v>
      </c>
      <c r="U43">
        <f>IFERROR(VLOOKUP($C43,装備品!$1:$998,COLUMN(R$1),FALSE),"")</f>
        <v>0</v>
      </c>
      <c r="V43">
        <f>IFERROR(VLOOKUP($C43,装備品!$1:$998,COLUMN(Q$1),FALSE),"")</f>
        <v>0</v>
      </c>
      <c r="W43">
        <f>IFERROR(VLOOKUP($C43,装備品!$1:$998,COLUMN(T$1),FALSE),"")</f>
        <v>0</v>
      </c>
      <c r="Y43">
        <f>IFERROR(VLOOKUP($C43,装備品!$1:$998,COLUMN(U$1),FALSE),"")</f>
        <v>0</v>
      </c>
      <c r="Z43">
        <f>IFERROR(ROUNDUP(VLOOKUP($C43,装備品!$1:$998,COLUMN(O$1),FALSE)*VLOOKUP($D43,素材!$1:$1016,COLUMN(E$1),FALSE),1),"")</f>
        <v>0</v>
      </c>
      <c r="AA43">
        <f>IF(ISNUMBER(SEARCH(SUBSTITUTE(AA$1,RIGHT(AA$1,2),""),VLOOKUP($D43,素材!$1:$1016,COLUMN($F$1),FALSE))),VLOOKUP($C43,装備品!$1:$998,COLUMN($O$1),FALSE)*VLOOKUP($D43,素材!$1:$1016,COLUMN($E$1),FALSE)/(LEN(VLOOKUP($D43,素材!$1:$1016,COLUMN($F$1),FALSE))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B43">
        <f>IF(ISNUMBER(SEARCH(SUBSTITUTE(AB$1,RIGHT(AB$1,2),""),VLOOKUP($D43,素材!$1:$1016,COLUMN($F$1),FALSE))),VLOOKUP($C43,装備品!$1:$998,COLUMN($O$1),FALSE)*VLOOKUP($D43,素材!$1:$1016,COLUMN($E$1),FALSE)/(LEN(VLOOKUP($D43,素材!$1:$1016,COLUMN($F$1),FALSE))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C43">
        <f>IF(ISNUMBER(SEARCH(SUBSTITUTE(AC$1,RIGHT(AC$1,2),""),VLOOKUP($D43,素材!$1:$1016,COLUMN($F$1),FALSE))),VLOOKUP($C43,装備品!$1:$998,COLUMN($O$1),FALSE)*VLOOKUP($D43,素材!$1:$1016,COLUMN($E$1),FALSE)/(LEN(VLOOKUP($D43,素材!$1:$1016,COLUMN($F$1),FALSE))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D43">
        <f>IF(ISNUMBER(SEARCH(SUBSTITUTE(AD$1,RIGHT(AD$1,2),""),VLOOKUP($D43,素材!$1:$1016,COLUMN($F$1),FALSE))),VLOOKUP($C43,装備品!$1:$998,COLUMN($O$1),FALSE)*VLOOKUP($D43,素材!$1:$1016,COLUMN($E$1),FALSE)/(LEN(VLOOKUP($D43,素材!$1:$1016,COLUMN($F$1),FALSE))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E43">
        <f>IF(ISNUMBER(SEARCH(SUBSTITUTE(AE$1,RIGHT(AE$1,2),""),VLOOKUP($D43,素材!$1:$1016,COLUMN($F$1),FALSE))),VLOOKUP($C43,装備品!$1:$998,COLUMN($O$1),FALSE)*VLOOKUP($D43,素材!$1:$1016,COLUMN($E$1),FALSE)/(LEN(VLOOKUP($D43,素材!$1:$1016,COLUMN($F$1),FALSE))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F43">
        <f>IF(ISNUMBER(SEARCH(SUBSTITUTE(AF$1,RIGHT(AF$1,2),""),VLOOKUP($D43,素材!$1:$1016,COLUMN($F$1),FALSE))),VLOOKUP($C43,装備品!$1:$998,COLUMN($O$1),FALSE)*VLOOKUP($D43,素材!$1:$1016,COLUMN($E$1),FALSE)/(LEN(VLOOKUP($D43,素材!$1:$1016,COLUMN($F$1),FALSE))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G43">
        <f>IF(ISNUMBER(SEARCH(SUBSTITUTE(AG$1,RIGHT(AG$1,2),""),VLOOKUP($D43,素材!$1:$1016,COLUMN($F$1),FALSE))),VLOOKUP($C43,装備品!$1:$998,COLUMN($O$1),FALSE)*VLOOKUP($D43,素材!$1:$1016,COLUMN($E$1),FALSE)/(LEN(VLOOKUP($D43,素材!$1:$1016,COLUMN($F$1),FALSE))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H43">
        <f>IF(ISNUMBER(SEARCH(SUBSTITUTE(AH$1,RIGHT(AH$1,2),""),VLOOKUP($D43,素材!$1:$1016,COLUMN($F$1),FALSE))),VLOOKUP($C43,装備品!$1:$998,COLUMN($O$1),FALSE)*VLOOKUP($D43,素材!$1:$1016,COLUMN($E$1),FALSE)/(LEN(VLOOKUP($D43,素材!$1:$1016,COLUMN($F$1),FALSE))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I43">
        <f>IF(ISNUMBER(SEARCH(SUBSTITUTE(AI$1,RIGHT(AI$1,2),""),VLOOKUP($D43,素材!$1:$1016,COLUMN($F$1),FALSE))),VLOOKUP($C43,装備品!$1:$998,COLUMN($O$1),FALSE)*VLOOKUP($D43,素材!$1:$1016,COLUMN($E$1),FALSE)/(LEN(VLOOKUP($D43,素材!$1:$1016,COLUMN($F$1),FALSE))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J43">
        <f>IF(ISNUMBER(SEARCH(SUBSTITUTE(AJ$1,RIGHT(AJ$1,2),""),VLOOKUP($D43,素材!$1:$1016,COLUMN($F$1),FALSE))),VLOOKUP($C43,装備品!$1:$998,COLUMN($O$1),FALSE)*VLOOKUP($D43,素材!$1:$1016,COLUMN($E$1),FALSE)/(LEN(VLOOKUP($D43,素材!$1:$1016,COLUMN($F$1),FALSE))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K43">
        <f>IF(ISNUMBER(SEARCH(SUBSTITUTE(AK$1,RIGHT(AK$1,2),""),VLOOKUP($D43,素材!$1:$1016,COLUMN($F$1),FALSE))),VLOOKUP($C43,装備品!$1:$998,COLUMN($O$1),FALSE)*VLOOKUP($D43,素材!$1:$1016,COLUMN($E$1),FALSE)/(LEN(VLOOKUP($D43,素材!$1:$1016,COLUMN($F$1),FALSE))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L43">
        <f>IF(ISNUMBER(SEARCH(SUBSTITUTE(AL$1,RIGHT(AL$1,2),""),VLOOKUP($D43,素材!$1:$1016,COLUMN($F$1),FALSE))),VLOOKUP($C43,装備品!$1:$998,COLUMN($O$1),FALSE)*VLOOKUP($D43,素材!$1:$1016,COLUMN($E$1),FALSE)/(LEN(VLOOKUP($D43,素材!$1:$1016,COLUMN($F$1),FALSE))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M43">
        <f>IF(ISNUMBER(SEARCH(SUBSTITUTE(AM$1,RIGHT(AM$1,2),""),VLOOKUP($D43,素材!$1:$1016,COLUMN($F$1),FALSE))),VLOOKUP($C43,装備品!$1:$998,COLUMN($O$1),FALSE)*VLOOKUP($D43,素材!$1:$1016,COLUMN($E$1),FALSE)/(LEN(VLOOKUP($D43,素材!$1:$1016,COLUMN($F$1),FALSE))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N43">
        <f>IF(ISNUMBER(SEARCH(SUBSTITUTE(AN$1,RIGHT(AN$1,2),""),VLOOKUP($D43,素材!$1:$1016,COLUMN($F$1),FALSE))),VLOOKUP($C43,装備品!$1:$998,COLUMN($O$1),FALSE)*VLOOKUP($D43,素材!$1:$1016,COLUMN($E$1),FALSE)/(LEN(VLOOKUP($D43,素材!$1:$1016,COLUMN($F$1),FALSE))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O43">
        <f>IF(ISNUMBER(SEARCH(SUBSTITUTE(AO$1,RIGHT(AO$1,2),""),VLOOKUP($D43,素材!$1:$1016,COLUMN($F$1),FALSE))),VLOOKUP($C43,装備品!$1:$998,COLUMN($O$1),FALSE)*VLOOKUP($D43,素材!$1:$1016,COLUMN($E$1),FALSE)/(LEN(VLOOKUP($D43,素材!$1:$1016,COLUMN($F$1),FALSE))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P43">
        <f>IF(ISNUMBER(SEARCH(SUBSTITUTE(AP$1,RIGHT(AP$1,2),""),VLOOKUP($D43,素材!$1:$1016,COLUMN($F$1),FALSE))),VLOOKUP($C43,装備品!$1:$998,COLUMN($O$1),FALSE)*VLOOKUP($D43,素材!$1:$1016,COLUMN($E$1),FALSE)/(LEN(VLOOKUP($D43,素材!$1:$1016,COLUMN($F$1),FALSE))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Q43">
        <f>IF(ISNUMBER(SEARCH(SUBSTITUTE(AQ$1,RIGHT(AQ$1,2),""),VLOOKUP($D43,素材!$1:$1016,COLUMN($F$1),FALSE))),VLOOKUP($C43,装備品!$1:$998,COLUMN($O$1),FALSE)*VLOOKUP($D43,素材!$1:$1016,COLUMN($E$1),FALSE)/(LEN(VLOOKUP($D43,素材!$1:$1016,COLUMN($F$1),FALSE))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R43">
        <f>IF(ISNUMBER(SEARCH(SUBSTITUTE(AR$1,RIGHT(AR$1,2),""),VLOOKUP($D43,素材!$1:$1016,COLUMN($F$1),FALSE))),VLOOKUP($C43,装備品!$1:$998,COLUMN($O$1),FALSE)*VLOOKUP($D43,素材!$1:$1016,COLUMN($E$1),FALSE)/(LEN(VLOOKUP($D43,素材!$1:$1016,COLUMN($F$1),FALSE))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S43">
        <f>IF(ISNUMBER(SEARCH(SUBSTITUTE(AS$1,RIGHT(AS$1,2),""),VLOOKUP($D43,素材!$1:$1016,COLUMN($F$1),FALSE))),VLOOKUP($C43,装備品!$1:$998,COLUMN($O$1),FALSE)*VLOOKUP($D43,素材!$1:$1016,COLUMN($E$1),FALSE)/(LEN(VLOOKUP($D43,素材!$1:$1016,COLUMN($F$1),FALSE))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T43">
        <f>IF(ISNUMBER(SEARCH(SUBSTITUTE(AT$1,RIGHT(AT$1,2),""),VLOOKUP($D43,素材!$1:$1016,COLUMN($F$1),FALSE))),VLOOKUP($C43,装備品!$1:$998,COLUMN($O$1),FALSE)*VLOOKUP($D43,素材!$1:$1016,COLUMN($E$1),FALSE)/(LEN(VLOOKUP($D43,素材!$1:$1016,COLUMN($F$1),FALSE))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U43">
        <f>IF(ISNUMBER(SEARCH(SUBSTITUTE(AU$1,RIGHT(AU$1,2),""),VLOOKUP($D43,素材!$1:$1016,COLUMN($F$1),FALSE))),VLOOKUP($C43,装備品!$1:$998,COLUMN($O$1),FALSE)*VLOOKUP($D43,素材!$1:$1016,COLUMN($E$1),FALSE)/(LEN(VLOOKUP($D43,素材!$1:$1016,COLUMN($F$1),FALSE))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V43">
        <f>IF(ISNUMBER(SEARCH(SUBSTITUTE(AV$1,RIGHT(AV$1,2),""),VLOOKUP($D43,素材!$1:$1016,COLUMN($F$1),FALSE))),VLOOKUP($C43,装備品!$1:$998,COLUMN($O$1),FALSE)*VLOOKUP($D43,素材!$1:$1016,COLUMN($E$1),FALSE)/(LEN(VLOOKUP($D43,素材!$1:$1016,COLUMN($F$1),FALSE))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W43">
        <f>IF(ISNUMBER(SEARCH(SUBSTITUTE(AW$1,RIGHT(AW$1,2),""),VLOOKUP($D43,素材!$1:$1016,COLUMN($F$1),FALSE))),VLOOKUP($C43,装備品!$1:$998,COLUMN($O$1),FALSE)*VLOOKUP($D43,素材!$1:$1016,COLUMN($E$1),FALSE)/(LEN(VLOOKUP($D43,素材!$1:$1016,COLUMN($F$1),FALSE))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X43">
        <f>IF(ISNUMBER(SEARCH(SUBSTITUTE(AX$1,RIGHT(AX$1,2),""),VLOOKUP($D43,素材!$1:$1016,COLUMN($F$1),FALSE))),VLOOKUP($C43,装備品!$1:$998,COLUMN($O$1),FALSE)*VLOOKUP($D43,素材!$1:$1016,COLUMN($E$1),FALSE)/(LEN(VLOOKUP($D43,素材!$1:$1016,COLUMN($F$1),FALSE))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Y43">
        <f>IF(ISNUMBER(SEARCH(SUBSTITUTE(AY$1,RIGHT(AY$1,2),""),VLOOKUP($D43,素材!$1:$1016,COLUMN($F$1),FALSE))),VLOOKUP($C43,装備品!$1:$998,COLUMN($O$1),FALSE)*VLOOKUP($D43,素材!$1:$1016,COLUMN($E$1),FALSE)/(LEN(VLOOKUP($D43,素材!$1:$1016,COLUMN($F$1),FALSE))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Z43">
        <f>IF(ISNUMBER(SEARCH(SUBSTITUTE(AZ$1,RIGHT(AZ$1,2),""),VLOOKUP($D43,素材!$1:$1016,COLUMN($F$1),FALSE))),VLOOKUP($C43,装備品!$1:$998,COLUMN($O$1),FALSE)*VLOOKUP($D43,素材!$1:$1016,COLUMN($E$1),FALSE)/(LEN(VLOOKUP($D43,素材!$1:$1016,COLUMN($F$1),FALSE))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BA43">
        <f>IF(ISNUMBER(SEARCH(SUBSTITUTE(BA$1,RIGHT(BA$1,2),""),VLOOKUP($D43,素材!$1:$1016,COLUMN($F$1),FALSE))),VLOOKUP($C43,装備品!$1:$998,COLUMN($O$1),FALSE)*VLOOKUP($D43,素材!$1:$1016,COLUMN($E$1),FALSE)/(LEN(VLOOKUP($D43,素材!$1:$1016,COLUMN($F$1),FALSE))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BB43">
        <f>IF(ISNUMBER(SEARCH(SUBSTITUTE(BB$1,RIGHT(BB$1,2),""),VLOOKUP($D43,素材!$1:$1016,COLUMN($F$1),FALSE))),VLOOKUP($C43,装備品!$1:$998,COLUMN($O$1),FALSE)*VLOOKUP($D43,素材!$1:$1016,COLUMN($E$1),FALSE)/(LEN(VLOOKUP($D43,素材!$1:$1016,COLUMN($F$1),FALSE))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BC43">
        <f>IF(ISNUMBER(SEARCH(SUBSTITUTE(BC$1,RIGHT(BC$1,2),""),VLOOKUP($D43,素材!$1:$1016,COLUMN($F$1),FALSE))),VLOOKUP($C43,装備品!$1:$998,COLUMN($O$1),FALSE)*VLOOKUP($D43,素材!$1:$1016,COLUMN($E$1),FALSE)/(LEN(VLOOKUP($D43,素材!$1:$1016,COLUMN($F$1),FALSE))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BD43">
        <f>IF(ISNUMBER(SEARCH(SUBSTITUTE(BD$1,RIGHT(BD$1,2),""),VLOOKUP($D43,素材!$1:$1016,COLUMN($F$1),FALSE))),VLOOKUP($C43,装備品!$1:$998,COLUMN($O$1),FALSE)*VLOOKUP($D43,素材!$1:$1016,COLUMN($E$1),FALSE)/(LEN(VLOOKUP($D43,素材!$1:$1016,COLUMN($F$1),FALSE))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BE43">
        <f>IF(ISNUMBER(SEARCH(SUBSTITUTE(BE$1,RIGHT(BE$1,2),""),VLOOKUP($D43,素材!$1:$1016,COLUMN($F$1),FALSE))),VLOOKUP($C43,装備品!$1:$998,COLUMN($O$1),FALSE)*VLOOKUP($D43,素材!$1:$1016,COLUMN($E$1),FALSE)/(LEN(VLOOKUP($D43,素材!$1:$1016,COLUMN($F$1),FALSE))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CL43">
        <f t="shared" si="1"/>
        <v>17</v>
      </c>
      <c r="CM43" s="22" t="str">
        <f t="shared" si="2"/>
        <v>切断.webp</v>
      </c>
      <c r="CN43">
        <f>IFERROR(VLOOKUP($C43,装備品!$1:$998,COLUMN(V$1),FALSE)*VLOOKUP($D43,素材!$1:$1016,COLUMN(N$1),FALSE)+IF(CI43="",0,VLOOKUP($CI43,付与!$1:$1176,COLUMN($CK$1),FALSE)),"")</f>
        <v>0</v>
      </c>
      <c r="CO43" t="str">
        <f>VLOOKUP(D43,素材!$A:$O,COLUMN(素材!O$1),FALSE)</f>
        <v>一般的な木材。金属より軽いが少し脆い</v>
      </c>
      <c r="CP43" t="str">
        <f>VLOOKUP(C43,装備品!$A:$AB,COLUMN(装備品!AB$1),FALSE)</f>
        <v>幅の広い剣。扱いにくいが攻撃と防御にも優れている。状況に合わせて立ち回ろう。</v>
      </c>
      <c r="CR43" t="str">
        <f t="shared" si="3"/>
        <v>e_43</v>
      </c>
      <c r="CS43">
        <f t="shared" si="4"/>
        <v>0</v>
      </c>
    </row>
    <row r="44" spans="1:97" outlineLevel="1" x14ac:dyDescent="0.4">
      <c r="A44" t="str">
        <f t="shared" si="5"/>
        <v>木の長剣</v>
      </c>
      <c r="B44" t="str">
        <f>IFERROR(VLOOKUP($D44,素材!$1:$1016,COLUMN($B$1),FALSE)&amp;"・"&amp;VLOOKUP($C44,装備品!$1:$998,COLUMN(B$1),FALSE),"")</f>
        <v>ウッド・ロングソード</v>
      </c>
      <c r="C44" s="24" t="s">
        <v>237</v>
      </c>
      <c r="D44" s="24" t="s">
        <v>254</v>
      </c>
      <c r="E44" t="str">
        <f>IFERROR(VLOOKUP(C44,装備品!$1:$998,COLUMN(C$1),FALSE),"")</f>
        <v>武器</v>
      </c>
      <c r="F44">
        <f>IFERROR(ROUNDDOWN((VLOOKUP($C44,装備品!$1:$998,COLUMN(D$1),FALSE)+IFERROR(VLOOKUP($CI44,付与!$1:$1167,COLUMN(F$1),FALSE),0))*VLOOKUP($D44,素材!$1:$1016,COLUMN(D$1),FALSE),0),"")</f>
        <v>86</v>
      </c>
      <c r="G44">
        <f>IFERROR(ROUNDDOWN((VLOOKUP($C44,装備品!$1:$998,COLUMN(E$1),FALSE)+IFERROR(VLOOKUP($CI44,付与!$1:$1167,COLUMN(G$1),FALSE),0))*VLOOKUP($D44,素材!$1:$1016,COLUMN($E$1),FALSE),0),"")</f>
        <v>11</v>
      </c>
      <c r="H44">
        <f>IFERROR(ROUNDDOWN((VLOOKUP($C44,装備品!$1:$998,COLUMN(F$1),FALSE)+IFERROR(VLOOKUP($CI44,付与!$1:$1167,COLUMN(H$1),FALSE),0))*VLOOKUP($D44,素材!$1:$1016,COLUMN($E$1),FALSE),0),"")</f>
        <v>6</v>
      </c>
      <c r="I44">
        <f>IFERROR(ROUNDDOWN((VLOOKUP($C44,装備品!$1:$998,COLUMN(G$1),FALSE)+IFERROR(VLOOKUP($CI44,付与!$1:$1167,COLUMN(I$1),FALSE),0))*VLOOKUP($D44,素材!$1:$1016,COLUMN($E$1),FALSE),0),"")</f>
        <v>2</v>
      </c>
      <c r="J44">
        <f>IFERROR(ROUNDDOWN((VLOOKUP($C44,装備品!$1:$998,COLUMN(H$1),FALSE)+IFERROR(VLOOKUP($CI44,付与!$1:$1167,COLUMN(J$1),FALSE),0))*VLOOKUP($D44,素材!$1:$1016,COLUMN($E$1),FALSE),0),"")</f>
        <v>15</v>
      </c>
      <c r="K44">
        <f>IFERROR(ROUNDDOWN((VLOOKUP($C44,装備品!$1:$998,COLUMN(I$1),FALSE)+IFERROR(VLOOKUP($CI44,付与!$1:$1167,COLUMN(K$1),FALSE),0))*VLOOKUP($D44,素材!$1:$1016,COLUMN($E$1),FALSE),0),"")</f>
        <v>0</v>
      </c>
      <c r="L44">
        <f>IFERROR(VLOOKUP($D44,素材!$1:$1016,COLUMN($F$1),FALSE),"")</f>
        <v>0</v>
      </c>
      <c r="M44">
        <f>IFERROR(VLOOKUP($C44,装備品!$1:$998,COLUMN(AA$1),FALSE)*VLOOKUP($D44,素材!$1:$1016,COLUMN($G$1),FALSE),"")</f>
        <v>0</v>
      </c>
      <c r="N44">
        <f>IFERROR(VLOOKUP($C44,装備品!$1:$998,COLUMN(I$1),FALSE),"")</f>
        <v>0</v>
      </c>
      <c r="O44" s="23">
        <f>IFERROR((VLOOKUP($C44,装備品!$1:$998,COLUMN(K$1),FALSE)+VLOOKUP($D44,素材!$1:$1016,COLUMN(H$1),FALSE))*100+IFERROR(VLOOKUP($CI44,付与!$1:$1167,COLUMN(O$1),FALSE),0),"")</f>
        <v>10</v>
      </c>
      <c r="P44" s="23">
        <f>IFERROR((VLOOKUP($C44,装備品!$1:$998,COLUMN(L$1),FALSE)+VLOOKUP($D44,素材!$1:$1016,COLUMN(I$1),FALSE))*100+IFERROR(VLOOKUP($CI44,付与!$1:$1167,COLUMN(P$1),FALSE),0),"")</f>
        <v>150</v>
      </c>
      <c r="Q44">
        <f>IFERROR(ROUNDUP(VLOOKUP($C44,装備品!$1:$998,COLUMN(M$1),FALSE)*(VLOOKUP($D44,素材!$1:$1002,COLUMN(D$1),FALSE)/100),1),"")</f>
        <v>-1.9000000000000001</v>
      </c>
      <c r="R44">
        <f>IFERROR(ROUNDUP(VLOOKUP($C44,装備品!$1:$998,COLUMN(N$1),FALSE)*(VLOOKUP($D44,素材!$1:$1002,COLUMN(D$1),FALSE)/100),1),"")</f>
        <v>-1.9000000000000001</v>
      </c>
      <c r="S44">
        <f>IFERROR(VLOOKUP($C44,装備品!$1:$998,COLUMN(P$1),FALSE),"")</f>
        <v>0</v>
      </c>
      <c r="T44">
        <f>IFERROR(VLOOKUP($C44,装備品!$1:$998,COLUMN(Q$1),FALSE),"")</f>
        <v>0</v>
      </c>
      <c r="U44">
        <f>IFERROR(VLOOKUP($C44,装備品!$1:$998,COLUMN(R$1),FALSE),"")</f>
        <v>0</v>
      </c>
      <c r="V44">
        <f>IFERROR(VLOOKUP($C44,装備品!$1:$998,COLUMN(Q$1),FALSE),"")</f>
        <v>0</v>
      </c>
      <c r="W44">
        <f>IFERROR(VLOOKUP($C44,装備品!$1:$998,COLUMN(T$1),FALSE),"")</f>
        <v>0</v>
      </c>
      <c r="Y44">
        <f>IFERROR(VLOOKUP($C44,装備品!$1:$998,COLUMN(U$1),FALSE),"")</f>
        <v>0</v>
      </c>
      <c r="Z44">
        <f>IFERROR(ROUNDUP(VLOOKUP($C44,装備品!$1:$998,COLUMN(O$1),FALSE)*VLOOKUP($D44,素材!$1:$1016,COLUMN(E$1),FALSE),1),"")</f>
        <v>0</v>
      </c>
      <c r="AA44">
        <f>IF(ISNUMBER(SEARCH(SUBSTITUTE(AA$1,RIGHT(AA$1,2),""),VLOOKUP($D44,素材!$1:$1016,COLUMN($F$1),FALSE))),VLOOKUP($C44,装備品!$1:$998,COLUMN($O$1),FALSE)*VLOOKUP($D44,素材!$1:$1016,COLUMN($E$1),FALSE)/(LEN(VLOOKUP($D44,素材!$1:$1016,COLUMN($F$1),FALSE))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B44">
        <f>IF(ISNUMBER(SEARCH(SUBSTITUTE(AB$1,RIGHT(AB$1,2),""),VLOOKUP($D44,素材!$1:$1016,COLUMN($F$1),FALSE))),VLOOKUP($C44,装備品!$1:$998,COLUMN($O$1),FALSE)*VLOOKUP($D44,素材!$1:$1016,COLUMN($E$1),FALSE)/(LEN(VLOOKUP($D44,素材!$1:$1016,COLUMN($F$1),FALSE))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C44">
        <f>IF(ISNUMBER(SEARCH(SUBSTITUTE(AC$1,RIGHT(AC$1,2),""),VLOOKUP($D44,素材!$1:$1016,COLUMN($F$1),FALSE))),VLOOKUP($C44,装備品!$1:$998,COLUMN($O$1),FALSE)*VLOOKUP($D44,素材!$1:$1016,COLUMN($E$1),FALSE)/(LEN(VLOOKUP($D44,素材!$1:$1016,COLUMN($F$1),FALSE))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D44">
        <f>IF(ISNUMBER(SEARCH(SUBSTITUTE(AD$1,RIGHT(AD$1,2),""),VLOOKUP($D44,素材!$1:$1016,COLUMN($F$1),FALSE))),VLOOKUP($C44,装備品!$1:$998,COLUMN($O$1),FALSE)*VLOOKUP($D44,素材!$1:$1016,COLUMN($E$1),FALSE)/(LEN(VLOOKUP($D44,素材!$1:$1016,COLUMN($F$1),FALSE))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E44">
        <f>IF(ISNUMBER(SEARCH(SUBSTITUTE(AE$1,RIGHT(AE$1,2),""),VLOOKUP($D44,素材!$1:$1016,COLUMN($F$1),FALSE))),VLOOKUP($C44,装備品!$1:$998,COLUMN($O$1),FALSE)*VLOOKUP($D44,素材!$1:$1016,COLUMN($E$1),FALSE)/(LEN(VLOOKUP($D44,素材!$1:$1016,COLUMN($F$1),FALSE))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F44">
        <f>IF(ISNUMBER(SEARCH(SUBSTITUTE(AF$1,RIGHT(AF$1,2),""),VLOOKUP($D44,素材!$1:$1016,COLUMN($F$1),FALSE))),VLOOKUP($C44,装備品!$1:$998,COLUMN($O$1),FALSE)*VLOOKUP($D44,素材!$1:$1016,COLUMN($E$1),FALSE)/(LEN(VLOOKUP($D44,素材!$1:$1016,COLUMN($F$1),FALSE))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G44">
        <f>IF(ISNUMBER(SEARCH(SUBSTITUTE(AG$1,RIGHT(AG$1,2),""),VLOOKUP($D44,素材!$1:$1016,COLUMN($F$1),FALSE))),VLOOKUP($C44,装備品!$1:$998,COLUMN($O$1),FALSE)*VLOOKUP($D44,素材!$1:$1016,COLUMN($E$1),FALSE)/(LEN(VLOOKUP($D44,素材!$1:$1016,COLUMN($F$1),FALSE))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H44">
        <f>IF(ISNUMBER(SEARCH(SUBSTITUTE(AH$1,RIGHT(AH$1,2),""),VLOOKUP($D44,素材!$1:$1016,COLUMN($F$1),FALSE))),VLOOKUP($C44,装備品!$1:$998,COLUMN($O$1),FALSE)*VLOOKUP($D44,素材!$1:$1016,COLUMN($E$1),FALSE)/(LEN(VLOOKUP($D44,素材!$1:$1016,COLUMN($F$1),FALSE))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I44">
        <f>IF(ISNUMBER(SEARCH(SUBSTITUTE(AI$1,RIGHT(AI$1,2),""),VLOOKUP($D44,素材!$1:$1016,COLUMN($F$1),FALSE))),VLOOKUP($C44,装備品!$1:$998,COLUMN($O$1),FALSE)*VLOOKUP($D44,素材!$1:$1016,COLUMN($E$1),FALSE)/(LEN(VLOOKUP($D44,素材!$1:$1016,COLUMN($F$1),FALSE))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J44">
        <f>IF(ISNUMBER(SEARCH(SUBSTITUTE(AJ$1,RIGHT(AJ$1,2),""),VLOOKUP($D44,素材!$1:$1016,COLUMN($F$1),FALSE))),VLOOKUP($C44,装備品!$1:$998,COLUMN($O$1),FALSE)*VLOOKUP($D44,素材!$1:$1016,COLUMN($E$1),FALSE)/(LEN(VLOOKUP($D44,素材!$1:$1016,COLUMN($F$1),FALSE))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K44">
        <f>IF(ISNUMBER(SEARCH(SUBSTITUTE(AK$1,RIGHT(AK$1,2),""),VLOOKUP($D44,素材!$1:$1016,COLUMN($F$1),FALSE))),VLOOKUP($C44,装備品!$1:$998,COLUMN($O$1),FALSE)*VLOOKUP($D44,素材!$1:$1016,COLUMN($E$1),FALSE)/(LEN(VLOOKUP($D44,素材!$1:$1016,COLUMN($F$1),FALSE))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L44">
        <f>IF(ISNUMBER(SEARCH(SUBSTITUTE(AL$1,RIGHT(AL$1,2),""),VLOOKUP($D44,素材!$1:$1016,COLUMN($F$1),FALSE))),VLOOKUP($C44,装備品!$1:$998,COLUMN($O$1),FALSE)*VLOOKUP($D44,素材!$1:$1016,COLUMN($E$1),FALSE)/(LEN(VLOOKUP($D44,素材!$1:$1016,COLUMN($F$1),FALSE))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M44">
        <f>IF(ISNUMBER(SEARCH(SUBSTITUTE(AM$1,RIGHT(AM$1,2),""),VLOOKUP($D44,素材!$1:$1016,COLUMN($F$1),FALSE))),VLOOKUP($C44,装備品!$1:$998,COLUMN($O$1),FALSE)*VLOOKUP($D44,素材!$1:$1016,COLUMN($E$1),FALSE)/(LEN(VLOOKUP($D44,素材!$1:$1016,COLUMN($F$1),FALSE))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N44">
        <f>IF(ISNUMBER(SEARCH(SUBSTITUTE(AN$1,RIGHT(AN$1,2),""),VLOOKUP($D44,素材!$1:$1016,COLUMN($F$1),FALSE))),VLOOKUP($C44,装備品!$1:$998,COLUMN($O$1),FALSE)*VLOOKUP($D44,素材!$1:$1016,COLUMN($E$1),FALSE)/(LEN(VLOOKUP($D44,素材!$1:$1016,COLUMN($F$1),FALSE))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O44">
        <f>IF(ISNUMBER(SEARCH(SUBSTITUTE(AO$1,RIGHT(AO$1,2),""),VLOOKUP($D44,素材!$1:$1016,COLUMN($F$1),FALSE))),VLOOKUP($C44,装備品!$1:$998,COLUMN($O$1),FALSE)*VLOOKUP($D44,素材!$1:$1016,COLUMN($E$1),FALSE)/(LEN(VLOOKUP($D44,素材!$1:$1016,COLUMN($F$1),FALSE))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P44">
        <f>IF(ISNUMBER(SEARCH(SUBSTITUTE(AP$1,RIGHT(AP$1,2),""),VLOOKUP($D44,素材!$1:$1016,COLUMN($F$1),FALSE))),VLOOKUP($C44,装備品!$1:$998,COLUMN($O$1),FALSE)*VLOOKUP($D44,素材!$1:$1016,COLUMN($E$1),FALSE)/(LEN(VLOOKUP($D44,素材!$1:$1016,COLUMN($F$1),FALSE))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Q44">
        <f>IF(ISNUMBER(SEARCH(SUBSTITUTE(AQ$1,RIGHT(AQ$1,2),""),VLOOKUP($D44,素材!$1:$1016,COLUMN($F$1),FALSE))),VLOOKUP($C44,装備品!$1:$998,COLUMN($O$1),FALSE)*VLOOKUP($D44,素材!$1:$1016,COLUMN($E$1),FALSE)/(LEN(VLOOKUP($D44,素材!$1:$1016,COLUMN($F$1),FALSE))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R44">
        <f>IF(ISNUMBER(SEARCH(SUBSTITUTE(AR$1,RIGHT(AR$1,2),""),VLOOKUP($D44,素材!$1:$1016,COLUMN($F$1),FALSE))),VLOOKUP($C44,装備品!$1:$998,COLUMN($O$1),FALSE)*VLOOKUP($D44,素材!$1:$1016,COLUMN($E$1),FALSE)/(LEN(VLOOKUP($D44,素材!$1:$1016,COLUMN($F$1),FALSE))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S44">
        <f>IF(ISNUMBER(SEARCH(SUBSTITUTE(AS$1,RIGHT(AS$1,2),""),VLOOKUP($D44,素材!$1:$1016,COLUMN($F$1),FALSE))),VLOOKUP($C44,装備品!$1:$998,COLUMN($O$1),FALSE)*VLOOKUP($D44,素材!$1:$1016,COLUMN($E$1),FALSE)/(LEN(VLOOKUP($D44,素材!$1:$1016,COLUMN($F$1),FALSE))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T44">
        <f>IF(ISNUMBER(SEARCH(SUBSTITUTE(AT$1,RIGHT(AT$1,2),""),VLOOKUP($D44,素材!$1:$1016,COLUMN($F$1),FALSE))),VLOOKUP($C44,装備品!$1:$998,COLUMN($O$1),FALSE)*VLOOKUP($D44,素材!$1:$1016,COLUMN($E$1),FALSE)/(LEN(VLOOKUP($D44,素材!$1:$1016,COLUMN($F$1),FALSE))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U44">
        <f>IF(ISNUMBER(SEARCH(SUBSTITUTE(AU$1,RIGHT(AU$1,2),""),VLOOKUP($D44,素材!$1:$1016,COLUMN($F$1),FALSE))),VLOOKUP($C44,装備品!$1:$998,COLUMN($O$1),FALSE)*VLOOKUP($D44,素材!$1:$1016,COLUMN($E$1),FALSE)/(LEN(VLOOKUP($D44,素材!$1:$1016,COLUMN($F$1),FALSE))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V44">
        <f>IF(ISNUMBER(SEARCH(SUBSTITUTE(AV$1,RIGHT(AV$1,2),""),VLOOKUP($D44,素材!$1:$1016,COLUMN($F$1),FALSE))),VLOOKUP($C44,装備品!$1:$998,COLUMN($O$1),FALSE)*VLOOKUP($D44,素材!$1:$1016,COLUMN($E$1),FALSE)/(LEN(VLOOKUP($D44,素材!$1:$1016,COLUMN($F$1),FALSE))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W44">
        <f>IF(ISNUMBER(SEARCH(SUBSTITUTE(AW$1,RIGHT(AW$1,2),""),VLOOKUP($D44,素材!$1:$1016,COLUMN($F$1),FALSE))),VLOOKUP($C44,装備品!$1:$998,COLUMN($O$1),FALSE)*VLOOKUP($D44,素材!$1:$1016,COLUMN($E$1),FALSE)/(LEN(VLOOKUP($D44,素材!$1:$1016,COLUMN($F$1),FALSE))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X44">
        <f>IF(ISNUMBER(SEARCH(SUBSTITUTE(AX$1,RIGHT(AX$1,2),""),VLOOKUP($D44,素材!$1:$1016,COLUMN($F$1),FALSE))),VLOOKUP($C44,装備品!$1:$998,COLUMN($O$1),FALSE)*VLOOKUP($D44,素材!$1:$1016,COLUMN($E$1),FALSE)/(LEN(VLOOKUP($D44,素材!$1:$1016,COLUMN($F$1),FALSE))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Y44">
        <f>IF(ISNUMBER(SEARCH(SUBSTITUTE(AY$1,RIGHT(AY$1,2),""),VLOOKUP($D44,素材!$1:$1016,COLUMN($F$1),FALSE))),VLOOKUP($C44,装備品!$1:$998,COLUMN($O$1),FALSE)*VLOOKUP($D44,素材!$1:$1016,COLUMN($E$1),FALSE)/(LEN(VLOOKUP($D44,素材!$1:$1016,COLUMN($F$1),FALSE))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Z44">
        <f>IF(ISNUMBER(SEARCH(SUBSTITUTE(AZ$1,RIGHT(AZ$1,2),""),VLOOKUP($D44,素材!$1:$1016,COLUMN($F$1),FALSE))),VLOOKUP($C44,装備品!$1:$998,COLUMN($O$1),FALSE)*VLOOKUP($D44,素材!$1:$1016,COLUMN($E$1),FALSE)/(LEN(VLOOKUP($D44,素材!$1:$1016,COLUMN($F$1),FALSE))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BA44">
        <f>IF(ISNUMBER(SEARCH(SUBSTITUTE(BA$1,RIGHT(BA$1,2),""),VLOOKUP($D44,素材!$1:$1016,COLUMN($F$1),FALSE))),VLOOKUP($C44,装備品!$1:$998,COLUMN($O$1),FALSE)*VLOOKUP($D44,素材!$1:$1016,COLUMN($E$1),FALSE)/(LEN(VLOOKUP($D44,素材!$1:$1016,COLUMN($F$1),FALSE))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BB44">
        <f>IF(ISNUMBER(SEARCH(SUBSTITUTE(BB$1,RIGHT(BB$1,2),""),VLOOKUP($D44,素材!$1:$1016,COLUMN($F$1),FALSE))),VLOOKUP($C44,装備品!$1:$998,COLUMN($O$1),FALSE)*VLOOKUP($D44,素材!$1:$1016,COLUMN($E$1),FALSE)/(LEN(VLOOKUP($D44,素材!$1:$1016,COLUMN($F$1),FALSE))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BC44">
        <f>IF(ISNUMBER(SEARCH(SUBSTITUTE(BC$1,RIGHT(BC$1,2),""),VLOOKUP($D44,素材!$1:$1016,COLUMN($F$1),FALSE))),VLOOKUP($C44,装備品!$1:$998,COLUMN($O$1),FALSE)*VLOOKUP($D44,素材!$1:$1016,COLUMN($E$1),FALSE)/(LEN(VLOOKUP($D44,素材!$1:$1016,COLUMN($F$1),FALSE))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BD44">
        <f>IF(ISNUMBER(SEARCH(SUBSTITUTE(BD$1,RIGHT(BD$1,2),""),VLOOKUP($D44,素材!$1:$1016,COLUMN($F$1),FALSE))),VLOOKUP($C44,装備品!$1:$998,COLUMN($O$1),FALSE)*VLOOKUP($D44,素材!$1:$1016,COLUMN($E$1),FALSE)/(LEN(VLOOKUP($D44,素材!$1:$1016,COLUMN($F$1),FALSE))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BE44">
        <f>IF(ISNUMBER(SEARCH(SUBSTITUTE(BE$1,RIGHT(BE$1,2),""),VLOOKUP($D44,素材!$1:$1016,COLUMN($F$1),FALSE))),VLOOKUP($C44,装備品!$1:$998,COLUMN($O$1),FALSE)*VLOOKUP($D44,素材!$1:$1016,COLUMN($E$1),FALSE)/(LEN(VLOOKUP($D44,素材!$1:$1016,COLUMN($F$1),FALSE))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CL44">
        <f t="shared" si="1"/>
        <v>19</v>
      </c>
      <c r="CM44" s="22" t="str">
        <f t="shared" si="2"/>
        <v>切断.webp</v>
      </c>
      <c r="CN44">
        <f>IFERROR(VLOOKUP($C44,装備品!$1:$998,COLUMN(V$1),FALSE)*VLOOKUP($D44,素材!$1:$1016,COLUMN(N$1),FALSE)+IF(CI44="",0,VLOOKUP($CI44,付与!$1:$1176,COLUMN($CK$1),FALSE)),"")</f>
        <v>0</v>
      </c>
      <c r="CO44" t="str">
        <f>VLOOKUP(D44,素材!$A:$O,COLUMN(素材!O$1),FALSE)</f>
        <v>一般的な木材。金属より軽いが少し脆い</v>
      </c>
      <c r="CP44" t="str">
        <f>VLOOKUP(C44,装備品!$A:$AB,COLUMN(装備品!AB$1),FALSE)</f>
        <v>長剣。長く重い分扱いにくいが威力が高い。</v>
      </c>
      <c r="CR44" t="str">
        <f t="shared" si="3"/>
        <v>e_44</v>
      </c>
      <c r="CS44">
        <f t="shared" si="4"/>
        <v>0</v>
      </c>
    </row>
    <row r="45" spans="1:97" outlineLevel="1" x14ac:dyDescent="0.4">
      <c r="A45" t="str">
        <f t="shared" si="5"/>
        <v>木の大剣</v>
      </c>
      <c r="B45" t="str">
        <f>IFERROR(VLOOKUP($D45,素材!$1:$1016,COLUMN($B$1),FALSE)&amp;"・"&amp;VLOOKUP($C45,装備品!$1:$998,COLUMN(B$1),FALSE),"")</f>
        <v>ウッド・バスターソード</v>
      </c>
      <c r="C45" s="24" t="s">
        <v>236</v>
      </c>
      <c r="D45" s="24" t="s">
        <v>254</v>
      </c>
      <c r="E45" t="str">
        <f>IFERROR(VLOOKUP(C45,装備品!$1:$998,COLUMN(C$1),FALSE),"")</f>
        <v>武器</v>
      </c>
      <c r="F45">
        <f>IFERROR(ROUNDDOWN((VLOOKUP($C45,装備品!$1:$998,COLUMN(D$1),FALSE)+IFERROR(VLOOKUP($CI45,付与!$1:$1167,COLUMN(F$1),FALSE),0))*VLOOKUP($D45,素材!$1:$1016,COLUMN(D$1),FALSE),0),"")</f>
        <v>93</v>
      </c>
      <c r="G45">
        <f>IFERROR(ROUNDDOWN((VLOOKUP($C45,装備品!$1:$998,COLUMN(E$1),FALSE)+IFERROR(VLOOKUP($CI45,付与!$1:$1167,COLUMN(G$1),FALSE),0))*VLOOKUP($D45,素材!$1:$1016,COLUMN($E$1),FALSE),0),"")</f>
        <v>13</v>
      </c>
      <c r="H45">
        <f>IFERROR(ROUNDDOWN((VLOOKUP($C45,装備品!$1:$998,COLUMN(F$1),FALSE)+IFERROR(VLOOKUP($CI45,付与!$1:$1167,COLUMN(H$1),FALSE),0))*VLOOKUP($D45,素材!$1:$1016,COLUMN($E$1),FALSE),0),"")</f>
        <v>6</v>
      </c>
      <c r="I45">
        <f>IFERROR(ROUNDDOWN((VLOOKUP($C45,装備品!$1:$998,COLUMN(G$1),FALSE)+IFERROR(VLOOKUP($CI45,付与!$1:$1167,COLUMN(I$1),FALSE),0))*VLOOKUP($D45,素材!$1:$1016,COLUMN($E$1),FALSE),0),"")</f>
        <v>3</v>
      </c>
      <c r="J45">
        <f>IFERROR(ROUNDDOWN((VLOOKUP($C45,装備品!$1:$998,COLUMN(H$1),FALSE)+IFERROR(VLOOKUP($CI45,付与!$1:$1167,COLUMN(J$1),FALSE),0))*VLOOKUP($D45,素材!$1:$1016,COLUMN($E$1),FALSE),0),"")</f>
        <v>16</v>
      </c>
      <c r="K45">
        <f>IFERROR(ROUNDDOWN((VLOOKUP($C45,装備品!$1:$998,COLUMN(I$1),FALSE)+IFERROR(VLOOKUP($CI45,付与!$1:$1167,COLUMN(K$1),FALSE),0))*VLOOKUP($D45,素材!$1:$1016,COLUMN($E$1),FALSE),0),"")</f>
        <v>0</v>
      </c>
      <c r="L45">
        <f>IFERROR(VLOOKUP($D45,素材!$1:$1016,COLUMN($F$1),FALSE),"")</f>
        <v>0</v>
      </c>
      <c r="M45">
        <f>IFERROR(VLOOKUP($C45,装備品!$1:$998,COLUMN(AA$1),FALSE)*VLOOKUP($D45,素材!$1:$1016,COLUMN($G$1),FALSE),"")</f>
        <v>0</v>
      </c>
      <c r="N45">
        <f>IFERROR(VLOOKUP($C45,装備品!$1:$998,COLUMN(I$1),FALSE),"")</f>
        <v>0</v>
      </c>
      <c r="O45" s="23">
        <f>IFERROR((VLOOKUP($C45,装備品!$1:$998,COLUMN(K$1),FALSE)+VLOOKUP($D45,素材!$1:$1016,COLUMN(H$1),FALSE))*100+IFERROR(VLOOKUP($CI45,付与!$1:$1167,COLUMN(O$1),FALSE),0),"")</f>
        <v>10</v>
      </c>
      <c r="P45" s="23">
        <f>IFERROR((VLOOKUP($C45,装備品!$1:$998,COLUMN(L$1),FALSE)+VLOOKUP($D45,素材!$1:$1016,COLUMN(I$1),FALSE))*100+IFERROR(VLOOKUP($CI45,付与!$1:$1167,COLUMN(P$1),FALSE),0),"")</f>
        <v>150</v>
      </c>
      <c r="Q45">
        <f>IFERROR(ROUNDUP(VLOOKUP($C45,装備品!$1:$998,COLUMN(M$1),FALSE)*(VLOOKUP($D45,素材!$1:$1002,COLUMN(D$1),FALSE)/100),1),"")</f>
        <v>-5.6999999999999993</v>
      </c>
      <c r="R45">
        <f>IFERROR(ROUNDUP(VLOOKUP($C45,装備品!$1:$998,COLUMN(N$1),FALSE)*(VLOOKUP($D45,素材!$1:$1002,COLUMN(D$1),FALSE)/100),1),"")</f>
        <v>-5.6999999999999993</v>
      </c>
      <c r="S45">
        <f>IFERROR(VLOOKUP($C45,装備品!$1:$998,COLUMN(P$1),FALSE),"")</f>
        <v>0</v>
      </c>
      <c r="T45">
        <f>IFERROR(VLOOKUP($C45,装備品!$1:$998,COLUMN(Q$1),FALSE),"")</f>
        <v>0</v>
      </c>
      <c r="U45">
        <f>IFERROR(VLOOKUP($C45,装備品!$1:$998,COLUMN(R$1),FALSE),"")</f>
        <v>-15</v>
      </c>
      <c r="V45">
        <f>IFERROR(VLOOKUP($C45,装備品!$1:$998,COLUMN(Q$1),FALSE),"")</f>
        <v>0</v>
      </c>
      <c r="W45">
        <f>IFERROR(VLOOKUP($C45,装備品!$1:$998,COLUMN(T$1),FALSE),"")</f>
        <v>0</v>
      </c>
      <c r="Y45">
        <f>IFERROR(VLOOKUP($C45,装備品!$1:$998,COLUMN(U$1),FALSE),"")</f>
        <v>0</v>
      </c>
      <c r="Z45">
        <f>IFERROR(ROUNDUP(VLOOKUP($C45,装備品!$1:$998,COLUMN(O$1),FALSE)*VLOOKUP($D45,素材!$1:$1016,COLUMN(E$1),FALSE),1),"")</f>
        <v>0</v>
      </c>
      <c r="AA45">
        <f>IF(ISNUMBER(SEARCH(SUBSTITUTE(AA$1,RIGHT(AA$1,2),""),VLOOKUP($D45,素材!$1:$1016,COLUMN($F$1),FALSE))),VLOOKUP($C45,装備品!$1:$998,COLUMN($O$1),FALSE)*VLOOKUP($D45,素材!$1:$1016,COLUMN($E$1),FALSE)/(LEN(VLOOKUP($D45,素材!$1:$1016,COLUMN($F$1),FALSE))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B45">
        <f>IF(ISNUMBER(SEARCH(SUBSTITUTE(AB$1,RIGHT(AB$1,2),""),VLOOKUP($D45,素材!$1:$1016,COLUMN($F$1),FALSE))),VLOOKUP($C45,装備品!$1:$998,COLUMN($O$1),FALSE)*VLOOKUP($D45,素材!$1:$1016,COLUMN($E$1),FALSE)/(LEN(VLOOKUP($D45,素材!$1:$1016,COLUMN($F$1),FALSE))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C45">
        <f>IF(ISNUMBER(SEARCH(SUBSTITUTE(AC$1,RIGHT(AC$1,2),""),VLOOKUP($D45,素材!$1:$1016,COLUMN($F$1),FALSE))),VLOOKUP($C45,装備品!$1:$998,COLUMN($O$1),FALSE)*VLOOKUP($D45,素材!$1:$1016,COLUMN($E$1),FALSE)/(LEN(VLOOKUP($D45,素材!$1:$1016,COLUMN($F$1),FALSE))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D45">
        <f>IF(ISNUMBER(SEARCH(SUBSTITUTE(AD$1,RIGHT(AD$1,2),""),VLOOKUP($D45,素材!$1:$1016,COLUMN($F$1),FALSE))),VLOOKUP($C45,装備品!$1:$998,COLUMN($O$1),FALSE)*VLOOKUP($D45,素材!$1:$1016,COLUMN($E$1),FALSE)/(LEN(VLOOKUP($D45,素材!$1:$1016,COLUMN($F$1),FALSE))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E45">
        <f>IF(ISNUMBER(SEARCH(SUBSTITUTE(AE$1,RIGHT(AE$1,2),""),VLOOKUP($D45,素材!$1:$1016,COLUMN($F$1),FALSE))),VLOOKUP($C45,装備品!$1:$998,COLUMN($O$1),FALSE)*VLOOKUP($D45,素材!$1:$1016,COLUMN($E$1),FALSE)/(LEN(VLOOKUP($D45,素材!$1:$1016,COLUMN($F$1),FALSE))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F45">
        <f>IF(ISNUMBER(SEARCH(SUBSTITUTE(AF$1,RIGHT(AF$1,2),""),VLOOKUP($D45,素材!$1:$1016,COLUMN($F$1),FALSE))),VLOOKUP($C45,装備品!$1:$998,COLUMN($O$1),FALSE)*VLOOKUP($D45,素材!$1:$1016,COLUMN($E$1),FALSE)/(LEN(VLOOKUP($D45,素材!$1:$1016,COLUMN($F$1),FALSE))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G45">
        <f>IF(ISNUMBER(SEARCH(SUBSTITUTE(AG$1,RIGHT(AG$1,2),""),VLOOKUP($D45,素材!$1:$1016,COLUMN($F$1),FALSE))),VLOOKUP($C45,装備品!$1:$998,COLUMN($O$1),FALSE)*VLOOKUP($D45,素材!$1:$1016,COLUMN($E$1),FALSE)/(LEN(VLOOKUP($D45,素材!$1:$1016,COLUMN($F$1),FALSE))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H45">
        <f>IF(ISNUMBER(SEARCH(SUBSTITUTE(AH$1,RIGHT(AH$1,2),""),VLOOKUP($D45,素材!$1:$1016,COLUMN($F$1),FALSE))),VLOOKUP($C45,装備品!$1:$998,COLUMN($O$1),FALSE)*VLOOKUP($D45,素材!$1:$1016,COLUMN($E$1),FALSE)/(LEN(VLOOKUP($D45,素材!$1:$1016,COLUMN($F$1),FALSE))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I45">
        <f>IF(ISNUMBER(SEARCH(SUBSTITUTE(AI$1,RIGHT(AI$1,2),""),VLOOKUP($D45,素材!$1:$1016,COLUMN($F$1),FALSE))),VLOOKUP($C45,装備品!$1:$998,COLUMN($O$1),FALSE)*VLOOKUP($D45,素材!$1:$1016,COLUMN($E$1),FALSE)/(LEN(VLOOKUP($D45,素材!$1:$1016,COLUMN($F$1),FALSE))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J45">
        <f>IF(ISNUMBER(SEARCH(SUBSTITUTE(AJ$1,RIGHT(AJ$1,2),""),VLOOKUP($D45,素材!$1:$1016,COLUMN($F$1),FALSE))),VLOOKUP($C45,装備品!$1:$998,COLUMN($O$1),FALSE)*VLOOKUP($D45,素材!$1:$1016,COLUMN($E$1),FALSE)/(LEN(VLOOKUP($D45,素材!$1:$1016,COLUMN($F$1),FALSE))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K45">
        <f>IF(ISNUMBER(SEARCH(SUBSTITUTE(AK$1,RIGHT(AK$1,2),""),VLOOKUP($D45,素材!$1:$1016,COLUMN($F$1),FALSE))),VLOOKUP($C45,装備品!$1:$998,COLUMN($O$1),FALSE)*VLOOKUP($D45,素材!$1:$1016,COLUMN($E$1),FALSE)/(LEN(VLOOKUP($D45,素材!$1:$1016,COLUMN($F$1),FALSE))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L45">
        <f>IF(ISNUMBER(SEARCH(SUBSTITUTE(AL$1,RIGHT(AL$1,2),""),VLOOKUP($D45,素材!$1:$1016,COLUMN($F$1),FALSE))),VLOOKUP($C45,装備品!$1:$998,COLUMN($O$1),FALSE)*VLOOKUP($D45,素材!$1:$1016,COLUMN($E$1),FALSE)/(LEN(VLOOKUP($D45,素材!$1:$1016,COLUMN($F$1),FALSE))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M45">
        <f>IF(ISNUMBER(SEARCH(SUBSTITUTE(AM$1,RIGHT(AM$1,2),""),VLOOKUP($D45,素材!$1:$1016,COLUMN($F$1),FALSE))),VLOOKUP($C45,装備品!$1:$998,COLUMN($O$1),FALSE)*VLOOKUP($D45,素材!$1:$1016,COLUMN($E$1),FALSE)/(LEN(VLOOKUP($D45,素材!$1:$1016,COLUMN($F$1),FALSE))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N45">
        <f>IF(ISNUMBER(SEARCH(SUBSTITUTE(AN$1,RIGHT(AN$1,2),""),VLOOKUP($D45,素材!$1:$1016,COLUMN($F$1),FALSE))),VLOOKUP($C45,装備品!$1:$998,COLUMN($O$1),FALSE)*VLOOKUP($D45,素材!$1:$1016,COLUMN($E$1),FALSE)/(LEN(VLOOKUP($D45,素材!$1:$1016,COLUMN($F$1),FALSE))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O45">
        <f>IF(ISNUMBER(SEARCH(SUBSTITUTE(AO$1,RIGHT(AO$1,2),""),VLOOKUP($D45,素材!$1:$1016,COLUMN($F$1),FALSE))),VLOOKUP($C45,装備品!$1:$998,COLUMN($O$1),FALSE)*VLOOKUP($D45,素材!$1:$1016,COLUMN($E$1),FALSE)/(LEN(VLOOKUP($D45,素材!$1:$1016,COLUMN($F$1),FALSE))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P45">
        <f>IF(ISNUMBER(SEARCH(SUBSTITUTE(AP$1,RIGHT(AP$1,2),""),VLOOKUP($D45,素材!$1:$1016,COLUMN($F$1),FALSE))),VLOOKUP($C45,装備品!$1:$998,COLUMN($O$1),FALSE)*VLOOKUP($D45,素材!$1:$1016,COLUMN($E$1),FALSE)/(LEN(VLOOKUP($D45,素材!$1:$1016,COLUMN($F$1),FALSE))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Q45">
        <f>IF(ISNUMBER(SEARCH(SUBSTITUTE(AQ$1,RIGHT(AQ$1,2),""),VLOOKUP($D45,素材!$1:$1016,COLUMN($F$1),FALSE))),VLOOKUP($C45,装備品!$1:$998,COLUMN($O$1),FALSE)*VLOOKUP($D45,素材!$1:$1016,COLUMN($E$1),FALSE)/(LEN(VLOOKUP($D45,素材!$1:$1016,COLUMN($F$1),FALSE))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R45">
        <f>IF(ISNUMBER(SEARCH(SUBSTITUTE(AR$1,RIGHT(AR$1,2),""),VLOOKUP($D45,素材!$1:$1016,COLUMN($F$1),FALSE))),VLOOKUP($C45,装備品!$1:$998,COLUMN($O$1),FALSE)*VLOOKUP($D45,素材!$1:$1016,COLUMN($E$1),FALSE)/(LEN(VLOOKUP($D45,素材!$1:$1016,COLUMN($F$1),FALSE))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S45">
        <f>IF(ISNUMBER(SEARCH(SUBSTITUTE(AS$1,RIGHT(AS$1,2),""),VLOOKUP($D45,素材!$1:$1016,COLUMN($F$1),FALSE))),VLOOKUP($C45,装備品!$1:$998,COLUMN($O$1),FALSE)*VLOOKUP($D45,素材!$1:$1016,COLUMN($E$1),FALSE)/(LEN(VLOOKUP($D45,素材!$1:$1016,COLUMN($F$1),FALSE))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T45">
        <f>IF(ISNUMBER(SEARCH(SUBSTITUTE(AT$1,RIGHT(AT$1,2),""),VLOOKUP($D45,素材!$1:$1016,COLUMN($F$1),FALSE))),VLOOKUP($C45,装備品!$1:$998,COLUMN($O$1),FALSE)*VLOOKUP($D45,素材!$1:$1016,COLUMN($E$1),FALSE)/(LEN(VLOOKUP($D45,素材!$1:$1016,COLUMN($F$1),FALSE))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U45">
        <f>IF(ISNUMBER(SEARCH(SUBSTITUTE(AU$1,RIGHT(AU$1,2),""),VLOOKUP($D45,素材!$1:$1016,COLUMN($F$1),FALSE))),VLOOKUP($C45,装備品!$1:$998,COLUMN($O$1),FALSE)*VLOOKUP($D45,素材!$1:$1016,COLUMN($E$1),FALSE)/(LEN(VLOOKUP($D45,素材!$1:$1016,COLUMN($F$1),FALSE))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V45">
        <f>IF(ISNUMBER(SEARCH(SUBSTITUTE(AV$1,RIGHT(AV$1,2),""),VLOOKUP($D45,素材!$1:$1016,COLUMN($F$1),FALSE))),VLOOKUP($C45,装備品!$1:$998,COLUMN($O$1),FALSE)*VLOOKUP($D45,素材!$1:$1016,COLUMN($E$1),FALSE)/(LEN(VLOOKUP($D45,素材!$1:$1016,COLUMN($F$1),FALSE))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W45">
        <f>IF(ISNUMBER(SEARCH(SUBSTITUTE(AW$1,RIGHT(AW$1,2),""),VLOOKUP($D45,素材!$1:$1016,COLUMN($F$1),FALSE))),VLOOKUP($C45,装備品!$1:$998,COLUMN($O$1),FALSE)*VLOOKUP($D45,素材!$1:$1016,COLUMN($E$1),FALSE)/(LEN(VLOOKUP($D45,素材!$1:$1016,COLUMN($F$1),FALSE))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X45">
        <f>IF(ISNUMBER(SEARCH(SUBSTITUTE(AX$1,RIGHT(AX$1,2),""),VLOOKUP($D45,素材!$1:$1016,COLUMN($F$1),FALSE))),VLOOKUP($C45,装備品!$1:$998,COLUMN($O$1),FALSE)*VLOOKUP($D45,素材!$1:$1016,COLUMN($E$1),FALSE)/(LEN(VLOOKUP($D45,素材!$1:$1016,COLUMN($F$1),FALSE))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Y45">
        <f>IF(ISNUMBER(SEARCH(SUBSTITUTE(AY$1,RIGHT(AY$1,2),""),VLOOKUP($D45,素材!$1:$1016,COLUMN($F$1),FALSE))),VLOOKUP($C45,装備品!$1:$998,COLUMN($O$1),FALSE)*VLOOKUP($D45,素材!$1:$1016,COLUMN($E$1),FALSE)/(LEN(VLOOKUP($D45,素材!$1:$1016,COLUMN($F$1),FALSE))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Z45">
        <f>IF(ISNUMBER(SEARCH(SUBSTITUTE(AZ$1,RIGHT(AZ$1,2),""),VLOOKUP($D45,素材!$1:$1016,COLUMN($F$1),FALSE))),VLOOKUP($C45,装備品!$1:$998,COLUMN($O$1),FALSE)*VLOOKUP($D45,素材!$1:$1016,COLUMN($E$1),FALSE)/(LEN(VLOOKUP($D45,素材!$1:$1016,COLUMN($F$1),FALSE))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BA45">
        <f>IF(ISNUMBER(SEARCH(SUBSTITUTE(BA$1,RIGHT(BA$1,2),""),VLOOKUP($D45,素材!$1:$1016,COLUMN($F$1),FALSE))),VLOOKUP($C45,装備品!$1:$998,COLUMN($O$1),FALSE)*VLOOKUP($D45,素材!$1:$1016,COLUMN($E$1),FALSE)/(LEN(VLOOKUP($D45,素材!$1:$1016,COLUMN($F$1),FALSE))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BB45">
        <f>IF(ISNUMBER(SEARCH(SUBSTITUTE(BB$1,RIGHT(BB$1,2),""),VLOOKUP($D45,素材!$1:$1016,COLUMN($F$1),FALSE))),VLOOKUP($C45,装備品!$1:$998,COLUMN($O$1),FALSE)*VLOOKUP($D45,素材!$1:$1016,COLUMN($E$1),FALSE)/(LEN(VLOOKUP($D45,素材!$1:$1016,COLUMN($F$1),FALSE))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BC45">
        <f>IF(ISNUMBER(SEARCH(SUBSTITUTE(BC$1,RIGHT(BC$1,2),""),VLOOKUP($D45,素材!$1:$1016,COLUMN($F$1),FALSE))),VLOOKUP($C45,装備品!$1:$998,COLUMN($O$1),FALSE)*VLOOKUP($D45,素材!$1:$1016,COLUMN($E$1),FALSE)/(LEN(VLOOKUP($D45,素材!$1:$1016,COLUMN($F$1),FALSE))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BD45">
        <f>IF(ISNUMBER(SEARCH(SUBSTITUTE(BD$1,RIGHT(BD$1,2),""),VLOOKUP($D45,素材!$1:$1016,COLUMN($F$1),FALSE))),VLOOKUP($C45,装備品!$1:$998,COLUMN($O$1),FALSE)*VLOOKUP($D45,素材!$1:$1016,COLUMN($E$1),FALSE)/(LEN(VLOOKUP($D45,素材!$1:$1016,COLUMN($F$1),FALSE))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BE45">
        <f>IF(ISNUMBER(SEARCH(SUBSTITUTE(BE$1,RIGHT(BE$1,2),""),VLOOKUP($D45,素材!$1:$1016,COLUMN($F$1),FALSE))),VLOOKUP($C45,装備品!$1:$998,COLUMN($O$1),FALSE)*VLOOKUP($D45,素材!$1:$1016,COLUMN($E$1),FALSE)/(LEN(VLOOKUP($D45,素材!$1:$1016,COLUMN($F$1),FALSE))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CL45">
        <f t="shared" si="1"/>
        <v>22</v>
      </c>
      <c r="CM45" s="22" t="str">
        <f t="shared" si="2"/>
        <v>切断.webp</v>
      </c>
      <c r="CN45">
        <f>IFERROR(VLOOKUP($C45,装備品!$1:$998,COLUMN(V$1),FALSE)*VLOOKUP($D45,素材!$1:$1016,COLUMN(N$1),FALSE)+IF(CI45="",0,VLOOKUP($CI45,付与!$1:$1176,COLUMN($CK$1),FALSE)),"")</f>
        <v>0</v>
      </c>
      <c r="CO45" t="str">
        <f>VLOOKUP(D45,素材!$A:$O,COLUMN(素材!O$1),FALSE)</f>
        <v>一般的な木材。金属より軽いが少し脆い</v>
      </c>
      <c r="CP45" t="str">
        <f>VLOOKUP(C45,装備品!$A:$AB,COLUMN(装備品!AB$1),FALSE)</f>
        <v>大剣。非常に重いが威力が突出して高い武器。大きい分ガードにも向いている</v>
      </c>
      <c r="CR45" t="str">
        <f t="shared" si="3"/>
        <v>e_45</v>
      </c>
      <c r="CS45">
        <f t="shared" si="4"/>
        <v>0</v>
      </c>
    </row>
    <row r="46" spans="1:97" outlineLevel="1" x14ac:dyDescent="0.4">
      <c r="A46" t="str">
        <f t="shared" si="5"/>
        <v>木の細剣</v>
      </c>
      <c r="B46" t="str">
        <f>IFERROR(VLOOKUP($D46,素材!$1:$1016,COLUMN($B$1),FALSE)&amp;"・"&amp;VLOOKUP($C46,装備品!$1:$998,COLUMN(B$1),FALSE),"")</f>
        <v>ウッド・レイピア</v>
      </c>
      <c r="C46" s="24" t="s">
        <v>235</v>
      </c>
      <c r="D46" s="24" t="s">
        <v>254</v>
      </c>
      <c r="E46" t="str">
        <f>IFERROR(VLOOKUP(C46,装備品!$1:$998,COLUMN(C$1),FALSE),"")</f>
        <v>武器</v>
      </c>
      <c r="F46">
        <f>IFERROR(ROUNDDOWN((VLOOKUP($C46,装備品!$1:$998,COLUMN(D$1),FALSE)+IFERROR(VLOOKUP($CI46,付与!$1:$1167,COLUMN(F$1),FALSE),0))*VLOOKUP($D46,素材!$1:$1016,COLUMN(D$1),FALSE),0),"")</f>
        <v>75</v>
      </c>
      <c r="G46">
        <f>IFERROR(ROUNDDOWN((VLOOKUP($C46,装備品!$1:$998,COLUMN(E$1),FALSE)+IFERROR(VLOOKUP($CI46,付与!$1:$1167,COLUMN(G$1),FALSE),0))*VLOOKUP($D46,素材!$1:$1016,COLUMN($E$1),FALSE),0),"")</f>
        <v>6</v>
      </c>
      <c r="H46">
        <f>IFERROR(ROUNDDOWN((VLOOKUP($C46,装備品!$1:$998,COLUMN(F$1),FALSE)+IFERROR(VLOOKUP($CI46,付与!$1:$1167,COLUMN(H$1),FALSE),0))*VLOOKUP($D46,素材!$1:$1016,COLUMN($E$1),FALSE),0),"")</f>
        <v>9</v>
      </c>
      <c r="I46">
        <f>IFERROR(ROUNDDOWN((VLOOKUP($C46,装備品!$1:$998,COLUMN(G$1),FALSE)+IFERROR(VLOOKUP($CI46,付与!$1:$1167,COLUMN(I$1),FALSE),0))*VLOOKUP($D46,素材!$1:$1016,COLUMN($E$1),FALSE),0),"")</f>
        <v>0</v>
      </c>
      <c r="J46">
        <f>IFERROR(ROUNDDOWN((VLOOKUP($C46,装備品!$1:$998,COLUMN(H$1),FALSE)+IFERROR(VLOOKUP($CI46,付与!$1:$1167,COLUMN(J$1),FALSE),0))*VLOOKUP($D46,素材!$1:$1016,COLUMN($E$1),FALSE),0),"")</f>
        <v>12</v>
      </c>
      <c r="K46">
        <f>IFERROR(ROUNDDOWN((VLOOKUP($C46,装備品!$1:$998,COLUMN(I$1),FALSE)+IFERROR(VLOOKUP($CI46,付与!$1:$1167,COLUMN(K$1),FALSE),0))*VLOOKUP($D46,素材!$1:$1016,COLUMN($E$1),FALSE),0),"")</f>
        <v>0</v>
      </c>
      <c r="L46">
        <f>IFERROR(VLOOKUP($D46,素材!$1:$1016,COLUMN($F$1),FALSE),"")</f>
        <v>0</v>
      </c>
      <c r="M46">
        <f>IFERROR(VLOOKUP($C46,装備品!$1:$998,COLUMN(AA$1),FALSE)*VLOOKUP($D46,素材!$1:$1016,COLUMN($G$1),FALSE),"")</f>
        <v>0</v>
      </c>
      <c r="N46">
        <f>IFERROR(VLOOKUP($C46,装備品!$1:$998,COLUMN(I$1),FALSE),"")</f>
        <v>0</v>
      </c>
      <c r="O46" s="23">
        <f>IFERROR((VLOOKUP($C46,装備品!$1:$998,COLUMN(K$1),FALSE)+VLOOKUP($D46,素材!$1:$1016,COLUMN(H$1),FALSE))*100+IFERROR(VLOOKUP($CI46,付与!$1:$1167,COLUMN(O$1),FALSE),0),"")</f>
        <v>15</v>
      </c>
      <c r="P46" s="23">
        <f>IFERROR((VLOOKUP($C46,装備品!$1:$998,COLUMN(L$1),FALSE)+VLOOKUP($D46,素材!$1:$1016,COLUMN(I$1),FALSE))*100+IFERROR(VLOOKUP($CI46,付与!$1:$1167,COLUMN(P$1),FALSE),0),"")</f>
        <v>125</v>
      </c>
      <c r="Q46">
        <f>IFERROR(ROUNDUP(VLOOKUP($C46,装備品!$1:$998,COLUMN(M$1),FALSE)*(VLOOKUP($D46,素材!$1:$1002,COLUMN(D$1),FALSE)/100),1),"")</f>
        <v>0</v>
      </c>
      <c r="R46">
        <f>IFERROR(ROUNDUP(VLOOKUP($C46,装備品!$1:$998,COLUMN(N$1),FALSE)*(VLOOKUP($D46,素材!$1:$1002,COLUMN(D$1),FALSE)/100),1),"")</f>
        <v>0</v>
      </c>
      <c r="S46">
        <f>IFERROR(VLOOKUP($C46,装備品!$1:$998,COLUMN(P$1),FALSE),"")</f>
        <v>0</v>
      </c>
      <c r="T46">
        <f>IFERROR(VLOOKUP($C46,装備品!$1:$998,COLUMN(Q$1),FALSE),"")</f>
        <v>0</v>
      </c>
      <c r="U46">
        <f>IFERROR(VLOOKUP($C46,装備品!$1:$998,COLUMN(R$1),FALSE),"")</f>
        <v>0</v>
      </c>
      <c r="V46">
        <f>IFERROR(VLOOKUP($C46,装備品!$1:$998,COLUMN(Q$1),FALSE),"")</f>
        <v>0</v>
      </c>
      <c r="W46">
        <f>IFERROR(VLOOKUP($C46,装備品!$1:$998,COLUMN(T$1),FALSE),"")</f>
        <v>0</v>
      </c>
      <c r="Y46">
        <f>IFERROR(VLOOKUP($C46,装備品!$1:$998,COLUMN(U$1),FALSE),"")</f>
        <v>0</v>
      </c>
      <c r="Z46">
        <f>IFERROR(ROUNDUP(VLOOKUP($C46,装備品!$1:$998,COLUMN(O$1),FALSE)*VLOOKUP($D46,素材!$1:$1016,COLUMN(E$1),FALSE),1),"")</f>
        <v>0</v>
      </c>
      <c r="AA46">
        <f>IF(ISNUMBER(SEARCH(SUBSTITUTE(AA$1,RIGHT(AA$1,2),""),VLOOKUP($D46,素材!$1:$1016,COLUMN($F$1),FALSE))),VLOOKUP($C46,装備品!$1:$998,COLUMN($O$1),FALSE)*VLOOKUP($D46,素材!$1:$1016,COLUMN($E$1),FALSE)/(LEN(VLOOKUP($D46,素材!$1:$1016,COLUMN($F$1),FALSE))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B46">
        <f>IF(ISNUMBER(SEARCH(SUBSTITUTE(AB$1,RIGHT(AB$1,2),""),VLOOKUP($D46,素材!$1:$1016,COLUMN($F$1),FALSE))),VLOOKUP($C46,装備品!$1:$998,COLUMN($O$1),FALSE)*VLOOKUP($D46,素材!$1:$1016,COLUMN($E$1),FALSE)/(LEN(VLOOKUP($D46,素材!$1:$1016,COLUMN($F$1),FALSE))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C46">
        <f>IF(ISNUMBER(SEARCH(SUBSTITUTE(AC$1,RIGHT(AC$1,2),""),VLOOKUP($D46,素材!$1:$1016,COLUMN($F$1),FALSE))),VLOOKUP($C46,装備品!$1:$998,COLUMN($O$1),FALSE)*VLOOKUP($D46,素材!$1:$1016,COLUMN($E$1),FALSE)/(LEN(VLOOKUP($D46,素材!$1:$1016,COLUMN($F$1),FALSE))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D46">
        <f>IF(ISNUMBER(SEARCH(SUBSTITUTE(AD$1,RIGHT(AD$1,2),""),VLOOKUP($D46,素材!$1:$1016,COLUMN($F$1),FALSE))),VLOOKUP($C46,装備品!$1:$998,COLUMN($O$1),FALSE)*VLOOKUP($D46,素材!$1:$1016,COLUMN($E$1),FALSE)/(LEN(VLOOKUP($D46,素材!$1:$1016,COLUMN($F$1),FALSE))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E46">
        <f>IF(ISNUMBER(SEARCH(SUBSTITUTE(AE$1,RIGHT(AE$1,2),""),VLOOKUP($D46,素材!$1:$1016,COLUMN($F$1),FALSE))),VLOOKUP($C46,装備品!$1:$998,COLUMN($O$1),FALSE)*VLOOKUP($D46,素材!$1:$1016,COLUMN($E$1),FALSE)/(LEN(VLOOKUP($D46,素材!$1:$1016,COLUMN($F$1),FALSE))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F46">
        <f>IF(ISNUMBER(SEARCH(SUBSTITUTE(AF$1,RIGHT(AF$1,2),""),VLOOKUP($D46,素材!$1:$1016,COLUMN($F$1),FALSE))),VLOOKUP($C46,装備品!$1:$998,COLUMN($O$1),FALSE)*VLOOKUP($D46,素材!$1:$1016,COLUMN($E$1),FALSE)/(LEN(VLOOKUP($D46,素材!$1:$1016,COLUMN($F$1),FALSE))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G46">
        <f>IF(ISNUMBER(SEARCH(SUBSTITUTE(AG$1,RIGHT(AG$1,2),""),VLOOKUP($D46,素材!$1:$1016,COLUMN($F$1),FALSE))),VLOOKUP($C46,装備品!$1:$998,COLUMN($O$1),FALSE)*VLOOKUP($D46,素材!$1:$1016,COLUMN($E$1),FALSE)/(LEN(VLOOKUP($D46,素材!$1:$1016,COLUMN($F$1),FALSE))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H46">
        <f>IF(ISNUMBER(SEARCH(SUBSTITUTE(AH$1,RIGHT(AH$1,2),""),VLOOKUP($D46,素材!$1:$1016,COLUMN($F$1),FALSE))),VLOOKUP($C46,装備品!$1:$998,COLUMN($O$1),FALSE)*VLOOKUP($D46,素材!$1:$1016,COLUMN($E$1),FALSE)/(LEN(VLOOKUP($D46,素材!$1:$1016,COLUMN($F$1),FALSE))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I46">
        <f>IF(ISNUMBER(SEARCH(SUBSTITUTE(AI$1,RIGHT(AI$1,2),""),VLOOKUP($D46,素材!$1:$1016,COLUMN($F$1),FALSE))),VLOOKUP($C46,装備品!$1:$998,COLUMN($O$1),FALSE)*VLOOKUP($D46,素材!$1:$1016,COLUMN($E$1),FALSE)/(LEN(VLOOKUP($D46,素材!$1:$1016,COLUMN($F$1),FALSE))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J46">
        <f>IF(ISNUMBER(SEARCH(SUBSTITUTE(AJ$1,RIGHT(AJ$1,2),""),VLOOKUP($D46,素材!$1:$1016,COLUMN($F$1),FALSE))),VLOOKUP($C46,装備品!$1:$998,COLUMN($O$1),FALSE)*VLOOKUP($D46,素材!$1:$1016,COLUMN($E$1),FALSE)/(LEN(VLOOKUP($D46,素材!$1:$1016,COLUMN($F$1),FALSE))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K46">
        <f>IF(ISNUMBER(SEARCH(SUBSTITUTE(AK$1,RIGHT(AK$1,2),""),VLOOKUP($D46,素材!$1:$1016,COLUMN($F$1),FALSE))),VLOOKUP($C46,装備品!$1:$998,COLUMN($O$1),FALSE)*VLOOKUP($D46,素材!$1:$1016,COLUMN($E$1),FALSE)/(LEN(VLOOKUP($D46,素材!$1:$1016,COLUMN($F$1),FALSE))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L46">
        <f>IF(ISNUMBER(SEARCH(SUBSTITUTE(AL$1,RIGHT(AL$1,2),""),VLOOKUP($D46,素材!$1:$1016,COLUMN($F$1),FALSE))),VLOOKUP($C46,装備品!$1:$998,COLUMN($O$1),FALSE)*VLOOKUP($D46,素材!$1:$1016,COLUMN($E$1),FALSE)/(LEN(VLOOKUP($D46,素材!$1:$1016,COLUMN($F$1),FALSE))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M46">
        <f>IF(ISNUMBER(SEARCH(SUBSTITUTE(AM$1,RIGHT(AM$1,2),""),VLOOKUP($D46,素材!$1:$1016,COLUMN($F$1),FALSE))),VLOOKUP($C46,装備品!$1:$998,COLUMN($O$1),FALSE)*VLOOKUP($D46,素材!$1:$1016,COLUMN($E$1),FALSE)/(LEN(VLOOKUP($D46,素材!$1:$1016,COLUMN($F$1),FALSE))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N46">
        <f>IF(ISNUMBER(SEARCH(SUBSTITUTE(AN$1,RIGHT(AN$1,2),""),VLOOKUP($D46,素材!$1:$1016,COLUMN($F$1),FALSE))),VLOOKUP($C46,装備品!$1:$998,COLUMN($O$1),FALSE)*VLOOKUP($D46,素材!$1:$1016,COLUMN($E$1),FALSE)/(LEN(VLOOKUP($D46,素材!$1:$1016,COLUMN($F$1),FALSE))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O46">
        <f>IF(ISNUMBER(SEARCH(SUBSTITUTE(AO$1,RIGHT(AO$1,2),""),VLOOKUP($D46,素材!$1:$1016,COLUMN($F$1),FALSE))),VLOOKUP($C46,装備品!$1:$998,COLUMN($O$1),FALSE)*VLOOKUP($D46,素材!$1:$1016,COLUMN($E$1),FALSE)/(LEN(VLOOKUP($D46,素材!$1:$1016,COLUMN($F$1),FALSE))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P46">
        <f>IF(ISNUMBER(SEARCH(SUBSTITUTE(AP$1,RIGHT(AP$1,2),""),VLOOKUP($D46,素材!$1:$1016,COLUMN($F$1),FALSE))),VLOOKUP($C46,装備品!$1:$998,COLUMN($O$1),FALSE)*VLOOKUP($D46,素材!$1:$1016,COLUMN($E$1),FALSE)/(LEN(VLOOKUP($D46,素材!$1:$1016,COLUMN($F$1),FALSE))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Q46">
        <f>IF(ISNUMBER(SEARCH(SUBSTITUTE(AQ$1,RIGHT(AQ$1,2),""),VLOOKUP($D46,素材!$1:$1016,COLUMN($F$1),FALSE))),VLOOKUP($C46,装備品!$1:$998,COLUMN($O$1),FALSE)*VLOOKUP($D46,素材!$1:$1016,COLUMN($E$1),FALSE)/(LEN(VLOOKUP($D46,素材!$1:$1016,COLUMN($F$1),FALSE))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R46">
        <f>IF(ISNUMBER(SEARCH(SUBSTITUTE(AR$1,RIGHT(AR$1,2),""),VLOOKUP($D46,素材!$1:$1016,COLUMN($F$1),FALSE))),VLOOKUP($C46,装備品!$1:$998,COLUMN($O$1),FALSE)*VLOOKUP($D46,素材!$1:$1016,COLUMN($E$1),FALSE)/(LEN(VLOOKUP($D46,素材!$1:$1016,COLUMN($F$1),FALSE))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S46">
        <f>IF(ISNUMBER(SEARCH(SUBSTITUTE(AS$1,RIGHT(AS$1,2),""),VLOOKUP($D46,素材!$1:$1016,COLUMN($F$1),FALSE))),VLOOKUP($C46,装備品!$1:$998,COLUMN($O$1),FALSE)*VLOOKUP($D46,素材!$1:$1016,COLUMN($E$1),FALSE)/(LEN(VLOOKUP($D46,素材!$1:$1016,COLUMN($F$1),FALSE))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T46">
        <f>IF(ISNUMBER(SEARCH(SUBSTITUTE(AT$1,RIGHT(AT$1,2),""),VLOOKUP($D46,素材!$1:$1016,COLUMN($F$1),FALSE))),VLOOKUP($C46,装備品!$1:$998,COLUMN($O$1),FALSE)*VLOOKUP($D46,素材!$1:$1016,COLUMN($E$1),FALSE)/(LEN(VLOOKUP($D46,素材!$1:$1016,COLUMN($F$1),FALSE))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U46">
        <f>IF(ISNUMBER(SEARCH(SUBSTITUTE(AU$1,RIGHT(AU$1,2),""),VLOOKUP($D46,素材!$1:$1016,COLUMN($F$1),FALSE))),VLOOKUP($C46,装備品!$1:$998,COLUMN($O$1),FALSE)*VLOOKUP($D46,素材!$1:$1016,COLUMN($E$1),FALSE)/(LEN(VLOOKUP($D46,素材!$1:$1016,COLUMN($F$1),FALSE))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V46">
        <f>IF(ISNUMBER(SEARCH(SUBSTITUTE(AV$1,RIGHT(AV$1,2),""),VLOOKUP($D46,素材!$1:$1016,COLUMN($F$1),FALSE))),VLOOKUP($C46,装備品!$1:$998,COLUMN($O$1),FALSE)*VLOOKUP($D46,素材!$1:$1016,COLUMN($E$1),FALSE)/(LEN(VLOOKUP($D46,素材!$1:$1016,COLUMN($F$1),FALSE))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W46">
        <f>IF(ISNUMBER(SEARCH(SUBSTITUTE(AW$1,RIGHT(AW$1,2),""),VLOOKUP($D46,素材!$1:$1016,COLUMN($F$1),FALSE))),VLOOKUP($C46,装備品!$1:$998,COLUMN($O$1),FALSE)*VLOOKUP($D46,素材!$1:$1016,COLUMN($E$1),FALSE)/(LEN(VLOOKUP($D46,素材!$1:$1016,COLUMN($F$1),FALSE))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X46">
        <f>IF(ISNUMBER(SEARCH(SUBSTITUTE(AX$1,RIGHT(AX$1,2),""),VLOOKUP($D46,素材!$1:$1016,COLUMN($F$1),FALSE))),VLOOKUP($C46,装備品!$1:$998,COLUMN($O$1),FALSE)*VLOOKUP($D46,素材!$1:$1016,COLUMN($E$1),FALSE)/(LEN(VLOOKUP($D46,素材!$1:$1016,COLUMN($F$1),FALSE))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Y46">
        <f>IF(ISNUMBER(SEARCH(SUBSTITUTE(AY$1,RIGHT(AY$1,2),""),VLOOKUP($D46,素材!$1:$1016,COLUMN($F$1),FALSE))),VLOOKUP($C46,装備品!$1:$998,COLUMN($O$1),FALSE)*VLOOKUP($D46,素材!$1:$1016,COLUMN($E$1),FALSE)/(LEN(VLOOKUP($D46,素材!$1:$1016,COLUMN($F$1),FALSE))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Z46">
        <f>IF(ISNUMBER(SEARCH(SUBSTITUTE(AZ$1,RIGHT(AZ$1,2),""),VLOOKUP($D46,素材!$1:$1016,COLUMN($F$1),FALSE))),VLOOKUP($C46,装備品!$1:$998,COLUMN($O$1),FALSE)*VLOOKUP($D46,素材!$1:$1016,COLUMN($E$1),FALSE)/(LEN(VLOOKUP($D46,素材!$1:$1016,COLUMN($F$1),FALSE))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BA46">
        <f>IF(ISNUMBER(SEARCH(SUBSTITUTE(BA$1,RIGHT(BA$1,2),""),VLOOKUP($D46,素材!$1:$1016,COLUMN($F$1),FALSE))),VLOOKUP($C46,装備品!$1:$998,COLUMN($O$1),FALSE)*VLOOKUP($D46,素材!$1:$1016,COLUMN($E$1),FALSE)/(LEN(VLOOKUP($D46,素材!$1:$1016,COLUMN($F$1),FALSE))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BB46">
        <f>IF(ISNUMBER(SEARCH(SUBSTITUTE(BB$1,RIGHT(BB$1,2),""),VLOOKUP($D46,素材!$1:$1016,COLUMN($F$1),FALSE))),VLOOKUP($C46,装備品!$1:$998,COLUMN($O$1),FALSE)*VLOOKUP($D46,素材!$1:$1016,COLUMN($E$1),FALSE)/(LEN(VLOOKUP($D46,素材!$1:$1016,COLUMN($F$1),FALSE))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BC46">
        <f>IF(ISNUMBER(SEARCH(SUBSTITUTE(BC$1,RIGHT(BC$1,2),""),VLOOKUP($D46,素材!$1:$1016,COLUMN($F$1),FALSE))),VLOOKUP($C46,装備品!$1:$998,COLUMN($O$1),FALSE)*VLOOKUP($D46,素材!$1:$1016,COLUMN($E$1),FALSE)/(LEN(VLOOKUP($D46,素材!$1:$1016,COLUMN($F$1),FALSE))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BD46">
        <f>IF(ISNUMBER(SEARCH(SUBSTITUTE(BD$1,RIGHT(BD$1,2),""),VLOOKUP($D46,素材!$1:$1016,COLUMN($F$1),FALSE))),VLOOKUP($C46,装備品!$1:$998,COLUMN($O$1),FALSE)*VLOOKUP($D46,素材!$1:$1016,COLUMN($E$1),FALSE)/(LEN(VLOOKUP($D46,素材!$1:$1016,COLUMN($F$1),FALSE))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BE46">
        <f>IF(ISNUMBER(SEARCH(SUBSTITUTE(BE$1,RIGHT(BE$1,2),""),VLOOKUP($D46,素材!$1:$1016,COLUMN($F$1),FALSE))),VLOOKUP($C46,装備品!$1:$998,COLUMN($O$1),FALSE)*VLOOKUP($D46,素材!$1:$1016,COLUMN($E$1),FALSE)/(LEN(VLOOKUP($D46,素材!$1:$1016,COLUMN($F$1),FALSE))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CL46">
        <f t="shared" si="1"/>
        <v>15</v>
      </c>
      <c r="CM46" s="22" t="str">
        <f t="shared" si="2"/>
        <v>貫通.webp</v>
      </c>
      <c r="CN46">
        <f>IFERROR(VLOOKUP($C46,装備品!$1:$998,COLUMN(V$1),FALSE)*VLOOKUP($D46,素材!$1:$1016,COLUMN(N$1),FALSE)+IF(CI46="",0,VLOOKUP($CI46,付与!$1:$1176,COLUMN($CK$1),FALSE)),"")</f>
        <v>0</v>
      </c>
      <c r="CO46" t="str">
        <f>VLOOKUP(D46,素材!$A:$O,COLUMN(素材!O$1),FALSE)</f>
        <v>一般的な木材。金属より軽いが少し脆い</v>
      </c>
      <c r="CP46" t="str">
        <f>VLOOKUP(C46,装備品!$A:$AB,COLUMN(装備品!AB$1),FALSE)</f>
        <v>細剣。刺突に優れた武器でCr率が高い</v>
      </c>
      <c r="CR46" t="str">
        <f t="shared" si="3"/>
        <v>e_46</v>
      </c>
      <c r="CS46">
        <f t="shared" si="4"/>
        <v>0</v>
      </c>
    </row>
    <row r="47" spans="1:97" outlineLevel="1" x14ac:dyDescent="0.4">
      <c r="A47" t="str">
        <f t="shared" si="5"/>
        <v>木の刺剣</v>
      </c>
      <c r="B47" t="str">
        <f>IFERROR(VLOOKUP($D47,素材!$1:$1016,COLUMN($B$1),FALSE)&amp;"・"&amp;VLOOKUP($C47,装備品!$1:$998,COLUMN(B$1),FALSE),"")</f>
        <v>ウッド・スティレット</v>
      </c>
      <c r="C47" s="24" t="s">
        <v>234</v>
      </c>
      <c r="D47" s="24" t="s">
        <v>254</v>
      </c>
      <c r="E47" t="str">
        <f>IFERROR(VLOOKUP(C47,装備品!$1:$998,COLUMN(C$1),FALSE),"")</f>
        <v>武器</v>
      </c>
      <c r="F47">
        <f>IFERROR(ROUNDDOWN((VLOOKUP($C47,装備品!$1:$998,COLUMN(D$1),FALSE)+IFERROR(VLOOKUP($CI47,付与!$1:$1167,COLUMN(F$1),FALSE),0))*VLOOKUP($D47,素材!$1:$1016,COLUMN(D$1),FALSE),0),"")</f>
        <v>82</v>
      </c>
      <c r="G47">
        <f>IFERROR(ROUNDDOWN((VLOOKUP($C47,装備品!$1:$998,COLUMN(E$1),FALSE)+IFERROR(VLOOKUP($CI47,付与!$1:$1167,COLUMN(G$1),FALSE),0))*VLOOKUP($D47,素材!$1:$1016,COLUMN($E$1),FALSE),0),"")</f>
        <v>3</v>
      </c>
      <c r="H47">
        <f>IFERROR(ROUNDDOWN((VLOOKUP($C47,装備品!$1:$998,COLUMN(F$1),FALSE)+IFERROR(VLOOKUP($CI47,付与!$1:$1167,COLUMN(H$1),FALSE),0))*VLOOKUP($D47,素材!$1:$1016,COLUMN($E$1),FALSE),0),"")</f>
        <v>13</v>
      </c>
      <c r="I47">
        <f>IFERROR(ROUNDDOWN((VLOOKUP($C47,装備品!$1:$998,COLUMN(G$1),FALSE)+IFERROR(VLOOKUP($CI47,付与!$1:$1167,COLUMN(I$1),FALSE),0))*VLOOKUP($D47,素材!$1:$1016,COLUMN($E$1),FALSE),0),"")</f>
        <v>0</v>
      </c>
      <c r="J47">
        <f>IFERROR(ROUNDDOWN((VLOOKUP($C47,装備品!$1:$998,COLUMN(H$1),FALSE)+IFERROR(VLOOKUP($CI47,付与!$1:$1167,COLUMN(J$1),FALSE),0))*VLOOKUP($D47,素材!$1:$1016,COLUMN($E$1),FALSE),0),"")</f>
        <v>12</v>
      </c>
      <c r="K47">
        <f>IFERROR(ROUNDDOWN((VLOOKUP($C47,装備品!$1:$998,COLUMN(I$1),FALSE)+IFERROR(VLOOKUP($CI47,付与!$1:$1167,COLUMN(K$1),FALSE),0))*VLOOKUP($D47,素材!$1:$1016,COLUMN($E$1),FALSE),0),"")</f>
        <v>0</v>
      </c>
      <c r="L47">
        <f>IFERROR(VLOOKUP($D47,素材!$1:$1016,COLUMN($F$1),FALSE),"")</f>
        <v>0</v>
      </c>
      <c r="M47">
        <f>IFERROR(VLOOKUP($C47,装備品!$1:$998,COLUMN(AA$1),FALSE)*VLOOKUP($D47,素材!$1:$1016,COLUMN($G$1),FALSE),"")</f>
        <v>0</v>
      </c>
      <c r="N47">
        <f>IFERROR(VLOOKUP($C47,装備品!$1:$998,COLUMN(I$1),FALSE),"")</f>
        <v>0</v>
      </c>
      <c r="O47" s="23">
        <f>IFERROR((VLOOKUP($C47,装備品!$1:$998,COLUMN(K$1),FALSE)+VLOOKUP($D47,素材!$1:$1016,COLUMN(H$1),FALSE))*100+IFERROR(VLOOKUP($CI47,付与!$1:$1167,COLUMN(O$1),FALSE),0),"")</f>
        <v>10</v>
      </c>
      <c r="P47" s="23">
        <f>IFERROR((VLOOKUP($C47,装備品!$1:$998,COLUMN(L$1),FALSE)+VLOOKUP($D47,素材!$1:$1016,COLUMN(I$1),FALSE))*100+IFERROR(VLOOKUP($CI47,付与!$1:$1167,COLUMN(P$1),FALSE),0),"")</f>
        <v>150</v>
      </c>
      <c r="Q47">
        <f>IFERROR(ROUNDUP(VLOOKUP($C47,装備品!$1:$998,COLUMN(M$1),FALSE)*(VLOOKUP($D47,素材!$1:$1002,COLUMN(D$1),FALSE)/100),1),"")</f>
        <v>0</v>
      </c>
      <c r="R47">
        <f>IFERROR(ROUNDUP(VLOOKUP($C47,装備品!$1:$998,COLUMN(N$1),FALSE)*(VLOOKUP($D47,素材!$1:$1002,COLUMN(D$1),FALSE)/100),1),"")</f>
        <v>0</v>
      </c>
      <c r="S47">
        <f>IFERROR(VLOOKUP($C47,装備品!$1:$998,COLUMN(P$1),FALSE),"")</f>
        <v>0</v>
      </c>
      <c r="T47">
        <f>IFERROR(VLOOKUP($C47,装備品!$1:$998,COLUMN(Q$1),FALSE),"")</f>
        <v>0</v>
      </c>
      <c r="U47">
        <f>IFERROR(VLOOKUP($C47,装備品!$1:$998,COLUMN(R$1),FALSE),"")</f>
        <v>0</v>
      </c>
      <c r="V47">
        <f>IFERROR(VLOOKUP($C47,装備品!$1:$998,COLUMN(Q$1),FALSE),"")</f>
        <v>0</v>
      </c>
      <c r="W47">
        <f>IFERROR(VLOOKUP($C47,装備品!$1:$998,COLUMN(T$1),FALSE),"")</f>
        <v>0</v>
      </c>
      <c r="Y47">
        <f>IFERROR(VLOOKUP($C47,装備品!$1:$998,COLUMN(U$1),FALSE),"")</f>
        <v>0</v>
      </c>
      <c r="Z47">
        <f>IFERROR(ROUNDUP(VLOOKUP($C47,装備品!$1:$998,COLUMN(O$1),FALSE)*VLOOKUP($D47,素材!$1:$1016,COLUMN(E$1),FALSE),1),"")</f>
        <v>0</v>
      </c>
      <c r="AA47">
        <f>IF(ISNUMBER(SEARCH(SUBSTITUTE(AA$1,RIGHT(AA$1,2),""),VLOOKUP($D47,素材!$1:$1016,COLUMN($F$1),FALSE))),VLOOKUP($C47,装備品!$1:$998,COLUMN($O$1),FALSE)*VLOOKUP($D47,素材!$1:$1016,COLUMN($E$1),FALSE)/(LEN(VLOOKUP($D47,素材!$1:$1016,COLUMN($F$1),FALSE))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B47">
        <f>IF(ISNUMBER(SEARCH(SUBSTITUTE(AB$1,RIGHT(AB$1,2),""),VLOOKUP($D47,素材!$1:$1016,COLUMN($F$1),FALSE))),VLOOKUP($C47,装備品!$1:$998,COLUMN($O$1),FALSE)*VLOOKUP($D47,素材!$1:$1016,COLUMN($E$1),FALSE)/(LEN(VLOOKUP($D47,素材!$1:$1016,COLUMN($F$1),FALSE))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C47">
        <f>IF(ISNUMBER(SEARCH(SUBSTITUTE(AC$1,RIGHT(AC$1,2),""),VLOOKUP($D47,素材!$1:$1016,COLUMN($F$1),FALSE))),VLOOKUP($C47,装備品!$1:$998,COLUMN($O$1),FALSE)*VLOOKUP($D47,素材!$1:$1016,COLUMN($E$1),FALSE)/(LEN(VLOOKUP($D47,素材!$1:$1016,COLUMN($F$1),FALSE))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D47">
        <f>IF(ISNUMBER(SEARCH(SUBSTITUTE(AD$1,RIGHT(AD$1,2),""),VLOOKUP($D47,素材!$1:$1016,COLUMN($F$1),FALSE))),VLOOKUP($C47,装備品!$1:$998,COLUMN($O$1),FALSE)*VLOOKUP($D47,素材!$1:$1016,COLUMN($E$1),FALSE)/(LEN(VLOOKUP($D47,素材!$1:$1016,COLUMN($F$1),FALSE))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E47">
        <f>IF(ISNUMBER(SEARCH(SUBSTITUTE(AE$1,RIGHT(AE$1,2),""),VLOOKUP($D47,素材!$1:$1016,COLUMN($F$1),FALSE))),VLOOKUP($C47,装備品!$1:$998,COLUMN($O$1),FALSE)*VLOOKUP($D47,素材!$1:$1016,COLUMN($E$1),FALSE)/(LEN(VLOOKUP($D47,素材!$1:$1016,COLUMN($F$1),FALSE))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F47">
        <f>IF(ISNUMBER(SEARCH(SUBSTITUTE(AF$1,RIGHT(AF$1,2),""),VLOOKUP($D47,素材!$1:$1016,COLUMN($F$1),FALSE))),VLOOKUP($C47,装備品!$1:$998,COLUMN($O$1),FALSE)*VLOOKUP($D47,素材!$1:$1016,COLUMN($E$1),FALSE)/(LEN(VLOOKUP($D47,素材!$1:$1016,COLUMN($F$1),FALSE))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G47">
        <f>IF(ISNUMBER(SEARCH(SUBSTITUTE(AG$1,RIGHT(AG$1,2),""),VLOOKUP($D47,素材!$1:$1016,COLUMN($F$1),FALSE))),VLOOKUP($C47,装備品!$1:$998,COLUMN($O$1),FALSE)*VLOOKUP($D47,素材!$1:$1016,COLUMN($E$1),FALSE)/(LEN(VLOOKUP($D47,素材!$1:$1016,COLUMN($F$1),FALSE))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H47">
        <f>IF(ISNUMBER(SEARCH(SUBSTITUTE(AH$1,RIGHT(AH$1,2),""),VLOOKUP($D47,素材!$1:$1016,COLUMN($F$1),FALSE))),VLOOKUP($C47,装備品!$1:$998,COLUMN($O$1),FALSE)*VLOOKUP($D47,素材!$1:$1016,COLUMN($E$1),FALSE)/(LEN(VLOOKUP($D47,素材!$1:$1016,COLUMN($F$1),FALSE))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I47">
        <f>IF(ISNUMBER(SEARCH(SUBSTITUTE(AI$1,RIGHT(AI$1,2),""),VLOOKUP($D47,素材!$1:$1016,COLUMN($F$1),FALSE))),VLOOKUP($C47,装備品!$1:$998,COLUMN($O$1),FALSE)*VLOOKUP($D47,素材!$1:$1016,COLUMN($E$1),FALSE)/(LEN(VLOOKUP($D47,素材!$1:$1016,COLUMN($F$1),FALSE))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J47">
        <f>IF(ISNUMBER(SEARCH(SUBSTITUTE(AJ$1,RIGHT(AJ$1,2),""),VLOOKUP($D47,素材!$1:$1016,COLUMN($F$1),FALSE))),VLOOKUP($C47,装備品!$1:$998,COLUMN($O$1),FALSE)*VLOOKUP($D47,素材!$1:$1016,COLUMN($E$1),FALSE)/(LEN(VLOOKUP($D47,素材!$1:$1016,COLUMN($F$1),FALSE))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K47">
        <f>IF(ISNUMBER(SEARCH(SUBSTITUTE(AK$1,RIGHT(AK$1,2),""),VLOOKUP($D47,素材!$1:$1016,COLUMN($F$1),FALSE))),VLOOKUP($C47,装備品!$1:$998,COLUMN($O$1),FALSE)*VLOOKUP($D47,素材!$1:$1016,COLUMN($E$1),FALSE)/(LEN(VLOOKUP($D47,素材!$1:$1016,COLUMN($F$1),FALSE))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L47">
        <f>IF(ISNUMBER(SEARCH(SUBSTITUTE(AL$1,RIGHT(AL$1,2),""),VLOOKUP($D47,素材!$1:$1016,COLUMN($F$1),FALSE))),VLOOKUP($C47,装備品!$1:$998,COLUMN($O$1),FALSE)*VLOOKUP($D47,素材!$1:$1016,COLUMN($E$1),FALSE)/(LEN(VLOOKUP($D47,素材!$1:$1016,COLUMN($F$1),FALSE))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M47">
        <f>IF(ISNUMBER(SEARCH(SUBSTITUTE(AM$1,RIGHT(AM$1,2),""),VLOOKUP($D47,素材!$1:$1016,COLUMN($F$1),FALSE))),VLOOKUP($C47,装備品!$1:$998,COLUMN($O$1),FALSE)*VLOOKUP($D47,素材!$1:$1016,COLUMN($E$1),FALSE)/(LEN(VLOOKUP($D47,素材!$1:$1016,COLUMN($F$1),FALSE))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N47">
        <f>IF(ISNUMBER(SEARCH(SUBSTITUTE(AN$1,RIGHT(AN$1,2),""),VLOOKUP($D47,素材!$1:$1016,COLUMN($F$1),FALSE))),VLOOKUP($C47,装備品!$1:$998,COLUMN($O$1),FALSE)*VLOOKUP($D47,素材!$1:$1016,COLUMN($E$1),FALSE)/(LEN(VLOOKUP($D47,素材!$1:$1016,COLUMN($F$1),FALSE))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O47">
        <f>IF(ISNUMBER(SEARCH(SUBSTITUTE(AO$1,RIGHT(AO$1,2),""),VLOOKUP($D47,素材!$1:$1016,COLUMN($F$1),FALSE))),VLOOKUP($C47,装備品!$1:$998,COLUMN($O$1),FALSE)*VLOOKUP($D47,素材!$1:$1016,COLUMN($E$1),FALSE)/(LEN(VLOOKUP($D47,素材!$1:$1016,COLUMN($F$1),FALSE))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P47">
        <f>IF(ISNUMBER(SEARCH(SUBSTITUTE(AP$1,RIGHT(AP$1,2),""),VLOOKUP($D47,素材!$1:$1016,COLUMN($F$1),FALSE))),VLOOKUP($C47,装備品!$1:$998,COLUMN($O$1),FALSE)*VLOOKUP($D47,素材!$1:$1016,COLUMN($E$1),FALSE)/(LEN(VLOOKUP($D47,素材!$1:$1016,COLUMN($F$1),FALSE))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Q47">
        <f>IF(ISNUMBER(SEARCH(SUBSTITUTE(AQ$1,RIGHT(AQ$1,2),""),VLOOKUP($D47,素材!$1:$1016,COLUMN($F$1),FALSE))),VLOOKUP($C47,装備品!$1:$998,COLUMN($O$1),FALSE)*VLOOKUP($D47,素材!$1:$1016,COLUMN($E$1),FALSE)/(LEN(VLOOKUP($D47,素材!$1:$1016,COLUMN($F$1),FALSE))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R47">
        <f>IF(ISNUMBER(SEARCH(SUBSTITUTE(AR$1,RIGHT(AR$1,2),""),VLOOKUP($D47,素材!$1:$1016,COLUMN($F$1),FALSE))),VLOOKUP($C47,装備品!$1:$998,COLUMN($O$1),FALSE)*VLOOKUP($D47,素材!$1:$1016,COLUMN($E$1),FALSE)/(LEN(VLOOKUP($D47,素材!$1:$1016,COLUMN($F$1),FALSE))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S47">
        <f>IF(ISNUMBER(SEARCH(SUBSTITUTE(AS$1,RIGHT(AS$1,2),""),VLOOKUP($D47,素材!$1:$1016,COLUMN($F$1),FALSE))),VLOOKUP($C47,装備品!$1:$998,COLUMN($O$1),FALSE)*VLOOKUP($D47,素材!$1:$1016,COLUMN($E$1),FALSE)/(LEN(VLOOKUP($D47,素材!$1:$1016,COLUMN($F$1),FALSE))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T47">
        <f>IF(ISNUMBER(SEARCH(SUBSTITUTE(AT$1,RIGHT(AT$1,2),""),VLOOKUP($D47,素材!$1:$1016,COLUMN($F$1),FALSE))),VLOOKUP($C47,装備品!$1:$998,COLUMN($O$1),FALSE)*VLOOKUP($D47,素材!$1:$1016,COLUMN($E$1),FALSE)/(LEN(VLOOKUP($D47,素材!$1:$1016,COLUMN($F$1),FALSE))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U47">
        <f>IF(ISNUMBER(SEARCH(SUBSTITUTE(AU$1,RIGHT(AU$1,2),""),VLOOKUP($D47,素材!$1:$1016,COLUMN($F$1),FALSE))),VLOOKUP($C47,装備品!$1:$998,COLUMN($O$1),FALSE)*VLOOKUP($D47,素材!$1:$1016,COLUMN($E$1),FALSE)/(LEN(VLOOKUP($D47,素材!$1:$1016,COLUMN($F$1),FALSE))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V47">
        <f>IF(ISNUMBER(SEARCH(SUBSTITUTE(AV$1,RIGHT(AV$1,2),""),VLOOKUP($D47,素材!$1:$1016,COLUMN($F$1),FALSE))),VLOOKUP($C47,装備品!$1:$998,COLUMN($O$1),FALSE)*VLOOKUP($D47,素材!$1:$1016,COLUMN($E$1),FALSE)/(LEN(VLOOKUP($D47,素材!$1:$1016,COLUMN($F$1),FALSE))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W47">
        <f>IF(ISNUMBER(SEARCH(SUBSTITUTE(AW$1,RIGHT(AW$1,2),""),VLOOKUP($D47,素材!$1:$1016,COLUMN($F$1),FALSE))),VLOOKUP($C47,装備品!$1:$998,COLUMN($O$1),FALSE)*VLOOKUP($D47,素材!$1:$1016,COLUMN($E$1),FALSE)/(LEN(VLOOKUP($D47,素材!$1:$1016,COLUMN($F$1),FALSE))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X47">
        <f>IF(ISNUMBER(SEARCH(SUBSTITUTE(AX$1,RIGHT(AX$1,2),""),VLOOKUP($D47,素材!$1:$1016,COLUMN($F$1),FALSE))),VLOOKUP($C47,装備品!$1:$998,COLUMN($O$1),FALSE)*VLOOKUP($D47,素材!$1:$1016,COLUMN($E$1),FALSE)/(LEN(VLOOKUP($D47,素材!$1:$1016,COLUMN($F$1),FALSE))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Y47">
        <f>IF(ISNUMBER(SEARCH(SUBSTITUTE(AY$1,RIGHT(AY$1,2),""),VLOOKUP($D47,素材!$1:$1016,COLUMN($F$1),FALSE))),VLOOKUP($C47,装備品!$1:$998,COLUMN($O$1),FALSE)*VLOOKUP($D47,素材!$1:$1016,COLUMN($E$1),FALSE)/(LEN(VLOOKUP($D47,素材!$1:$1016,COLUMN($F$1),FALSE))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Z47">
        <f>IF(ISNUMBER(SEARCH(SUBSTITUTE(AZ$1,RIGHT(AZ$1,2),""),VLOOKUP($D47,素材!$1:$1016,COLUMN($F$1),FALSE))),VLOOKUP($C47,装備品!$1:$998,COLUMN($O$1),FALSE)*VLOOKUP($D47,素材!$1:$1016,COLUMN($E$1),FALSE)/(LEN(VLOOKUP($D47,素材!$1:$1016,COLUMN($F$1),FALSE))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BA47">
        <f>IF(ISNUMBER(SEARCH(SUBSTITUTE(BA$1,RIGHT(BA$1,2),""),VLOOKUP($D47,素材!$1:$1016,COLUMN($F$1),FALSE))),VLOOKUP($C47,装備品!$1:$998,COLUMN($O$1),FALSE)*VLOOKUP($D47,素材!$1:$1016,COLUMN($E$1),FALSE)/(LEN(VLOOKUP($D47,素材!$1:$1016,COLUMN($F$1),FALSE))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BB47">
        <f>IF(ISNUMBER(SEARCH(SUBSTITUTE(BB$1,RIGHT(BB$1,2),""),VLOOKUP($D47,素材!$1:$1016,COLUMN($F$1),FALSE))),VLOOKUP($C47,装備品!$1:$998,COLUMN($O$1),FALSE)*VLOOKUP($D47,素材!$1:$1016,COLUMN($E$1),FALSE)/(LEN(VLOOKUP($D47,素材!$1:$1016,COLUMN($F$1),FALSE))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BC47">
        <f>IF(ISNUMBER(SEARCH(SUBSTITUTE(BC$1,RIGHT(BC$1,2),""),VLOOKUP($D47,素材!$1:$1016,COLUMN($F$1),FALSE))),VLOOKUP($C47,装備品!$1:$998,COLUMN($O$1),FALSE)*VLOOKUP($D47,素材!$1:$1016,COLUMN($E$1),FALSE)/(LEN(VLOOKUP($D47,素材!$1:$1016,COLUMN($F$1),FALSE))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BD47">
        <f>IF(ISNUMBER(SEARCH(SUBSTITUTE(BD$1,RIGHT(BD$1,2),""),VLOOKUP($D47,素材!$1:$1016,COLUMN($F$1),FALSE))),VLOOKUP($C47,装備品!$1:$998,COLUMN($O$1),FALSE)*VLOOKUP($D47,素材!$1:$1016,COLUMN($E$1),FALSE)/(LEN(VLOOKUP($D47,素材!$1:$1016,COLUMN($F$1),FALSE))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BE47">
        <f>IF(ISNUMBER(SEARCH(SUBSTITUTE(BE$1,RIGHT(BE$1,2),""),VLOOKUP($D47,素材!$1:$1016,COLUMN($F$1),FALSE))),VLOOKUP($C47,装備品!$1:$998,COLUMN($O$1),FALSE)*VLOOKUP($D47,素材!$1:$1016,COLUMN($E$1),FALSE)/(LEN(VLOOKUP($D47,素材!$1:$1016,COLUMN($F$1),FALSE))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CL47">
        <f t="shared" si="1"/>
        <v>16</v>
      </c>
      <c r="CM47" s="22" t="str">
        <f t="shared" si="2"/>
        <v>貫通.webp</v>
      </c>
      <c r="CN47">
        <f>IFERROR(VLOOKUP($C47,装備品!$1:$998,COLUMN(V$1),FALSE)*VLOOKUP($D47,素材!$1:$1016,COLUMN(N$1),FALSE)+IF(CI47="",0,VLOOKUP($CI47,付与!$1:$1176,COLUMN($CK$1),FALSE)),"")</f>
        <v>0</v>
      </c>
      <c r="CO47" t="str">
        <f>VLOOKUP(D47,素材!$A:$O,COLUMN(素材!O$1),FALSE)</f>
        <v>一般的な木材。金属より軽いが少し脆い</v>
      </c>
      <c r="CP47" t="str">
        <f>VLOOKUP(C47,装備品!$A:$AB,COLUMN(装備品!AB$1),FALSE)</f>
        <v>刺剣。小型で精密な攻撃が可能な武器。</v>
      </c>
      <c r="CR47" t="str">
        <f t="shared" si="3"/>
        <v>e_47</v>
      </c>
      <c r="CS47">
        <f t="shared" si="4"/>
        <v>0</v>
      </c>
    </row>
    <row r="48" spans="1:97" outlineLevel="1" x14ac:dyDescent="0.4">
      <c r="A48" t="str">
        <f t="shared" si="5"/>
        <v>木の短槍</v>
      </c>
      <c r="B48" t="str">
        <f>IFERROR(VLOOKUP($D48,素材!$1:$1016,COLUMN($B$1),FALSE)&amp;"・"&amp;VLOOKUP($C48,装備品!$1:$998,COLUMN(B$1),FALSE),"")</f>
        <v>ウッド・ショートスピア</v>
      </c>
      <c r="C48" s="24" t="s">
        <v>233</v>
      </c>
      <c r="D48" s="24" t="s">
        <v>254</v>
      </c>
      <c r="E48" t="str">
        <f>IFERROR(VLOOKUP(C48,装備品!$1:$998,COLUMN(C$1),FALSE),"")</f>
        <v>武器</v>
      </c>
      <c r="F48">
        <f>IFERROR(ROUNDDOWN((VLOOKUP($C48,装備品!$1:$998,COLUMN(D$1),FALSE)+IFERROR(VLOOKUP($CI48,付与!$1:$1167,COLUMN(F$1),FALSE),0))*VLOOKUP($D48,素材!$1:$1016,COLUMN(D$1),FALSE),0),"")</f>
        <v>78</v>
      </c>
      <c r="G48">
        <f>IFERROR(ROUNDDOWN((VLOOKUP($C48,装備品!$1:$998,COLUMN(E$1),FALSE)+IFERROR(VLOOKUP($CI48,付与!$1:$1167,COLUMN(G$1),FALSE),0))*VLOOKUP($D48,素材!$1:$1016,COLUMN($E$1),FALSE),0),"")</f>
        <v>6</v>
      </c>
      <c r="H48">
        <f>IFERROR(ROUNDDOWN((VLOOKUP($C48,装備品!$1:$998,COLUMN(F$1),FALSE)+IFERROR(VLOOKUP($CI48,付与!$1:$1167,COLUMN(H$1),FALSE),0))*VLOOKUP($D48,素材!$1:$1016,COLUMN($E$1),FALSE),0),"")</f>
        <v>10</v>
      </c>
      <c r="I48">
        <f>IFERROR(ROUNDDOWN((VLOOKUP($C48,装備品!$1:$998,COLUMN(G$1),FALSE)+IFERROR(VLOOKUP($CI48,付与!$1:$1167,COLUMN(I$1),FALSE),0))*VLOOKUP($D48,素材!$1:$1016,COLUMN($E$1),FALSE),0),"")</f>
        <v>2</v>
      </c>
      <c r="J48">
        <f>IFERROR(ROUNDDOWN((VLOOKUP($C48,装備品!$1:$998,COLUMN(H$1),FALSE)+IFERROR(VLOOKUP($CI48,付与!$1:$1167,COLUMN(J$1),FALSE),0))*VLOOKUP($D48,素材!$1:$1016,COLUMN($E$1),FALSE),0),"")</f>
        <v>12</v>
      </c>
      <c r="K48">
        <f>IFERROR(ROUNDDOWN((VLOOKUP($C48,装備品!$1:$998,COLUMN(I$1),FALSE)+IFERROR(VLOOKUP($CI48,付与!$1:$1167,COLUMN(K$1),FALSE),0))*VLOOKUP($D48,素材!$1:$1016,COLUMN($E$1),FALSE),0),"")</f>
        <v>0</v>
      </c>
      <c r="L48">
        <f>IFERROR(VLOOKUP($D48,素材!$1:$1016,COLUMN($F$1),FALSE),"")</f>
        <v>0</v>
      </c>
      <c r="M48">
        <f>IFERROR(VLOOKUP($C48,装備品!$1:$998,COLUMN(AA$1),FALSE)*VLOOKUP($D48,素材!$1:$1016,COLUMN($G$1),FALSE),"")</f>
        <v>0</v>
      </c>
      <c r="N48">
        <f>IFERROR(VLOOKUP($C48,装備品!$1:$998,COLUMN(I$1),FALSE),"")</f>
        <v>0</v>
      </c>
      <c r="O48" s="23">
        <f>IFERROR((VLOOKUP($C48,装備品!$1:$998,COLUMN(K$1),FALSE)+VLOOKUP($D48,素材!$1:$1016,COLUMN(H$1),FALSE))*100+IFERROR(VLOOKUP($CI48,付与!$1:$1167,COLUMN(O$1),FALSE),0),"")</f>
        <v>10</v>
      </c>
      <c r="P48" s="23">
        <f>IFERROR((VLOOKUP($C48,装備品!$1:$998,COLUMN(L$1),FALSE)+VLOOKUP($D48,素材!$1:$1016,COLUMN(I$1),FALSE))*100+IFERROR(VLOOKUP($CI48,付与!$1:$1167,COLUMN(P$1),FALSE),0),"")</f>
        <v>150</v>
      </c>
      <c r="Q48">
        <f>IFERROR(ROUNDUP(VLOOKUP($C48,装備品!$1:$998,COLUMN(M$1),FALSE)*(VLOOKUP($D48,素材!$1:$1002,COLUMN(D$1),FALSE)/100),1),"")</f>
        <v>0</v>
      </c>
      <c r="R48">
        <f>IFERROR(ROUNDUP(VLOOKUP($C48,装備品!$1:$998,COLUMN(N$1),FALSE)*(VLOOKUP($D48,素材!$1:$1002,COLUMN(D$1),FALSE)/100),1),"")</f>
        <v>0</v>
      </c>
      <c r="S48">
        <f>IFERROR(VLOOKUP($C48,装備品!$1:$998,COLUMN(P$1),FALSE),"")</f>
        <v>0</v>
      </c>
      <c r="T48">
        <f>IFERROR(VLOOKUP($C48,装備品!$1:$998,COLUMN(Q$1),FALSE),"")</f>
        <v>0</v>
      </c>
      <c r="U48">
        <f>IFERROR(VLOOKUP($C48,装備品!$1:$998,COLUMN(R$1),FALSE),"")</f>
        <v>0</v>
      </c>
      <c r="V48">
        <f>IFERROR(VLOOKUP($C48,装備品!$1:$998,COLUMN(Q$1),FALSE),"")</f>
        <v>0</v>
      </c>
      <c r="W48">
        <f>IFERROR(VLOOKUP($C48,装備品!$1:$998,COLUMN(T$1),FALSE),"")</f>
        <v>0</v>
      </c>
      <c r="Y48">
        <f>IFERROR(VLOOKUP($C48,装備品!$1:$998,COLUMN(U$1),FALSE),"")</f>
        <v>0</v>
      </c>
      <c r="Z48">
        <f>IFERROR(ROUNDUP(VLOOKUP($C48,装備品!$1:$998,COLUMN(O$1),FALSE)*VLOOKUP($D48,素材!$1:$1016,COLUMN(E$1),FALSE),1),"")</f>
        <v>0</v>
      </c>
      <c r="AA48">
        <f>IF(ISNUMBER(SEARCH(SUBSTITUTE(AA$1,RIGHT(AA$1,2),""),VLOOKUP($D48,素材!$1:$1016,COLUMN($F$1),FALSE))),VLOOKUP($C48,装備品!$1:$998,COLUMN($O$1),FALSE)*VLOOKUP($D48,素材!$1:$1016,COLUMN($E$1),FALSE)/(LEN(VLOOKUP($D48,素材!$1:$1016,COLUMN($F$1),FALSE))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B48">
        <f>IF(ISNUMBER(SEARCH(SUBSTITUTE(AB$1,RIGHT(AB$1,2),""),VLOOKUP($D48,素材!$1:$1016,COLUMN($F$1),FALSE))),VLOOKUP($C48,装備品!$1:$998,COLUMN($O$1),FALSE)*VLOOKUP($D48,素材!$1:$1016,COLUMN($E$1),FALSE)/(LEN(VLOOKUP($D48,素材!$1:$1016,COLUMN($F$1),FALSE))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C48">
        <f>IF(ISNUMBER(SEARCH(SUBSTITUTE(AC$1,RIGHT(AC$1,2),""),VLOOKUP($D48,素材!$1:$1016,COLUMN($F$1),FALSE))),VLOOKUP($C48,装備品!$1:$998,COLUMN($O$1),FALSE)*VLOOKUP($D48,素材!$1:$1016,COLUMN($E$1),FALSE)/(LEN(VLOOKUP($D48,素材!$1:$1016,COLUMN($F$1),FALSE))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D48">
        <f>IF(ISNUMBER(SEARCH(SUBSTITUTE(AD$1,RIGHT(AD$1,2),""),VLOOKUP($D48,素材!$1:$1016,COLUMN($F$1),FALSE))),VLOOKUP($C48,装備品!$1:$998,COLUMN($O$1),FALSE)*VLOOKUP($D48,素材!$1:$1016,COLUMN($E$1),FALSE)/(LEN(VLOOKUP($D48,素材!$1:$1016,COLUMN($F$1),FALSE))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E48">
        <f>IF(ISNUMBER(SEARCH(SUBSTITUTE(AE$1,RIGHT(AE$1,2),""),VLOOKUP($D48,素材!$1:$1016,COLUMN($F$1),FALSE))),VLOOKUP($C48,装備品!$1:$998,COLUMN($O$1),FALSE)*VLOOKUP($D48,素材!$1:$1016,COLUMN($E$1),FALSE)/(LEN(VLOOKUP($D48,素材!$1:$1016,COLUMN($F$1),FALSE))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F48">
        <f>IF(ISNUMBER(SEARCH(SUBSTITUTE(AF$1,RIGHT(AF$1,2),""),VLOOKUP($D48,素材!$1:$1016,COLUMN($F$1),FALSE))),VLOOKUP($C48,装備品!$1:$998,COLUMN($O$1),FALSE)*VLOOKUP($D48,素材!$1:$1016,COLUMN($E$1),FALSE)/(LEN(VLOOKUP($D48,素材!$1:$1016,COLUMN($F$1),FALSE))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G48">
        <f>IF(ISNUMBER(SEARCH(SUBSTITUTE(AG$1,RIGHT(AG$1,2),""),VLOOKUP($D48,素材!$1:$1016,COLUMN($F$1),FALSE))),VLOOKUP($C48,装備品!$1:$998,COLUMN($O$1),FALSE)*VLOOKUP($D48,素材!$1:$1016,COLUMN($E$1),FALSE)/(LEN(VLOOKUP($D48,素材!$1:$1016,COLUMN($F$1),FALSE))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H48">
        <f>IF(ISNUMBER(SEARCH(SUBSTITUTE(AH$1,RIGHT(AH$1,2),""),VLOOKUP($D48,素材!$1:$1016,COLUMN($F$1),FALSE))),VLOOKUP($C48,装備品!$1:$998,COLUMN($O$1),FALSE)*VLOOKUP($D48,素材!$1:$1016,COLUMN($E$1),FALSE)/(LEN(VLOOKUP($D48,素材!$1:$1016,COLUMN($F$1),FALSE))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I48">
        <f>IF(ISNUMBER(SEARCH(SUBSTITUTE(AI$1,RIGHT(AI$1,2),""),VLOOKUP($D48,素材!$1:$1016,COLUMN($F$1),FALSE))),VLOOKUP($C48,装備品!$1:$998,COLUMN($O$1),FALSE)*VLOOKUP($D48,素材!$1:$1016,COLUMN($E$1),FALSE)/(LEN(VLOOKUP($D48,素材!$1:$1016,COLUMN($F$1),FALSE))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J48">
        <f>IF(ISNUMBER(SEARCH(SUBSTITUTE(AJ$1,RIGHT(AJ$1,2),""),VLOOKUP($D48,素材!$1:$1016,COLUMN($F$1),FALSE))),VLOOKUP($C48,装備品!$1:$998,COLUMN($O$1),FALSE)*VLOOKUP($D48,素材!$1:$1016,COLUMN($E$1),FALSE)/(LEN(VLOOKUP($D48,素材!$1:$1016,COLUMN($F$1),FALSE))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K48">
        <f>IF(ISNUMBER(SEARCH(SUBSTITUTE(AK$1,RIGHT(AK$1,2),""),VLOOKUP($D48,素材!$1:$1016,COLUMN($F$1),FALSE))),VLOOKUP($C48,装備品!$1:$998,COLUMN($O$1),FALSE)*VLOOKUP($D48,素材!$1:$1016,COLUMN($E$1),FALSE)/(LEN(VLOOKUP($D48,素材!$1:$1016,COLUMN($F$1),FALSE))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L48">
        <f>IF(ISNUMBER(SEARCH(SUBSTITUTE(AL$1,RIGHT(AL$1,2),""),VLOOKUP($D48,素材!$1:$1016,COLUMN($F$1),FALSE))),VLOOKUP($C48,装備品!$1:$998,COLUMN($O$1),FALSE)*VLOOKUP($D48,素材!$1:$1016,COLUMN($E$1),FALSE)/(LEN(VLOOKUP($D48,素材!$1:$1016,COLUMN($F$1),FALSE))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M48">
        <f>IF(ISNUMBER(SEARCH(SUBSTITUTE(AM$1,RIGHT(AM$1,2),""),VLOOKUP($D48,素材!$1:$1016,COLUMN($F$1),FALSE))),VLOOKUP($C48,装備品!$1:$998,COLUMN($O$1),FALSE)*VLOOKUP($D48,素材!$1:$1016,COLUMN($E$1),FALSE)/(LEN(VLOOKUP($D48,素材!$1:$1016,COLUMN($F$1),FALSE))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N48">
        <f>IF(ISNUMBER(SEARCH(SUBSTITUTE(AN$1,RIGHT(AN$1,2),""),VLOOKUP($D48,素材!$1:$1016,COLUMN($F$1),FALSE))),VLOOKUP($C48,装備品!$1:$998,COLUMN($O$1),FALSE)*VLOOKUP($D48,素材!$1:$1016,COLUMN($E$1),FALSE)/(LEN(VLOOKUP($D48,素材!$1:$1016,COLUMN($F$1),FALSE))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O48">
        <f>IF(ISNUMBER(SEARCH(SUBSTITUTE(AO$1,RIGHT(AO$1,2),""),VLOOKUP($D48,素材!$1:$1016,COLUMN($F$1),FALSE))),VLOOKUP($C48,装備品!$1:$998,COLUMN($O$1),FALSE)*VLOOKUP($D48,素材!$1:$1016,COLUMN($E$1),FALSE)/(LEN(VLOOKUP($D48,素材!$1:$1016,COLUMN($F$1),FALSE))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P48">
        <f>IF(ISNUMBER(SEARCH(SUBSTITUTE(AP$1,RIGHT(AP$1,2),""),VLOOKUP($D48,素材!$1:$1016,COLUMN($F$1),FALSE))),VLOOKUP($C48,装備品!$1:$998,COLUMN($O$1),FALSE)*VLOOKUP($D48,素材!$1:$1016,COLUMN($E$1),FALSE)/(LEN(VLOOKUP($D48,素材!$1:$1016,COLUMN($F$1),FALSE))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Q48">
        <f>IF(ISNUMBER(SEARCH(SUBSTITUTE(AQ$1,RIGHT(AQ$1,2),""),VLOOKUP($D48,素材!$1:$1016,COLUMN($F$1),FALSE))),VLOOKUP($C48,装備品!$1:$998,COLUMN($O$1),FALSE)*VLOOKUP($D48,素材!$1:$1016,COLUMN($E$1),FALSE)/(LEN(VLOOKUP($D48,素材!$1:$1016,COLUMN($F$1),FALSE))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R48">
        <f>IF(ISNUMBER(SEARCH(SUBSTITUTE(AR$1,RIGHT(AR$1,2),""),VLOOKUP($D48,素材!$1:$1016,COLUMN($F$1),FALSE))),VLOOKUP($C48,装備品!$1:$998,COLUMN($O$1),FALSE)*VLOOKUP($D48,素材!$1:$1016,COLUMN($E$1),FALSE)/(LEN(VLOOKUP($D48,素材!$1:$1016,COLUMN($F$1),FALSE))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S48">
        <f>IF(ISNUMBER(SEARCH(SUBSTITUTE(AS$1,RIGHT(AS$1,2),""),VLOOKUP($D48,素材!$1:$1016,COLUMN($F$1),FALSE))),VLOOKUP($C48,装備品!$1:$998,COLUMN($O$1),FALSE)*VLOOKUP($D48,素材!$1:$1016,COLUMN($E$1),FALSE)/(LEN(VLOOKUP($D48,素材!$1:$1016,COLUMN($F$1),FALSE))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T48">
        <f>IF(ISNUMBER(SEARCH(SUBSTITUTE(AT$1,RIGHT(AT$1,2),""),VLOOKUP($D48,素材!$1:$1016,COLUMN($F$1),FALSE))),VLOOKUP($C48,装備品!$1:$998,COLUMN($O$1),FALSE)*VLOOKUP($D48,素材!$1:$1016,COLUMN($E$1),FALSE)/(LEN(VLOOKUP($D48,素材!$1:$1016,COLUMN($F$1),FALSE))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U48">
        <f>IF(ISNUMBER(SEARCH(SUBSTITUTE(AU$1,RIGHT(AU$1,2),""),VLOOKUP($D48,素材!$1:$1016,COLUMN($F$1),FALSE))),VLOOKUP($C48,装備品!$1:$998,COLUMN($O$1),FALSE)*VLOOKUP($D48,素材!$1:$1016,COLUMN($E$1),FALSE)/(LEN(VLOOKUP($D48,素材!$1:$1016,COLUMN($F$1),FALSE))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V48">
        <f>IF(ISNUMBER(SEARCH(SUBSTITUTE(AV$1,RIGHT(AV$1,2),""),VLOOKUP($D48,素材!$1:$1016,COLUMN($F$1),FALSE))),VLOOKUP($C48,装備品!$1:$998,COLUMN($O$1),FALSE)*VLOOKUP($D48,素材!$1:$1016,COLUMN($E$1),FALSE)/(LEN(VLOOKUP($D48,素材!$1:$1016,COLUMN($F$1),FALSE))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W48">
        <f>IF(ISNUMBER(SEARCH(SUBSTITUTE(AW$1,RIGHT(AW$1,2),""),VLOOKUP($D48,素材!$1:$1016,COLUMN($F$1),FALSE))),VLOOKUP($C48,装備品!$1:$998,COLUMN($O$1),FALSE)*VLOOKUP($D48,素材!$1:$1016,COLUMN($E$1),FALSE)/(LEN(VLOOKUP($D48,素材!$1:$1016,COLUMN($F$1),FALSE))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X48">
        <f>IF(ISNUMBER(SEARCH(SUBSTITUTE(AX$1,RIGHT(AX$1,2),""),VLOOKUP($D48,素材!$1:$1016,COLUMN($F$1),FALSE))),VLOOKUP($C48,装備品!$1:$998,COLUMN($O$1),FALSE)*VLOOKUP($D48,素材!$1:$1016,COLUMN($E$1),FALSE)/(LEN(VLOOKUP($D48,素材!$1:$1016,COLUMN($F$1),FALSE))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Y48">
        <f>IF(ISNUMBER(SEARCH(SUBSTITUTE(AY$1,RIGHT(AY$1,2),""),VLOOKUP($D48,素材!$1:$1016,COLUMN($F$1),FALSE))),VLOOKUP($C48,装備品!$1:$998,COLUMN($O$1),FALSE)*VLOOKUP($D48,素材!$1:$1016,COLUMN($E$1),FALSE)/(LEN(VLOOKUP($D48,素材!$1:$1016,COLUMN($F$1),FALSE))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Z48">
        <f>IF(ISNUMBER(SEARCH(SUBSTITUTE(AZ$1,RIGHT(AZ$1,2),""),VLOOKUP($D48,素材!$1:$1016,COLUMN($F$1),FALSE))),VLOOKUP($C48,装備品!$1:$998,COLUMN($O$1),FALSE)*VLOOKUP($D48,素材!$1:$1016,COLUMN($E$1),FALSE)/(LEN(VLOOKUP($D48,素材!$1:$1016,COLUMN($F$1),FALSE))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BA48">
        <f>IF(ISNUMBER(SEARCH(SUBSTITUTE(BA$1,RIGHT(BA$1,2),""),VLOOKUP($D48,素材!$1:$1016,COLUMN($F$1),FALSE))),VLOOKUP($C48,装備品!$1:$998,COLUMN($O$1),FALSE)*VLOOKUP($D48,素材!$1:$1016,COLUMN($E$1),FALSE)/(LEN(VLOOKUP($D48,素材!$1:$1016,COLUMN($F$1),FALSE))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BB48">
        <f>IF(ISNUMBER(SEARCH(SUBSTITUTE(BB$1,RIGHT(BB$1,2),""),VLOOKUP($D48,素材!$1:$1016,COLUMN($F$1),FALSE))),VLOOKUP($C48,装備品!$1:$998,COLUMN($O$1),FALSE)*VLOOKUP($D48,素材!$1:$1016,COLUMN($E$1),FALSE)/(LEN(VLOOKUP($D48,素材!$1:$1016,COLUMN($F$1),FALSE))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BC48">
        <f>IF(ISNUMBER(SEARCH(SUBSTITUTE(BC$1,RIGHT(BC$1,2),""),VLOOKUP($D48,素材!$1:$1016,COLUMN($F$1),FALSE))),VLOOKUP($C48,装備品!$1:$998,COLUMN($O$1),FALSE)*VLOOKUP($D48,素材!$1:$1016,COLUMN($E$1),FALSE)/(LEN(VLOOKUP($D48,素材!$1:$1016,COLUMN($F$1),FALSE))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BD48">
        <f>IF(ISNUMBER(SEARCH(SUBSTITUTE(BD$1,RIGHT(BD$1,2),""),VLOOKUP($D48,素材!$1:$1016,COLUMN($F$1),FALSE))),VLOOKUP($C48,装備品!$1:$998,COLUMN($O$1),FALSE)*VLOOKUP($D48,素材!$1:$1016,COLUMN($E$1),FALSE)/(LEN(VLOOKUP($D48,素材!$1:$1016,COLUMN($F$1),FALSE))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BE48">
        <f>IF(ISNUMBER(SEARCH(SUBSTITUTE(BE$1,RIGHT(BE$1,2),""),VLOOKUP($D48,素材!$1:$1016,COLUMN($F$1),FALSE))),VLOOKUP($C48,装備品!$1:$998,COLUMN($O$1),FALSE)*VLOOKUP($D48,素材!$1:$1016,COLUMN($E$1),FALSE)/(LEN(VLOOKUP($D48,素材!$1:$1016,COLUMN($F$1),FALSE))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CL48">
        <f t="shared" si="1"/>
        <v>18</v>
      </c>
      <c r="CM48" s="22" t="str">
        <f t="shared" si="2"/>
        <v>貫通.webp</v>
      </c>
      <c r="CN48">
        <f>IFERROR(VLOOKUP($C48,装備品!$1:$998,COLUMN(V$1),FALSE)*VLOOKUP($D48,素材!$1:$1016,COLUMN(N$1),FALSE)+IF(CI48="",0,VLOOKUP($CI48,付与!$1:$1176,COLUMN($CK$1),FALSE)),"")</f>
        <v>0</v>
      </c>
      <c r="CO48" t="str">
        <f>VLOOKUP(D48,素材!$A:$O,COLUMN(素材!O$1),FALSE)</f>
        <v>一般的な木材。金属より軽いが少し脆い</v>
      </c>
      <c r="CP48" t="str">
        <f>VLOOKUP(C48,装備品!$A:$AB,COLUMN(装備品!AB$1),FALSE)</f>
        <v>短槍。短く扱いやすい槍で、投擲にも対応。</v>
      </c>
      <c r="CR48" t="str">
        <f t="shared" si="3"/>
        <v>e_48</v>
      </c>
      <c r="CS48">
        <f t="shared" si="4"/>
        <v>0</v>
      </c>
    </row>
    <row r="49" spans="1:97" outlineLevel="1" x14ac:dyDescent="0.4">
      <c r="A49" t="str">
        <f t="shared" si="5"/>
        <v>木の槍</v>
      </c>
      <c r="B49" t="str">
        <f>IFERROR(VLOOKUP($D49,素材!$1:$1016,COLUMN($B$1),FALSE)&amp;"・"&amp;VLOOKUP($C49,装備品!$1:$998,COLUMN(B$1),FALSE),"")</f>
        <v>ウッド・スピア</v>
      </c>
      <c r="C49" s="24" t="s">
        <v>232</v>
      </c>
      <c r="D49" s="24" t="s">
        <v>254</v>
      </c>
      <c r="E49" t="str">
        <f>IFERROR(VLOOKUP(C49,装備品!$1:$998,COLUMN(C$1),FALSE),"")</f>
        <v>武器</v>
      </c>
      <c r="F49">
        <f>IFERROR(ROUNDDOWN((VLOOKUP($C49,装備品!$1:$998,COLUMN(D$1),FALSE)+IFERROR(VLOOKUP($CI49,付与!$1:$1167,COLUMN(F$1),FALSE),0))*VLOOKUP($D49,素材!$1:$1016,COLUMN(D$1),FALSE),0),"")</f>
        <v>86</v>
      </c>
      <c r="G49">
        <f>IFERROR(ROUNDDOWN((VLOOKUP($C49,装備品!$1:$998,COLUMN(E$1),FALSE)+IFERROR(VLOOKUP($CI49,付与!$1:$1167,COLUMN(G$1),FALSE),0))*VLOOKUP($D49,素材!$1:$1016,COLUMN($E$1),FALSE),0),"")</f>
        <v>6</v>
      </c>
      <c r="H49">
        <f>IFERROR(ROUNDDOWN((VLOOKUP($C49,装備品!$1:$998,COLUMN(F$1),FALSE)+IFERROR(VLOOKUP($CI49,付与!$1:$1167,COLUMN(H$1),FALSE),0))*VLOOKUP($D49,素材!$1:$1016,COLUMN($E$1),FALSE),0),"")</f>
        <v>12</v>
      </c>
      <c r="I49">
        <f>IFERROR(ROUNDDOWN((VLOOKUP($C49,装備品!$1:$998,COLUMN(G$1),FALSE)+IFERROR(VLOOKUP($CI49,付与!$1:$1167,COLUMN(I$1),FALSE),0))*VLOOKUP($D49,素材!$1:$1016,COLUMN($E$1),FALSE),0),"")</f>
        <v>2</v>
      </c>
      <c r="J49">
        <f>IFERROR(ROUNDDOWN((VLOOKUP($C49,装備品!$1:$998,COLUMN(H$1),FALSE)+IFERROR(VLOOKUP($CI49,付与!$1:$1167,COLUMN(J$1),FALSE),0))*VLOOKUP($D49,素材!$1:$1016,COLUMN($E$1),FALSE),0),"")</f>
        <v>12</v>
      </c>
      <c r="K49">
        <f>IFERROR(ROUNDDOWN((VLOOKUP($C49,装備品!$1:$998,COLUMN(I$1),FALSE)+IFERROR(VLOOKUP($CI49,付与!$1:$1167,COLUMN(K$1),FALSE),0))*VLOOKUP($D49,素材!$1:$1016,COLUMN($E$1),FALSE),0),"")</f>
        <v>0</v>
      </c>
      <c r="L49">
        <f>IFERROR(VLOOKUP($D49,素材!$1:$1016,COLUMN($F$1),FALSE),"")</f>
        <v>0</v>
      </c>
      <c r="M49">
        <f>IFERROR(VLOOKUP($C49,装備品!$1:$998,COLUMN(AA$1),FALSE)*VLOOKUP($D49,素材!$1:$1016,COLUMN($G$1),FALSE),"")</f>
        <v>0</v>
      </c>
      <c r="N49">
        <f>IFERROR(VLOOKUP($C49,装備品!$1:$998,COLUMN(I$1),FALSE),"")</f>
        <v>0</v>
      </c>
      <c r="O49" s="23">
        <f>IFERROR((VLOOKUP($C49,装備品!$1:$998,COLUMN(K$1),FALSE)+VLOOKUP($D49,素材!$1:$1016,COLUMN(H$1),FALSE))*100+IFERROR(VLOOKUP($CI49,付与!$1:$1167,COLUMN(O$1),FALSE),0),"")</f>
        <v>10</v>
      </c>
      <c r="P49" s="23">
        <f>IFERROR((VLOOKUP($C49,装備品!$1:$998,COLUMN(L$1),FALSE)+VLOOKUP($D49,素材!$1:$1016,COLUMN(I$1),FALSE))*100+IFERROR(VLOOKUP($CI49,付与!$1:$1167,COLUMN(P$1),FALSE),0),"")</f>
        <v>150</v>
      </c>
      <c r="Q49">
        <f>IFERROR(ROUNDUP(VLOOKUP($C49,装備品!$1:$998,COLUMN(M$1),FALSE)*(VLOOKUP($D49,素材!$1:$1002,COLUMN(D$1),FALSE)/100),1),"")</f>
        <v>0</v>
      </c>
      <c r="R49">
        <f>IFERROR(ROUNDUP(VLOOKUP($C49,装備品!$1:$998,COLUMN(N$1),FALSE)*(VLOOKUP($D49,素材!$1:$1002,COLUMN(D$1),FALSE)/100),1),"")</f>
        <v>-3.8000000000000003</v>
      </c>
      <c r="S49">
        <f>IFERROR(VLOOKUP($C49,装備品!$1:$998,COLUMN(P$1),FALSE),"")</f>
        <v>0</v>
      </c>
      <c r="T49">
        <f>IFERROR(VLOOKUP($C49,装備品!$1:$998,COLUMN(Q$1),FALSE),"")</f>
        <v>0</v>
      </c>
      <c r="U49">
        <f>IFERROR(VLOOKUP($C49,装備品!$1:$998,COLUMN(R$1),FALSE),"")</f>
        <v>0</v>
      </c>
      <c r="V49">
        <f>IFERROR(VLOOKUP($C49,装備品!$1:$998,COLUMN(Q$1),FALSE),"")</f>
        <v>0</v>
      </c>
      <c r="W49">
        <f>IFERROR(VLOOKUP($C49,装備品!$1:$998,COLUMN(T$1),FALSE),"")</f>
        <v>0</v>
      </c>
      <c r="Y49">
        <f>IFERROR(VLOOKUP($C49,装備品!$1:$998,COLUMN(U$1),FALSE),"")</f>
        <v>0</v>
      </c>
      <c r="Z49">
        <f>IFERROR(ROUNDUP(VLOOKUP($C49,装備品!$1:$998,COLUMN(O$1),FALSE)*VLOOKUP($D49,素材!$1:$1016,COLUMN(E$1),FALSE),1),"")</f>
        <v>0</v>
      </c>
      <c r="AA49">
        <f>IF(ISNUMBER(SEARCH(SUBSTITUTE(AA$1,RIGHT(AA$1,2),""),VLOOKUP($D49,素材!$1:$1016,COLUMN($F$1),FALSE))),VLOOKUP($C49,装備品!$1:$998,COLUMN($O$1),FALSE)*VLOOKUP($D49,素材!$1:$1016,COLUMN($E$1),FALSE)/(LEN(VLOOKUP($D49,素材!$1:$1016,COLUMN($F$1),FALSE))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B49">
        <f>IF(ISNUMBER(SEARCH(SUBSTITUTE(AB$1,RIGHT(AB$1,2),""),VLOOKUP($D49,素材!$1:$1016,COLUMN($F$1),FALSE))),VLOOKUP($C49,装備品!$1:$998,COLUMN($O$1),FALSE)*VLOOKUP($D49,素材!$1:$1016,COLUMN($E$1),FALSE)/(LEN(VLOOKUP($D49,素材!$1:$1016,COLUMN($F$1),FALSE))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C49">
        <f>IF(ISNUMBER(SEARCH(SUBSTITUTE(AC$1,RIGHT(AC$1,2),""),VLOOKUP($D49,素材!$1:$1016,COLUMN($F$1),FALSE))),VLOOKUP($C49,装備品!$1:$998,COLUMN($O$1),FALSE)*VLOOKUP($D49,素材!$1:$1016,COLUMN($E$1),FALSE)/(LEN(VLOOKUP($D49,素材!$1:$1016,COLUMN($F$1),FALSE))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D49">
        <f>IF(ISNUMBER(SEARCH(SUBSTITUTE(AD$1,RIGHT(AD$1,2),""),VLOOKUP($D49,素材!$1:$1016,COLUMN($F$1),FALSE))),VLOOKUP($C49,装備品!$1:$998,COLUMN($O$1),FALSE)*VLOOKUP($D49,素材!$1:$1016,COLUMN($E$1),FALSE)/(LEN(VLOOKUP($D49,素材!$1:$1016,COLUMN($F$1),FALSE))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E49">
        <f>IF(ISNUMBER(SEARCH(SUBSTITUTE(AE$1,RIGHT(AE$1,2),""),VLOOKUP($D49,素材!$1:$1016,COLUMN($F$1),FALSE))),VLOOKUP($C49,装備品!$1:$998,COLUMN($O$1),FALSE)*VLOOKUP($D49,素材!$1:$1016,COLUMN($E$1),FALSE)/(LEN(VLOOKUP($D49,素材!$1:$1016,COLUMN($F$1),FALSE))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F49">
        <f>IF(ISNUMBER(SEARCH(SUBSTITUTE(AF$1,RIGHT(AF$1,2),""),VLOOKUP($D49,素材!$1:$1016,COLUMN($F$1),FALSE))),VLOOKUP($C49,装備品!$1:$998,COLUMN($O$1),FALSE)*VLOOKUP($D49,素材!$1:$1016,COLUMN($E$1),FALSE)/(LEN(VLOOKUP($D49,素材!$1:$1016,COLUMN($F$1),FALSE))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G49">
        <f>IF(ISNUMBER(SEARCH(SUBSTITUTE(AG$1,RIGHT(AG$1,2),""),VLOOKUP($D49,素材!$1:$1016,COLUMN($F$1),FALSE))),VLOOKUP($C49,装備品!$1:$998,COLUMN($O$1),FALSE)*VLOOKUP($D49,素材!$1:$1016,COLUMN($E$1),FALSE)/(LEN(VLOOKUP($D49,素材!$1:$1016,COLUMN($F$1),FALSE))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H49">
        <f>IF(ISNUMBER(SEARCH(SUBSTITUTE(AH$1,RIGHT(AH$1,2),""),VLOOKUP($D49,素材!$1:$1016,COLUMN($F$1),FALSE))),VLOOKUP($C49,装備品!$1:$998,COLUMN($O$1),FALSE)*VLOOKUP($D49,素材!$1:$1016,COLUMN($E$1),FALSE)/(LEN(VLOOKUP($D49,素材!$1:$1016,COLUMN($F$1),FALSE))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I49">
        <f>IF(ISNUMBER(SEARCH(SUBSTITUTE(AI$1,RIGHT(AI$1,2),""),VLOOKUP($D49,素材!$1:$1016,COLUMN($F$1),FALSE))),VLOOKUP($C49,装備品!$1:$998,COLUMN($O$1),FALSE)*VLOOKUP($D49,素材!$1:$1016,COLUMN($E$1),FALSE)/(LEN(VLOOKUP($D49,素材!$1:$1016,COLUMN($F$1),FALSE))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J49">
        <f>IF(ISNUMBER(SEARCH(SUBSTITUTE(AJ$1,RIGHT(AJ$1,2),""),VLOOKUP($D49,素材!$1:$1016,COLUMN($F$1),FALSE))),VLOOKUP($C49,装備品!$1:$998,COLUMN($O$1),FALSE)*VLOOKUP($D49,素材!$1:$1016,COLUMN($E$1),FALSE)/(LEN(VLOOKUP($D49,素材!$1:$1016,COLUMN($F$1),FALSE))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K49">
        <f>IF(ISNUMBER(SEARCH(SUBSTITUTE(AK$1,RIGHT(AK$1,2),""),VLOOKUP($D49,素材!$1:$1016,COLUMN($F$1),FALSE))),VLOOKUP($C49,装備品!$1:$998,COLUMN($O$1),FALSE)*VLOOKUP($D49,素材!$1:$1016,COLUMN($E$1),FALSE)/(LEN(VLOOKUP($D49,素材!$1:$1016,COLUMN($F$1),FALSE))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L49">
        <f>IF(ISNUMBER(SEARCH(SUBSTITUTE(AL$1,RIGHT(AL$1,2),""),VLOOKUP($D49,素材!$1:$1016,COLUMN($F$1),FALSE))),VLOOKUP($C49,装備品!$1:$998,COLUMN($O$1),FALSE)*VLOOKUP($D49,素材!$1:$1016,COLUMN($E$1),FALSE)/(LEN(VLOOKUP($D49,素材!$1:$1016,COLUMN($F$1),FALSE))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M49">
        <f>IF(ISNUMBER(SEARCH(SUBSTITUTE(AM$1,RIGHT(AM$1,2),""),VLOOKUP($D49,素材!$1:$1016,COLUMN($F$1),FALSE))),VLOOKUP($C49,装備品!$1:$998,COLUMN($O$1),FALSE)*VLOOKUP($D49,素材!$1:$1016,COLUMN($E$1),FALSE)/(LEN(VLOOKUP($D49,素材!$1:$1016,COLUMN($F$1),FALSE))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N49">
        <f>IF(ISNUMBER(SEARCH(SUBSTITUTE(AN$1,RIGHT(AN$1,2),""),VLOOKUP($D49,素材!$1:$1016,COLUMN($F$1),FALSE))),VLOOKUP($C49,装備品!$1:$998,COLUMN($O$1),FALSE)*VLOOKUP($D49,素材!$1:$1016,COLUMN($E$1),FALSE)/(LEN(VLOOKUP($D49,素材!$1:$1016,COLUMN($F$1),FALSE))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O49">
        <f>IF(ISNUMBER(SEARCH(SUBSTITUTE(AO$1,RIGHT(AO$1,2),""),VLOOKUP($D49,素材!$1:$1016,COLUMN($F$1),FALSE))),VLOOKUP($C49,装備品!$1:$998,COLUMN($O$1),FALSE)*VLOOKUP($D49,素材!$1:$1016,COLUMN($E$1),FALSE)/(LEN(VLOOKUP($D49,素材!$1:$1016,COLUMN($F$1),FALSE))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P49">
        <f>IF(ISNUMBER(SEARCH(SUBSTITUTE(AP$1,RIGHT(AP$1,2),""),VLOOKUP($D49,素材!$1:$1016,COLUMN($F$1),FALSE))),VLOOKUP($C49,装備品!$1:$998,COLUMN($O$1),FALSE)*VLOOKUP($D49,素材!$1:$1016,COLUMN($E$1),FALSE)/(LEN(VLOOKUP($D49,素材!$1:$1016,COLUMN($F$1),FALSE))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Q49">
        <f>IF(ISNUMBER(SEARCH(SUBSTITUTE(AQ$1,RIGHT(AQ$1,2),""),VLOOKUP($D49,素材!$1:$1016,COLUMN($F$1),FALSE))),VLOOKUP($C49,装備品!$1:$998,COLUMN($O$1),FALSE)*VLOOKUP($D49,素材!$1:$1016,COLUMN($E$1),FALSE)/(LEN(VLOOKUP($D49,素材!$1:$1016,COLUMN($F$1),FALSE))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R49">
        <f>IF(ISNUMBER(SEARCH(SUBSTITUTE(AR$1,RIGHT(AR$1,2),""),VLOOKUP($D49,素材!$1:$1016,COLUMN($F$1),FALSE))),VLOOKUP($C49,装備品!$1:$998,COLUMN($O$1),FALSE)*VLOOKUP($D49,素材!$1:$1016,COLUMN($E$1),FALSE)/(LEN(VLOOKUP($D49,素材!$1:$1016,COLUMN($F$1),FALSE))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S49">
        <f>IF(ISNUMBER(SEARCH(SUBSTITUTE(AS$1,RIGHT(AS$1,2),""),VLOOKUP($D49,素材!$1:$1016,COLUMN($F$1),FALSE))),VLOOKUP($C49,装備品!$1:$998,COLUMN($O$1),FALSE)*VLOOKUP($D49,素材!$1:$1016,COLUMN($E$1),FALSE)/(LEN(VLOOKUP($D49,素材!$1:$1016,COLUMN($F$1),FALSE))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T49">
        <f>IF(ISNUMBER(SEARCH(SUBSTITUTE(AT$1,RIGHT(AT$1,2),""),VLOOKUP($D49,素材!$1:$1016,COLUMN($F$1),FALSE))),VLOOKUP($C49,装備品!$1:$998,COLUMN($O$1),FALSE)*VLOOKUP($D49,素材!$1:$1016,COLUMN($E$1),FALSE)/(LEN(VLOOKUP($D49,素材!$1:$1016,COLUMN($F$1),FALSE))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U49">
        <f>IF(ISNUMBER(SEARCH(SUBSTITUTE(AU$1,RIGHT(AU$1,2),""),VLOOKUP($D49,素材!$1:$1016,COLUMN($F$1),FALSE))),VLOOKUP($C49,装備品!$1:$998,COLUMN($O$1),FALSE)*VLOOKUP($D49,素材!$1:$1016,COLUMN($E$1),FALSE)/(LEN(VLOOKUP($D49,素材!$1:$1016,COLUMN($F$1),FALSE))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V49">
        <f>IF(ISNUMBER(SEARCH(SUBSTITUTE(AV$1,RIGHT(AV$1,2),""),VLOOKUP($D49,素材!$1:$1016,COLUMN($F$1),FALSE))),VLOOKUP($C49,装備品!$1:$998,COLUMN($O$1),FALSE)*VLOOKUP($D49,素材!$1:$1016,COLUMN($E$1),FALSE)/(LEN(VLOOKUP($D49,素材!$1:$1016,COLUMN($F$1),FALSE))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W49">
        <f>IF(ISNUMBER(SEARCH(SUBSTITUTE(AW$1,RIGHT(AW$1,2),""),VLOOKUP($D49,素材!$1:$1016,COLUMN($F$1),FALSE))),VLOOKUP($C49,装備品!$1:$998,COLUMN($O$1),FALSE)*VLOOKUP($D49,素材!$1:$1016,COLUMN($E$1),FALSE)/(LEN(VLOOKUP($D49,素材!$1:$1016,COLUMN($F$1),FALSE))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X49">
        <f>IF(ISNUMBER(SEARCH(SUBSTITUTE(AX$1,RIGHT(AX$1,2),""),VLOOKUP($D49,素材!$1:$1016,COLUMN($F$1),FALSE))),VLOOKUP($C49,装備品!$1:$998,COLUMN($O$1),FALSE)*VLOOKUP($D49,素材!$1:$1016,COLUMN($E$1),FALSE)/(LEN(VLOOKUP($D49,素材!$1:$1016,COLUMN($F$1),FALSE))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Y49">
        <f>IF(ISNUMBER(SEARCH(SUBSTITUTE(AY$1,RIGHT(AY$1,2),""),VLOOKUP($D49,素材!$1:$1016,COLUMN($F$1),FALSE))),VLOOKUP($C49,装備品!$1:$998,COLUMN($O$1),FALSE)*VLOOKUP($D49,素材!$1:$1016,COLUMN($E$1),FALSE)/(LEN(VLOOKUP($D49,素材!$1:$1016,COLUMN($F$1),FALSE))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Z49">
        <f>IF(ISNUMBER(SEARCH(SUBSTITUTE(AZ$1,RIGHT(AZ$1,2),""),VLOOKUP($D49,素材!$1:$1016,COLUMN($F$1),FALSE))),VLOOKUP($C49,装備品!$1:$998,COLUMN($O$1),FALSE)*VLOOKUP($D49,素材!$1:$1016,COLUMN($E$1),FALSE)/(LEN(VLOOKUP($D49,素材!$1:$1016,COLUMN($F$1),FALSE))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BA49">
        <f>IF(ISNUMBER(SEARCH(SUBSTITUTE(BA$1,RIGHT(BA$1,2),""),VLOOKUP($D49,素材!$1:$1016,COLUMN($F$1),FALSE))),VLOOKUP($C49,装備品!$1:$998,COLUMN($O$1),FALSE)*VLOOKUP($D49,素材!$1:$1016,COLUMN($E$1),FALSE)/(LEN(VLOOKUP($D49,素材!$1:$1016,COLUMN($F$1),FALSE))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BB49">
        <f>IF(ISNUMBER(SEARCH(SUBSTITUTE(BB$1,RIGHT(BB$1,2),""),VLOOKUP($D49,素材!$1:$1016,COLUMN($F$1),FALSE))),VLOOKUP($C49,装備品!$1:$998,COLUMN($O$1),FALSE)*VLOOKUP($D49,素材!$1:$1016,COLUMN($E$1),FALSE)/(LEN(VLOOKUP($D49,素材!$1:$1016,COLUMN($F$1),FALSE))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BC49">
        <f>IF(ISNUMBER(SEARCH(SUBSTITUTE(BC$1,RIGHT(BC$1,2),""),VLOOKUP($D49,素材!$1:$1016,COLUMN($F$1),FALSE))),VLOOKUP($C49,装備品!$1:$998,COLUMN($O$1),FALSE)*VLOOKUP($D49,素材!$1:$1016,COLUMN($E$1),FALSE)/(LEN(VLOOKUP($D49,素材!$1:$1016,COLUMN($F$1),FALSE))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BD49">
        <f>IF(ISNUMBER(SEARCH(SUBSTITUTE(BD$1,RIGHT(BD$1,2),""),VLOOKUP($D49,素材!$1:$1016,COLUMN($F$1),FALSE))),VLOOKUP($C49,装備品!$1:$998,COLUMN($O$1),FALSE)*VLOOKUP($D49,素材!$1:$1016,COLUMN($E$1),FALSE)/(LEN(VLOOKUP($D49,素材!$1:$1016,COLUMN($F$1),FALSE))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BE49">
        <f>IF(ISNUMBER(SEARCH(SUBSTITUTE(BE$1,RIGHT(BE$1,2),""),VLOOKUP($D49,素材!$1:$1016,COLUMN($F$1),FALSE))),VLOOKUP($C49,装備品!$1:$998,COLUMN($O$1),FALSE)*VLOOKUP($D49,素材!$1:$1016,COLUMN($E$1),FALSE)/(LEN(VLOOKUP($D49,素材!$1:$1016,COLUMN($F$1),FALSE))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CL49">
        <f t="shared" si="1"/>
        <v>20</v>
      </c>
      <c r="CM49" s="22" t="str">
        <f t="shared" si="2"/>
        <v>貫通.webp</v>
      </c>
      <c r="CN49">
        <f>IFERROR(VLOOKUP($C49,装備品!$1:$998,COLUMN(V$1),FALSE)*VLOOKUP($D49,素材!$1:$1016,COLUMN(N$1),FALSE)+IF(CI49="",0,VLOOKUP($CI49,付与!$1:$1176,COLUMN($CK$1),FALSE)),"")</f>
        <v>0</v>
      </c>
      <c r="CO49" t="str">
        <f>VLOOKUP(D49,素材!$A:$O,COLUMN(素材!O$1),FALSE)</f>
        <v>一般的な木材。金属より軽いが少し脆い</v>
      </c>
      <c r="CP49" t="str">
        <f>VLOOKUP(C49,装備品!$A:$AB,COLUMN(装備品!AB$1),FALSE)</f>
        <v>槍。リーチが長く、刺突に優れる武器。</v>
      </c>
      <c r="CR49" t="str">
        <f t="shared" si="3"/>
        <v>e_49</v>
      </c>
      <c r="CS49">
        <f t="shared" si="4"/>
        <v>0</v>
      </c>
    </row>
    <row r="50" spans="1:97" outlineLevel="1" x14ac:dyDescent="0.4">
      <c r="A50" t="str">
        <f t="shared" si="5"/>
        <v>木の騎士槍</v>
      </c>
      <c r="B50" t="str">
        <f>IFERROR(VLOOKUP($D50,素材!$1:$1016,COLUMN($B$1),FALSE)&amp;"・"&amp;VLOOKUP($C50,装備品!$1:$998,COLUMN(B$1),FALSE),"")</f>
        <v>ウッド・ランス</v>
      </c>
      <c r="C50" s="24" t="s">
        <v>231</v>
      </c>
      <c r="D50" s="24" t="s">
        <v>254</v>
      </c>
      <c r="E50" t="str">
        <f>IFERROR(VLOOKUP(C50,装備品!$1:$998,COLUMN(C$1),FALSE),"")</f>
        <v>武器</v>
      </c>
      <c r="F50">
        <f>IFERROR(ROUNDDOWN((VLOOKUP($C50,装備品!$1:$998,COLUMN(D$1),FALSE)+IFERROR(VLOOKUP($CI50,付与!$1:$1167,COLUMN(F$1),FALSE),0))*VLOOKUP($D50,素材!$1:$1016,COLUMN(D$1),FALSE),0),"")</f>
        <v>86</v>
      </c>
      <c r="G50">
        <f>IFERROR(ROUNDDOWN((VLOOKUP($C50,装備品!$1:$998,COLUMN(E$1),FALSE)+IFERROR(VLOOKUP($CI50,付与!$1:$1167,COLUMN(G$1),FALSE),0))*VLOOKUP($D50,素材!$1:$1016,COLUMN($E$1),FALSE),0),"")</f>
        <v>0</v>
      </c>
      <c r="H50">
        <f>IFERROR(ROUNDDOWN((VLOOKUP($C50,装備品!$1:$998,COLUMN(F$1),FALSE)+IFERROR(VLOOKUP($CI50,付与!$1:$1167,COLUMN(H$1),FALSE),0))*VLOOKUP($D50,素材!$1:$1016,COLUMN($E$1),FALSE),0),"")</f>
        <v>14</v>
      </c>
      <c r="I50">
        <f>IFERROR(ROUNDDOWN((VLOOKUP($C50,装備品!$1:$998,COLUMN(G$1),FALSE)+IFERROR(VLOOKUP($CI50,付与!$1:$1167,COLUMN(I$1),FALSE),0))*VLOOKUP($D50,素材!$1:$1016,COLUMN($E$1),FALSE),0),"")</f>
        <v>6</v>
      </c>
      <c r="J50">
        <f>IFERROR(ROUNDDOWN((VLOOKUP($C50,装備品!$1:$998,COLUMN(H$1),FALSE)+IFERROR(VLOOKUP($CI50,付与!$1:$1167,COLUMN(J$1),FALSE),0))*VLOOKUP($D50,素材!$1:$1016,COLUMN($E$1),FALSE),0),"")</f>
        <v>15</v>
      </c>
      <c r="K50">
        <f>IFERROR(ROUNDDOWN((VLOOKUP($C50,装備品!$1:$998,COLUMN(I$1),FALSE)+IFERROR(VLOOKUP($CI50,付与!$1:$1167,COLUMN(K$1),FALSE),0))*VLOOKUP($D50,素材!$1:$1016,COLUMN($E$1),FALSE),0),"")</f>
        <v>0</v>
      </c>
      <c r="L50">
        <f>IFERROR(VLOOKUP($D50,素材!$1:$1016,COLUMN($F$1),FALSE),"")</f>
        <v>0</v>
      </c>
      <c r="M50">
        <f>IFERROR(VLOOKUP($C50,装備品!$1:$998,COLUMN(AA$1),FALSE)*VLOOKUP($D50,素材!$1:$1016,COLUMN($G$1),FALSE),"")</f>
        <v>0</v>
      </c>
      <c r="N50">
        <f>IFERROR(VLOOKUP($C50,装備品!$1:$998,COLUMN(I$1),FALSE),"")</f>
        <v>0</v>
      </c>
      <c r="O50" s="23">
        <f>IFERROR((VLOOKUP($C50,装備品!$1:$998,COLUMN(K$1),FALSE)+VLOOKUP($D50,素材!$1:$1016,COLUMN(H$1),FALSE))*100+IFERROR(VLOOKUP($CI50,付与!$1:$1167,COLUMN(O$1),FALSE),0),"")</f>
        <v>5</v>
      </c>
      <c r="P50" s="23">
        <f>IFERROR((VLOOKUP($C50,装備品!$1:$998,COLUMN(L$1),FALSE)+VLOOKUP($D50,素材!$1:$1016,COLUMN(I$1),FALSE))*100+IFERROR(VLOOKUP($CI50,付与!$1:$1167,COLUMN(P$1),FALSE),0),"")</f>
        <v>175</v>
      </c>
      <c r="Q50">
        <f>IFERROR(ROUNDUP(VLOOKUP($C50,装備品!$1:$998,COLUMN(M$1),FALSE)*(VLOOKUP($D50,素材!$1:$1002,COLUMN(D$1),FALSE)/100),1),"")</f>
        <v>-3.8000000000000003</v>
      </c>
      <c r="R50">
        <f>IFERROR(ROUNDUP(VLOOKUP($C50,装備品!$1:$998,COLUMN(N$1),FALSE)*(VLOOKUP($D50,素材!$1:$1002,COLUMN(D$1),FALSE)/100),1),"")</f>
        <v>-3.8000000000000003</v>
      </c>
      <c r="S50">
        <f>IFERROR(VLOOKUP($C50,装備品!$1:$998,COLUMN(P$1),FALSE),"")</f>
        <v>0</v>
      </c>
      <c r="T50">
        <f>IFERROR(VLOOKUP($C50,装備品!$1:$998,COLUMN(Q$1),FALSE),"")</f>
        <v>0</v>
      </c>
      <c r="U50">
        <f>IFERROR(VLOOKUP($C50,装備品!$1:$998,COLUMN(R$1),FALSE),"")</f>
        <v>-15</v>
      </c>
      <c r="V50">
        <f>IFERROR(VLOOKUP($C50,装備品!$1:$998,COLUMN(Q$1),FALSE),"")</f>
        <v>0</v>
      </c>
      <c r="W50">
        <f>IFERROR(VLOOKUP($C50,装備品!$1:$998,COLUMN(T$1),FALSE),"")</f>
        <v>0</v>
      </c>
      <c r="Y50">
        <f>IFERROR(VLOOKUP($C50,装備品!$1:$998,COLUMN(U$1),FALSE),"")</f>
        <v>0</v>
      </c>
      <c r="Z50">
        <f>IFERROR(ROUNDUP(VLOOKUP($C50,装備品!$1:$998,COLUMN(O$1),FALSE)*VLOOKUP($D50,素材!$1:$1016,COLUMN(E$1),FALSE),1),"")</f>
        <v>0</v>
      </c>
      <c r="AA50">
        <f>IF(ISNUMBER(SEARCH(SUBSTITUTE(AA$1,RIGHT(AA$1,2),""),VLOOKUP($D50,素材!$1:$1016,COLUMN($F$1),FALSE))),VLOOKUP($C50,装備品!$1:$998,COLUMN($O$1),FALSE)*VLOOKUP($D50,素材!$1:$1016,COLUMN($E$1),FALSE)/(LEN(VLOOKUP($D50,素材!$1:$1016,COLUMN($F$1),FALSE))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B50">
        <f>IF(ISNUMBER(SEARCH(SUBSTITUTE(AB$1,RIGHT(AB$1,2),""),VLOOKUP($D50,素材!$1:$1016,COLUMN($F$1),FALSE))),VLOOKUP($C50,装備品!$1:$998,COLUMN($O$1),FALSE)*VLOOKUP($D50,素材!$1:$1016,COLUMN($E$1),FALSE)/(LEN(VLOOKUP($D50,素材!$1:$1016,COLUMN($F$1),FALSE))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C50">
        <f>IF(ISNUMBER(SEARCH(SUBSTITUTE(AC$1,RIGHT(AC$1,2),""),VLOOKUP($D50,素材!$1:$1016,COLUMN($F$1),FALSE))),VLOOKUP($C50,装備品!$1:$998,COLUMN($O$1),FALSE)*VLOOKUP($D50,素材!$1:$1016,COLUMN($E$1),FALSE)/(LEN(VLOOKUP($D50,素材!$1:$1016,COLUMN($F$1),FALSE))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D50">
        <f>IF(ISNUMBER(SEARCH(SUBSTITUTE(AD$1,RIGHT(AD$1,2),""),VLOOKUP($D50,素材!$1:$1016,COLUMN($F$1),FALSE))),VLOOKUP($C50,装備品!$1:$998,COLUMN($O$1),FALSE)*VLOOKUP($D50,素材!$1:$1016,COLUMN($E$1),FALSE)/(LEN(VLOOKUP($D50,素材!$1:$1016,COLUMN($F$1),FALSE))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E50">
        <f>IF(ISNUMBER(SEARCH(SUBSTITUTE(AE$1,RIGHT(AE$1,2),""),VLOOKUP($D50,素材!$1:$1016,COLUMN($F$1),FALSE))),VLOOKUP($C50,装備品!$1:$998,COLUMN($O$1),FALSE)*VLOOKUP($D50,素材!$1:$1016,COLUMN($E$1),FALSE)/(LEN(VLOOKUP($D50,素材!$1:$1016,COLUMN($F$1),FALSE))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F50">
        <f>IF(ISNUMBER(SEARCH(SUBSTITUTE(AF$1,RIGHT(AF$1,2),""),VLOOKUP($D50,素材!$1:$1016,COLUMN($F$1),FALSE))),VLOOKUP($C50,装備品!$1:$998,COLUMN($O$1),FALSE)*VLOOKUP($D50,素材!$1:$1016,COLUMN($E$1),FALSE)/(LEN(VLOOKUP($D50,素材!$1:$1016,COLUMN($F$1),FALSE))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G50">
        <f>IF(ISNUMBER(SEARCH(SUBSTITUTE(AG$1,RIGHT(AG$1,2),""),VLOOKUP($D50,素材!$1:$1016,COLUMN($F$1),FALSE))),VLOOKUP($C50,装備品!$1:$998,COLUMN($O$1),FALSE)*VLOOKUP($D50,素材!$1:$1016,COLUMN($E$1),FALSE)/(LEN(VLOOKUP($D50,素材!$1:$1016,COLUMN($F$1),FALSE))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H50">
        <f>IF(ISNUMBER(SEARCH(SUBSTITUTE(AH$1,RIGHT(AH$1,2),""),VLOOKUP($D50,素材!$1:$1016,COLUMN($F$1),FALSE))),VLOOKUP($C50,装備品!$1:$998,COLUMN($O$1),FALSE)*VLOOKUP($D50,素材!$1:$1016,COLUMN($E$1),FALSE)/(LEN(VLOOKUP($D50,素材!$1:$1016,COLUMN($F$1),FALSE))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I50">
        <f>IF(ISNUMBER(SEARCH(SUBSTITUTE(AI$1,RIGHT(AI$1,2),""),VLOOKUP($D50,素材!$1:$1016,COLUMN($F$1),FALSE))),VLOOKUP($C50,装備品!$1:$998,COLUMN($O$1),FALSE)*VLOOKUP($D50,素材!$1:$1016,COLUMN($E$1),FALSE)/(LEN(VLOOKUP($D50,素材!$1:$1016,COLUMN($F$1),FALSE))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J50">
        <f>IF(ISNUMBER(SEARCH(SUBSTITUTE(AJ$1,RIGHT(AJ$1,2),""),VLOOKUP($D50,素材!$1:$1016,COLUMN($F$1),FALSE))),VLOOKUP($C50,装備品!$1:$998,COLUMN($O$1),FALSE)*VLOOKUP($D50,素材!$1:$1016,COLUMN($E$1),FALSE)/(LEN(VLOOKUP($D50,素材!$1:$1016,COLUMN($F$1),FALSE))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K50">
        <f>IF(ISNUMBER(SEARCH(SUBSTITUTE(AK$1,RIGHT(AK$1,2),""),VLOOKUP($D50,素材!$1:$1016,COLUMN($F$1),FALSE))),VLOOKUP($C50,装備品!$1:$998,COLUMN($O$1),FALSE)*VLOOKUP($D50,素材!$1:$1016,COLUMN($E$1),FALSE)/(LEN(VLOOKUP($D50,素材!$1:$1016,COLUMN($F$1),FALSE))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L50">
        <f>IF(ISNUMBER(SEARCH(SUBSTITUTE(AL$1,RIGHT(AL$1,2),""),VLOOKUP($D50,素材!$1:$1016,COLUMN($F$1),FALSE))),VLOOKUP($C50,装備品!$1:$998,COLUMN($O$1),FALSE)*VLOOKUP($D50,素材!$1:$1016,COLUMN($E$1),FALSE)/(LEN(VLOOKUP($D50,素材!$1:$1016,COLUMN($F$1),FALSE))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M50">
        <f>IF(ISNUMBER(SEARCH(SUBSTITUTE(AM$1,RIGHT(AM$1,2),""),VLOOKUP($D50,素材!$1:$1016,COLUMN($F$1),FALSE))),VLOOKUP($C50,装備品!$1:$998,COLUMN($O$1),FALSE)*VLOOKUP($D50,素材!$1:$1016,COLUMN($E$1),FALSE)/(LEN(VLOOKUP($D50,素材!$1:$1016,COLUMN($F$1),FALSE))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N50">
        <f>IF(ISNUMBER(SEARCH(SUBSTITUTE(AN$1,RIGHT(AN$1,2),""),VLOOKUP($D50,素材!$1:$1016,COLUMN($F$1),FALSE))),VLOOKUP($C50,装備品!$1:$998,COLUMN($O$1),FALSE)*VLOOKUP($D50,素材!$1:$1016,COLUMN($E$1),FALSE)/(LEN(VLOOKUP($D50,素材!$1:$1016,COLUMN($F$1),FALSE))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O50">
        <f>IF(ISNUMBER(SEARCH(SUBSTITUTE(AO$1,RIGHT(AO$1,2),""),VLOOKUP($D50,素材!$1:$1016,COLUMN($F$1),FALSE))),VLOOKUP($C50,装備品!$1:$998,COLUMN($O$1),FALSE)*VLOOKUP($D50,素材!$1:$1016,COLUMN($E$1),FALSE)/(LEN(VLOOKUP($D50,素材!$1:$1016,COLUMN($F$1),FALSE))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P50">
        <f>IF(ISNUMBER(SEARCH(SUBSTITUTE(AP$1,RIGHT(AP$1,2),""),VLOOKUP($D50,素材!$1:$1016,COLUMN($F$1),FALSE))),VLOOKUP($C50,装備品!$1:$998,COLUMN($O$1),FALSE)*VLOOKUP($D50,素材!$1:$1016,COLUMN($E$1),FALSE)/(LEN(VLOOKUP($D50,素材!$1:$1016,COLUMN($F$1),FALSE))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Q50">
        <f>IF(ISNUMBER(SEARCH(SUBSTITUTE(AQ$1,RIGHT(AQ$1,2),""),VLOOKUP($D50,素材!$1:$1016,COLUMN($F$1),FALSE))),VLOOKUP($C50,装備品!$1:$998,COLUMN($O$1),FALSE)*VLOOKUP($D50,素材!$1:$1016,COLUMN($E$1),FALSE)/(LEN(VLOOKUP($D50,素材!$1:$1016,COLUMN($F$1),FALSE))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R50">
        <f>IF(ISNUMBER(SEARCH(SUBSTITUTE(AR$1,RIGHT(AR$1,2),""),VLOOKUP($D50,素材!$1:$1016,COLUMN($F$1),FALSE))),VLOOKUP($C50,装備品!$1:$998,COLUMN($O$1),FALSE)*VLOOKUP($D50,素材!$1:$1016,COLUMN($E$1),FALSE)/(LEN(VLOOKUP($D50,素材!$1:$1016,COLUMN($F$1),FALSE))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S50">
        <f>IF(ISNUMBER(SEARCH(SUBSTITUTE(AS$1,RIGHT(AS$1,2),""),VLOOKUP($D50,素材!$1:$1016,COLUMN($F$1),FALSE))),VLOOKUP($C50,装備品!$1:$998,COLUMN($O$1),FALSE)*VLOOKUP($D50,素材!$1:$1016,COLUMN($E$1),FALSE)/(LEN(VLOOKUP($D50,素材!$1:$1016,COLUMN($F$1),FALSE))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T50">
        <f>IF(ISNUMBER(SEARCH(SUBSTITUTE(AT$1,RIGHT(AT$1,2),""),VLOOKUP($D50,素材!$1:$1016,COLUMN($F$1),FALSE))),VLOOKUP($C50,装備品!$1:$998,COLUMN($O$1),FALSE)*VLOOKUP($D50,素材!$1:$1016,COLUMN($E$1),FALSE)/(LEN(VLOOKUP($D50,素材!$1:$1016,COLUMN($F$1),FALSE))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U50">
        <f>IF(ISNUMBER(SEARCH(SUBSTITUTE(AU$1,RIGHT(AU$1,2),""),VLOOKUP($D50,素材!$1:$1016,COLUMN($F$1),FALSE))),VLOOKUP($C50,装備品!$1:$998,COLUMN($O$1),FALSE)*VLOOKUP($D50,素材!$1:$1016,COLUMN($E$1),FALSE)/(LEN(VLOOKUP($D50,素材!$1:$1016,COLUMN($F$1),FALSE))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V50">
        <f>IF(ISNUMBER(SEARCH(SUBSTITUTE(AV$1,RIGHT(AV$1,2),""),VLOOKUP($D50,素材!$1:$1016,COLUMN($F$1),FALSE))),VLOOKUP($C50,装備品!$1:$998,COLUMN($O$1),FALSE)*VLOOKUP($D50,素材!$1:$1016,COLUMN($E$1),FALSE)/(LEN(VLOOKUP($D50,素材!$1:$1016,COLUMN($F$1),FALSE))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W50">
        <f>IF(ISNUMBER(SEARCH(SUBSTITUTE(AW$1,RIGHT(AW$1,2),""),VLOOKUP($D50,素材!$1:$1016,COLUMN($F$1),FALSE))),VLOOKUP($C50,装備品!$1:$998,COLUMN($O$1),FALSE)*VLOOKUP($D50,素材!$1:$1016,COLUMN($E$1),FALSE)/(LEN(VLOOKUP($D50,素材!$1:$1016,COLUMN($F$1),FALSE))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X50">
        <f>IF(ISNUMBER(SEARCH(SUBSTITUTE(AX$1,RIGHT(AX$1,2),""),VLOOKUP($D50,素材!$1:$1016,COLUMN($F$1),FALSE))),VLOOKUP($C50,装備品!$1:$998,COLUMN($O$1),FALSE)*VLOOKUP($D50,素材!$1:$1016,COLUMN($E$1),FALSE)/(LEN(VLOOKUP($D50,素材!$1:$1016,COLUMN($F$1),FALSE))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Y50">
        <f>IF(ISNUMBER(SEARCH(SUBSTITUTE(AY$1,RIGHT(AY$1,2),""),VLOOKUP($D50,素材!$1:$1016,COLUMN($F$1),FALSE))),VLOOKUP($C50,装備品!$1:$998,COLUMN($O$1),FALSE)*VLOOKUP($D50,素材!$1:$1016,COLUMN($E$1),FALSE)/(LEN(VLOOKUP($D50,素材!$1:$1016,COLUMN($F$1),FALSE))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Z50">
        <f>IF(ISNUMBER(SEARCH(SUBSTITUTE(AZ$1,RIGHT(AZ$1,2),""),VLOOKUP($D50,素材!$1:$1016,COLUMN($F$1),FALSE))),VLOOKUP($C50,装備品!$1:$998,COLUMN($O$1),FALSE)*VLOOKUP($D50,素材!$1:$1016,COLUMN($E$1),FALSE)/(LEN(VLOOKUP($D50,素材!$1:$1016,COLUMN($F$1),FALSE))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BA50">
        <f>IF(ISNUMBER(SEARCH(SUBSTITUTE(BA$1,RIGHT(BA$1,2),""),VLOOKUP($D50,素材!$1:$1016,COLUMN($F$1),FALSE))),VLOOKUP($C50,装備品!$1:$998,COLUMN($O$1),FALSE)*VLOOKUP($D50,素材!$1:$1016,COLUMN($E$1),FALSE)/(LEN(VLOOKUP($D50,素材!$1:$1016,COLUMN($F$1),FALSE))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BB50">
        <f>IF(ISNUMBER(SEARCH(SUBSTITUTE(BB$1,RIGHT(BB$1,2),""),VLOOKUP($D50,素材!$1:$1016,COLUMN($F$1),FALSE))),VLOOKUP($C50,装備品!$1:$998,COLUMN($O$1),FALSE)*VLOOKUP($D50,素材!$1:$1016,COLUMN($E$1),FALSE)/(LEN(VLOOKUP($D50,素材!$1:$1016,COLUMN($F$1),FALSE))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BC50">
        <f>IF(ISNUMBER(SEARCH(SUBSTITUTE(BC$1,RIGHT(BC$1,2),""),VLOOKUP($D50,素材!$1:$1016,COLUMN($F$1),FALSE))),VLOOKUP($C50,装備品!$1:$998,COLUMN($O$1),FALSE)*VLOOKUP($D50,素材!$1:$1016,COLUMN($E$1),FALSE)/(LEN(VLOOKUP($D50,素材!$1:$1016,COLUMN($F$1),FALSE))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BD50">
        <f>IF(ISNUMBER(SEARCH(SUBSTITUTE(BD$1,RIGHT(BD$1,2),""),VLOOKUP($D50,素材!$1:$1016,COLUMN($F$1),FALSE))),VLOOKUP($C50,装備品!$1:$998,COLUMN($O$1),FALSE)*VLOOKUP($D50,素材!$1:$1016,COLUMN($E$1),FALSE)/(LEN(VLOOKUP($D50,素材!$1:$1016,COLUMN($F$1),FALSE))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BE50">
        <f>IF(ISNUMBER(SEARCH(SUBSTITUTE(BE$1,RIGHT(BE$1,2),""),VLOOKUP($D50,素材!$1:$1016,COLUMN($F$1),FALSE))),VLOOKUP($C50,装備品!$1:$998,COLUMN($O$1),FALSE)*VLOOKUP($D50,素材!$1:$1016,COLUMN($E$1),FALSE)/(LEN(VLOOKUP($D50,素材!$1:$1016,COLUMN($F$1),FALSE))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CL50">
        <f t="shared" si="1"/>
        <v>20</v>
      </c>
      <c r="CM50" s="22" t="str">
        <f t="shared" si="2"/>
        <v>貫通.webp</v>
      </c>
      <c r="CN50">
        <f>IFERROR(VLOOKUP($C50,装備品!$1:$998,COLUMN(V$1),FALSE)*VLOOKUP($D50,素材!$1:$1016,COLUMN(N$1),FALSE)+IF(CI50="",0,VLOOKUP($CI50,付与!$1:$1176,COLUMN($CK$1),FALSE)),"")</f>
        <v>0</v>
      </c>
      <c r="CO50" t="str">
        <f>VLOOKUP(D50,素材!$A:$O,COLUMN(素材!O$1),FALSE)</f>
        <v>一般的な木材。金属より軽いが少し脆い</v>
      </c>
      <c r="CP50" t="str">
        <f>VLOOKUP(C50,装備品!$A:$AB,COLUMN(装備品!AB$1),FALSE)</f>
        <v>騎士槍。突撃に特化した武器で、高い攻撃力を誇る。</v>
      </c>
      <c r="CR50" t="str">
        <f t="shared" si="3"/>
        <v>e_50</v>
      </c>
      <c r="CS50">
        <f t="shared" si="4"/>
        <v>0</v>
      </c>
    </row>
    <row r="51" spans="1:97" outlineLevel="1" x14ac:dyDescent="0.4">
      <c r="A51" t="str">
        <f t="shared" si="5"/>
        <v>木の大戦棍</v>
      </c>
      <c r="B51" t="str">
        <f>IFERROR(VLOOKUP($D51,素材!$1:$1016,COLUMN($B$1),FALSE)&amp;"・"&amp;VLOOKUP($C51,装備品!$1:$998,COLUMN(B$1),FALSE),"")</f>
        <v>ウッド・ビックメイス</v>
      </c>
      <c r="C51" s="24" t="s">
        <v>255</v>
      </c>
      <c r="D51" s="24" t="s">
        <v>254</v>
      </c>
      <c r="E51" t="str">
        <f>IFERROR(VLOOKUP(C51,装備品!$1:$998,COLUMN(C$1),FALSE),"")</f>
        <v>武器</v>
      </c>
      <c r="F51">
        <f>IFERROR(ROUNDDOWN((VLOOKUP($C51,装備品!$1:$998,COLUMN(D$1),FALSE)+IFERROR(VLOOKUP($CI51,付与!$1:$1167,COLUMN(F$1),FALSE),0))*VLOOKUP($D51,素材!$1:$1016,COLUMN(D$1),FALSE),0),"")</f>
        <v>90</v>
      </c>
      <c r="G51">
        <f>IFERROR(ROUNDDOWN((VLOOKUP($C51,装備品!$1:$998,COLUMN(E$1),FALSE)+IFERROR(VLOOKUP($CI51,付与!$1:$1167,COLUMN(G$1),FALSE),0))*VLOOKUP($D51,素材!$1:$1016,COLUMN($E$1),FALSE),0),"")</f>
        <v>0</v>
      </c>
      <c r="H51">
        <f>IFERROR(ROUNDDOWN((VLOOKUP($C51,装備品!$1:$998,COLUMN(F$1),FALSE)+IFERROR(VLOOKUP($CI51,付与!$1:$1167,COLUMN(H$1),FALSE),0))*VLOOKUP($D51,素材!$1:$1016,COLUMN($E$1),FALSE),0),"")</f>
        <v>0</v>
      </c>
      <c r="I51">
        <f>IFERROR(ROUNDDOWN((VLOOKUP($C51,装備品!$1:$998,COLUMN(G$1),FALSE)+IFERROR(VLOOKUP($CI51,付与!$1:$1167,COLUMN(I$1),FALSE),0))*VLOOKUP($D51,素材!$1:$1016,COLUMN($E$1),FALSE),0),"")</f>
        <v>17</v>
      </c>
      <c r="J51">
        <f>IFERROR(ROUNDDOWN((VLOOKUP($C51,装備品!$1:$998,COLUMN(H$1),FALSE)+IFERROR(VLOOKUP($CI51,付与!$1:$1167,COLUMN(J$1),FALSE),0))*VLOOKUP($D51,素材!$1:$1016,COLUMN($E$1),FALSE),0),"")</f>
        <v>14</v>
      </c>
      <c r="K51">
        <f>IFERROR(ROUNDDOWN((VLOOKUP($C51,装備品!$1:$998,COLUMN(I$1),FALSE)+IFERROR(VLOOKUP($CI51,付与!$1:$1167,COLUMN(K$1),FALSE),0))*VLOOKUP($D51,素材!$1:$1016,COLUMN($E$1),FALSE),0),"")</f>
        <v>0</v>
      </c>
      <c r="L51">
        <f>IFERROR(VLOOKUP($D51,素材!$1:$1016,COLUMN($F$1),FALSE),"")</f>
        <v>0</v>
      </c>
      <c r="M51">
        <f>IFERROR(VLOOKUP($C51,装備品!$1:$998,COLUMN(AA$1),FALSE)*VLOOKUP($D51,素材!$1:$1016,COLUMN($G$1),FALSE),"")</f>
        <v>0</v>
      </c>
      <c r="N51">
        <f>IFERROR(VLOOKUP($C51,装備品!$1:$998,COLUMN(I$1),FALSE),"")</f>
        <v>0</v>
      </c>
      <c r="O51" s="23">
        <f>IFERROR((VLOOKUP($C51,装備品!$1:$998,COLUMN(K$1),FALSE)+VLOOKUP($D51,素材!$1:$1016,COLUMN(H$1),FALSE))*100+IFERROR(VLOOKUP($CI51,付与!$1:$1167,COLUMN(O$1),FALSE),0),"")</f>
        <v>15</v>
      </c>
      <c r="P51" s="23">
        <f>IFERROR((VLOOKUP($C51,装備品!$1:$998,COLUMN(L$1),FALSE)+VLOOKUP($D51,素材!$1:$1016,COLUMN(I$1),FALSE))*100+IFERROR(VLOOKUP($CI51,付与!$1:$1167,COLUMN(P$1),FALSE),0),"")</f>
        <v>125</v>
      </c>
      <c r="Q51">
        <f>IFERROR(ROUNDUP(VLOOKUP($C51,装備品!$1:$998,COLUMN(M$1),FALSE)*(VLOOKUP($D51,素材!$1:$1002,COLUMN(D$1),FALSE)/100),1),"")</f>
        <v>0</v>
      </c>
      <c r="R51">
        <f>IFERROR(ROUNDUP(VLOOKUP($C51,装備品!$1:$998,COLUMN(N$1),FALSE)*(VLOOKUP($D51,素材!$1:$1002,COLUMN(D$1),FALSE)/100),1),"")</f>
        <v>-3.8000000000000003</v>
      </c>
      <c r="S51">
        <f>IFERROR(VLOOKUP($C51,装備品!$1:$998,COLUMN(P$1),FALSE),"")</f>
        <v>0</v>
      </c>
      <c r="T51">
        <f>IFERROR(VLOOKUP($C51,装備品!$1:$998,COLUMN(Q$1),FALSE),"")</f>
        <v>0</v>
      </c>
      <c r="U51">
        <f>IFERROR(VLOOKUP($C51,装備品!$1:$998,COLUMN(R$1),FALSE),"")</f>
        <v>-15</v>
      </c>
      <c r="V51">
        <f>IFERROR(VLOOKUP($C51,装備品!$1:$998,COLUMN(Q$1),FALSE),"")</f>
        <v>0</v>
      </c>
      <c r="W51">
        <f>IFERROR(VLOOKUP($C51,装備品!$1:$998,COLUMN(T$1),FALSE),"")</f>
        <v>0</v>
      </c>
      <c r="Y51">
        <f>IFERROR(VLOOKUP($C51,装備品!$1:$998,COLUMN(U$1),FALSE),"")</f>
        <v>0</v>
      </c>
      <c r="Z51">
        <f>IFERROR(ROUNDUP(VLOOKUP($C51,装備品!$1:$998,COLUMN(O$1),FALSE)*VLOOKUP($D51,素材!$1:$1016,COLUMN(E$1),FALSE),1),"")</f>
        <v>0</v>
      </c>
      <c r="AA51">
        <f>IF(ISNUMBER(SEARCH(SUBSTITUTE(AA$1,RIGHT(AA$1,2),""),VLOOKUP($D51,素材!$1:$1016,COLUMN($F$1),FALSE))),VLOOKUP($C51,装備品!$1:$998,COLUMN($O$1),FALSE)*VLOOKUP($D51,素材!$1:$1016,COLUMN($E$1),FALSE)/(LEN(VLOOKUP($D51,素材!$1:$1016,COLUMN($F$1),FALSE))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B51">
        <f>IF(ISNUMBER(SEARCH(SUBSTITUTE(AB$1,RIGHT(AB$1,2),""),VLOOKUP($D51,素材!$1:$1016,COLUMN($F$1),FALSE))),VLOOKUP($C51,装備品!$1:$998,COLUMN($O$1),FALSE)*VLOOKUP($D51,素材!$1:$1016,COLUMN($E$1),FALSE)/(LEN(VLOOKUP($D51,素材!$1:$1016,COLUMN($F$1),FALSE))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C51">
        <f>IF(ISNUMBER(SEARCH(SUBSTITUTE(AC$1,RIGHT(AC$1,2),""),VLOOKUP($D51,素材!$1:$1016,COLUMN($F$1),FALSE))),VLOOKUP($C51,装備品!$1:$998,COLUMN($O$1),FALSE)*VLOOKUP($D51,素材!$1:$1016,COLUMN($E$1),FALSE)/(LEN(VLOOKUP($D51,素材!$1:$1016,COLUMN($F$1),FALSE))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D51">
        <f>IF(ISNUMBER(SEARCH(SUBSTITUTE(AD$1,RIGHT(AD$1,2),""),VLOOKUP($D51,素材!$1:$1016,COLUMN($F$1),FALSE))),VLOOKUP($C51,装備品!$1:$998,COLUMN($O$1),FALSE)*VLOOKUP($D51,素材!$1:$1016,COLUMN($E$1),FALSE)/(LEN(VLOOKUP($D51,素材!$1:$1016,COLUMN($F$1),FALSE))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E51">
        <f>IF(ISNUMBER(SEARCH(SUBSTITUTE(AE$1,RIGHT(AE$1,2),""),VLOOKUP($D51,素材!$1:$1016,COLUMN($F$1),FALSE))),VLOOKUP($C51,装備品!$1:$998,COLUMN($O$1),FALSE)*VLOOKUP($D51,素材!$1:$1016,COLUMN($E$1),FALSE)/(LEN(VLOOKUP($D51,素材!$1:$1016,COLUMN($F$1),FALSE))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F51">
        <f>IF(ISNUMBER(SEARCH(SUBSTITUTE(AF$1,RIGHT(AF$1,2),""),VLOOKUP($D51,素材!$1:$1016,COLUMN($F$1),FALSE))),VLOOKUP($C51,装備品!$1:$998,COLUMN($O$1),FALSE)*VLOOKUP($D51,素材!$1:$1016,COLUMN($E$1),FALSE)/(LEN(VLOOKUP($D51,素材!$1:$1016,COLUMN($F$1),FALSE))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G51">
        <f>IF(ISNUMBER(SEARCH(SUBSTITUTE(AG$1,RIGHT(AG$1,2),""),VLOOKUP($D51,素材!$1:$1016,COLUMN($F$1),FALSE))),VLOOKUP($C51,装備品!$1:$998,COLUMN($O$1),FALSE)*VLOOKUP($D51,素材!$1:$1016,COLUMN($E$1),FALSE)/(LEN(VLOOKUP($D51,素材!$1:$1016,COLUMN($F$1),FALSE))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H51">
        <f>IF(ISNUMBER(SEARCH(SUBSTITUTE(AH$1,RIGHT(AH$1,2),""),VLOOKUP($D51,素材!$1:$1016,COLUMN($F$1),FALSE))),VLOOKUP($C51,装備品!$1:$998,COLUMN($O$1),FALSE)*VLOOKUP($D51,素材!$1:$1016,COLUMN($E$1),FALSE)/(LEN(VLOOKUP($D51,素材!$1:$1016,COLUMN($F$1),FALSE))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I51">
        <f>IF(ISNUMBER(SEARCH(SUBSTITUTE(AI$1,RIGHT(AI$1,2),""),VLOOKUP($D51,素材!$1:$1016,COLUMN($F$1),FALSE))),VLOOKUP($C51,装備品!$1:$998,COLUMN($O$1),FALSE)*VLOOKUP($D51,素材!$1:$1016,COLUMN($E$1),FALSE)/(LEN(VLOOKUP($D51,素材!$1:$1016,COLUMN($F$1),FALSE))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J51">
        <f>IF(ISNUMBER(SEARCH(SUBSTITUTE(AJ$1,RIGHT(AJ$1,2),""),VLOOKUP($D51,素材!$1:$1016,COLUMN($F$1),FALSE))),VLOOKUP($C51,装備品!$1:$998,COLUMN($O$1),FALSE)*VLOOKUP($D51,素材!$1:$1016,COLUMN($E$1),FALSE)/(LEN(VLOOKUP($D51,素材!$1:$1016,COLUMN($F$1),FALSE))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K51">
        <f>IF(ISNUMBER(SEARCH(SUBSTITUTE(AK$1,RIGHT(AK$1,2),""),VLOOKUP($D51,素材!$1:$1016,COLUMN($F$1),FALSE))),VLOOKUP($C51,装備品!$1:$998,COLUMN($O$1),FALSE)*VLOOKUP($D51,素材!$1:$1016,COLUMN($E$1),FALSE)/(LEN(VLOOKUP($D51,素材!$1:$1016,COLUMN($F$1),FALSE))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L51">
        <f>IF(ISNUMBER(SEARCH(SUBSTITUTE(AL$1,RIGHT(AL$1,2),""),VLOOKUP($D51,素材!$1:$1016,COLUMN($F$1),FALSE))),VLOOKUP($C51,装備品!$1:$998,COLUMN($O$1),FALSE)*VLOOKUP($D51,素材!$1:$1016,COLUMN($E$1),FALSE)/(LEN(VLOOKUP($D51,素材!$1:$1016,COLUMN($F$1),FALSE))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M51">
        <f>IF(ISNUMBER(SEARCH(SUBSTITUTE(AM$1,RIGHT(AM$1,2),""),VLOOKUP($D51,素材!$1:$1016,COLUMN($F$1),FALSE))),VLOOKUP($C51,装備品!$1:$998,COLUMN($O$1),FALSE)*VLOOKUP($D51,素材!$1:$1016,COLUMN($E$1),FALSE)/(LEN(VLOOKUP($D51,素材!$1:$1016,COLUMN($F$1),FALSE))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N51">
        <f>IF(ISNUMBER(SEARCH(SUBSTITUTE(AN$1,RIGHT(AN$1,2),""),VLOOKUP($D51,素材!$1:$1016,COLUMN($F$1),FALSE))),VLOOKUP($C51,装備品!$1:$998,COLUMN($O$1),FALSE)*VLOOKUP($D51,素材!$1:$1016,COLUMN($E$1),FALSE)/(LEN(VLOOKUP($D51,素材!$1:$1016,COLUMN($F$1),FALSE))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O51">
        <f>IF(ISNUMBER(SEARCH(SUBSTITUTE(AO$1,RIGHT(AO$1,2),""),VLOOKUP($D51,素材!$1:$1016,COLUMN($F$1),FALSE))),VLOOKUP($C51,装備品!$1:$998,COLUMN($O$1),FALSE)*VLOOKUP($D51,素材!$1:$1016,COLUMN($E$1),FALSE)/(LEN(VLOOKUP($D51,素材!$1:$1016,COLUMN($F$1),FALSE))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P51">
        <f>IF(ISNUMBER(SEARCH(SUBSTITUTE(AP$1,RIGHT(AP$1,2),""),VLOOKUP($D51,素材!$1:$1016,COLUMN($F$1),FALSE))),VLOOKUP($C51,装備品!$1:$998,COLUMN($O$1),FALSE)*VLOOKUP($D51,素材!$1:$1016,COLUMN($E$1),FALSE)/(LEN(VLOOKUP($D51,素材!$1:$1016,COLUMN($F$1),FALSE))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Q51">
        <f>IF(ISNUMBER(SEARCH(SUBSTITUTE(AQ$1,RIGHT(AQ$1,2),""),VLOOKUP($D51,素材!$1:$1016,COLUMN($F$1),FALSE))),VLOOKUP($C51,装備品!$1:$998,COLUMN($O$1),FALSE)*VLOOKUP($D51,素材!$1:$1016,COLUMN($E$1),FALSE)/(LEN(VLOOKUP($D51,素材!$1:$1016,COLUMN($F$1),FALSE))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R51">
        <f>IF(ISNUMBER(SEARCH(SUBSTITUTE(AR$1,RIGHT(AR$1,2),""),VLOOKUP($D51,素材!$1:$1016,COLUMN($F$1),FALSE))),VLOOKUP($C51,装備品!$1:$998,COLUMN($O$1),FALSE)*VLOOKUP($D51,素材!$1:$1016,COLUMN($E$1),FALSE)/(LEN(VLOOKUP($D51,素材!$1:$1016,COLUMN($F$1),FALSE))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S51">
        <f>IF(ISNUMBER(SEARCH(SUBSTITUTE(AS$1,RIGHT(AS$1,2),""),VLOOKUP($D51,素材!$1:$1016,COLUMN($F$1),FALSE))),VLOOKUP($C51,装備品!$1:$998,COLUMN($O$1),FALSE)*VLOOKUP($D51,素材!$1:$1016,COLUMN($E$1),FALSE)/(LEN(VLOOKUP($D51,素材!$1:$1016,COLUMN($F$1),FALSE))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T51">
        <f>IF(ISNUMBER(SEARCH(SUBSTITUTE(AT$1,RIGHT(AT$1,2),""),VLOOKUP($D51,素材!$1:$1016,COLUMN($F$1),FALSE))),VLOOKUP($C51,装備品!$1:$998,COLUMN($O$1),FALSE)*VLOOKUP($D51,素材!$1:$1016,COLUMN($E$1),FALSE)/(LEN(VLOOKUP($D51,素材!$1:$1016,COLUMN($F$1),FALSE))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U51">
        <f>IF(ISNUMBER(SEARCH(SUBSTITUTE(AU$1,RIGHT(AU$1,2),""),VLOOKUP($D51,素材!$1:$1016,COLUMN($F$1),FALSE))),VLOOKUP($C51,装備品!$1:$998,COLUMN($O$1),FALSE)*VLOOKUP($D51,素材!$1:$1016,COLUMN($E$1),FALSE)/(LEN(VLOOKUP($D51,素材!$1:$1016,COLUMN($F$1),FALSE))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V51">
        <f>IF(ISNUMBER(SEARCH(SUBSTITUTE(AV$1,RIGHT(AV$1,2),""),VLOOKUP($D51,素材!$1:$1016,COLUMN($F$1),FALSE))),VLOOKUP($C51,装備品!$1:$998,COLUMN($O$1),FALSE)*VLOOKUP($D51,素材!$1:$1016,COLUMN($E$1),FALSE)/(LEN(VLOOKUP($D51,素材!$1:$1016,COLUMN($F$1),FALSE))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W51">
        <f>IF(ISNUMBER(SEARCH(SUBSTITUTE(AW$1,RIGHT(AW$1,2),""),VLOOKUP($D51,素材!$1:$1016,COLUMN($F$1),FALSE))),VLOOKUP($C51,装備品!$1:$998,COLUMN($O$1),FALSE)*VLOOKUP($D51,素材!$1:$1016,COLUMN($E$1),FALSE)/(LEN(VLOOKUP($D51,素材!$1:$1016,COLUMN($F$1),FALSE))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X51">
        <f>IF(ISNUMBER(SEARCH(SUBSTITUTE(AX$1,RIGHT(AX$1,2),""),VLOOKUP($D51,素材!$1:$1016,COLUMN($F$1),FALSE))),VLOOKUP($C51,装備品!$1:$998,COLUMN($O$1),FALSE)*VLOOKUP($D51,素材!$1:$1016,COLUMN($E$1),FALSE)/(LEN(VLOOKUP($D51,素材!$1:$1016,COLUMN($F$1),FALSE))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Y51">
        <f>IF(ISNUMBER(SEARCH(SUBSTITUTE(AY$1,RIGHT(AY$1,2),""),VLOOKUP($D51,素材!$1:$1016,COLUMN($F$1),FALSE))),VLOOKUP($C51,装備品!$1:$998,COLUMN($O$1),FALSE)*VLOOKUP($D51,素材!$1:$1016,COLUMN($E$1),FALSE)/(LEN(VLOOKUP($D51,素材!$1:$1016,COLUMN($F$1),FALSE))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Z51">
        <f>IF(ISNUMBER(SEARCH(SUBSTITUTE(AZ$1,RIGHT(AZ$1,2),""),VLOOKUP($D51,素材!$1:$1016,COLUMN($F$1),FALSE))),VLOOKUP($C51,装備品!$1:$998,COLUMN($O$1),FALSE)*VLOOKUP($D51,素材!$1:$1016,COLUMN($E$1),FALSE)/(LEN(VLOOKUP($D51,素材!$1:$1016,COLUMN($F$1),FALSE))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BA51">
        <f>IF(ISNUMBER(SEARCH(SUBSTITUTE(BA$1,RIGHT(BA$1,2),""),VLOOKUP($D51,素材!$1:$1016,COLUMN($F$1),FALSE))),VLOOKUP($C51,装備品!$1:$998,COLUMN($O$1),FALSE)*VLOOKUP($D51,素材!$1:$1016,COLUMN($E$1),FALSE)/(LEN(VLOOKUP($D51,素材!$1:$1016,COLUMN($F$1),FALSE))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BB51">
        <f>IF(ISNUMBER(SEARCH(SUBSTITUTE(BB$1,RIGHT(BB$1,2),""),VLOOKUP($D51,素材!$1:$1016,COLUMN($F$1),FALSE))),VLOOKUP($C51,装備品!$1:$998,COLUMN($O$1),FALSE)*VLOOKUP($D51,素材!$1:$1016,COLUMN($E$1),FALSE)/(LEN(VLOOKUP($D51,素材!$1:$1016,COLUMN($F$1),FALSE))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BC51">
        <f>IF(ISNUMBER(SEARCH(SUBSTITUTE(BC$1,RIGHT(BC$1,2),""),VLOOKUP($D51,素材!$1:$1016,COLUMN($F$1),FALSE))),VLOOKUP($C51,装備品!$1:$998,COLUMN($O$1),FALSE)*VLOOKUP($D51,素材!$1:$1016,COLUMN($E$1),FALSE)/(LEN(VLOOKUP($D51,素材!$1:$1016,COLUMN($F$1),FALSE))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BD51">
        <f>IF(ISNUMBER(SEARCH(SUBSTITUTE(BD$1,RIGHT(BD$1,2),""),VLOOKUP($D51,素材!$1:$1016,COLUMN($F$1),FALSE))),VLOOKUP($C51,装備品!$1:$998,COLUMN($O$1),FALSE)*VLOOKUP($D51,素材!$1:$1016,COLUMN($E$1),FALSE)/(LEN(VLOOKUP($D51,素材!$1:$1016,COLUMN($F$1),FALSE))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BE51">
        <f>IF(ISNUMBER(SEARCH(SUBSTITUTE(BE$1,RIGHT(BE$1,2),""),VLOOKUP($D51,素材!$1:$1016,COLUMN($F$1),FALSE))),VLOOKUP($C51,装備品!$1:$998,COLUMN($O$1),FALSE)*VLOOKUP($D51,素材!$1:$1016,COLUMN($E$1),FALSE)/(LEN(VLOOKUP($D51,素材!$1:$1016,COLUMN($F$1),FALSE))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CL51">
        <f t="shared" si="1"/>
        <v>17</v>
      </c>
      <c r="CM51" s="22" t="str">
        <f t="shared" si="2"/>
        <v>打撃.webp</v>
      </c>
      <c r="CN51">
        <f>IFERROR(VLOOKUP($C51,装備品!$1:$998,COLUMN(V$1),FALSE)*VLOOKUP($D51,素材!$1:$1016,COLUMN(N$1),FALSE)+IF(CI51="",0,VLOOKUP($CI51,付与!$1:$1176,COLUMN($CK$1),FALSE)),"")</f>
        <v>0</v>
      </c>
      <c r="CO51" t="str">
        <f>VLOOKUP(D51,素材!$A:$O,COLUMN(素材!O$1),FALSE)</f>
        <v>一般的な木材。金属より軽いが少し脆い</v>
      </c>
      <c r="CP51" t="str">
        <f>VLOOKUP(C51,装備品!$A:$AB,COLUMN(装備品!AB$1),FALSE)</f>
        <v>戦棍。打撃に優れた武器。Cr率が高い</v>
      </c>
      <c r="CR51" t="str">
        <f t="shared" si="3"/>
        <v>e_51</v>
      </c>
      <c r="CS51">
        <f t="shared" si="4"/>
        <v>0</v>
      </c>
    </row>
    <row r="52" spans="1:97" outlineLevel="1" x14ac:dyDescent="0.4">
      <c r="A52" t="str">
        <f t="shared" si="5"/>
        <v>木の棍棒</v>
      </c>
      <c r="B52" t="str">
        <f>IFERROR(VLOOKUP($D52,素材!$1:$1016,COLUMN($B$1),FALSE)&amp;"・"&amp;VLOOKUP($C52,装備品!$1:$998,COLUMN(B$1),FALSE),"")</f>
        <v>ウッド・クラブ</v>
      </c>
      <c r="C52" s="24" t="s">
        <v>229</v>
      </c>
      <c r="D52" s="24" t="s">
        <v>254</v>
      </c>
      <c r="E52" t="str">
        <f>IFERROR(VLOOKUP(C52,装備品!$1:$998,COLUMN(C$1),FALSE),"")</f>
        <v>武器</v>
      </c>
      <c r="F52">
        <f>IFERROR(ROUNDDOWN((VLOOKUP($C52,装備品!$1:$998,COLUMN(D$1),FALSE)+IFERROR(VLOOKUP($CI52,付与!$1:$1167,COLUMN(F$1),FALSE),0))*VLOOKUP($D52,素材!$1:$1016,COLUMN(D$1),FALSE),0),"")</f>
        <v>78</v>
      </c>
      <c r="G52">
        <f>IFERROR(ROUNDDOWN((VLOOKUP($C52,装備品!$1:$998,COLUMN(E$1),FALSE)+IFERROR(VLOOKUP($CI52,付与!$1:$1167,COLUMN(G$1),FALSE),0))*VLOOKUP($D52,素材!$1:$1016,COLUMN($E$1),FALSE),0),"")</f>
        <v>1</v>
      </c>
      <c r="H52">
        <f>IFERROR(ROUNDDOWN((VLOOKUP($C52,装備品!$1:$998,COLUMN(F$1),FALSE)+IFERROR(VLOOKUP($CI52,付与!$1:$1167,COLUMN(H$1),FALSE),0))*VLOOKUP($D52,素材!$1:$1016,COLUMN($E$1),FALSE),0),"")</f>
        <v>0</v>
      </c>
      <c r="I52">
        <f>IFERROR(ROUNDDOWN((VLOOKUP($C52,装備品!$1:$998,COLUMN(G$1),FALSE)+IFERROR(VLOOKUP($CI52,付与!$1:$1167,COLUMN(I$1),FALSE),0))*VLOOKUP($D52,素材!$1:$1016,COLUMN($E$1),FALSE),0),"")</f>
        <v>15</v>
      </c>
      <c r="J52">
        <f>IFERROR(ROUNDDOWN((VLOOKUP($C52,装備品!$1:$998,COLUMN(H$1),FALSE)+IFERROR(VLOOKUP($CI52,付与!$1:$1167,COLUMN(J$1),FALSE),0))*VLOOKUP($D52,素材!$1:$1016,COLUMN($E$1),FALSE),0),"")</f>
        <v>14</v>
      </c>
      <c r="K52">
        <f>IFERROR(ROUNDDOWN((VLOOKUP($C52,装備品!$1:$998,COLUMN(I$1),FALSE)+IFERROR(VLOOKUP($CI52,付与!$1:$1167,COLUMN(K$1),FALSE),0))*VLOOKUP($D52,素材!$1:$1016,COLUMN($E$1),FALSE),0),"")</f>
        <v>0</v>
      </c>
      <c r="L52">
        <f>IFERROR(VLOOKUP($D52,素材!$1:$1016,COLUMN($F$1),FALSE),"")</f>
        <v>0</v>
      </c>
      <c r="M52">
        <f>IFERROR(VLOOKUP($C52,装備品!$1:$998,COLUMN(AA$1),FALSE)*VLOOKUP($D52,素材!$1:$1016,COLUMN($G$1),FALSE),"")</f>
        <v>0</v>
      </c>
      <c r="N52">
        <f>IFERROR(VLOOKUP($C52,装備品!$1:$998,COLUMN(I$1),FALSE),"")</f>
        <v>0</v>
      </c>
      <c r="O52" s="23">
        <f>IFERROR((VLOOKUP($C52,装備品!$1:$998,COLUMN(K$1),FALSE)+VLOOKUP($D52,素材!$1:$1016,COLUMN(H$1),FALSE))*100+IFERROR(VLOOKUP($CI52,付与!$1:$1167,COLUMN(O$1),FALSE),0),"")</f>
        <v>5</v>
      </c>
      <c r="P52" s="23">
        <f>IFERROR((VLOOKUP($C52,装備品!$1:$998,COLUMN(L$1),FALSE)+VLOOKUP($D52,素材!$1:$1016,COLUMN(I$1),FALSE))*100+IFERROR(VLOOKUP($CI52,付与!$1:$1167,COLUMN(P$1),FALSE),0),"")</f>
        <v>150</v>
      </c>
      <c r="Q52">
        <f>IFERROR(ROUNDUP(VLOOKUP($C52,装備品!$1:$998,COLUMN(M$1),FALSE)*(VLOOKUP($D52,素材!$1:$1002,COLUMN(D$1),FALSE)/100),1),"")</f>
        <v>0</v>
      </c>
      <c r="R52">
        <f>IFERROR(ROUNDUP(VLOOKUP($C52,装備品!$1:$998,COLUMN(N$1),FALSE)*(VLOOKUP($D52,素材!$1:$1002,COLUMN(D$1),FALSE)/100),1),"")</f>
        <v>0</v>
      </c>
      <c r="S52">
        <f>IFERROR(VLOOKUP($C52,装備品!$1:$998,COLUMN(P$1),FALSE),"")</f>
        <v>0</v>
      </c>
      <c r="T52">
        <f>IFERROR(VLOOKUP($C52,装備品!$1:$998,COLUMN(Q$1),FALSE),"")</f>
        <v>0</v>
      </c>
      <c r="U52">
        <f>IFERROR(VLOOKUP($C52,装備品!$1:$998,COLUMN(R$1),FALSE),"")</f>
        <v>0</v>
      </c>
      <c r="V52">
        <f>IFERROR(VLOOKUP($C52,装備品!$1:$998,COLUMN(Q$1),FALSE),"")</f>
        <v>0</v>
      </c>
      <c r="W52">
        <f>IFERROR(VLOOKUP($C52,装備品!$1:$998,COLUMN(T$1),FALSE),"")</f>
        <v>0</v>
      </c>
      <c r="Y52">
        <f>IFERROR(VLOOKUP($C52,装備品!$1:$998,COLUMN(U$1),FALSE),"")</f>
        <v>0</v>
      </c>
      <c r="Z52">
        <f>IFERROR(ROUNDUP(VLOOKUP($C52,装備品!$1:$998,COLUMN(O$1),FALSE)*VLOOKUP($D52,素材!$1:$1016,COLUMN(E$1),FALSE),1),"")</f>
        <v>0</v>
      </c>
      <c r="AA52">
        <f>IF(ISNUMBER(SEARCH(SUBSTITUTE(AA$1,RIGHT(AA$1,2),""),VLOOKUP($D52,素材!$1:$1016,COLUMN($F$1),FALSE))),VLOOKUP($C52,装備品!$1:$998,COLUMN($O$1),FALSE)*VLOOKUP($D52,素材!$1:$1016,COLUMN($E$1),FALSE)/(LEN(VLOOKUP($D52,素材!$1:$1016,COLUMN($F$1),FALSE))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B52">
        <f>IF(ISNUMBER(SEARCH(SUBSTITUTE(AB$1,RIGHT(AB$1,2),""),VLOOKUP($D52,素材!$1:$1016,COLUMN($F$1),FALSE))),VLOOKUP($C52,装備品!$1:$998,COLUMN($O$1),FALSE)*VLOOKUP($D52,素材!$1:$1016,COLUMN($E$1),FALSE)/(LEN(VLOOKUP($D52,素材!$1:$1016,COLUMN($F$1),FALSE))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C52">
        <f>IF(ISNUMBER(SEARCH(SUBSTITUTE(AC$1,RIGHT(AC$1,2),""),VLOOKUP($D52,素材!$1:$1016,COLUMN($F$1),FALSE))),VLOOKUP($C52,装備品!$1:$998,COLUMN($O$1),FALSE)*VLOOKUP($D52,素材!$1:$1016,COLUMN($E$1),FALSE)/(LEN(VLOOKUP($D52,素材!$1:$1016,COLUMN($F$1),FALSE))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D52">
        <f>IF(ISNUMBER(SEARCH(SUBSTITUTE(AD$1,RIGHT(AD$1,2),""),VLOOKUP($D52,素材!$1:$1016,COLUMN($F$1),FALSE))),VLOOKUP($C52,装備品!$1:$998,COLUMN($O$1),FALSE)*VLOOKUP($D52,素材!$1:$1016,COLUMN($E$1),FALSE)/(LEN(VLOOKUP($D52,素材!$1:$1016,COLUMN($F$1),FALSE))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E52">
        <f>IF(ISNUMBER(SEARCH(SUBSTITUTE(AE$1,RIGHT(AE$1,2),""),VLOOKUP($D52,素材!$1:$1016,COLUMN($F$1),FALSE))),VLOOKUP($C52,装備品!$1:$998,COLUMN($O$1),FALSE)*VLOOKUP($D52,素材!$1:$1016,COLUMN($E$1),FALSE)/(LEN(VLOOKUP($D52,素材!$1:$1016,COLUMN($F$1),FALSE))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F52">
        <f>IF(ISNUMBER(SEARCH(SUBSTITUTE(AF$1,RIGHT(AF$1,2),""),VLOOKUP($D52,素材!$1:$1016,COLUMN($F$1),FALSE))),VLOOKUP($C52,装備品!$1:$998,COLUMN($O$1),FALSE)*VLOOKUP($D52,素材!$1:$1016,COLUMN($E$1),FALSE)/(LEN(VLOOKUP($D52,素材!$1:$1016,COLUMN($F$1),FALSE))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G52">
        <f>IF(ISNUMBER(SEARCH(SUBSTITUTE(AG$1,RIGHT(AG$1,2),""),VLOOKUP($D52,素材!$1:$1016,COLUMN($F$1),FALSE))),VLOOKUP($C52,装備品!$1:$998,COLUMN($O$1),FALSE)*VLOOKUP($D52,素材!$1:$1016,COLUMN($E$1),FALSE)/(LEN(VLOOKUP($D52,素材!$1:$1016,COLUMN($F$1),FALSE))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H52">
        <f>IF(ISNUMBER(SEARCH(SUBSTITUTE(AH$1,RIGHT(AH$1,2),""),VLOOKUP($D52,素材!$1:$1016,COLUMN($F$1),FALSE))),VLOOKUP($C52,装備品!$1:$998,COLUMN($O$1),FALSE)*VLOOKUP($D52,素材!$1:$1016,COLUMN($E$1),FALSE)/(LEN(VLOOKUP($D52,素材!$1:$1016,COLUMN($F$1),FALSE))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I52">
        <f>IF(ISNUMBER(SEARCH(SUBSTITUTE(AI$1,RIGHT(AI$1,2),""),VLOOKUP($D52,素材!$1:$1016,COLUMN($F$1),FALSE))),VLOOKUP($C52,装備品!$1:$998,COLUMN($O$1),FALSE)*VLOOKUP($D52,素材!$1:$1016,COLUMN($E$1),FALSE)/(LEN(VLOOKUP($D52,素材!$1:$1016,COLUMN($F$1),FALSE))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J52">
        <f>IF(ISNUMBER(SEARCH(SUBSTITUTE(AJ$1,RIGHT(AJ$1,2),""),VLOOKUP($D52,素材!$1:$1016,COLUMN($F$1),FALSE))),VLOOKUP($C52,装備品!$1:$998,COLUMN($O$1),FALSE)*VLOOKUP($D52,素材!$1:$1016,COLUMN($E$1),FALSE)/(LEN(VLOOKUP($D52,素材!$1:$1016,COLUMN($F$1),FALSE))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K52">
        <f>IF(ISNUMBER(SEARCH(SUBSTITUTE(AK$1,RIGHT(AK$1,2),""),VLOOKUP($D52,素材!$1:$1016,COLUMN($F$1),FALSE))),VLOOKUP($C52,装備品!$1:$998,COLUMN($O$1),FALSE)*VLOOKUP($D52,素材!$1:$1016,COLUMN($E$1),FALSE)/(LEN(VLOOKUP($D52,素材!$1:$1016,COLUMN($F$1),FALSE))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L52">
        <f>IF(ISNUMBER(SEARCH(SUBSTITUTE(AL$1,RIGHT(AL$1,2),""),VLOOKUP($D52,素材!$1:$1016,COLUMN($F$1),FALSE))),VLOOKUP($C52,装備品!$1:$998,COLUMN($O$1),FALSE)*VLOOKUP($D52,素材!$1:$1016,COLUMN($E$1),FALSE)/(LEN(VLOOKUP($D52,素材!$1:$1016,COLUMN($F$1),FALSE))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M52">
        <f>IF(ISNUMBER(SEARCH(SUBSTITUTE(AM$1,RIGHT(AM$1,2),""),VLOOKUP($D52,素材!$1:$1016,COLUMN($F$1),FALSE))),VLOOKUP($C52,装備品!$1:$998,COLUMN($O$1),FALSE)*VLOOKUP($D52,素材!$1:$1016,COLUMN($E$1),FALSE)/(LEN(VLOOKUP($D52,素材!$1:$1016,COLUMN($F$1),FALSE))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N52">
        <f>IF(ISNUMBER(SEARCH(SUBSTITUTE(AN$1,RIGHT(AN$1,2),""),VLOOKUP($D52,素材!$1:$1016,COLUMN($F$1),FALSE))),VLOOKUP($C52,装備品!$1:$998,COLUMN($O$1),FALSE)*VLOOKUP($D52,素材!$1:$1016,COLUMN($E$1),FALSE)/(LEN(VLOOKUP($D52,素材!$1:$1016,COLUMN($F$1),FALSE))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O52">
        <f>IF(ISNUMBER(SEARCH(SUBSTITUTE(AO$1,RIGHT(AO$1,2),""),VLOOKUP($D52,素材!$1:$1016,COLUMN($F$1),FALSE))),VLOOKUP($C52,装備品!$1:$998,COLUMN($O$1),FALSE)*VLOOKUP($D52,素材!$1:$1016,COLUMN($E$1),FALSE)/(LEN(VLOOKUP($D52,素材!$1:$1016,COLUMN($F$1),FALSE))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P52">
        <f>IF(ISNUMBER(SEARCH(SUBSTITUTE(AP$1,RIGHT(AP$1,2),""),VLOOKUP($D52,素材!$1:$1016,COLUMN($F$1),FALSE))),VLOOKUP($C52,装備品!$1:$998,COLUMN($O$1),FALSE)*VLOOKUP($D52,素材!$1:$1016,COLUMN($E$1),FALSE)/(LEN(VLOOKUP($D52,素材!$1:$1016,COLUMN($F$1),FALSE))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Q52">
        <f>IF(ISNUMBER(SEARCH(SUBSTITUTE(AQ$1,RIGHT(AQ$1,2),""),VLOOKUP($D52,素材!$1:$1016,COLUMN($F$1),FALSE))),VLOOKUP($C52,装備品!$1:$998,COLUMN($O$1),FALSE)*VLOOKUP($D52,素材!$1:$1016,COLUMN($E$1),FALSE)/(LEN(VLOOKUP($D52,素材!$1:$1016,COLUMN($F$1),FALSE))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R52">
        <f>IF(ISNUMBER(SEARCH(SUBSTITUTE(AR$1,RIGHT(AR$1,2),""),VLOOKUP($D52,素材!$1:$1016,COLUMN($F$1),FALSE))),VLOOKUP($C52,装備品!$1:$998,COLUMN($O$1),FALSE)*VLOOKUP($D52,素材!$1:$1016,COLUMN($E$1),FALSE)/(LEN(VLOOKUP($D52,素材!$1:$1016,COLUMN($F$1),FALSE))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S52">
        <f>IF(ISNUMBER(SEARCH(SUBSTITUTE(AS$1,RIGHT(AS$1,2),""),VLOOKUP($D52,素材!$1:$1016,COLUMN($F$1),FALSE))),VLOOKUP($C52,装備品!$1:$998,COLUMN($O$1),FALSE)*VLOOKUP($D52,素材!$1:$1016,COLUMN($E$1),FALSE)/(LEN(VLOOKUP($D52,素材!$1:$1016,COLUMN($F$1),FALSE))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T52">
        <f>IF(ISNUMBER(SEARCH(SUBSTITUTE(AT$1,RIGHT(AT$1,2),""),VLOOKUP($D52,素材!$1:$1016,COLUMN($F$1),FALSE))),VLOOKUP($C52,装備品!$1:$998,COLUMN($O$1),FALSE)*VLOOKUP($D52,素材!$1:$1016,COLUMN($E$1),FALSE)/(LEN(VLOOKUP($D52,素材!$1:$1016,COLUMN($F$1),FALSE))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U52">
        <f>IF(ISNUMBER(SEARCH(SUBSTITUTE(AU$1,RIGHT(AU$1,2),""),VLOOKUP($D52,素材!$1:$1016,COLUMN($F$1),FALSE))),VLOOKUP($C52,装備品!$1:$998,COLUMN($O$1),FALSE)*VLOOKUP($D52,素材!$1:$1016,COLUMN($E$1),FALSE)/(LEN(VLOOKUP($D52,素材!$1:$1016,COLUMN($F$1),FALSE))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V52">
        <f>IF(ISNUMBER(SEARCH(SUBSTITUTE(AV$1,RIGHT(AV$1,2),""),VLOOKUP($D52,素材!$1:$1016,COLUMN($F$1),FALSE))),VLOOKUP($C52,装備品!$1:$998,COLUMN($O$1),FALSE)*VLOOKUP($D52,素材!$1:$1016,COLUMN($E$1),FALSE)/(LEN(VLOOKUP($D52,素材!$1:$1016,COLUMN($F$1),FALSE))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W52">
        <f>IF(ISNUMBER(SEARCH(SUBSTITUTE(AW$1,RIGHT(AW$1,2),""),VLOOKUP($D52,素材!$1:$1016,COLUMN($F$1),FALSE))),VLOOKUP($C52,装備品!$1:$998,COLUMN($O$1),FALSE)*VLOOKUP($D52,素材!$1:$1016,COLUMN($E$1),FALSE)/(LEN(VLOOKUP($D52,素材!$1:$1016,COLUMN($F$1),FALSE))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X52">
        <f>IF(ISNUMBER(SEARCH(SUBSTITUTE(AX$1,RIGHT(AX$1,2),""),VLOOKUP($D52,素材!$1:$1016,COLUMN($F$1),FALSE))),VLOOKUP($C52,装備品!$1:$998,COLUMN($O$1),FALSE)*VLOOKUP($D52,素材!$1:$1016,COLUMN($E$1),FALSE)/(LEN(VLOOKUP($D52,素材!$1:$1016,COLUMN($F$1),FALSE))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Y52">
        <f>IF(ISNUMBER(SEARCH(SUBSTITUTE(AY$1,RIGHT(AY$1,2),""),VLOOKUP($D52,素材!$1:$1016,COLUMN($F$1),FALSE))),VLOOKUP($C52,装備品!$1:$998,COLUMN($O$1),FALSE)*VLOOKUP($D52,素材!$1:$1016,COLUMN($E$1),FALSE)/(LEN(VLOOKUP($D52,素材!$1:$1016,COLUMN($F$1),FALSE))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Z52">
        <f>IF(ISNUMBER(SEARCH(SUBSTITUTE(AZ$1,RIGHT(AZ$1,2),""),VLOOKUP($D52,素材!$1:$1016,COLUMN($F$1),FALSE))),VLOOKUP($C52,装備品!$1:$998,COLUMN($O$1),FALSE)*VLOOKUP($D52,素材!$1:$1016,COLUMN($E$1),FALSE)/(LEN(VLOOKUP($D52,素材!$1:$1016,COLUMN($F$1),FALSE))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BA52">
        <f>IF(ISNUMBER(SEARCH(SUBSTITUTE(BA$1,RIGHT(BA$1,2),""),VLOOKUP($D52,素材!$1:$1016,COLUMN($F$1),FALSE))),VLOOKUP($C52,装備品!$1:$998,COLUMN($O$1),FALSE)*VLOOKUP($D52,素材!$1:$1016,COLUMN($E$1),FALSE)/(LEN(VLOOKUP($D52,素材!$1:$1016,COLUMN($F$1),FALSE))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BB52">
        <f>IF(ISNUMBER(SEARCH(SUBSTITUTE(BB$1,RIGHT(BB$1,2),""),VLOOKUP($D52,素材!$1:$1016,COLUMN($F$1),FALSE))),VLOOKUP($C52,装備品!$1:$998,COLUMN($O$1),FALSE)*VLOOKUP($D52,素材!$1:$1016,COLUMN($E$1),FALSE)/(LEN(VLOOKUP($D52,素材!$1:$1016,COLUMN($F$1),FALSE))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BC52">
        <f>IF(ISNUMBER(SEARCH(SUBSTITUTE(BC$1,RIGHT(BC$1,2),""),VLOOKUP($D52,素材!$1:$1016,COLUMN($F$1),FALSE))),VLOOKUP($C52,装備品!$1:$998,COLUMN($O$1),FALSE)*VLOOKUP($D52,素材!$1:$1016,COLUMN($E$1),FALSE)/(LEN(VLOOKUP($D52,素材!$1:$1016,COLUMN($F$1),FALSE))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BD52">
        <f>IF(ISNUMBER(SEARCH(SUBSTITUTE(BD$1,RIGHT(BD$1,2),""),VLOOKUP($D52,素材!$1:$1016,COLUMN($F$1),FALSE))),VLOOKUP($C52,装備品!$1:$998,COLUMN($O$1),FALSE)*VLOOKUP($D52,素材!$1:$1016,COLUMN($E$1),FALSE)/(LEN(VLOOKUP($D52,素材!$1:$1016,COLUMN($F$1),FALSE))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BE52">
        <f>IF(ISNUMBER(SEARCH(SUBSTITUTE(BE$1,RIGHT(BE$1,2),""),VLOOKUP($D52,素材!$1:$1016,COLUMN($F$1),FALSE))),VLOOKUP($C52,装備品!$1:$998,COLUMN($O$1),FALSE)*VLOOKUP($D52,素材!$1:$1016,COLUMN($E$1),FALSE)/(LEN(VLOOKUP($D52,素材!$1:$1016,COLUMN($F$1),FALSE))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CL52">
        <f t="shared" si="1"/>
        <v>16</v>
      </c>
      <c r="CM52" s="22" t="str">
        <f t="shared" si="2"/>
        <v>打撃.webp</v>
      </c>
      <c r="CN52">
        <f>IFERROR(VLOOKUP($C52,装備品!$1:$998,COLUMN(V$1),FALSE)*VLOOKUP($D52,素材!$1:$1016,COLUMN(N$1),FALSE)+IF(CI52="",0,VLOOKUP($CI52,付与!$1:$1176,COLUMN($CK$1),FALSE)),"")</f>
        <v>0</v>
      </c>
      <c r="CO52" t="str">
        <f>VLOOKUP(D52,素材!$A:$O,COLUMN(素材!O$1),FALSE)</f>
        <v>一般的な木材。金属より軽いが少し脆い</v>
      </c>
      <c r="CP52" t="str">
        <f>VLOOKUP(C52,装備品!$A:$AB,COLUMN(装備品!AB$1),FALSE)</f>
        <v>棍棒。打撃に特化したシンプルな武器。威力は低いがダメージ振れが少ない。</v>
      </c>
      <c r="CR52" t="str">
        <f t="shared" si="3"/>
        <v>e_52</v>
      </c>
      <c r="CS52">
        <f t="shared" si="4"/>
        <v>0</v>
      </c>
    </row>
    <row r="53" spans="1:97" outlineLevel="1" x14ac:dyDescent="0.4">
      <c r="A53" t="str">
        <f t="shared" si="5"/>
        <v>木の戦棍</v>
      </c>
      <c r="B53" t="str">
        <f>IFERROR(VLOOKUP($D53,素材!$1:$1016,COLUMN($B$1),FALSE)&amp;"・"&amp;VLOOKUP($C53,装備品!$1:$998,COLUMN(B$1),FALSE),"")</f>
        <v>ウッド・メイス</v>
      </c>
      <c r="C53" s="24" t="s">
        <v>228</v>
      </c>
      <c r="D53" s="24" t="s">
        <v>254</v>
      </c>
      <c r="E53" t="str">
        <f>IFERROR(VLOOKUP(C53,装備品!$1:$998,COLUMN(C$1),FALSE),"")</f>
        <v>武器</v>
      </c>
      <c r="F53">
        <f>IFERROR(ROUNDDOWN((VLOOKUP($C53,装備品!$1:$998,COLUMN(D$1),FALSE)+IFERROR(VLOOKUP($CI53,付与!$1:$1167,COLUMN(F$1),FALSE),0))*VLOOKUP($D53,素材!$1:$1016,COLUMN(D$1),FALSE),0),"")</f>
        <v>82</v>
      </c>
      <c r="G53">
        <f>IFERROR(ROUNDDOWN((VLOOKUP($C53,装備品!$1:$998,COLUMN(E$1),FALSE)+IFERROR(VLOOKUP($CI53,付与!$1:$1167,COLUMN(G$1),FALSE),0))*VLOOKUP($D53,素材!$1:$1016,COLUMN($E$1),FALSE),0),"")</f>
        <v>0</v>
      </c>
      <c r="H53">
        <f>IFERROR(ROUNDDOWN((VLOOKUP($C53,装備品!$1:$998,COLUMN(F$1),FALSE)+IFERROR(VLOOKUP($CI53,付与!$1:$1167,COLUMN(H$1),FALSE),0))*VLOOKUP($D53,素材!$1:$1016,COLUMN($E$1),FALSE),0),"")</f>
        <v>0</v>
      </c>
      <c r="I53">
        <f>IFERROR(ROUNDDOWN((VLOOKUP($C53,装備品!$1:$998,COLUMN(G$1),FALSE)+IFERROR(VLOOKUP($CI53,付与!$1:$1167,COLUMN(I$1),FALSE),0))*VLOOKUP($D53,素材!$1:$1016,COLUMN($E$1),FALSE),0),"")</f>
        <v>17</v>
      </c>
      <c r="J53">
        <f>IFERROR(ROUNDDOWN((VLOOKUP($C53,装備品!$1:$998,COLUMN(H$1),FALSE)+IFERROR(VLOOKUP($CI53,付与!$1:$1167,COLUMN(J$1),FALSE),0))*VLOOKUP($D53,素材!$1:$1016,COLUMN($E$1),FALSE),0),"")</f>
        <v>14</v>
      </c>
      <c r="K53">
        <f>IFERROR(ROUNDDOWN((VLOOKUP($C53,装備品!$1:$998,COLUMN(I$1),FALSE)+IFERROR(VLOOKUP($CI53,付与!$1:$1167,COLUMN(K$1),FALSE),0))*VLOOKUP($D53,素材!$1:$1016,COLUMN($E$1),FALSE),0),"")</f>
        <v>0</v>
      </c>
      <c r="L53">
        <f>IFERROR(VLOOKUP($D53,素材!$1:$1016,COLUMN($F$1),FALSE),"")</f>
        <v>0</v>
      </c>
      <c r="M53">
        <f>IFERROR(VLOOKUP($C53,装備品!$1:$998,COLUMN(AA$1),FALSE)*VLOOKUP($D53,素材!$1:$1016,COLUMN($G$1),FALSE),"")</f>
        <v>0</v>
      </c>
      <c r="N53">
        <f>IFERROR(VLOOKUP($C53,装備品!$1:$998,COLUMN(I$1),FALSE),"")</f>
        <v>0</v>
      </c>
      <c r="O53" s="23">
        <f>IFERROR((VLOOKUP($C53,装備品!$1:$998,COLUMN(K$1),FALSE)+VLOOKUP($D53,素材!$1:$1016,COLUMN(H$1),FALSE))*100+IFERROR(VLOOKUP($CI53,付与!$1:$1167,COLUMN(O$1),FALSE),0),"")</f>
        <v>15</v>
      </c>
      <c r="P53" s="23">
        <f>IFERROR((VLOOKUP($C53,装備品!$1:$998,COLUMN(L$1),FALSE)+VLOOKUP($D53,素材!$1:$1016,COLUMN(I$1),FALSE))*100+IFERROR(VLOOKUP($CI53,付与!$1:$1167,COLUMN(P$1),FALSE),0),"")</f>
        <v>125</v>
      </c>
      <c r="Q53">
        <f>IFERROR(ROUNDUP(VLOOKUP($C53,装備品!$1:$998,COLUMN(M$1),FALSE)*(VLOOKUP($D53,素材!$1:$1002,COLUMN(D$1),FALSE)/100),1),"")</f>
        <v>0</v>
      </c>
      <c r="R53">
        <f>IFERROR(ROUNDUP(VLOOKUP($C53,装備品!$1:$998,COLUMN(N$1),FALSE)*(VLOOKUP($D53,素材!$1:$1002,COLUMN(D$1),FALSE)/100),1),"")</f>
        <v>-1.5</v>
      </c>
      <c r="S53">
        <f>IFERROR(VLOOKUP($C53,装備品!$1:$998,COLUMN(P$1),FALSE),"")</f>
        <v>0</v>
      </c>
      <c r="T53">
        <f>IFERROR(VLOOKUP($C53,装備品!$1:$998,COLUMN(Q$1),FALSE),"")</f>
        <v>0</v>
      </c>
      <c r="U53">
        <f>IFERROR(VLOOKUP($C53,装備品!$1:$998,COLUMN(R$1),FALSE),"")</f>
        <v>0</v>
      </c>
      <c r="V53">
        <f>IFERROR(VLOOKUP($C53,装備品!$1:$998,COLUMN(Q$1),FALSE),"")</f>
        <v>0</v>
      </c>
      <c r="W53">
        <f>IFERROR(VLOOKUP($C53,装備品!$1:$998,COLUMN(T$1),FALSE),"")</f>
        <v>0</v>
      </c>
      <c r="Y53">
        <f>IFERROR(VLOOKUP($C53,装備品!$1:$998,COLUMN(U$1),FALSE),"")</f>
        <v>0</v>
      </c>
      <c r="Z53">
        <f>IFERROR(ROUNDUP(VLOOKUP($C53,装備品!$1:$998,COLUMN(O$1),FALSE)*VLOOKUP($D53,素材!$1:$1016,COLUMN(E$1),FALSE),1),"")</f>
        <v>0</v>
      </c>
      <c r="AA53">
        <f>IF(ISNUMBER(SEARCH(SUBSTITUTE(AA$1,RIGHT(AA$1,2),""),VLOOKUP($D53,素材!$1:$1016,COLUMN($F$1),FALSE))),VLOOKUP($C53,装備品!$1:$998,COLUMN($O$1),FALSE)*VLOOKUP($D53,素材!$1:$1016,COLUMN($E$1),FALSE)/(LEN(VLOOKUP($D53,素材!$1:$1016,COLUMN($F$1),FALSE))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B53">
        <f>IF(ISNUMBER(SEARCH(SUBSTITUTE(AB$1,RIGHT(AB$1,2),""),VLOOKUP($D53,素材!$1:$1016,COLUMN($F$1),FALSE))),VLOOKUP($C53,装備品!$1:$998,COLUMN($O$1),FALSE)*VLOOKUP($D53,素材!$1:$1016,COLUMN($E$1),FALSE)/(LEN(VLOOKUP($D53,素材!$1:$1016,COLUMN($F$1),FALSE))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C53">
        <f>IF(ISNUMBER(SEARCH(SUBSTITUTE(AC$1,RIGHT(AC$1,2),""),VLOOKUP($D53,素材!$1:$1016,COLUMN($F$1),FALSE))),VLOOKUP($C53,装備品!$1:$998,COLUMN($O$1),FALSE)*VLOOKUP($D53,素材!$1:$1016,COLUMN($E$1),FALSE)/(LEN(VLOOKUP($D53,素材!$1:$1016,COLUMN($F$1),FALSE))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D53">
        <f>IF(ISNUMBER(SEARCH(SUBSTITUTE(AD$1,RIGHT(AD$1,2),""),VLOOKUP($D53,素材!$1:$1016,COLUMN($F$1),FALSE))),VLOOKUP($C53,装備品!$1:$998,COLUMN($O$1),FALSE)*VLOOKUP($D53,素材!$1:$1016,COLUMN($E$1),FALSE)/(LEN(VLOOKUP($D53,素材!$1:$1016,COLUMN($F$1),FALSE))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E53">
        <f>IF(ISNUMBER(SEARCH(SUBSTITUTE(AE$1,RIGHT(AE$1,2),""),VLOOKUP($D53,素材!$1:$1016,COLUMN($F$1),FALSE))),VLOOKUP($C53,装備品!$1:$998,COLUMN($O$1),FALSE)*VLOOKUP($D53,素材!$1:$1016,COLUMN($E$1),FALSE)/(LEN(VLOOKUP($D53,素材!$1:$1016,COLUMN($F$1),FALSE))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F53">
        <f>IF(ISNUMBER(SEARCH(SUBSTITUTE(AF$1,RIGHT(AF$1,2),""),VLOOKUP($D53,素材!$1:$1016,COLUMN($F$1),FALSE))),VLOOKUP($C53,装備品!$1:$998,COLUMN($O$1),FALSE)*VLOOKUP($D53,素材!$1:$1016,COLUMN($E$1),FALSE)/(LEN(VLOOKUP($D53,素材!$1:$1016,COLUMN($F$1),FALSE))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G53">
        <f>IF(ISNUMBER(SEARCH(SUBSTITUTE(AG$1,RIGHT(AG$1,2),""),VLOOKUP($D53,素材!$1:$1016,COLUMN($F$1),FALSE))),VLOOKUP($C53,装備品!$1:$998,COLUMN($O$1),FALSE)*VLOOKUP($D53,素材!$1:$1016,COLUMN($E$1),FALSE)/(LEN(VLOOKUP($D53,素材!$1:$1016,COLUMN($F$1),FALSE))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H53">
        <f>IF(ISNUMBER(SEARCH(SUBSTITUTE(AH$1,RIGHT(AH$1,2),""),VLOOKUP($D53,素材!$1:$1016,COLUMN($F$1),FALSE))),VLOOKUP($C53,装備品!$1:$998,COLUMN($O$1),FALSE)*VLOOKUP($D53,素材!$1:$1016,COLUMN($E$1),FALSE)/(LEN(VLOOKUP($D53,素材!$1:$1016,COLUMN($F$1),FALSE))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I53">
        <f>IF(ISNUMBER(SEARCH(SUBSTITUTE(AI$1,RIGHT(AI$1,2),""),VLOOKUP($D53,素材!$1:$1016,COLUMN($F$1),FALSE))),VLOOKUP($C53,装備品!$1:$998,COLUMN($O$1),FALSE)*VLOOKUP($D53,素材!$1:$1016,COLUMN($E$1),FALSE)/(LEN(VLOOKUP($D53,素材!$1:$1016,COLUMN($F$1),FALSE))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J53">
        <f>IF(ISNUMBER(SEARCH(SUBSTITUTE(AJ$1,RIGHT(AJ$1,2),""),VLOOKUP($D53,素材!$1:$1016,COLUMN($F$1),FALSE))),VLOOKUP($C53,装備品!$1:$998,COLUMN($O$1),FALSE)*VLOOKUP($D53,素材!$1:$1016,COLUMN($E$1),FALSE)/(LEN(VLOOKUP($D53,素材!$1:$1016,COLUMN($F$1),FALSE))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K53">
        <f>IF(ISNUMBER(SEARCH(SUBSTITUTE(AK$1,RIGHT(AK$1,2),""),VLOOKUP($D53,素材!$1:$1016,COLUMN($F$1),FALSE))),VLOOKUP($C53,装備品!$1:$998,COLUMN($O$1),FALSE)*VLOOKUP($D53,素材!$1:$1016,COLUMN($E$1),FALSE)/(LEN(VLOOKUP($D53,素材!$1:$1016,COLUMN($F$1),FALSE))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L53">
        <f>IF(ISNUMBER(SEARCH(SUBSTITUTE(AL$1,RIGHT(AL$1,2),""),VLOOKUP($D53,素材!$1:$1016,COLUMN($F$1),FALSE))),VLOOKUP($C53,装備品!$1:$998,COLUMN($O$1),FALSE)*VLOOKUP($D53,素材!$1:$1016,COLUMN($E$1),FALSE)/(LEN(VLOOKUP($D53,素材!$1:$1016,COLUMN($F$1),FALSE))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M53">
        <f>IF(ISNUMBER(SEARCH(SUBSTITUTE(AM$1,RIGHT(AM$1,2),""),VLOOKUP($D53,素材!$1:$1016,COLUMN($F$1),FALSE))),VLOOKUP($C53,装備品!$1:$998,COLUMN($O$1),FALSE)*VLOOKUP($D53,素材!$1:$1016,COLUMN($E$1),FALSE)/(LEN(VLOOKUP($D53,素材!$1:$1016,COLUMN($F$1),FALSE))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N53">
        <f>IF(ISNUMBER(SEARCH(SUBSTITUTE(AN$1,RIGHT(AN$1,2),""),VLOOKUP($D53,素材!$1:$1016,COLUMN($F$1),FALSE))),VLOOKUP($C53,装備品!$1:$998,COLUMN($O$1),FALSE)*VLOOKUP($D53,素材!$1:$1016,COLUMN($E$1),FALSE)/(LEN(VLOOKUP($D53,素材!$1:$1016,COLUMN($F$1),FALSE))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O53">
        <f>IF(ISNUMBER(SEARCH(SUBSTITUTE(AO$1,RIGHT(AO$1,2),""),VLOOKUP($D53,素材!$1:$1016,COLUMN($F$1),FALSE))),VLOOKUP($C53,装備品!$1:$998,COLUMN($O$1),FALSE)*VLOOKUP($D53,素材!$1:$1016,COLUMN($E$1),FALSE)/(LEN(VLOOKUP($D53,素材!$1:$1016,COLUMN($F$1),FALSE))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P53">
        <f>IF(ISNUMBER(SEARCH(SUBSTITUTE(AP$1,RIGHT(AP$1,2),""),VLOOKUP($D53,素材!$1:$1016,COLUMN($F$1),FALSE))),VLOOKUP($C53,装備品!$1:$998,COLUMN($O$1),FALSE)*VLOOKUP($D53,素材!$1:$1016,COLUMN($E$1),FALSE)/(LEN(VLOOKUP($D53,素材!$1:$1016,COLUMN($F$1),FALSE))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Q53">
        <f>IF(ISNUMBER(SEARCH(SUBSTITUTE(AQ$1,RIGHT(AQ$1,2),""),VLOOKUP($D53,素材!$1:$1016,COLUMN($F$1),FALSE))),VLOOKUP($C53,装備品!$1:$998,COLUMN($O$1),FALSE)*VLOOKUP($D53,素材!$1:$1016,COLUMN($E$1),FALSE)/(LEN(VLOOKUP($D53,素材!$1:$1016,COLUMN($F$1),FALSE))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R53">
        <f>IF(ISNUMBER(SEARCH(SUBSTITUTE(AR$1,RIGHT(AR$1,2),""),VLOOKUP($D53,素材!$1:$1016,COLUMN($F$1),FALSE))),VLOOKUP($C53,装備品!$1:$998,COLUMN($O$1),FALSE)*VLOOKUP($D53,素材!$1:$1016,COLUMN($E$1),FALSE)/(LEN(VLOOKUP($D53,素材!$1:$1016,COLUMN($F$1),FALSE))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S53">
        <f>IF(ISNUMBER(SEARCH(SUBSTITUTE(AS$1,RIGHT(AS$1,2),""),VLOOKUP($D53,素材!$1:$1016,COLUMN($F$1),FALSE))),VLOOKUP($C53,装備品!$1:$998,COLUMN($O$1),FALSE)*VLOOKUP($D53,素材!$1:$1016,COLUMN($E$1),FALSE)/(LEN(VLOOKUP($D53,素材!$1:$1016,COLUMN($F$1),FALSE))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T53">
        <f>IF(ISNUMBER(SEARCH(SUBSTITUTE(AT$1,RIGHT(AT$1,2),""),VLOOKUP($D53,素材!$1:$1016,COLUMN($F$1),FALSE))),VLOOKUP($C53,装備品!$1:$998,COLUMN($O$1),FALSE)*VLOOKUP($D53,素材!$1:$1016,COLUMN($E$1),FALSE)/(LEN(VLOOKUP($D53,素材!$1:$1016,COLUMN($F$1),FALSE))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U53">
        <f>IF(ISNUMBER(SEARCH(SUBSTITUTE(AU$1,RIGHT(AU$1,2),""),VLOOKUP($D53,素材!$1:$1016,COLUMN($F$1),FALSE))),VLOOKUP($C53,装備品!$1:$998,COLUMN($O$1),FALSE)*VLOOKUP($D53,素材!$1:$1016,COLUMN($E$1),FALSE)/(LEN(VLOOKUP($D53,素材!$1:$1016,COLUMN($F$1),FALSE))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V53">
        <f>IF(ISNUMBER(SEARCH(SUBSTITUTE(AV$1,RIGHT(AV$1,2),""),VLOOKUP($D53,素材!$1:$1016,COLUMN($F$1),FALSE))),VLOOKUP($C53,装備品!$1:$998,COLUMN($O$1),FALSE)*VLOOKUP($D53,素材!$1:$1016,COLUMN($E$1),FALSE)/(LEN(VLOOKUP($D53,素材!$1:$1016,COLUMN($F$1),FALSE))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W53">
        <f>IF(ISNUMBER(SEARCH(SUBSTITUTE(AW$1,RIGHT(AW$1,2),""),VLOOKUP($D53,素材!$1:$1016,COLUMN($F$1),FALSE))),VLOOKUP($C53,装備品!$1:$998,COLUMN($O$1),FALSE)*VLOOKUP($D53,素材!$1:$1016,COLUMN($E$1),FALSE)/(LEN(VLOOKUP($D53,素材!$1:$1016,COLUMN($F$1),FALSE))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X53">
        <f>IF(ISNUMBER(SEARCH(SUBSTITUTE(AX$1,RIGHT(AX$1,2),""),VLOOKUP($D53,素材!$1:$1016,COLUMN($F$1),FALSE))),VLOOKUP($C53,装備品!$1:$998,COLUMN($O$1),FALSE)*VLOOKUP($D53,素材!$1:$1016,COLUMN($E$1),FALSE)/(LEN(VLOOKUP($D53,素材!$1:$1016,COLUMN($F$1),FALSE))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Y53">
        <f>IF(ISNUMBER(SEARCH(SUBSTITUTE(AY$1,RIGHT(AY$1,2),""),VLOOKUP($D53,素材!$1:$1016,COLUMN($F$1),FALSE))),VLOOKUP($C53,装備品!$1:$998,COLUMN($O$1),FALSE)*VLOOKUP($D53,素材!$1:$1016,COLUMN($E$1),FALSE)/(LEN(VLOOKUP($D53,素材!$1:$1016,COLUMN($F$1),FALSE))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Z53">
        <f>IF(ISNUMBER(SEARCH(SUBSTITUTE(AZ$1,RIGHT(AZ$1,2),""),VLOOKUP($D53,素材!$1:$1016,COLUMN($F$1),FALSE))),VLOOKUP($C53,装備品!$1:$998,COLUMN($O$1),FALSE)*VLOOKUP($D53,素材!$1:$1016,COLUMN($E$1),FALSE)/(LEN(VLOOKUP($D53,素材!$1:$1016,COLUMN($F$1),FALSE))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BA53">
        <f>IF(ISNUMBER(SEARCH(SUBSTITUTE(BA$1,RIGHT(BA$1,2),""),VLOOKUP($D53,素材!$1:$1016,COLUMN($F$1),FALSE))),VLOOKUP($C53,装備品!$1:$998,COLUMN($O$1),FALSE)*VLOOKUP($D53,素材!$1:$1016,COLUMN($E$1),FALSE)/(LEN(VLOOKUP($D53,素材!$1:$1016,COLUMN($F$1),FALSE))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BB53">
        <f>IF(ISNUMBER(SEARCH(SUBSTITUTE(BB$1,RIGHT(BB$1,2),""),VLOOKUP($D53,素材!$1:$1016,COLUMN($F$1),FALSE))),VLOOKUP($C53,装備品!$1:$998,COLUMN($O$1),FALSE)*VLOOKUP($D53,素材!$1:$1016,COLUMN($E$1),FALSE)/(LEN(VLOOKUP($D53,素材!$1:$1016,COLUMN($F$1),FALSE))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BC53">
        <f>IF(ISNUMBER(SEARCH(SUBSTITUTE(BC$1,RIGHT(BC$1,2),""),VLOOKUP($D53,素材!$1:$1016,COLUMN($F$1),FALSE))),VLOOKUP($C53,装備品!$1:$998,COLUMN($O$1),FALSE)*VLOOKUP($D53,素材!$1:$1016,COLUMN($E$1),FALSE)/(LEN(VLOOKUP($D53,素材!$1:$1016,COLUMN($F$1),FALSE))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BD53">
        <f>IF(ISNUMBER(SEARCH(SUBSTITUTE(BD$1,RIGHT(BD$1,2),""),VLOOKUP($D53,素材!$1:$1016,COLUMN($F$1),FALSE))),VLOOKUP($C53,装備品!$1:$998,COLUMN($O$1),FALSE)*VLOOKUP($D53,素材!$1:$1016,COLUMN($E$1),FALSE)/(LEN(VLOOKUP($D53,素材!$1:$1016,COLUMN($F$1),FALSE))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BE53">
        <f>IF(ISNUMBER(SEARCH(SUBSTITUTE(BE$1,RIGHT(BE$1,2),""),VLOOKUP($D53,素材!$1:$1016,COLUMN($F$1),FALSE))),VLOOKUP($C53,装備品!$1:$998,COLUMN($O$1),FALSE)*VLOOKUP($D53,素材!$1:$1016,COLUMN($E$1),FALSE)/(LEN(VLOOKUP($D53,素材!$1:$1016,COLUMN($F$1),FALSE))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CL53">
        <f t="shared" si="1"/>
        <v>17</v>
      </c>
      <c r="CM53" s="22" t="str">
        <f t="shared" si="2"/>
        <v>打撃.webp</v>
      </c>
      <c r="CN53">
        <f>IFERROR(VLOOKUP($C53,装備品!$1:$998,COLUMN(V$1),FALSE)*VLOOKUP($D53,素材!$1:$1016,COLUMN(N$1),FALSE)+IF(CI53="",0,VLOOKUP($CI53,付与!$1:$1176,COLUMN($CK$1),FALSE)),"")</f>
        <v>0</v>
      </c>
      <c r="CO53" t="str">
        <f>VLOOKUP(D53,素材!$A:$O,COLUMN(素材!O$1),FALSE)</f>
        <v>一般的な木材。金属より軽いが少し脆い</v>
      </c>
      <c r="CP53" t="str">
        <f>VLOOKUP(C53,装備品!$A:$AB,COLUMN(装備品!AB$1),FALSE)</f>
        <v>戦棍。打撃に優れた武器。Cr率が高い</v>
      </c>
      <c r="CR53" t="str">
        <f t="shared" si="3"/>
        <v>e_53</v>
      </c>
      <c r="CS53">
        <f t="shared" si="4"/>
        <v>0</v>
      </c>
    </row>
    <row r="54" spans="1:97" outlineLevel="1" x14ac:dyDescent="0.4">
      <c r="A54" t="str">
        <f t="shared" si="5"/>
        <v>木の棘棍</v>
      </c>
      <c r="B54" t="str">
        <f>IFERROR(VLOOKUP($D54,素材!$1:$1016,COLUMN($B$1),FALSE)&amp;"・"&amp;VLOOKUP($C54,装備品!$1:$998,COLUMN(B$1),FALSE),"")</f>
        <v>ウッド・モーニングスター</v>
      </c>
      <c r="C54" t="s">
        <v>227</v>
      </c>
      <c r="D54" s="24" t="s">
        <v>254</v>
      </c>
      <c r="E54" t="str">
        <f>IFERROR(VLOOKUP(C54,装備品!$1:$998,COLUMN(C$1),FALSE),"")</f>
        <v>武器</v>
      </c>
      <c r="F54">
        <f>IFERROR(ROUNDDOWN((VLOOKUP($C54,装備品!$1:$998,COLUMN(D$1),FALSE)+IFERROR(VLOOKUP($CI54,付与!$1:$1167,COLUMN(F$1),FALSE),0))*VLOOKUP($D54,素材!$1:$1016,COLUMN(D$1),FALSE),0),"")</f>
        <v>78</v>
      </c>
      <c r="G54">
        <f>IFERROR(ROUNDDOWN((VLOOKUP($C54,装備品!$1:$998,COLUMN(E$1),FALSE)+IFERROR(VLOOKUP($CI54,付与!$1:$1167,COLUMN(G$1),FALSE),0))*VLOOKUP($D54,素材!$1:$1016,COLUMN($E$1),FALSE),0),"")</f>
        <v>0</v>
      </c>
      <c r="H54">
        <f>IFERROR(ROUNDDOWN((VLOOKUP($C54,装備品!$1:$998,COLUMN(F$1),FALSE)+IFERROR(VLOOKUP($CI54,付与!$1:$1167,COLUMN(H$1),FALSE),0))*VLOOKUP($D54,素材!$1:$1016,COLUMN($E$1),FALSE),0),"")</f>
        <v>9</v>
      </c>
      <c r="I54">
        <f>IFERROR(ROUNDDOWN((VLOOKUP($C54,装備品!$1:$998,COLUMN(G$1),FALSE)+IFERROR(VLOOKUP($CI54,付与!$1:$1167,COLUMN(I$1),FALSE),0))*VLOOKUP($D54,素材!$1:$1016,COLUMN($E$1),FALSE),0),"")</f>
        <v>9</v>
      </c>
      <c r="J54">
        <f>IFERROR(ROUNDDOWN((VLOOKUP($C54,装備品!$1:$998,COLUMN(H$1),FALSE)+IFERROR(VLOOKUP($CI54,付与!$1:$1167,COLUMN(J$1),FALSE),0))*VLOOKUP($D54,素材!$1:$1016,COLUMN($E$1),FALSE),0),"")</f>
        <v>14</v>
      </c>
      <c r="K54">
        <f>IFERROR(ROUNDDOWN((VLOOKUP($C54,装備品!$1:$998,COLUMN(I$1),FALSE)+IFERROR(VLOOKUP($CI54,付与!$1:$1167,COLUMN(K$1),FALSE),0))*VLOOKUP($D54,素材!$1:$1016,COLUMN($E$1),FALSE),0),"")</f>
        <v>0</v>
      </c>
      <c r="L54">
        <f>IFERROR(VLOOKUP($D54,素材!$1:$1016,COLUMN($F$1),FALSE),"")</f>
        <v>0</v>
      </c>
      <c r="M54">
        <f>IFERROR(VLOOKUP($C54,装備品!$1:$998,COLUMN(AA$1),FALSE)*VLOOKUP($D54,素材!$1:$1016,COLUMN($G$1),FALSE),"")</f>
        <v>0</v>
      </c>
      <c r="N54">
        <f>IFERROR(VLOOKUP($C54,装備品!$1:$998,COLUMN(I$1),FALSE),"")</f>
        <v>0</v>
      </c>
      <c r="O54" s="23">
        <f>IFERROR((VLOOKUP($C54,装備品!$1:$998,COLUMN(K$1),FALSE)+VLOOKUP($D54,素材!$1:$1016,COLUMN(H$1),FALSE))*100+IFERROR(VLOOKUP($CI54,付与!$1:$1167,COLUMN(O$1),FALSE),0),"")</f>
        <v>10</v>
      </c>
      <c r="P54" s="23">
        <f>IFERROR((VLOOKUP($C54,装備品!$1:$998,COLUMN(L$1),FALSE)+VLOOKUP($D54,素材!$1:$1016,COLUMN(I$1),FALSE))*100+IFERROR(VLOOKUP($CI54,付与!$1:$1167,COLUMN(P$1),FALSE),0),"")</f>
        <v>125</v>
      </c>
      <c r="Q54">
        <f>IFERROR(ROUNDUP(VLOOKUP($C54,装備品!$1:$998,COLUMN(M$1),FALSE)*(VLOOKUP($D54,素材!$1:$1002,COLUMN(D$1),FALSE)/100),1),"")</f>
        <v>-1.9000000000000001</v>
      </c>
      <c r="R54">
        <f>IFERROR(ROUNDUP(VLOOKUP($C54,装備品!$1:$998,COLUMN(N$1),FALSE)*(VLOOKUP($D54,素材!$1:$1002,COLUMN(D$1),FALSE)/100),1),"")</f>
        <v>-1.9000000000000001</v>
      </c>
      <c r="S54">
        <f>IFERROR(VLOOKUP($C54,装備品!$1:$998,COLUMN(P$1),FALSE),"")</f>
        <v>0</v>
      </c>
      <c r="T54">
        <f>IFERROR(VLOOKUP($C54,装備品!$1:$998,COLUMN(Q$1),FALSE),"")</f>
        <v>0</v>
      </c>
      <c r="U54">
        <f>IFERROR(VLOOKUP($C54,装備品!$1:$998,COLUMN(R$1),FALSE),"")</f>
        <v>0</v>
      </c>
      <c r="V54">
        <f>IFERROR(VLOOKUP($C54,装備品!$1:$998,COLUMN(Q$1),FALSE),"")</f>
        <v>0</v>
      </c>
      <c r="W54">
        <f>IFERROR(VLOOKUP($C54,装備品!$1:$998,COLUMN(T$1),FALSE),"")</f>
        <v>0</v>
      </c>
      <c r="Y54">
        <f>IFERROR(VLOOKUP($C54,装備品!$1:$998,COLUMN(U$1),FALSE),"")</f>
        <v>0</v>
      </c>
      <c r="Z54">
        <f>IFERROR(ROUNDUP(VLOOKUP($C54,装備品!$1:$998,COLUMN(O$1),FALSE)*VLOOKUP($D54,素材!$1:$1016,COLUMN(E$1),FALSE),1),"")</f>
        <v>0</v>
      </c>
      <c r="AA54">
        <f>IF(ISNUMBER(SEARCH(SUBSTITUTE(AA$1,RIGHT(AA$1,2),""),VLOOKUP($D54,素材!$1:$1016,COLUMN($F$1),FALSE))),VLOOKUP($C54,装備品!$1:$998,COLUMN($O$1),FALSE)*VLOOKUP($D54,素材!$1:$1016,COLUMN($E$1),FALSE)/(LEN(VLOOKUP($D54,素材!$1:$1016,COLUMN($F$1),FALSE))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B54">
        <f>IF(ISNUMBER(SEARCH(SUBSTITUTE(AB$1,RIGHT(AB$1,2),""),VLOOKUP($D54,素材!$1:$1016,COLUMN($F$1),FALSE))),VLOOKUP($C54,装備品!$1:$998,COLUMN($O$1),FALSE)*VLOOKUP($D54,素材!$1:$1016,COLUMN($E$1),FALSE)/(LEN(VLOOKUP($D54,素材!$1:$1016,COLUMN($F$1),FALSE))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C54">
        <f>IF(ISNUMBER(SEARCH(SUBSTITUTE(AC$1,RIGHT(AC$1,2),""),VLOOKUP($D54,素材!$1:$1016,COLUMN($F$1),FALSE))),VLOOKUP($C54,装備品!$1:$998,COLUMN($O$1),FALSE)*VLOOKUP($D54,素材!$1:$1016,COLUMN($E$1),FALSE)/(LEN(VLOOKUP($D54,素材!$1:$1016,COLUMN($F$1),FALSE))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D54">
        <f>IF(ISNUMBER(SEARCH(SUBSTITUTE(AD$1,RIGHT(AD$1,2),""),VLOOKUP($D54,素材!$1:$1016,COLUMN($F$1),FALSE))),VLOOKUP($C54,装備品!$1:$998,COLUMN($O$1),FALSE)*VLOOKUP($D54,素材!$1:$1016,COLUMN($E$1),FALSE)/(LEN(VLOOKUP($D54,素材!$1:$1016,COLUMN($F$1),FALSE))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E54">
        <f>IF(ISNUMBER(SEARCH(SUBSTITUTE(AE$1,RIGHT(AE$1,2),""),VLOOKUP($D54,素材!$1:$1016,COLUMN($F$1),FALSE))),VLOOKUP($C54,装備品!$1:$998,COLUMN($O$1),FALSE)*VLOOKUP($D54,素材!$1:$1016,COLUMN($E$1),FALSE)/(LEN(VLOOKUP($D54,素材!$1:$1016,COLUMN($F$1),FALSE))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F54">
        <f>IF(ISNUMBER(SEARCH(SUBSTITUTE(AF$1,RIGHT(AF$1,2),""),VLOOKUP($D54,素材!$1:$1016,COLUMN($F$1),FALSE))),VLOOKUP($C54,装備品!$1:$998,COLUMN($O$1),FALSE)*VLOOKUP($D54,素材!$1:$1016,COLUMN($E$1),FALSE)/(LEN(VLOOKUP($D54,素材!$1:$1016,COLUMN($F$1),FALSE))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G54">
        <f>IF(ISNUMBER(SEARCH(SUBSTITUTE(AG$1,RIGHT(AG$1,2),""),VLOOKUP($D54,素材!$1:$1016,COLUMN($F$1),FALSE))),VLOOKUP($C54,装備品!$1:$998,COLUMN($O$1),FALSE)*VLOOKUP($D54,素材!$1:$1016,COLUMN($E$1),FALSE)/(LEN(VLOOKUP($D54,素材!$1:$1016,COLUMN($F$1),FALSE))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H54">
        <f>IF(ISNUMBER(SEARCH(SUBSTITUTE(AH$1,RIGHT(AH$1,2),""),VLOOKUP($D54,素材!$1:$1016,COLUMN($F$1),FALSE))),VLOOKUP($C54,装備品!$1:$998,COLUMN($O$1),FALSE)*VLOOKUP($D54,素材!$1:$1016,COLUMN($E$1),FALSE)/(LEN(VLOOKUP($D54,素材!$1:$1016,COLUMN($F$1),FALSE))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I54">
        <f>IF(ISNUMBER(SEARCH(SUBSTITUTE(AI$1,RIGHT(AI$1,2),""),VLOOKUP($D54,素材!$1:$1016,COLUMN($F$1),FALSE))),VLOOKUP($C54,装備品!$1:$998,COLUMN($O$1),FALSE)*VLOOKUP($D54,素材!$1:$1016,COLUMN($E$1),FALSE)/(LEN(VLOOKUP($D54,素材!$1:$1016,COLUMN($F$1),FALSE))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J54">
        <f>IF(ISNUMBER(SEARCH(SUBSTITUTE(AJ$1,RIGHT(AJ$1,2),""),VLOOKUP($D54,素材!$1:$1016,COLUMN($F$1),FALSE))),VLOOKUP($C54,装備品!$1:$998,COLUMN($O$1),FALSE)*VLOOKUP($D54,素材!$1:$1016,COLUMN($E$1),FALSE)/(LEN(VLOOKUP($D54,素材!$1:$1016,COLUMN($F$1),FALSE))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K54">
        <f>IF(ISNUMBER(SEARCH(SUBSTITUTE(AK$1,RIGHT(AK$1,2),""),VLOOKUP($D54,素材!$1:$1016,COLUMN($F$1),FALSE))),VLOOKUP($C54,装備品!$1:$998,COLUMN($O$1),FALSE)*VLOOKUP($D54,素材!$1:$1016,COLUMN($E$1),FALSE)/(LEN(VLOOKUP($D54,素材!$1:$1016,COLUMN($F$1),FALSE))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L54">
        <f>IF(ISNUMBER(SEARCH(SUBSTITUTE(AL$1,RIGHT(AL$1,2),""),VLOOKUP($D54,素材!$1:$1016,COLUMN($F$1),FALSE))),VLOOKUP($C54,装備品!$1:$998,COLUMN($O$1),FALSE)*VLOOKUP($D54,素材!$1:$1016,COLUMN($E$1),FALSE)/(LEN(VLOOKUP($D54,素材!$1:$1016,COLUMN($F$1),FALSE))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M54">
        <f>IF(ISNUMBER(SEARCH(SUBSTITUTE(AM$1,RIGHT(AM$1,2),""),VLOOKUP($D54,素材!$1:$1016,COLUMN($F$1),FALSE))),VLOOKUP($C54,装備品!$1:$998,COLUMN($O$1),FALSE)*VLOOKUP($D54,素材!$1:$1016,COLUMN($E$1),FALSE)/(LEN(VLOOKUP($D54,素材!$1:$1016,COLUMN($F$1),FALSE))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N54">
        <f>IF(ISNUMBER(SEARCH(SUBSTITUTE(AN$1,RIGHT(AN$1,2),""),VLOOKUP($D54,素材!$1:$1016,COLUMN($F$1),FALSE))),VLOOKUP($C54,装備品!$1:$998,COLUMN($O$1),FALSE)*VLOOKUP($D54,素材!$1:$1016,COLUMN($E$1),FALSE)/(LEN(VLOOKUP($D54,素材!$1:$1016,COLUMN($F$1),FALSE))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O54">
        <f>IF(ISNUMBER(SEARCH(SUBSTITUTE(AO$1,RIGHT(AO$1,2),""),VLOOKUP($D54,素材!$1:$1016,COLUMN($F$1),FALSE))),VLOOKUP($C54,装備品!$1:$998,COLUMN($O$1),FALSE)*VLOOKUP($D54,素材!$1:$1016,COLUMN($E$1),FALSE)/(LEN(VLOOKUP($D54,素材!$1:$1016,COLUMN($F$1),FALSE))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P54">
        <f>IF(ISNUMBER(SEARCH(SUBSTITUTE(AP$1,RIGHT(AP$1,2),""),VLOOKUP($D54,素材!$1:$1016,COLUMN($F$1),FALSE))),VLOOKUP($C54,装備品!$1:$998,COLUMN($O$1),FALSE)*VLOOKUP($D54,素材!$1:$1016,COLUMN($E$1),FALSE)/(LEN(VLOOKUP($D54,素材!$1:$1016,COLUMN($F$1),FALSE))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Q54">
        <f>IF(ISNUMBER(SEARCH(SUBSTITUTE(AQ$1,RIGHT(AQ$1,2),""),VLOOKUP($D54,素材!$1:$1016,COLUMN($F$1),FALSE))),VLOOKUP($C54,装備品!$1:$998,COLUMN($O$1),FALSE)*VLOOKUP($D54,素材!$1:$1016,COLUMN($E$1),FALSE)/(LEN(VLOOKUP($D54,素材!$1:$1016,COLUMN($F$1),FALSE))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R54">
        <f>IF(ISNUMBER(SEARCH(SUBSTITUTE(AR$1,RIGHT(AR$1,2),""),VLOOKUP($D54,素材!$1:$1016,COLUMN($F$1),FALSE))),VLOOKUP($C54,装備品!$1:$998,COLUMN($O$1),FALSE)*VLOOKUP($D54,素材!$1:$1016,COLUMN($E$1),FALSE)/(LEN(VLOOKUP($D54,素材!$1:$1016,COLUMN($F$1),FALSE))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S54">
        <f>IF(ISNUMBER(SEARCH(SUBSTITUTE(AS$1,RIGHT(AS$1,2),""),VLOOKUP($D54,素材!$1:$1016,COLUMN($F$1),FALSE))),VLOOKUP($C54,装備品!$1:$998,COLUMN($O$1),FALSE)*VLOOKUP($D54,素材!$1:$1016,COLUMN($E$1),FALSE)/(LEN(VLOOKUP($D54,素材!$1:$1016,COLUMN($F$1),FALSE))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T54">
        <f>IF(ISNUMBER(SEARCH(SUBSTITUTE(AT$1,RIGHT(AT$1,2),""),VLOOKUP($D54,素材!$1:$1016,COLUMN($F$1),FALSE))),VLOOKUP($C54,装備品!$1:$998,COLUMN($O$1),FALSE)*VLOOKUP($D54,素材!$1:$1016,COLUMN($E$1),FALSE)/(LEN(VLOOKUP($D54,素材!$1:$1016,COLUMN($F$1),FALSE))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U54">
        <f>IF(ISNUMBER(SEARCH(SUBSTITUTE(AU$1,RIGHT(AU$1,2),""),VLOOKUP($D54,素材!$1:$1016,COLUMN($F$1),FALSE))),VLOOKUP($C54,装備品!$1:$998,COLUMN($O$1),FALSE)*VLOOKUP($D54,素材!$1:$1016,COLUMN($E$1),FALSE)/(LEN(VLOOKUP($D54,素材!$1:$1016,COLUMN($F$1),FALSE))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V54">
        <f>IF(ISNUMBER(SEARCH(SUBSTITUTE(AV$1,RIGHT(AV$1,2),""),VLOOKUP($D54,素材!$1:$1016,COLUMN($F$1),FALSE))),VLOOKUP($C54,装備品!$1:$998,COLUMN($O$1),FALSE)*VLOOKUP($D54,素材!$1:$1016,COLUMN($E$1),FALSE)/(LEN(VLOOKUP($D54,素材!$1:$1016,COLUMN($F$1),FALSE))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W54">
        <f>IF(ISNUMBER(SEARCH(SUBSTITUTE(AW$1,RIGHT(AW$1,2),""),VLOOKUP($D54,素材!$1:$1016,COLUMN($F$1),FALSE))),VLOOKUP($C54,装備品!$1:$998,COLUMN($O$1),FALSE)*VLOOKUP($D54,素材!$1:$1016,COLUMN($E$1),FALSE)/(LEN(VLOOKUP($D54,素材!$1:$1016,COLUMN($F$1),FALSE))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X54">
        <f>IF(ISNUMBER(SEARCH(SUBSTITUTE(AX$1,RIGHT(AX$1,2),""),VLOOKUP($D54,素材!$1:$1016,COLUMN($F$1),FALSE))),VLOOKUP($C54,装備品!$1:$998,COLUMN($O$1),FALSE)*VLOOKUP($D54,素材!$1:$1016,COLUMN($E$1),FALSE)/(LEN(VLOOKUP($D54,素材!$1:$1016,COLUMN($F$1),FALSE))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Y54">
        <f>IF(ISNUMBER(SEARCH(SUBSTITUTE(AY$1,RIGHT(AY$1,2),""),VLOOKUP($D54,素材!$1:$1016,COLUMN($F$1),FALSE))),VLOOKUP($C54,装備品!$1:$998,COLUMN($O$1),FALSE)*VLOOKUP($D54,素材!$1:$1016,COLUMN($E$1),FALSE)/(LEN(VLOOKUP($D54,素材!$1:$1016,COLUMN($F$1),FALSE))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Z54">
        <f>IF(ISNUMBER(SEARCH(SUBSTITUTE(AZ$1,RIGHT(AZ$1,2),""),VLOOKUP($D54,素材!$1:$1016,COLUMN($F$1),FALSE))),VLOOKUP($C54,装備品!$1:$998,COLUMN($O$1),FALSE)*VLOOKUP($D54,素材!$1:$1016,COLUMN($E$1),FALSE)/(LEN(VLOOKUP($D54,素材!$1:$1016,COLUMN($F$1),FALSE))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BA54">
        <f>IF(ISNUMBER(SEARCH(SUBSTITUTE(BA$1,RIGHT(BA$1,2),""),VLOOKUP($D54,素材!$1:$1016,COLUMN($F$1),FALSE))),VLOOKUP($C54,装備品!$1:$998,COLUMN($O$1),FALSE)*VLOOKUP($D54,素材!$1:$1016,COLUMN($E$1),FALSE)/(LEN(VLOOKUP($D54,素材!$1:$1016,COLUMN($F$1),FALSE))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BB54">
        <f>IF(ISNUMBER(SEARCH(SUBSTITUTE(BB$1,RIGHT(BB$1,2),""),VLOOKUP($D54,素材!$1:$1016,COLUMN($F$1),FALSE))),VLOOKUP($C54,装備品!$1:$998,COLUMN($O$1),FALSE)*VLOOKUP($D54,素材!$1:$1016,COLUMN($E$1),FALSE)/(LEN(VLOOKUP($D54,素材!$1:$1016,COLUMN($F$1),FALSE))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BC54">
        <f>IF(ISNUMBER(SEARCH(SUBSTITUTE(BC$1,RIGHT(BC$1,2),""),VLOOKUP($D54,素材!$1:$1016,COLUMN($F$1),FALSE))),VLOOKUP($C54,装備品!$1:$998,COLUMN($O$1),FALSE)*VLOOKUP($D54,素材!$1:$1016,COLUMN($E$1),FALSE)/(LEN(VLOOKUP($D54,素材!$1:$1016,COLUMN($F$1),FALSE))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BD54">
        <f>IF(ISNUMBER(SEARCH(SUBSTITUTE(BD$1,RIGHT(BD$1,2),""),VLOOKUP($D54,素材!$1:$1016,COLUMN($F$1),FALSE))),VLOOKUP($C54,装備品!$1:$998,COLUMN($O$1),FALSE)*VLOOKUP($D54,素材!$1:$1016,COLUMN($E$1),FALSE)/(LEN(VLOOKUP($D54,素材!$1:$1016,COLUMN($F$1),FALSE))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BE54">
        <f>IF(ISNUMBER(SEARCH(SUBSTITUTE(BE$1,RIGHT(BE$1,2),""),VLOOKUP($D54,素材!$1:$1016,COLUMN($F$1),FALSE))),VLOOKUP($C54,装備品!$1:$998,COLUMN($O$1),FALSE)*VLOOKUP($D54,素材!$1:$1016,COLUMN($E$1),FALSE)/(LEN(VLOOKUP($D54,素材!$1:$1016,COLUMN($F$1),FALSE))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CL54">
        <f t="shared" si="1"/>
        <v>18</v>
      </c>
      <c r="CM54" s="22" t="str">
        <f t="shared" si="2"/>
        <v>貫通.webp</v>
      </c>
      <c r="CN54">
        <f>IFERROR(VLOOKUP($C54,装備品!$1:$998,COLUMN(V$1),FALSE)*VLOOKUP($D54,素材!$1:$1016,COLUMN(N$1),FALSE)+IF(CI54="",0,VLOOKUP($CI54,付与!$1:$1176,COLUMN($CK$1),FALSE)),"")</f>
        <v>0</v>
      </c>
      <c r="CO54" t="str">
        <f>VLOOKUP(D54,素材!$A:$O,COLUMN(素材!O$1),FALSE)</f>
        <v>一般的な木材。金属より軽いが少し脆い</v>
      </c>
      <c r="CP54" t="str">
        <f>VLOOKUP(C54,装備品!$A:$AB,COLUMN(装備品!AB$1),FALSE)</f>
        <v>棘棍。打撃と刺突を兼ね備えた武器。</v>
      </c>
      <c r="CR54" t="str">
        <f t="shared" si="3"/>
        <v>e_54</v>
      </c>
      <c r="CS54">
        <f t="shared" si="4"/>
        <v>0</v>
      </c>
    </row>
    <row r="55" spans="1:97" outlineLevel="1" x14ac:dyDescent="0.4">
      <c r="A55" t="str">
        <f t="shared" si="5"/>
        <v>木の鎚</v>
      </c>
      <c r="B55" t="str">
        <f>IFERROR(VLOOKUP($D55,素材!$1:$1016,COLUMN($B$1),FALSE)&amp;"・"&amp;VLOOKUP($C55,装備品!$1:$998,COLUMN(B$1),FALSE),"")</f>
        <v>ウッド・ハンマー</v>
      </c>
      <c r="C55" t="s">
        <v>226</v>
      </c>
      <c r="D55" s="24" t="s">
        <v>254</v>
      </c>
      <c r="E55" t="str">
        <f>IFERROR(VLOOKUP(C55,装備品!$1:$998,COLUMN(C$1),FALSE),"")</f>
        <v>武器</v>
      </c>
      <c r="F55">
        <f>IFERROR(ROUNDDOWN((VLOOKUP($C55,装備品!$1:$998,COLUMN(D$1),FALSE)+IFERROR(VLOOKUP($CI55,付与!$1:$1167,COLUMN(F$1),FALSE),0))*VLOOKUP($D55,素材!$1:$1016,COLUMN(D$1),FALSE),0),"")</f>
        <v>82</v>
      </c>
      <c r="G55">
        <f>IFERROR(ROUNDDOWN((VLOOKUP($C55,装備品!$1:$998,COLUMN(E$1),FALSE)+IFERROR(VLOOKUP($CI55,付与!$1:$1167,COLUMN(G$1),FALSE),0))*VLOOKUP($D55,素材!$1:$1016,COLUMN($E$1),FALSE),0),"")</f>
        <v>0</v>
      </c>
      <c r="H55">
        <f>IFERROR(ROUNDDOWN((VLOOKUP($C55,装備品!$1:$998,COLUMN(F$1),FALSE)+IFERROR(VLOOKUP($CI55,付与!$1:$1167,COLUMN(H$1),FALSE),0))*VLOOKUP($D55,素材!$1:$1016,COLUMN($E$1),FALSE),0),"")</f>
        <v>0</v>
      </c>
      <c r="I55">
        <f>IFERROR(ROUNDDOWN((VLOOKUP($C55,装備品!$1:$998,COLUMN(G$1),FALSE)+IFERROR(VLOOKUP($CI55,付与!$1:$1167,COLUMN(I$1),FALSE),0))*VLOOKUP($D55,素材!$1:$1016,COLUMN($E$1),FALSE),0),"")</f>
        <v>16</v>
      </c>
      <c r="J55">
        <f>IFERROR(ROUNDDOWN((VLOOKUP($C55,装備品!$1:$998,COLUMN(H$1),FALSE)+IFERROR(VLOOKUP($CI55,付与!$1:$1167,COLUMN(J$1),FALSE),0))*VLOOKUP($D55,素材!$1:$1016,COLUMN($E$1),FALSE),0),"")</f>
        <v>14</v>
      </c>
      <c r="K55">
        <f>IFERROR(ROUNDDOWN((VLOOKUP($C55,装備品!$1:$998,COLUMN(I$1),FALSE)+IFERROR(VLOOKUP($CI55,付与!$1:$1167,COLUMN(K$1),FALSE),0))*VLOOKUP($D55,素材!$1:$1016,COLUMN($E$1),FALSE),0),"")</f>
        <v>0</v>
      </c>
      <c r="L55">
        <f>IFERROR(VLOOKUP($D55,素材!$1:$1016,COLUMN($F$1),FALSE),"")</f>
        <v>0</v>
      </c>
      <c r="M55">
        <f>IFERROR(VLOOKUP($C55,装備品!$1:$998,COLUMN(AA$1),FALSE)*VLOOKUP($D55,素材!$1:$1016,COLUMN($G$1),FALSE),"")</f>
        <v>0</v>
      </c>
      <c r="N55">
        <f>IFERROR(VLOOKUP($C55,装備品!$1:$998,COLUMN(I$1),FALSE),"")</f>
        <v>0</v>
      </c>
      <c r="O55" s="23">
        <f>IFERROR((VLOOKUP($C55,装備品!$1:$998,COLUMN(K$1),FALSE)+VLOOKUP($D55,素材!$1:$1016,COLUMN(H$1),FALSE))*100+IFERROR(VLOOKUP($CI55,付与!$1:$1167,COLUMN(O$1),FALSE),0),"")</f>
        <v>10</v>
      </c>
      <c r="P55" s="23">
        <f>IFERROR((VLOOKUP($C55,装備品!$1:$998,COLUMN(L$1),FALSE)+VLOOKUP($D55,素材!$1:$1016,COLUMN(I$1),FALSE))*100+IFERROR(VLOOKUP($CI55,付与!$1:$1167,COLUMN(P$1),FALSE),0),"")</f>
        <v>150</v>
      </c>
      <c r="Q55">
        <f>IFERROR(ROUNDUP(VLOOKUP($C55,装備品!$1:$998,COLUMN(M$1),FALSE)*(VLOOKUP($D55,素材!$1:$1002,COLUMN(D$1),FALSE)/100),1),"")</f>
        <v>-1.9000000000000001</v>
      </c>
      <c r="R55">
        <f>IFERROR(ROUNDUP(VLOOKUP($C55,装備品!$1:$998,COLUMN(N$1),FALSE)*(VLOOKUP($D55,素材!$1:$1002,COLUMN(D$1),FALSE)/100),1),"")</f>
        <v>0</v>
      </c>
      <c r="S55">
        <f>IFERROR(VLOOKUP($C55,装備品!$1:$998,COLUMN(P$1),FALSE),"")</f>
        <v>0</v>
      </c>
      <c r="T55">
        <f>IFERROR(VLOOKUP($C55,装備品!$1:$998,COLUMN(Q$1),FALSE),"")</f>
        <v>0</v>
      </c>
      <c r="U55">
        <f>IFERROR(VLOOKUP($C55,装備品!$1:$998,COLUMN(R$1),FALSE),"")</f>
        <v>0</v>
      </c>
      <c r="V55">
        <f>IFERROR(VLOOKUP($C55,装備品!$1:$998,COLUMN(Q$1),FALSE),"")</f>
        <v>0</v>
      </c>
      <c r="W55">
        <f>IFERROR(VLOOKUP($C55,装備品!$1:$998,COLUMN(T$1),FALSE),"")</f>
        <v>0</v>
      </c>
      <c r="Y55">
        <f>IFERROR(VLOOKUP($C55,装備品!$1:$998,COLUMN(U$1),FALSE),"")</f>
        <v>0</v>
      </c>
      <c r="Z55">
        <f>IFERROR(ROUNDUP(VLOOKUP($C55,装備品!$1:$998,COLUMN(O$1),FALSE)*VLOOKUP($D55,素材!$1:$1016,COLUMN(E$1),FALSE),1),"")</f>
        <v>0</v>
      </c>
      <c r="AA55">
        <f>IF(ISNUMBER(SEARCH(SUBSTITUTE(AA$1,RIGHT(AA$1,2),""),VLOOKUP($D55,素材!$1:$1016,COLUMN($F$1),FALSE))),VLOOKUP($C55,装備品!$1:$998,COLUMN($O$1),FALSE)*VLOOKUP($D55,素材!$1:$1016,COLUMN($E$1),FALSE)/(LEN(VLOOKUP($D55,素材!$1:$1016,COLUMN($F$1),FALSE))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B55">
        <f>IF(ISNUMBER(SEARCH(SUBSTITUTE(AB$1,RIGHT(AB$1,2),""),VLOOKUP($D55,素材!$1:$1016,COLUMN($F$1),FALSE))),VLOOKUP($C55,装備品!$1:$998,COLUMN($O$1),FALSE)*VLOOKUP($D55,素材!$1:$1016,COLUMN($E$1),FALSE)/(LEN(VLOOKUP($D55,素材!$1:$1016,COLUMN($F$1),FALSE))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C55">
        <f>IF(ISNUMBER(SEARCH(SUBSTITUTE(AC$1,RIGHT(AC$1,2),""),VLOOKUP($D55,素材!$1:$1016,COLUMN($F$1),FALSE))),VLOOKUP($C55,装備品!$1:$998,COLUMN($O$1),FALSE)*VLOOKUP($D55,素材!$1:$1016,COLUMN($E$1),FALSE)/(LEN(VLOOKUP($D55,素材!$1:$1016,COLUMN($F$1),FALSE))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D55">
        <f>IF(ISNUMBER(SEARCH(SUBSTITUTE(AD$1,RIGHT(AD$1,2),""),VLOOKUP($D55,素材!$1:$1016,COLUMN($F$1),FALSE))),VLOOKUP($C55,装備品!$1:$998,COLUMN($O$1),FALSE)*VLOOKUP($D55,素材!$1:$1016,COLUMN($E$1),FALSE)/(LEN(VLOOKUP($D55,素材!$1:$1016,COLUMN($F$1),FALSE))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E55">
        <f>IF(ISNUMBER(SEARCH(SUBSTITUTE(AE$1,RIGHT(AE$1,2),""),VLOOKUP($D55,素材!$1:$1016,COLUMN($F$1),FALSE))),VLOOKUP($C55,装備品!$1:$998,COLUMN($O$1),FALSE)*VLOOKUP($D55,素材!$1:$1016,COLUMN($E$1),FALSE)/(LEN(VLOOKUP($D55,素材!$1:$1016,COLUMN($F$1),FALSE))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F55">
        <f>IF(ISNUMBER(SEARCH(SUBSTITUTE(AF$1,RIGHT(AF$1,2),""),VLOOKUP($D55,素材!$1:$1016,COLUMN($F$1),FALSE))),VLOOKUP($C55,装備品!$1:$998,COLUMN($O$1),FALSE)*VLOOKUP($D55,素材!$1:$1016,COLUMN($E$1),FALSE)/(LEN(VLOOKUP($D55,素材!$1:$1016,COLUMN($F$1),FALSE))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G55">
        <f>IF(ISNUMBER(SEARCH(SUBSTITUTE(AG$1,RIGHT(AG$1,2),""),VLOOKUP($D55,素材!$1:$1016,COLUMN($F$1),FALSE))),VLOOKUP($C55,装備品!$1:$998,COLUMN($O$1),FALSE)*VLOOKUP($D55,素材!$1:$1016,COLUMN($E$1),FALSE)/(LEN(VLOOKUP($D55,素材!$1:$1016,COLUMN($F$1),FALSE))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H55">
        <f>IF(ISNUMBER(SEARCH(SUBSTITUTE(AH$1,RIGHT(AH$1,2),""),VLOOKUP($D55,素材!$1:$1016,COLUMN($F$1),FALSE))),VLOOKUP($C55,装備品!$1:$998,COLUMN($O$1),FALSE)*VLOOKUP($D55,素材!$1:$1016,COLUMN($E$1),FALSE)/(LEN(VLOOKUP($D55,素材!$1:$1016,COLUMN($F$1),FALSE))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I55">
        <f>IF(ISNUMBER(SEARCH(SUBSTITUTE(AI$1,RIGHT(AI$1,2),""),VLOOKUP($D55,素材!$1:$1016,COLUMN($F$1),FALSE))),VLOOKUP($C55,装備品!$1:$998,COLUMN($O$1),FALSE)*VLOOKUP($D55,素材!$1:$1016,COLUMN($E$1),FALSE)/(LEN(VLOOKUP($D55,素材!$1:$1016,COLUMN($F$1),FALSE))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J55">
        <f>IF(ISNUMBER(SEARCH(SUBSTITUTE(AJ$1,RIGHT(AJ$1,2),""),VLOOKUP($D55,素材!$1:$1016,COLUMN($F$1),FALSE))),VLOOKUP($C55,装備品!$1:$998,COLUMN($O$1),FALSE)*VLOOKUP($D55,素材!$1:$1016,COLUMN($E$1),FALSE)/(LEN(VLOOKUP($D55,素材!$1:$1016,COLUMN($F$1),FALSE))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K55">
        <f>IF(ISNUMBER(SEARCH(SUBSTITUTE(AK$1,RIGHT(AK$1,2),""),VLOOKUP($D55,素材!$1:$1016,COLUMN($F$1),FALSE))),VLOOKUP($C55,装備品!$1:$998,COLUMN($O$1),FALSE)*VLOOKUP($D55,素材!$1:$1016,COLUMN($E$1),FALSE)/(LEN(VLOOKUP($D55,素材!$1:$1016,COLUMN($F$1),FALSE))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L55">
        <f>IF(ISNUMBER(SEARCH(SUBSTITUTE(AL$1,RIGHT(AL$1,2),""),VLOOKUP($D55,素材!$1:$1016,COLUMN($F$1),FALSE))),VLOOKUP($C55,装備品!$1:$998,COLUMN($O$1),FALSE)*VLOOKUP($D55,素材!$1:$1016,COLUMN($E$1),FALSE)/(LEN(VLOOKUP($D55,素材!$1:$1016,COLUMN($F$1),FALSE))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M55">
        <f>IF(ISNUMBER(SEARCH(SUBSTITUTE(AM$1,RIGHT(AM$1,2),""),VLOOKUP($D55,素材!$1:$1016,COLUMN($F$1),FALSE))),VLOOKUP($C55,装備品!$1:$998,COLUMN($O$1),FALSE)*VLOOKUP($D55,素材!$1:$1016,COLUMN($E$1),FALSE)/(LEN(VLOOKUP($D55,素材!$1:$1016,COLUMN($F$1),FALSE))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N55">
        <f>IF(ISNUMBER(SEARCH(SUBSTITUTE(AN$1,RIGHT(AN$1,2),""),VLOOKUP($D55,素材!$1:$1016,COLUMN($F$1),FALSE))),VLOOKUP($C55,装備品!$1:$998,COLUMN($O$1),FALSE)*VLOOKUP($D55,素材!$1:$1016,COLUMN($E$1),FALSE)/(LEN(VLOOKUP($D55,素材!$1:$1016,COLUMN($F$1),FALSE))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O55">
        <f>IF(ISNUMBER(SEARCH(SUBSTITUTE(AO$1,RIGHT(AO$1,2),""),VLOOKUP($D55,素材!$1:$1016,COLUMN($F$1),FALSE))),VLOOKUP($C55,装備品!$1:$998,COLUMN($O$1),FALSE)*VLOOKUP($D55,素材!$1:$1016,COLUMN($E$1),FALSE)/(LEN(VLOOKUP($D55,素材!$1:$1016,COLUMN($F$1),FALSE))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P55">
        <f>IF(ISNUMBER(SEARCH(SUBSTITUTE(AP$1,RIGHT(AP$1,2),""),VLOOKUP($D55,素材!$1:$1016,COLUMN($F$1),FALSE))),VLOOKUP($C55,装備品!$1:$998,COLUMN($O$1),FALSE)*VLOOKUP($D55,素材!$1:$1016,COLUMN($E$1),FALSE)/(LEN(VLOOKUP($D55,素材!$1:$1016,COLUMN($F$1),FALSE))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Q55">
        <f>IF(ISNUMBER(SEARCH(SUBSTITUTE(AQ$1,RIGHT(AQ$1,2),""),VLOOKUP($D55,素材!$1:$1016,COLUMN($F$1),FALSE))),VLOOKUP($C55,装備品!$1:$998,COLUMN($O$1),FALSE)*VLOOKUP($D55,素材!$1:$1016,COLUMN($E$1),FALSE)/(LEN(VLOOKUP($D55,素材!$1:$1016,COLUMN($F$1),FALSE))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R55">
        <f>IF(ISNUMBER(SEARCH(SUBSTITUTE(AR$1,RIGHT(AR$1,2),""),VLOOKUP($D55,素材!$1:$1016,COLUMN($F$1),FALSE))),VLOOKUP($C55,装備品!$1:$998,COLUMN($O$1),FALSE)*VLOOKUP($D55,素材!$1:$1016,COLUMN($E$1),FALSE)/(LEN(VLOOKUP($D55,素材!$1:$1016,COLUMN($F$1),FALSE))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S55">
        <f>IF(ISNUMBER(SEARCH(SUBSTITUTE(AS$1,RIGHT(AS$1,2),""),VLOOKUP($D55,素材!$1:$1016,COLUMN($F$1),FALSE))),VLOOKUP($C55,装備品!$1:$998,COLUMN($O$1),FALSE)*VLOOKUP($D55,素材!$1:$1016,COLUMN($E$1),FALSE)/(LEN(VLOOKUP($D55,素材!$1:$1016,COLUMN($F$1),FALSE))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T55">
        <f>IF(ISNUMBER(SEARCH(SUBSTITUTE(AT$1,RIGHT(AT$1,2),""),VLOOKUP($D55,素材!$1:$1016,COLUMN($F$1),FALSE))),VLOOKUP($C55,装備品!$1:$998,COLUMN($O$1),FALSE)*VLOOKUP($D55,素材!$1:$1016,COLUMN($E$1),FALSE)/(LEN(VLOOKUP($D55,素材!$1:$1016,COLUMN($F$1),FALSE))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U55">
        <f>IF(ISNUMBER(SEARCH(SUBSTITUTE(AU$1,RIGHT(AU$1,2),""),VLOOKUP($D55,素材!$1:$1016,COLUMN($F$1),FALSE))),VLOOKUP($C55,装備品!$1:$998,COLUMN($O$1),FALSE)*VLOOKUP($D55,素材!$1:$1016,COLUMN($E$1),FALSE)/(LEN(VLOOKUP($D55,素材!$1:$1016,COLUMN($F$1),FALSE))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V55">
        <f>IF(ISNUMBER(SEARCH(SUBSTITUTE(AV$1,RIGHT(AV$1,2),""),VLOOKUP($D55,素材!$1:$1016,COLUMN($F$1),FALSE))),VLOOKUP($C55,装備品!$1:$998,COLUMN($O$1),FALSE)*VLOOKUP($D55,素材!$1:$1016,COLUMN($E$1),FALSE)/(LEN(VLOOKUP($D55,素材!$1:$1016,COLUMN($F$1),FALSE))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W55">
        <f>IF(ISNUMBER(SEARCH(SUBSTITUTE(AW$1,RIGHT(AW$1,2),""),VLOOKUP($D55,素材!$1:$1016,COLUMN($F$1),FALSE))),VLOOKUP($C55,装備品!$1:$998,COLUMN($O$1),FALSE)*VLOOKUP($D55,素材!$1:$1016,COLUMN($E$1),FALSE)/(LEN(VLOOKUP($D55,素材!$1:$1016,COLUMN($F$1),FALSE))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X55">
        <f>IF(ISNUMBER(SEARCH(SUBSTITUTE(AX$1,RIGHT(AX$1,2),""),VLOOKUP($D55,素材!$1:$1016,COLUMN($F$1),FALSE))),VLOOKUP($C55,装備品!$1:$998,COLUMN($O$1),FALSE)*VLOOKUP($D55,素材!$1:$1016,COLUMN($E$1),FALSE)/(LEN(VLOOKUP($D55,素材!$1:$1016,COLUMN($F$1),FALSE))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Y55">
        <f>IF(ISNUMBER(SEARCH(SUBSTITUTE(AY$1,RIGHT(AY$1,2),""),VLOOKUP($D55,素材!$1:$1016,COLUMN($F$1),FALSE))),VLOOKUP($C55,装備品!$1:$998,COLUMN($O$1),FALSE)*VLOOKUP($D55,素材!$1:$1016,COLUMN($E$1),FALSE)/(LEN(VLOOKUP($D55,素材!$1:$1016,COLUMN($F$1),FALSE))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Z55">
        <f>IF(ISNUMBER(SEARCH(SUBSTITUTE(AZ$1,RIGHT(AZ$1,2),""),VLOOKUP($D55,素材!$1:$1016,COLUMN($F$1),FALSE))),VLOOKUP($C55,装備品!$1:$998,COLUMN($O$1),FALSE)*VLOOKUP($D55,素材!$1:$1016,COLUMN($E$1),FALSE)/(LEN(VLOOKUP($D55,素材!$1:$1016,COLUMN($F$1),FALSE))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BA55">
        <f>IF(ISNUMBER(SEARCH(SUBSTITUTE(BA$1,RIGHT(BA$1,2),""),VLOOKUP($D55,素材!$1:$1016,COLUMN($F$1),FALSE))),VLOOKUP($C55,装備品!$1:$998,COLUMN($O$1),FALSE)*VLOOKUP($D55,素材!$1:$1016,COLUMN($E$1),FALSE)/(LEN(VLOOKUP($D55,素材!$1:$1016,COLUMN($F$1),FALSE))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BB55">
        <f>IF(ISNUMBER(SEARCH(SUBSTITUTE(BB$1,RIGHT(BB$1,2),""),VLOOKUP($D55,素材!$1:$1016,COLUMN($F$1),FALSE))),VLOOKUP($C55,装備品!$1:$998,COLUMN($O$1),FALSE)*VLOOKUP($D55,素材!$1:$1016,COLUMN($E$1),FALSE)/(LEN(VLOOKUP($D55,素材!$1:$1016,COLUMN($F$1),FALSE))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BC55">
        <f>IF(ISNUMBER(SEARCH(SUBSTITUTE(BC$1,RIGHT(BC$1,2),""),VLOOKUP($D55,素材!$1:$1016,COLUMN($F$1),FALSE))),VLOOKUP($C55,装備品!$1:$998,COLUMN($O$1),FALSE)*VLOOKUP($D55,素材!$1:$1016,COLUMN($E$1),FALSE)/(LEN(VLOOKUP($D55,素材!$1:$1016,COLUMN($F$1),FALSE))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BD55">
        <f>IF(ISNUMBER(SEARCH(SUBSTITUTE(BD$1,RIGHT(BD$1,2),""),VLOOKUP($D55,素材!$1:$1016,COLUMN($F$1),FALSE))),VLOOKUP($C55,装備品!$1:$998,COLUMN($O$1),FALSE)*VLOOKUP($D55,素材!$1:$1016,COLUMN($E$1),FALSE)/(LEN(VLOOKUP($D55,素材!$1:$1016,COLUMN($F$1),FALSE))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BE55">
        <f>IF(ISNUMBER(SEARCH(SUBSTITUTE(BE$1,RIGHT(BE$1,2),""),VLOOKUP($D55,素材!$1:$1016,COLUMN($F$1),FALSE))),VLOOKUP($C55,装備品!$1:$998,COLUMN($O$1),FALSE)*VLOOKUP($D55,素材!$1:$1016,COLUMN($E$1),FALSE)/(LEN(VLOOKUP($D55,素材!$1:$1016,COLUMN($F$1),FALSE))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CL55">
        <f t="shared" si="1"/>
        <v>16</v>
      </c>
      <c r="CM55" s="22" t="str">
        <f t="shared" si="2"/>
        <v>打撃.webp</v>
      </c>
      <c r="CN55">
        <f>IFERROR(VLOOKUP($C55,装備品!$1:$998,COLUMN(V$1),FALSE)*VLOOKUP($D55,素材!$1:$1016,COLUMN(N$1),FALSE)+IF(CI55="",0,VLOOKUP($CI55,付与!$1:$1176,COLUMN($CK$1),FALSE)),"")</f>
        <v>0</v>
      </c>
      <c r="CO55" t="str">
        <f>VLOOKUP(D55,素材!$A:$O,COLUMN(素材!O$1),FALSE)</f>
        <v>一般的な木材。金属より軽いが少し脆い</v>
      </c>
      <c r="CP55" t="str">
        <f>VLOOKUP(C55,装備品!$A:$AB,COLUMN(装備品!AB$1),FALSE)</f>
        <v>鎚。打撃力に優れ、投擲にも対応。</v>
      </c>
      <c r="CR55" t="str">
        <f t="shared" si="3"/>
        <v>e_55</v>
      </c>
      <c r="CS55">
        <f t="shared" si="4"/>
        <v>0</v>
      </c>
    </row>
    <row r="56" spans="1:97" outlineLevel="1" x14ac:dyDescent="0.4">
      <c r="A56" t="str">
        <f t="shared" si="5"/>
        <v>木の戦鎚</v>
      </c>
      <c r="B56" t="str">
        <f>IFERROR(VLOOKUP($D56,素材!$1:$1016,COLUMN($B$1),FALSE)&amp;"・"&amp;VLOOKUP($C56,装備品!$1:$998,COLUMN(B$1),FALSE),"")</f>
        <v>ウッド・ウォーハンマー</v>
      </c>
      <c r="C56" t="s">
        <v>225</v>
      </c>
      <c r="D56" s="24" t="s">
        <v>254</v>
      </c>
      <c r="E56" t="str">
        <f>IFERROR(VLOOKUP(C56,装備品!$1:$998,COLUMN(C$1),FALSE),"")</f>
        <v>武器</v>
      </c>
      <c r="F56">
        <f>IFERROR(ROUNDDOWN((VLOOKUP($C56,装備品!$1:$998,COLUMN(D$1),FALSE)+IFERROR(VLOOKUP($CI56,付与!$1:$1167,COLUMN(F$1),FALSE),0))*VLOOKUP($D56,素材!$1:$1016,COLUMN(D$1),FALSE),0),"")</f>
        <v>93</v>
      </c>
      <c r="G56">
        <f>IFERROR(ROUNDDOWN((VLOOKUP($C56,装備品!$1:$998,COLUMN(E$1),FALSE)+IFERROR(VLOOKUP($CI56,付与!$1:$1167,COLUMN(G$1),FALSE),0))*VLOOKUP($D56,素材!$1:$1016,COLUMN($E$1),FALSE),0),"")</f>
        <v>0</v>
      </c>
      <c r="H56">
        <f>IFERROR(ROUNDDOWN((VLOOKUP($C56,装備品!$1:$998,COLUMN(F$1),FALSE)+IFERROR(VLOOKUP($CI56,付与!$1:$1167,COLUMN(H$1),FALSE),0))*VLOOKUP($D56,素材!$1:$1016,COLUMN($E$1),FALSE),0),"")</f>
        <v>0</v>
      </c>
      <c r="I56">
        <f>IFERROR(ROUNDDOWN((VLOOKUP($C56,装備品!$1:$998,COLUMN(G$1),FALSE)+IFERROR(VLOOKUP($CI56,付与!$1:$1167,COLUMN(I$1),FALSE),0))*VLOOKUP($D56,素材!$1:$1016,COLUMN($E$1),FALSE),0),"")</f>
        <v>18</v>
      </c>
      <c r="J56">
        <f>IFERROR(ROUNDDOWN((VLOOKUP($C56,装備品!$1:$998,COLUMN(H$1),FALSE)+IFERROR(VLOOKUP($CI56,付与!$1:$1167,COLUMN(J$1),FALSE),0))*VLOOKUP($D56,素材!$1:$1016,COLUMN($E$1),FALSE),0),"")</f>
        <v>15</v>
      </c>
      <c r="K56">
        <f>IFERROR(ROUNDDOWN((VLOOKUP($C56,装備品!$1:$998,COLUMN(I$1),FALSE)+IFERROR(VLOOKUP($CI56,付与!$1:$1167,COLUMN(K$1),FALSE),0))*VLOOKUP($D56,素材!$1:$1016,COLUMN($E$1),FALSE),0),"")</f>
        <v>0</v>
      </c>
      <c r="L56">
        <f>IFERROR(VLOOKUP($D56,素材!$1:$1016,COLUMN($F$1),FALSE),"")</f>
        <v>0</v>
      </c>
      <c r="M56">
        <f>IFERROR(VLOOKUP($C56,装備品!$1:$998,COLUMN(AA$1),FALSE)*VLOOKUP($D56,素材!$1:$1016,COLUMN($G$1),FALSE),"")</f>
        <v>0</v>
      </c>
      <c r="N56">
        <f>IFERROR(VLOOKUP($C56,装備品!$1:$998,COLUMN(I$1),FALSE),"")</f>
        <v>0</v>
      </c>
      <c r="O56" s="23">
        <f>IFERROR((VLOOKUP($C56,装備品!$1:$998,COLUMN(K$1),FALSE)+VLOOKUP($D56,素材!$1:$1016,COLUMN(H$1),FALSE))*100+IFERROR(VLOOKUP($CI56,付与!$1:$1167,COLUMN(O$1),FALSE),0),"")</f>
        <v>10</v>
      </c>
      <c r="P56" s="23">
        <f>IFERROR((VLOOKUP($C56,装備品!$1:$998,COLUMN(L$1),FALSE)+VLOOKUP($D56,素材!$1:$1016,COLUMN(I$1),FALSE))*100+IFERROR(VLOOKUP($CI56,付与!$1:$1167,COLUMN(P$1),FALSE),0),"")</f>
        <v>150</v>
      </c>
      <c r="Q56">
        <f>IFERROR(ROUNDUP(VLOOKUP($C56,装備品!$1:$998,COLUMN(M$1),FALSE)*(VLOOKUP($D56,素材!$1:$1002,COLUMN(D$1),FALSE)/100),1),"")</f>
        <v>-3.8000000000000003</v>
      </c>
      <c r="R56">
        <f>IFERROR(ROUNDUP(VLOOKUP($C56,装備品!$1:$998,COLUMN(N$1),FALSE)*(VLOOKUP($D56,素材!$1:$1002,COLUMN(D$1),FALSE)/100),1),"")</f>
        <v>-3.8000000000000003</v>
      </c>
      <c r="S56">
        <f>IFERROR(VLOOKUP($C56,装備品!$1:$998,COLUMN(P$1),FALSE),"")</f>
        <v>0</v>
      </c>
      <c r="T56">
        <f>IFERROR(VLOOKUP($C56,装備品!$1:$998,COLUMN(Q$1),FALSE),"")</f>
        <v>0</v>
      </c>
      <c r="U56">
        <f>IFERROR(VLOOKUP($C56,装備品!$1:$998,COLUMN(R$1),FALSE),"")</f>
        <v>0</v>
      </c>
      <c r="V56">
        <f>IFERROR(VLOOKUP($C56,装備品!$1:$998,COLUMN(Q$1),FALSE),"")</f>
        <v>0</v>
      </c>
      <c r="W56">
        <f>IFERROR(VLOOKUP($C56,装備品!$1:$998,COLUMN(T$1),FALSE),"")</f>
        <v>0</v>
      </c>
      <c r="Y56">
        <f>IFERROR(VLOOKUP($C56,装備品!$1:$998,COLUMN(U$1),FALSE),"")</f>
        <v>0</v>
      </c>
      <c r="Z56">
        <f>IFERROR(ROUNDUP(VLOOKUP($C56,装備品!$1:$998,COLUMN(O$1),FALSE)*VLOOKUP($D56,素材!$1:$1016,COLUMN(E$1),FALSE),1),"")</f>
        <v>0</v>
      </c>
      <c r="AA56">
        <f>IF(ISNUMBER(SEARCH(SUBSTITUTE(AA$1,RIGHT(AA$1,2),""),VLOOKUP($D56,素材!$1:$1016,COLUMN($F$1),FALSE))),VLOOKUP($C56,装備品!$1:$998,COLUMN($O$1),FALSE)*VLOOKUP($D56,素材!$1:$1016,COLUMN($E$1),FALSE)/(LEN(VLOOKUP($D56,素材!$1:$1016,COLUMN($F$1),FALSE))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B56">
        <f>IF(ISNUMBER(SEARCH(SUBSTITUTE(AB$1,RIGHT(AB$1,2),""),VLOOKUP($D56,素材!$1:$1016,COLUMN($F$1),FALSE))),VLOOKUP($C56,装備品!$1:$998,COLUMN($O$1),FALSE)*VLOOKUP($D56,素材!$1:$1016,COLUMN($E$1),FALSE)/(LEN(VLOOKUP($D56,素材!$1:$1016,COLUMN($F$1),FALSE))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C56">
        <f>IF(ISNUMBER(SEARCH(SUBSTITUTE(AC$1,RIGHT(AC$1,2),""),VLOOKUP($D56,素材!$1:$1016,COLUMN($F$1),FALSE))),VLOOKUP($C56,装備品!$1:$998,COLUMN($O$1),FALSE)*VLOOKUP($D56,素材!$1:$1016,COLUMN($E$1),FALSE)/(LEN(VLOOKUP($D56,素材!$1:$1016,COLUMN($F$1),FALSE))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D56">
        <f>IF(ISNUMBER(SEARCH(SUBSTITUTE(AD$1,RIGHT(AD$1,2),""),VLOOKUP($D56,素材!$1:$1016,COLUMN($F$1),FALSE))),VLOOKUP($C56,装備品!$1:$998,COLUMN($O$1),FALSE)*VLOOKUP($D56,素材!$1:$1016,COLUMN($E$1),FALSE)/(LEN(VLOOKUP($D56,素材!$1:$1016,COLUMN($F$1),FALSE))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E56">
        <f>IF(ISNUMBER(SEARCH(SUBSTITUTE(AE$1,RIGHT(AE$1,2),""),VLOOKUP($D56,素材!$1:$1016,COLUMN($F$1),FALSE))),VLOOKUP($C56,装備品!$1:$998,COLUMN($O$1),FALSE)*VLOOKUP($D56,素材!$1:$1016,COLUMN($E$1),FALSE)/(LEN(VLOOKUP($D56,素材!$1:$1016,COLUMN($F$1),FALSE))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F56">
        <f>IF(ISNUMBER(SEARCH(SUBSTITUTE(AF$1,RIGHT(AF$1,2),""),VLOOKUP($D56,素材!$1:$1016,COLUMN($F$1),FALSE))),VLOOKUP($C56,装備品!$1:$998,COLUMN($O$1),FALSE)*VLOOKUP($D56,素材!$1:$1016,COLUMN($E$1),FALSE)/(LEN(VLOOKUP($D56,素材!$1:$1016,COLUMN($F$1),FALSE))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G56">
        <f>IF(ISNUMBER(SEARCH(SUBSTITUTE(AG$1,RIGHT(AG$1,2),""),VLOOKUP($D56,素材!$1:$1016,COLUMN($F$1),FALSE))),VLOOKUP($C56,装備品!$1:$998,COLUMN($O$1),FALSE)*VLOOKUP($D56,素材!$1:$1016,COLUMN($E$1),FALSE)/(LEN(VLOOKUP($D56,素材!$1:$1016,COLUMN($F$1),FALSE))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H56">
        <f>IF(ISNUMBER(SEARCH(SUBSTITUTE(AH$1,RIGHT(AH$1,2),""),VLOOKUP($D56,素材!$1:$1016,COLUMN($F$1),FALSE))),VLOOKUP($C56,装備品!$1:$998,COLUMN($O$1),FALSE)*VLOOKUP($D56,素材!$1:$1016,COLUMN($E$1),FALSE)/(LEN(VLOOKUP($D56,素材!$1:$1016,COLUMN($F$1),FALSE))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I56">
        <f>IF(ISNUMBER(SEARCH(SUBSTITUTE(AI$1,RIGHT(AI$1,2),""),VLOOKUP($D56,素材!$1:$1016,COLUMN($F$1),FALSE))),VLOOKUP($C56,装備品!$1:$998,COLUMN($O$1),FALSE)*VLOOKUP($D56,素材!$1:$1016,COLUMN($E$1),FALSE)/(LEN(VLOOKUP($D56,素材!$1:$1016,COLUMN($F$1),FALSE))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J56">
        <f>IF(ISNUMBER(SEARCH(SUBSTITUTE(AJ$1,RIGHT(AJ$1,2),""),VLOOKUP($D56,素材!$1:$1016,COLUMN($F$1),FALSE))),VLOOKUP($C56,装備品!$1:$998,COLUMN($O$1),FALSE)*VLOOKUP($D56,素材!$1:$1016,COLUMN($E$1),FALSE)/(LEN(VLOOKUP($D56,素材!$1:$1016,COLUMN($F$1),FALSE))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K56">
        <f>IF(ISNUMBER(SEARCH(SUBSTITUTE(AK$1,RIGHT(AK$1,2),""),VLOOKUP($D56,素材!$1:$1016,COLUMN($F$1),FALSE))),VLOOKUP($C56,装備品!$1:$998,COLUMN($O$1),FALSE)*VLOOKUP($D56,素材!$1:$1016,COLUMN($E$1),FALSE)/(LEN(VLOOKUP($D56,素材!$1:$1016,COLUMN($F$1),FALSE))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L56">
        <f>IF(ISNUMBER(SEARCH(SUBSTITUTE(AL$1,RIGHT(AL$1,2),""),VLOOKUP($D56,素材!$1:$1016,COLUMN($F$1),FALSE))),VLOOKUP($C56,装備品!$1:$998,COLUMN($O$1),FALSE)*VLOOKUP($D56,素材!$1:$1016,COLUMN($E$1),FALSE)/(LEN(VLOOKUP($D56,素材!$1:$1016,COLUMN($F$1),FALSE))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M56">
        <f>IF(ISNUMBER(SEARCH(SUBSTITUTE(AM$1,RIGHT(AM$1,2),""),VLOOKUP($D56,素材!$1:$1016,COLUMN($F$1),FALSE))),VLOOKUP($C56,装備品!$1:$998,COLUMN($O$1),FALSE)*VLOOKUP($D56,素材!$1:$1016,COLUMN($E$1),FALSE)/(LEN(VLOOKUP($D56,素材!$1:$1016,COLUMN($F$1),FALSE))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N56">
        <f>IF(ISNUMBER(SEARCH(SUBSTITUTE(AN$1,RIGHT(AN$1,2),""),VLOOKUP($D56,素材!$1:$1016,COLUMN($F$1),FALSE))),VLOOKUP($C56,装備品!$1:$998,COLUMN($O$1),FALSE)*VLOOKUP($D56,素材!$1:$1016,COLUMN($E$1),FALSE)/(LEN(VLOOKUP($D56,素材!$1:$1016,COLUMN($F$1),FALSE))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O56">
        <f>IF(ISNUMBER(SEARCH(SUBSTITUTE(AO$1,RIGHT(AO$1,2),""),VLOOKUP($D56,素材!$1:$1016,COLUMN($F$1),FALSE))),VLOOKUP($C56,装備品!$1:$998,COLUMN($O$1),FALSE)*VLOOKUP($D56,素材!$1:$1016,COLUMN($E$1),FALSE)/(LEN(VLOOKUP($D56,素材!$1:$1016,COLUMN($F$1),FALSE))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P56">
        <f>IF(ISNUMBER(SEARCH(SUBSTITUTE(AP$1,RIGHT(AP$1,2),""),VLOOKUP($D56,素材!$1:$1016,COLUMN($F$1),FALSE))),VLOOKUP($C56,装備品!$1:$998,COLUMN($O$1),FALSE)*VLOOKUP($D56,素材!$1:$1016,COLUMN($E$1),FALSE)/(LEN(VLOOKUP($D56,素材!$1:$1016,COLUMN($F$1),FALSE))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Q56">
        <f>IF(ISNUMBER(SEARCH(SUBSTITUTE(AQ$1,RIGHT(AQ$1,2),""),VLOOKUP($D56,素材!$1:$1016,COLUMN($F$1),FALSE))),VLOOKUP($C56,装備品!$1:$998,COLUMN($O$1),FALSE)*VLOOKUP($D56,素材!$1:$1016,COLUMN($E$1),FALSE)/(LEN(VLOOKUP($D56,素材!$1:$1016,COLUMN($F$1),FALSE))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R56">
        <f>IF(ISNUMBER(SEARCH(SUBSTITUTE(AR$1,RIGHT(AR$1,2),""),VLOOKUP($D56,素材!$1:$1016,COLUMN($F$1),FALSE))),VLOOKUP($C56,装備品!$1:$998,COLUMN($O$1),FALSE)*VLOOKUP($D56,素材!$1:$1016,COLUMN($E$1),FALSE)/(LEN(VLOOKUP($D56,素材!$1:$1016,COLUMN($F$1),FALSE))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S56">
        <f>IF(ISNUMBER(SEARCH(SUBSTITUTE(AS$1,RIGHT(AS$1,2),""),VLOOKUP($D56,素材!$1:$1016,COLUMN($F$1),FALSE))),VLOOKUP($C56,装備品!$1:$998,COLUMN($O$1),FALSE)*VLOOKUP($D56,素材!$1:$1016,COLUMN($E$1),FALSE)/(LEN(VLOOKUP($D56,素材!$1:$1016,COLUMN($F$1),FALSE))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T56">
        <f>IF(ISNUMBER(SEARCH(SUBSTITUTE(AT$1,RIGHT(AT$1,2),""),VLOOKUP($D56,素材!$1:$1016,COLUMN($F$1),FALSE))),VLOOKUP($C56,装備品!$1:$998,COLUMN($O$1),FALSE)*VLOOKUP($D56,素材!$1:$1016,COLUMN($E$1),FALSE)/(LEN(VLOOKUP($D56,素材!$1:$1016,COLUMN($F$1),FALSE))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U56">
        <f>IF(ISNUMBER(SEARCH(SUBSTITUTE(AU$1,RIGHT(AU$1,2),""),VLOOKUP($D56,素材!$1:$1016,COLUMN($F$1),FALSE))),VLOOKUP($C56,装備品!$1:$998,COLUMN($O$1),FALSE)*VLOOKUP($D56,素材!$1:$1016,COLUMN($E$1),FALSE)/(LEN(VLOOKUP($D56,素材!$1:$1016,COLUMN($F$1),FALSE))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V56">
        <f>IF(ISNUMBER(SEARCH(SUBSTITUTE(AV$1,RIGHT(AV$1,2),""),VLOOKUP($D56,素材!$1:$1016,COLUMN($F$1),FALSE))),VLOOKUP($C56,装備品!$1:$998,COLUMN($O$1),FALSE)*VLOOKUP($D56,素材!$1:$1016,COLUMN($E$1),FALSE)/(LEN(VLOOKUP($D56,素材!$1:$1016,COLUMN($F$1),FALSE))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W56">
        <f>IF(ISNUMBER(SEARCH(SUBSTITUTE(AW$1,RIGHT(AW$1,2),""),VLOOKUP($D56,素材!$1:$1016,COLUMN($F$1),FALSE))),VLOOKUP($C56,装備品!$1:$998,COLUMN($O$1),FALSE)*VLOOKUP($D56,素材!$1:$1016,COLUMN($E$1),FALSE)/(LEN(VLOOKUP($D56,素材!$1:$1016,COLUMN($F$1),FALSE))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X56">
        <f>IF(ISNUMBER(SEARCH(SUBSTITUTE(AX$1,RIGHT(AX$1,2),""),VLOOKUP($D56,素材!$1:$1016,COLUMN($F$1),FALSE))),VLOOKUP($C56,装備品!$1:$998,COLUMN($O$1),FALSE)*VLOOKUP($D56,素材!$1:$1016,COLUMN($E$1),FALSE)/(LEN(VLOOKUP($D56,素材!$1:$1016,COLUMN($F$1),FALSE))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Y56">
        <f>IF(ISNUMBER(SEARCH(SUBSTITUTE(AY$1,RIGHT(AY$1,2),""),VLOOKUP($D56,素材!$1:$1016,COLUMN($F$1),FALSE))),VLOOKUP($C56,装備品!$1:$998,COLUMN($O$1),FALSE)*VLOOKUP($D56,素材!$1:$1016,COLUMN($E$1),FALSE)/(LEN(VLOOKUP($D56,素材!$1:$1016,COLUMN($F$1),FALSE))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Z56">
        <f>IF(ISNUMBER(SEARCH(SUBSTITUTE(AZ$1,RIGHT(AZ$1,2),""),VLOOKUP($D56,素材!$1:$1016,COLUMN($F$1),FALSE))),VLOOKUP($C56,装備品!$1:$998,COLUMN($O$1),FALSE)*VLOOKUP($D56,素材!$1:$1016,COLUMN($E$1),FALSE)/(LEN(VLOOKUP($D56,素材!$1:$1016,COLUMN($F$1),FALSE))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BA56">
        <f>IF(ISNUMBER(SEARCH(SUBSTITUTE(BA$1,RIGHT(BA$1,2),""),VLOOKUP($D56,素材!$1:$1016,COLUMN($F$1),FALSE))),VLOOKUP($C56,装備品!$1:$998,COLUMN($O$1),FALSE)*VLOOKUP($D56,素材!$1:$1016,COLUMN($E$1),FALSE)/(LEN(VLOOKUP($D56,素材!$1:$1016,COLUMN($F$1),FALSE))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BB56">
        <f>IF(ISNUMBER(SEARCH(SUBSTITUTE(BB$1,RIGHT(BB$1,2),""),VLOOKUP($D56,素材!$1:$1016,COLUMN($F$1),FALSE))),VLOOKUP($C56,装備品!$1:$998,COLUMN($O$1),FALSE)*VLOOKUP($D56,素材!$1:$1016,COLUMN($E$1),FALSE)/(LEN(VLOOKUP($D56,素材!$1:$1016,COLUMN($F$1),FALSE))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BC56">
        <f>IF(ISNUMBER(SEARCH(SUBSTITUTE(BC$1,RIGHT(BC$1,2),""),VLOOKUP($D56,素材!$1:$1016,COLUMN($F$1),FALSE))),VLOOKUP($C56,装備品!$1:$998,COLUMN($O$1),FALSE)*VLOOKUP($D56,素材!$1:$1016,COLUMN($E$1),FALSE)/(LEN(VLOOKUP($D56,素材!$1:$1016,COLUMN($F$1),FALSE))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BD56">
        <f>IF(ISNUMBER(SEARCH(SUBSTITUTE(BD$1,RIGHT(BD$1,2),""),VLOOKUP($D56,素材!$1:$1016,COLUMN($F$1),FALSE))),VLOOKUP($C56,装備品!$1:$998,COLUMN($O$1),FALSE)*VLOOKUP($D56,素材!$1:$1016,COLUMN($E$1),FALSE)/(LEN(VLOOKUP($D56,素材!$1:$1016,COLUMN($F$1),FALSE))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BE56">
        <f>IF(ISNUMBER(SEARCH(SUBSTITUTE(BE$1,RIGHT(BE$1,2),""),VLOOKUP($D56,素材!$1:$1016,COLUMN($F$1),FALSE))),VLOOKUP($C56,装備品!$1:$998,COLUMN($O$1),FALSE)*VLOOKUP($D56,素材!$1:$1016,COLUMN($E$1),FALSE)/(LEN(VLOOKUP($D56,素材!$1:$1016,COLUMN($F$1),FALSE))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CL56">
        <f t="shared" si="1"/>
        <v>18</v>
      </c>
      <c r="CM56" s="22" t="str">
        <f t="shared" si="2"/>
        <v>打撃.webp</v>
      </c>
      <c r="CN56">
        <f>IFERROR(VLOOKUP($C56,装備品!$1:$998,COLUMN(V$1),FALSE)*VLOOKUP($D56,素材!$1:$1016,COLUMN(N$1),FALSE)+IF(CI56="",0,VLOOKUP($CI56,付与!$1:$1176,COLUMN($CK$1),FALSE)),"")</f>
        <v>0</v>
      </c>
      <c r="CO56" t="str">
        <f>VLOOKUP(D56,素材!$A:$O,COLUMN(素材!O$1),FALSE)</f>
        <v>一般的な木材。金属より軽いが少し脆い</v>
      </c>
      <c r="CP56" t="str">
        <f>VLOOKUP(C56,装備品!$A:$AB,COLUMN(装備品!AB$1),FALSE)</f>
        <v>戦鎚。重い打撃を与える強力な武器。</v>
      </c>
      <c r="CR56" t="str">
        <f t="shared" si="3"/>
        <v>e_56</v>
      </c>
      <c r="CS56">
        <f t="shared" si="4"/>
        <v>0</v>
      </c>
    </row>
    <row r="57" spans="1:97" outlineLevel="1" x14ac:dyDescent="0.4">
      <c r="A57" t="str">
        <f t="shared" si="5"/>
        <v>木の鎌</v>
      </c>
      <c r="B57" t="str">
        <f>IFERROR(VLOOKUP($D57,素材!$1:$1016,COLUMN($B$1),FALSE)&amp;"・"&amp;VLOOKUP($C57,装備品!$1:$998,COLUMN(B$1),FALSE),"")</f>
        <v>ウッド・シックル</v>
      </c>
      <c r="C57" t="s">
        <v>224</v>
      </c>
      <c r="D57" s="24" t="s">
        <v>254</v>
      </c>
      <c r="E57" t="str">
        <f>IFERROR(VLOOKUP(C57,装備品!$1:$998,COLUMN(C$1),FALSE),"")</f>
        <v>武器</v>
      </c>
      <c r="F57">
        <f>IFERROR(ROUNDDOWN((VLOOKUP($C57,装備品!$1:$998,COLUMN(D$1),FALSE)+IFERROR(VLOOKUP($CI57,付与!$1:$1167,COLUMN(F$1),FALSE),0))*VLOOKUP($D57,素材!$1:$1016,COLUMN(D$1),FALSE),0),"")</f>
        <v>93</v>
      </c>
      <c r="G57">
        <f>IFERROR(ROUNDDOWN((VLOOKUP($C57,装備品!$1:$998,COLUMN(E$1),FALSE)+IFERROR(VLOOKUP($CI57,付与!$1:$1167,COLUMN(G$1),FALSE),0))*VLOOKUP($D57,素材!$1:$1016,COLUMN($E$1),FALSE),0),"")</f>
        <v>6</v>
      </c>
      <c r="H57">
        <f>IFERROR(ROUNDDOWN((VLOOKUP($C57,装備品!$1:$998,COLUMN(F$1),FALSE)+IFERROR(VLOOKUP($CI57,付与!$1:$1167,COLUMN(H$1),FALSE),0))*VLOOKUP($D57,素材!$1:$1016,COLUMN($E$1),FALSE),0),"")</f>
        <v>8</v>
      </c>
      <c r="I57">
        <f>IFERROR(ROUNDDOWN((VLOOKUP($C57,装備品!$1:$998,COLUMN(G$1),FALSE)+IFERROR(VLOOKUP($CI57,付与!$1:$1167,COLUMN(I$1),FALSE),0))*VLOOKUP($D57,素材!$1:$1016,COLUMN($E$1),FALSE),0),"")</f>
        <v>0</v>
      </c>
      <c r="J57">
        <f>IFERROR(ROUNDDOWN((VLOOKUP($C57,装備品!$1:$998,COLUMN(H$1),FALSE)+IFERROR(VLOOKUP($CI57,付与!$1:$1167,COLUMN(J$1),FALSE),0))*VLOOKUP($D57,素材!$1:$1016,COLUMN($E$1),FALSE),0),"")</f>
        <v>12</v>
      </c>
      <c r="K57">
        <f>IFERROR(ROUNDDOWN((VLOOKUP($C57,装備品!$1:$998,COLUMN(I$1),FALSE)+IFERROR(VLOOKUP($CI57,付与!$1:$1167,COLUMN(K$1),FALSE),0))*VLOOKUP($D57,素材!$1:$1016,COLUMN($E$1),FALSE),0),"")</f>
        <v>0</v>
      </c>
      <c r="L57">
        <f>IFERROR(VLOOKUP($D57,素材!$1:$1016,COLUMN($F$1),FALSE),"")</f>
        <v>0</v>
      </c>
      <c r="M57">
        <f>IFERROR(VLOOKUP($C57,装備品!$1:$998,COLUMN(AA$1),FALSE)*VLOOKUP($D57,素材!$1:$1016,COLUMN($G$1),FALSE),"")</f>
        <v>0</v>
      </c>
      <c r="N57">
        <f>IFERROR(VLOOKUP($C57,装備品!$1:$998,COLUMN(I$1),FALSE),"")</f>
        <v>0</v>
      </c>
      <c r="O57" s="23">
        <f>IFERROR((VLOOKUP($C57,装備品!$1:$998,COLUMN(K$1),FALSE)+VLOOKUP($D57,素材!$1:$1016,COLUMN(H$1),FALSE))*100+IFERROR(VLOOKUP($CI57,付与!$1:$1167,COLUMN(O$1),FALSE),0),"")</f>
        <v>5</v>
      </c>
      <c r="P57" s="23">
        <f>IFERROR((VLOOKUP($C57,装備品!$1:$998,COLUMN(L$1),FALSE)+VLOOKUP($D57,素材!$1:$1016,COLUMN(I$1),FALSE))*100+IFERROR(VLOOKUP($CI57,付与!$1:$1167,COLUMN(P$1),FALSE),0),"")</f>
        <v>200</v>
      </c>
      <c r="Q57">
        <f>IFERROR(ROUNDUP(VLOOKUP($C57,装備品!$1:$998,COLUMN(M$1),FALSE)*(VLOOKUP($D57,素材!$1:$1002,COLUMN(D$1),FALSE)/100),1),"")</f>
        <v>0</v>
      </c>
      <c r="R57">
        <f>IFERROR(ROUNDUP(VLOOKUP($C57,装備品!$1:$998,COLUMN(N$1),FALSE)*(VLOOKUP($D57,素材!$1:$1002,COLUMN(D$1),FALSE)/100),1),"")</f>
        <v>0</v>
      </c>
      <c r="S57">
        <f>IFERROR(VLOOKUP($C57,装備品!$1:$998,COLUMN(P$1),FALSE),"")</f>
        <v>0</v>
      </c>
      <c r="T57">
        <f>IFERROR(VLOOKUP($C57,装備品!$1:$998,COLUMN(Q$1),FALSE),"")</f>
        <v>0</v>
      </c>
      <c r="U57">
        <f>IFERROR(VLOOKUP($C57,装備品!$1:$998,COLUMN(R$1),FALSE),"")</f>
        <v>0</v>
      </c>
      <c r="V57">
        <f>IFERROR(VLOOKUP($C57,装備品!$1:$998,COLUMN(Q$1),FALSE),"")</f>
        <v>0</v>
      </c>
      <c r="W57">
        <f>IFERROR(VLOOKUP($C57,装備品!$1:$998,COLUMN(T$1),FALSE),"")</f>
        <v>0</v>
      </c>
      <c r="Y57">
        <f>IFERROR(VLOOKUP($C57,装備品!$1:$998,COLUMN(U$1),FALSE),"")</f>
        <v>0</v>
      </c>
      <c r="Z57">
        <f>IFERROR(ROUNDUP(VLOOKUP($C57,装備品!$1:$998,COLUMN(O$1),FALSE)*VLOOKUP($D57,素材!$1:$1016,COLUMN(E$1),FALSE),1),"")</f>
        <v>0</v>
      </c>
      <c r="AA57">
        <f>IF(ISNUMBER(SEARCH(SUBSTITUTE(AA$1,RIGHT(AA$1,2),""),VLOOKUP($D57,素材!$1:$1016,COLUMN($F$1),FALSE))),VLOOKUP($C57,装備品!$1:$998,COLUMN($O$1),FALSE)*VLOOKUP($D57,素材!$1:$1016,COLUMN($E$1),FALSE)/(LEN(VLOOKUP($D57,素材!$1:$1016,COLUMN($F$1),FALSE))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B57">
        <f>IF(ISNUMBER(SEARCH(SUBSTITUTE(AB$1,RIGHT(AB$1,2),""),VLOOKUP($D57,素材!$1:$1016,COLUMN($F$1),FALSE))),VLOOKUP($C57,装備品!$1:$998,COLUMN($O$1),FALSE)*VLOOKUP($D57,素材!$1:$1016,COLUMN($E$1),FALSE)/(LEN(VLOOKUP($D57,素材!$1:$1016,COLUMN($F$1),FALSE))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C57">
        <f>IF(ISNUMBER(SEARCH(SUBSTITUTE(AC$1,RIGHT(AC$1,2),""),VLOOKUP($D57,素材!$1:$1016,COLUMN($F$1),FALSE))),VLOOKUP($C57,装備品!$1:$998,COLUMN($O$1),FALSE)*VLOOKUP($D57,素材!$1:$1016,COLUMN($E$1),FALSE)/(LEN(VLOOKUP($D57,素材!$1:$1016,COLUMN($F$1),FALSE))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D57">
        <f>IF(ISNUMBER(SEARCH(SUBSTITUTE(AD$1,RIGHT(AD$1,2),""),VLOOKUP($D57,素材!$1:$1016,COLUMN($F$1),FALSE))),VLOOKUP($C57,装備品!$1:$998,COLUMN($O$1),FALSE)*VLOOKUP($D57,素材!$1:$1016,COLUMN($E$1),FALSE)/(LEN(VLOOKUP($D57,素材!$1:$1016,COLUMN($F$1),FALSE))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E57">
        <f>IF(ISNUMBER(SEARCH(SUBSTITUTE(AE$1,RIGHT(AE$1,2),""),VLOOKUP($D57,素材!$1:$1016,COLUMN($F$1),FALSE))),VLOOKUP($C57,装備品!$1:$998,COLUMN($O$1),FALSE)*VLOOKUP($D57,素材!$1:$1016,COLUMN($E$1),FALSE)/(LEN(VLOOKUP($D57,素材!$1:$1016,COLUMN($F$1),FALSE))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F57">
        <f>IF(ISNUMBER(SEARCH(SUBSTITUTE(AF$1,RIGHT(AF$1,2),""),VLOOKUP($D57,素材!$1:$1016,COLUMN($F$1),FALSE))),VLOOKUP($C57,装備品!$1:$998,COLUMN($O$1),FALSE)*VLOOKUP($D57,素材!$1:$1016,COLUMN($E$1),FALSE)/(LEN(VLOOKUP($D57,素材!$1:$1016,COLUMN($F$1),FALSE))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G57">
        <f>IF(ISNUMBER(SEARCH(SUBSTITUTE(AG$1,RIGHT(AG$1,2),""),VLOOKUP($D57,素材!$1:$1016,COLUMN($F$1),FALSE))),VLOOKUP($C57,装備品!$1:$998,COLUMN($O$1),FALSE)*VLOOKUP($D57,素材!$1:$1016,COLUMN($E$1),FALSE)/(LEN(VLOOKUP($D57,素材!$1:$1016,COLUMN($F$1),FALSE))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H57">
        <f>IF(ISNUMBER(SEARCH(SUBSTITUTE(AH$1,RIGHT(AH$1,2),""),VLOOKUP($D57,素材!$1:$1016,COLUMN($F$1),FALSE))),VLOOKUP($C57,装備品!$1:$998,COLUMN($O$1),FALSE)*VLOOKUP($D57,素材!$1:$1016,COLUMN($E$1),FALSE)/(LEN(VLOOKUP($D57,素材!$1:$1016,COLUMN($F$1),FALSE))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I57">
        <f>IF(ISNUMBER(SEARCH(SUBSTITUTE(AI$1,RIGHT(AI$1,2),""),VLOOKUP($D57,素材!$1:$1016,COLUMN($F$1),FALSE))),VLOOKUP($C57,装備品!$1:$998,COLUMN($O$1),FALSE)*VLOOKUP($D57,素材!$1:$1016,COLUMN($E$1),FALSE)/(LEN(VLOOKUP($D57,素材!$1:$1016,COLUMN($F$1),FALSE))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J57">
        <f>IF(ISNUMBER(SEARCH(SUBSTITUTE(AJ$1,RIGHT(AJ$1,2),""),VLOOKUP($D57,素材!$1:$1016,COLUMN($F$1),FALSE))),VLOOKUP($C57,装備品!$1:$998,COLUMN($O$1),FALSE)*VLOOKUP($D57,素材!$1:$1016,COLUMN($E$1),FALSE)/(LEN(VLOOKUP($D57,素材!$1:$1016,COLUMN($F$1),FALSE))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K57">
        <f>IF(ISNUMBER(SEARCH(SUBSTITUTE(AK$1,RIGHT(AK$1,2),""),VLOOKUP($D57,素材!$1:$1016,COLUMN($F$1),FALSE))),VLOOKUP($C57,装備品!$1:$998,COLUMN($O$1),FALSE)*VLOOKUP($D57,素材!$1:$1016,COLUMN($E$1),FALSE)/(LEN(VLOOKUP($D57,素材!$1:$1016,COLUMN($F$1),FALSE))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L57">
        <f>IF(ISNUMBER(SEARCH(SUBSTITUTE(AL$1,RIGHT(AL$1,2),""),VLOOKUP($D57,素材!$1:$1016,COLUMN($F$1),FALSE))),VLOOKUP($C57,装備品!$1:$998,COLUMN($O$1),FALSE)*VLOOKUP($D57,素材!$1:$1016,COLUMN($E$1),FALSE)/(LEN(VLOOKUP($D57,素材!$1:$1016,COLUMN($F$1),FALSE))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M57">
        <f>IF(ISNUMBER(SEARCH(SUBSTITUTE(AM$1,RIGHT(AM$1,2),""),VLOOKUP($D57,素材!$1:$1016,COLUMN($F$1),FALSE))),VLOOKUP($C57,装備品!$1:$998,COLUMN($O$1),FALSE)*VLOOKUP($D57,素材!$1:$1016,COLUMN($E$1),FALSE)/(LEN(VLOOKUP($D57,素材!$1:$1016,COLUMN($F$1),FALSE))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N57">
        <f>IF(ISNUMBER(SEARCH(SUBSTITUTE(AN$1,RIGHT(AN$1,2),""),VLOOKUP($D57,素材!$1:$1016,COLUMN($F$1),FALSE))),VLOOKUP($C57,装備品!$1:$998,COLUMN($O$1),FALSE)*VLOOKUP($D57,素材!$1:$1016,COLUMN($E$1),FALSE)/(LEN(VLOOKUP($D57,素材!$1:$1016,COLUMN($F$1),FALSE))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O57">
        <f>IF(ISNUMBER(SEARCH(SUBSTITUTE(AO$1,RIGHT(AO$1,2),""),VLOOKUP($D57,素材!$1:$1016,COLUMN($F$1),FALSE))),VLOOKUP($C57,装備品!$1:$998,COLUMN($O$1),FALSE)*VLOOKUP($D57,素材!$1:$1016,COLUMN($E$1),FALSE)/(LEN(VLOOKUP($D57,素材!$1:$1016,COLUMN($F$1),FALSE))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P57">
        <f>IF(ISNUMBER(SEARCH(SUBSTITUTE(AP$1,RIGHT(AP$1,2),""),VLOOKUP($D57,素材!$1:$1016,COLUMN($F$1),FALSE))),VLOOKUP($C57,装備品!$1:$998,COLUMN($O$1),FALSE)*VLOOKUP($D57,素材!$1:$1016,COLUMN($E$1),FALSE)/(LEN(VLOOKUP($D57,素材!$1:$1016,COLUMN($F$1),FALSE))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Q57">
        <f>IF(ISNUMBER(SEARCH(SUBSTITUTE(AQ$1,RIGHT(AQ$1,2),""),VLOOKUP($D57,素材!$1:$1016,COLUMN($F$1),FALSE))),VLOOKUP($C57,装備品!$1:$998,COLUMN($O$1),FALSE)*VLOOKUP($D57,素材!$1:$1016,COLUMN($E$1),FALSE)/(LEN(VLOOKUP($D57,素材!$1:$1016,COLUMN($F$1),FALSE))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R57">
        <f>IF(ISNUMBER(SEARCH(SUBSTITUTE(AR$1,RIGHT(AR$1,2),""),VLOOKUP($D57,素材!$1:$1016,COLUMN($F$1),FALSE))),VLOOKUP($C57,装備品!$1:$998,COLUMN($O$1),FALSE)*VLOOKUP($D57,素材!$1:$1016,COLUMN($E$1),FALSE)/(LEN(VLOOKUP($D57,素材!$1:$1016,COLUMN($F$1),FALSE))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S57">
        <f>IF(ISNUMBER(SEARCH(SUBSTITUTE(AS$1,RIGHT(AS$1,2),""),VLOOKUP($D57,素材!$1:$1016,COLUMN($F$1),FALSE))),VLOOKUP($C57,装備品!$1:$998,COLUMN($O$1),FALSE)*VLOOKUP($D57,素材!$1:$1016,COLUMN($E$1),FALSE)/(LEN(VLOOKUP($D57,素材!$1:$1016,COLUMN($F$1),FALSE))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T57">
        <f>IF(ISNUMBER(SEARCH(SUBSTITUTE(AT$1,RIGHT(AT$1,2),""),VLOOKUP($D57,素材!$1:$1016,COLUMN($F$1),FALSE))),VLOOKUP($C57,装備品!$1:$998,COLUMN($O$1),FALSE)*VLOOKUP($D57,素材!$1:$1016,COLUMN($E$1),FALSE)/(LEN(VLOOKUP($D57,素材!$1:$1016,COLUMN($F$1),FALSE))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U57">
        <f>IF(ISNUMBER(SEARCH(SUBSTITUTE(AU$1,RIGHT(AU$1,2),""),VLOOKUP($D57,素材!$1:$1016,COLUMN($F$1),FALSE))),VLOOKUP($C57,装備品!$1:$998,COLUMN($O$1),FALSE)*VLOOKUP($D57,素材!$1:$1016,COLUMN($E$1),FALSE)/(LEN(VLOOKUP($D57,素材!$1:$1016,COLUMN($F$1),FALSE))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V57">
        <f>IF(ISNUMBER(SEARCH(SUBSTITUTE(AV$1,RIGHT(AV$1,2),""),VLOOKUP($D57,素材!$1:$1016,COLUMN($F$1),FALSE))),VLOOKUP($C57,装備品!$1:$998,COLUMN($O$1),FALSE)*VLOOKUP($D57,素材!$1:$1016,COLUMN($E$1),FALSE)/(LEN(VLOOKUP($D57,素材!$1:$1016,COLUMN($F$1),FALSE))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W57">
        <f>IF(ISNUMBER(SEARCH(SUBSTITUTE(AW$1,RIGHT(AW$1,2),""),VLOOKUP($D57,素材!$1:$1016,COLUMN($F$1),FALSE))),VLOOKUP($C57,装備品!$1:$998,COLUMN($O$1),FALSE)*VLOOKUP($D57,素材!$1:$1016,COLUMN($E$1),FALSE)/(LEN(VLOOKUP($D57,素材!$1:$1016,COLUMN($F$1),FALSE))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X57">
        <f>IF(ISNUMBER(SEARCH(SUBSTITUTE(AX$1,RIGHT(AX$1,2),""),VLOOKUP($D57,素材!$1:$1016,COLUMN($F$1),FALSE))),VLOOKUP($C57,装備品!$1:$998,COLUMN($O$1),FALSE)*VLOOKUP($D57,素材!$1:$1016,COLUMN($E$1),FALSE)/(LEN(VLOOKUP($D57,素材!$1:$1016,COLUMN($F$1),FALSE))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Y57">
        <f>IF(ISNUMBER(SEARCH(SUBSTITUTE(AY$1,RIGHT(AY$1,2),""),VLOOKUP($D57,素材!$1:$1016,COLUMN($F$1),FALSE))),VLOOKUP($C57,装備品!$1:$998,COLUMN($O$1),FALSE)*VLOOKUP($D57,素材!$1:$1016,COLUMN($E$1),FALSE)/(LEN(VLOOKUP($D57,素材!$1:$1016,COLUMN($F$1),FALSE))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Z57">
        <f>IF(ISNUMBER(SEARCH(SUBSTITUTE(AZ$1,RIGHT(AZ$1,2),""),VLOOKUP($D57,素材!$1:$1016,COLUMN($F$1),FALSE))),VLOOKUP($C57,装備品!$1:$998,COLUMN($O$1),FALSE)*VLOOKUP($D57,素材!$1:$1016,COLUMN($E$1),FALSE)/(LEN(VLOOKUP($D57,素材!$1:$1016,COLUMN($F$1),FALSE))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BA57">
        <f>IF(ISNUMBER(SEARCH(SUBSTITUTE(BA$1,RIGHT(BA$1,2),""),VLOOKUP($D57,素材!$1:$1016,COLUMN($F$1),FALSE))),VLOOKUP($C57,装備品!$1:$998,COLUMN($O$1),FALSE)*VLOOKUP($D57,素材!$1:$1016,COLUMN($E$1),FALSE)/(LEN(VLOOKUP($D57,素材!$1:$1016,COLUMN($F$1),FALSE))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BB57">
        <f>IF(ISNUMBER(SEARCH(SUBSTITUTE(BB$1,RIGHT(BB$1,2),""),VLOOKUP($D57,素材!$1:$1016,COLUMN($F$1),FALSE))),VLOOKUP($C57,装備品!$1:$998,COLUMN($O$1),FALSE)*VLOOKUP($D57,素材!$1:$1016,COLUMN($E$1),FALSE)/(LEN(VLOOKUP($D57,素材!$1:$1016,COLUMN($F$1),FALSE))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BC57">
        <f>IF(ISNUMBER(SEARCH(SUBSTITUTE(BC$1,RIGHT(BC$1,2),""),VLOOKUP($D57,素材!$1:$1016,COLUMN($F$1),FALSE))),VLOOKUP($C57,装備品!$1:$998,COLUMN($O$1),FALSE)*VLOOKUP($D57,素材!$1:$1016,COLUMN($E$1),FALSE)/(LEN(VLOOKUP($D57,素材!$1:$1016,COLUMN($F$1),FALSE))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BD57">
        <f>IF(ISNUMBER(SEARCH(SUBSTITUTE(BD$1,RIGHT(BD$1,2),""),VLOOKUP($D57,素材!$1:$1016,COLUMN($F$1),FALSE))),VLOOKUP($C57,装備品!$1:$998,COLUMN($O$1),FALSE)*VLOOKUP($D57,素材!$1:$1016,COLUMN($E$1),FALSE)/(LEN(VLOOKUP($D57,素材!$1:$1016,COLUMN($F$1),FALSE))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BE57">
        <f>IF(ISNUMBER(SEARCH(SUBSTITUTE(BE$1,RIGHT(BE$1,2),""),VLOOKUP($D57,素材!$1:$1016,COLUMN($F$1),FALSE))),VLOOKUP($C57,装備品!$1:$998,COLUMN($O$1),FALSE)*VLOOKUP($D57,素材!$1:$1016,COLUMN($E$1),FALSE)/(LEN(VLOOKUP($D57,素材!$1:$1016,COLUMN($F$1),FALSE))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CL57">
        <f t="shared" si="1"/>
        <v>14</v>
      </c>
      <c r="CM57" s="22" t="str">
        <f t="shared" si="2"/>
        <v>貫通.webp</v>
      </c>
      <c r="CN57">
        <f>IFERROR(VLOOKUP($C57,装備品!$1:$998,COLUMN(V$1),FALSE)*VLOOKUP($D57,素材!$1:$1016,COLUMN(N$1),FALSE)+IF(CI57="",0,VLOOKUP($CI57,付与!$1:$1176,COLUMN($CK$1),FALSE)),"")</f>
        <v>0</v>
      </c>
      <c r="CO57" t="str">
        <f>VLOOKUP(D57,素材!$A:$O,COLUMN(素材!O$1),FALSE)</f>
        <v>一般的な木材。金属より軽いが少し脆い</v>
      </c>
      <c r="CP57" t="str">
        <f>VLOOKUP(C57,装備品!$A:$AB,COLUMN(装備品!AB$1),FALSE)</f>
        <v>鎌。農具を転用した武器で、鋭い斬撃を与える。</v>
      </c>
      <c r="CR57" t="str">
        <f t="shared" si="3"/>
        <v>e_57</v>
      </c>
      <c r="CS57">
        <f t="shared" si="4"/>
        <v>0</v>
      </c>
    </row>
    <row r="58" spans="1:97" outlineLevel="1" x14ac:dyDescent="0.4">
      <c r="A58" t="str">
        <f t="shared" si="5"/>
        <v>木の戦斧</v>
      </c>
      <c r="B58" t="str">
        <f>IFERROR(VLOOKUP($D58,素材!$1:$1016,COLUMN($B$1),FALSE)&amp;"・"&amp;VLOOKUP($C58,装備品!$1:$998,COLUMN(B$1),FALSE),"")</f>
        <v>ウッド・バトルアックス</v>
      </c>
      <c r="C58" t="s">
        <v>223</v>
      </c>
      <c r="D58" s="24" t="s">
        <v>254</v>
      </c>
      <c r="E58" t="str">
        <f>IFERROR(VLOOKUP(C58,装備品!$1:$998,COLUMN(C$1),FALSE),"")</f>
        <v>武器</v>
      </c>
      <c r="F58">
        <f>IFERROR(ROUNDDOWN((VLOOKUP($C58,装備品!$1:$998,COLUMN(D$1),FALSE)+IFERROR(VLOOKUP($CI58,付与!$1:$1167,COLUMN(F$1),FALSE),0))*VLOOKUP($D58,素材!$1:$1016,COLUMN(D$1),FALSE),0),"")</f>
        <v>86</v>
      </c>
      <c r="G58">
        <f>IFERROR(ROUNDDOWN((VLOOKUP($C58,装備品!$1:$998,COLUMN(E$1),FALSE)+IFERROR(VLOOKUP($CI58,付与!$1:$1167,COLUMN(G$1),FALSE),0))*VLOOKUP($D58,素材!$1:$1016,COLUMN($E$1),FALSE),0),"")</f>
        <v>14</v>
      </c>
      <c r="H58">
        <f>IFERROR(ROUNDDOWN((VLOOKUP($C58,装備品!$1:$998,COLUMN(F$1),FALSE)+IFERROR(VLOOKUP($CI58,付与!$1:$1167,COLUMN(H$1),FALSE),0))*VLOOKUP($D58,素材!$1:$1016,COLUMN($E$1),FALSE),0),"")</f>
        <v>0</v>
      </c>
      <c r="I58">
        <f>IFERROR(ROUNDDOWN((VLOOKUP($C58,装備品!$1:$998,COLUMN(G$1),FALSE)+IFERROR(VLOOKUP($CI58,付与!$1:$1167,COLUMN(I$1),FALSE),0))*VLOOKUP($D58,素材!$1:$1016,COLUMN($E$1),FALSE),0),"")</f>
        <v>4</v>
      </c>
      <c r="J58">
        <f>IFERROR(ROUNDDOWN((VLOOKUP($C58,装備品!$1:$998,COLUMN(H$1),FALSE)+IFERROR(VLOOKUP($CI58,付与!$1:$1167,COLUMN(J$1),FALSE),0))*VLOOKUP($D58,素材!$1:$1016,COLUMN($E$1),FALSE),0),"")</f>
        <v>15</v>
      </c>
      <c r="K58">
        <f>IFERROR(ROUNDDOWN((VLOOKUP($C58,装備品!$1:$998,COLUMN(I$1),FALSE)+IFERROR(VLOOKUP($CI58,付与!$1:$1167,COLUMN(K$1),FALSE),0))*VLOOKUP($D58,素材!$1:$1016,COLUMN($E$1),FALSE),0),"")</f>
        <v>0</v>
      </c>
      <c r="L58">
        <f>IFERROR(VLOOKUP($D58,素材!$1:$1016,COLUMN($F$1),FALSE),"")</f>
        <v>0</v>
      </c>
      <c r="M58">
        <f>IFERROR(VLOOKUP($C58,装備品!$1:$998,COLUMN(AA$1),FALSE)*VLOOKUP($D58,素材!$1:$1016,COLUMN($G$1),FALSE),"")</f>
        <v>0</v>
      </c>
      <c r="N58">
        <f>IFERROR(VLOOKUP($C58,装備品!$1:$998,COLUMN(I$1),FALSE),"")</f>
        <v>0</v>
      </c>
      <c r="O58" s="23">
        <f>IFERROR((VLOOKUP($C58,装備品!$1:$998,COLUMN(K$1),FALSE)+VLOOKUP($D58,素材!$1:$1016,COLUMN(H$1),FALSE))*100+IFERROR(VLOOKUP($CI58,付与!$1:$1167,COLUMN(O$1),FALSE),0),"")</f>
        <v>5</v>
      </c>
      <c r="P58" s="23">
        <f>IFERROR((VLOOKUP($C58,装備品!$1:$998,COLUMN(L$1),FALSE)+VLOOKUP($D58,素材!$1:$1016,COLUMN(I$1),FALSE))*100+IFERROR(VLOOKUP($CI58,付与!$1:$1167,COLUMN(P$1),FALSE),0),"")</f>
        <v>175</v>
      </c>
      <c r="Q58">
        <f>IFERROR(ROUNDUP(VLOOKUP($C58,装備品!$1:$998,COLUMN(M$1),FALSE)*(VLOOKUP($D58,素材!$1:$1002,COLUMN(D$1),FALSE)/100),1),"")</f>
        <v>-1.9000000000000001</v>
      </c>
      <c r="R58">
        <f>IFERROR(ROUNDUP(VLOOKUP($C58,装備品!$1:$998,COLUMN(N$1),FALSE)*(VLOOKUP($D58,素材!$1:$1002,COLUMN(D$1),FALSE)/100),1),"")</f>
        <v>0</v>
      </c>
      <c r="S58">
        <f>IFERROR(VLOOKUP($C58,装備品!$1:$998,COLUMN(P$1),FALSE),"")</f>
        <v>0</v>
      </c>
      <c r="T58">
        <f>IFERROR(VLOOKUP($C58,装備品!$1:$998,COLUMN(Q$1),FALSE),"")</f>
        <v>0</v>
      </c>
      <c r="U58">
        <f>IFERROR(VLOOKUP($C58,装備品!$1:$998,COLUMN(R$1),FALSE),"")</f>
        <v>0</v>
      </c>
      <c r="V58">
        <f>IFERROR(VLOOKUP($C58,装備品!$1:$998,COLUMN(Q$1),FALSE),"")</f>
        <v>0</v>
      </c>
      <c r="W58">
        <f>IFERROR(VLOOKUP($C58,装備品!$1:$998,COLUMN(T$1),FALSE),"")</f>
        <v>0</v>
      </c>
      <c r="Y58">
        <f>IFERROR(VLOOKUP($C58,装備品!$1:$998,COLUMN(U$1),FALSE),"")</f>
        <v>0</v>
      </c>
      <c r="Z58">
        <f>IFERROR(ROUNDUP(VLOOKUP($C58,装備品!$1:$998,COLUMN(O$1),FALSE)*VLOOKUP($D58,素材!$1:$1016,COLUMN(E$1),FALSE),1),"")</f>
        <v>0</v>
      </c>
      <c r="AA58">
        <f>IF(ISNUMBER(SEARCH(SUBSTITUTE(AA$1,RIGHT(AA$1,2),""),VLOOKUP($D58,素材!$1:$1016,COLUMN($F$1),FALSE))),VLOOKUP($C58,装備品!$1:$998,COLUMN($O$1),FALSE)*VLOOKUP($D58,素材!$1:$1016,COLUMN($E$1),FALSE)/(LEN(VLOOKUP($D58,素材!$1:$1016,COLUMN($F$1),FALSE))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B58">
        <f>IF(ISNUMBER(SEARCH(SUBSTITUTE(AB$1,RIGHT(AB$1,2),""),VLOOKUP($D58,素材!$1:$1016,COLUMN($F$1),FALSE))),VLOOKUP($C58,装備品!$1:$998,COLUMN($O$1),FALSE)*VLOOKUP($D58,素材!$1:$1016,COLUMN($E$1),FALSE)/(LEN(VLOOKUP($D58,素材!$1:$1016,COLUMN($F$1),FALSE))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C58">
        <f>IF(ISNUMBER(SEARCH(SUBSTITUTE(AC$1,RIGHT(AC$1,2),""),VLOOKUP($D58,素材!$1:$1016,COLUMN($F$1),FALSE))),VLOOKUP($C58,装備品!$1:$998,COLUMN($O$1),FALSE)*VLOOKUP($D58,素材!$1:$1016,COLUMN($E$1),FALSE)/(LEN(VLOOKUP($D58,素材!$1:$1016,COLUMN($F$1),FALSE))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D58">
        <f>IF(ISNUMBER(SEARCH(SUBSTITUTE(AD$1,RIGHT(AD$1,2),""),VLOOKUP($D58,素材!$1:$1016,COLUMN($F$1),FALSE))),VLOOKUP($C58,装備品!$1:$998,COLUMN($O$1),FALSE)*VLOOKUP($D58,素材!$1:$1016,COLUMN($E$1),FALSE)/(LEN(VLOOKUP($D58,素材!$1:$1016,COLUMN($F$1),FALSE))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E58">
        <f>IF(ISNUMBER(SEARCH(SUBSTITUTE(AE$1,RIGHT(AE$1,2),""),VLOOKUP($D58,素材!$1:$1016,COLUMN($F$1),FALSE))),VLOOKUP($C58,装備品!$1:$998,COLUMN($O$1),FALSE)*VLOOKUP($D58,素材!$1:$1016,COLUMN($E$1),FALSE)/(LEN(VLOOKUP($D58,素材!$1:$1016,COLUMN($F$1),FALSE))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F58">
        <f>IF(ISNUMBER(SEARCH(SUBSTITUTE(AF$1,RIGHT(AF$1,2),""),VLOOKUP($D58,素材!$1:$1016,COLUMN($F$1),FALSE))),VLOOKUP($C58,装備品!$1:$998,COLUMN($O$1),FALSE)*VLOOKUP($D58,素材!$1:$1016,COLUMN($E$1),FALSE)/(LEN(VLOOKUP($D58,素材!$1:$1016,COLUMN($F$1),FALSE))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G58">
        <f>IF(ISNUMBER(SEARCH(SUBSTITUTE(AG$1,RIGHT(AG$1,2),""),VLOOKUP($D58,素材!$1:$1016,COLUMN($F$1),FALSE))),VLOOKUP($C58,装備品!$1:$998,COLUMN($O$1),FALSE)*VLOOKUP($D58,素材!$1:$1016,COLUMN($E$1),FALSE)/(LEN(VLOOKUP($D58,素材!$1:$1016,COLUMN($F$1),FALSE))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H58">
        <f>IF(ISNUMBER(SEARCH(SUBSTITUTE(AH$1,RIGHT(AH$1,2),""),VLOOKUP($D58,素材!$1:$1016,COLUMN($F$1),FALSE))),VLOOKUP($C58,装備品!$1:$998,COLUMN($O$1),FALSE)*VLOOKUP($D58,素材!$1:$1016,COLUMN($E$1),FALSE)/(LEN(VLOOKUP($D58,素材!$1:$1016,COLUMN($F$1),FALSE))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I58">
        <f>IF(ISNUMBER(SEARCH(SUBSTITUTE(AI$1,RIGHT(AI$1,2),""),VLOOKUP($D58,素材!$1:$1016,COLUMN($F$1),FALSE))),VLOOKUP($C58,装備品!$1:$998,COLUMN($O$1),FALSE)*VLOOKUP($D58,素材!$1:$1016,COLUMN($E$1),FALSE)/(LEN(VLOOKUP($D58,素材!$1:$1016,COLUMN($F$1),FALSE))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J58">
        <f>IF(ISNUMBER(SEARCH(SUBSTITUTE(AJ$1,RIGHT(AJ$1,2),""),VLOOKUP($D58,素材!$1:$1016,COLUMN($F$1),FALSE))),VLOOKUP($C58,装備品!$1:$998,COLUMN($O$1),FALSE)*VLOOKUP($D58,素材!$1:$1016,COLUMN($E$1),FALSE)/(LEN(VLOOKUP($D58,素材!$1:$1016,COLUMN($F$1),FALSE))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K58">
        <f>IF(ISNUMBER(SEARCH(SUBSTITUTE(AK$1,RIGHT(AK$1,2),""),VLOOKUP($D58,素材!$1:$1016,COLUMN($F$1),FALSE))),VLOOKUP($C58,装備品!$1:$998,COLUMN($O$1),FALSE)*VLOOKUP($D58,素材!$1:$1016,COLUMN($E$1),FALSE)/(LEN(VLOOKUP($D58,素材!$1:$1016,COLUMN($F$1),FALSE))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L58">
        <f>IF(ISNUMBER(SEARCH(SUBSTITUTE(AL$1,RIGHT(AL$1,2),""),VLOOKUP($D58,素材!$1:$1016,COLUMN($F$1),FALSE))),VLOOKUP($C58,装備品!$1:$998,COLUMN($O$1),FALSE)*VLOOKUP($D58,素材!$1:$1016,COLUMN($E$1),FALSE)/(LEN(VLOOKUP($D58,素材!$1:$1016,COLUMN($F$1),FALSE))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M58">
        <f>IF(ISNUMBER(SEARCH(SUBSTITUTE(AM$1,RIGHT(AM$1,2),""),VLOOKUP($D58,素材!$1:$1016,COLUMN($F$1),FALSE))),VLOOKUP($C58,装備品!$1:$998,COLUMN($O$1),FALSE)*VLOOKUP($D58,素材!$1:$1016,COLUMN($E$1),FALSE)/(LEN(VLOOKUP($D58,素材!$1:$1016,COLUMN($F$1),FALSE))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N58">
        <f>IF(ISNUMBER(SEARCH(SUBSTITUTE(AN$1,RIGHT(AN$1,2),""),VLOOKUP($D58,素材!$1:$1016,COLUMN($F$1),FALSE))),VLOOKUP($C58,装備品!$1:$998,COLUMN($O$1),FALSE)*VLOOKUP($D58,素材!$1:$1016,COLUMN($E$1),FALSE)/(LEN(VLOOKUP($D58,素材!$1:$1016,COLUMN($F$1),FALSE))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O58">
        <f>IF(ISNUMBER(SEARCH(SUBSTITUTE(AO$1,RIGHT(AO$1,2),""),VLOOKUP($D58,素材!$1:$1016,COLUMN($F$1),FALSE))),VLOOKUP($C58,装備品!$1:$998,COLUMN($O$1),FALSE)*VLOOKUP($D58,素材!$1:$1016,COLUMN($E$1),FALSE)/(LEN(VLOOKUP($D58,素材!$1:$1016,COLUMN($F$1),FALSE))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P58">
        <f>IF(ISNUMBER(SEARCH(SUBSTITUTE(AP$1,RIGHT(AP$1,2),""),VLOOKUP($D58,素材!$1:$1016,COLUMN($F$1),FALSE))),VLOOKUP($C58,装備品!$1:$998,COLUMN($O$1),FALSE)*VLOOKUP($D58,素材!$1:$1016,COLUMN($E$1),FALSE)/(LEN(VLOOKUP($D58,素材!$1:$1016,COLUMN($F$1),FALSE))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Q58">
        <f>IF(ISNUMBER(SEARCH(SUBSTITUTE(AQ$1,RIGHT(AQ$1,2),""),VLOOKUP($D58,素材!$1:$1016,COLUMN($F$1),FALSE))),VLOOKUP($C58,装備品!$1:$998,COLUMN($O$1),FALSE)*VLOOKUP($D58,素材!$1:$1016,COLUMN($E$1),FALSE)/(LEN(VLOOKUP($D58,素材!$1:$1016,COLUMN($F$1),FALSE))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R58">
        <f>IF(ISNUMBER(SEARCH(SUBSTITUTE(AR$1,RIGHT(AR$1,2),""),VLOOKUP($D58,素材!$1:$1016,COLUMN($F$1),FALSE))),VLOOKUP($C58,装備品!$1:$998,COLUMN($O$1),FALSE)*VLOOKUP($D58,素材!$1:$1016,COLUMN($E$1),FALSE)/(LEN(VLOOKUP($D58,素材!$1:$1016,COLUMN($F$1),FALSE))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S58">
        <f>IF(ISNUMBER(SEARCH(SUBSTITUTE(AS$1,RIGHT(AS$1,2),""),VLOOKUP($D58,素材!$1:$1016,COLUMN($F$1),FALSE))),VLOOKUP($C58,装備品!$1:$998,COLUMN($O$1),FALSE)*VLOOKUP($D58,素材!$1:$1016,COLUMN($E$1),FALSE)/(LEN(VLOOKUP($D58,素材!$1:$1016,COLUMN($F$1),FALSE))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T58">
        <f>IF(ISNUMBER(SEARCH(SUBSTITUTE(AT$1,RIGHT(AT$1,2),""),VLOOKUP($D58,素材!$1:$1016,COLUMN($F$1),FALSE))),VLOOKUP($C58,装備品!$1:$998,COLUMN($O$1),FALSE)*VLOOKUP($D58,素材!$1:$1016,COLUMN($E$1),FALSE)/(LEN(VLOOKUP($D58,素材!$1:$1016,COLUMN($F$1),FALSE))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U58">
        <f>IF(ISNUMBER(SEARCH(SUBSTITUTE(AU$1,RIGHT(AU$1,2),""),VLOOKUP($D58,素材!$1:$1016,COLUMN($F$1),FALSE))),VLOOKUP($C58,装備品!$1:$998,COLUMN($O$1),FALSE)*VLOOKUP($D58,素材!$1:$1016,COLUMN($E$1),FALSE)/(LEN(VLOOKUP($D58,素材!$1:$1016,COLUMN($F$1),FALSE))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V58">
        <f>IF(ISNUMBER(SEARCH(SUBSTITUTE(AV$1,RIGHT(AV$1,2),""),VLOOKUP($D58,素材!$1:$1016,COLUMN($F$1),FALSE))),VLOOKUP($C58,装備品!$1:$998,COLUMN($O$1),FALSE)*VLOOKUP($D58,素材!$1:$1016,COLUMN($E$1),FALSE)/(LEN(VLOOKUP($D58,素材!$1:$1016,COLUMN($F$1),FALSE))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W58">
        <f>IF(ISNUMBER(SEARCH(SUBSTITUTE(AW$1,RIGHT(AW$1,2),""),VLOOKUP($D58,素材!$1:$1016,COLUMN($F$1),FALSE))),VLOOKUP($C58,装備品!$1:$998,COLUMN($O$1),FALSE)*VLOOKUP($D58,素材!$1:$1016,COLUMN($E$1),FALSE)/(LEN(VLOOKUP($D58,素材!$1:$1016,COLUMN($F$1),FALSE))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X58">
        <f>IF(ISNUMBER(SEARCH(SUBSTITUTE(AX$1,RIGHT(AX$1,2),""),VLOOKUP($D58,素材!$1:$1016,COLUMN($F$1),FALSE))),VLOOKUP($C58,装備品!$1:$998,COLUMN($O$1),FALSE)*VLOOKUP($D58,素材!$1:$1016,COLUMN($E$1),FALSE)/(LEN(VLOOKUP($D58,素材!$1:$1016,COLUMN($F$1),FALSE))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Y58">
        <f>IF(ISNUMBER(SEARCH(SUBSTITUTE(AY$1,RIGHT(AY$1,2),""),VLOOKUP($D58,素材!$1:$1016,COLUMN($F$1),FALSE))),VLOOKUP($C58,装備品!$1:$998,COLUMN($O$1),FALSE)*VLOOKUP($D58,素材!$1:$1016,COLUMN($E$1),FALSE)/(LEN(VLOOKUP($D58,素材!$1:$1016,COLUMN($F$1),FALSE))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Z58">
        <f>IF(ISNUMBER(SEARCH(SUBSTITUTE(AZ$1,RIGHT(AZ$1,2),""),VLOOKUP($D58,素材!$1:$1016,COLUMN($F$1),FALSE))),VLOOKUP($C58,装備品!$1:$998,COLUMN($O$1),FALSE)*VLOOKUP($D58,素材!$1:$1016,COLUMN($E$1),FALSE)/(LEN(VLOOKUP($D58,素材!$1:$1016,COLUMN($F$1),FALSE))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BA58">
        <f>IF(ISNUMBER(SEARCH(SUBSTITUTE(BA$1,RIGHT(BA$1,2),""),VLOOKUP($D58,素材!$1:$1016,COLUMN($F$1),FALSE))),VLOOKUP($C58,装備品!$1:$998,COLUMN($O$1),FALSE)*VLOOKUP($D58,素材!$1:$1016,COLUMN($E$1),FALSE)/(LEN(VLOOKUP($D58,素材!$1:$1016,COLUMN($F$1),FALSE))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BB58">
        <f>IF(ISNUMBER(SEARCH(SUBSTITUTE(BB$1,RIGHT(BB$1,2),""),VLOOKUP($D58,素材!$1:$1016,COLUMN($F$1),FALSE))),VLOOKUP($C58,装備品!$1:$998,COLUMN($O$1),FALSE)*VLOOKUP($D58,素材!$1:$1016,COLUMN($E$1),FALSE)/(LEN(VLOOKUP($D58,素材!$1:$1016,COLUMN($F$1),FALSE))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BC58">
        <f>IF(ISNUMBER(SEARCH(SUBSTITUTE(BC$1,RIGHT(BC$1,2),""),VLOOKUP($D58,素材!$1:$1016,COLUMN($F$1),FALSE))),VLOOKUP($C58,装備品!$1:$998,COLUMN($O$1),FALSE)*VLOOKUP($D58,素材!$1:$1016,COLUMN($E$1),FALSE)/(LEN(VLOOKUP($D58,素材!$1:$1016,COLUMN($F$1),FALSE))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BD58">
        <f>IF(ISNUMBER(SEARCH(SUBSTITUTE(BD$1,RIGHT(BD$1,2),""),VLOOKUP($D58,素材!$1:$1016,COLUMN($F$1),FALSE))),VLOOKUP($C58,装備品!$1:$998,COLUMN($O$1),FALSE)*VLOOKUP($D58,素材!$1:$1016,COLUMN($E$1),FALSE)/(LEN(VLOOKUP($D58,素材!$1:$1016,COLUMN($F$1),FALSE))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BE58">
        <f>IF(ISNUMBER(SEARCH(SUBSTITUTE(BE$1,RIGHT(BE$1,2),""),VLOOKUP($D58,素材!$1:$1016,COLUMN($F$1),FALSE))),VLOOKUP($C58,装備品!$1:$998,COLUMN($O$1),FALSE)*VLOOKUP($D58,素材!$1:$1016,COLUMN($E$1),FALSE)/(LEN(VLOOKUP($D58,素材!$1:$1016,COLUMN($F$1),FALSE))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CL58">
        <f t="shared" si="1"/>
        <v>18</v>
      </c>
      <c r="CM58" s="22" t="str">
        <f t="shared" si="2"/>
        <v>切断.webp</v>
      </c>
      <c r="CN58">
        <f>IFERROR(VLOOKUP($C58,装備品!$1:$998,COLUMN(V$1),FALSE)*VLOOKUP($D58,素材!$1:$1016,COLUMN(N$1),FALSE)+IF(CI58="",0,VLOOKUP($CI58,付与!$1:$1176,COLUMN($CK$1),FALSE)),"")</f>
        <v>0</v>
      </c>
      <c r="CO58" t="str">
        <f>VLOOKUP(D58,素材!$A:$O,COLUMN(素材!O$1),FALSE)</f>
        <v>一般的な木材。金属より軽いが少し脆い</v>
      </c>
      <c r="CP58" t="str">
        <f>VLOOKUP(C58,装備品!$A:$AB,COLUMN(装備品!AB$1),FALSE)</f>
        <v>戦斧。攻撃力が高く、重いが信頼性がある武器。</v>
      </c>
      <c r="CR58" t="str">
        <f t="shared" si="3"/>
        <v>e_58</v>
      </c>
      <c r="CS58">
        <f t="shared" si="4"/>
        <v>0</v>
      </c>
    </row>
    <row r="59" spans="1:97" outlineLevel="1" x14ac:dyDescent="0.4">
      <c r="A59" t="str">
        <f t="shared" si="5"/>
        <v>木の鞭</v>
      </c>
      <c r="B59" t="str">
        <f>IFERROR(VLOOKUP($D59,素材!$1:$1016,COLUMN($B$1),FALSE)&amp;"・"&amp;VLOOKUP($C59,装備品!$1:$998,COLUMN(B$1),FALSE),"")</f>
        <v>ウッド・ウィップ</v>
      </c>
      <c r="C59" t="s">
        <v>222</v>
      </c>
      <c r="D59" s="24" t="s">
        <v>254</v>
      </c>
      <c r="E59" t="str">
        <f>IFERROR(VLOOKUP(C59,装備品!$1:$998,COLUMN(C$1),FALSE),"")</f>
        <v>武器</v>
      </c>
      <c r="F59">
        <f>IFERROR(ROUNDDOWN((VLOOKUP($C59,装備品!$1:$998,COLUMN(D$1),FALSE)+IFERROR(VLOOKUP($CI59,付与!$1:$1167,COLUMN(F$1),FALSE),0))*VLOOKUP($D59,素材!$1:$1016,COLUMN(D$1),FALSE),0),"")</f>
        <v>78</v>
      </c>
      <c r="G59">
        <f>IFERROR(ROUNDDOWN((VLOOKUP($C59,装備品!$1:$998,COLUMN(E$1),FALSE)+IFERROR(VLOOKUP($CI59,付与!$1:$1167,COLUMN(G$1),FALSE),0))*VLOOKUP($D59,素材!$1:$1016,COLUMN($E$1),FALSE),0),"")</f>
        <v>13</v>
      </c>
      <c r="H59">
        <f>IFERROR(ROUNDDOWN((VLOOKUP($C59,装備品!$1:$998,COLUMN(F$1),FALSE)+IFERROR(VLOOKUP($CI59,付与!$1:$1167,COLUMN(H$1),FALSE),0))*VLOOKUP($D59,素材!$1:$1016,COLUMN($E$1),FALSE),0),"")</f>
        <v>0</v>
      </c>
      <c r="I59">
        <f>IFERROR(ROUNDDOWN((VLOOKUP($C59,装備品!$1:$998,COLUMN(G$1),FALSE)+IFERROR(VLOOKUP($CI59,付与!$1:$1167,COLUMN(I$1),FALSE),0))*VLOOKUP($D59,素材!$1:$1016,COLUMN($E$1),FALSE),0),"")</f>
        <v>3</v>
      </c>
      <c r="J59">
        <f>IFERROR(ROUNDDOWN((VLOOKUP($C59,装備品!$1:$998,COLUMN(H$1),FALSE)+IFERROR(VLOOKUP($CI59,付与!$1:$1167,COLUMN(J$1),FALSE),0))*VLOOKUP($D59,素材!$1:$1016,COLUMN($E$1),FALSE),0),"")</f>
        <v>8</v>
      </c>
      <c r="K59">
        <f>IFERROR(ROUNDDOWN((VLOOKUP($C59,装備品!$1:$998,COLUMN(I$1),FALSE)+IFERROR(VLOOKUP($CI59,付与!$1:$1167,COLUMN(K$1),FALSE),0))*VLOOKUP($D59,素材!$1:$1016,COLUMN($E$1),FALSE),0),"")</f>
        <v>0</v>
      </c>
      <c r="L59">
        <f>IFERROR(VLOOKUP($D59,素材!$1:$1016,COLUMN($F$1),FALSE),"")</f>
        <v>0</v>
      </c>
      <c r="M59">
        <f>IFERROR(VLOOKUP($C59,装備品!$1:$998,COLUMN(AA$1),FALSE)*VLOOKUP($D59,素材!$1:$1016,COLUMN($G$1),FALSE),"")</f>
        <v>0</v>
      </c>
      <c r="N59">
        <f>IFERROR(VLOOKUP($C59,装備品!$1:$998,COLUMN(I$1),FALSE),"")</f>
        <v>0</v>
      </c>
      <c r="O59" s="23">
        <f>IFERROR((VLOOKUP($C59,装備品!$1:$998,COLUMN(K$1),FALSE)+VLOOKUP($D59,素材!$1:$1016,COLUMN(H$1),FALSE))*100+IFERROR(VLOOKUP($CI59,付与!$1:$1167,COLUMN(O$1),FALSE),0),"")</f>
        <v>10</v>
      </c>
      <c r="P59" s="23">
        <f>IFERROR((VLOOKUP($C59,装備品!$1:$998,COLUMN(L$1),FALSE)+VLOOKUP($D59,素材!$1:$1016,COLUMN(I$1),FALSE))*100+IFERROR(VLOOKUP($CI59,付与!$1:$1167,COLUMN(P$1),FALSE),0),"")</f>
        <v>150</v>
      </c>
      <c r="Q59">
        <f>IFERROR(ROUNDUP(VLOOKUP($C59,装備品!$1:$998,COLUMN(M$1),FALSE)*(VLOOKUP($D59,素材!$1:$1002,COLUMN(D$1),FALSE)/100),1),"")</f>
        <v>0</v>
      </c>
      <c r="R59">
        <f>IFERROR(ROUNDUP(VLOOKUP($C59,装備品!$1:$998,COLUMN(N$1),FALSE)*(VLOOKUP($D59,素材!$1:$1002,COLUMN(D$1),FALSE)/100),1),"")</f>
        <v>0</v>
      </c>
      <c r="S59">
        <f>IFERROR(VLOOKUP($C59,装備品!$1:$998,COLUMN(P$1),FALSE),"")</f>
        <v>0</v>
      </c>
      <c r="T59">
        <f>IFERROR(VLOOKUP($C59,装備品!$1:$998,COLUMN(Q$1),FALSE),"")</f>
        <v>0</v>
      </c>
      <c r="U59">
        <f>IFERROR(VLOOKUP($C59,装備品!$1:$998,COLUMN(R$1),FALSE),"")</f>
        <v>0</v>
      </c>
      <c r="V59">
        <f>IFERROR(VLOOKUP($C59,装備品!$1:$998,COLUMN(Q$1),FALSE),"")</f>
        <v>0</v>
      </c>
      <c r="W59">
        <f>IFERROR(VLOOKUP($C59,装備品!$1:$998,COLUMN(T$1),FALSE),"")</f>
        <v>0</v>
      </c>
      <c r="Y59">
        <f>IFERROR(VLOOKUP($C59,装備品!$1:$998,COLUMN(U$1),FALSE),"")</f>
        <v>1</v>
      </c>
      <c r="Z59">
        <f>IFERROR(ROUNDUP(VLOOKUP($C59,装備品!$1:$998,COLUMN(O$1),FALSE)*VLOOKUP($D59,素材!$1:$1016,COLUMN(E$1),FALSE),1),"")</f>
        <v>0</v>
      </c>
      <c r="AA59">
        <f>IF(ISNUMBER(SEARCH(SUBSTITUTE(AA$1,RIGHT(AA$1,2),""),VLOOKUP($D59,素材!$1:$1016,COLUMN($F$1),FALSE))),VLOOKUP($C59,装備品!$1:$998,COLUMN($O$1),FALSE)*VLOOKUP($D59,素材!$1:$1016,COLUMN($E$1),FALSE)/(LEN(VLOOKUP($D59,素材!$1:$1016,COLUMN($F$1),FALSE))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B59">
        <f>IF(ISNUMBER(SEARCH(SUBSTITUTE(AB$1,RIGHT(AB$1,2),""),VLOOKUP($D59,素材!$1:$1016,COLUMN($F$1),FALSE))),VLOOKUP($C59,装備品!$1:$998,COLUMN($O$1),FALSE)*VLOOKUP($D59,素材!$1:$1016,COLUMN($E$1),FALSE)/(LEN(VLOOKUP($D59,素材!$1:$1016,COLUMN($F$1),FALSE))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C59">
        <f>IF(ISNUMBER(SEARCH(SUBSTITUTE(AC$1,RIGHT(AC$1,2),""),VLOOKUP($D59,素材!$1:$1016,COLUMN($F$1),FALSE))),VLOOKUP($C59,装備品!$1:$998,COLUMN($O$1),FALSE)*VLOOKUP($D59,素材!$1:$1016,COLUMN($E$1),FALSE)/(LEN(VLOOKUP($D59,素材!$1:$1016,COLUMN($F$1),FALSE))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D59">
        <f>IF(ISNUMBER(SEARCH(SUBSTITUTE(AD$1,RIGHT(AD$1,2),""),VLOOKUP($D59,素材!$1:$1016,COLUMN($F$1),FALSE))),VLOOKUP($C59,装備品!$1:$998,COLUMN($O$1),FALSE)*VLOOKUP($D59,素材!$1:$1016,COLUMN($E$1),FALSE)/(LEN(VLOOKUP($D59,素材!$1:$1016,COLUMN($F$1),FALSE))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E59">
        <f>IF(ISNUMBER(SEARCH(SUBSTITUTE(AE$1,RIGHT(AE$1,2),""),VLOOKUP($D59,素材!$1:$1016,COLUMN($F$1),FALSE))),VLOOKUP($C59,装備品!$1:$998,COLUMN($O$1),FALSE)*VLOOKUP($D59,素材!$1:$1016,COLUMN($E$1),FALSE)/(LEN(VLOOKUP($D59,素材!$1:$1016,COLUMN($F$1),FALSE))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F59">
        <f>IF(ISNUMBER(SEARCH(SUBSTITUTE(AF$1,RIGHT(AF$1,2),""),VLOOKUP($D59,素材!$1:$1016,COLUMN($F$1),FALSE))),VLOOKUP($C59,装備品!$1:$998,COLUMN($O$1),FALSE)*VLOOKUP($D59,素材!$1:$1016,COLUMN($E$1),FALSE)/(LEN(VLOOKUP($D59,素材!$1:$1016,COLUMN($F$1),FALSE))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G59">
        <f>IF(ISNUMBER(SEARCH(SUBSTITUTE(AG$1,RIGHT(AG$1,2),""),VLOOKUP($D59,素材!$1:$1016,COLUMN($F$1),FALSE))),VLOOKUP($C59,装備品!$1:$998,COLUMN($O$1),FALSE)*VLOOKUP($D59,素材!$1:$1016,COLUMN($E$1),FALSE)/(LEN(VLOOKUP($D59,素材!$1:$1016,COLUMN($F$1),FALSE))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H59">
        <f>IF(ISNUMBER(SEARCH(SUBSTITUTE(AH$1,RIGHT(AH$1,2),""),VLOOKUP($D59,素材!$1:$1016,COLUMN($F$1),FALSE))),VLOOKUP($C59,装備品!$1:$998,COLUMN($O$1),FALSE)*VLOOKUP($D59,素材!$1:$1016,COLUMN($E$1),FALSE)/(LEN(VLOOKUP($D59,素材!$1:$1016,COLUMN($F$1),FALSE))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I59">
        <f>IF(ISNUMBER(SEARCH(SUBSTITUTE(AI$1,RIGHT(AI$1,2),""),VLOOKUP($D59,素材!$1:$1016,COLUMN($F$1),FALSE))),VLOOKUP($C59,装備品!$1:$998,COLUMN($O$1),FALSE)*VLOOKUP($D59,素材!$1:$1016,COLUMN($E$1),FALSE)/(LEN(VLOOKUP($D59,素材!$1:$1016,COLUMN($F$1),FALSE))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J59">
        <f>IF(ISNUMBER(SEARCH(SUBSTITUTE(AJ$1,RIGHT(AJ$1,2),""),VLOOKUP($D59,素材!$1:$1016,COLUMN($F$1),FALSE))),VLOOKUP($C59,装備品!$1:$998,COLUMN($O$1),FALSE)*VLOOKUP($D59,素材!$1:$1016,COLUMN($E$1),FALSE)/(LEN(VLOOKUP($D59,素材!$1:$1016,COLUMN($F$1),FALSE))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K59">
        <f>IF(ISNUMBER(SEARCH(SUBSTITUTE(AK$1,RIGHT(AK$1,2),""),VLOOKUP($D59,素材!$1:$1016,COLUMN($F$1),FALSE))),VLOOKUP($C59,装備品!$1:$998,COLUMN($O$1),FALSE)*VLOOKUP($D59,素材!$1:$1016,COLUMN($E$1),FALSE)/(LEN(VLOOKUP($D59,素材!$1:$1016,COLUMN($F$1),FALSE))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L59">
        <f>IF(ISNUMBER(SEARCH(SUBSTITUTE(AL$1,RIGHT(AL$1,2),""),VLOOKUP($D59,素材!$1:$1016,COLUMN($F$1),FALSE))),VLOOKUP($C59,装備品!$1:$998,COLUMN($O$1),FALSE)*VLOOKUP($D59,素材!$1:$1016,COLUMN($E$1),FALSE)/(LEN(VLOOKUP($D59,素材!$1:$1016,COLUMN($F$1),FALSE))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M59">
        <f>IF(ISNUMBER(SEARCH(SUBSTITUTE(AM$1,RIGHT(AM$1,2),""),VLOOKUP($D59,素材!$1:$1016,COLUMN($F$1),FALSE))),VLOOKUP($C59,装備品!$1:$998,COLUMN($O$1),FALSE)*VLOOKUP($D59,素材!$1:$1016,COLUMN($E$1),FALSE)/(LEN(VLOOKUP($D59,素材!$1:$1016,COLUMN($F$1),FALSE))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N59">
        <f>IF(ISNUMBER(SEARCH(SUBSTITUTE(AN$1,RIGHT(AN$1,2),""),VLOOKUP($D59,素材!$1:$1016,COLUMN($F$1),FALSE))),VLOOKUP($C59,装備品!$1:$998,COLUMN($O$1),FALSE)*VLOOKUP($D59,素材!$1:$1016,COLUMN($E$1),FALSE)/(LEN(VLOOKUP($D59,素材!$1:$1016,COLUMN($F$1),FALSE))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O59">
        <f>IF(ISNUMBER(SEARCH(SUBSTITUTE(AO$1,RIGHT(AO$1,2),""),VLOOKUP($D59,素材!$1:$1016,COLUMN($F$1),FALSE))),VLOOKUP($C59,装備品!$1:$998,COLUMN($O$1),FALSE)*VLOOKUP($D59,素材!$1:$1016,COLUMN($E$1),FALSE)/(LEN(VLOOKUP($D59,素材!$1:$1016,COLUMN($F$1),FALSE))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P59">
        <f>IF(ISNUMBER(SEARCH(SUBSTITUTE(AP$1,RIGHT(AP$1,2),""),VLOOKUP($D59,素材!$1:$1016,COLUMN($F$1),FALSE))),VLOOKUP($C59,装備品!$1:$998,COLUMN($O$1),FALSE)*VLOOKUP($D59,素材!$1:$1016,COLUMN($E$1),FALSE)/(LEN(VLOOKUP($D59,素材!$1:$1016,COLUMN($F$1),FALSE))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Q59">
        <f>IF(ISNUMBER(SEARCH(SUBSTITUTE(AQ$1,RIGHT(AQ$1,2),""),VLOOKUP($D59,素材!$1:$1016,COLUMN($F$1),FALSE))),VLOOKUP($C59,装備品!$1:$998,COLUMN($O$1),FALSE)*VLOOKUP($D59,素材!$1:$1016,COLUMN($E$1),FALSE)/(LEN(VLOOKUP($D59,素材!$1:$1016,COLUMN($F$1),FALSE))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R59">
        <f>IF(ISNUMBER(SEARCH(SUBSTITUTE(AR$1,RIGHT(AR$1,2),""),VLOOKUP($D59,素材!$1:$1016,COLUMN($F$1),FALSE))),VLOOKUP($C59,装備品!$1:$998,COLUMN($O$1),FALSE)*VLOOKUP($D59,素材!$1:$1016,COLUMN($E$1),FALSE)/(LEN(VLOOKUP($D59,素材!$1:$1016,COLUMN($F$1),FALSE))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S59">
        <f>IF(ISNUMBER(SEARCH(SUBSTITUTE(AS$1,RIGHT(AS$1,2),""),VLOOKUP($D59,素材!$1:$1016,COLUMN($F$1),FALSE))),VLOOKUP($C59,装備品!$1:$998,COLUMN($O$1),FALSE)*VLOOKUP($D59,素材!$1:$1016,COLUMN($E$1),FALSE)/(LEN(VLOOKUP($D59,素材!$1:$1016,COLUMN($F$1),FALSE))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T59">
        <f>IF(ISNUMBER(SEARCH(SUBSTITUTE(AT$1,RIGHT(AT$1,2),""),VLOOKUP($D59,素材!$1:$1016,COLUMN($F$1),FALSE))),VLOOKUP($C59,装備品!$1:$998,COLUMN($O$1),FALSE)*VLOOKUP($D59,素材!$1:$1016,COLUMN($E$1),FALSE)/(LEN(VLOOKUP($D59,素材!$1:$1016,COLUMN($F$1),FALSE))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U59">
        <f>IF(ISNUMBER(SEARCH(SUBSTITUTE(AU$1,RIGHT(AU$1,2),""),VLOOKUP($D59,素材!$1:$1016,COLUMN($F$1),FALSE))),VLOOKUP($C59,装備品!$1:$998,COLUMN($O$1),FALSE)*VLOOKUP($D59,素材!$1:$1016,COLUMN($E$1),FALSE)/(LEN(VLOOKUP($D59,素材!$1:$1016,COLUMN($F$1),FALSE))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V59">
        <f>IF(ISNUMBER(SEARCH(SUBSTITUTE(AV$1,RIGHT(AV$1,2),""),VLOOKUP($D59,素材!$1:$1016,COLUMN($F$1),FALSE))),VLOOKUP($C59,装備品!$1:$998,COLUMN($O$1),FALSE)*VLOOKUP($D59,素材!$1:$1016,COLUMN($E$1),FALSE)/(LEN(VLOOKUP($D59,素材!$1:$1016,COLUMN($F$1),FALSE))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W59">
        <f>IF(ISNUMBER(SEARCH(SUBSTITUTE(AW$1,RIGHT(AW$1,2),""),VLOOKUP($D59,素材!$1:$1016,COLUMN($F$1),FALSE))),VLOOKUP($C59,装備品!$1:$998,COLUMN($O$1),FALSE)*VLOOKUP($D59,素材!$1:$1016,COLUMN($E$1),FALSE)/(LEN(VLOOKUP($D59,素材!$1:$1016,COLUMN($F$1),FALSE))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X59">
        <f>IF(ISNUMBER(SEARCH(SUBSTITUTE(AX$1,RIGHT(AX$1,2),""),VLOOKUP($D59,素材!$1:$1016,COLUMN($F$1),FALSE))),VLOOKUP($C59,装備品!$1:$998,COLUMN($O$1),FALSE)*VLOOKUP($D59,素材!$1:$1016,COLUMN($E$1),FALSE)/(LEN(VLOOKUP($D59,素材!$1:$1016,COLUMN($F$1),FALSE))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Y59">
        <f>IF(ISNUMBER(SEARCH(SUBSTITUTE(AY$1,RIGHT(AY$1,2),""),VLOOKUP($D59,素材!$1:$1016,COLUMN($F$1),FALSE))),VLOOKUP($C59,装備品!$1:$998,COLUMN($O$1),FALSE)*VLOOKUP($D59,素材!$1:$1016,COLUMN($E$1),FALSE)/(LEN(VLOOKUP($D59,素材!$1:$1016,COLUMN($F$1),FALSE))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Z59">
        <f>IF(ISNUMBER(SEARCH(SUBSTITUTE(AZ$1,RIGHT(AZ$1,2),""),VLOOKUP($D59,素材!$1:$1016,COLUMN($F$1),FALSE))),VLOOKUP($C59,装備品!$1:$998,COLUMN($O$1),FALSE)*VLOOKUP($D59,素材!$1:$1016,COLUMN($E$1),FALSE)/(LEN(VLOOKUP($D59,素材!$1:$1016,COLUMN($F$1),FALSE))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BA59">
        <f>IF(ISNUMBER(SEARCH(SUBSTITUTE(BA$1,RIGHT(BA$1,2),""),VLOOKUP($D59,素材!$1:$1016,COLUMN($F$1),FALSE))),VLOOKUP($C59,装備品!$1:$998,COLUMN($O$1),FALSE)*VLOOKUP($D59,素材!$1:$1016,COLUMN($E$1),FALSE)/(LEN(VLOOKUP($D59,素材!$1:$1016,COLUMN($F$1),FALSE))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BB59">
        <f>IF(ISNUMBER(SEARCH(SUBSTITUTE(BB$1,RIGHT(BB$1,2),""),VLOOKUP($D59,素材!$1:$1016,COLUMN($F$1),FALSE))),VLOOKUP($C59,装備品!$1:$998,COLUMN($O$1),FALSE)*VLOOKUP($D59,素材!$1:$1016,COLUMN($E$1),FALSE)/(LEN(VLOOKUP($D59,素材!$1:$1016,COLUMN($F$1),FALSE))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BC59">
        <f>IF(ISNUMBER(SEARCH(SUBSTITUTE(BC$1,RIGHT(BC$1,2),""),VLOOKUP($D59,素材!$1:$1016,COLUMN($F$1),FALSE))),VLOOKUP($C59,装備品!$1:$998,COLUMN($O$1),FALSE)*VLOOKUP($D59,素材!$1:$1016,COLUMN($E$1),FALSE)/(LEN(VLOOKUP($D59,素材!$1:$1016,COLUMN($F$1),FALSE))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BD59">
        <f>IF(ISNUMBER(SEARCH(SUBSTITUTE(BD$1,RIGHT(BD$1,2),""),VLOOKUP($D59,素材!$1:$1016,COLUMN($F$1),FALSE))),VLOOKUP($C59,装備品!$1:$998,COLUMN($O$1),FALSE)*VLOOKUP($D59,素材!$1:$1016,COLUMN($E$1),FALSE)/(LEN(VLOOKUP($D59,素材!$1:$1016,COLUMN($F$1),FALSE))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BE59">
        <f>IF(ISNUMBER(SEARCH(SUBSTITUTE(BE$1,RIGHT(BE$1,2),""),VLOOKUP($D59,素材!$1:$1016,COLUMN($F$1),FALSE))),VLOOKUP($C59,装備品!$1:$998,COLUMN($O$1),FALSE)*VLOOKUP($D59,素材!$1:$1016,COLUMN($E$1),FALSE)/(LEN(VLOOKUP($D59,素材!$1:$1016,COLUMN($F$1),FALSE))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CL59">
        <f t="shared" si="1"/>
        <v>16</v>
      </c>
      <c r="CM59" s="22" t="str">
        <f t="shared" si="2"/>
        <v>切断.webp</v>
      </c>
      <c r="CN59">
        <f>IFERROR(VLOOKUP($C59,装備品!$1:$998,COLUMN(V$1),FALSE)*VLOOKUP($D59,素材!$1:$1016,COLUMN(N$1),FALSE)+IF(CI59="",0,VLOOKUP($CI59,付与!$1:$1176,COLUMN($CK$1),FALSE)),"")</f>
        <v>0</v>
      </c>
      <c r="CO59" t="str">
        <f>VLOOKUP(D59,素材!$A:$O,COLUMN(素材!O$1),FALSE)</f>
        <v>一般的な木材。金属より軽いが少し脆い</v>
      </c>
      <c r="CP59" t="str">
        <f>VLOOKUP(C59,装備品!$A:$AB,COLUMN(装備品!AB$1),FALSE)</f>
        <v>鞭。リーチが長く、敵を絡め取る戦闘に適する。</v>
      </c>
      <c r="CR59" t="str">
        <f t="shared" si="3"/>
        <v>e_59</v>
      </c>
      <c r="CS59">
        <f t="shared" si="4"/>
        <v>0</v>
      </c>
    </row>
    <row r="60" spans="1:97" outlineLevel="1" x14ac:dyDescent="0.4">
      <c r="A60" t="str">
        <f t="shared" si="5"/>
        <v>木の丸盾</v>
      </c>
      <c r="B60" t="str">
        <f>IFERROR(VLOOKUP($D60,素材!$1:$1016,COLUMN($B$1),FALSE)&amp;"・"&amp;VLOOKUP($C60,装備品!$1:$998,COLUMN(B$1),FALSE),"")</f>
        <v>ウッド・バックラー</v>
      </c>
      <c r="C60" t="s">
        <v>221</v>
      </c>
      <c r="D60" s="24" t="s">
        <v>254</v>
      </c>
      <c r="E60" t="str">
        <f>IFERROR(VLOOKUP(C60,装備品!$1:$998,COLUMN(C$1),FALSE),"")</f>
        <v>盾</v>
      </c>
      <c r="F60">
        <f>IFERROR(ROUNDDOWN((VLOOKUP($C60,装備品!$1:$998,COLUMN(D$1),FALSE)+IFERROR(VLOOKUP($CI60,付与!$1:$1167,COLUMN(F$1),FALSE),0))*VLOOKUP($D60,素材!$1:$1016,COLUMN(D$1),FALSE),0),"")</f>
        <v>75</v>
      </c>
      <c r="G60">
        <f>IFERROR(ROUNDDOWN((VLOOKUP($C60,装備品!$1:$998,COLUMN(E$1),FALSE)+IFERROR(VLOOKUP($CI60,付与!$1:$1167,COLUMN(G$1),FALSE),0))*VLOOKUP($D60,素材!$1:$1016,COLUMN($E$1),FALSE),0),"")</f>
        <v>6</v>
      </c>
      <c r="H60">
        <f>IFERROR(ROUNDDOWN((VLOOKUP($C60,装備品!$1:$998,COLUMN(F$1),FALSE)+IFERROR(VLOOKUP($CI60,付与!$1:$1167,COLUMN(H$1),FALSE),0))*VLOOKUP($D60,素材!$1:$1016,COLUMN($E$1),FALSE),0),"")</f>
        <v>0</v>
      </c>
      <c r="I60">
        <f>IFERROR(ROUNDDOWN((VLOOKUP($C60,装備品!$1:$998,COLUMN(G$1),FALSE)+IFERROR(VLOOKUP($CI60,付与!$1:$1167,COLUMN(I$1),FALSE),0))*VLOOKUP($D60,素材!$1:$1016,COLUMN($E$1),FALSE),0),"")</f>
        <v>6</v>
      </c>
      <c r="J60">
        <f>IFERROR(ROUNDDOWN((VLOOKUP($C60,装備品!$1:$998,COLUMN(H$1),FALSE)+IFERROR(VLOOKUP($CI60,付与!$1:$1167,COLUMN(J$1),FALSE),0))*VLOOKUP($D60,素材!$1:$1016,COLUMN($E$1),FALSE),0),"")</f>
        <v>17</v>
      </c>
      <c r="K60">
        <f>IFERROR(ROUNDDOWN((VLOOKUP($C60,装備品!$1:$998,COLUMN(I$1),FALSE)+IFERROR(VLOOKUP($CI60,付与!$1:$1167,COLUMN(K$1),FALSE),0))*VLOOKUP($D60,素材!$1:$1016,COLUMN($E$1),FALSE),0),"")</f>
        <v>0</v>
      </c>
      <c r="L60">
        <f>IFERROR(VLOOKUP($D60,素材!$1:$1016,COLUMN($F$1),FALSE),"")</f>
        <v>0</v>
      </c>
      <c r="M60">
        <f>IFERROR(VLOOKUP($C60,装備品!$1:$998,COLUMN(AA$1),FALSE)*VLOOKUP($D60,素材!$1:$1016,COLUMN($G$1),FALSE),"")</f>
        <v>0</v>
      </c>
      <c r="N60">
        <f>IFERROR(VLOOKUP($C60,装備品!$1:$998,COLUMN(I$1),FALSE),"")</f>
        <v>0</v>
      </c>
      <c r="O60" s="23">
        <f>IFERROR((VLOOKUP($C60,装備品!$1:$998,COLUMN(K$1),FALSE)+VLOOKUP($D60,素材!$1:$1016,COLUMN(H$1),FALSE))*100+IFERROR(VLOOKUP($CI60,付与!$1:$1167,COLUMN(O$1),FALSE),0),"")</f>
        <v>5</v>
      </c>
      <c r="P60" s="23">
        <f>IFERROR((VLOOKUP($C60,装備品!$1:$998,COLUMN(L$1),FALSE)+VLOOKUP($D60,素材!$1:$1016,COLUMN(I$1),FALSE))*100+IFERROR(VLOOKUP($CI60,付与!$1:$1167,COLUMN(P$1),FALSE),0),"")</f>
        <v>125</v>
      </c>
      <c r="Q60">
        <f>IFERROR(ROUNDUP(VLOOKUP($C60,装備品!$1:$998,COLUMN(M$1),FALSE)*(VLOOKUP($D60,素材!$1:$1002,COLUMN(D$1),FALSE)/100),1),"")</f>
        <v>0</v>
      </c>
      <c r="R60">
        <f>IFERROR(ROUNDUP(VLOOKUP($C60,装備品!$1:$998,COLUMN(N$1),FALSE)*(VLOOKUP($D60,素材!$1:$1002,COLUMN(D$1),FALSE)/100),1),"")</f>
        <v>0</v>
      </c>
      <c r="S60">
        <f>IFERROR(VLOOKUP($C60,装備品!$1:$998,COLUMN(P$1),FALSE),"")</f>
        <v>0</v>
      </c>
      <c r="T60">
        <f>IFERROR(VLOOKUP($C60,装備品!$1:$998,COLUMN(Q$1),FALSE),"")</f>
        <v>0</v>
      </c>
      <c r="U60">
        <f>IFERROR(VLOOKUP($C60,装備品!$1:$998,COLUMN(R$1),FALSE),"")</f>
        <v>0</v>
      </c>
      <c r="V60">
        <f>IFERROR(VLOOKUP($C60,装備品!$1:$998,COLUMN(Q$1),FALSE),"")</f>
        <v>0</v>
      </c>
      <c r="W60">
        <f>IFERROR(VLOOKUP($C60,装備品!$1:$998,COLUMN(T$1),FALSE),"")</f>
        <v>0</v>
      </c>
      <c r="Y60">
        <f>IFERROR(VLOOKUP($C60,装備品!$1:$998,COLUMN(U$1),FALSE),"")</f>
        <v>0</v>
      </c>
      <c r="Z60">
        <f>IFERROR(ROUNDUP(VLOOKUP($C60,装備品!$1:$998,COLUMN(O$1),FALSE)*VLOOKUP($D60,素材!$1:$1016,COLUMN(E$1),FALSE),1),"")</f>
        <v>0</v>
      </c>
      <c r="AA60">
        <f>IF(ISNUMBER(SEARCH(SUBSTITUTE(AA$1,RIGHT(AA$1,2),""),VLOOKUP($D60,素材!$1:$1016,COLUMN($F$1),FALSE))),VLOOKUP($C60,装備品!$1:$998,COLUMN($O$1),FALSE)*VLOOKUP($D60,素材!$1:$1016,COLUMN($E$1),FALSE)/(LEN(VLOOKUP($D60,素材!$1:$1016,COLUMN($F$1),FALSE))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B60">
        <f>IF(ISNUMBER(SEARCH(SUBSTITUTE(AB$1,RIGHT(AB$1,2),""),VLOOKUP($D60,素材!$1:$1016,COLUMN($F$1),FALSE))),VLOOKUP($C60,装備品!$1:$998,COLUMN($O$1),FALSE)*VLOOKUP($D60,素材!$1:$1016,COLUMN($E$1),FALSE)/(LEN(VLOOKUP($D60,素材!$1:$1016,COLUMN($F$1),FALSE))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C60">
        <f>IF(ISNUMBER(SEARCH(SUBSTITUTE(AC$1,RIGHT(AC$1,2),""),VLOOKUP($D60,素材!$1:$1016,COLUMN($F$1),FALSE))),VLOOKUP($C60,装備品!$1:$998,COLUMN($O$1),FALSE)*VLOOKUP($D60,素材!$1:$1016,COLUMN($E$1),FALSE)/(LEN(VLOOKUP($D60,素材!$1:$1016,COLUMN($F$1),FALSE))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D60">
        <f>IF(ISNUMBER(SEARCH(SUBSTITUTE(AD$1,RIGHT(AD$1,2),""),VLOOKUP($D60,素材!$1:$1016,COLUMN($F$1),FALSE))),VLOOKUP($C60,装備品!$1:$998,COLUMN($O$1),FALSE)*VLOOKUP($D60,素材!$1:$1016,COLUMN($E$1),FALSE)/(LEN(VLOOKUP($D60,素材!$1:$1016,COLUMN($F$1),FALSE))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E60">
        <f>IF(ISNUMBER(SEARCH(SUBSTITUTE(AE$1,RIGHT(AE$1,2),""),VLOOKUP($D60,素材!$1:$1016,COLUMN($F$1),FALSE))),VLOOKUP($C60,装備品!$1:$998,COLUMN($O$1),FALSE)*VLOOKUP($D60,素材!$1:$1016,COLUMN($E$1),FALSE)/(LEN(VLOOKUP($D60,素材!$1:$1016,COLUMN($F$1),FALSE))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F60">
        <f>IF(ISNUMBER(SEARCH(SUBSTITUTE(AF$1,RIGHT(AF$1,2),""),VLOOKUP($D60,素材!$1:$1016,COLUMN($F$1),FALSE))),VLOOKUP($C60,装備品!$1:$998,COLUMN($O$1),FALSE)*VLOOKUP($D60,素材!$1:$1016,COLUMN($E$1),FALSE)/(LEN(VLOOKUP($D60,素材!$1:$1016,COLUMN($F$1),FALSE))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G60">
        <f>IF(ISNUMBER(SEARCH(SUBSTITUTE(AG$1,RIGHT(AG$1,2),""),VLOOKUP($D60,素材!$1:$1016,COLUMN($F$1),FALSE))),VLOOKUP($C60,装備品!$1:$998,COLUMN($O$1),FALSE)*VLOOKUP($D60,素材!$1:$1016,COLUMN($E$1),FALSE)/(LEN(VLOOKUP($D60,素材!$1:$1016,COLUMN($F$1),FALSE))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H60">
        <f>IF(ISNUMBER(SEARCH(SUBSTITUTE(AH$1,RIGHT(AH$1,2),""),VLOOKUP($D60,素材!$1:$1016,COLUMN($F$1),FALSE))),VLOOKUP($C60,装備品!$1:$998,COLUMN($O$1),FALSE)*VLOOKUP($D60,素材!$1:$1016,COLUMN($E$1),FALSE)/(LEN(VLOOKUP($D60,素材!$1:$1016,COLUMN($F$1),FALSE))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I60">
        <f>IF(ISNUMBER(SEARCH(SUBSTITUTE(AI$1,RIGHT(AI$1,2),""),VLOOKUP($D60,素材!$1:$1016,COLUMN($F$1),FALSE))),VLOOKUP($C60,装備品!$1:$998,COLUMN($O$1),FALSE)*VLOOKUP($D60,素材!$1:$1016,COLUMN($E$1),FALSE)/(LEN(VLOOKUP($D60,素材!$1:$1016,COLUMN($F$1),FALSE))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J60">
        <f>IF(ISNUMBER(SEARCH(SUBSTITUTE(AJ$1,RIGHT(AJ$1,2),""),VLOOKUP($D60,素材!$1:$1016,COLUMN($F$1),FALSE))),VLOOKUP($C60,装備品!$1:$998,COLUMN($O$1),FALSE)*VLOOKUP($D60,素材!$1:$1016,COLUMN($E$1),FALSE)/(LEN(VLOOKUP($D60,素材!$1:$1016,COLUMN($F$1),FALSE))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K60">
        <f>IF(ISNUMBER(SEARCH(SUBSTITUTE(AK$1,RIGHT(AK$1,2),""),VLOOKUP($D60,素材!$1:$1016,COLUMN($F$1),FALSE))),VLOOKUP($C60,装備品!$1:$998,COLUMN($O$1),FALSE)*VLOOKUP($D60,素材!$1:$1016,COLUMN($E$1),FALSE)/(LEN(VLOOKUP($D60,素材!$1:$1016,COLUMN($F$1),FALSE))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L60">
        <f>IF(ISNUMBER(SEARCH(SUBSTITUTE(AL$1,RIGHT(AL$1,2),""),VLOOKUP($D60,素材!$1:$1016,COLUMN($F$1),FALSE))),VLOOKUP($C60,装備品!$1:$998,COLUMN($O$1),FALSE)*VLOOKUP($D60,素材!$1:$1016,COLUMN($E$1),FALSE)/(LEN(VLOOKUP($D60,素材!$1:$1016,COLUMN($F$1),FALSE))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M60">
        <f>IF(ISNUMBER(SEARCH(SUBSTITUTE(AM$1,RIGHT(AM$1,2),""),VLOOKUP($D60,素材!$1:$1016,COLUMN($F$1),FALSE))),VLOOKUP($C60,装備品!$1:$998,COLUMN($O$1),FALSE)*VLOOKUP($D60,素材!$1:$1016,COLUMN($E$1),FALSE)/(LEN(VLOOKUP($D60,素材!$1:$1016,COLUMN($F$1),FALSE))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N60">
        <f>IF(ISNUMBER(SEARCH(SUBSTITUTE(AN$1,RIGHT(AN$1,2),""),VLOOKUP($D60,素材!$1:$1016,COLUMN($F$1),FALSE))),VLOOKUP($C60,装備品!$1:$998,COLUMN($O$1),FALSE)*VLOOKUP($D60,素材!$1:$1016,COLUMN($E$1),FALSE)/(LEN(VLOOKUP($D60,素材!$1:$1016,COLUMN($F$1),FALSE))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O60">
        <f>IF(ISNUMBER(SEARCH(SUBSTITUTE(AO$1,RIGHT(AO$1,2),""),VLOOKUP($D60,素材!$1:$1016,COLUMN($F$1),FALSE))),VLOOKUP($C60,装備品!$1:$998,COLUMN($O$1),FALSE)*VLOOKUP($D60,素材!$1:$1016,COLUMN($E$1),FALSE)/(LEN(VLOOKUP($D60,素材!$1:$1016,COLUMN($F$1),FALSE))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P60">
        <f>IF(ISNUMBER(SEARCH(SUBSTITUTE(AP$1,RIGHT(AP$1,2),""),VLOOKUP($D60,素材!$1:$1016,COLUMN($F$1),FALSE))),VLOOKUP($C60,装備品!$1:$998,COLUMN($O$1),FALSE)*VLOOKUP($D60,素材!$1:$1016,COLUMN($E$1),FALSE)/(LEN(VLOOKUP($D60,素材!$1:$1016,COLUMN($F$1),FALSE))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Q60">
        <f>IF(ISNUMBER(SEARCH(SUBSTITUTE(AQ$1,RIGHT(AQ$1,2),""),VLOOKUP($D60,素材!$1:$1016,COLUMN($F$1),FALSE))),VLOOKUP($C60,装備品!$1:$998,COLUMN($O$1),FALSE)*VLOOKUP($D60,素材!$1:$1016,COLUMN($E$1),FALSE)/(LEN(VLOOKUP($D60,素材!$1:$1016,COLUMN($F$1),FALSE))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R60">
        <f>IF(ISNUMBER(SEARCH(SUBSTITUTE(AR$1,RIGHT(AR$1,2),""),VLOOKUP($D60,素材!$1:$1016,COLUMN($F$1),FALSE))),VLOOKUP($C60,装備品!$1:$998,COLUMN($O$1),FALSE)*VLOOKUP($D60,素材!$1:$1016,COLUMN($E$1),FALSE)/(LEN(VLOOKUP($D60,素材!$1:$1016,COLUMN($F$1),FALSE))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S60">
        <f>IF(ISNUMBER(SEARCH(SUBSTITUTE(AS$1,RIGHT(AS$1,2),""),VLOOKUP($D60,素材!$1:$1016,COLUMN($F$1),FALSE))),VLOOKUP($C60,装備品!$1:$998,COLUMN($O$1),FALSE)*VLOOKUP($D60,素材!$1:$1016,COLUMN($E$1),FALSE)/(LEN(VLOOKUP($D60,素材!$1:$1016,COLUMN($F$1),FALSE))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T60">
        <f>IF(ISNUMBER(SEARCH(SUBSTITUTE(AT$1,RIGHT(AT$1,2),""),VLOOKUP($D60,素材!$1:$1016,COLUMN($F$1),FALSE))),VLOOKUP($C60,装備品!$1:$998,COLUMN($O$1),FALSE)*VLOOKUP($D60,素材!$1:$1016,COLUMN($E$1),FALSE)/(LEN(VLOOKUP($D60,素材!$1:$1016,COLUMN($F$1),FALSE))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U60">
        <f>IF(ISNUMBER(SEARCH(SUBSTITUTE(AU$1,RIGHT(AU$1,2),""),VLOOKUP($D60,素材!$1:$1016,COLUMN($F$1),FALSE))),VLOOKUP($C60,装備品!$1:$998,COLUMN($O$1),FALSE)*VLOOKUP($D60,素材!$1:$1016,COLUMN($E$1),FALSE)/(LEN(VLOOKUP($D60,素材!$1:$1016,COLUMN($F$1),FALSE))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V60">
        <f>IF(ISNUMBER(SEARCH(SUBSTITUTE(AV$1,RIGHT(AV$1,2),""),VLOOKUP($D60,素材!$1:$1016,COLUMN($F$1),FALSE))),VLOOKUP($C60,装備品!$1:$998,COLUMN($O$1),FALSE)*VLOOKUP($D60,素材!$1:$1016,COLUMN($E$1),FALSE)/(LEN(VLOOKUP($D60,素材!$1:$1016,COLUMN($F$1),FALSE))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W60">
        <f>IF(ISNUMBER(SEARCH(SUBSTITUTE(AW$1,RIGHT(AW$1,2),""),VLOOKUP($D60,素材!$1:$1016,COLUMN($F$1),FALSE))),VLOOKUP($C60,装備品!$1:$998,COLUMN($O$1),FALSE)*VLOOKUP($D60,素材!$1:$1016,COLUMN($E$1),FALSE)/(LEN(VLOOKUP($D60,素材!$1:$1016,COLUMN($F$1),FALSE))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X60">
        <f>IF(ISNUMBER(SEARCH(SUBSTITUTE(AX$1,RIGHT(AX$1,2),""),VLOOKUP($D60,素材!$1:$1016,COLUMN($F$1),FALSE))),VLOOKUP($C60,装備品!$1:$998,COLUMN($O$1),FALSE)*VLOOKUP($D60,素材!$1:$1016,COLUMN($E$1),FALSE)/(LEN(VLOOKUP($D60,素材!$1:$1016,COLUMN($F$1),FALSE))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Y60">
        <f>IF(ISNUMBER(SEARCH(SUBSTITUTE(AY$1,RIGHT(AY$1,2),""),VLOOKUP($D60,素材!$1:$1016,COLUMN($F$1),FALSE))),VLOOKUP($C60,装備品!$1:$998,COLUMN($O$1),FALSE)*VLOOKUP($D60,素材!$1:$1016,COLUMN($E$1),FALSE)/(LEN(VLOOKUP($D60,素材!$1:$1016,COLUMN($F$1),FALSE))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Z60">
        <f>IF(ISNUMBER(SEARCH(SUBSTITUTE(AZ$1,RIGHT(AZ$1,2),""),VLOOKUP($D60,素材!$1:$1016,COLUMN($F$1),FALSE))),VLOOKUP($C60,装備品!$1:$998,COLUMN($O$1),FALSE)*VLOOKUP($D60,素材!$1:$1016,COLUMN($E$1),FALSE)/(LEN(VLOOKUP($D60,素材!$1:$1016,COLUMN($F$1),FALSE))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BA60">
        <f>IF(ISNUMBER(SEARCH(SUBSTITUTE(BA$1,RIGHT(BA$1,2),""),VLOOKUP($D60,素材!$1:$1016,COLUMN($F$1),FALSE))),VLOOKUP($C60,装備品!$1:$998,COLUMN($O$1),FALSE)*VLOOKUP($D60,素材!$1:$1016,COLUMN($E$1),FALSE)/(LEN(VLOOKUP($D60,素材!$1:$1016,COLUMN($F$1),FALSE))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BB60">
        <f>IF(ISNUMBER(SEARCH(SUBSTITUTE(BB$1,RIGHT(BB$1,2),""),VLOOKUP($D60,素材!$1:$1016,COLUMN($F$1),FALSE))),VLOOKUP($C60,装備品!$1:$998,COLUMN($O$1),FALSE)*VLOOKUP($D60,素材!$1:$1016,COLUMN($E$1),FALSE)/(LEN(VLOOKUP($D60,素材!$1:$1016,COLUMN($F$1),FALSE))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BC60">
        <f>IF(ISNUMBER(SEARCH(SUBSTITUTE(BC$1,RIGHT(BC$1,2),""),VLOOKUP($D60,素材!$1:$1016,COLUMN($F$1),FALSE))),VLOOKUP($C60,装備品!$1:$998,COLUMN($O$1),FALSE)*VLOOKUP($D60,素材!$1:$1016,COLUMN($E$1),FALSE)/(LEN(VLOOKUP($D60,素材!$1:$1016,COLUMN($F$1),FALSE))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BD60">
        <f>IF(ISNUMBER(SEARCH(SUBSTITUTE(BD$1,RIGHT(BD$1,2),""),VLOOKUP($D60,素材!$1:$1016,COLUMN($F$1),FALSE))),VLOOKUP($C60,装備品!$1:$998,COLUMN($O$1),FALSE)*VLOOKUP($D60,素材!$1:$1016,COLUMN($E$1),FALSE)/(LEN(VLOOKUP($D60,素材!$1:$1016,COLUMN($F$1),FALSE))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BE60">
        <f>IF(ISNUMBER(SEARCH(SUBSTITUTE(BE$1,RIGHT(BE$1,2),""),VLOOKUP($D60,素材!$1:$1016,COLUMN($F$1),FALSE))),VLOOKUP($C60,装備品!$1:$998,COLUMN($O$1),FALSE)*VLOOKUP($D60,素材!$1:$1016,COLUMN($E$1),FALSE)/(LEN(VLOOKUP($D60,素材!$1:$1016,COLUMN($F$1),FALSE))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CL60">
        <f t="shared" si="1"/>
        <v>12</v>
      </c>
      <c r="CM60" s="22" t="str">
        <f t="shared" si="2"/>
        <v>盾.webp</v>
      </c>
      <c r="CN60">
        <f>IFERROR(VLOOKUP($C60,装備品!$1:$998,COLUMN(V$1),FALSE)*VLOOKUP($D60,素材!$1:$1016,COLUMN(N$1),FALSE)+IF(CI60="",0,VLOOKUP($CI60,付与!$1:$1176,COLUMN($CK$1),FALSE)),"")</f>
        <v>0</v>
      </c>
      <c r="CO60" t="str">
        <f>VLOOKUP(D60,素材!$A:$O,COLUMN(素材!O$1),FALSE)</f>
        <v>一般的な木材。金属より軽いが少し脆い</v>
      </c>
      <c r="CP60" t="str">
        <f>VLOOKUP(C60,装備品!$A:$AB,COLUMN(装備品!AB$1),FALSE)</f>
        <v>丸盾。軽量で投擲にも使える盾。</v>
      </c>
      <c r="CR60" t="str">
        <f t="shared" si="3"/>
        <v>e_60</v>
      </c>
      <c r="CS60">
        <f t="shared" si="4"/>
        <v>0</v>
      </c>
    </row>
    <row r="61" spans="1:97" outlineLevel="1" x14ac:dyDescent="0.4">
      <c r="A61" t="str">
        <f t="shared" si="5"/>
        <v>木の盾</v>
      </c>
      <c r="B61" t="str">
        <f>IFERROR(VLOOKUP($D61,素材!$1:$1016,COLUMN($B$1),FALSE)&amp;"・"&amp;VLOOKUP($C61,装備品!$1:$998,COLUMN(B$1),FALSE),"")</f>
        <v>ウッド・シールド</v>
      </c>
      <c r="C61" t="s">
        <v>220</v>
      </c>
      <c r="D61" s="24" t="s">
        <v>254</v>
      </c>
      <c r="E61" t="str">
        <f>IFERROR(VLOOKUP(C61,装備品!$1:$998,COLUMN(C$1),FALSE),"")</f>
        <v>盾</v>
      </c>
      <c r="F61">
        <f>IFERROR(ROUNDDOWN((VLOOKUP($C61,装備品!$1:$998,COLUMN(D$1),FALSE)+IFERROR(VLOOKUP($CI61,付与!$1:$1167,COLUMN(F$1),FALSE),0))*VLOOKUP($D61,素材!$1:$1016,COLUMN(D$1),FALSE),0),"")</f>
        <v>75</v>
      </c>
      <c r="G61">
        <f>IFERROR(ROUNDDOWN((VLOOKUP($C61,装備品!$1:$998,COLUMN(E$1),FALSE)+IFERROR(VLOOKUP($CI61,付与!$1:$1167,COLUMN(G$1),FALSE),0))*VLOOKUP($D61,素材!$1:$1016,COLUMN($E$1),FALSE),0),"")</f>
        <v>0</v>
      </c>
      <c r="H61">
        <f>IFERROR(ROUNDDOWN((VLOOKUP($C61,装備品!$1:$998,COLUMN(F$1),FALSE)+IFERROR(VLOOKUP($CI61,付与!$1:$1167,COLUMN(H$1),FALSE),0))*VLOOKUP($D61,素材!$1:$1016,COLUMN($E$1),FALSE),0),"")</f>
        <v>0</v>
      </c>
      <c r="I61">
        <f>IFERROR(ROUNDDOWN((VLOOKUP($C61,装備品!$1:$998,COLUMN(G$1),FALSE)+IFERROR(VLOOKUP($CI61,付与!$1:$1167,COLUMN(I$1),FALSE),0))*VLOOKUP($D61,素材!$1:$1016,COLUMN($E$1),FALSE),0),"")</f>
        <v>12</v>
      </c>
      <c r="J61">
        <f>IFERROR(ROUNDDOWN((VLOOKUP($C61,装備品!$1:$998,COLUMN(H$1),FALSE)+IFERROR(VLOOKUP($CI61,付与!$1:$1167,COLUMN(J$1),FALSE),0))*VLOOKUP($D61,素材!$1:$1016,COLUMN($E$1),FALSE),0),"")</f>
        <v>18</v>
      </c>
      <c r="K61">
        <f>IFERROR(ROUNDDOWN((VLOOKUP($C61,装備品!$1:$998,COLUMN(I$1),FALSE)+IFERROR(VLOOKUP($CI61,付与!$1:$1167,COLUMN(K$1),FALSE),0))*VLOOKUP($D61,素材!$1:$1016,COLUMN($E$1),FALSE),0),"")</f>
        <v>0</v>
      </c>
      <c r="L61">
        <f>IFERROR(VLOOKUP($D61,素材!$1:$1016,COLUMN($F$1),FALSE),"")</f>
        <v>0</v>
      </c>
      <c r="M61">
        <f>IFERROR(VLOOKUP($C61,装備品!$1:$998,COLUMN(AA$1),FALSE)*VLOOKUP($D61,素材!$1:$1016,COLUMN($G$1),FALSE),"")</f>
        <v>0</v>
      </c>
      <c r="N61">
        <f>IFERROR(VLOOKUP($C61,装備品!$1:$998,COLUMN(I$1),FALSE),"")</f>
        <v>0</v>
      </c>
      <c r="O61" s="23">
        <f>IFERROR((VLOOKUP($C61,装備品!$1:$998,COLUMN(K$1),FALSE)+VLOOKUP($D61,素材!$1:$1016,COLUMN(H$1),FALSE))*100+IFERROR(VLOOKUP($CI61,付与!$1:$1167,COLUMN(O$1),FALSE),0),"")</f>
        <v>5</v>
      </c>
      <c r="P61" s="23">
        <f>IFERROR((VLOOKUP($C61,装備品!$1:$998,COLUMN(L$1),FALSE)+VLOOKUP($D61,素材!$1:$1016,COLUMN(I$1),FALSE))*100+IFERROR(VLOOKUP($CI61,付与!$1:$1167,COLUMN(P$1),FALSE),0),"")</f>
        <v>125</v>
      </c>
      <c r="Q61">
        <f>IFERROR(ROUNDUP(VLOOKUP($C61,装備品!$1:$998,COLUMN(M$1),FALSE)*(VLOOKUP($D61,素材!$1:$1002,COLUMN(D$1),FALSE)/100),1),"")</f>
        <v>0</v>
      </c>
      <c r="R61">
        <f>IFERROR(ROUNDUP(VLOOKUP($C61,装備品!$1:$998,COLUMN(N$1),FALSE)*(VLOOKUP($D61,素材!$1:$1002,COLUMN(D$1),FALSE)/100),1),"")</f>
        <v>0</v>
      </c>
      <c r="S61">
        <f>IFERROR(VLOOKUP($C61,装備品!$1:$998,COLUMN(P$1),FALSE),"")</f>
        <v>0</v>
      </c>
      <c r="T61">
        <f>IFERROR(VLOOKUP($C61,装備品!$1:$998,COLUMN(Q$1),FALSE),"")</f>
        <v>0</v>
      </c>
      <c r="U61">
        <f>IFERROR(VLOOKUP($C61,装備品!$1:$998,COLUMN(R$1),FALSE),"")</f>
        <v>0</v>
      </c>
      <c r="V61">
        <f>IFERROR(VLOOKUP($C61,装備品!$1:$998,COLUMN(Q$1),FALSE),"")</f>
        <v>0</v>
      </c>
      <c r="W61">
        <f>IFERROR(VLOOKUP($C61,装備品!$1:$998,COLUMN(T$1),FALSE),"")</f>
        <v>0</v>
      </c>
      <c r="Y61">
        <f>IFERROR(VLOOKUP($C61,装備品!$1:$998,COLUMN(U$1),FALSE),"")</f>
        <v>0</v>
      </c>
      <c r="Z61">
        <f>IFERROR(ROUNDUP(VLOOKUP($C61,装備品!$1:$998,COLUMN(O$1),FALSE)*VLOOKUP($D61,素材!$1:$1016,COLUMN(E$1),FALSE),1),"")</f>
        <v>0</v>
      </c>
      <c r="AA61">
        <f>IF(ISNUMBER(SEARCH(SUBSTITUTE(AA$1,RIGHT(AA$1,2),""),VLOOKUP($D61,素材!$1:$1016,COLUMN($F$1),FALSE))),VLOOKUP($C61,装備品!$1:$998,COLUMN($O$1),FALSE)*VLOOKUP($D61,素材!$1:$1016,COLUMN($E$1),FALSE)/(LEN(VLOOKUP($D61,素材!$1:$1016,COLUMN($F$1),FALSE))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B61">
        <f>IF(ISNUMBER(SEARCH(SUBSTITUTE(AB$1,RIGHT(AB$1,2),""),VLOOKUP($D61,素材!$1:$1016,COLUMN($F$1),FALSE))),VLOOKUP($C61,装備品!$1:$998,COLUMN($O$1),FALSE)*VLOOKUP($D61,素材!$1:$1016,COLUMN($E$1),FALSE)/(LEN(VLOOKUP($D61,素材!$1:$1016,COLUMN($F$1),FALSE))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C61">
        <f>IF(ISNUMBER(SEARCH(SUBSTITUTE(AC$1,RIGHT(AC$1,2),""),VLOOKUP($D61,素材!$1:$1016,COLUMN($F$1),FALSE))),VLOOKUP($C61,装備品!$1:$998,COLUMN($O$1),FALSE)*VLOOKUP($D61,素材!$1:$1016,COLUMN($E$1),FALSE)/(LEN(VLOOKUP($D61,素材!$1:$1016,COLUMN($F$1),FALSE))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D61">
        <f>IF(ISNUMBER(SEARCH(SUBSTITUTE(AD$1,RIGHT(AD$1,2),""),VLOOKUP($D61,素材!$1:$1016,COLUMN($F$1),FALSE))),VLOOKUP($C61,装備品!$1:$998,COLUMN($O$1),FALSE)*VLOOKUP($D61,素材!$1:$1016,COLUMN($E$1),FALSE)/(LEN(VLOOKUP($D61,素材!$1:$1016,COLUMN($F$1),FALSE))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E61">
        <f>IF(ISNUMBER(SEARCH(SUBSTITUTE(AE$1,RIGHT(AE$1,2),""),VLOOKUP($D61,素材!$1:$1016,COLUMN($F$1),FALSE))),VLOOKUP($C61,装備品!$1:$998,COLUMN($O$1),FALSE)*VLOOKUP($D61,素材!$1:$1016,COLUMN($E$1),FALSE)/(LEN(VLOOKUP($D61,素材!$1:$1016,COLUMN($F$1),FALSE))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F61">
        <f>IF(ISNUMBER(SEARCH(SUBSTITUTE(AF$1,RIGHT(AF$1,2),""),VLOOKUP($D61,素材!$1:$1016,COLUMN($F$1),FALSE))),VLOOKUP($C61,装備品!$1:$998,COLUMN($O$1),FALSE)*VLOOKUP($D61,素材!$1:$1016,COLUMN($E$1),FALSE)/(LEN(VLOOKUP($D61,素材!$1:$1016,COLUMN($F$1),FALSE))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G61">
        <f>IF(ISNUMBER(SEARCH(SUBSTITUTE(AG$1,RIGHT(AG$1,2),""),VLOOKUP($D61,素材!$1:$1016,COLUMN($F$1),FALSE))),VLOOKUP($C61,装備品!$1:$998,COLUMN($O$1),FALSE)*VLOOKUP($D61,素材!$1:$1016,COLUMN($E$1),FALSE)/(LEN(VLOOKUP($D61,素材!$1:$1016,COLUMN($F$1),FALSE))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H61">
        <f>IF(ISNUMBER(SEARCH(SUBSTITUTE(AH$1,RIGHT(AH$1,2),""),VLOOKUP($D61,素材!$1:$1016,COLUMN($F$1),FALSE))),VLOOKUP($C61,装備品!$1:$998,COLUMN($O$1),FALSE)*VLOOKUP($D61,素材!$1:$1016,COLUMN($E$1),FALSE)/(LEN(VLOOKUP($D61,素材!$1:$1016,COLUMN($F$1),FALSE))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I61">
        <f>IF(ISNUMBER(SEARCH(SUBSTITUTE(AI$1,RIGHT(AI$1,2),""),VLOOKUP($D61,素材!$1:$1016,COLUMN($F$1),FALSE))),VLOOKUP($C61,装備品!$1:$998,COLUMN($O$1),FALSE)*VLOOKUP($D61,素材!$1:$1016,COLUMN($E$1),FALSE)/(LEN(VLOOKUP($D61,素材!$1:$1016,COLUMN($F$1),FALSE))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J61">
        <f>IF(ISNUMBER(SEARCH(SUBSTITUTE(AJ$1,RIGHT(AJ$1,2),""),VLOOKUP($D61,素材!$1:$1016,COLUMN($F$1),FALSE))),VLOOKUP($C61,装備品!$1:$998,COLUMN($O$1),FALSE)*VLOOKUP($D61,素材!$1:$1016,COLUMN($E$1),FALSE)/(LEN(VLOOKUP($D61,素材!$1:$1016,COLUMN($F$1),FALSE))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K61">
        <f>IF(ISNUMBER(SEARCH(SUBSTITUTE(AK$1,RIGHT(AK$1,2),""),VLOOKUP($D61,素材!$1:$1016,COLUMN($F$1),FALSE))),VLOOKUP($C61,装備品!$1:$998,COLUMN($O$1),FALSE)*VLOOKUP($D61,素材!$1:$1016,COLUMN($E$1),FALSE)/(LEN(VLOOKUP($D61,素材!$1:$1016,COLUMN($F$1),FALSE))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L61">
        <f>IF(ISNUMBER(SEARCH(SUBSTITUTE(AL$1,RIGHT(AL$1,2),""),VLOOKUP($D61,素材!$1:$1016,COLUMN($F$1),FALSE))),VLOOKUP($C61,装備品!$1:$998,COLUMN($O$1),FALSE)*VLOOKUP($D61,素材!$1:$1016,COLUMN($E$1),FALSE)/(LEN(VLOOKUP($D61,素材!$1:$1016,COLUMN($F$1),FALSE))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M61">
        <f>IF(ISNUMBER(SEARCH(SUBSTITUTE(AM$1,RIGHT(AM$1,2),""),VLOOKUP($D61,素材!$1:$1016,COLUMN($F$1),FALSE))),VLOOKUP($C61,装備品!$1:$998,COLUMN($O$1),FALSE)*VLOOKUP($D61,素材!$1:$1016,COLUMN($E$1),FALSE)/(LEN(VLOOKUP($D61,素材!$1:$1016,COLUMN($F$1),FALSE))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N61">
        <f>IF(ISNUMBER(SEARCH(SUBSTITUTE(AN$1,RIGHT(AN$1,2),""),VLOOKUP($D61,素材!$1:$1016,COLUMN($F$1),FALSE))),VLOOKUP($C61,装備品!$1:$998,COLUMN($O$1),FALSE)*VLOOKUP($D61,素材!$1:$1016,COLUMN($E$1),FALSE)/(LEN(VLOOKUP($D61,素材!$1:$1016,COLUMN($F$1),FALSE))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O61">
        <f>IF(ISNUMBER(SEARCH(SUBSTITUTE(AO$1,RIGHT(AO$1,2),""),VLOOKUP($D61,素材!$1:$1016,COLUMN($F$1),FALSE))),VLOOKUP($C61,装備品!$1:$998,COLUMN($O$1),FALSE)*VLOOKUP($D61,素材!$1:$1016,COLUMN($E$1),FALSE)/(LEN(VLOOKUP($D61,素材!$1:$1016,COLUMN($F$1),FALSE))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P61">
        <f>IF(ISNUMBER(SEARCH(SUBSTITUTE(AP$1,RIGHT(AP$1,2),""),VLOOKUP($D61,素材!$1:$1016,COLUMN($F$1),FALSE))),VLOOKUP($C61,装備品!$1:$998,COLUMN($O$1),FALSE)*VLOOKUP($D61,素材!$1:$1016,COLUMN($E$1),FALSE)/(LEN(VLOOKUP($D61,素材!$1:$1016,COLUMN($F$1),FALSE))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Q61">
        <f>IF(ISNUMBER(SEARCH(SUBSTITUTE(AQ$1,RIGHT(AQ$1,2),""),VLOOKUP($D61,素材!$1:$1016,COLUMN($F$1),FALSE))),VLOOKUP($C61,装備品!$1:$998,COLUMN($O$1),FALSE)*VLOOKUP($D61,素材!$1:$1016,COLUMN($E$1),FALSE)/(LEN(VLOOKUP($D61,素材!$1:$1016,COLUMN($F$1),FALSE))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R61">
        <f>IF(ISNUMBER(SEARCH(SUBSTITUTE(AR$1,RIGHT(AR$1,2),""),VLOOKUP($D61,素材!$1:$1016,COLUMN($F$1),FALSE))),VLOOKUP($C61,装備品!$1:$998,COLUMN($O$1),FALSE)*VLOOKUP($D61,素材!$1:$1016,COLUMN($E$1),FALSE)/(LEN(VLOOKUP($D61,素材!$1:$1016,COLUMN($F$1),FALSE))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S61">
        <f>IF(ISNUMBER(SEARCH(SUBSTITUTE(AS$1,RIGHT(AS$1,2),""),VLOOKUP($D61,素材!$1:$1016,COLUMN($F$1),FALSE))),VLOOKUP($C61,装備品!$1:$998,COLUMN($O$1),FALSE)*VLOOKUP($D61,素材!$1:$1016,COLUMN($E$1),FALSE)/(LEN(VLOOKUP($D61,素材!$1:$1016,COLUMN($F$1),FALSE))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T61">
        <f>IF(ISNUMBER(SEARCH(SUBSTITUTE(AT$1,RIGHT(AT$1,2),""),VLOOKUP($D61,素材!$1:$1016,COLUMN($F$1),FALSE))),VLOOKUP($C61,装備品!$1:$998,COLUMN($O$1),FALSE)*VLOOKUP($D61,素材!$1:$1016,COLUMN($E$1),FALSE)/(LEN(VLOOKUP($D61,素材!$1:$1016,COLUMN($F$1),FALSE))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U61">
        <f>IF(ISNUMBER(SEARCH(SUBSTITUTE(AU$1,RIGHT(AU$1,2),""),VLOOKUP($D61,素材!$1:$1016,COLUMN($F$1),FALSE))),VLOOKUP($C61,装備品!$1:$998,COLUMN($O$1),FALSE)*VLOOKUP($D61,素材!$1:$1016,COLUMN($E$1),FALSE)/(LEN(VLOOKUP($D61,素材!$1:$1016,COLUMN($F$1),FALSE))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V61">
        <f>IF(ISNUMBER(SEARCH(SUBSTITUTE(AV$1,RIGHT(AV$1,2),""),VLOOKUP($D61,素材!$1:$1016,COLUMN($F$1),FALSE))),VLOOKUP($C61,装備品!$1:$998,COLUMN($O$1),FALSE)*VLOOKUP($D61,素材!$1:$1016,COLUMN($E$1),FALSE)/(LEN(VLOOKUP($D61,素材!$1:$1016,COLUMN($F$1),FALSE))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W61">
        <f>IF(ISNUMBER(SEARCH(SUBSTITUTE(AW$1,RIGHT(AW$1,2),""),VLOOKUP($D61,素材!$1:$1016,COLUMN($F$1),FALSE))),VLOOKUP($C61,装備品!$1:$998,COLUMN($O$1),FALSE)*VLOOKUP($D61,素材!$1:$1016,COLUMN($E$1),FALSE)/(LEN(VLOOKUP($D61,素材!$1:$1016,COLUMN($F$1),FALSE))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X61">
        <f>IF(ISNUMBER(SEARCH(SUBSTITUTE(AX$1,RIGHT(AX$1,2),""),VLOOKUP($D61,素材!$1:$1016,COLUMN($F$1),FALSE))),VLOOKUP($C61,装備品!$1:$998,COLUMN($O$1),FALSE)*VLOOKUP($D61,素材!$1:$1016,COLUMN($E$1),FALSE)/(LEN(VLOOKUP($D61,素材!$1:$1016,COLUMN($F$1),FALSE))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Y61">
        <f>IF(ISNUMBER(SEARCH(SUBSTITUTE(AY$1,RIGHT(AY$1,2),""),VLOOKUP($D61,素材!$1:$1016,COLUMN($F$1),FALSE))),VLOOKUP($C61,装備品!$1:$998,COLUMN($O$1),FALSE)*VLOOKUP($D61,素材!$1:$1016,COLUMN($E$1),FALSE)/(LEN(VLOOKUP($D61,素材!$1:$1016,COLUMN($F$1),FALSE))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Z61">
        <f>IF(ISNUMBER(SEARCH(SUBSTITUTE(AZ$1,RIGHT(AZ$1,2),""),VLOOKUP($D61,素材!$1:$1016,COLUMN($F$1),FALSE))),VLOOKUP($C61,装備品!$1:$998,COLUMN($O$1),FALSE)*VLOOKUP($D61,素材!$1:$1016,COLUMN($E$1),FALSE)/(LEN(VLOOKUP($D61,素材!$1:$1016,COLUMN($F$1),FALSE))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BA61">
        <f>IF(ISNUMBER(SEARCH(SUBSTITUTE(BA$1,RIGHT(BA$1,2),""),VLOOKUP($D61,素材!$1:$1016,COLUMN($F$1),FALSE))),VLOOKUP($C61,装備品!$1:$998,COLUMN($O$1),FALSE)*VLOOKUP($D61,素材!$1:$1016,COLUMN($E$1),FALSE)/(LEN(VLOOKUP($D61,素材!$1:$1016,COLUMN($F$1),FALSE))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BB61">
        <f>IF(ISNUMBER(SEARCH(SUBSTITUTE(BB$1,RIGHT(BB$1,2),""),VLOOKUP($D61,素材!$1:$1016,COLUMN($F$1),FALSE))),VLOOKUP($C61,装備品!$1:$998,COLUMN($O$1),FALSE)*VLOOKUP($D61,素材!$1:$1016,COLUMN($E$1),FALSE)/(LEN(VLOOKUP($D61,素材!$1:$1016,COLUMN($F$1),FALSE))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BC61">
        <f>IF(ISNUMBER(SEARCH(SUBSTITUTE(BC$1,RIGHT(BC$1,2),""),VLOOKUP($D61,素材!$1:$1016,COLUMN($F$1),FALSE))),VLOOKUP($C61,装備品!$1:$998,COLUMN($O$1),FALSE)*VLOOKUP($D61,素材!$1:$1016,COLUMN($E$1),FALSE)/(LEN(VLOOKUP($D61,素材!$1:$1016,COLUMN($F$1),FALSE))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BD61">
        <f>IF(ISNUMBER(SEARCH(SUBSTITUTE(BD$1,RIGHT(BD$1,2),""),VLOOKUP($D61,素材!$1:$1016,COLUMN($F$1),FALSE))),VLOOKUP($C61,装備品!$1:$998,COLUMN($O$1),FALSE)*VLOOKUP($D61,素材!$1:$1016,COLUMN($E$1),FALSE)/(LEN(VLOOKUP($D61,素材!$1:$1016,COLUMN($F$1),FALSE))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BE61">
        <f>IF(ISNUMBER(SEARCH(SUBSTITUTE(BE$1,RIGHT(BE$1,2),""),VLOOKUP($D61,素材!$1:$1016,COLUMN($F$1),FALSE))),VLOOKUP($C61,装備品!$1:$998,COLUMN($O$1),FALSE)*VLOOKUP($D61,素材!$1:$1016,COLUMN($E$1),FALSE)/(LEN(VLOOKUP($D61,素材!$1:$1016,COLUMN($F$1),FALSE))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CL61">
        <f t="shared" si="1"/>
        <v>12</v>
      </c>
      <c r="CM61" s="22" t="str">
        <f t="shared" si="2"/>
        <v>盾.webp</v>
      </c>
      <c r="CN61">
        <f>IFERROR(VLOOKUP($C61,装備品!$1:$998,COLUMN(V$1),FALSE)*VLOOKUP($D61,素材!$1:$1016,COLUMN(N$1),FALSE)+IF(CI61="",0,VLOOKUP($CI61,付与!$1:$1176,COLUMN($CK$1),FALSE)),"")</f>
        <v>0</v>
      </c>
      <c r="CO61" t="str">
        <f>VLOOKUP(D61,素材!$A:$O,COLUMN(素材!O$1),FALSE)</f>
        <v>一般的な木材。金属より軽いが少し脆い</v>
      </c>
      <c r="CP61" t="str">
        <f>VLOOKUP(C61,装備品!$A:$AB,COLUMN(装備品!AB$1),FALSE)</f>
        <v>盾。防御力が高く、汎用性がある防具。</v>
      </c>
      <c r="CR61" t="str">
        <f t="shared" si="3"/>
        <v>e_61</v>
      </c>
      <c r="CS61">
        <f t="shared" si="4"/>
        <v>0</v>
      </c>
    </row>
    <row r="62" spans="1:97" outlineLevel="1" x14ac:dyDescent="0.4">
      <c r="A62" t="str">
        <f t="shared" si="5"/>
        <v>木の丸大盾</v>
      </c>
      <c r="B62" t="str">
        <f>IFERROR(VLOOKUP($D62,素材!$1:$1016,COLUMN($B$1),FALSE)&amp;"・"&amp;VLOOKUP($C62,装備品!$1:$998,COLUMN(B$1),FALSE),"")</f>
        <v>ウッド・ラウンドシールド</v>
      </c>
      <c r="C62" t="s">
        <v>219</v>
      </c>
      <c r="D62" s="24" t="s">
        <v>254</v>
      </c>
      <c r="E62" t="str">
        <f>IFERROR(VLOOKUP(C62,装備品!$1:$998,COLUMN(C$1),FALSE),"")</f>
        <v>盾</v>
      </c>
      <c r="F62">
        <f>IFERROR(ROUNDDOWN((VLOOKUP($C62,装備品!$1:$998,COLUMN(D$1),FALSE)+IFERROR(VLOOKUP($CI62,付与!$1:$1167,COLUMN(F$1),FALSE),0))*VLOOKUP($D62,素材!$1:$1016,COLUMN(D$1),FALSE),0),"")</f>
        <v>82</v>
      </c>
      <c r="G62">
        <f>IFERROR(ROUNDDOWN((VLOOKUP($C62,装備品!$1:$998,COLUMN(E$1),FALSE)+IFERROR(VLOOKUP($CI62,付与!$1:$1167,COLUMN(G$1),FALSE),0))*VLOOKUP($D62,素材!$1:$1016,COLUMN($E$1),FALSE),0),"")</f>
        <v>6</v>
      </c>
      <c r="H62">
        <f>IFERROR(ROUNDDOWN((VLOOKUP($C62,装備品!$1:$998,COLUMN(F$1),FALSE)+IFERROR(VLOOKUP($CI62,付与!$1:$1167,COLUMN(H$1),FALSE),0))*VLOOKUP($D62,素材!$1:$1016,COLUMN($E$1),FALSE),0),"")</f>
        <v>0</v>
      </c>
      <c r="I62">
        <f>IFERROR(ROUNDDOWN((VLOOKUP($C62,装備品!$1:$998,COLUMN(G$1),FALSE)+IFERROR(VLOOKUP($CI62,付与!$1:$1167,COLUMN(I$1),FALSE),0))*VLOOKUP($D62,素材!$1:$1016,COLUMN($E$1),FALSE),0),"")</f>
        <v>6</v>
      </c>
      <c r="J62">
        <f>IFERROR(ROUNDDOWN((VLOOKUP($C62,装備品!$1:$998,COLUMN(H$1),FALSE)+IFERROR(VLOOKUP($CI62,付与!$1:$1167,COLUMN(J$1),FALSE),0))*VLOOKUP($D62,素材!$1:$1016,COLUMN($E$1),FALSE),0),"")</f>
        <v>18</v>
      </c>
      <c r="K62">
        <f>IFERROR(ROUNDDOWN((VLOOKUP($C62,装備品!$1:$998,COLUMN(I$1),FALSE)+IFERROR(VLOOKUP($CI62,付与!$1:$1167,COLUMN(K$1),FALSE),0))*VLOOKUP($D62,素材!$1:$1016,COLUMN($E$1),FALSE),0),"")</f>
        <v>0</v>
      </c>
      <c r="L62">
        <f>IFERROR(VLOOKUP($D62,素材!$1:$1016,COLUMN($F$1),FALSE),"")</f>
        <v>0</v>
      </c>
      <c r="M62">
        <f>IFERROR(VLOOKUP($C62,装備品!$1:$998,COLUMN(AA$1),FALSE)*VLOOKUP($D62,素材!$1:$1016,COLUMN($G$1),FALSE),"")</f>
        <v>0</v>
      </c>
      <c r="N62">
        <f>IFERROR(VLOOKUP($C62,装備品!$1:$998,COLUMN(I$1),FALSE),"")</f>
        <v>0</v>
      </c>
      <c r="O62" s="23">
        <f>IFERROR((VLOOKUP($C62,装備品!$1:$998,COLUMN(K$1),FALSE)+VLOOKUP($D62,素材!$1:$1016,COLUMN(H$1),FALSE))*100+IFERROR(VLOOKUP($CI62,付与!$1:$1167,COLUMN(O$1),FALSE),0),"")</f>
        <v>5</v>
      </c>
      <c r="P62" s="23">
        <f>IFERROR((VLOOKUP($C62,装備品!$1:$998,COLUMN(L$1),FALSE)+VLOOKUP($D62,素材!$1:$1016,COLUMN(I$1),FALSE))*100+IFERROR(VLOOKUP($CI62,付与!$1:$1167,COLUMN(P$1),FALSE),0),"")</f>
        <v>125</v>
      </c>
      <c r="Q62">
        <f>IFERROR(ROUNDUP(VLOOKUP($C62,装備品!$1:$998,COLUMN(M$1),FALSE)*(VLOOKUP($D62,素材!$1:$1002,COLUMN(D$1),FALSE)/100),1),"")</f>
        <v>-3.8000000000000003</v>
      </c>
      <c r="R62">
        <f>IFERROR(ROUNDUP(VLOOKUP($C62,装備品!$1:$998,COLUMN(N$1),FALSE)*(VLOOKUP($D62,素材!$1:$1002,COLUMN(D$1),FALSE)/100),1),"")</f>
        <v>0</v>
      </c>
      <c r="S62">
        <f>IFERROR(VLOOKUP($C62,装備品!$1:$998,COLUMN(P$1),FALSE),"")</f>
        <v>0</v>
      </c>
      <c r="T62">
        <f>IFERROR(VLOOKUP($C62,装備品!$1:$998,COLUMN(Q$1),FALSE),"")</f>
        <v>0</v>
      </c>
      <c r="U62">
        <f>IFERROR(VLOOKUP($C62,装備品!$1:$998,COLUMN(R$1),FALSE),"")</f>
        <v>0</v>
      </c>
      <c r="V62">
        <f>IFERROR(VLOOKUP($C62,装備品!$1:$998,COLUMN(Q$1),FALSE),"")</f>
        <v>0</v>
      </c>
      <c r="W62">
        <f>IFERROR(VLOOKUP($C62,装備品!$1:$998,COLUMN(T$1),FALSE),"")</f>
        <v>0</v>
      </c>
      <c r="Y62">
        <f>IFERROR(VLOOKUP($C62,装備品!$1:$998,COLUMN(U$1),FALSE),"")</f>
        <v>0</v>
      </c>
      <c r="Z62">
        <f>IFERROR(ROUNDUP(VLOOKUP($C62,装備品!$1:$998,COLUMN(O$1),FALSE)*VLOOKUP($D62,素材!$1:$1016,COLUMN(E$1),FALSE),1),"")</f>
        <v>0</v>
      </c>
      <c r="AA62">
        <f>IF(ISNUMBER(SEARCH(SUBSTITUTE(AA$1,RIGHT(AA$1,2),""),VLOOKUP($D62,素材!$1:$1016,COLUMN($F$1),FALSE))),VLOOKUP($C62,装備品!$1:$998,COLUMN($O$1),FALSE)*VLOOKUP($D62,素材!$1:$1016,COLUMN($E$1),FALSE)/(LEN(VLOOKUP($D62,素材!$1:$1016,COLUMN($F$1),FALSE))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B62">
        <f>IF(ISNUMBER(SEARCH(SUBSTITUTE(AB$1,RIGHT(AB$1,2),""),VLOOKUP($D62,素材!$1:$1016,COLUMN($F$1),FALSE))),VLOOKUP($C62,装備品!$1:$998,COLUMN($O$1),FALSE)*VLOOKUP($D62,素材!$1:$1016,COLUMN($E$1),FALSE)/(LEN(VLOOKUP($D62,素材!$1:$1016,COLUMN($F$1),FALSE))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C62">
        <f>IF(ISNUMBER(SEARCH(SUBSTITUTE(AC$1,RIGHT(AC$1,2),""),VLOOKUP($D62,素材!$1:$1016,COLUMN($F$1),FALSE))),VLOOKUP($C62,装備品!$1:$998,COLUMN($O$1),FALSE)*VLOOKUP($D62,素材!$1:$1016,COLUMN($E$1),FALSE)/(LEN(VLOOKUP($D62,素材!$1:$1016,COLUMN($F$1),FALSE))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D62">
        <f>IF(ISNUMBER(SEARCH(SUBSTITUTE(AD$1,RIGHT(AD$1,2),""),VLOOKUP($D62,素材!$1:$1016,COLUMN($F$1),FALSE))),VLOOKUP($C62,装備品!$1:$998,COLUMN($O$1),FALSE)*VLOOKUP($D62,素材!$1:$1016,COLUMN($E$1),FALSE)/(LEN(VLOOKUP($D62,素材!$1:$1016,COLUMN($F$1),FALSE))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E62">
        <f>IF(ISNUMBER(SEARCH(SUBSTITUTE(AE$1,RIGHT(AE$1,2),""),VLOOKUP($D62,素材!$1:$1016,COLUMN($F$1),FALSE))),VLOOKUP($C62,装備品!$1:$998,COLUMN($O$1),FALSE)*VLOOKUP($D62,素材!$1:$1016,COLUMN($E$1),FALSE)/(LEN(VLOOKUP($D62,素材!$1:$1016,COLUMN($F$1),FALSE))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F62">
        <f>IF(ISNUMBER(SEARCH(SUBSTITUTE(AF$1,RIGHT(AF$1,2),""),VLOOKUP($D62,素材!$1:$1016,COLUMN($F$1),FALSE))),VLOOKUP($C62,装備品!$1:$998,COLUMN($O$1),FALSE)*VLOOKUP($D62,素材!$1:$1016,COLUMN($E$1),FALSE)/(LEN(VLOOKUP($D62,素材!$1:$1016,COLUMN($F$1),FALSE))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G62">
        <f>IF(ISNUMBER(SEARCH(SUBSTITUTE(AG$1,RIGHT(AG$1,2),""),VLOOKUP($D62,素材!$1:$1016,COLUMN($F$1),FALSE))),VLOOKUP($C62,装備品!$1:$998,COLUMN($O$1),FALSE)*VLOOKUP($D62,素材!$1:$1016,COLUMN($E$1),FALSE)/(LEN(VLOOKUP($D62,素材!$1:$1016,COLUMN($F$1),FALSE))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H62">
        <f>IF(ISNUMBER(SEARCH(SUBSTITUTE(AH$1,RIGHT(AH$1,2),""),VLOOKUP($D62,素材!$1:$1016,COLUMN($F$1),FALSE))),VLOOKUP($C62,装備品!$1:$998,COLUMN($O$1),FALSE)*VLOOKUP($D62,素材!$1:$1016,COLUMN($E$1),FALSE)/(LEN(VLOOKUP($D62,素材!$1:$1016,COLUMN($F$1),FALSE))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I62">
        <f>IF(ISNUMBER(SEARCH(SUBSTITUTE(AI$1,RIGHT(AI$1,2),""),VLOOKUP($D62,素材!$1:$1016,COLUMN($F$1),FALSE))),VLOOKUP($C62,装備品!$1:$998,COLUMN($O$1),FALSE)*VLOOKUP($D62,素材!$1:$1016,COLUMN($E$1),FALSE)/(LEN(VLOOKUP($D62,素材!$1:$1016,COLUMN($F$1),FALSE))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J62">
        <f>IF(ISNUMBER(SEARCH(SUBSTITUTE(AJ$1,RIGHT(AJ$1,2),""),VLOOKUP($D62,素材!$1:$1016,COLUMN($F$1),FALSE))),VLOOKUP($C62,装備品!$1:$998,COLUMN($O$1),FALSE)*VLOOKUP($D62,素材!$1:$1016,COLUMN($E$1),FALSE)/(LEN(VLOOKUP($D62,素材!$1:$1016,COLUMN($F$1),FALSE))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K62">
        <f>IF(ISNUMBER(SEARCH(SUBSTITUTE(AK$1,RIGHT(AK$1,2),""),VLOOKUP($D62,素材!$1:$1016,COLUMN($F$1),FALSE))),VLOOKUP($C62,装備品!$1:$998,COLUMN($O$1),FALSE)*VLOOKUP($D62,素材!$1:$1016,COLUMN($E$1),FALSE)/(LEN(VLOOKUP($D62,素材!$1:$1016,COLUMN($F$1),FALSE))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L62">
        <f>IF(ISNUMBER(SEARCH(SUBSTITUTE(AL$1,RIGHT(AL$1,2),""),VLOOKUP($D62,素材!$1:$1016,COLUMN($F$1),FALSE))),VLOOKUP($C62,装備品!$1:$998,COLUMN($O$1),FALSE)*VLOOKUP($D62,素材!$1:$1016,COLUMN($E$1),FALSE)/(LEN(VLOOKUP($D62,素材!$1:$1016,COLUMN($F$1),FALSE))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M62">
        <f>IF(ISNUMBER(SEARCH(SUBSTITUTE(AM$1,RIGHT(AM$1,2),""),VLOOKUP($D62,素材!$1:$1016,COLUMN($F$1),FALSE))),VLOOKUP($C62,装備品!$1:$998,COLUMN($O$1),FALSE)*VLOOKUP($D62,素材!$1:$1016,COLUMN($E$1),FALSE)/(LEN(VLOOKUP($D62,素材!$1:$1016,COLUMN($F$1),FALSE))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N62">
        <f>IF(ISNUMBER(SEARCH(SUBSTITUTE(AN$1,RIGHT(AN$1,2),""),VLOOKUP($D62,素材!$1:$1016,COLUMN($F$1),FALSE))),VLOOKUP($C62,装備品!$1:$998,COLUMN($O$1),FALSE)*VLOOKUP($D62,素材!$1:$1016,COLUMN($E$1),FALSE)/(LEN(VLOOKUP($D62,素材!$1:$1016,COLUMN($F$1),FALSE))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O62">
        <f>IF(ISNUMBER(SEARCH(SUBSTITUTE(AO$1,RIGHT(AO$1,2),""),VLOOKUP($D62,素材!$1:$1016,COLUMN($F$1),FALSE))),VLOOKUP($C62,装備品!$1:$998,COLUMN($O$1),FALSE)*VLOOKUP($D62,素材!$1:$1016,COLUMN($E$1),FALSE)/(LEN(VLOOKUP($D62,素材!$1:$1016,COLUMN($F$1),FALSE))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P62">
        <f>IF(ISNUMBER(SEARCH(SUBSTITUTE(AP$1,RIGHT(AP$1,2),""),VLOOKUP($D62,素材!$1:$1016,COLUMN($F$1),FALSE))),VLOOKUP($C62,装備品!$1:$998,COLUMN($O$1),FALSE)*VLOOKUP($D62,素材!$1:$1016,COLUMN($E$1),FALSE)/(LEN(VLOOKUP($D62,素材!$1:$1016,COLUMN($F$1),FALSE))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Q62">
        <f>IF(ISNUMBER(SEARCH(SUBSTITUTE(AQ$1,RIGHT(AQ$1,2),""),VLOOKUP($D62,素材!$1:$1016,COLUMN($F$1),FALSE))),VLOOKUP($C62,装備品!$1:$998,COLUMN($O$1),FALSE)*VLOOKUP($D62,素材!$1:$1016,COLUMN($E$1),FALSE)/(LEN(VLOOKUP($D62,素材!$1:$1016,COLUMN($F$1),FALSE))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R62">
        <f>IF(ISNUMBER(SEARCH(SUBSTITUTE(AR$1,RIGHT(AR$1,2),""),VLOOKUP($D62,素材!$1:$1016,COLUMN($F$1),FALSE))),VLOOKUP($C62,装備品!$1:$998,COLUMN($O$1),FALSE)*VLOOKUP($D62,素材!$1:$1016,COLUMN($E$1),FALSE)/(LEN(VLOOKUP($D62,素材!$1:$1016,COLUMN($F$1),FALSE))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S62">
        <f>IF(ISNUMBER(SEARCH(SUBSTITUTE(AS$1,RIGHT(AS$1,2),""),VLOOKUP($D62,素材!$1:$1016,COLUMN($F$1),FALSE))),VLOOKUP($C62,装備品!$1:$998,COLUMN($O$1),FALSE)*VLOOKUP($D62,素材!$1:$1016,COLUMN($E$1),FALSE)/(LEN(VLOOKUP($D62,素材!$1:$1016,COLUMN($F$1),FALSE))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T62">
        <f>IF(ISNUMBER(SEARCH(SUBSTITUTE(AT$1,RIGHT(AT$1,2),""),VLOOKUP($D62,素材!$1:$1016,COLUMN($F$1),FALSE))),VLOOKUP($C62,装備品!$1:$998,COLUMN($O$1),FALSE)*VLOOKUP($D62,素材!$1:$1016,COLUMN($E$1),FALSE)/(LEN(VLOOKUP($D62,素材!$1:$1016,COLUMN($F$1),FALSE))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U62">
        <f>IF(ISNUMBER(SEARCH(SUBSTITUTE(AU$1,RIGHT(AU$1,2),""),VLOOKUP($D62,素材!$1:$1016,COLUMN($F$1),FALSE))),VLOOKUP($C62,装備品!$1:$998,COLUMN($O$1),FALSE)*VLOOKUP($D62,素材!$1:$1016,COLUMN($E$1),FALSE)/(LEN(VLOOKUP($D62,素材!$1:$1016,COLUMN($F$1),FALSE))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V62">
        <f>IF(ISNUMBER(SEARCH(SUBSTITUTE(AV$1,RIGHT(AV$1,2),""),VLOOKUP($D62,素材!$1:$1016,COLUMN($F$1),FALSE))),VLOOKUP($C62,装備品!$1:$998,COLUMN($O$1),FALSE)*VLOOKUP($D62,素材!$1:$1016,COLUMN($E$1),FALSE)/(LEN(VLOOKUP($D62,素材!$1:$1016,COLUMN($F$1),FALSE))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W62">
        <f>IF(ISNUMBER(SEARCH(SUBSTITUTE(AW$1,RIGHT(AW$1,2),""),VLOOKUP($D62,素材!$1:$1016,COLUMN($F$1),FALSE))),VLOOKUP($C62,装備品!$1:$998,COLUMN($O$1),FALSE)*VLOOKUP($D62,素材!$1:$1016,COLUMN($E$1),FALSE)/(LEN(VLOOKUP($D62,素材!$1:$1016,COLUMN($F$1),FALSE))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X62">
        <f>IF(ISNUMBER(SEARCH(SUBSTITUTE(AX$1,RIGHT(AX$1,2),""),VLOOKUP($D62,素材!$1:$1016,COLUMN($F$1),FALSE))),VLOOKUP($C62,装備品!$1:$998,COLUMN($O$1),FALSE)*VLOOKUP($D62,素材!$1:$1016,COLUMN($E$1),FALSE)/(LEN(VLOOKUP($D62,素材!$1:$1016,COLUMN($F$1),FALSE))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Y62">
        <f>IF(ISNUMBER(SEARCH(SUBSTITUTE(AY$1,RIGHT(AY$1,2),""),VLOOKUP($D62,素材!$1:$1016,COLUMN($F$1),FALSE))),VLOOKUP($C62,装備品!$1:$998,COLUMN($O$1),FALSE)*VLOOKUP($D62,素材!$1:$1016,COLUMN($E$1),FALSE)/(LEN(VLOOKUP($D62,素材!$1:$1016,COLUMN($F$1),FALSE))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Z62">
        <f>IF(ISNUMBER(SEARCH(SUBSTITUTE(AZ$1,RIGHT(AZ$1,2),""),VLOOKUP($D62,素材!$1:$1016,COLUMN($F$1),FALSE))),VLOOKUP($C62,装備品!$1:$998,COLUMN($O$1),FALSE)*VLOOKUP($D62,素材!$1:$1016,COLUMN($E$1),FALSE)/(LEN(VLOOKUP($D62,素材!$1:$1016,COLUMN($F$1),FALSE))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BA62">
        <f>IF(ISNUMBER(SEARCH(SUBSTITUTE(BA$1,RIGHT(BA$1,2),""),VLOOKUP($D62,素材!$1:$1016,COLUMN($F$1),FALSE))),VLOOKUP($C62,装備品!$1:$998,COLUMN($O$1),FALSE)*VLOOKUP($D62,素材!$1:$1016,COLUMN($E$1),FALSE)/(LEN(VLOOKUP($D62,素材!$1:$1016,COLUMN($F$1),FALSE))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BB62">
        <f>IF(ISNUMBER(SEARCH(SUBSTITUTE(BB$1,RIGHT(BB$1,2),""),VLOOKUP($D62,素材!$1:$1016,COLUMN($F$1),FALSE))),VLOOKUP($C62,装備品!$1:$998,COLUMN($O$1),FALSE)*VLOOKUP($D62,素材!$1:$1016,COLUMN($E$1),FALSE)/(LEN(VLOOKUP($D62,素材!$1:$1016,COLUMN($F$1),FALSE))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BC62">
        <f>IF(ISNUMBER(SEARCH(SUBSTITUTE(BC$1,RIGHT(BC$1,2),""),VLOOKUP($D62,素材!$1:$1016,COLUMN($F$1),FALSE))),VLOOKUP($C62,装備品!$1:$998,COLUMN($O$1),FALSE)*VLOOKUP($D62,素材!$1:$1016,COLUMN($E$1),FALSE)/(LEN(VLOOKUP($D62,素材!$1:$1016,COLUMN($F$1),FALSE))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BD62">
        <f>IF(ISNUMBER(SEARCH(SUBSTITUTE(BD$1,RIGHT(BD$1,2),""),VLOOKUP($D62,素材!$1:$1016,COLUMN($F$1),FALSE))),VLOOKUP($C62,装備品!$1:$998,COLUMN($O$1),FALSE)*VLOOKUP($D62,素材!$1:$1016,COLUMN($E$1),FALSE)/(LEN(VLOOKUP($D62,素材!$1:$1016,COLUMN($F$1),FALSE))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BE62">
        <f>IF(ISNUMBER(SEARCH(SUBSTITUTE(BE$1,RIGHT(BE$1,2),""),VLOOKUP($D62,素材!$1:$1016,COLUMN($F$1),FALSE))),VLOOKUP($C62,装備品!$1:$998,COLUMN($O$1),FALSE)*VLOOKUP($D62,素材!$1:$1016,COLUMN($E$1),FALSE)/(LEN(VLOOKUP($D62,素材!$1:$1016,COLUMN($F$1),FALSE))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CL62">
        <f t="shared" si="1"/>
        <v>12</v>
      </c>
      <c r="CM62" s="22" t="str">
        <f t="shared" si="2"/>
        <v>盾.webp</v>
      </c>
      <c r="CN62">
        <f>IFERROR(VLOOKUP($C62,装備品!$1:$998,COLUMN(V$1),FALSE)*VLOOKUP($D62,素材!$1:$1016,COLUMN(N$1),FALSE)+IF(CI62="",0,VLOOKUP($CI62,付与!$1:$1176,COLUMN($CK$1),FALSE)),"")</f>
        <v>0</v>
      </c>
      <c r="CO62" t="str">
        <f>VLOOKUP(D62,素材!$A:$O,COLUMN(素材!O$1),FALSE)</f>
        <v>一般的な木材。金属より軽いが少し脆い</v>
      </c>
      <c r="CP62" t="str">
        <f>VLOOKUP(C62,装備品!$A:$AB,COLUMN(装備品!AB$1),FALSE)</f>
        <v>丸大盾。防御範囲が広く、投擲も可能。</v>
      </c>
      <c r="CR62" t="str">
        <f t="shared" si="3"/>
        <v>e_62</v>
      </c>
      <c r="CS62">
        <f t="shared" si="4"/>
        <v>0</v>
      </c>
    </row>
    <row r="63" spans="1:97" outlineLevel="1" x14ac:dyDescent="0.4">
      <c r="A63" t="str">
        <f t="shared" si="5"/>
        <v>木の大盾</v>
      </c>
      <c r="B63" t="str">
        <f>IFERROR(VLOOKUP($D63,素材!$1:$1016,COLUMN($B$1),FALSE)&amp;"・"&amp;VLOOKUP($C63,装備品!$1:$998,COLUMN(B$1),FALSE),"")</f>
        <v>ウッド・ラージシールド</v>
      </c>
      <c r="C63" t="s">
        <v>218</v>
      </c>
      <c r="D63" s="24" t="s">
        <v>254</v>
      </c>
      <c r="E63" t="str">
        <f>IFERROR(VLOOKUP(C63,装備品!$1:$998,COLUMN(C$1),FALSE),"")</f>
        <v>盾</v>
      </c>
      <c r="F63">
        <f>IFERROR(ROUNDDOWN((VLOOKUP($C63,装備品!$1:$998,COLUMN(D$1),FALSE)+IFERROR(VLOOKUP($CI63,付与!$1:$1167,COLUMN(F$1),FALSE),0))*VLOOKUP($D63,素材!$1:$1016,COLUMN(D$1),FALSE),0),"")</f>
        <v>86</v>
      </c>
      <c r="G63">
        <f>IFERROR(ROUNDDOWN((VLOOKUP($C63,装備品!$1:$998,COLUMN(E$1),FALSE)+IFERROR(VLOOKUP($CI63,付与!$1:$1167,COLUMN(G$1),FALSE),0))*VLOOKUP($D63,素材!$1:$1016,COLUMN($E$1),FALSE),0),"")</f>
        <v>0</v>
      </c>
      <c r="H63">
        <f>IFERROR(ROUNDDOWN((VLOOKUP($C63,装備品!$1:$998,COLUMN(F$1),FALSE)+IFERROR(VLOOKUP($CI63,付与!$1:$1167,COLUMN(H$1),FALSE),0))*VLOOKUP($D63,素材!$1:$1016,COLUMN($E$1),FALSE),0),"")</f>
        <v>0</v>
      </c>
      <c r="I63">
        <f>IFERROR(ROUNDDOWN((VLOOKUP($C63,装備品!$1:$998,COLUMN(G$1),FALSE)+IFERROR(VLOOKUP($CI63,付与!$1:$1167,COLUMN(I$1),FALSE),0))*VLOOKUP($D63,素材!$1:$1016,COLUMN($E$1),FALSE),0),"")</f>
        <v>12</v>
      </c>
      <c r="J63">
        <f>IFERROR(ROUNDDOWN((VLOOKUP($C63,装備品!$1:$998,COLUMN(H$1),FALSE)+IFERROR(VLOOKUP($CI63,付与!$1:$1167,COLUMN(J$1),FALSE),0))*VLOOKUP($D63,素材!$1:$1016,COLUMN($E$1),FALSE),0),"")</f>
        <v>20</v>
      </c>
      <c r="K63">
        <f>IFERROR(ROUNDDOWN((VLOOKUP($C63,装備品!$1:$998,COLUMN(I$1),FALSE)+IFERROR(VLOOKUP($CI63,付与!$1:$1167,COLUMN(K$1),FALSE),0))*VLOOKUP($D63,素材!$1:$1016,COLUMN($E$1),FALSE),0),"")</f>
        <v>0</v>
      </c>
      <c r="L63">
        <f>IFERROR(VLOOKUP($D63,素材!$1:$1016,COLUMN($F$1),FALSE),"")</f>
        <v>0</v>
      </c>
      <c r="M63">
        <f>IFERROR(VLOOKUP($C63,装備品!$1:$998,COLUMN(AA$1),FALSE)*VLOOKUP($D63,素材!$1:$1016,COLUMN($G$1),FALSE),"")</f>
        <v>0</v>
      </c>
      <c r="N63">
        <f>IFERROR(VLOOKUP($C63,装備品!$1:$998,COLUMN(I$1),FALSE),"")</f>
        <v>0</v>
      </c>
      <c r="O63" s="23">
        <f>IFERROR((VLOOKUP($C63,装備品!$1:$998,COLUMN(K$1),FALSE)+VLOOKUP($D63,素材!$1:$1016,COLUMN(H$1),FALSE))*100+IFERROR(VLOOKUP($CI63,付与!$1:$1167,COLUMN(O$1),FALSE),0),"")</f>
        <v>5</v>
      </c>
      <c r="P63" s="23">
        <f>IFERROR((VLOOKUP($C63,装備品!$1:$998,COLUMN(L$1),FALSE)+VLOOKUP($D63,素材!$1:$1016,COLUMN(I$1),FALSE))*100+IFERROR(VLOOKUP($CI63,付与!$1:$1167,COLUMN(P$1),FALSE),0),"")</f>
        <v>125</v>
      </c>
      <c r="Q63">
        <f>IFERROR(ROUNDUP(VLOOKUP($C63,装備品!$1:$998,COLUMN(M$1),FALSE)*(VLOOKUP($D63,素材!$1:$1002,COLUMN(D$1),FALSE)/100),1),"")</f>
        <v>-3.8000000000000003</v>
      </c>
      <c r="R63">
        <f>IFERROR(ROUNDUP(VLOOKUP($C63,装備品!$1:$998,COLUMN(N$1),FALSE)*(VLOOKUP($D63,素材!$1:$1002,COLUMN(D$1),FALSE)/100),1),"")</f>
        <v>0</v>
      </c>
      <c r="S63">
        <f>IFERROR(VLOOKUP($C63,装備品!$1:$998,COLUMN(P$1),FALSE),"")</f>
        <v>0</v>
      </c>
      <c r="T63">
        <f>IFERROR(VLOOKUP($C63,装備品!$1:$998,COLUMN(Q$1),FALSE),"")</f>
        <v>0</v>
      </c>
      <c r="U63">
        <f>IFERROR(VLOOKUP($C63,装備品!$1:$998,COLUMN(R$1),FALSE),"")</f>
        <v>0</v>
      </c>
      <c r="V63">
        <f>IFERROR(VLOOKUP($C63,装備品!$1:$998,COLUMN(Q$1),FALSE),"")</f>
        <v>0</v>
      </c>
      <c r="W63">
        <f>IFERROR(VLOOKUP($C63,装備品!$1:$998,COLUMN(T$1),FALSE),"")</f>
        <v>0</v>
      </c>
      <c r="Y63">
        <f>IFERROR(VLOOKUP($C63,装備品!$1:$998,COLUMN(U$1),FALSE),"")</f>
        <v>0</v>
      </c>
      <c r="Z63">
        <f>IFERROR(ROUNDUP(VLOOKUP($C63,装備品!$1:$998,COLUMN(O$1),FALSE)*VLOOKUP($D63,素材!$1:$1016,COLUMN(E$1),FALSE),1),"")</f>
        <v>0</v>
      </c>
      <c r="AA63">
        <f>IF(ISNUMBER(SEARCH(SUBSTITUTE(AA$1,RIGHT(AA$1,2),""),VLOOKUP($D63,素材!$1:$1016,COLUMN($F$1),FALSE))),VLOOKUP($C63,装備品!$1:$998,COLUMN($O$1),FALSE)*VLOOKUP($D63,素材!$1:$1016,COLUMN($E$1),FALSE)/(LEN(VLOOKUP($D63,素材!$1:$1016,COLUMN($F$1),FALSE))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B63">
        <f>IF(ISNUMBER(SEARCH(SUBSTITUTE(AB$1,RIGHT(AB$1,2),""),VLOOKUP($D63,素材!$1:$1016,COLUMN($F$1),FALSE))),VLOOKUP($C63,装備品!$1:$998,COLUMN($O$1),FALSE)*VLOOKUP($D63,素材!$1:$1016,COLUMN($E$1),FALSE)/(LEN(VLOOKUP($D63,素材!$1:$1016,COLUMN($F$1),FALSE))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C63">
        <f>IF(ISNUMBER(SEARCH(SUBSTITUTE(AC$1,RIGHT(AC$1,2),""),VLOOKUP($D63,素材!$1:$1016,COLUMN($F$1),FALSE))),VLOOKUP($C63,装備品!$1:$998,COLUMN($O$1),FALSE)*VLOOKUP($D63,素材!$1:$1016,COLUMN($E$1),FALSE)/(LEN(VLOOKUP($D63,素材!$1:$1016,COLUMN($F$1),FALSE))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D63">
        <f>IF(ISNUMBER(SEARCH(SUBSTITUTE(AD$1,RIGHT(AD$1,2),""),VLOOKUP($D63,素材!$1:$1016,COLUMN($F$1),FALSE))),VLOOKUP($C63,装備品!$1:$998,COLUMN($O$1),FALSE)*VLOOKUP($D63,素材!$1:$1016,COLUMN($E$1),FALSE)/(LEN(VLOOKUP($D63,素材!$1:$1016,COLUMN($F$1),FALSE))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E63">
        <f>IF(ISNUMBER(SEARCH(SUBSTITUTE(AE$1,RIGHT(AE$1,2),""),VLOOKUP($D63,素材!$1:$1016,COLUMN($F$1),FALSE))),VLOOKUP($C63,装備品!$1:$998,COLUMN($O$1),FALSE)*VLOOKUP($D63,素材!$1:$1016,COLUMN($E$1),FALSE)/(LEN(VLOOKUP($D63,素材!$1:$1016,COLUMN($F$1),FALSE))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F63">
        <f>IF(ISNUMBER(SEARCH(SUBSTITUTE(AF$1,RIGHT(AF$1,2),""),VLOOKUP($D63,素材!$1:$1016,COLUMN($F$1),FALSE))),VLOOKUP($C63,装備品!$1:$998,COLUMN($O$1),FALSE)*VLOOKUP($D63,素材!$1:$1016,COLUMN($E$1),FALSE)/(LEN(VLOOKUP($D63,素材!$1:$1016,COLUMN($F$1),FALSE))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G63">
        <f>IF(ISNUMBER(SEARCH(SUBSTITUTE(AG$1,RIGHT(AG$1,2),""),VLOOKUP($D63,素材!$1:$1016,COLUMN($F$1),FALSE))),VLOOKUP($C63,装備品!$1:$998,COLUMN($O$1),FALSE)*VLOOKUP($D63,素材!$1:$1016,COLUMN($E$1),FALSE)/(LEN(VLOOKUP($D63,素材!$1:$1016,COLUMN($F$1),FALSE))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H63">
        <f>IF(ISNUMBER(SEARCH(SUBSTITUTE(AH$1,RIGHT(AH$1,2),""),VLOOKUP($D63,素材!$1:$1016,COLUMN($F$1),FALSE))),VLOOKUP($C63,装備品!$1:$998,COLUMN($O$1),FALSE)*VLOOKUP($D63,素材!$1:$1016,COLUMN($E$1),FALSE)/(LEN(VLOOKUP($D63,素材!$1:$1016,COLUMN($F$1),FALSE))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I63">
        <f>IF(ISNUMBER(SEARCH(SUBSTITUTE(AI$1,RIGHT(AI$1,2),""),VLOOKUP($D63,素材!$1:$1016,COLUMN($F$1),FALSE))),VLOOKUP($C63,装備品!$1:$998,COLUMN($O$1),FALSE)*VLOOKUP($D63,素材!$1:$1016,COLUMN($E$1),FALSE)/(LEN(VLOOKUP($D63,素材!$1:$1016,COLUMN($F$1),FALSE))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J63">
        <f>IF(ISNUMBER(SEARCH(SUBSTITUTE(AJ$1,RIGHT(AJ$1,2),""),VLOOKUP($D63,素材!$1:$1016,COLUMN($F$1),FALSE))),VLOOKUP($C63,装備品!$1:$998,COLUMN($O$1),FALSE)*VLOOKUP($D63,素材!$1:$1016,COLUMN($E$1),FALSE)/(LEN(VLOOKUP($D63,素材!$1:$1016,COLUMN($F$1),FALSE))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K63">
        <f>IF(ISNUMBER(SEARCH(SUBSTITUTE(AK$1,RIGHT(AK$1,2),""),VLOOKUP($D63,素材!$1:$1016,COLUMN($F$1),FALSE))),VLOOKUP($C63,装備品!$1:$998,COLUMN($O$1),FALSE)*VLOOKUP($D63,素材!$1:$1016,COLUMN($E$1),FALSE)/(LEN(VLOOKUP($D63,素材!$1:$1016,COLUMN($F$1),FALSE))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L63">
        <f>IF(ISNUMBER(SEARCH(SUBSTITUTE(AL$1,RIGHT(AL$1,2),""),VLOOKUP($D63,素材!$1:$1016,COLUMN($F$1),FALSE))),VLOOKUP($C63,装備品!$1:$998,COLUMN($O$1),FALSE)*VLOOKUP($D63,素材!$1:$1016,COLUMN($E$1),FALSE)/(LEN(VLOOKUP($D63,素材!$1:$1016,COLUMN($F$1),FALSE))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M63">
        <f>IF(ISNUMBER(SEARCH(SUBSTITUTE(AM$1,RIGHT(AM$1,2),""),VLOOKUP($D63,素材!$1:$1016,COLUMN($F$1),FALSE))),VLOOKUP($C63,装備品!$1:$998,COLUMN($O$1),FALSE)*VLOOKUP($D63,素材!$1:$1016,COLUMN($E$1),FALSE)/(LEN(VLOOKUP($D63,素材!$1:$1016,COLUMN($F$1),FALSE))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N63">
        <f>IF(ISNUMBER(SEARCH(SUBSTITUTE(AN$1,RIGHT(AN$1,2),""),VLOOKUP($D63,素材!$1:$1016,COLUMN($F$1),FALSE))),VLOOKUP($C63,装備品!$1:$998,COLUMN($O$1),FALSE)*VLOOKUP($D63,素材!$1:$1016,COLUMN($E$1),FALSE)/(LEN(VLOOKUP($D63,素材!$1:$1016,COLUMN($F$1),FALSE))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O63">
        <f>IF(ISNUMBER(SEARCH(SUBSTITUTE(AO$1,RIGHT(AO$1,2),""),VLOOKUP($D63,素材!$1:$1016,COLUMN($F$1),FALSE))),VLOOKUP($C63,装備品!$1:$998,COLUMN($O$1),FALSE)*VLOOKUP($D63,素材!$1:$1016,COLUMN($E$1),FALSE)/(LEN(VLOOKUP($D63,素材!$1:$1016,COLUMN($F$1),FALSE))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P63">
        <f>IF(ISNUMBER(SEARCH(SUBSTITUTE(AP$1,RIGHT(AP$1,2),""),VLOOKUP($D63,素材!$1:$1016,COLUMN($F$1),FALSE))),VLOOKUP($C63,装備品!$1:$998,COLUMN($O$1),FALSE)*VLOOKUP($D63,素材!$1:$1016,COLUMN($E$1),FALSE)/(LEN(VLOOKUP($D63,素材!$1:$1016,COLUMN($F$1),FALSE))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Q63">
        <f>IF(ISNUMBER(SEARCH(SUBSTITUTE(AQ$1,RIGHT(AQ$1,2),""),VLOOKUP($D63,素材!$1:$1016,COLUMN($F$1),FALSE))),VLOOKUP($C63,装備品!$1:$998,COLUMN($O$1),FALSE)*VLOOKUP($D63,素材!$1:$1016,COLUMN($E$1),FALSE)/(LEN(VLOOKUP($D63,素材!$1:$1016,COLUMN($F$1),FALSE))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R63">
        <f>IF(ISNUMBER(SEARCH(SUBSTITUTE(AR$1,RIGHT(AR$1,2),""),VLOOKUP($D63,素材!$1:$1016,COLUMN($F$1),FALSE))),VLOOKUP($C63,装備品!$1:$998,COLUMN($O$1),FALSE)*VLOOKUP($D63,素材!$1:$1016,COLUMN($E$1),FALSE)/(LEN(VLOOKUP($D63,素材!$1:$1016,COLUMN($F$1),FALSE))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S63">
        <f>IF(ISNUMBER(SEARCH(SUBSTITUTE(AS$1,RIGHT(AS$1,2),""),VLOOKUP($D63,素材!$1:$1016,COLUMN($F$1),FALSE))),VLOOKUP($C63,装備品!$1:$998,COLUMN($O$1),FALSE)*VLOOKUP($D63,素材!$1:$1016,COLUMN($E$1),FALSE)/(LEN(VLOOKUP($D63,素材!$1:$1016,COLUMN($F$1),FALSE))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T63">
        <f>IF(ISNUMBER(SEARCH(SUBSTITUTE(AT$1,RIGHT(AT$1,2),""),VLOOKUP($D63,素材!$1:$1016,COLUMN($F$1),FALSE))),VLOOKUP($C63,装備品!$1:$998,COLUMN($O$1),FALSE)*VLOOKUP($D63,素材!$1:$1016,COLUMN($E$1),FALSE)/(LEN(VLOOKUP($D63,素材!$1:$1016,COLUMN($F$1),FALSE))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U63">
        <f>IF(ISNUMBER(SEARCH(SUBSTITUTE(AU$1,RIGHT(AU$1,2),""),VLOOKUP($D63,素材!$1:$1016,COLUMN($F$1),FALSE))),VLOOKUP($C63,装備品!$1:$998,COLUMN($O$1),FALSE)*VLOOKUP($D63,素材!$1:$1016,COLUMN($E$1),FALSE)/(LEN(VLOOKUP($D63,素材!$1:$1016,COLUMN($F$1),FALSE))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V63">
        <f>IF(ISNUMBER(SEARCH(SUBSTITUTE(AV$1,RIGHT(AV$1,2),""),VLOOKUP($D63,素材!$1:$1016,COLUMN($F$1),FALSE))),VLOOKUP($C63,装備品!$1:$998,COLUMN($O$1),FALSE)*VLOOKUP($D63,素材!$1:$1016,COLUMN($E$1),FALSE)/(LEN(VLOOKUP($D63,素材!$1:$1016,COLUMN($F$1),FALSE))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W63">
        <f>IF(ISNUMBER(SEARCH(SUBSTITUTE(AW$1,RIGHT(AW$1,2),""),VLOOKUP($D63,素材!$1:$1016,COLUMN($F$1),FALSE))),VLOOKUP($C63,装備品!$1:$998,COLUMN($O$1),FALSE)*VLOOKUP($D63,素材!$1:$1016,COLUMN($E$1),FALSE)/(LEN(VLOOKUP($D63,素材!$1:$1016,COLUMN($F$1),FALSE))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X63">
        <f>IF(ISNUMBER(SEARCH(SUBSTITUTE(AX$1,RIGHT(AX$1,2),""),VLOOKUP($D63,素材!$1:$1016,COLUMN($F$1),FALSE))),VLOOKUP($C63,装備品!$1:$998,COLUMN($O$1),FALSE)*VLOOKUP($D63,素材!$1:$1016,COLUMN($E$1),FALSE)/(LEN(VLOOKUP($D63,素材!$1:$1016,COLUMN($F$1),FALSE))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Y63">
        <f>IF(ISNUMBER(SEARCH(SUBSTITUTE(AY$1,RIGHT(AY$1,2),""),VLOOKUP($D63,素材!$1:$1016,COLUMN($F$1),FALSE))),VLOOKUP($C63,装備品!$1:$998,COLUMN($O$1),FALSE)*VLOOKUP($D63,素材!$1:$1016,COLUMN($E$1),FALSE)/(LEN(VLOOKUP($D63,素材!$1:$1016,COLUMN($F$1),FALSE))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Z63">
        <f>IF(ISNUMBER(SEARCH(SUBSTITUTE(AZ$1,RIGHT(AZ$1,2),""),VLOOKUP($D63,素材!$1:$1016,COLUMN($F$1),FALSE))),VLOOKUP($C63,装備品!$1:$998,COLUMN($O$1),FALSE)*VLOOKUP($D63,素材!$1:$1016,COLUMN($E$1),FALSE)/(LEN(VLOOKUP($D63,素材!$1:$1016,COLUMN($F$1),FALSE))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BA63">
        <f>IF(ISNUMBER(SEARCH(SUBSTITUTE(BA$1,RIGHT(BA$1,2),""),VLOOKUP($D63,素材!$1:$1016,COLUMN($F$1),FALSE))),VLOOKUP($C63,装備品!$1:$998,COLUMN($O$1),FALSE)*VLOOKUP($D63,素材!$1:$1016,COLUMN($E$1),FALSE)/(LEN(VLOOKUP($D63,素材!$1:$1016,COLUMN($F$1),FALSE))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BB63">
        <f>IF(ISNUMBER(SEARCH(SUBSTITUTE(BB$1,RIGHT(BB$1,2),""),VLOOKUP($D63,素材!$1:$1016,COLUMN($F$1),FALSE))),VLOOKUP($C63,装備品!$1:$998,COLUMN($O$1),FALSE)*VLOOKUP($D63,素材!$1:$1016,COLUMN($E$1),FALSE)/(LEN(VLOOKUP($D63,素材!$1:$1016,COLUMN($F$1),FALSE))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BC63">
        <f>IF(ISNUMBER(SEARCH(SUBSTITUTE(BC$1,RIGHT(BC$1,2),""),VLOOKUP($D63,素材!$1:$1016,COLUMN($F$1),FALSE))),VLOOKUP($C63,装備品!$1:$998,COLUMN($O$1),FALSE)*VLOOKUP($D63,素材!$1:$1016,COLUMN($E$1),FALSE)/(LEN(VLOOKUP($D63,素材!$1:$1016,COLUMN($F$1),FALSE))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BD63">
        <f>IF(ISNUMBER(SEARCH(SUBSTITUTE(BD$1,RIGHT(BD$1,2),""),VLOOKUP($D63,素材!$1:$1016,COLUMN($F$1),FALSE))),VLOOKUP($C63,装備品!$1:$998,COLUMN($O$1),FALSE)*VLOOKUP($D63,素材!$1:$1016,COLUMN($E$1),FALSE)/(LEN(VLOOKUP($D63,素材!$1:$1016,COLUMN($F$1),FALSE))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BE63">
        <f>IF(ISNUMBER(SEARCH(SUBSTITUTE(BE$1,RIGHT(BE$1,2),""),VLOOKUP($D63,素材!$1:$1016,COLUMN($F$1),FALSE))),VLOOKUP($C63,装備品!$1:$998,COLUMN($O$1),FALSE)*VLOOKUP($D63,素材!$1:$1016,COLUMN($E$1),FALSE)/(LEN(VLOOKUP($D63,素材!$1:$1016,COLUMN($F$1),FALSE))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CL63">
        <f t="shared" si="1"/>
        <v>12</v>
      </c>
      <c r="CM63" s="22" t="str">
        <f t="shared" si="2"/>
        <v>盾.webp</v>
      </c>
      <c r="CN63">
        <f>IFERROR(VLOOKUP($C63,装備品!$1:$998,COLUMN(V$1),FALSE)*VLOOKUP($D63,素材!$1:$1016,COLUMN(N$1),FALSE)+IF(CI63="",0,VLOOKUP($CI63,付与!$1:$1176,COLUMN($CK$1),FALSE)),"")</f>
        <v>0</v>
      </c>
      <c r="CO63" t="str">
        <f>VLOOKUP(D63,素材!$A:$O,COLUMN(素材!O$1),FALSE)</f>
        <v>一般的な木材。金属より軽いが少し脆い</v>
      </c>
      <c r="CP63" t="str">
        <f>VLOOKUP(C63,装備品!$A:$AB,COLUMN(装備品!AB$1),FALSE)</f>
        <v>大盾。さらに大きな盾で、高い防御力を持つ。</v>
      </c>
      <c r="CR63" t="str">
        <f t="shared" si="3"/>
        <v>e_63</v>
      </c>
      <c r="CS63">
        <f t="shared" si="4"/>
        <v>0</v>
      </c>
    </row>
    <row r="64" spans="1:97" outlineLevel="1" x14ac:dyDescent="0.4">
      <c r="A64" t="str">
        <f t="shared" si="5"/>
        <v>木の短弓</v>
      </c>
      <c r="B64" t="str">
        <f>IFERROR(VLOOKUP($D64,素材!$1:$1016,COLUMN($B$1),FALSE)&amp;"・"&amp;VLOOKUP($C64,装備品!$1:$998,COLUMN(B$1),FALSE),"")</f>
        <v>ウッド・ボウ</v>
      </c>
      <c r="C64" t="s">
        <v>217</v>
      </c>
      <c r="D64" s="24" t="s">
        <v>254</v>
      </c>
      <c r="E64" t="str">
        <f>IFERROR(VLOOKUP(C64,装備品!$1:$998,COLUMN(C$1),FALSE),"")</f>
        <v>武器</v>
      </c>
      <c r="F64">
        <f>IFERROR(ROUNDDOWN((VLOOKUP($C64,装備品!$1:$998,COLUMN(D$1),FALSE)+IFERROR(VLOOKUP($CI64,付与!$1:$1167,COLUMN(F$1),FALSE),0))*VLOOKUP($D64,素材!$1:$1016,COLUMN(D$1),FALSE),0),"")</f>
        <v>82</v>
      </c>
      <c r="G64">
        <f>IFERROR(ROUNDDOWN((VLOOKUP($C64,装備品!$1:$998,COLUMN(E$1),FALSE)+IFERROR(VLOOKUP($CI64,付与!$1:$1167,COLUMN(G$1),FALSE),0))*VLOOKUP($D64,素材!$1:$1016,COLUMN($E$1),FALSE),0),"")</f>
        <v>3</v>
      </c>
      <c r="H64">
        <f>IFERROR(ROUNDDOWN((VLOOKUP($C64,装備品!$1:$998,COLUMN(F$1),FALSE)+IFERROR(VLOOKUP($CI64,付与!$1:$1167,COLUMN(H$1),FALSE),0))*VLOOKUP($D64,素材!$1:$1016,COLUMN($E$1),FALSE),0),"")</f>
        <v>3</v>
      </c>
      <c r="I64">
        <f>IFERROR(ROUNDDOWN((VLOOKUP($C64,装備品!$1:$998,COLUMN(G$1),FALSE)+IFERROR(VLOOKUP($CI64,付与!$1:$1167,COLUMN(I$1),FALSE),0))*VLOOKUP($D64,素材!$1:$1016,COLUMN($E$1),FALSE),0),"")</f>
        <v>0</v>
      </c>
      <c r="J64">
        <f>IFERROR(ROUNDDOWN((VLOOKUP($C64,装備品!$1:$998,COLUMN(H$1),FALSE)+IFERROR(VLOOKUP($CI64,付与!$1:$1167,COLUMN(J$1),FALSE),0))*VLOOKUP($D64,素材!$1:$1016,COLUMN($E$1),FALSE),0),"")</f>
        <v>0</v>
      </c>
      <c r="K64">
        <f>IFERROR(ROUNDDOWN((VLOOKUP($C64,装備品!$1:$998,COLUMN(I$1),FALSE)+IFERROR(VLOOKUP($CI64,付与!$1:$1167,COLUMN(K$1),FALSE),0))*VLOOKUP($D64,素材!$1:$1016,COLUMN($E$1),FALSE),0),"")</f>
        <v>15</v>
      </c>
      <c r="L64">
        <f>IFERROR(VLOOKUP($D64,素材!$1:$1016,COLUMN($F$1),FALSE),"")</f>
        <v>0</v>
      </c>
      <c r="M64">
        <f>IFERROR(VLOOKUP($C64,装備品!$1:$998,COLUMN(AA$1),FALSE)*VLOOKUP($D64,素材!$1:$1016,COLUMN($G$1),FALSE),"")</f>
        <v>0</v>
      </c>
      <c r="N64">
        <f>IFERROR(VLOOKUP($C64,装備品!$1:$998,COLUMN(I$1),FALSE),"")</f>
        <v>1</v>
      </c>
      <c r="O64" s="23">
        <f>IFERROR((VLOOKUP($C64,装備品!$1:$998,COLUMN(K$1),FALSE)+VLOOKUP($D64,素材!$1:$1016,COLUMN(H$1),FALSE))*100+IFERROR(VLOOKUP($CI64,付与!$1:$1167,COLUMN(O$1),FALSE),0),"")</f>
        <v>10</v>
      </c>
      <c r="P64" s="23">
        <f>IFERROR((VLOOKUP($C64,装備品!$1:$998,COLUMN(L$1),FALSE)+VLOOKUP($D64,素材!$1:$1016,COLUMN(I$1),FALSE))*100+IFERROR(VLOOKUP($CI64,付与!$1:$1167,COLUMN(P$1),FALSE),0),"")</f>
        <v>130</v>
      </c>
      <c r="Q64">
        <f>IFERROR(ROUNDUP(VLOOKUP($C64,装備品!$1:$998,COLUMN(M$1),FALSE)*(VLOOKUP($D64,素材!$1:$1002,COLUMN(D$1),FALSE)/100),1),"")</f>
        <v>-1.9000000000000001</v>
      </c>
      <c r="R64">
        <f>IFERROR(ROUNDUP(VLOOKUP($C64,装備品!$1:$998,COLUMN(N$1),FALSE)*(VLOOKUP($D64,素材!$1:$1002,COLUMN(D$1),FALSE)/100),1),"")</f>
        <v>0</v>
      </c>
      <c r="S64">
        <f>IFERROR(VLOOKUP($C64,装備品!$1:$998,COLUMN(P$1),FALSE),"")</f>
        <v>0</v>
      </c>
      <c r="T64">
        <f>IFERROR(VLOOKUP($C64,装備品!$1:$998,COLUMN(Q$1),FALSE),"")</f>
        <v>0</v>
      </c>
      <c r="U64">
        <f>IFERROR(VLOOKUP($C64,装備品!$1:$998,COLUMN(R$1),FALSE),"")</f>
        <v>0</v>
      </c>
      <c r="V64">
        <f>IFERROR(VLOOKUP($C64,装備品!$1:$998,COLUMN(Q$1),FALSE),"")</f>
        <v>0</v>
      </c>
      <c r="W64">
        <f>IFERROR(VLOOKUP($C64,装備品!$1:$998,COLUMN(T$1),FALSE),"")</f>
        <v>0</v>
      </c>
      <c r="Y64">
        <f>IFERROR(VLOOKUP($C64,装備品!$1:$998,COLUMN(U$1),FALSE),"")</f>
        <v>2</v>
      </c>
      <c r="Z64">
        <f>IFERROR(ROUNDUP(VLOOKUP($C64,装備品!$1:$998,COLUMN(O$1),FALSE)*VLOOKUP($D64,素材!$1:$1016,COLUMN(E$1),FALSE),1),"")</f>
        <v>0</v>
      </c>
      <c r="AA64">
        <f>IF(ISNUMBER(SEARCH(SUBSTITUTE(AA$1,RIGHT(AA$1,2),""),VLOOKUP($D64,素材!$1:$1016,COLUMN($F$1),FALSE))),VLOOKUP($C64,装備品!$1:$998,COLUMN($O$1),FALSE)*VLOOKUP($D64,素材!$1:$1016,COLUMN($E$1),FALSE)/(LEN(VLOOKUP($D64,素材!$1:$1016,COLUMN($F$1),FALSE))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B64">
        <f>IF(ISNUMBER(SEARCH(SUBSTITUTE(AB$1,RIGHT(AB$1,2),""),VLOOKUP($D64,素材!$1:$1016,COLUMN($F$1),FALSE))),VLOOKUP($C64,装備品!$1:$998,COLUMN($O$1),FALSE)*VLOOKUP($D64,素材!$1:$1016,COLUMN($E$1),FALSE)/(LEN(VLOOKUP($D64,素材!$1:$1016,COLUMN($F$1),FALSE))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C64">
        <f>IF(ISNUMBER(SEARCH(SUBSTITUTE(AC$1,RIGHT(AC$1,2),""),VLOOKUP($D64,素材!$1:$1016,COLUMN($F$1),FALSE))),VLOOKUP($C64,装備品!$1:$998,COLUMN($O$1),FALSE)*VLOOKUP($D64,素材!$1:$1016,COLUMN($E$1),FALSE)/(LEN(VLOOKUP($D64,素材!$1:$1016,COLUMN($F$1),FALSE))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D64">
        <f>IF(ISNUMBER(SEARCH(SUBSTITUTE(AD$1,RIGHT(AD$1,2),""),VLOOKUP($D64,素材!$1:$1016,COLUMN($F$1),FALSE))),VLOOKUP($C64,装備品!$1:$998,COLUMN($O$1),FALSE)*VLOOKUP($D64,素材!$1:$1016,COLUMN($E$1),FALSE)/(LEN(VLOOKUP($D64,素材!$1:$1016,COLUMN($F$1),FALSE))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E64">
        <f>IF(ISNUMBER(SEARCH(SUBSTITUTE(AE$1,RIGHT(AE$1,2),""),VLOOKUP($D64,素材!$1:$1016,COLUMN($F$1),FALSE))),VLOOKUP($C64,装備品!$1:$998,COLUMN($O$1),FALSE)*VLOOKUP($D64,素材!$1:$1016,COLUMN($E$1),FALSE)/(LEN(VLOOKUP($D64,素材!$1:$1016,COLUMN($F$1),FALSE))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F64">
        <f>IF(ISNUMBER(SEARCH(SUBSTITUTE(AF$1,RIGHT(AF$1,2),""),VLOOKUP($D64,素材!$1:$1016,COLUMN($F$1),FALSE))),VLOOKUP($C64,装備品!$1:$998,COLUMN($O$1),FALSE)*VLOOKUP($D64,素材!$1:$1016,COLUMN($E$1),FALSE)/(LEN(VLOOKUP($D64,素材!$1:$1016,COLUMN($F$1),FALSE))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G64">
        <f>IF(ISNUMBER(SEARCH(SUBSTITUTE(AG$1,RIGHT(AG$1,2),""),VLOOKUP($D64,素材!$1:$1016,COLUMN($F$1),FALSE))),VLOOKUP($C64,装備品!$1:$998,COLUMN($O$1),FALSE)*VLOOKUP($D64,素材!$1:$1016,COLUMN($E$1),FALSE)/(LEN(VLOOKUP($D64,素材!$1:$1016,COLUMN($F$1),FALSE))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H64">
        <f>IF(ISNUMBER(SEARCH(SUBSTITUTE(AH$1,RIGHT(AH$1,2),""),VLOOKUP($D64,素材!$1:$1016,COLUMN($F$1),FALSE))),VLOOKUP($C64,装備品!$1:$998,COLUMN($O$1),FALSE)*VLOOKUP($D64,素材!$1:$1016,COLUMN($E$1),FALSE)/(LEN(VLOOKUP($D64,素材!$1:$1016,COLUMN($F$1),FALSE))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I64">
        <f>IF(ISNUMBER(SEARCH(SUBSTITUTE(AI$1,RIGHT(AI$1,2),""),VLOOKUP($D64,素材!$1:$1016,COLUMN($F$1),FALSE))),VLOOKUP($C64,装備品!$1:$998,COLUMN($O$1),FALSE)*VLOOKUP($D64,素材!$1:$1016,COLUMN($E$1),FALSE)/(LEN(VLOOKUP($D64,素材!$1:$1016,COLUMN($F$1),FALSE))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J64">
        <f>IF(ISNUMBER(SEARCH(SUBSTITUTE(AJ$1,RIGHT(AJ$1,2),""),VLOOKUP($D64,素材!$1:$1016,COLUMN($F$1),FALSE))),VLOOKUP($C64,装備品!$1:$998,COLUMN($O$1),FALSE)*VLOOKUP($D64,素材!$1:$1016,COLUMN($E$1),FALSE)/(LEN(VLOOKUP($D64,素材!$1:$1016,COLUMN($F$1),FALSE))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K64">
        <f>IF(ISNUMBER(SEARCH(SUBSTITUTE(AK$1,RIGHT(AK$1,2),""),VLOOKUP($D64,素材!$1:$1016,COLUMN($F$1),FALSE))),VLOOKUP($C64,装備品!$1:$998,COLUMN($O$1),FALSE)*VLOOKUP($D64,素材!$1:$1016,COLUMN($E$1),FALSE)/(LEN(VLOOKUP($D64,素材!$1:$1016,COLUMN($F$1),FALSE))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L64">
        <f>IF(ISNUMBER(SEARCH(SUBSTITUTE(AL$1,RIGHT(AL$1,2),""),VLOOKUP($D64,素材!$1:$1016,COLUMN($F$1),FALSE))),VLOOKUP($C64,装備品!$1:$998,COLUMN($O$1),FALSE)*VLOOKUP($D64,素材!$1:$1016,COLUMN($E$1),FALSE)/(LEN(VLOOKUP($D64,素材!$1:$1016,COLUMN($F$1),FALSE))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M64">
        <f>IF(ISNUMBER(SEARCH(SUBSTITUTE(AM$1,RIGHT(AM$1,2),""),VLOOKUP($D64,素材!$1:$1016,COLUMN($F$1),FALSE))),VLOOKUP($C64,装備品!$1:$998,COLUMN($O$1),FALSE)*VLOOKUP($D64,素材!$1:$1016,COLUMN($E$1),FALSE)/(LEN(VLOOKUP($D64,素材!$1:$1016,COLUMN($F$1),FALSE))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N64">
        <f>IF(ISNUMBER(SEARCH(SUBSTITUTE(AN$1,RIGHT(AN$1,2),""),VLOOKUP($D64,素材!$1:$1016,COLUMN($F$1),FALSE))),VLOOKUP($C64,装備品!$1:$998,COLUMN($O$1),FALSE)*VLOOKUP($D64,素材!$1:$1016,COLUMN($E$1),FALSE)/(LEN(VLOOKUP($D64,素材!$1:$1016,COLUMN($F$1),FALSE))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O64">
        <f>IF(ISNUMBER(SEARCH(SUBSTITUTE(AO$1,RIGHT(AO$1,2),""),VLOOKUP($D64,素材!$1:$1016,COLUMN($F$1),FALSE))),VLOOKUP($C64,装備品!$1:$998,COLUMN($O$1),FALSE)*VLOOKUP($D64,素材!$1:$1016,COLUMN($E$1),FALSE)/(LEN(VLOOKUP($D64,素材!$1:$1016,COLUMN($F$1),FALSE))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P64">
        <f>IF(ISNUMBER(SEARCH(SUBSTITUTE(AP$1,RIGHT(AP$1,2),""),VLOOKUP($D64,素材!$1:$1016,COLUMN($F$1),FALSE))),VLOOKUP($C64,装備品!$1:$998,COLUMN($O$1),FALSE)*VLOOKUP($D64,素材!$1:$1016,COLUMN($E$1),FALSE)/(LEN(VLOOKUP($D64,素材!$1:$1016,COLUMN($F$1),FALSE))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Q64">
        <f>IF(ISNUMBER(SEARCH(SUBSTITUTE(AQ$1,RIGHT(AQ$1,2),""),VLOOKUP($D64,素材!$1:$1016,COLUMN($F$1),FALSE))),VLOOKUP($C64,装備品!$1:$998,COLUMN($O$1),FALSE)*VLOOKUP($D64,素材!$1:$1016,COLUMN($E$1),FALSE)/(LEN(VLOOKUP($D64,素材!$1:$1016,COLUMN($F$1),FALSE))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R64">
        <f>IF(ISNUMBER(SEARCH(SUBSTITUTE(AR$1,RIGHT(AR$1,2),""),VLOOKUP($D64,素材!$1:$1016,COLUMN($F$1),FALSE))),VLOOKUP($C64,装備品!$1:$998,COLUMN($O$1),FALSE)*VLOOKUP($D64,素材!$1:$1016,COLUMN($E$1),FALSE)/(LEN(VLOOKUP($D64,素材!$1:$1016,COLUMN($F$1),FALSE))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S64">
        <f>IF(ISNUMBER(SEARCH(SUBSTITUTE(AS$1,RIGHT(AS$1,2),""),VLOOKUP($D64,素材!$1:$1016,COLUMN($F$1),FALSE))),VLOOKUP($C64,装備品!$1:$998,COLUMN($O$1),FALSE)*VLOOKUP($D64,素材!$1:$1016,COLUMN($E$1),FALSE)/(LEN(VLOOKUP($D64,素材!$1:$1016,COLUMN($F$1),FALSE))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T64">
        <f>IF(ISNUMBER(SEARCH(SUBSTITUTE(AT$1,RIGHT(AT$1,2),""),VLOOKUP($D64,素材!$1:$1016,COLUMN($F$1),FALSE))),VLOOKUP($C64,装備品!$1:$998,COLUMN($O$1),FALSE)*VLOOKUP($D64,素材!$1:$1016,COLUMN($E$1),FALSE)/(LEN(VLOOKUP($D64,素材!$1:$1016,COLUMN($F$1),FALSE))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U64">
        <f>IF(ISNUMBER(SEARCH(SUBSTITUTE(AU$1,RIGHT(AU$1,2),""),VLOOKUP($D64,素材!$1:$1016,COLUMN($F$1),FALSE))),VLOOKUP($C64,装備品!$1:$998,COLUMN($O$1),FALSE)*VLOOKUP($D64,素材!$1:$1016,COLUMN($E$1),FALSE)/(LEN(VLOOKUP($D64,素材!$1:$1016,COLUMN($F$1),FALSE))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V64">
        <f>IF(ISNUMBER(SEARCH(SUBSTITUTE(AV$1,RIGHT(AV$1,2),""),VLOOKUP($D64,素材!$1:$1016,COLUMN($F$1),FALSE))),VLOOKUP($C64,装備品!$1:$998,COLUMN($O$1),FALSE)*VLOOKUP($D64,素材!$1:$1016,COLUMN($E$1),FALSE)/(LEN(VLOOKUP($D64,素材!$1:$1016,COLUMN($F$1),FALSE))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W64">
        <f>IF(ISNUMBER(SEARCH(SUBSTITUTE(AW$1,RIGHT(AW$1,2),""),VLOOKUP($D64,素材!$1:$1016,COLUMN($F$1),FALSE))),VLOOKUP($C64,装備品!$1:$998,COLUMN($O$1),FALSE)*VLOOKUP($D64,素材!$1:$1016,COLUMN($E$1),FALSE)/(LEN(VLOOKUP($D64,素材!$1:$1016,COLUMN($F$1),FALSE))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X64">
        <f>IF(ISNUMBER(SEARCH(SUBSTITUTE(AX$1,RIGHT(AX$1,2),""),VLOOKUP($D64,素材!$1:$1016,COLUMN($F$1),FALSE))),VLOOKUP($C64,装備品!$1:$998,COLUMN($O$1),FALSE)*VLOOKUP($D64,素材!$1:$1016,COLUMN($E$1),FALSE)/(LEN(VLOOKUP($D64,素材!$1:$1016,COLUMN($F$1),FALSE))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Y64">
        <f>IF(ISNUMBER(SEARCH(SUBSTITUTE(AY$1,RIGHT(AY$1,2),""),VLOOKUP($D64,素材!$1:$1016,COLUMN($F$1),FALSE))),VLOOKUP($C64,装備品!$1:$998,COLUMN($O$1),FALSE)*VLOOKUP($D64,素材!$1:$1016,COLUMN($E$1),FALSE)/(LEN(VLOOKUP($D64,素材!$1:$1016,COLUMN($F$1),FALSE))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Z64">
        <f>IF(ISNUMBER(SEARCH(SUBSTITUTE(AZ$1,RIGHT(AZ$1,2),""),VLOOKUP($D64,素材!$1:$1016,COLUMN($F$1),FALSE))),VLOOKUP($C64,装備品!$1:$998,COLUMN($O$1),FALSE)*VLOOKUP($D64,素材!$1:$1016,COLUMN($E$1),FALSE)/(LEN(VLOOKUP($D64,素材!$1:$1016,COLUMN($F$1),FALSE))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BA64">
        <f>IF(ISNUMBER(SEARCH(SUBSTITUTE(BA$1,RIGHT(BA$1,2),""),VLOOKUP($D64,素材!$1:$1016,COLUMN($F$1),FALSE))),VLOOKUP($C64,装備品!$1:$998,COLUMN($O$1),FALSE)*VLOOKUP($D64,素材!$1:$1016,COLUMN($E$1),FALSE)/(LEN(VLOOKUP($D64,素材!$1:$1016,COLUMN($F$1),FALSE))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BB64">
        <f>IF(ISNUMBER(SEARCH(SUBSTITUTE(BB$1,RIGHT(BB$1,2),""),VLOOKUP($D64,素材!$1:$1016,COLUMN($F$1),FALSE))),VLOOKUP($C64,装備品!$1:$998,COLUMN($O$1),FALSE)*VLOOKUP($D64,素材!$1:$1016,COLUMN($E$1),FALSE)/(LEN(VLOOKUP($D64,素材!$1:$1016,COLUMN($F$1),FALSE))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BC64">
        <f>IF(ISNUMBER(SEARCH(SUBSTITUTE(BC$1,RIGHT(BC$1,2),""),VLOOKUP($D64,素材!$1:$1016,COLUMN($F$1),FALSE))),VLOOKUP($C64,装備品!$1:$998,COLUMN($O$1),FALSE)*VLOOKUP($D64,素材!$1:$1016,COLUMN($E$1),FALSE)/(LEN(VLOOKUP($D64,素材!$1:$1016,COLUMN($F$1),FALSE))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BD64">
        <f>IF(ISNUMBER(SEARCH(SUBSTITUTE(BD$1,RIGHT(BD$1,2),""),VLOOKUP($D64,素材!$1:$1016,COLUMN($F$1),FALSE))),VLOOKUP($C64,装備品!$1:$998,COLUMN($O$1),FALSE)*VLOOKUP($D64,素材!$1:$1016,COLUMN($E$1),FALSE)/(LEN(VLOOKUP($D64,素材!$1:$1016,COLUMN($F$1),FALSE))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BE64">
        <f>IF(ISNUMBER(SEARCH(SUBSTITUTE(BE$1,RIGHT(BE$1,2),""),VLOOKUP($D64,素材!$1:$1016,COLUMN($F$1),FALSE))),VLOOKUP($C64,装備品!$1:$998,COLUMN($O$1),FALSE)*VLOOKUP($D64,素材!$1:$1016,COLUMN($E$1),FALSE)/(LEN(VLOOKUP($D64,素材!$1:$1016,COLUMN($F$1),FALSE))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CL64">
        <f t="shared" si="1"/>
        <v>6</v>
      </c>
      <c r="CM64" s="22" t="str">
        <f t="shared" si="2"/>
        <v>切断.webp</v>
      </c>
      <c r="CN64">
        <f>IFERROR(VLOOKUP($C64,装備品!$1:$998,COLUMN(V$1),FALSE)*VLOOKUP($D64,素材!$1:$1016,COLUMN(N$1),FALSE)+IF(CI64="",0,VLOOKUP($CI64,付与!$1:$1176,COLUMN($CK$1),FALSE)),"")</f>
        <v>0</v>
      </c>
      <c r="CO64" t="str">
        <f>VLOOKUP(D64,素材!$A:$O,COLUMN(素材!O$1),FALSE)</f>
        <v>一般的な木材。金属より軽いが少し脆い</v>
      </c>
      <c r="CP64" t="str">
        <f>VLOOKUP(C64,装備品!$A:$AB,COLUMN(装備品!AB$1),FALSE)</f>
        <v>短弓。軽量で扱いやすい遠距離武器。</v>
      </c>
      <c r="CR64" t="str">
        <f t="shared" si="3"/>
        <v>e_64</v>
      </c>
      <c r="CS64">
        <f t="shared" si="4"/>
        <v>0</v>
      </c>
    </row>
    <row r="65" spans="1:97" outlineLevel="1" x14ac:dyDescent="0.4">
      <c r="A65" t="str">
        <f t="shared" si="5"/>
        <v>木の長弓</v>
      </c>
      <c r="B65" t="str">
        <f>IFERROR(VLOOKUP($D65,素材!$1:$1016,COLUMN($B$1),FALSE)&amp;"・"&amp;VLOOKUP($C65,装備品!$1:$998,COLUMN(B$1),FALSE),"")</f>
        <v>ウッド・ロングボウ</v>
      </c>
      <c r="C65" t="s">
        <v>216</v>
      </c>
      <c r="D65" s="24" t="s">
        <v>254</v>
      </c>
      <c r="E65" t="str">
        <f>IFERROR(VLOOKUP(C65,装備品!$1:$998,COLUMN(C$1),FALSE),"")</f>
        <v>武器</v>
      </c>
      <c r="F65">
        <f>IFERROR(ROUNDDOWN((VLOOKUP($C65,装備品!$1:$998,COLUMN(D$1),FALSE)+IFERROR(VLOOKUP($CI65,付与!$1:$1167,COLUMN(F$1),FALSE),0))*VLOOKUP($D65,素材!$1:$1016,COLUMN(D$1),FALSE),0),"")</f>
        <v>90</v>
      </c>
      <c r="G65">
        <f>IFERROR(ROUNDDOWN((VLOOKUP($C65,装備品!$1:$998,COLUMN(E$1),FALSE)+IFERROR(VLOOKUP($CI65,付与!$1:$1167,COLUMN(G$1),FALSE),0))*VLOOKUP($D65,素材!$1:$1016,COLUMN($E$1),FALSE),0),"")</f>
        <v>3</v>
      </c>
      <c r="H65">
        <f>IFERROR(ROUNDDOWN((VLOOKUP($C65,装備品!$1:$998,COLUMN(F$1),FALSE)+IFERROR(VLOOKUP($CI65,付与!$1:$1167,COLUMN(H$1),FALSE),0))*VLOOKUP($D65,素材!$1:$1016,COLUMN($E$1),FALSE),0),"")</f>
        <v>3</v>
      </c>
      <c r="I65">
        <f>IFERROR(ROUNDDOWN((VLOOKUP($C65,装備品!$1:$998,COLUMN(G$1),FALSE)+IFERROR(VLOOKUP($CI65,付与!$1:$1167,COLUMN(I$1),FALSE),0))*VLOOKUP($D65,素材!$1:$1016,COLUMN($E$1),FALSE),0),"")</f>
        <v>0</v>
      </c>
      <c r="J65">
        <f>IFERROR(ROUNDDOWN((VLOOKUP($C65,装備品!$1:$998,COLUMN(H$1),FALSE)+IFERROR(VLOOKUP($CI65,付与!$1:$1167,COLUMN(J$1),FALSE),0))*VLOOKUP($D65,素材!$1:$1016,COLUMN($E$1),FALSE),0),"")</f>
        <v>0</v>
      </c>
      <c r="K65">
        <f>IFERROR(ROUNDDOWN((VLOOKUP($C65,装備品!$1:$998,COLUMN(I$1),FALSE)+IFERROR(VLOOKUP($CI65,付与!$1:$1167,COLUMN(K$1),FALSE),0))*VLOOKUP($D65,素材!$1:$1016,COLUMN($E$1),FALSE),0),"")</f>
        <v>17</v>
      </c>
      <c r="L65">
        <f>IFERROR(VLOOKUP($D65,素材!$1:$1016,COLUMN($F$1),FALSE),"")</f>
        <v>0</v>
      </c>
      <c r="M65">
        <f>IFERROR(VLOOKUP($C65,装備品!$1:$998,COLUMN(AA$1),FALSE)*VLOOKUP($D65,素材!$1:$1016,COLUMN($G$1),FALSE),"")</f>
        <v>0</v>
      </c>
      <c r="N65">
        <f>IFERROR(VLOOKUP($C65,装備品!$1:$998,COLUMN(I$1),FALSE),"")</f>
        <v>1.1499999999999999</v>
      </c>
      <c r="O65" s="23">
        <f>IFERROR((VLOOKUP($C65,装備品!$1:$998,COLUMN(K$1),FALSE)+VLOOKUP($D65,素材!$1:$1016,COLUMN(H$1),FALSE))*100+IFERROR(VLOOKUP($CI65,付与!$1:$1167,COLUMN(O$1),FALSE),0),"")</f>
        <v>10</v>
      </c>
      <c r="P65" s="23">
        <f>IFERROR((VLOOKUP($C65,装備品!$1:$998,COLUMN(L$1),FALSE)+VLOOKUP($D65,素材!$1:$1016,COLUMN(I$1),FALSE))*100+IFERROR(VLOOKUP($CI65,付与!$1:$1167,COLUMN(P$1),FALSE),0),"")</f>
        <v>130</v>
      </c>
      <c r="Q65">
        <f>IFERROR(ROUNDUP(VLOOKUP($C65,装備品!$1:$998,COLUMN(M$1),FALSE)*(VLOOKUP($D65,素材!$1:$1002,COLUMN(D$1),FALSE)/100),1),"")</f>
        <v>-3.8000000000000003</v>
      </c>
      <c r="R65">
        <f>IFERROR(ROUNDUP(VLOOKUP($C65,装備品!$1:$998,COLUMN(N$1),FALSE)*(VLOOKUP($D65,素材!$1:$1002,COLUMN(D$1),FALSE)/100),1),"")</f>
        <v>-1.9000000000000001</v>
      </c>
      <c r="S65">
        <f>IFERROR(VLOOKUP($C65,装備品!$1:$998,COLUMN(P$1),FALSE),"")</f>
        <v>0</v>
      </c>
      <c r="T65">
        <f>IFERROR(VLOOKUP($C65,装備品!$1:$998,COLUMN(Q$1),FALSE),"")</f>
        <v>0</v>
      </c>
      <c r="U65">
        <f>IFERROR(VLOOKUP($C65,装備品!$1:$998,COLUMN(R$1),FALSE),"")</f>
        <v>0</v>
      </c>
      <c r="V65">
        <f>IFERROR(VLOOKUP($C65,装備品!$1:$998,COLUMN(Q$1),FALSE),"")</f>
        <v>0</v>
      </c>
      <c r="W65">
        <f>IFERROR(VLOOKUP($C65,装備品!$1:$998,COLUMN(T$1),FALSE),"")</f>
        <v>0</v>
      </c>
      <c r="Y65">
        <f>IFERROR(VLOOKUP($C65,装備品!$1:$998,COLUMN(U$1),FALSE),"")</f>
        <v>2</v>
      </c>
      <c r="Z65">
        <f>IFERROR(ROUNDUP(VLOOKUP($C65,装備品!$1:$998,COLUMN(O$1),FALSE)*VLOOKUP($D65,素材!$1:$1016,COLUMN(E$1),FALSE),1),"")</f>
        <v>0</v>
      </c>
      <c r="AA65">
        <f>IF(ISNUMBER(SEARCH(SUBSTITUTE(AA$1,RIGHT(AA$1,2),""),VLOOKUP($D65,素材!$1:$1016,COLUMN($F$1),FALSE))),VLOOKUP($C65,装備品!$1:$998,COLUMN($O$1),FALSE)*VLOOKUP($D65,素材!$1:$1016,COLUMN($E$1),FALSE)/(LEN(VLOOKUP($D65,素材!$1:$1016,COLUMN($F$1),FALSE))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B65">
        <f>IF(ISNUMBER(SEARCH(SUBSTITUTE(AB$1,RIGHT(AB$1,2),""),VLOOKUP($D65,素材!$1:$1016,COLUMN($F$1),FALSE))),VLOOKUP($C65,装備品!$1:$998,COLUMN($O$1),FALSE)*VLOOKUP($D65,素材!$1:$1016,COLUMN($E$1),FALSE)/(LEN(VLOOKUP($D65,素材!$1:$1016,COLUMN($F$1),FALSE))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C65">
        <f>IF(ISNUMBER(SEARCH(SUBSTITUTE(AC$1,RIGHT(AC$1,2),""),VLOOKUP($D65,素材!$1:$1016,COLUMN($F$1),FALSE))),VLOOKUP($C65,装備品!$1:$998,COLUMN($O$1),FALSE)*VLOOKUP($D65,素材!$1:$1016,COLUMN($E$1),FALSE)/(LEN(VLOOKUP($D65,素材!$1:$1016,COLUMN($F$1),FALSE))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D65">
        <f>IF(ISNUMBER(SEARCH(SUBSTITUTE(AD$1,RIGHT(AD$1,2),""),VLOOKUP($D65,素材!$1:$1016,COLUMN($F$1),FALSE))),VLOOKUP($C65,装備品!$1:$998,COLUMN($O$1),FALSE)*VLOOKUP($D65,素材!$1:$1016,COLUMN($E$1),FALSE)/(LEN(VLOOKUP($D65,素材!$1:$1016,COLUMN($F$1),FALSE))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E65">
        <f>IF(ISNUMBER(SEARCH(SUBSTITUTE(AE$1,RIGHT(AE$1,2),""),VLOOKUP($D65,素材!$1:$1016,COLUMN($F$1),FALSE))),VLOOKUP($C65,装備品!$1:$998,COLUMN($O$1),FALSE)*VLOOKUP($D65,素材!$1:$1016,COLUMN($E$1),FALSE)/(LEN(VLOOKUP($D65,素材!$1:$1016,COLUMN($F$1),FALSE))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F65">
        <f>IF(ISNUMBER(SEARCH(SUBSTITUTE(AF$1,RIGHT(AF$1,2),""),VLOOKUP($D65,素材!$1:$1016,COLUMN($F$1),FALSE))),VLOOKUP($C65,装備品!$1:$998,COLUMN($O$1),FALSE)*VLOOKUP($D65,素材!$1:$1016,COLUMN($E$1),FALSE)/(LEN(VLOOKUP($D65,素材!$1:$1016,COLUMN($F$1),FALSE))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G65">
        <f>IF(ISNUMBER(SEARCH(SUBSTITUTE(AG$1,RIGHT(AG$1,2),""),VLOOKUP($D65,素材!$1:$1016,COLUMN($F$1),FALSE))),VLOOKUP($C65,装備品!$1:$998,COLUMN($O$1),FALSE)*VLOOKUP($D65,素材!$1:$1016,COLUMN($E$1),FALSE)/(LEN(VLOOKUP($D65,素材!$1:$1016,COLUMN($F$1),FALSE))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H65">
        <f>IF(ISNUMBER(SEARCH(SUBSTITUTE(AH$1,RIGHT(AH$1,2),""),VLOOKUP($D65,素材!$1:$1016,COLUMN($F$1),FALSE))),VLOOKUP($C65,装備品!$1:$998,COLUMN($O$1),FALSE)*VLOOKUP($D65,素材!$1:$1016,COLUMN($E$1),FALSE)/(LEN(VLOOKUP($D65,素材!$1:$1016,COLUMN($F$1),FALSE))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I65">
        <f>IF(ISNUMBER(SEARCH(SUBSTITUTE(AI$1,RIGHT(AI$1,2),""),VLOOKUP($D65,素材!$1:$1016,COLUMN($F$1),FALSE))),VLOOKUP($C65,装備品!$1:$998,COLUMN($O$1),FALSE)*VLOOKUP($D65,素材!$1:$1016,COLUMN($E$1),FALSE)/(LEN(VLOOKUP($D65,素材!$1:$1016,COLUMN($F$1),FALSE))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J65">
        <f>IF(ISNUMBER(SEARCH(SUBSTITUTE(AJ$1,RIGHT(AJ$1,2),""),VLOOKUP($D65,素材!$1:$1016,COLUMN($F$1),FALSE))),VLOOKUP($C65,装備品!$1:$998,COLUMN($O$1),FALSE)*VLOOKUP($D65,素材!$1:$1016,COLUMN($E$1),FALSE)/(LEN(VLOOKUP($D65,素材!$1:$1016,COLUMN($F$1),FALSE))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K65">
        <f>IF(ISNUMBER(SEARCH(SUBSTITUTE(AK$1,RIGHT(AK$1,2),""),VLOOKUP($D65,素材!$1:$1016,COLUMN($F$1),FALSE))),VLOOKUP($C65,装備品!$1:$998,COLUMN($O$1),FALSE)*VLOOKUP($D65,素材!$1:$1016,COLUMN($E$1),FALSE)/(LEN(VLOOKUP($D65,素材!$1:$1016,COLUMN($F$1),FALSE))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L65">
        <f>IF(ISNUMBER(SEARCH(SUBSTITUTE(AL$1,RIGHT(AL$1,2),""),VLOOKUP($D65,素材!$1:$1016,COLUMN($F$1),FALSE))),VLOOKUP($C65,装備品!$1:$998,COLUMN($O$1),FALSE)*VLOOKUP($D65,素材!$1:$1016,COLUMN($E$1),FALSE)/(LEN(VLOOKUP($D65,素材!$1:$1016,COLUMN($F$1),FALSE))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M65">
        <f>IF(ISNUMBER(SEARCH(SUBSTITUTE(AM$1,RIGHT(AM$1,2),""),VLOOKUP($D65,素材!$1:$1016,COLUMN($F$1),FALSE))),VLOOKUP($C65,装備品!$1:$998,COLUMN($O$1),FALSE)*VLOOKUP($D65,素材!$1:$1016,COLUMN($E$1),FALSE)/(LEN(VLOOKUP($D65,素材!$1:$1016,COLUMN($F$1),FALSE))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N65">
        <f>IF(ISNUMBER(SEARCH(SUBSTITUTE(AN$1,RIGHT(AN$1,2),""),VLOOKUP($D65,素材!$1:$1016,COLUMN($F$1),FALSE))),VLOOKUP($C65,装備品!$1:$998,COLUMN($O$1),FALSE)*VLOOKUP($D65,素材!$1:$1016,COLUMN($E$1),FALSE)/(LEN(VLOOKUP($D65,素材!$1:$1016,COLUMN($F$1),FALSE))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O65">
        <f>IF(ISNUMBER(SEARCH(SUBSTITUTE(AO$1,RIGHT(AO$1,2),""),VLOOKUP($D65,素材!$1:$1016,COLUMN($F$1),FALSE))),VLOOKUP($C65,装備品!$1:$998,COLUMN($O$1),FALSE)*VLOOKUP($D65,素材!$1:$1016,COLUMN($E$1),FALSE)/(LEN(VLOOKUP($D65,素材!$1:$1016,COLUMN($F$1),FALSE))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P65">
        <f>IF(ISNUMBER(SEARCH(SUBSTITUTE(AP$1,RIGHT(AP$1,2),""),VLOOKUP($D65,素材!$1:$1016,COLUMN($F$1),FALSE))),VLOOKUP($C65,装備品!$1:$998,COLUMN($O$1),FALSE)*VLOOKUP($D65,素材!$1:$1016,COLUMN($E$1),FALSE)/(LEN(VLOOKUP($D65,素材!$1:$1016,COLUMN($F$1),FALSE))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Q65">
        <f>IF(ISNUMBER(SEARCH(SUBSTITUTE(AQ$1,RIGHT(AQ$1,2),""),VLOOKUP($D65,素材!$1:$1016,COLUMN($F$1),FALSE))),VLOOKUP($C65,装備品!$1:$998,COLUMN($O$1),FALSE)*VLOOKUP($D65,素材!$1:$1016,COLUMN($E$1),FALSE)/(LEN(VLOOKUP($D65,素材!$1:$1016,COLUMN($F$1),FALSE))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R65">
        <f>IF(ISNUMBER(SEARCH(SUBSTITUTE(AR$1,RIGHT(AR$1,2),""),VLOOKUP($D65,素材!$1:$1016,COLUMN($F$1),FALSE))),VLOOKUP($C65,装備品!$1:$998,COLUMN($O$1),FALSE)*VLOOKUP($D65,素材!$1:$1016,COLUMN($E$1),FALSE)/(LEN(VLOOKUP($D65,素材!$1:$1016,COLUMN($F$1),FALSE))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S65">
        <f>IF(ISNUMBER(SEARCH(SUBSTITUTE(AS$1,RIGHT(AS$1,2),""),VLOOKUP($D65,素材!$1:$1016,COLUMN($F$1),FALSE))),VLOOKUP($C65,装備品!$1:$998,COLUMN($O$1),FALSE)*VLOOKUP($D65,素材!$1:$1016,COLUMN($E$1),FALSE)/(LEN(VLOOKUP($D65,素材!$1:$1016,COLUMN($F$1),FALSE))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T65">
        <f>IF(ISNUMBER(SEARCH(SUBSTITUTE(AT$1,RIGHT(AT$1,2),""),VLOOKUP($D65,素材!$1:$1016,COLUMN($F$1),FALSE))),VLOOKUP($C65,装備品!$1:$998,COLUMN($O$1),FALSE)*VLOOKUP($D65,素材!$1:$1016,COLUMN($E$1),FALSE)/(LEN(VLOOKUP($D65,素材!$1:$1016,COLUMN($F$1),FALSE))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U65">
        <f>IF(ISNUMBER(SEARCH(SUBSTITUTE(AU$1,RIGHT(AU$1,2),""),VLOOKUP($D65,素材!$1:$1016,COLUMN($F$1),FALSE))),VLOOKUP($C65,装備品!$1:$998,COLUMN($O$1),FALSE)*VLOOKUP($D65,素材!$1:$1016,COLUMN($E$1),FALSE)/(LEN(VLOOKUP($D65,素材!$1:$1016,COLUMN($F$1),FALSE))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V65">
        <f>IF(ISNUMBER(SEARCH(SUBSTITUTE(AV$1,RIGHT(AV$1,2),""),VLOOKUP($D65,素材!$1:$1016,COLUMN($F$1),FALSE))),VLOOKUP($C65,装備品!$1:$998,COLUMN($O$1),FALSE)*VLOOKUP($D65,素材!$1:$1016,COLUMN($E$1),FALSE)/(LEN(VLOOKUP($D65,素材!$1:$1016,COLUMN($F$1),FALSE))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W65">
        <f>IF(ISNUMBER(SEARCH(SUBSTITUTE(AW$1,RIGHT(AW$1,2),""),VLOOKUP($D65,素材!$1:$1016,COLUMN($F$1),FALSE))),VLOOKUP($C65,装備品!$1:$998,COLUMN($O$1),FALSE)*VLOOKUP($D65,素材!$1:$1016,COLUMN($E$1),FALSE)/(LEN(VLOOKUP($D65,素材!$1:$1016,COLUMN($F$1),FALSE))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X65">
        <f>IF(ISNUMBER(SEARCH(SUBSTITUTE(AX$1,RIGHT(AX$1,2),""),VLOOKUP($D65,素材!$1:$1016,COLUMN($F$1),FALSE))),VLOOKUP($C65,装備品!$1:$998,COLUMN($O$1),FALSE)*VLOOKUP($D65,素材!$1:$1016,COLUMN($E$1),FALSE)/(LEN(VLOOKUP($D65,素材!$1:$1016,COLUMN($F$1),FALSE))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Y65">
        <f>IF(ISNUMBER(SEARCH(SUBSTITUTE(AY$1,RIGHT(AY$1,2),""),VLOOKUP($D65,素材!$1:$1016,COLUMN($F$1),FALSE))),VLOOKUP($C65,装備品!$1:$998,COLUMN($O$1),FALSE)*VLOOKUP($D65,素材!$1:$1016,COLUMN($E$1),FALSE)/(LEN(VLOOKUP($D65,素材!$1:$1016,COLUMN($F$1),FALSE))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Z65">
        <f>IF(ISNUMBER(SEARCH(SUBSTITUTE(AZ$1,RIGHT(AZ$1,2),""),VLOOKUP($D65,素材!$1:$1016,COLUMN($F$1),FALSE))),VLOOKUP($C65,装備品!$1:$998,COLUMN($O$1),FALSE)*VLOOKUP($D65,素材!$1:$1016,COLUMN($E$1),FALSE)/(LEN(VLOOKUP($D65,素材!$1:$1016,COLUMN($F$1),FALSE))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BA65">
        <f>IF(ISNUMBER(SEARCH(SUBSTITUTE(BA$1,RIGHT(BA$1,2),""),VLOOKUP($D65,素材!$1:$1016,COLUMN($F$1),FALSE))),VLOOKUP($C65,装備品!$1:$998,COLUMN($O$1),FALSE)*VLOOKUP($D65,素材!$1:$1016,COLUMN($E$1),FALSE)/(LEN(VLOOKUP($D65,素材!$1:$1016,COLUMN($F$1),FALSE))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BB65">
        <f>IF(ISNUMBER(SEARCH(SUBSTITUTE(BB$1,RIGHT(BB$1,2),""),VLOOKUP($D65,素材!$1:$1016,COLUMN($F$1),FALSE))),VLOOKUP($C65,装備品!$1:$998,COLUMN($O$1),FALSE)*VLOOKUP($D65,素材!$1:$1016,COLUMN($E$1),FALSE)/(LEN(VLOOKUP($D65,素材!$1:$1016,COLUMN($F$1),FALSE))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BC65">
        <f>IF(ISNUMBER(SEARCH(SUBSTITUTE(BC$1,RIGHT(BC$1,2),""),VLOOKUP($D65,素材!$1:$1016,COLUMN($F$1),FALSE))),VLOOKUP($C65,装備品!$1:$998,COLUMN($O$1),FALSE)*VLOOKUP($D65,素材!$1:$1016,COLUMN($E$1),FALSE)/(LEN(VLOOKUP($D65,素材!$1:$1016,COLUMN($F$1),FALSE))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BD65">
        <f>IF(ISNUMBER(SEARCH(SUBSTITUTE(BD$1,RIGHT(BD$1,2),""),VLOOKUP($D65,素材!$1:$1016,COLUMN($F$1),FALSE))),VLOOKUP($C65,装備品!$1:$998,COLUMN($O$1),FALSE)*VLOOKUP($D65,素材!$1:$1016,COLUMN($E$1),FALSE)/(LEN(VLOOKUP($D65,素材!$1:$1016,COLUMN($F$1),FALSE))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BE65">
        <f>IF(ISNUMBER(SEARCH(SUBSTITUTE(BE$1,RIGHT(BE$1,2),""),VLOOKUP($D65,素材!$1:$1016,COLUMN($F$1),FALSE))),VLOOKUP($C65,装備品!$1:$998,COLUMN($O$1),FALSE)*VLOOKUP($D65,素材!$1:$1016,COLUMN($E$1),FALSE)/(LEN(VLOOKUP($D65,素材!$1:$1016,COLUMN($F$1),FALSE))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CL65">
        <f t="shared" si="1"/>
        <v>6</v>
      </c>
      <c r="CM65" s="22" t="str">
        <f t="shared" si="2"/>
        <v>切断.webp</v>
      </c>
      <c r="CN65">
        <f>IFERROR(VLOOKUP($C65,装備品!$1:$998,COLUMN(V$1),FALSE)*VLOOKUP($D65,素材!$1:$1016,COLUMN(N$1),FALSE)+IF(CI65="",0,VLOOKUP($CI65,付与!$1:$1176,COLUMN($CK$1),FALSE)),"")</f>
        <v>0</v>
      </c>
      <c r="CO65" t="str">
        <f>VLOOKUP(D65,素材!$A:$O,COLUMN(素材!O$1),FALSE)</f>
        <v>一般的な木材。金属より軽いが少し脆い</v>
      </c>
      <c r="CP65" t="str">
        <f>VLOOKUP(C65,装備品!$A:$AB,COLUMN(装備品!AB$1),FALSE)</f>
        <v>長弓。射程が長く、高い威力を持つ。</v>
      </c>
      <c r="CR65" t="str">
        <f t="shared" si="3"/>
        <v>e_65</v>
      </c>
      <c r="CS65">
        <f t="shared" si="4"/>
        <v>0</v>
      </c>
    </row>
    <row r="66" spans="1:97" outlineLevel="1" x14ac:dyDescent="0.4">
      <c r="A66" t="str">
        <f t="shared" si="5"/>
        <v>木の杖</v>
      </c>
      <c r="B66" t="str">
        <f>IFERROR(VLOOKUP($D66,素材!$1:$1016,COLUMN($B$1),FALSE)&amp;"・"&amp;VLOOKUP($C66,装備品!$1:$998,COLUMN(B$1),FALSE),"")</f>
        <v>ウッド・ロッド</v>
      </c>
      <c r="C66" t="s">
        <v>215</v>
      </c>
      <c r="D66" s="24" t="s">
        <v>254</v>
      </c>
      <c r="E66" t="str">
        <f>IFERROR(VLOOKUP(C66,装備品!$1:$998,COLUMN(C$1),FALSE),"")</f>
        <v>杖</v>
      </c>
      <c r="F66">
        <f>IFERROR(ROUNDDOWN((VLOOKUP($C66,装備品!$1:$998,COLUMN(D$1),FALSE)+IFERROR(VLOOKUP($CI66,付与!$1:$1167,COLUMN(F$1),FALSE),0))*VLOOKUP($D66,素材!$1:$1016,COLUMN(D$1),FALSE),0),"")</f>
        <v>82</v>
      </c>
      <c r="G66">
        <f>IFERROR(ROUNDDOWN((VLOOKUP($C66,装備品!$1:$998,COLUMN(E$1),FALSE)+IFERROR(VLOOKUP($CI66,付与!$1:$1167,COLUMN(G$1),FALSE),0))*VLOOKUP($D66,素材!$1:$1016,COLUMN($E$1),FALSE),0),"")</f>
        <v>0</v>
      </c>
      <c r="H66">
        <f>IFERROR(ROUNDDOWN((VLOOKUP($C66,装備品!$1:$998,COLUMN(F$1),FALSE)+IFERROR(VLOOKUP($CI66,付与!$1:$1167,COLUMN(H$1),FALSE),0))*VLOOKUP($D66,素材!$1:$1016,COLUMN($E$1),FALSE),0),"")</f>
        <v>3</v>
      </c>
      <c r="I66">
        <f>IFERROR(ROUNDDOWN((VLOOKUP($C66,装備品!$1:$998,COLUMN(G$1),FALSE)+IFERROR(VLOOKUP($CI66,付与!$1:$1167,COLUMN(I$1),FALSE),0))*VLOOKUP($D66,素材!$1:$1016,COLUMN($E$1),FALSE),0),"")</f>
        <v>10</v>
      </c>
      <c r="J66">
        <f>IFERROR(ROUNDDOWN((VLOOKUP($C66,装備品!$1:$998,COLUMN(H$1),FALSE)+IFERROR(VLOOKUP($CI66,付与!$1:$1167,COLUMN(J$1),FALSE),0))*VLOOKUP($D66,素材!$1:$1016,COLUMN($E$1),FALSE),0),"")</f>
        <v>13</v>
      </c>
      <c r="K66">
        <f>IFERROR(ROUNDDOWN((VLOOKUP($C66,装備品!$1:$998,COLUMN(I$1),FALSE)+IFERROR(VLOOKUP($CI66,付与!$1:$1167,COLUMN(K$1),FALSE),0))*VLOOKUP($D66,素材!$1:$1016,COLUMN($E$1),FALSE),0),"")</f>
        <v>0</v>
      </c>
      <c r="L66">
        <f>IFERROR(VLOOKUP($D66,素材!$1:$1016,COLUMN($F$1),FALSE),"")</f>
        <v>0</v>
      </c>
      <c r="M66">
        <f>IFERROR(VLOOKUP($C66,装備品!$1:$998,COLUMN(AA$1),FALSE)*VLOOKUP($D66,素材!$1:$1016,COLUMN($G$1),FALSE),"")</f>
        <v>0</v>
      </c>
      <c r="N66">
        <f>IFERROR(VLOOKUP($C66,装備品!$1:$998,COLUMN(I$1),FALSE),"")</f>
        <v>0</v>
      </c>
      <c r="O66" s="23">
        <f>IFERROR((VLOOKUP($C66,装備品!$1:$998,COLUMN(K$1),FALSE)+VLOOKUP($D66,素材!$1:$1016,COLUMN(H$1),FALSE))*100+IFERROR(VLOOKUP($CI66,付与!$1:$1167,COLUMN(O$1),FALSE),0),"")</f>
        <v>5</v>
      </c>
      <c r="P66" s="23">
        <f>IFERROR((VLOOKUP($C66,装備品!$1:$998,COLUMN(L$1),FALSE)+VLOOKUP($D66,素材!$1:$1016,COLUMN(I$1),FALSE))*100+IFERROR(VLOOKUP($CI66,付与!$1:$1167,COLUMN(P$1),FALSE),0),"")</f>
        <v>150</v>
      </c>
      <c r="Q66">
        <f>IFERROR(ROUNDUP(VLOOKUP($C66,装備品!$1:$998,COLUMN(M$1),FALSE)*(VLOOKUP($D66,素材!$1:$1002,COLUMN(D$1),FALSE)/100),1),"")</f>
        <v>0</v>
      </c>
      <c r="R66">
        <f>IFERROR(ROUNDUP(VLOOKUP($C66,装備品!$1:$998,COLUMN(N$1),FALSE)*(VLOOKUP($D66,素材!$1:$1002,COLUMN(D$1),FALSE)/100),1),"")</f>
        <v>0</v>
      </c>
      <c r="S66">
        <f>IFERROR(VLOOKUP($C66,装備品!$1:$998,COLUMN(P$1),FALSE),"")</f>
        <v>0</v>
      </c>
      <c r="T66">
        <f>IFERROR(VLOOKUP($C66,装備品!$1:$998,COLUMN(Q$1),FALSE),"")</f>
        <v>0</v>
      </c>
      <c r="U66">
        <f>IFERROR(VLOOKUP($C66,装備品!$1:$998,COLUMN(R$1),FALSE),"")</f>
        <v>0</v>
      </c>
      <c r="V66">
        <f>IFERROR(VLOOKUP($C66,装備品!$1:$998,COLUMN(Q$1),FALSE),"")</f>
        <v>0</v>
      </c>
      <c r="W66">
        <f>IFERROR(VLOOKUP($C66,装備品!$1:$998,COLUMN(T$1),FALSE),"")</f>
        <v>0</v>
      </c>
      <c r="Y66">
        <f>IFERROR(VLOOKUP($C66,装備品!$1:$998,COLUMN(U$1),FALSE),"")</f>
        <v>0</v>
      </c>
      <c r="Z66">
        <f>IFERROR(ROUNDUP(VLOOKUP($C66,装備品!$1:$998,COLUMN(O$1),FALSE)*VLOOKUP($D66,素材!$1:$1016,COLUMN(E$1),FALSE),1),"")</f>
        <v>0</v>
      </c>
      <c r="AA66">
        <f>IF(ISNUMBER(SEARCH(SUBSTITUTE(AA$1,RIGHT(AA$1,2),""),VLOOKUP($D66,素材!$1:$1016,COLUMN($F$1),FALSE))),VLOOKUP($C66,装備品!$1:$998,COLUMN($O$1),FALSE)*VLOOKUP($D66,素材!$1:$1016,COLUMN($E$1),FALSE)/(LEN(VLOOKUP($D66,素材!$1:$1016,COLUMN($F$1),FALSE))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B66">
        <f>IF(ISNUMBER(SEARCH(SUBSTITUTE(AB$1,RIGHT(AB$1,2),""),VLOOKUP($D66,素材!$1:$1016,COLUMN($F$1),FALSE))),VLOOKUP($C66,装備品!$1:$998,COLUMN($O$1),FALSE)*VLOOKUP($D66,素材!$1:$1016,COLUMN($E$1),FALSE)/(LEN(VLOOKUP($D66,素材!$1:$1016,COLUMN($F$1),FALSE))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C66">
        <f>IF(ISNUMBER(SEARCH(SUBSTITUTE(AC$1,RIGHT(AC$1,2),""),VLOOKUP($D66,素材!$1:$1016,COLUMN($F$1),FALSE))),VLOOKUP($C66,装備品!$1:$998,COLUMN($O$1),FALSE)*VLOOKUP($D66,素材!$1:$1016,COLUMN($E$1),FALSE)/(LEN(VLOOKUP($D66,素材!$1:$1016,COLUMN($F$1),FALSE))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D66">
        <f>IF(ISNUMBER(SEARCH(SUBSTITUTE(AD$1,RIGHT(AD$1,2),""),VLOOKUP($D66,素材!$1:$1016,COLUMN($F$1),FALSE))),VLOOKUP($C66,装備品!$1:$998,COLUMN($O$1),FALSE)*VLOOKUP($D66,素材!$1:$1016,COLUMN($E$1),FALSE)/(LEN(VLOOKUP($D66,素材!$1:$1016,COLUMN($F$1),FALSE))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E66">
        <f>IF(ISNUMBER(SEARCH(SUBSTITUTE(AE$1,RIGHT(AE$1,2),""),VLOOKUP($D66,素材!$1:$1016,COLUMN($F$1),FALSE))),VLOOKUP($C66,装備品!$1:$998,COLUMN($O$1),FALSE)*VLOOKUP($D66,素材!$1:$1016,COLUMN($E$1),FALSE)/(LEN(VLOOKUP($D66,素材!$1:$1016,COLUMN($F$1),FALSE))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F66">
        <f>IF(ISNUMBER(SEARCH(SUBSTITUTE(AF$1,RIGHT(AF$1,2),""),VLOOKUP($D66,素材!$1:$1016,COLUMN($F$1),FALSE))),VLOOKUP($C66,装備品!$1:$998,COLUMN($O$1),FALSE)*VLOOKUP($D66,素材!$1:$1016,COLUMN($E$1),FALSE)/(LEN(VLOOKUP($D66,素材!$1:$1016,COLUMN($F$1),FALSE))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G66">
        <f>IF(ISNUMBER(SEARCH(SUBSTITUTE(AG$1,RIGHT(AG$1,2),""),VLOOKUP($D66,素材!$1:$1016,COLUMN($F$1),FALSE))),VLOOKUP($C66,装備品!$1:$998,COLUMN($O$1),FALSE)*VLOOKUP($D66,素材!$1:$1016,COLUMN($E$1),FALSE)/(LEN(VLOOKUP($D66,素材!$1:$1016,COLUMN($F$1),FALSE))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H66">
        <f>IF(ISNUMBER(SEARCH(SUBSTITUTE(AH$1,RIGHT(AH$1,2),""),VLOOKUP($D66,素材!$1:$1016,COLUMN($F$1),FALSE))),VLOOKUP($C66,装備品!$1:$998,COLUMN($O$1),FALSE)*VLOOKUP($D66,素材!$1:$1016,COLUMN($E$1),FALSE)/(LEN(VLOOKUP($D66,素材!$1:$1016,COLUMN($F$1),FALSE))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I66">
        <f>IF(ISNUMBER(SEARCH(SUBSTITUTE(AI$1,RIGHT(AI$1,2),""),VLOOKUP($D66,素材!$1:$1016,COLUMN($F$1),FALSE))),VLOOKUP($C66,装備品!$1:$998,COLUMN($O$1),FALSE)*VLOOKUP($D66,素材!$1:$1016,COLUMN($E$1),FALSE)/(LEN(VLOOKUP($D66,素材!$1:$1016,COLUMN($F$1),FALSE))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J66">
        <f>IF(ISNUMBER(SEARCH(SUBSTITUTE(AJ$1,RIGHT(AJ$1,2),""),VLOOKUP($D66,素材!$1:$1016,COLUMN($F$1),FALSE))),VLOOKUP($C66,装備品!$1:$998,COLUMN($O$1),FALSE)*VLOOKUP($D66,素材!$1:$1016,COLUMN($E$1),FALSE)/(LEN(VLOOKUP($D66,素材!$1:$1016,COLUMN($F$1),FALSE))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K66">
        <f>IF(ISNUMBER(SEARCH(SUBSTITUTE(AK$1,RIGHT(AK$1,2),""),VLOOKUP($D66,素材!$1:$1016,COLUMN($F$1),FALSE))),VLOOKUP($C66,装備品!$1:$998,COLUMN($O$1),FALSE)*VLOOKUP($D66,素材!$1:$1016,COLUMN($E$1),FALSE)/(LEN(VLOOKUP($D66,素材!$1:$1016,COLUMN($F$1),FALSE))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L66">
        <f>IF(ISNUMBER(SEARCH(SUBSTITUTE(AL$1,RIGHT(AL$1,2),""),VLOOKUP($D66,素材!$1:$1016,COLUMN($F$1),FALSE))),VLOOKUP($C66,装備品!$1:$998,COLUMN($O$1),FALSE)*VLOOKUP($D66,素材!$1:$1016,COLUMN($E$1),FALSE)/(LEN(VLOOKUP($D66,素材!$1:$1016,COLUMN($F$1),FALSE))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M66">
        <f>IF(ISNUMBER(SEARCH(SUBSTITUTE(AM$1,RIGHT(AM$1,2),""),VLOOKUP($D66,素材!$1:$1016,COLUMN($F$1),FALSE))),VLOOKUP($C66,装備品!$1:$998,COLUMN($O$1),FALSE)*VLOOKUP($D66,素材!$1:$1016,COLUMN($E$1),FALSE)/(LEN(VLOOKUP($D66,素材!$1:$1016,COLUMN($F$1),FALSE))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N66">
        <f>IF(ISNUMBER(SEARCH(SUBSTITUTE(AN$1,RIGHT(AN$1,2),""),VLOOKUP($D66,素材!$1:$1016,COLUMN($F$1),FALSE))),VLOOKUP($C66,装備品!$1:$998,COLUMN($O$1),FALSE)*VLOOKUP($D66,素材!$1:$1016,COLUMN($E$1),FALSE)/(LEN(VLOOKUP($D66,素材!$1:$1016,COLUMN($F$1),FALSE))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O66">
        <f>IF(ISNUMBER(SEARCH(SUBSTITUTE(AO$1,RIGHT(AO$1,2),""),VLOOKUP($D66,素材!$1:$1016,COLUMN($F$1),FALSE))),VLOOKUP($C66,装備品!$1:$998,COLUMN($O$1),FALSE)*VLOOKUP($D66,素材!$1:$1016,COLUMN($E$1),FALSE)/(LEN(VLOOKUP($D66,素材!$1:$1016,COLUMN($F$1),FALSE))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P66">
        <f>IF(ISNUMBER(SEARCH(SUBSTITUTE(AP$1,RIGHT(AP$1,2),""),VLOOKUP($D66,素材!$1:$1016,COLUMN($F$1),FALSE))),VLOOKUP($C66,装備品!$1:$998,COLUMN($O$1),FALSE)*VLOOKUP($D66,素材!$1:$1016,COLUMN($E$1),FALSE)/(LEN(VLOOKUP($D66,素材!$1:$1016,COLUMN($F$1),FALSE))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Q66">
        <f>IF(ISNUMBER(SEARCH(SUBSTITUTE(AQ$1,RIGHT(AQ$1,2),""),VLOOKUP($D66,素材!$1:$1016,COLUMN($F$1),FALSE))),VLOOKUP($C66,装備品!$1:$998,COLUMN($O$1),FALSE)*VLOOKUP($D66,素材!$1:$1016,COLUMN($E$1),FALSE)/(LEN(VLOOKUP($D66,素材!$1:$1016,COLUMN($F$1),FALSE))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R66">
        <f>IF(ISNUMBER(SEARCH(SUBSTITUTE(AR$1,RIGHT(AR$1,2),""),VLOOKUP($D66,素材!$1:$1016,COLUMN($F$1),FALSE))),VLOOKUP($C66,装備品!$1:$998,COLUMN($O$1),FALSE)*VLOOKUP($D66,素材!$1:$1016,COLUMN($E$1),FALSE)/(LEN(VLOOKUP($D66,素材!$1:$1016,COLUMN($F$1),FALSE))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S66">
        <f>IF(ISNUMBER(SEARCH(SUBSTITUTE(AS$1,RIGHT(AS$1,2),""),VLOOKUP($D66,素材!$1:$1016,COLUMN($F$1),FALSE))),VLOOKUP($C66,装備品!$1:$998,COLUMN($O$1),FALSE)*VLOOKUP($D66,素材!$1:$1016,COLUMN($E$1),FALSE)/(LEN(VLOOKUP($D66,素材!$1:$1016,COLUMN($F$1),FALSE))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T66">
        <f>IF(ISNUMBER(SEARCH(SUBSTITUTE(AT$1,RIGHT(AT$1,2),""),VLOOKUP($D66,素材!$1:$1016,COLUMN($F$1),FALSE))),VLOOKUP($C66,装備品!$1:$998,COLUMN($O$1),FALSE)*VLOOKUP($D66,素材!$1:$1016,COLUMN($E$1),FALSE)/(LEN(VLOOKUP($D66,素材!$1:$1016,COLUMN($F$1),FALSE))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U66">
        <f>IF(ISNUMBER(SEARCH(SUBSTITUTE(AU$1,RIGHT(AU$1,2),""),VLOOKUP($D66,素材!$1:$1016,COLUMN($F$1),FALSE))),VLOOKUP($C66,装備品!$1:$998,COLUMN($O$1),FALSE)*VLOOKUP($D66,素材!$1:$1016,COLUMN($E$1),FALSE)/(LEN(VLOOKUP($D66,素材!$1:$1016,COLUMN($F$1),FALSE))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V66">
        <f>IF(ISNUMBER(SEARCH(SUBSTITUTE(AV$1,RIGHT(AV$1,2),""),VLOOKUP($D66,素材!$1:$1016,COLUMN($F$1),FALSE))),VLOOKUP($C66,装備品!$1:$998,COLUMN($O$1),FALSE)*VLOOKUP($D66,素材!$1:$1016,COLUMN($E$1),FALSE)/(LEN(VLOOKUP($D66,素材!$1:$1016,COLUMN($F$1),FALSE))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W66">
        <f>IF(ISNUMBER(SEARCH(SUBSTITUTE(AW$1,RIGHT(AW$1,2),""),VLOOKUP($D66,素材!$1:$1016,COLUMN($F$1),FALSE))),VLOOKUP($C66,装備品!$1:$998,COLUMN($O$1),FALSE)*VLOOKUP($D66,素材!$1:$1016,COLUMN($E$1),FALSE)/(LEN(VLOOKUP($D66,素材!$1:$1016,COLUMN($F$1),FALSE))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X66">
        <f>IF(ISNUMBER(SEARCH(SUBSTITUTE(AX$1,RIGHT(AX$1,2),""),VLOOKUP($D66,素材!$1:$1016,COLUMN($F$1),FALSE))),VLOOKUP($C66,装備品!$1:$998,COLUMN($O$1),FALSE)*VLOOKUP($D66,素材!$1:$1016,COLUMN($E$1),FALSE)/(LEN(VLOOKUP($D66,素材!$1:$1016,COLUMN($F$1),FALSE))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Y66">
        <f>IF(ISNUMBER(SEARCH(SUBSTITUTE(AY$1,RIGHT(AY$1,2),""),VLOOKUP($D66,素材!$1:$1016,COLUMN($F$1),FALSE))),VLOOKUP($C66,装備品!$1:$998,COLUMN($O$1),FALSE)*VLOOKUP($D66,素材!$1:$1016,COLUMN($E$1),FALSE)/(LEN(VLOOKUP($D66,素材!$1:$1016,COLUMN($F$1),FALSE))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Z66">
        <f>IF(ISNUMBER(SEARCH(SUBSTITUTE(AZ$1,RIGHT(AZ$1,2),""),VLOOKUP($D66,素材!$1:$1016,COLUMN($F$1),FALSE))),VLOOKUP($C66,装備品!$1:$998,COLUMN($O$1),FALSE)*VLOOKUP($D66,素材!$1:$1016,COLUMN($E$1),FALSE)/(LEN(VLOOKUP($D66,素材!$1:$1016,COLUMN($F$1),FALSE))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BA66">
        <f>IF(ISNUMBER(SEARCH(SUBSTITUTE(BA$1,RIGHT(BA$1,2),""),VLOOKUP($D66,素材!$1:$1016,COLUMN($F$1),FALSE))),VLOOKUP($C66,装備品!$1:$998,COLUMN($O$1),FALSE)*VLOOKUP($D66,素材!$1:$1016,COLUMN($E$1),FALSE)/(LEN(VLOOKUP($D66,素材!$1:$1016,COLUMN($F$1),FALSE))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BB66">
        <f>IF(ISNUMBER(SEARCH(SUBSTITUTE(BB$1,RIGHT(BB$1,2),""),VLOOKUP($D66,素材!$1:$1016,COLUMN($F$1),FALSE))),VLOOKUP($C66,装備品!$1:$998,COLUMN($O$1),FALSE)*VLOOKUP($D66,素材!$1:$1016,COLUMN($E$1),FALSE)/(LEN(VLOOKUP($D66,素材!$1:$1016,COLUMN($F$1),FALSE))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BC66">
        <f>IF(ISNUMBER(SEARCH(SUBSTITUTE(BC$1,RIGHT(BC$1,2),""),VLOOKUP($D66,素材!$1:$1016,COLUMN($F$1),FALSE))),VLOOKUP($C66,装備品!$1:$998,COLUMN($O$1),FALSE)*VLOOKUP($D66,素材!$1:$1016,COLUMN($E$1),FALSE)/(LEN(VLOOKUP($D66,素材!$1:$1016,COLUMN($F$1),FALSE))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BD66">
        <f>IF(ISNUMBER(SEARCH(SUBSTITUTE(BD$1,RIGHT(BD$1,2),""),VLOOKUP($D66,素材!$1:$1016,COLUMN($F$1),FALSE))),VLOOKUP($C66,装備品!$1:$998,COLUMN($O$1),FALSE)*VLOOKUP($D66,素材!$1:$1016,COLUMN($E$1),FALSE)/(LEN(VLOOKUP($D66,素材!$1:$1016,COLUMN($F$1),FALSE))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BE66">
        <f>IF(ISNUMBER(SEARCH(SUBSTITUTE(BE$1,RIGHT(BE$1,2),""),VLOOKUP($D66,素材!$1:$1016,COLUMN($F$1),FALSE))),VLOOKUP($C66,装備品!$1:$998,COLUMN($O$1),FALSE)*VLOOKUP($D66,素材!$1:$1016,COLUMN($E$1),FALSE)/(LEN(VLOOKUP($D66,素材!$1:$1016,COLUMN($F$1),FALSE))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CL66">
        <f t="shared" si="1"/>
        <v>13</v>
      </c>
      <c r="CM66" s="22" t="str">
        <f t="shared" si="2"/>
        <v>杖.webp</v>
      </c>
      <c r="CN66">
        <f>IFERROR(VLOOKUP($C66,装備品!$1:$998,COLUMN(V$1),FALSE)*VLOOKUP($D66,素材!$1:$1016,COLUMN(N$1),FALSE)+IF(CI66="",0,VLOOKUP($CI66,付与!$1:$1176,COLUMN($CK$1),FALSE)),"")</f>
        <v>0</v>
      </c>
      <c r="CO66" t="str">
        <f>VLOOKUP(D66,素材!$A:$O,COLUMN(素材!O$1),FALSE)</f>
        <v>一般的な木材。金属より軽いが少し脆い</v>
      </c>
      <c r="CP66" t="str">
        <f>VLOOKUP(C66,装備品!$A:$AB,COLUMN(装備品!AB$1),FALSE)</f>
        <v>杖。バランスの取れた魔法武器。</v>
      </c>
      <c r="CR66" t="str">
        <f t="shared" si="3"/>
        <v>e_66</v>
      </c>
      <c r="CS66">
        <f t="shared" si="4"/>
        <v>0</v>
      </c>
    </row>
    <row r="67" spans="1:97" outlineLevel="1" x14ac:dyDescent="0.4">
      <c r="A67" t="str">
        <f t="shared" ref="A67:A98" si="6">D67&amp;"の"&amp;C67</f>
        <v>木の長杖</v>
      </c>
      <c r="B67" t="str">
        <f>IFERROR(VLOOKUP($D67,素材!$1:$1016,COLUMN($B$1),FALSE)&amp;"・"&amp;VLOOKUP($C67,装備品!$1:$998,COLUMN(B$1),FALSE),"")</f>
        <v>ウッド・スタッフ</v>
      </c>
      <c r="C67" t="s">
        <v>214</v>
      </c>
      <c r="D67" s="24" t="s">
        <v>254</v>
      </c>
      <c r="E67" t="str">
        <f>IFERROR(VLOOKUP(C67,装備品!$1:$998,COLUMN(C$1),FALSE),"")</f>
        <v>杖</v>
      </c>
      <c r="F67">
        <f>IFERROR(ROUNDDOWN((VLOOKUP($C67,装備品!$1:$998,COLUMN(D$1),FALSE)+IFERROR(VLOOKUP($CI67,付与!$1:$1167,COLUMN(F$1),FALSE),0))*VLOOKUP($D67,素材!$1:$1016,COLUMN(D$1),FALSE),0),"")</f>
        <v>86</v>
      </c>
      <c r="G67">
        <f>IFERROR(ROUNDDOWN((VLOOKUP($C67,装備品!$1:$998,COLUMN(E$1),FALSE)+IFERROR(VLOOKUP($CI67,付与!$1:$1167,COLUMN(G$1),FALSE),0))*VLOOKUP($D67,素材!$1:$1016,COLUMN($E$1),FALSE),0),"")</f>
        <v>0</v>
      </c>
      <c r="H67">
        <f>IFERROR(ROUNDDOWN((VLOOKUP($C67,装備品!$1:$998,COLUMN(F$1),FALSE)+IFERROR(VLOOKUP($CI67,付与!$1:$1167,COLUMN(H$1),FALSE),0))*VLOOKUP($D67,素材!$1:$1016,COLUMN($E$1),FALSE),0),"")</f>
        <v>4</v>
      </c>
      <c r="I67">
        <f>IFERROR(ROUNDDOWN((VLOOKUP($C67,装備品!$1:$998,COLUMN(G$1),FALSE)+IFERROR(VLOOKUP($CI67,付与!$1:$1167,COLUMN(I$1),FALSE),0))*VLOOKUP($D67,素材!$1:$1016,COLUMN($E$1),FALSE),0),"")</f>
        <v>12</v>
      </c>
      <c r="J67">
        <f>IFERROR(ROUNDDOWN((VLOOKUP($C67,装備品!$1:$998,COLUMN(H$1),FALSE)+IFERROR(VLOOKUP($CI67,付与!$1:$1167,COLUMN(J$1),FALSE),0))*VLOOKUP($D67,素材!$1:$1016,COLUMN($E$1),FALSE),0),"")</f>
        <v>14</v>
      </c>
      <c r="K67">
        <f>IFERROR(ROUNDDOWN((VLOOKUP($C67,装備品!$1:$998,COLUMN(I$1),FALSE)+IFERROR(VLOOKUP($CI67,付与!$1:$1167,COLUMN(K$1),FALSE),0))*VLOOKUP($D67,素材!$1:$1016,COLUMN($E$1),FALSE),0),"")</f>
        <v>0</v>
      </c>
      <c r="L67">
        <f>IFERROR(VLOOKUP($D67,素材!$1:$1016,COLUMN($F$1),FALSE),"")</f>
        <v>0</v>
      </c>
      <c r="M67">
        <f>IFERROR(VLOOKUP($C67,装備品!$1:$998,COLUMN(AA$1),FALSE)*VLOOKUP($D67,素材!$1:$1016,COLUMN($G$1),FALSE),"")</f>
        <v>0</v>
      </c>
      <c r="N67">
        <f>IFERROR(VLOOKUP($C67,装備品!$1:$998,COLUMN(I$1),FALSE),"")</f>
        <v>0</v>
      </c>
      <c r="O67" s="23">
        <f>IFERROR((VLOOKUP($C67,装備品!$1:$998,COLUMN(K$1),FALSE)+VLOOKUP($D67,素材!$1:$1016,COLUMN(H$1),FALSE))*100+IFERROR(VLOOKUP($CI67,付与!$1:$1167,COLUMN(O$1),FALSE),0),"")</f>
        <v>5</v>
      </c>
      <c r="P67" s="23">
        <f>IFERROR((VLOOKUP($C67,装備品!$1:$998,COLUMN(L$1),FALSE)+VLOOKUP($D67,素材!$1:$1016,COLUMN(I$1),FALSE))*100+IFERROR(VLOOKUP($CI67,付与!$1:$1167,COLUMN(P$1),FALSE),0),"")</f>
        <v>150</v>
      </c>
      <c r="Q67">
        <f>IFERROR(ROUNDUP(VLOOKUP($C67,装備品!$1:$998,COLUMN(M$1),FALSE)*(VLOOKUP($D67,素材!$1:$1002,COLUMN(D$1),FALSE)/100),1),"")</f>
        <v>-3</v>
      </c>
      <c r="R67">
        <f>IFERROR(ROUNDUP(VLOOKUP($C67,装備品!$1:$998,COLUMN(N$1),FALSE)*(VLOOKUP($D67,素材!$1:$1002,COLUMN(D$1),FALSE)/100),1),"")</f>
        <v>-3</v>
      </c>
      <c r="S67">
        <f>IFERROR(VLOOKUP($C67,装備品!$1:$998,COLUMN(P$1),FALSE),"")</f>
        <v>0</v>
      </c>
      <c r="T67">
        <f>IFERROR(VLOOKUP($C67,装備品!$1:$998,COLUMN(Q$1),FALSE),"")</f>
        <v>0</v>
      </c>
      <c r="U67">
        <f>IFERROR(VLOOKUP($C67,装備品!$1:$998,COLUMN(R$1),FALSE),"")</f>
        <v>0</v>
      </c>
      <c r="V67">
        <f>IFERROR(VLOOKUP($C67,装備品!$1:$998,COLUMN(Q$1),FALSE),"")</f>
        <v>0</v>
      </c>
      <c r="W67">
        <f>IFERROR(VLOOKUP($C67,装備品!$1:$998,COLUMN(T$1),FALSE),"")</f>
        <v>0</v>
      </c>
      <c r="Y67">
        <f>IFERROR(VLOOKUP($C67,装備品!$1:$998,COLUMN(U$1),FALSE),"")</f>
        <v>0</v>
      </c>
      <c r="Z67">
        <f>IFERROR(ROUNDUP(VLOOKUP($C67,装備品!$1:$998,COLUMN(O$1),FALSE)*VLOOKUP($D67,素材!$1:$1016,COLUMN(E$1),FALSE),1),"")</f>
        <v>0</v>
      </c>
      <c r="AA67">
        <f>IF(ISNUMBER(SEARCH(SUBSTITUTE(AA$1,RIGHT(AA$1,2),""),VLOOKUP($D67,素材!$1:$1016,COLUMN($F$1),FALSE))),VLOOKUP($C67,装備品!$1:$998,COLUMN($O$1),FALSE)*VLOOKUP($D67,素材!$1:$1016,COLUMN($E$1),FALSE)/(LEN(VLOOKUP($D67,素材!$1:$1016,COLUMN($F$1),FALSE))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B67">
        <f>IF(ISNUMBER(SEARCH(SUBSTITUTE(AB$1,RIGHT(AB$1,2),""),VLOOKUP($D67,素材!$1:$1016,COLUMN($F$1),FALSE))),VLOOKUP($C67,装備品!$1:$998,COLUMN($O$1),FALSE)*VLOOKUP($D67,素材!$1:$1016,COLUMN($E$1),FALSE)/(LEN(VLOOKUP($D67,素材!$1:$1016,COLUMN($F$1),FALSE))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C67">
        <f>IF(ISNUMBER(SEARCH(SUBSTITUTE(AC$1,RIGHT(AC$1,2),""),VLOOKUP($D67,素材!$1:$1016,COLUMN($F$1),FALSE))),VLOOKUP($C67,装備品!$1:$998,COLUMN($O$1),FALSE)*VLOOKUP($D67,素材!$1:$1016,COLUMN($E$1),FALSE)/(LEN(VLOOKUP($D67,素材!$1:$1016,COLUMN($F$1),FALSE))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D67">
        <f>IF(ISNUMBER(SEARCH(SUBSTITUTE(AD$1,RIGHT(AD$1,2),""),VLOOKUP($D67,素材!$1:$1016,COLUMN($F$1),FALSE))),VLOOKUP($C67,装備品!$1:$998,COLUMN($O$1),FALSE)*VLOOKUP($D67,素材!$1:$1016,COLUMN($E$1),FALSE)/(LEN(VLOOKUP($D67,素材!$1:$1016,COLUMN($F$1),FALSE))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E67">
        <f>IF(ISNUMBER(SEARCH(SUBSTITUTE(AE$1,RIGHT(AE$1,2),""),VLOOKUP($D67,素材!$1:$1016,COLUMN($F$1),FALSE))),VLOOKUP($C67,装備品!$1:$998,COLUMN($O$1),FALSE)*VLOOKUP($D67,素材!$1:$1016,COLUMN($E$1),FALSE)/(LEN(VLOOKUP($D67,素材!$1:$1016,COLUMN($F$1),FALSE))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F67">
        <f>IF(ISNUMBER(SEARCH(SUBSTITUTE(AF$1,RIGHT(AF$1,2),""),VLOOKUP($D67,素材!$1:$1016,COLUMN($F$1),FALSE))),VLOOKUP($C67,装備品!$1:$998,COLUMN($O$1),FALSE)*VLOOKUP($D67,素材!$1:$1016,COLUMN($E$1),FALSE)/(LEN(VLOOKUP($D67,素材!$1:$1016,COLUMN($F$1),FALSE))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G67">
        <f>IF(ISNUMBER(SEARCH(SUBSTITUTE(AG$1,RIGHT(AG$1,2),""),VLOOKUP($D67,素材!$1:$1016,COLUMN($F$1),FALSE))),VLOOKUP($C67,装備品!$1:$998,COLUMN($O$1),FALSE)*VLOOKUP($D67,素材!$1:$1016,COLUMN($E$1),FALSE)/(LEN(VLOOKUP($D67,素材!$1:$1016,COLUMN($F$1),FALSE))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H67">
        <f>IF(ISNUMBER(SEARCH(SUBSTITUTE(AH$1,RIGHT(AH$1,2),""),VLOOKUP($D67,素材!$1:$1016,COLUMN($F$1),FALSE))),VLOOKUP($C67,装備品!$1:$998,COLUMN($O$1),FALSE)*VLOOKUP($D67,素材!$1:$1016,COLUMN($E$1),FALSE)/(LEN(VLOOKUP($D67,素材!$1:$1016,COLUMN($F$1),FALSE))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I67">
        <f>IF(ISNUMBER(SEARCH(SUBSTITUTE(AI$1,RIGHT(AI$1,2),""),VLOOKUP($D67,素材!$1:$1016,COLUMN($F$1),FALSE))),VLOOKUP($C67,装備品!$1:$998,COLUMN($O$1),FALSE)*VLOOKUP($D67,素材!$1:$1016,COLUMN($E$1),FALSE)/(LEN(VLOOKUP($D67,素材!$1:$1016,COLUMN($F$1),FALSE))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J67">
        <f>IF(ISNUMBER(SEARCH(SUBSTITUTE(AJ$1,RIGHT(AJ$1,2),""),VLOOKUP($D67,素材!$1:$1016,COLUMN($F$1),FALSE))),VLOOKUP($C67,装備品!$1:$998,COLUMN($O$1),FALSE)*VLOOKUP($D67,素材!$1:$1016,COLUMN($E$1),FALSE)/(LEN(VLOOKUP($D67,素材!$1:$1016,COLUMN($F$1),FALSE))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K67">
        <f>IF(ISNUMBER(SEARCH(SUBSTITUTE(AK$1,RIGHT(AK$1,2),""),VLOOKUP($D67,素材!$1:$1016,COLUMN($F$1),FALSE))),VLOOKUP($C67,装備品!$1:$998,COLUMN($O$1),FALSE)*VLOOKUP($D67,素材!$1:$1016,COLUMN($E$1),FALSE)/(LEN(VLOOKUP($D67,素材!$1:$1016,COLUMN($F$1),FALSE))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L67">
        <f>IF(ISNUMBER(SEARCH(SUBSTITUTE(AL$1,RIGHT(AL$1,2),""),VLOOKUP($D67,素材!$1:$1016,COLUMN($F$1),FALSE))),VLOOKUP($C67,装備品!$1:$998,COLUMN($O$1),FALSE)*VLOOKUP($D67,素材!$1:$1016,COLUMN($E$1),FALSE)/(LEN(VLOOKUP($D67,素材!$1:$1016,COLUMN($F$1),FALSE))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M67">
        <f>IF(ISNUMBER(SEARCH(SUBSTITUTE(AM$1,RIGHT(AM$1,2),""),VLOOKUP($D67,素材!$1:$1016,COLUMN($F$1),FALSE))),VLOOKUP($C67,装備品!$1:$998,COLUMN($O$1),FALSE)*VLOOKUP($D67,素材!$1:$1016,COLUMN($E$1),FALSE)/(LEN(VLOOKUP($D67,素材!$1:$1016,COLUMN($F$1),FALSE))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N67">
        <f>IF(ISNUMBER(SEARCH(SUBSTITUTE(AN$1,RIGHT(AN$1,2),""),VLOOKUP($D67,素材!$1:$1016,COLUMN($F$1),FALSE))),VLOOKUP($C67,装備品!$1:$998,COLUMN($O$1),FALSE)*VLOOKUP($D67,素材!$1:$1016,COLUMN($E$1),FALSE)/(LEN(VLOOKUP($D67,素材!$1:$1016,COLUMN($F$1),FALSE))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O67">
        <f>IF(ISNUMBER(SEARCH(SUBSTITUTE(AO$1,RIGHT(AO$1,2),""),VLOOKUP($D67,素材!$1:$1016,COLUMN($F$1),FALSE))),VLOOKUP($C67,装備品!$1:$998,COLUMN($O$1),FALSE)*VLOOKUP($D67,素材!$1:$1016,COLUMN($E$1),FALSE)/(LEN(VLOOKUP($D67,素材!$1:$1016,COLUMN($F$1),FALSE))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P67">
        <f>IF(ISNUMBER(SEARCH(SUBSTITUTE(AP$1,RIGHT(AP$1,2),""),VLOOKUP($D67,素材!$1:$1016,COLUMN($F$1),FALSE))),VLOOKUP($C67,装備品!$1:$998,COLUMN($O$1),FALSE)*VLOOKUP($D67,素材!$1:$1016,COLUMN($E$1),FALSE)/(LEN(VLOOKUP($D67,素材!$1:$1016,COLUMN($F$1),FALSE))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Q67">
        <f>IF(ISNUMBER(SEARCH(SUBSTITUTE(AQ$1,RIGHT(AQ$1,2),""),VLOOKUP($D67,素材!$1:$1016,COLUMN($F$1),FALSE))),VLOOKUP($C67,装備品!$1:$998,COLUMN($O$1),FALSE)*VLOOKUP($D67,素材!$1:$1016,COLUMN($E$1),FALSE)/(LEN(VLOOKUP($D67,素材!$1:$1016,COLUMN($F$1),FALSE))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R67">
        <f>IF(ISNUMBER(SEARCH(SUBSTITUTE(AR$1,RIGHT(AR$1,2),""),VLOOKUP($D67,素材!$1:$1016,COLUMN($F$1),FALSE))),VLOOKUP($C67,装備品!$1:$998,COLUMN($O$1),FALSE)*VLOOKUP($D67,素材!$1:$1016,COLUMN($E$1),FALSE)/(LEN(VLOOKUP($D67,素材!$1:$1016,COLUMN($F$1),FALSE))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S67">
        <f>IF(ISNUMBER(SEARCH(SUBSTITUTE(AS$1,RIGHT(AS$1,2),""),VLOOKUP($D67,素材!$1:$1016,COLUMN($F$1),FALSE))),VLOOKUP($C67,装備品!$1:$998,COLUMN($O$1),FALSE)*VLOOKUP($D67,素材!$1:$1016,COLUMN($E$1),FALSE)/(LEN(VLOOKUP($D67,素材!$1:$1016,COLUMN($F$1),FALSE))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T67">
        <f>IF(ISNUMBER(SEARCH(SUBSTITUTE(AT$1,RIGHT(AT$1,2),""),VLOOKUP($D67,素材!$1:$1016,COLUMN($F$1),FALSE))),VLOOKUP($C67,装備品!$1:$998,COLUMN($O$1),FALSE)*VLOOKUP($D67,素材!$1:$1016,COLUMN($E$1),FALSE)/(LEN(VLOOKUP($D67,素材!$1:$1016,COLUMN($F$1),FALSE))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U67">
        <f>IF(ISNUMBER(SEARCH(SUBSTITUTE(AU$1,RIGHT(AU$1,2),""),VLOOKUP($D67,素材!$1:$1016,COLUMN($F$1),FALSE))),VLOOKUP($C67,装備品!$1:$998,COLUMN($O$1),FALSE)*VLOOKUP($D67,素材!$1:$1016,COLUMN($E$1),FALSE)/(LEN(VLOOKUP($D67,素材!$1:$1016,COLUMN($F$1),FALSE))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V67">
        <f>IF(ISNUMBER(SEARCH(SUBSTITUTE(AV$1,RIGHT(AV$1,2),""),VLOOKUP($D67,素材!$1:$1016,COLUMN($F$1),FALSE))),VLOOKUP($C67,装備品!$1:$998,COLUMN($O$1),FALSE)*VLOOKUP($D67,素材!$1:$1016,COLUMN($E$1),FALSE)/(LEN(VLOOKUP($D67,素材!$1:$1016,COLUMN($F$1),FALSE))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W67">
        <f>IF(ISNUMBER(SEARCH(SUBSTITUTE(AW$1,RIGHT(AW$1,2),""),VLOOKUP($D67,素材!$1:$1016,COLUMN($F$1),FALSE))),VLOOKUP($C67,装備品!$1:$998,COLUMN($O$1),FALSE)*VLOOKUP($D67,素材!$1:$1016,COLUMN($E$1),FALSE)/(LEN(VLOOKUP($D67,素材!$1:$1016,COLUMN($F$1),FALSE))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X67">
        <f>IF(ISNUMBER(SEARCH(SUBSTITUTE(AX$1,RIGHT(AX$1,2),""),VLOOKUP($D67,素材!$1:$1016,COLUMN($F$1),FALSE))),VLOOKUP($C67,装備品!$1:$998,COLUMN($O$1),FALSE)*VLOOKUP($D67,素材!$1:$1016,COLUMN($E$1),FALSE)/(LEN(VLOOKUP($D67,素材!$1:$1016,COLUMN($F$1),FALSE))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Y67">
        <f>IF(ISNUMBER(SEARCH(SUBSTITUTE(AY$1,RIGHT(AY$1,2),""),VLOOKUP($D67,素材!$1:$1016,COLUMN($F$1),FALSE))),VLOOKUP($C67,装備品!$1:$998,COLUMN($O$1),FALSE)*VLOOKUP($D67,素材!$1:$1016,COLUMN($E$1),FALSE)/(LEN(VLOOKUP($D67,素材!$1:$1016,COLUMN($F$1),FALSE))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Z67">
        <f>IF(ISNUMBER(SEARCH(SUBSTITUTE(AZ$1,RIGHT(AZ$1,2),""),VLOOKUP($D67,素材!$1:$1016,COLUMN($F$1),FALSE))),VLOOKUP($C67,装備品!$1:$998,COLUMN($O$1),FALSE)*VLOOKUP($D67,素材!$1:$1016,COLUMN($E$1),FALSE)/(LEN(VLOOKUP($D67,素材!$1:$1016,COLUMN($F$1),FALSE))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BA67">
        <f>IF(ISNUMBER(SEARCH(SUBSTITUTE(BA$1,RIGHT(BA$1,2),""),VLOOKUP($D67,素材!$1:$1016,COLUMN($F$1),FALSE))),VLOOKUP($C67,装備品!$1:$998,COLUMN($O$1),FALSE)*VLOOKUP($D67,素材!$1:$1016,COLUMN($E$1),FALSE)/(LEN(VLOOKUP($D67,素材!$1:$1016,COLUMN($F$1),FALSE))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BB67">
        <f>IF(ISNUMBER(SEARCH(SUBSTITUTE(BB$1,RIGHT(BB$1,2),""),VLOOKUP($D67,素材!$1:$1016,COLUMN($F$1),FALSE))),VLOOKUP($C67,装備品!$1:$998,COLUMN($O$1),FALSE)*VLOOKUP($D67,素材!$1:$1016,COLUMN($E$1),FALSE)/(LEN(VLOOKUP($D67,素材!$1:$1016,COLUMN($F$1),FALSE))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BC67">
        <f>IF(ISNUMBER(SEARCH(SUBSTITUTE(BC$1,RIGHT(BC$1,2),""),VLOOKUP($D67,素材!$1:$1016,COLUMN($F$1),FALSE))),VLOOKUP($C67,装備品!$1:$998,COLUMN($O$1),FALSE)*VLOOKUP($D67,素材!$1:$1016,COLUMN($E$1),FALSE)/(LEN(VLOOKUP($D67,素材!$1:$1016,COLUMN($F$1),FALSE))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BD67">
        <f>IF(ISNUMBER(SEARCH(SUBSTITUTE(BD$1,RIGHT(BD$1,2),""),VLOOKUP($D67,素材!$1:$1016,COLUMN($F$1),FALSE))),VLOOKUP($C67,装備品!$1:$998,COLUMN($O$1),FALSE)*VLOOKUP($D67,素材!$1:$1016,COLUMN($E$1),FALSE)/(LEN(VLOOKUP($D67,素材!$1:$1016,COLUMN($F$1),FALSE))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BE67">
        <f>IF(ISNUMBER(SEARCH(SUBSTITUTE(BE$1,RIGHT(BE$1,2),""),VLOOKUP($D67,素材!$1:$1016,COLUMN($F$1),FALSE))),VLOOKUP($C67,装備品!$1:$998,COLUMN($O$1),FALSE)*VLOOKUP($D67,素材!$1:$1016,COLUMN($E$1),FALSE)/(LEN(VLOOKUP($D67,素材!$1:$1016,COLUMN($F$1),FALSE))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CL67">
        <f t="shared" ref="CL67:CL130" si="7">SUM(G67:I67)</f>
        <v>16</v>
      </c>
      <c r="CM67" s="22" t="str">
        <f t="shared" ref="CM67:CM130" si="8">IF(E67="武器",IF(J67-1&gt;SUM(G67:I67),"盾",IF(MAX(G67:I67)=G67,"切断",IF(MAX(G67:I67)=H67,"貫通",IF(MAX(G67:I67)=I67,"打撃","射撃")))),E67)&amp;".webp"</f>
        <v>杖.webp</v>
      </c>
      <c r="CN67">
        <f>IFERROR(VLOOKUP($C67,装備品!$1:$998,COLUMN(V$1),FALSE)*VLOOKUP($D67,素材!$1:$1016,COLUMN(N$1),FALSE)+IF(CI67="",0,VLOOKUP($CI67,付与!$1:$1176,COLUMN($CK$1),FALSE)),"")</f>
        <v>0</v>
      </c>
      <c r="CO67" t="str">
        <f>VLOOKUP(D67,素材!$A:$O,COLUMN(素材!O$1),FALSE)</f>
        <v>一般的な木材。金属より軽いが少し脆い</v>
      </c>
      <c r="CP67" t="str">
        <f>VLOOKUP(C67,装備品!$A:$AB,COLUMN(装備品!AB$1),FALSE)</f>
        <v>長杖。強力な魔法を扱える杖だが、重い。</v>
      </c>
      <c r="CR67" t="str">
        <f t="shared" ref="CR67:CR139" si="9">"e_"&amp;ROW(CR67)</f>
        <v>e_67</v>
      </c>
      <c r="CS67">
        <f t="shared" si="4"/>
        <v>0</v>
      </c>
    </row>
    <row r="68" spans="1:97" outlineLevel="1" x14ac:dyDescent="0.4">
      <c r="A68" t="str">
        <f t="shared" si="6"/>
        <v>木の軽射出弓</v>
      </c>
      <c r="B68" t="str">
        <f>IFERROR(VLOOKUP($D68,素材!$1:$1016,COLUMN($B$1),FALSE)&amp;"・"&amp;VLOOKUP($C68,装備品!$1:$998,COLUMN(B$1),FALSE),"")</f>
        <v>ウッド・ライトクロスボウ</v>
      </c>
      <c r="C68" t="s">
        <v>213</v>
      </c>
      <c r="D68" s="24" t="s">
        <v>254</v>
      </c>
      <c r="E68" t="str">
        <f>IFERROR(VLOOKUP(C68,装備品!$1:$998,COLUMN(C$1),FALSE),"")</f>
        <v>銃</v>
      </c>
      <c r="F68">
        <f>IFERROR(ROUNDDOWN((VLOOKUP($C68,装備品!$1:$998,COLUMN(D$1),FALSE)+IFERROR(VLOOKUP($CI68,付与!$1:$1167,COLUMN(F$1),FALSE),0))*VLOOKUP($D68,素材!$1:$1016,COLUMN(D$1),FALSE),0),"")</f>
        <v>75</v>
      </c>
      <c r="G68">
        <f>IFERROR(ROUNDDOWN((VLOOKUP($C68,装備品!$1:$998,COLUMN(E$1),FALSE)+IFERROR(VLOOKUP($CI68,付与!$1:$1167,COLUMN(G$1),FALSE),0))*VLOOKUP($D68,素材!$1:$1016,COLUMN($E$1),FALSE),0),"")</f>
        <v>0</v>
      </c>
      <c r="H68">
        <f>IFERROR(ROUNDDOWN((VLOOKUP($C68,装備品!$1:$998,COLUMN(F$1),FALSE)+IFERROR(VLOOKUP($CI68,付与!$1:$1167,COLUMN(H$1),FALSE),0))*VLOOKUP($D68,素材!$1:$1016,COLUMN($E$1),FALSE),0),"")</f>
        <v>0</v>
      </c>
      <c r="I68">
        <f>IFERROR(ROUNDDOWN((VLOOKUP($C68,装備品!$1:$998,COLUMN(G$1),FALSE)+IFERROR(VLOOKUP($CI68,付与!$1:$1167,COLUMN(I$1),FALSE),0))*VLOOKUP($D68,素材!$1:$1016,COLUMN($E$1),FALSE),0),"")</f>
        <v>0</v>
      </c>
      <c r="J68">
        <f>IFERROR(ROUNDDOWN((VLOOKUP($C68,装備品!$1:$998,COLUMN(H$1),FALSE)+IFERROR(VLOOKUP($CI68,付与!$1:$1167,COLUMN(J$1),FALSE),0))*VLOOKUP($D68,素材!$1:$1016,COLUMN($E$1),FALSE),0),"")</f>
        <v>0</v>
      </c>
      <c r="K68">
        <f>IFERROR(ROUNDDOWN((VLOOKUP($C68,装備品!$1:$998,COLUMN(I$1),FALSE)+IFERROR(VLOOKUP($CI68,付与!$1:$1167,COLUMN(K$1),FALSE),0))*VLOOKUP($D68,素材!$1:$1016,COLUMN($E$1),FALSE),0),"")</f>
        <v>40</v>
      </c>
      <c r="L68">
        <f>IFERROR(VLOOKUP($D68,素材!$1:$1016,COLUMN($F$1),FALSE),"")</f>
        <v>0</v>
      </c>
      <c r="M68">
        <f>IFERROR(VLOOKUP($C68,装備品!$1:$998,COLUMN(AA$1),FALSE)*VLOOKUP($D68,素材!$1:$1016,COLUMN($G$1),FALSE),"")</f>
        <v>0</v>
      </c>
      <c r="N68">
        <f>IFERROR(VLOOKUP($C68,装備品!$1:$998,COLUMN(I$1),FALSE),"")</f>
        <v>2.7</v>
      </c>
      <c r="O68" s="23">
        <f>IFERROR((VLOOKUP($C68,装備品!$1:$998,COLUMN(K$1),FALSE)+VLOOKUP($D68,素材!$1:$1016,COLUMN(H$1),FALSE))*100+IFERROR(VLOOKUP($CI68,付与!$1:$1167,COLUMN(O$1),FALSE),0),"")</f>
        <v>10</v>
      </c>
      <c r="P68" s="23">
        <f>IFERROR((VLOOKUP($C68,装備品!$1:$998,COLUMN(L$1),FALSE)+VLOOKUP($D68,素材!$1:$1016,COLUMN(I$1),FALSE))*100+IFERROR(VLOOKUP($CI68,付与!$1:$1167,COLUMN(P$1),FALSE),0),"")</f>
        <v>150</v>
      </c>
      <c r="Q68">
        <f>IFERROR(ROUNDUP(VLOOKUP($C68,装備品!$1:$998,COLUMN(M$1),FALSE)*(VLOOKUP($D68,素材!$1:$1002,COLUMN(D$1),FALSE)/100),1),"")</f>
        <v>0</v>
      </c>
      <c r="R68">
        <f>IFERROR(ROUNDUP(VLOOKUP($C68,装備品!$1:$998,COLUMN(N$1),FALSE)*(VLOOKUP($D68,素材!$1:$1002,COLUMN(D$1),FALSE)/100),1),"")</f>
        <v>-11.299999999999999</v>
      </c>
      <c r="S68">
        <f>IFERROR(VLOOKUP($C68,装備品!$1:$998,COLUMN(P$1),FALSE),"")</f>
        <v>0</v>
      </c>
      <c r="T68">
        <f>IFERROR(VLOOKUP($C68,装備品!$1:$998,COLUMN(Q$1),FALSE),"")</f>
        <v>0</v>
      </c>
      <c r="U68">
        <f>IFERROR(VLOOKUP($C68,装備品!$1:$998,COLUMN(R$1),FALSE),"")</f>
        <v>0</v>
      </c>
      <c r="V68">
        <f>IFERROR(VLOOKUP($C68,装備品!$1:$998,COLUMN(Q$1),FALSE),"")</f>
        <v>0</v>
      </c>
      <c r="W68">
        <f>IFERROR(VLOOKUP($C68,装備品!$1:$998,COLUMN(T$1),FALSE),"")</f>
        <v>0</v>
      </c>
      <c r="Y68">
        <f>IFERROR(VLOOKUP($C68,装備品!$1:$998,COLUMN(U$1),FALSE),"")</f>
        <v>0</v>
      </c>
      <c r="Z68">
        <f>IFERROR(ROUNDUP(VLOOKUP($C68,装備品!$1:$998,COLUMN(O$1),FALSE)*VLOOKUP($D68,素材!$1:$1016,COLUMN(E$1),FALSE),1),"")</f>
        <v>0</v>
      </c>
      <c r="AA68">
        <f>IF(ISNUMBER(SEARCH(SUBSTITUTE(AA$1,RIGHT(AA$1,2),""),VLOOKUP($D68,素材!$1:$1016,COLUMN($F$1),FALSE))),VLOOKUP($C68,装備品!$1:$998,COLUMN($O$1),FALSE)*VLOOKUP($D68,素材!$1:$1016,COLUMN($E$1),FALSE)/(LEN(VLOOKUP($D68,素材!$1:$1016,COLUMN($F$1),FALSE))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B68">
        <f>IF(ISNUMBER(SEARCH(SUBSTITUTE(AB$1,RIGHT(AB$1,2),""),VLOOKUP($D68,素材!$1:$1016,COLUMN($F$1),FALSE))),VLOOKUP($C68,装備品!$1:$998,COLUMN($O$1),FALSE)*VLOOKUP($D68,素材!$1:$1016,COLUMN($E$1),FALSE)/(LEN(VLOOKUP($D68,素材!$1:$1016,COLUMN($F$1),FALSE))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C68">
        <f>IF(ISNUMBER(SEARCH(SUBSTITUTE(AC$1,RIGHT(AC$1,2),""),VLOOKUP($D68,素材!$1:$1016,COLUMN($F$1),FALSE))),VLOOKUP($C68,装備品!$1:$998,COLUMN($O$1),FALSE)*VLOOKUP($D68,素材!$1:$1016,COLUMN($E$1),FALSE)/(LEN(VLOOKUP($D68,素材!$1:$1016,COLUMN($F$1),FALSE))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D68">
        <f>IF(ISNUMBER(SEARCH(SUBSTITUTE(AD$1,RIGHT(AD$1,2),""),VLOOKUP($D68,素材!$1:$1016,COLUMN($F$1),FALSE))),VLOOKUP($C68,装備品!$1:$998,COLUMN($O$1),FALSE)*VLOOKUP($D68,素材!$1:$1016,COLUMN($E$1),FALSE)/(LEN(VLOOKUP($D68,素材!$1:$1016,COLUMN($F$1),FALSE))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E68">
        <f>IF(ISNUMBER(SEARCH(SUBSTITUTE(AE$1,RIGHT(AE$1,2),""),VLOOKUP($D68,素材!$1:$1016,COLUMN($F$1),FALSE))),VLOOKUP($C68,装備品!$1:$998,COLUMN($O$1),FALSE)*VLOOKUP($D68,素材!$1:$1016,COLUMN($E$1),FALSE)/(LEN(VLOOKUP($D68,素材!$1:$1016,COLUMN($F$1),FALSE))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F68">
        <f>IF(ISNUMBER(SEARCH(SUBSTITUTE(AF$1,RIGHT(AF$1,2),""),VLOOKUP($D68,素材!$1:$1016,COLUMN($F$1),FALSE))),VLOOKUP($C68,装備品!$1:$998,COLUMN($O$1),FALSE)*VLOOKUP($D68,素材!$1:$1016,COLUMN($E$1),FALSE)/(LEN(VLOOKUP($D68,素材!$1:$1016,COLUMN($F$1),FALSE))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G68">
        <f>IF(ISNUMBER(SEARCH(SUBSTITUTE(AG$1,RIGHT(AG$1,2),""),VLOOKUP($D68,素材!$1:$1016,COLUMN($F$1),FALSE))),VLOOKUP($C68,装備品!$1:$998,COLUMN($O$1),FALSE)*VLOOKUP($D68,素材!$1:$1016,COLUMN($E$1),FALSE)/(LEN(VLOOKUP($D68,素材!$1:$1016,COLUMN($F$1),FALSE))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H68">
        <f>IF(ISNUMBER(SEARCH(SUBSTITUTE(AH$1,RIGHT(AH$1,2),""),VLOOKUP($D68,素材!$1:$1016,COLUMN($F$1),FALSE))),VLOOKUP($C68,装備品!$1:$998,COLUMN($O$1),FALSE)*VLOOKUP($D68,素材!$1:$1016,COLUMN($E$1),FALSE)/(LEN(VLOOKUP($D68,素材!$1:$1016,COLUMN($F$1),FALSE))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I68">
        <f>IF(ISNUMBER(SEARCH(SUBSTITUTE(AI$1,RIGHT(AI$1,2),""),VLOOKUP($D68,素材!$1:$1016,COLUMN($F$1),FALSE))),VLOOKUP($C68,装備品!$1:$998,COLUMN($O$1),FALSE)*VLOOKUP($D68,素材!$1:$1016,COLUMN($E$1),FALSE)/(LEN(VLOOKUP($D68,素材!$1:$1016,COLUMN($F$1),FALSE))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J68">
        <f>IF(ISNUMBER(SEARCH(SUBSTITUTE(AJ$1,RIGHT(AJ$1,2),""),VLOOKUP($D68,素材!$1:$1016,COLUMN($F$1),FALSE))),VLOOKUP($C68,装備品!$1:$998,COLUMN($O$1),FALSE)*VLOOKUP($D68,素材!$1:$1016,COLUMN($E$1),FALSE)/(LEN(VLOOKUP($D68,素材!$1:$1016,COLUMN($F$1),FALSE))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K68">
        <f>IF(ISNUMBER(SEARCH(SUBSTITUTE(AK$1,RIGHT(AK$1,2),""),VLOOKUP($D68,素材!$1:$1016,COLUMN($F$1),FALSE))),VLOOKUP($C68,装備品!$1:$998,COLUMN($O$1),FALSE)*VLOOKUP($D68,素材!$1:$1016,COLUMN($E$1),FALSE)/(LEN(VLOOKUP($D68,素材!$1:$1016,COLUMN($F$1),FALSE))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L68">
        <f>IF(ISNUMBER(SEARCH(SUBSTITUTE(AL$1,RIGHT(AL$1,2),""),VLOOKUP($D68,素材!$1:$1016,COLUMN($F$1),FALSE))),VLOOKUP($C68,装備品!$1:$998,COLUMN($O$1),FALSE)*VLOOKUP($D68,素材!$1:$1016,COLUMN($E$1),FALSE)/(LEN(VLOOKUP($D68,素材!$1:$1016,COLUMN($F$1),FALSE))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M68">
        <f>IF(ISNUMBER(SEARCH(SUBSTITUTE(AM$1,RIGHT(AM$1,2),""),VLOOKUP($D68,素材!$1:$1016,COLUMN($F$1),FALSE))),VLOOKUP($C68,装備品!$1:$998,COLUMN($O$1),FALSE)*VLOOKUP($D68,素材!$1:$1016,COLUMN($E$1),FALSE)/(LEN(VLOOKUP($D68,素材!$1:$1016,COLUMN($F$1),FALSE))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N68">
        <f>IF(ISNUMBER(SEARCH(SUBSTITUTE(AN$1,RIGHT(AN$1,2),""),VLOOKUP($D68,素材!$1:$1016,COLUMN($F$1),FALSE))),VLOOKUP($C68,装備品!$1:$998,COLUMN($O$1),FALSE)*VLOOKUP($D68,素材!$1:$1016,COLUMN($E$1),FALSE)/(LEN(VLOOKUP($D68,素材!$1:$1016,COLUMN($F$1),FALSE))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O68">
        <f>IF(ISNUMBER(SEARCH(SUBSTITUTE(AO$1,RIGHT(AO$1,2),""),VLOOKUP($D68,素材!$1:$1016,COLUMN($F$1),FALSE))),VLOOKUP($C68,装備品!$1:$998,COLUMN($O$1),FALSE)*VLOOKUP($D68,素材!$1:$1016,COLUMN($E$1),FALSE)/(LEN(VLOOKUP($D68,素材!$1:$1016,COLUMN($F$1),FALSE))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P68">
        <f>IF(ISNUMBER(SEARCH(SUBSTITUTE(AP$1,RIGHT(AP$1,2),""),VLOOKUP($D68,素材!$1:$1016,COLUMN($F$1),FALSE))),VLOOKUP($C68,装備品!$1:$998,COLUMN($O$1),FALSE)*VLOOKUP($D68,素材!$1:$1016,COLUMN($E$1),FALSE)/(LEN(VLOOKUP($D68,素材!$1:$1016,COLUMN($F$1),FALSE))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Q68">
        <f>IF(ISNUMBER(SEARCH(SUBSTITUTE(AQ$1,RIGHT(AQ$1,2),""),VLOOKUP($D68,素材!$1:$1016,COLUMN($F$1),FALSE))),VLOOKUP($C68,装備品!$1:$998,COLUMN($O$1),FALSE)*VLOOKUP($D68,素材!$1:$1016,COLUMN($E$1),FALSE)/(LEN(VLOOKUP($D68,素材!$1:$1016,COLUMN($F$1),FALSE))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R68">
        <f>IF(ISNUMBER(SEARCH(SUBSTITUTE(AR$1,RIGHT(AR$1,2),""),VLOOKUP($D68,素材!$1:$1016,COLUMN($F$1),FALSE))),VLOOKUP($C68,装備品!$1:$998,COLUMN($O$1),FALSE)*VLOOKUP($D68,素材!$1:$1016,COLUMN($E$1),FALSE)/(LEN(VLOOKUP($D68,素材!$1:$1016,COLUMN($F$1),FALSE))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S68">
        <f>IF(ISNUMBER(SEARCH(SUBSTITUTE(AS$1,RIGHT(AS$1,2),""),VLOOKUP($D68,素材!$1:$1016,COLUMN($F$1),FALSE))),VLOOKUP($C68,装備品!$1:$998,COLUMN($O$1),FALSE)*VLOOKUP($D68,素材!$1:$1016,COLUMN($E$1),FALSE)/(LEN(VLOOKUP($D68,素材!$1:$1016,COLUMN($F$1),FALSE))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T68">
        <f>IF(ISNUMBER(SEARCH(SUBSTITUTE(AT$1,RIGHT(AT$1,2),""),VLOOKUP($D68,素材!$1:$1016,COLUMN($F$1),FALSE))),VLOOKUP($C68,装備品!$1:$998,COLUMN($O$1),FALSE)*VLOOKUP($D68,素材!$1:$1016,COLUMN($E$1),FALSE)/(LEN(VLOOKUP($D68,素材!$1:$1016,COLUMN($F$1),FALSE))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U68">
        <f>IF(ISNUMBER(SEARCH(SUBSTITUTE(AU$1,RIGHT(AU$1,2),""),VLOOKUP($D68,素材!$1:$1016,COLUMN($F$1),FALSE))),VLOOKUP($C68,装備品!$1:$998,COLUMN($O$1),FALSE)*VLOOKUP($D68,素材!$1:$1016,COLUMN($E$1),FALSE)/(LEN(VLOOKUP($D68,素材!$1:$1016,COLUMN($F$1),FALSE))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V68">
        <f>IF(ISNUMBER(SEARCH(SUBSTITUTE(AV$1,RIGHT(AV$1,2),""),VLOOKUP($D68,素材!$1:$1016,COLUMN($F$1),FALSE))),VLOOKUP($C68,装備品!$1:$998,COLUMN($O$1),FALSE)*VLOOKUP($D68,素材!$1:$1016,COLUMN($E$1),FALSE)/(LEN(VLOOKUP($D68,素材!$1:$1016,COLUMN($F$1),FALSE))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W68">
        <f>IF(ISNUMBER(SEARCH(SUBSTITUTE(AW$1,RIGHT(AW$1,2),""),VLOOKUP($D68,素材!$1:$1016,COLUMN($F$1),FALSE))),VLOOKUP($C68,装備品!$1:$998,COLUMN($O$1),FALSE)*VLOOKUP($D68,素材!$1:$1016,COLUMN($E$1),FALSE)/(LEN(VLOOKUP($D68,素材!$1:$1016,COLUMN($F$1),FALSE))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X68">
        <f>IF(ISNUMBER(SEARCH(SUBSTITUTE(AX$1,RIGHT(AX$1,2),""),VLOOKUP($D68,素材!$1:$1016,COLUMN($F$1),FALSE))),VLOOKUP($C68,装備品!$1:$998,COLUMN($O$1),FALSE)*VLOOKUP($D68,素材!$1:$1016,COLUMN($E$1),FALSE)/(LEN(VLOOKUP($D68,素材!$1:$1016,COLUMN($F$1),FALSE))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Y68">
        <f>IF(ISNUMBER(SEARCH(SUBSTITUTE(AY$1,RIGHT(AY$1,2),""),VLOOKUP($D68,素材!$1:$1016,COLUMN($F$1),FALSE))),VLOOKUP($C68,装備品!$1:$998,COLUMN($O$1),FALSE)*VLOOKUP($D68,素材!$1:$1016,COLUMN($E$1),FALSE)/(LEN(VLOOKUP($D68,素材!$1:$1016,COLUMN($F$1),FALSE))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Z68">
        <f>IF(ISNUMBER(SEARCH(SUBSTITUTE(AZ$1,RIGHT(AZ$1,2),""),VLOOKUP($D68,素材!$1:$1016,COLUMN($F$1),FALSE))),VLOOKUP($C68,装備品!$1:$998,COLUMN($O$1),FALSE)*VLOOKUP($D68,素材!$1:$1016,COLUMN($E$1),FALSE)/(LEN(VLOOKUP($D68,素材!$1:$1016,COLUMN($F$1),FALSE))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BA68">
        <f>IF(ISNUMBER(SEARCH(SUBSTITUTE(BA$1,RIGHT(BA$1,2),""),VLOOKUP($D68,素材!$1:$1016,COLUMN($F$1),FALSE))),VLOOKUP($C68,装備品!$1:$998,COLUMN($O$1),FALSE)*VLOOKUP($D68,素材!$1:$1016,COLUMN($E$1),FALSE)/(LEN(VLOOKUP($D68,素材!$1:$1016,COLUMN($F$1),FALSE))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BB68">
        <f>IF(ISNUMBER(SEARCH(SUBSTITUTE(BB$1,RIGHT(BB$1,2),""),VLOOKUP($D68,素材!$1:$1016,COLUMN($F$1),FALSE))),VLOOKUP($C68,装備品!$1:$998,COLUMN($O$1),FALSE)*VLOOKUP($D68,素材!$1:$1016,COLUMN($E$1),FALSE)/(LEN(VLOOKUP($D68,素材!$1:$1016,COLUMN($F$1),FALSE))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BC68">
        <f>IF(ISNUMBER(SEARCH(SUBSTITUTE(BC$1,RIGHT(BC$1,2),""),VLOOKUP($D68,素材!$1:$1016,COLUMN($F$1),FALSE))),VLOOKUP($C68,装備品!$1:$998,COLUMN($O$1),FALSE)*VLOOKUP($D68,素材!$1:$1016,COLUMN($E$1),FALSE)/(LEN(VLOOKUP($D68,素材!$1:$1016,COLUMN($F$1),FALSE))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BD68">
        <f>IF(ISNUMBER(SEARCH(SUBSTITUTE(BD$1,RIGHT(BD$1,2),""),VLOOKUP($D68,素材!$1:$1016,COLUMN($F$1),FALSE))),VLOOKUP($C68,装備品!$1:$998,COLUMN($O$1),FALSE)*VLOOKUP($D68,素材!$1:$1016,COLUMN($E$1),FALSE)/(LEN(VLOOKUP($D68,素材!$1:$1016,COLUMN($F$1),FALSE))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BE68">
        <f>IF(ISNUMBER(SEARCH(SUBSTITUTE(BE$1,RIGHT(BE$1,2),""),VLOOKUP($D68,素材!$1:$1016,COLUMN($F$1),FALSE))),VLOOKUP($C68,装備品!$1:$998,COLUMN($O$1),FALSE)*VLOOKUP($D68,素材!$1:$1016,COLUMN($E$1),FALSE)/(LEN(VLOOKUP($D68,素材!$1:$1016,COLUMN($F$1),FALSE))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CL68">
        <f t="shared" si="7"/>
        <v>0</v>
      </c>
      <c r="CM68" s="22" t="str">
        <f t="shared" si="8"/>
        <v>銃.webp</v>
      </c>
      <c r="CN68">
        <f>IFERROR(VLOOKUP($C68,装備品!$1:$998,COLUMN(V$1),FALSE)*VLOOKUP($D68,素材!$1:$1016,COLUMN(N$1),FALSE)+IF(CI68="",0,VLOOKUP($CI68,付与!$1:$1176,COLUMN($CK$1),FALSE)),"")</f>
        <v>100</v>
      </c>
      <c r="CO68" t="str">
        <f>VLOOKUP(D68,素材!$A:$O,COLUMN(素材!O$1),FALSE)</f>
        <v>一般的な木材。金属より軽いが少し脆い</v>
      </c>
      <c r="CP68" t="str">
        <f>VLOOKUP(C68,装備品!$A:$AB,COLUMN(装備品!AB$1),FALSE)</f>
        <v/>
      </c>
      <c r="CR68" t="str">
        <f t="shared" si="9"/>
        <v>e_68</v>
      </c>
      <c r="CS68">
        <f t="shared" ref="CS68:CS138" si="10">CN68*100</f>
        <v>10000</v>
      </c>
    </row>
    <row r="69" spans="1:97" outlineLevel="1" x14ac:dyDescent="0.4">
      <c r="A69" t="str">
        <f t="shared" si="6"/>
        <v>木の射出弓</v>
      </c>
      <c r="B69" t="str">
        <f>IFERROR(VLOOKUP($D69,素材!$1:$1016,COLUMN($B$1),FALSE)&amp;"・"&amp;VLOOKUP($C69,装備品!$1:$998,COLUMN(B$1),FALSE),"")</f>
        <v>ウッド・クロスボウ</v>
      </c>
      <c r="C69" t="s">
        <v>212</v>
      </c>
      <c r="D69" s="24" t="s">
        <v>254</v>
      </c>
      <c r="E69" t="str">
        <f>IFERROR(VLOOKUP(C69,装備品!$1:$998,COLUMN(C$1),FALSE),"")</f>
        <v>銃</v>
      </c>
      <c r="F69">
        <f>IFERROR(ROUNDDOWN((VLOOKUP($C69,装備品!$1:$998,COLUMN(D$1),FALSE)+IFERROR(VLOOKUP($CI69,付与!$1:$1167,COLUMN(F$1),FALSE),0))*VLOOKUP($D69,素材!$1:$1016,COLUMN(D$1),FALSE),0),"")</f>
        <v>75</v>
      </c>
      <c r="G69">
        <f>IFERROR(ROUNDDOWN((VLOOKUP($C69,装備品!$1:$998,COLUMN(E$1),FALSE)+IFERROR(VLOOKUP($CI69,付与!$1:$1167,COLUMN(G$1),FALSE),0))*VLOOKUP($D69,素材!$1:$1016,COLUMN($E$1),FALSE),0),"")</f>
        <v>0</v>
      </c>
      <c r="H69">
        <f>IFERROR(ROUNDDOWN((VLOOKUP($C69,装備品!$1:$998,COLUMN(F$1),FALSE)+IFERROR(VLOOKUP($CI69,付与!$1:$1167,COLUMN(H$1),FALSE),0))*VLOOKUP($D69,素材!$1:$1016,COLUMN($E$1),FALSE),0),"")</f>
        <v>0</v>
      </c>
      <c r="I69">
        <f>IFERROR(ROUNDDOWN((VLOOKUP($C69,装備品!$1:$998,COLUMN(G$1),FALSE)+IFERROR(VLOOKUP($CI69,付与!$1:$1167,COLUMN(I$1),FALSE),0))*VLOOKUP($D69,素材!$1:$1016,COLUMN($E$1),FALSE),0),"")</f>
        <v>0</v>
      </c>
      <c r="J69">
        <f>IFERROR(ROUNDDOWN((VLOOKUP($C69,装備品!$1:$998,COLUMN(H$1),FALSE)+IFERROR(VLOOKUP($CI69,付与!$1:$1167,COLUMN(J$1),FALSE),0))*VLOOKUP($D69,素材!$1:$1016,COLUMN($E$1),FALSE),0),"")</f>
        <v>0</v>
      </c>
      <c r="K69">
        <f>IFERROR(ROUNDDOWN((VLOOKUP($C69,装備品!$1:$998,COLUMN(I$1),FALSE)+IFERROR(VLOOKUP($CI69,付与!$1:$1167,COLUMN(K$1),FALSE),0))*VLOOKUP($D69,素材!$1:$1016,COLUMN($E$1),FALSE),0),"")</f>
        <v>58</v>
      </c>
      <c r="L69">
        <f>IFERROR(VLOOKUP($D69,素材!$1:$1016,COLUMN($F$1),FALSE),"")</f>
        <v>0</v>
      </c>
      <c r="M69">
        <f>IFERROR(VLOOKUP($C69,装備品!$1:$998,COLUMN(AA$1),FALSE)*VLOOKUP($D69,素材!$1:$1016,COLUMN($G$1),FALSE),"")</f>
        <v>0</v>
      </c>
      <c r="N69">
        <f>IFERROR(VLOOKUP($C69,装備品!$1:$998,COLUMN(I$1),FALSE),"")</f>
        <v>3.9</v>
      </c>
      <c r="O69" s="23">
        <f>IFERROR((VLOOKUP($C69,装備品!$1:$998,COLUMN(K$1),FALSE)+VLOOKUP($D69,素材!$1:$1016,COLUMN(H$1),FALSE))*100+IFERROR(VLOOKUP($CI69,付与!$1:$1167,COLUMN(O$1),FALSE),0),"")</f>
        <v>10</v>
      </c>
      <c r="P69" s="23">
        <f>IFERROR((VLOOKUP($C69,装備品!$1:$998,COLUMN(L$1),FALSE)+VLOOKUP($D69,素材!$1:$1016,COLUMN(I$1),FALSE))*100+IFERROR(VLOOKUP($CI69,付与!$1:$1167,COLUMN(P$1),FALSE),0),"")</f>
        <v>150</v>
      </c>
      <c r="Q69">
        <f>IFERROR(ROUNDUP(VLOOKUP($C69,装備品!$1:$998,COLUMN(M$1),FALSE)*(VLOOKUP($D69,素材!$1:$1002,COLUMN(D$1),FALSE)/100),1),"")</f>
        <v>0</v>
      </c>
      <c r="R69">
        <f>IFERROR(ROUNDUP(VLOOKUP($C69,装備品!$1:$998,COLUMN(N$1),FALSE)*(VLOOKUP($D69,素材!$1:$1002,COLUMN(D$1),FALSE)/100),1),"")</f>
        <v>-11.299999999999999</v>
      </c>
      <c r="S69">
        <f>IFERROR(VLOOKUP($C69,装備品!$1:$998,COLUMN(P$1),FALSE),"")</f>
        <v>0</v>
      </c>
      <c r="T69">
        <f>IFERROR(VLOOKUP($C69,装備品!$1:$998,COLUMN(Q$1),FALSE),"")</f>
        <v>0</v>
      </c>
      <c r="U69">
        <f>IFERROR(VLOOKUP($C69,装備品!$1:$998,COLUMN(R$1),FALSE),"")</f>
        <v>0</v>
      </c>
      <c r="V69">
        <f>IFERROR(VLOOKUP($C69,装備品!$1:$998,COLUMN(Q$1),FALSE),"")</f>
        <v>0</v>
      </c>
      <c r="W69">
        <f>IFERROR(VLOOKUP($C69,装備品!$1:$998,COLUMN(T$1),FALSE),"")</f>
        <v>0</v>
      </c>
      <c r="Y69">
        <f>IFERROR(VLOOKUP($C69,装備品!$1:$998,COLUMN(U$1),FALSE),"")</f>
        <v>0</v>
      </c>
      <c r="Z69">
        <f>IFERROR(ROUNDUP(VLOOKUP($C69,装備品!$1:$998,COLUMN(O$1),FALSE)*VLOOKUP($D69,素材!$1:$1016,COLUMN(E$1),FALSE),1),"")</f>
        <v>0</v>
      </c>
      <c r="AA69">
        <f>IF(ISNUMBER(SEARCH(SUBSTITUTE(AA$1,RIGHT(AA$1,2),""),VLOOKUP($D69,素材!$1:$1016,COLUMN($F$1),FALSE))),VLOOKUP($C69,装備品!$1:$998,COLUMN($O$1),FALSE)*VLOOKUP($D69,素材!$1:$1016,COLUMN($E$1),FALSE)/(LEN(VLOOKUP($D69,素材!$1:$1016,COLUMN($F$1),FALSE))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B69">
        <f>IF(ISNUMBER(SEARCH(SUBSTITUTE(AB$1,RIGHT(AB$1,2),""),VLOOKUP($D69,素材!$1:$1016,COLUMN($F$1),FALSE))),VLOOKUP($C69,装備品!$1:$998,COLUMN($O$1),FALSE)*VLOOKUP($D69,素材!$1:$1016,COLUMN($E$1),FALSE)/(LEN(VLOOKUP($D69,素材!$1:$1016,COLUMN($F$1),FALSE))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C69">
        <f>IF(ISNUMBER(SEARCH(SUBSTITUTE(AC$1,RIGHT(AC$1,2),""),VLOOKUP($D69,素材!$1:$1016,COLUMN($F$1),FALSE))),VLOOKUP($C69,装備品!$1:$998,COLUMN($O$1),FALSE)*VLOOKUP($D69,素材!$1:$1016,COLUMN($E$1),FALSE)/(LEN(VLOOKUP($D69,素材!$1:$1016,COLUMN($F$1),FALSE))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D69">
        <f>IF(ISNUMBER(SEARCH(SUBSTITUTE(AD$1,RIGHT(AD$1,2),""),VLOOKUP($D69,素材!$1:$1016,COLUMN($F$1),FALSE))),VLOOKUP($C69,装備品!$1:$998,COLUMN($O$1),FALSE)*VLOOKUP($D69,素材!$1:$1016,COLUMN($E$1),FALSE)/(LEN(VLOOKUP($D69,素材!$1:$1016,COLUMN($F$1),FALSE))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E69">
        <f>IF(ISNUMBER(SEARCH(SUBSTITUTE(AE$1,RIGHT(AE$1,2),""),VLOOKUP($D69,素材!$1:$1016,COLUMN($F$1),FALSE))),VLOOKUP($C69,装備品!$1:$998,COLUMN($O$1),FALSE)*VLOOKUP($D69,素材!$1:$1016,COLUMN($E$1),FALSE)/(LEN(VLOOKUP($D69,素材!$1:$1016,COLUMN($F$1),FALSE))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F69">
        <f>IF(ISNUMBER(SEARCH(SUBSTITUTE(AF$1,RIGHT(AF$1,2),""),VLOOKUP($D69,素材!$1:$1016,COLUMN($F$1),FALSE))),VLOOKUP($C69,装備品!$1:$998,COLUMN($O$1),FALSE)*VLOOKUP($D69,素材!$1:$1016,COLUMN($E$1),FALSE)/(LEN(VLOOKUP($D69,素材!$1:$1016,COLUMN($F$1),FALSE))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G69">
        <f>IF(ISNUMBER(SEARCH(SUBSTITUTE(AG$1,RIGHT(AG$1,2),""),VLOOKUP($D69,素材!$1:$1016,COLUMN($F$1),FALSE))),VLOOKUP($C69,装備品!$1:$998,COLUMN($O$1),FALSE)*VLOOKUP($D69,素材!$1:$1016,COLUMN($E$1),FALSE)/(LEN(VLOOKUP($D69,素材!$1:$1016,COLUMN($F$1),FALSE))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H69">
        <f>IF(ISNUMBER(SEARCH(SUBSTITUTE(AH$1,RIGHT(AH$1,2),""),VLOOKUP($D69,素材!$1:$1016,COLUMN($F$1),FALSE))),VLOOKUP($C69,装備品!$1:$998,COLUMN($O$1),FALSE)*VLOOKUP($D69,素材!$1:$1016,COLUMN($E$1),FALSE)/(LEN(VLOOKUP($D69,素材!$1:$1016,COLUMN($F$1),FALSE))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I69">
        <f>IF(ISNUMBER(SEARCH(SUBSTITUTE(AI$1,RIGHT(AI$1,2),""),VLOOKUP($D69,素材!$1:$1016,COLUMN($F$1),FALSE))),VLOOKUP($C69,装備品!$1:$998,COLUMN($O$1),FALSE)*VLOOKUP($D69,素材!$1:$1016,COLUMN($E$1),FALSE)/(LEN(VLOOKUP($D69,素材!$1:$1016,COLUMN($F$1),FALSE))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J69">
        <f>IF(ISNUMBER(SEARCH(SUBSTITUTE(AJ$1,RIGHT(AJ$1,2),""),VLOOKUP($D69,素材!$1:$1016,COLUMN($F$1),FALSE))),VLOOKUP($C69,装備品!$1:$998,COLUMN($O$1),FALSE)*VLOOKUP($D69,素材!$1:$1016,COLUMN($E$1),FALSE)/(LEN(VLOOKUP($D69,素材!$1:$1016,COLUMN($F$1),FALSE))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K69">
        <f>IF(ISNUMBER(SEARCH(SUBSTITUTE(AK$1,RIGHT(AK$1,2),""),VLOOKUP($D69,素材!$1:$1016,COLUMN($F$1),FALSE))),VLOOKUP($C69,装備品!$1:$998,COLUMN($O$1),FALSE)*VLOOKUP($D69,素材!$1:$1016,COLUMN($E$1),FALSE)/(LEN(VLOOKUP($D69,素材!$1:$1016,COLUMN($F$1),FALSE))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L69">
        <f>IF(ISNUMBER(SEARCH(SUBSTITUTE(AL$1,RIGHT(AL$1,2),""),VLOOKUP($D69,素材!$1:$1016,COLUMN($F$1),FALSE))),VLOOKUP($C69,装備品!$1:$998,COLUMN($O$1),FALSE)*VLOOKUP($D69,素材!$1:$1016,COLUMN($E$1),FALSE)/(LEN(VLOOKUP($D69,素材!$1:$1016,COLUMN($F$1),FALSE))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M69">
        <f>IF(ISNUMBER(SEARCH(SUBSTITUTE(AM$1,RIGHT(AM$1,2),""),VLOOKUP($D69,素材!$1:$1016,COLUMN($F$1),FALSE))),VLOOKUP($C69,装備品!$1:$998,COLUMN($O$1),FALSE)*VLOOKUP($D69,素材!$1:$1016,COLUMN($E$1),FALSE)/(LEN(VLOOKUP($D69,素材!$1:$1016,COLUMN($F$1),FALSE))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N69">
        <f>IF(ISNUMBER(SEARCH(SUBSTITUTE(AN$1,RIGHT(AN$1,2),""),VLOOKUP($D69,素材!$1:$1016,COLUMN($F$1),FALSE))),VLOOKUP($C69,装備品!$1:$998,COLUMN($O$1),FALSE)*VLOOKUP($D69,素材!$1:$1016,COLUMN($E$1),FALSE)/(LEN(VLOOKUP($D69,素材!$1:$1016,COLUMN($F$1),FALSE))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O69">
        <f>IF(ISNUMBER(SEARCH(SUBSTITUTE(AO$1,RIGHT(AO$1,2),""),VLOOKUP($D69,素材!$1:$1016,COLUMN($F$1),FALSE))),VLOOKUP($C69,装備品!$1:$998,COLUMN($O$1),FALSE)*VLOOKUP($D69,素材!$1:$1016,COLUMN($E$1),FALSE)/(LEN(VLOOKUP($D69,素材!$1:$1016,COLUMN($F$1),FALSE))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P69">
        <f>IF(ISNUMBER(SEARCH(SUBSTITUTE(AP$1,RIGHT(AP$1,2),""),VLOOKUP($D69,素材!$1:$1016,COLUMN($F$1),FALSE))),VLOOKUP($C69,装備品!$1:$998,COLUMN($O$1),FALSE)*VLOOKUP($D69,素材!$1:$1016,COLUMN($E$1),FALSE)/(LEN(VLOOKUP($D69,素材!$1:$1016,COLUMN($F$1),FALSE))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Q69">
        <f>IF(ISNUMBER(SEARCH(SUBSTITUTE(AQ$1,RIGHT(AQ$1,2),""),VLOOKUP($D69,素材!$1:$1016,COLUMN($F$1),FALSE))),VLOOKUP($C69,装備品!$1:$998,COLUMN($O$1),FALSE)*VLOOKUP($D69,素材!$1:$1016,COLUMN($E$1),FALSE)/(LEN(VLOOKUP($D69,素材!$1:$1016,COLUMN($F$1),FALSE))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R69">
        <f>IF(ISNUMBER(SEARCH(SUBSTITUTE(AR$1,RIGHT(AR$1,2),""),VLOOKUP($D69,素材!$1:$1016,COLUMN($F$1),FALSE))),VLOOKUP($C69,装備品!$1:$998,COLUMN($O$1),FALSE)*VLOOKUP($D69,素材!$1:$1016,COLUMN($E$1),FALSE)/(LEN(VLOOKUP($D69,素材!$1:$1016,COLUMN($F$1),FALSE))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S69">
        <f>IF(ISNUMBER(SEARCH(SUBSTITUTE(AS$1,RIGHT(AS$1,2),""),VLOOKUP($D69,素材!$1:$1016,COLUMN($F$1),FALSE))),VLOOKUP($C69,装備品!$1:$998,COLUMN($O$1),FALSE)*VLOOKUP($D69,素材!$1:$1016,COLUMN($E$1),FALSE)/(LEN(VLOOKUP($D69,素材!$1:$1016,COLUMN($F$1),FALSE))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T69">
        <f>IF(ISNUMBER(SEARCH(SUBSTITUTE(AT$1,RIGHT(AT$1,2),""),VLOOKUP($D69,素材!$1:$1016,COLUMN($F$1),FALSE))),VLOOKUP($C69,装備品!$1:$998,COLUMN($O$1),FALSE)*VLOOKUP($D69,素材!$1:$1016,COLUMN($E$1),FALSE)/(LEN(VLOOKUP($D69,素材!$1:$1016,COLUMN($F$1),FALSE))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U69">
        <f>IF(ISNUMBER(SEARCH(SUBSTITUTE(AU$1,RIGHT(AU$1,2),""),VLOOKUP($D69,素材!$1:$1016,COLUMN($F$1),FALSE))),VLOOKUP($C69,装備品!$1:$998,COLUMN($O$1),FALSE)*VLOOKUP($D69,素材!$1:$1016,COLUMN($E$1),FALSE)/(LEN(VLOOKUP($D69,素材!$1:$1016,COLUMN($F$1),FALSE))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V69">
        <f>IF(ISNUMBER(SEARCH(SUBSTITUTE(AV$1,RIGHT(AV$1,2),""),VLOOKUP($D69,素材!$1:$1016,COLUMN($F$1),FALSE))),VLOOKUP($C69,装備品!$1:$998,COLUMN($O$1),FALSE)*VLOOKUP($D69,素材!$1:$1016,COLUMN($E$1),FALSE)/(LEN(VLOOKUP($D69,素材!$1:$1016,COLUMN($F$1),FALSE))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W69">
        <f>IF(ISNUMBER(SEARCH(SUBSTITUTE(AW$1,RIGHT(AW$1,2),""),VLOOKUP($D69,素材!$1:$1016,COLUMN($F$1),FALSE))),VLOOKUP($C69,装備品!$1:$998,COLUMN($O$1),FALSE)*VLOOKUP($D69,素材!$1:$1016,COLUMN($E$1),FALSE)/(LEN(VLOOKUP($D69,素材!$1:$1016,COLUMN($F$1),FALSE))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X69">
        <f>IF(ISNUMBER(SEARCH(SUBSTITUTE(AX$1,RIGHT(AX$1,2),""),VLOOKUP($D69,素材!$1:$1016,COLUMN($F$1),FALSE))),VLOOKUP($C69,装備品!$1:$998,COLUMN($O$1),FALSE)*VLOOKUP($D69,素材!$1:$1016,COLUMN($E$1),FALSE)/(LEN(VLOOKUP($D69,素材!$1:$1016,COLUMN($F$1),FALSE))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Y69">
        <f>IF(ISNUMBER(SEARCH(SUBSTITUTE(AY$1,RIGHT(AY$1,2),""),VLOOKUP($D69,素材!$1:$1016,COLUMN($F$1),FALSE))),VLOOKUP($C69,装備品!$1:$998,COLUMN($O$1),FALSE)*VLOOKUP($D69,素材!$1:$1016,COLUMN($E$1),FALSE)/(LEN(VLOOKUP($D69,素材!$1:$1016,COLUMN($F$1),FALSE))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Z69">
        <f>IF(ISNUMBER(SEARCH(SUBSTITUTE(AZ$1,RIGHT(AZ$1,2),""),VLOOKUP($D69,素材!$1:$1016,COLUMN($F$1),FALSE))),VLOOKUP($C69,装備品!$1:$998,COLUMN($O$1),FALSE)*VLOOKUP($D69,素材!$1:$1016,COLUMN($E$1),FALSE)/(LEN(VLOOKUP($D69,素材!$1:$1016,COLUMN($F$1),FALSE))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BA69">
        <f>IF(ISNUMBER(SEARCH(SUBSTITUTE(BA$1,RIGHT(BA$1,2),""),VLOOKUP($D69,素材!$1:$1016,COLUMN($F$1),FALSE))),VLOOKUP($C69,装備品!$1:$998,COLUMN($O$1),FALSE)*VLOOKUP($D69,素材!$1:$1016,COLUMN($E$1),FALSE)/(LEN(VLOOKUP($D69,素材!$1:$1016,COLUMN($F$1),FALSE))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BB69">
        <f>IF(ISNUMBER(SEARCH(SUBSTITUTE(BB$1,RIGHT(BB$1,2),""),VLOOKUP($D69,素材!$1:$1016,COLUMN($F$1),FALSE))),VLOOKUP($C69,装備品!$1:$998,COLUMN($O$1),FALSE)*VLOOKUP($D69,素材!$1:$1016,COLUMN($E$1),FALSE)/(LEN(VLOOKUP($D69,素材!$1:$1016,COLUMN($F$1),FALSE))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BC69">
        <f>IF(ISNUMBER(SEARCH(SUBSTITUTE(BC$1,RIGHT(BC$1,2),""),VLOOKUP($D69,素材!$1:$1016,COLUMN($F$1),FALSE))),VLOOKUP($C69,装備品!$1:$998,COLUMN($O$1),FALSE)*VLOOKUP($D69,素材!$1:$1016,COLUMN($E$1),FALSE)/(LEN(VLOOKUP($D69,素材!$1:$1016,COLUMN($F$1),FALSE))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BD69">
        <f>IF(ISNUMBER(SEARCH(SUBSTITUTE(BD$1,RIGHT(BD$1,2),""),VLOOKUP($D69,素材!$1:$1016,COLUMN($F$1),FALSE))),VLOOKUP($C69,装備品!$1:$998,COLUMN($O$1),FALSE)*VLOOKUP($D69,素材!$1:$1016,COLUMN($E$1),FALSE)/(LEN(VLOOKUP($D69,素材!$1:$1016,COLUMN($F$1),FALSE))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BE69">
        <f>IF(ISNUMBER(SEARCH(SUBSTITUTE(BE$1,RIGHT(BE$1,2),""),VLOOKUP($D69,素材!$1:$1016,COLUMN($F$1),FALSE))),VLOOKUP($C69,装備品!$1:$998,COLUMN($O$1),FALSE)*VLOOKUP($D69,素材!$1:$1016,COLUMN($E$1),FALSE)/(LEN(VLOOKUP($D69,素材!$1:$1016,COLUMN($F$1),FALSE))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CL69">
        <f t="shared" si="7"/>
        <v>0</v>
      </c>
      <c r="CM69" s="22" t="str">
        <f t="shared" si="8"/>
        <v>銃.webp</v>
      </c>
      <c r="CN69">
        <f>IFERROR(VLOOKUP($C69,装備品!$1:$998,COLUMN(V$1),FALSE)*VLOOKUP($D69,素材!$1:$1016,COLUMN(N$1),FALSE)+IF(CI69="",0,VLOOKUP($CI69,付与!$1:$1176,COLUMN($CK$1),FALSE)),"")</f>
        <v>100</v>
      </c>
      <c r="CO69" t="str">
        <f>VLOOKUP(D69,素材!$A:$O,COLUMN(素材!O$1),FALSE)</f>
        <v>一般的な木材。金属より軽いが少し脆い</v>
      </c>
      <c r="CP69" t="str">
        <f>VLOOKUP(C69,装備品!$A:$AB,COLUMN(装備品!AB$1),FALSE)</f>
        <v/>
      </c>
      <c r="CR69" t="str">
        <f t="shared" si="9"/>
        <v>e_69</v>
      </c>
      <c r="CS69">
        <f t="shared" si="10"/>
        <v>10000</v>
      </c>
    </row>
    <row r="70" spans="1:97" outlineLevel="1" x14ac:dyDescent="0.4">
      <c r="A70" t="str">
        <f t="shared" si="6"/>
        <v>木の回転式拳銃</v>
      </c>
      <c r="B70" t="str">
        <f>IFERROR(VLOOKUP($D70,素材!$1:$1016,COLUMN($B$1),FALSE)&amp;"・"&amp;VLOOKUP($C70,装備品!$1:$998,COLUMN(B$1),FALSE),"")</f>
        <v>ウッド・リボルバー</v>
      </c>
      <c r="C70" t="s">
        <v>211</v>
      </c>
      <c r="D70" s="24" t="s">
        <v>254</v>
      </c>
      <c r="E70" t="str">
        <f>IFERROR(VLOOKUP(C70,装備品!$1:$998,COLUMN(C$1),FALSE),"")</f>
        <v>銃</v>
      </c>
      <c r="F70">
        <f>IFERROR(ROUNDDOWN((VLOOKUP($C70,装備品!$1:$998,COLUMN(D$1),FALSE)+IFERROR(VLOOKUP($CI70,付与!$1:$1167,COLUMN(F$1),FALSE),0))*VLOOKUP($D70,素材!$1:$1016,COLUMN(D$1),FALSE),0),"")</f>
        <v>75</v>
      </c>
      <c r="G70">
        <f>IFERROR(ROUNDDOWN((VLOOKUP($C70,装備品!$1:$998,COLUMN(E$1),FALSE)+IFERROR(VLOOKUP($CI70,付与!$1:$1167,COLUMN(G$1),FALSE),0))*VLOOKUP($D70,素材!$1:$1016,COLUMN($E$1),FALSE),0),"")</f>
        <v>0</v>
      </c>
      <c r="H70">
        <f>IFERROR(ROUNDDOWN((VLOOKUP($C70,装備品!$1:$998,COLUMN(F$1),FALSE)+IFERROR(VLOOKUP($CI70,付与!$1:$1167,COLUMN(H$1),FALSE),0))*VLOOKUP($D70,素材!$1:$1016,COLUMN($E$1),FALSE),0),"")</f>
        <v>0</v>
      </c>
      <c r="I70">
        <f>IFERROR(ROUNDDOWN((VLOOKUP($C70,装備品!$1:$998,COLUMN(G$1),FALSE)+IFERROR(VLOOKUP($CI70,付与!$1:$1167,COLUMN(I$1),FALSE),0))*VLOOKUP($D70,素材!$1:$1016,COLUMN($E$1),FALSE),0),"")</f>
        <v>0</v>
      </c>
      <c r="J70">
        <f>IFERROR(ROUNDDOWN((VLOOKUP($C70,装備品!$1:$998,COLUMN(H$1),FALSE)+IFERROR(VLOOKUP($CI70,付与!$1:$1167,COLUMN(J$1),FALSE),0))*VLOOKUP($D70,素材!$1:$1016,COLUMN($E$1),FALSE),0),"")</f>
        <v>0</v>
      </c>
      <c r="K70">
        <f>IFERROR(ROUNDDOWN((VLOOKUP($C70,装備品!$1:$998,COLUMN(I$1),FALSE)+IFERROR(VLOOKUP($CI70,付与!$1:$1167,COLUMN(K$1),FALSE),0))*VLOOKUP($D70,素材!$1:$1016,COLUMN($E$1),FALSE),0),"")</f>
        <v>38</v>
      </c>
      <c r="L70">
        <f>IFERROR(VLOOKUP($D70,素材!$1:$1016,COLUMN($F$1),FALSE),"")</f>
        <v>0</v>
      </c>
      <c r="M70">
        <f>IFERROR(VLOOKUP($C70,装備品!$1:$998,COLUMN(AA$1),FALSE)*VLOOKUP($D70,素材!$1:$1016,COLUMN($G$1),FALSE),"")</f>
        <v>0</v>
      </c>
      <c r="N70">
        <f>IFERROR(VLOOKUP($C70,装備品!$1:$998,COLUMN(I$1),FALSE),"")</f>
        <v>2.5700000000000003</v>
      </c>
      <c r="O70" s="23">
        <f>IFERROR((VLOOKUP($C70,装備品!$1:$998,COLUMN(K$1),FALSE)+VLOOKUP($D70,素材!$1:$1016,COLUMN(H$1),FALSE))*100+IFERROR(VLOOKUP($CI70,付与!$1:$1167,COLUMN(O$1),FALSE),0),"")</f>
        <v>10</v>
      </c>
      <c r="P70" s="23">
        <f>IFERROR((VLOOKUP($C70,装備品!$1:$998,COLUMN(L$1),FALSE)+VLOOKUP($D70,素材!$1:$1016,COLUMN(I$1),FALSE))*100+IFERROR(VLOOKUP($CI70,付与!$1:$1167,COLUMN(P$1),FALSE),0),"")</f>
        <v>140</v>
      </c>
      <c r="Q70">
        <f>IFERROR(ROUNDUP(VLOOKUP($C70,装備品!$1:$998,COLUMN(M$1),FALSE)*(VLOOKUP($D70,素材!$1:$1002,COLUMN(D$1),FALSE)/100),1),"")</f>
        <v>0</v>
      </c>
      <c r="R70">
        <f>IFERROR(ROUNDUP(VLOOKUP($C70,装備品!$1:$998,COLUMN(N$1),FALSE)*(VLOOKUP($D70,素材!$1:$1002,COLUMN(D$1),FALSE)/100),1),"")</f>
        <v>-18.8</v>
      </c>
      <c r="S70">
        <f>IFERROR(VLOOKUP($C70,装備品!$1:$998,COLUMN(P$1),FALSE),"")</f>
        <v>0</v>
      </c>
      <c r="T70">
        <f>IFERROR(VLOOKUP($C70,装備品!$1:$998,COLUMN(Q$1),FALSE),"")</f>
        <v>0</v>
      </c>
      <c r="U70">
        <f>IFERROR(VLOOKUP($C70,装備品!$1:$998,COLUMN(R$1),FALSE),"")</f>
        <v>0</v>
      </c>
      <c r="V70">
        <f>IFERROR(VLOOKUP($C70,装備品!$1:$998,COLUMN(Q$1),FALSE),"")</f>
        <v>0</v>
      </c>
      <c r="W70">
        <f>IFERROR(VLOOKUP($C70,装備品!$1:$998,COLUMN(T$1),FALSE),"")</f>
        <v>0</v>
      </c>
      <c r="Y70">
        <f>IFERROR(VLOOKUP($C70,装備品!$1:$998,COLUMN(U$1),FALSE),"")</f>
        <v>0</v>
      </c>
      <c r="Z70">
        <f>IFERROR(ROUNDUP(VLOOKUP($C70,装備品!$1:$998,COLUMN(O$1),FALSE)*VLOOKUP($D70,素材!$1:$1016,COLUMN(E$1),FALSE),1),"")</f>
        <v>0</v>
      </c>
      <c r="AA70">
        <f>IF(ISNUMBER(SEARCH(SUBSTITUTE(AA$1,RIGHT(AA$1,2),""),VLOOKUP($D70,素材!$1:$1016,COLUMN($F$1),FALSE))),VLOOKUP($C70,装備品!$1:$998,COLUMN($O$1),FALSE)*VLOOKUP($D70,素材!$1:$1016,COLUMN($E$1),FALSE)/(LEN(VLOOKUP($D70,素材!$1:$1016,COLUMN($F$1),FALSE))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B70">
        <f>IF(ISNUMBER(SEARCH(SUBSTITUTE(AB$1,RIGHT(AB$1,2),""),VLOOKUP($D70,素材!$1:$1016,COLUMN($F$1),FALSE))),VLOOKUP($C70,装備品!$1:$998,COLUMN($O$1),FALSE)*VLOOKUP($D70,素材!$1:$1016,COLUMN($E$1),FALSE)/(LEN(VLOOKUP($D70,素材!$1:$1016,COLUMN($F$1),FALSE))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C70">
        <f>IF(ISNUMBER(SEARCH(SUBSTITUTE(AC$1,RIGHT(AC$1,2),""),VLOOKUP($D70,素材!$1:$1016,COLUMN($F$1),FALSE))),VLOOKUP($C70,装備品!$1:$998,COLUMN($O$1),FALSE)*VLOOKUP($D70,素材!$1:$1016,COLUMN($E$1),FALSE)/(LEN(VLOOKUP($D70,素材!$1:$1016,COLUMN($F$1),FALSE))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D70">
        <f>IF(ISNUMBER(SEARCH(SUBSTITUTE(AD$1,RIGHT(AD$1,2),""),VLOOKUP($D70,素材!$1:$1016,COLUMN($F$1),FALSE))),VLOOKUP($C70,装備品!$1:$998,COLUMN($O$1),FALSE)*VLOOKUP($D70,素材!$1:$1016,COLUMN($E$1),FALSE)/(LEN(VLOOKUP($D70,素材!$1:$1016,COLUMN($F$1),FALSE))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E70">
        <f>IF(ISNUMBER(SEARCH(SUBSTITUTE(AE$1,RIGHT(AE$1,2),""),VLOOKUP($D70,素材!$1:$1016,COLUMN($F$1),FALSE))),VLOOKUP($C70,装備品!$1:$998,COLUMN($O$1),FALSE)*VLOOKUP($D70,素材!$1:$1016,COLUMN($E$1),FALSE)/(LEN(VLOOKUP($D70,素材!$1:$1016,COLUMN($F$1),FALSE))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F70">
        <f>IF(ISNUMBER(SEARCH(SUBSTITUTE(AF$1,RIGHT(AF$1,2),""),VLOOKUP($D70,素材!$1:$1016,COLUMN($F$1),FALSE))),VLOOKUP($C70,装備品!$1:$998,COLUMN($O$1),FALSE)*VLOOKUP($D70,素材!$1:$1016,COLUMN($E$1),FALSE)/(LEN(VLOOKUP($D70,素材!$1:$1016,COLUMN($F$1),FALSE))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G70">
        <f>IF(ISNUMBER(SEARCH(SUBSTITUTE(AG$1,RIGHT(AG$1,2),""),VLOOKUP($D70,素材!$1:$1016,COLUMN($F$1),FALSE))),VLOOKUP($C70,装備品!$1:$998,COLUMN($O$1),FALSE)*VLOOKUP($D70,素材!$1:$1016,COLUMN($E$1),FALSE)/(LEN(VLOOKUP($D70,素材!$1:$1016,COLUMN($F$1),FALSE))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H70">
        <f>IF(ISNUMBER(SEARCH(SUBSTITUTE(AH$1,RIGHT(AH$1,2),""),VLOOKUP($D70,素材!$1:$1016,COLUMN($F$1),FALSE))),VLOOKUP($C70,装備品!$1:$998,COLUMN($O$1),FALSE)*VLOOKUP($D70,素材!$1:$1016,COLUMN($E$1),FALSE)/(LEN(VLOOKUP($D70,素材!$1:$1016,COLUMN($F$1),FALSE))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I70">
        <f>IF(ISNUMBER(SEARCH(SUBSTITUTE(AI$1,RIGHT(AI$1,2),""),VLOOKUP($D70,素材!$1:$1016,COLUMN($F$1),FALSE))),VLOOKUP($C70,装備品!$1:$998,COLUMN($O$1),FALSE)*VLOOKUP($D70,素材!$1:$1016,COLUMN($E$1),FALSE)/(LEN(VLOOKUP($D70,素材!$1:$1016,COLUMN($F$1),FALSE))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J70">
        <f>IF(ISNUMBER(SEARCH(SUBSTITUTE(AJ$1,RIGHT(AJ$1,2),""),VLOOKUP($D70,素材!$1:$1016,COLUMN($F$1),FALSE))),VLOOKUP($C70,装備品!$1:$998,COLUMN($O$1),FALSE)*VLOOKUP($D70,素材!$1:$1016,COLUMN($E$1),FALSE)/(LEN(VLOOKUP($D70,素材!$1:$1016,COLUMN($F$1),FALSE))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K70">
        <f>IF(ISNUMBER(SEARCH(SUBSTITUTE(AK$1,RIGHT(AK$1,2),""),VLOOKUP($D70,素材!$1:$1016,COLUMN($F$1),FALSE))),VLOOKUP($C70,装備品!$1:$998,COLUMN($O$1),FALSE)*VLOOKUP($D70,素材!$1:$1016,COLUMN($E$1),FALSE)/(LEN(VLOOKUP($D70,素材!$1:$1016,COLUMN($F$1),FALSE))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L70">
        <f>IF(ISNUMBER(SEARCH(SUBSTITUTE(AL$1,RIGHT(AL$1,2),""),VLOOKUP($D70,素材!$1:$1016,COLUMN($F$1),FALSE))),VLOOKUP($C70,装備品!$1:$998,COLUMN($O$1),FALSE)*VLOOKUP($D70,素材!$1:$1016,COLUMN($E$1),FALSE)/(LEN(VLOOKUP($D70,素材!$1:$1016,COLUMN($F$1),FALSE))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M70">
        <f>IF(ISNUMBER(SEARCH(SUBSTITUTE(AM$1,RIGHT(AM$1,2),""),VLOOKUP($D70,素材!$1:$1016,COLUMN($F$1),FALSE))),VLOOKUP($C70,装備品!$1:$998,COLUMN($O$1),FALSE)*VLOOKUP($D70,素材!$1:$1016,COLUMN($E$1),FALSE)/(LEN(VLOOKUP($D70,素材!$1:$1016,COLUMN($F$1),FALSE))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N70">
        <f>IF(ISNUMBER(SEARCH(SUBSTITUTE(AN$1,RIGHT(AN$1,2),""),VLOOKUP($D70,素材!$1:$1016,COLUMN($F$1),FALSE))),VLOOKUP($C70,装備品!$1:$998,COLUMN($O$1),FALSE)*VLOOKUP($D70,素材!$1:$1016,COLUMN($E$1),FALSE)/(LEN(VLOOKUP($D70,素材!$1:$1016,COLUMN($F$1),FALSE))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O70">
        <f>IF(ISNUMBER(SEARCH(SUBSTITUTE(AO$1,RIGHT(AO$1,2),""),VLOOKUP($D70,素材!$1:$1016,COLUMN($F$1),FALSE))),VLOOKUP($C70,装備品!$1:$998,COLUMN($O$1),FALSE)*VLOOKUP($D70,素材!$1:$1016,COLUMN($E$1),FALSE)/(LEN(VLOOKUP($D70,素材!$1:$1016,COLUMN($F$1),FALSE))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P70">
        <f>IF(ISNUMBER(SEARCH(SUBSTITUTE(AP$1,RIGHT(AP$1,2),""),VLOOKUP($D70,素材!$1:$1016,COLUMN($F$1),FALSE))),VLOOKUP($C70,装備品!$1:$998,COLUMN($O$1),FALSE)*VLOOKUP($D70,素材!$1:$1016,COLUMN($E$1),FALSE)/(LEN(VLOOKUP($D70,素材!$1:$1016,COLUMN($F$1),FALSE))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Q70">
        <f>IF(ISNUMBER(SEARCH(SUBSTITUTE(AQ$1,RIGHT(AQ$1,2),""),VLOOKUP($D70,素材!$1:$1016,COLUMN($F$1),FALSE))),VLOOKUP($C70,装備品!$1:$998,COLUMN($O$1),FALSE)*VLOOKUP($D70,素材!$1:$1016,COLUMN($E$1),FALSE)/(LEN(VLOOKUP($D70,素材!$1:$1016,COLUMN($F$1),FALSE))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R70">
        <f>IF(ISNUMBER(SEARCH(SUBSTITUTE(AR$1,RIGHT(AR$1,2),""),VLOOKUP($D70,素材!$1:$1016,COLUMN($F$1),FALSE))),VLOOKUP($C70,装備品!$1:$998,COLUMN($O$1),FALSE)*VLOOKUP($D70,素材!$1:$1016,COLUMN($E$1),FALSE)/(LEN(VLOOKUP($D70,素材!$1:$1016,COLUMN($F$1),FALSE))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S70">
        <f>IF(ISNUMBER(SEARCH(SUBSTITUTE(AS$1,RIGHT(AS$1,2),""),VLOOKUP($D70,素材!$1:$1016,COLUMN($F$1),FALSE))),VLOOKUP($C70,装備品!$1:$998,COLUMN($O$1),FALSE)*VLOOKUP($D70,素材!$1:$1016,COLUMN($E$1),FALSE)/(LEN(VLOOKUP($D70,素材!$1:$1016,COLUMN($F$1),FALSE))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T70">
        <f>IF(ISNUMBER(SEARCH(SUBSTITUTE(AT$1,RIGHT(AT$1,2),""),VLOOKUP($D70,素材!$1:$1016,COLUMN($F$1),FALSE))),VLOOKUP($C70,装備品!$1:$998,COLUMN($O$1),FALSE)*VLOOKUP($D70,素材!$1:$1016,COLUMN($E$1),FALSE)/(LEN(VLOOKUP($D70,素材!$1:$1016,COLUMN($F$1),FALSE))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U70">
        <f>IF(ISNUMBER(SEARCH(SUBSTITUTE(AU$1,RIGHT(AU$1,2),""),VLOOKUP($D70,素材!$1:$1016,COLUMN($F$1),FALSE))),VLOOKUP($C70,装備品!$1:$998,COLUMN($O$1),FALSE)*VLOOKUP($D70,素材!$1:$1016,COLUMN($E$1),FALSE)/(LEN(VLOOKUP($D70,素材!$1:$1016,COLUMN($F$1),FALSE))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V70">
        <f>IF(ISNUMBER(SEARCH(SUBSTITUTE(AV$1,RIGHT(AV$1,2),""),VLOOKUP($D70,素材!$1:$1016,COLUMN($F$1),FALSE))),VLOOKUP($C70,装備品!$1:$998,COLUMN($O$1),FALSE)*VLOOKUP($D70,素材!$1:$1016,COLUMN($E$1),FALSE)/(LEN(VLOOKUP($D70,素材!$1:$1016,COLUMN($F$1),FALSE))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W70">
        <f>IF(ISNUMBER(SEARCH(SUBSTITUTE(AW$1,RIGHT(AW$1,2),""),VLOOKUP($D70,素材!$1:$1016,COLUMN($F$1),FALSE))),VLOOKUP($C70,装備品!$1:$998,COLUMN($O$1),FALSE)*VLOOKUP($D70,素材!$1:$1016,COLUMN($E$1),FALSE)/(LEN(VLOOKUP($D70,素材!$1:$1016,COLUMN($F$1),FALSE))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X70">
        <f>IF(ISNUMBER(SEARCH(SUBSTITUTE(AX$1,RIGHT(AX$1,2),""),VLOOKUP($D70,素材!$1:$1016,COLUMN($F$1),FALSE))),VLOOKUP($C70,装備品!$1:$998,COLUMN($O$1),FALSE)*VLOOKUP($D70,素材!$1:$1016,COLUMN($E$1),FALSE)/(LEN(VLOOKUP($D70,素材!$1:$1016,COLUMN($F$1),FALSE))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Y70">
        <f>IF(ISNUMBER(SEARCH(SUBSTITUTE(AY$1,RIGHT(AY$1,2),""),VLOOKUP($D70,素材!$1:$1016,COLUMN($F$1),FALSE))),VLOOKUP($C70,装備品!$1:$998,COLUMN($O$1),FALSE)*VLOOKUP($D70,素材!$1:$1016,COLUMN($E$1),FALSE)/(LEN(VLOOKUP($D70,素材!$1:$1016,COLUMN($F$1),FALSE))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Z70">
        <f>IF(ISNUMBER(SEARCH(SUBSTITUTE(AZ$1,RIGHT(AZ$1,2),""),VLOOKUP($D70,素材!$1:$1016,COLUMN($F$1),FALSE))),VLOOKUP($C70,装備品!$1:$998,COLUMN($O$1),FALSE)*VLOOKUP($D70,素材!$1:$1016,COLUMN($E$1),FALSE)/(LEN(VLOOKUP($D70,素材!$1:$1016,COLUMN($F$1),FALSE))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BA70">
        <f>IF(ISNUMBER(SEARCH(SUBSTITUTE(BA$1,RIGHT(BA$1,2),""),VLOOKUP($D70,素材!$1:$1016,COLUMN($F$1),FALSE))),VLOOKUP($C70,装備品!$1:$998,COLUMN($O$1),FALSE)*VLOOKUP($D70,素材!$1:$1016,COLUMN($E$1),FALSE)/(LEN(VLOOKUP($D70,素材!$1:$1016,COLUMN($F$1),FALSE))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BB70">
        <f>IF(ISNUMBER(SEARCH(SUBSTITUTE(BB$1,RIGHT(BB$1,2),""),VLOOKUP($D70,素材!$1:$1016,COLUMN($F$1),FALSE))),VLOOKUP($C70,装備品!$1:$998,COLUMN($O$1),FALSE)*VLOOKUP($D70,素材!$1:$1016,COLUMN($E$1),FALSE)/(LEN(VLOOKUP($D70,素材!$1:$1016,COLUMN($F$1),FALSE))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BC70">
        <f>IF(ISNUMBER(SEARCH(SUBSTITUTE(BC$1,RIGHT(BC$1,2),""),VLOOKUP($D70,素材!$1:$1016,COLUMN($F$1),FALSE))),VLOOKUP($C70,装備品!$1:$998,COLUMN($O$1),FALSE)*VLOOKUP($D70,素材!$1:$1016,COLUMN($E$1),FALSE)/(LEN(VLOOKUP($D70,素材!$1:$1016,COLUMN($F$1),FALSE))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BD70">
        <f>IF(ISNUMBER(SEARCH(SUBSTITUTE(BD$1,RIGHT(BD$1,2),""),VLOOKUP($D70,素材!$1:$1016,COLUMN($F$1),FALSE))),VLOOKUP($C70,装備品!$1:$998,COLUMN($O$1),FALSE)*VLOOKUP($D70,素材!$1:$1016,COLUMN($E$1),FALSE)/(LEN(VLOOKUP($D70,素材!$1:$1016,COLUMN($F$1),FALSE))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BE70">
        <f>IF(ISNUMBER(SEARCH(SUBSTITUTE(BE$1,RIGHT(BE$1,2),""),VLOOKUP($D70,素材!$1:$1016,COLUMN($F$1),FALSE))),VLOOKUP($C70,装備品!$1:$998,COLUMN($O$1),FALSE)*VLOOKUP($D70,素材!$1:$1016,COLUMN($E$1),FALSE)/(LEN(VLOOKUP($D70,素材!$1:$1016,COLUMN($F$1),FALSE))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CL70">
        <f t="shared" si="7"/>
        <v>0</v>
      </c>
      <c r="CM70" s="22" t="str">
        <f t="shared" si="8"/>
        <v>銃.webp</v>
      </c>
      <c r="CN70">
        <f>IFERROR(VLOOKUP($C70,装備品!$1:$998,COLUMN(V$1),FALSE)*VLOOKUP($D70,素材!$1:$1016,COLUMN(N$1),FALSE)+IF(CI70="",0,VLOOKUP($CI70,付与!$1:$1176,COLUMN($CK$1),FALSE)),"")</f>
        <v>600</v>
      </c>
      <c r="CO70" t="str">
        <f>VLOOKUP(D70,素材!$A:$O,COLUMN(素材!O$1),FALSE)</f>
        <v>一般的な木材。金属より軽いが少し脆い</v>
      </c>
      <c r="CP70" t="str">
        <f>VLOOKUP(C70,装備品!$A:$AB,COLUMN(装備品!AB$1),FALSE)</f>
        <v/>
      </c>
      <c r="CR70" t="str">
        <f t="shared" si="9"/>
        <v>e_70</v>
      </c>
      <c r="CS70">
        <f t="shared" si="10"/>
        <v>60000</v>
      </c>
    </row>
    <row r="71" spans="1:97" outlineLevel="1" x14ac:dyDescent="0.4">
      <c r="A71" t="str">
        <f t="shared" si="6"/>
        <v>木の拳銃</v>
      </c>
      <c r="B71" t="str">
        <f>IFERROR(VLOOKUP($D71,素材!$1:$1016,COLUMN($B$1),FALSE)&amp;"・"&amp;VLOOKUP($C71,装備品!$1:$998,COLUMN(B$1),FALSE),"")</f>
        <v>ウッド・ハンドガン</v>
      </c>
      <c r="C71" t="s">
        <v>210</v>
      </c>
      <c r="D71" s="24" t="s">
        <v>254</v>
      </c>
      <c r="E71" t="str">
        <f>IFERROR(VLOOKUP(C71,装備品!$1:$998,COLUMN(C$1),FALSE),"")</f>
        <v>銃</v>
      </c>
      <c r="F71">
        <f>IFERROR(ROUNDDOWN((VLOOKUP($C71,装備品!$1:$998,COLUMN(D$1),FALSE)+IFERROR(VLOOKUP($CI71,付与!$1:$1167,COLUMN(F$1),FALSE),0))*VLOOKUP($D71,素材!$1:$1016,COLUMN(D$1),FALSE),0),"")</f>
        <v>75</v>
      </c>
      <c r="G71">
        <f>IFERROR(ROUNDDOWN((VLOOKUP($C71,装備品!$1:$998,COLUMN(E$1),FALSE)+IFERROR(VLOOKUP($CI71,付与!$1:$1167,COLUMN(G$1),FALSE),0))*VLOOKUP($D71,素材!$1:$1016,COLUMN($E$1),FALSE),0),"")</f>
        <v>0</v>
      </c>
      <c r="H71">
        <f>IFERROR(ROUNDDOWN((VLOOKUP($C71,装備品!$1:$998,COLUMN(F$1),FALSE)+IFERROR(VLOOKUP($CI71,付与!$1:$1167,COLUMN(H$1),FALSE),0))*VLOOKUP($D71,素材!$1:$1016,COLUMN($E$1),FALSE),0),"")</f>
        <v>0</v>
      </c>
      <c r="I71">
        <f>IFERROR(ROUNDDOWN((VLOOKUP($C71,装備品!$1:$998,COLUMN(G$1),FALSE)+IFERROR(VLOOKUP($CI71,付与!$1:$1167,COLUMN(I$1),FALSE),0))*VLOOKUP($D71,素材!$1:$1016,COLUMN($E$1),FALSE),0),"")</f>
        <v>0</v>
      </c>
      <c r="J71">
        <f>IFERROR(ROUNDDOWN((VLOOKUP($C71,装備品!$1:$998,COLUMN(H$1),FALSE)+IFERROR(VLOOKUP($CI71,付与!$1:$1167,COLUMN(J$1),FALSE),0))*VLOOKUP($D71,素材!$1:$1016,COLUMN($E$1),FALSE),0),"")</f>
        <v>0</v>
      </c>
      <c r="K71">
        <f>IFERROR(ROUNDDOWN((VLOOKUP($C71,装備品!$1:$998,COLUMN(I$1),FALSE)+IFERROR(VLOOKUP($CI71,付与!$1:$1167,COLUMN(K$1),FALSE),0))*VLOOKUP($D71,素材!$1:$1016,COLUMN($E$1),FALSE),0),"")</f>
        <v>27</v>
      </c>
      <c r="L71">
        <f>IFERROR(VLOOKUP($D71,素材!$1:$1016,COLUMN($F$1),FALSE),"")</f>
        <v>0</v>
      </c>
      <c r="M71">
        <f>IFERROR(VLOOKUP($C71,装備品!$1:$998,COLUMN(AA$1),FALSE)*VLOOKUP($D71,素材!$1:$1016,COLUMN($G$1),FALSE),"")</f>
        <v>0</v>
      </c>
      <c r="N71">
        <f>IFERROR(VLOOKUP($C71,装備品!$1:$998,COLUMN(I$1),FALSE),"")</f>
        <v>1.8</v>
      </c>
      <c r="O71" s="23">
        <f>IFERROR((VLOOKUP($C71,装備品!$1:$998,COLUMN(K$1),FALSE)+VLOOKUP($D71,素材!$1:$1016,COLUMN(H$1),FALSE))*100+IFERROR(VLOOKUP($CI71,付与!$1:$1167,COLUMN(O$1),FALSE),0),"")</f>
        <v>15</v>
      </c>
      <c r="P71" s="23">
        <f>IFERROR((VLOOKUP($C71,装備品!$1:$998,COLUMN(L$1),FALSE)+VLOOKUP($D71,素材!$1:$1016,COLUMN(I$1),FALSE))*100+IFERROR(VLOOKUP($CI71,付与!$1:$1167,COLUMN(P$1),FALSE),0),"")</f>
        <v>175</v>
      </c>
      <c r="Q71">
        <f>IFERROR(ROUNDUP(VLOOKUP($C71,装備品!$1:$998,COLUMN(M$1),FALSE)*(VLOOKUP($D71,素材!$1:$1002,COLUMN(D$1),FALSE)/100),1),"")</f>
        <v>0</v>
      </c>
      <c r="R71">
        <f>IFERROR(ROUNDUP(VLOOKUP($C71,装備品!$1:$998,COLUMN(N$1),FALSE)*(VLOOKUP($D71,素材!$1:$1002,COLUMN(D$1),FALSE)/100),1),"")</f>
        <v>-11.299999999999999</v>
      </c>
      <c r="S71">
        <f>IFERROR(VLOOKUP($C71,装備品!$1:$998,COLUMN(P$1),FALSE),"")</f>
        <v>0</v>
      </c>
      <c r="T71">
        <f>IFERROR(VLOOKUP($C71,装備品!$1:$998,COLUMN(Q$1),FALSE),"")</f>
        <v>0</v>
      </c>
      <c r="U71">
        <f>IFERROR(VLOOKUP($C71,装備品!$1:$998,COLUMN(R$1),FALSE),"")</f>
        <v>0</v>
      </c>
      <c r="V71">
        <f>IFERROR(VLOOKUP($C71,装備品!$1:$998,COLUMN(Q$1),FALSE),"")</f>
        <v>0</v>
      </c>
      <c r="W71">
        <f>IFERROR(VLOOKUP($C71,装備品!$1:$998,COLUMN(T$1),FALSE),"")</f>
        <v>0</v>
      </c>
      <c r="Y71">
        <f>IFERROR(VLOOKUP($C71,装備品!$1:$998,COLUMN(U$1),FALSE),"")</f>
        <v>0</v>
      </c>
      <c r="Z71">
        <f>IFERROR(ROUNDUP(VLOOKUP($C71,装備品!$1:$998,COLUMN(O$1),FALSE)*VLOOKUP($D71,素材!$1:$1016,COLUMN(E$1),FALSE),1),"")</f>
        <v>0</v>
      </c>
      <c r="AA71">
        <f>IF(ISNUMBER(SEARCH(SUBSTITUTE(AA$1,RIGHT(AA$1,2),""),VLOOKUP($D71,素材!$1:$1016,COLUMN($F$1),FALSE))),VLOOKUP($C71,装備品!$1:$998,COLUMN($O$1),FALSE)*VLOOKUP($D71,素材!$1:$1016,COLUMN($E$1),FALSE)/(LEN(VLOOKUP($D71,素材!$1:$1016,COLUMN($F$1),FALSE))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B71">
        <f>IF(ISNUMBER(SEARCH(SUBSTITUTE(AB$1,RIGHT(AB$1,2),""),VLOOKUP($D71,素材!$1:$1016,COLUMN($F$1),FALSE))),VLOOKUP($C71,装備品!$1:$998,COLUMN($O$1),FALSE)*VLOOKUP($D71,素材!$1:$1016,COLUMN($E$1),FALSE)/(LEN(VLOOKUP($D71,素材!$1:$1016,COLUMN($F$1),FALSE))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C71">
        <f>IF(ISNUMBER(SEARCH(SUBSTITUTE(AC$1,RIGHT(AC$1,2),""),VLOOKUP($D71,素材!$1:$1016,COLUMN($F$1),FALSE))),VLOOKUP($C71,装備品!$1:$998,COLUMN($O$1),FALSE)*VLOOKUP($D71,素材!$1:$1016,COLUMN($E$1),FALSE)/(LEN(VLOOKUP($D71,素材!$1:$1016,COLUMN($F$1),FALSE))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D71">
        <f>IF(ISNUMBER(SEARCH(SUBSTITUTE(AD$1,RIGHT(AD$1,2),""),VLOOKUP($D71,素材!$1:$1016,COLUMN($F$1),FALSE))),VLOOKUP($C71,装備品!$1:$998,COLUMN($O$1),FALSE)*VLOOKUP($D71,素材!$1:$1016,COLUMN($E$1),FALSE)/(LEN(VLOOKUP($D71,素材!$1:$1016,COLUMN($F$1),FALSE))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E71">
        <f>IF(ISNUMBER(SEARCH(SUBSTITUTE(AE$1,RIGHT(AE$1,2),""),VLOOKUP($D71,素材!$1:$1016,COLUMN($F$1),FALSE))),VLOOKUP($C71,装備品!$1:$998,COLUMN($O$1),FALSE)*VLOOKUP($D71,素材!$1:$1016,COLUMN($E$1),FALSE)/(LEN(VLOOKUP($D71,素材!$1:$1016,COLUMN($F$1),FALSE))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F71">
        <f>IF(ISNUMBER(SEARCH(SUBSTITUTE(AF$1,RIGHT(AF$1,2),""),VLOOKUP($D71,素材!$1:$1016,COLUMN($F$1),FALSE))),VLOOKUP($C71,装備品!$1:$998,COLUMN($O$1),FALSE)*VLOOKUP($D71,素材!$1:$1016,COLUMN($E$1),FALSE)/(LEN(VLOOKUP($D71,素材!$1:$1016,COLUMN($F$1),FALSE))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G71">
        <f>IF(ISNUMBER(SEARCH(SUBSTITUTE(AG$1,RIGHT(AG$1,2),""),VLOOKUP($D71,素材!$1:$1016,COLUMN($F$1),FALSE))),VLOOKUP($C71,装備品!$1:$998,COLUMN($O$1),FALSE)*VLOOKUP($D71,素材!$1:$1016,COLUMN($E$1),FALSE)/(LEN(VLOOKUP($D71,素材!$1:$1016,COLUMN($F$1),FALSE))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H71">
        <f>IF(ISNUMBER(SEARCH(SUBSTITUTE(AH$1,RIGHT(AH$1,2),""),VLOOKUP($D71,素材!$1:$1016,COLUMN($F$1),FALSE))),VLOOKUP($C71,装備品!$1:$998,COLUMN($O$1),FALSE)*VLOOKUP($D71,素材!$1:$1016,COLUMN($E$1),FALSE)/(LEN(VLOOKUP($D71,素材!$1:$1016,COLUMN($F$1),FALSE))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I71">
        <f>IF(ISNUMBER(SEARCH(SUBSTITUTE(AI$1,RIGHT(AI$1,2),""),VLOOKUP($D71,素材!$1:$1016,COLUMN($F$1),FALSE))),VLOOKUP($C71,装備品!$1:$998,COLUMN($O$1),FALSE)*VLOOKUP($D71,素材!$1:$1016,COLUMN($E$1),FALSE)/(LEN(VLOOKUP($D71,素材!$1:$1016,COLUMN($F$1),FALSE))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J71">
        <f>IF(ISNUMBER(SEARCH(SUBSTITUTE(AJ$1,RIGHT(AJ$1,2),""),VLOOKUP($D71,素材!$1:$1016,COLUMN($F$1),FALSE))),VLOOKUP($C71,装備品!$1:$998,COLUMN($O$1),FALSE)*VLOOKUP($D71,素材!$1:$1016,COLUMN($E$1),FALSE)/(LEN(VLOOKUP($D71,素材!$1:$1016,COLUMN($F$1),FALSE))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K71">
        <f>IF(ISNUMBER(SEARCH(SUBSTITUTE(AK$1,RIGHT(AK$1,2),""),VLOOKUP($D71,素材!$1:$1016,COLUMN($F$1),FALSE))),VLOOKUP($C71,装備品!$1:$998,COLUMN($O$1),FALSE)*VLOOKUP($D71,素材!$1:$1016,COLUMN($E$1),FALSE)/(LEN(VLOOKUP($D71,素材!$1:$1016,COLUMN($F$1),FALSE))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L71">
        <f>IF(ISNUMBER(SEARCH(SUBSTITUTE(AL$1,RIGHT(AL$1,2),""),VLOOKUP($D71,素材!$1:$1016,COLUMN($F$1),FALSE))),VLOOKUP($C71,装備品!$1:$998,COLUMN($O$1),FALSE)*VLOOKUP($D71,素材!$1:$1016,COLUMN($E$1),FALSE)/(LEN(VLOOKUP($D71,素材!$1:$1016,COLUMN($F$1),FALSE))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M71">
        <f>IF(ISNUMBER(SEARCH(SUBSTITUTE(AM$1,RIGHT(AM$1,2),""),VLOOKUP($D71,素材!$1:$1016,COLUMN($F$1),FALSE))),VLOOKUP($C71,装備品!$1:$998,COLUMN($O$1),FALSE)*VLOOKUP($D71,素材!$1:$1016,COLUMN($E$1),FALSE)/(LEN(VLOOKUP($D71,素材!$1:$1016,COLUMN($F$1),FALSE))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N71">
        <f>IF(ISNUMBER(SEARCH(SUBSTITUTE(AN$1,RIGHT(AN$1,2),""),VLOOKUP($D71,素材!$1:$1016,COLUMN($F$1),FALSE))),VLOOKUP($C71,装備品!$1:$998,COLUMN($O$1),FALSE)*VLOOKUP($D71,素材!$1:$1016,COLUMN($E$1),FALSE)/(LEN(VLOOKUP($D71,素材!$1:$1016,COLUMN($F$1),FALSE))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O71">
        <f>IF(ISNUMBER(SEARCH(SUBSTITUTE(AO$1,RIGHT(AO$1,2),""),VLOOKUP($D71,素材!$1:$1016,COLUMN($F$1),FALSE))),VLOOKUP($C71,装備品!$1:$998,COLUMN($O$1),FALSE)*VLOOKUP($D71,素材!$1:$1016,COLUMN($E$1),FALSE)/(LEN(VLOOKUP($D71,素材!$1:$1016,COLUMN($F$1),FALSE))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P71">
        <f>IF(ISNUMBER(SEARCH(SUBSTITUTE(AP$1,RIGHT(AP$1,2),""),VLOOKUP($D71,素材!$1:$1016,COLUMN($F$1),FALSE))),VLOOKUP($C71,装備品!$1:$998,COLUMN($O$1),FALSE)*VLOOKUP($D71,素材!$1:$1016,COLUMN($E$1),FALSE)/(LEN(VLOOKUP($D71,素材!$1:$1016,COLUMN($F$1),FALSE))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Q71">
        <f>IF(ISNUMBER(SEARCH(SUBSTITUTE(AQ$1,RIGHT(AQ$1,2),""),VLOOKUP($D71,素材!$1:$1016,COLUMN($F$1),FALSE))),VLOOKUP($C71,装備品!$1:$998,COLUMN($O$1),FALSE)*VLOOKUP($D71,素材!$1:$1016,COLUMN($E$1),FALSE)/(LEN(VLOOKUP($D71,素材!$1:$1016,COLUMN($F$1),FALSE))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R71">
        <f>IF(ISNUMBER(SEARCH(SUBSTITUTE(AR$1,RIGHT(AR$1,2),""),VLOOKUP($D71,素材!$1:$1016,COLUMN($F$1),FALSE))),VLOOKUP($C71,装備品!$1:$998,COLUMN($O$1),FALSE)*VLOOKUP($D71,素材!$1:$1016,COLUMN($E$1),FALSE)/(LEN(VLOOKUP($D71,素材!$1:$1016,COLUMN($F$1),FALSE))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S71">
        <f>IF(ISNUMBER(SEARCH(SUBSTITUTE(AS$1,RIGHT(AS$1,2),""),VLOOKUP($D71,素材!$1:$1016,COLUMN($F$1),FALSE))),VLOOKUP($C71,装備品!$1:$998,COLUMN($O$1),FALSE)*VLOOKUP($D71,素材!$1:$1016,COLUMN($E$1),FALSE)/(LEN(VLOOKUP($D71,素材!$1:$1016,COLUMN($F$1),FALSE))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T71">
        <f>IF(ISNUMBER(SEARCH(SUBSTITUTE(AT$1,RIGHT(AT$1,2),""),VLOOKUP($D71,素材!$1:$1016,COLUMN($F$1),FALSE))),VLOOKUP($C71,装備品!$1:$998,COLUMN($O$1),FALSE)*VLOOKUP($D71,素材!$1:$1016,COLUMN($E$1),FALSE)/(LEN(VLOOKUP($D71,素材!$1:$1016,COLUMN($F$1),FALSE))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U71">
        <f>IF(ISNUMBER(SEARCH(SUBSTITUTE(AU$1,RIGHT(AU$1,2),""),VLOOKUP($D71,素材!$1:$1016,COLUMN($F$1),FALSE))),VLOOKUP($C71,装備品!$1:$998,COLUMN($O$1),FALSE)*VLOOKUP($D71,素材!$1:$1016,COLUMN($E$1),FALSE)/(LEN(VLOOKUP($D71,素材!$1:$1016,COLUMN($F$1),FALSE))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V71">
        <f>IF(ISNUMBER(SEARCH(SUBSTITUTE(AV$1,RIGHT(AV$1,2),""),VLOOKUP($D71,素材!$1:$1016,COLUMN($F$1),FALSE))),VLOOKUP($C71,装備品!$1:$998,COLUMN($O$1),FALSE)*VLOOKUP($D71,素材!$1:$1016,COLUMN($E$1),FALSE)/(LEN(VLOOKUP($D71,素材!$1:$1016,COLUMN($F$1),FALSE))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W71">
        <f>IF(ISNUMBER(SEARCH(SUBSTITUTE(AW$1,RIGHT(AW$1,2),""),VLOOKUP($D71,素材!$1:$1016,COLUMN($F$1),FALSE))),VLOOKUP($C71,装備品!$1:$998,COLUMN($O$1),FALSE)*VLOOKUP($D71,素材!$1:$1016,COLUMN($E$1),FALSE)/(LEN(VLOOKUP($D71,素材!$1:$1016,COLUMN($F$1),FALSE))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X71">
        <f>IF(ISNUMBER(SEARCH(SUBSTITUTE(AX$1,RIGHT(AX$1,2),""),VLOOKUP($D71,素材!$1:$1016,COLUMN($F$1),FALSE))),VLOOKUP($C71,装備品!$1:$998,COLUMN($O$1),FALSE)*VLOOKUP($D71,素材!$1:$1016,COLUMN($E$1),FALSE)/(LEN(VLOOKUP($D71,素材!$1:$1016,COLUMN($F$1),FALSE))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Y71">
        <f>IF(ISNUMBER(SEARCH(SUBSTITUTE(AY$1,RIGHT(AY$1,2),""),VLOOKUP($D71,素材!$1:$1016,COLUMN($F$1),FALSE))),VLOOKUP($C71,装備品!$1:$998,COLUMN($O$1),FALSE)*VLOOKUP($D71,素材!$1:$1016,COLUMN($E$1),FALSE)/(LEN(VLOOKUP($D71,素材!$1:$1016,COLUMN($F$1),FALSE))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Z71">
        <f>IF(ISNUMBER(SEARCH(SUBSTITUTE(AZ$1,RIGHT(AZ$1,2),""),VLOOKUP($D71,素材!$1:$1016,COLUMN($F$1),FALSE))),VLOOKUP($C71,装備品!$1:$998,COLUMN($O$1),FALSE)*VLOOKUP($D71,素材!$1:$1016,COLUMN($E$1),FALSE)/(LEN(VLOOKUP($D71,素材!$1:$1016,COLUMN($F$1),FALSE))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BA71">
        <f>IF(ISNUMBER(SEARCH(SUBSTITUTE(BA$1,RIGHT(BA$1,2),""),VLOOKUP($D71,素材!$1:$1016,COLUMN($F$1),FALSE))),VLOOKUP($C71,装備品!$1:$998,COLUMN($O$1),FALSE)*VLOOKUP($D71,素材!$1:$1016,COLUMN($E$1),FALSE)/(LEN(VLOOKUP($D71,素材!$1:$1016,COLUMN($F$1),FALSE))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BB71">
        <f>IF(ISNUMBER(SEARCH(SUBSTITUTE(BB$1,RIGHT(BB$1,2),""),VLOOKUP($D71,素材!$1:$1016,COLUMN($F$1),FALSE))),VLOOKUP($C71,装備品!$1:$998,COLUMN($O$1),FALSE)*VLOOKUP($D71,素材!$1:$1016,COLUMN($E$1),FALSE)/(LEN(VLOOKUP($D71,素材!$1:$1016,COLUMN($F$1),FALSE))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BC71">
        <f>IF(ISNUMBER(SEARCH(SUBSTITUTE(BC$1,RIGHT(BC$1,2),""),VLOOKUP($D71,素材!$1:$1016,COLUMN($F$1),FALSE))),VLOOKUP($C71,装備品!$1:$998,COLUMN($O$1),FALSE)*VLOOKUP($D71,素材!$1:$1016,COLUMN($E$1),FALSE)/(LEN(VLOOKUP($D71,素材!$1:$1016,COLUMN($F$1),FALSE))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BD71">
        <f>IF(ISNUMBER(SEARCH(SUBSTITUTE(BD$1,RIGHT(BD$1,2),""),VLOOKUP($D71,素材!$1:$1016,COLUMN($F$1),FALSE))),VLOOKUP($C71,装備品!$1:$998,COLUMN($O$1),FALSE)*VLOOKUP($D71,素材!$1:$1016,COLUMN($E$1),FALSE)/(LEN(VLOOKUP($D71,素材!$1:$1016,COLUMN($F$1),FALSE))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BE71">
        <f>IF(ISNUMBER(SEARCH(SUBSTITUTE(BE$1,RIGHT(BE$1,2),""),VLOOKUP($D71,素材!$1:$1016,COLUMN($F$1),FALSE))),VLOOKUP($C71,装備品!$1:$998,COLUMN($O$1),FALSE)*VLOOKUP($D71,素材!$1:$1016,COLUMN($E$1),FALSE)/(LEN(VLOOKUP($D71,素材!$1:$1016,COLUMN($F$1),FALSE))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CL71">
        <f t="shared" si="7"/>
        <v>0</v>
      </c>
      <c r="CM71" s="22" t="str">
        <f t="shared" si="8"/>
        <v>銃.webp</v>
      </c>
      <c r="CN71">
        <f>IFERROR(VLOOKUP($C71,装備品!$1:$998,COLUMN(V$1),FALSE)*VLOOKUP($D71,素材!$1:$1016,COLUMN(N$1),FALSE)+IF(CI71="",0,VLOOKUP($CI71,付与!$1:$1176,COLUMN($CK$1),FALSE)),"")</f>
        <v>1200</v>
      </c>
      <c r="CO71" t="str">
        <f>VLOOKUP(D71,素材!$A:$O,COLUMN(素材!O$1),FALSE)</f>
        <v>一般的な木材。金属より軽いが少し脆い</v>
      </c>
      <c r="CP71" t="str">
        <f>VLOOKUP(C71,装備品!$A:$AB,COLUMN(装備品!AB$1),FALSE)</f>
        <v/>
      </c>
      <c r="CR71" t="str">
        <f t="shared" si="9"/>
        <v>e_71</v>
      </c>
      <c r="CS71">
        <f t="shared" si="10"/>
        <v>120000</v>
      </c>
    </row>
    <row r="72" spans="1:97" outlineLevel="1" x14ac:dyDescent="0.4">
      <c r="A72" t="str">
        <f t="shared" si="6"/>
        <v>木の面兜</v>
      </c>
      <c r="B72" t="str">
        <f>IFERROR(VLOOKUP($D72,素材!$1:$1016,COLUMN($B$1),FALSE)&amp;"・"&amp;VLOOKUP($C72,装備品!$1:$998,COLUMN(B$1),FALSE),"")</f>
        <v>ウッド・バイザーヘルム</v>
      </c>
      <c r="C72" t="s">
        <v>209</v>
      </c>
      <c r="D72" s="24" t="s">
        <v>254</v>
      </c>
      <c r="E72" t="str">
        <f>IFERROR(VLOOKUP(C72,装備品!$1:$998,COLUMN(C$1),FALSE),"")</f>
        <v>頭</v>
      </c>
      <c r="F72">
        <f>IFERROR(ROUNDDOWN((VLOOKUP($C72,装備品!$1:$998,COLUMN(D$1),FALSE)+IFERROR(VLOOKUP($CI72,付与!$1:$1167,COLUMN(F$1),FALSE),0))*VLOOKUP($D72,素材!$1:$1016,COLUMN(D$1),FALSE),0),"")</f>
        <v>0</v>
      </c>
      <c r="G72">
        <f>IFERROR(ROUNDDOWN((VLOOKUP($C72,装備品!$1:$998,COLUMN(E$1),FALSE)+IFERROR(VLOOKUP($CI72,付与!$1:$1167,COLUMN(G$1),FALSE),0))*VLOOKUP($D72,素材!$1:$1016,COLUMN($E$1),FALSE),0),"")</f>
        <v>0</v>
      </c>
      <c r="H72">
        <f>IFERROR(ROUNDDOWN((VLOOKUP($C72,装備品!$1:$998,COLUMN(F$1),FALSE)+IFERROR(VLOOKUP($CI72,付与!$1:$1167,COLUMN(H$1),FALSE),0))*VLOOKUP($D72,素材!$1:$1016,COLUMN($E$1),FALSE),0),"")</f>
        <v>0</v>
      </c>
      <c r="I72">
        <f>IFERROR(ROUNDDOWN((VLOOKUP($C72,装備品!$1:$998,COLUMN(G$1),FALSE)+IFERROR(VLOOKUP($CI72,付与!$1:$1167,COLUMN(I$1),FALSE),0))*VLOOKUP($D72,素材!$1:$1016,COLUMN($E$1),FALSE),0),"")</f>
        <v>12</v>
      </c>
      <c r="J72">
        <f>IFERROR(ROUNDDOWN((VLOOKUP($C72,装備品!$1:$998,COLUMN(H$1),FALSE)+IFERROR(VLOOKUP($CI72,付与!$1:$1167,COLUMN(J$1),FALSE),0))*VLOOKUP($D72,素材!$1:$1016,COLUMN($E$1),FALSE),0),"")</f>
        <v>0</v>
      </c>
      <c r="K72">
        <f>IFERROR(ROUNDDOWN((VLOOKUP($C72,装備品!$1:$998,COLUMN(I$1),FALSE)+IFERROR(VLOOKUP($CI72,付与!$1:$1167,COLUMN(K$1),FALSE),0))*VLOOKUP($D72,素材!$1:$1016,COLUMN($E$1),FALSE),0),"")</f>
        <v>0</v>
      </c>
      <c r="L72">
        <f>IFERROR(VLOOKUP($D72,素材!$1:$1016,COLUMN($F$1),FALSE),"")</f>
        <v>0</v>
      </c>
      <c r="M72">
        <f>IFERROR(VLOOKUP($C72,装備品!$1:$998,COLUMN(AA$1),FALSE)*VLOOKUP($D72,素材!$1:$1016,COLUMN($G$1),FALSE),"")</f>
        <v>0</v>
      </c>
      <c r="N72">
        <f>IFERROR(VLOOKUP($C72,装備品!$1:$998,COLUMN(I$1),FALSE),"")</f>
        <v>0</v>
      </c>
      <c r="O72" s="23">
        <f>IFERROR((VLOOKUP($C72,装備品!$1:$998,COLUMN(K$1),FALSE)+VLOOKUP($D72,素材!$1:$1016,COLUMN(H$1),FALSE))*100+IFERROR(VLOOKUP($CI72,付与!$1:$1167,COLUMN(O$1),FALSE),0),"")</f>
        <v>5</v>
      </c>
      <c r="P72" s="23">
        <f>IFERROR((VLOOKUP($C72,装備品!$1:$998,COLUMN(L$1),FALSE)+VLOOKUP($D72,素材!$1:$1016,COLUMN(I$1),FALSE))*100+IFERROR(VLOOKUP($CI72,付与!$1:$1167,COLUMN(P$1),FALSE),0),"")</f>
        <v>125</v>
      </c>
      <c r="Q72">
        <f>IFERROR(ROUNDUP(VLOOKUP($C72,装備品!$1:$998,COLUMN(M$1),FALSE)*(VLOOKUP($D72,素材!$1:$1002,COLUMN(D$1),FALSE)/100),1),"")</f>
        <v>-5.6999999999999993</v>
      </c>
      <c r="R72">
        <f>IFERROR(ROUNDUP(VLOOKUP($C72,装備品!$1:$998,COLUMN(N$1),FALSE)*(VLOOKUP($D72,素材!$1:$1002,COLUMN(D$1),FALSE)/100),1),"")</f>
        <v>0</v>
      </c>
      <c r="S72">
        <f>IFERROR(VLOOKUP($C72,装備品!$1:$998,COLUMN(P$1),FALSE),"")</f>
        <v>0</v>
      </c>
      <c r="T72">
        <f>IFERROR(VLOOKUP($C72,装備品!$1:$998,COLUMN(Q$1),FALSE),"")</f>
        <v>0</v>
      </c>
      <c r="U72">
        <f>IFERROR(VLOOKUP($C72,装備品!$1:$998,COLUMN(R$1),FALSE),"")</f>
        <v>0</v>
      </c>
      <c r="V72">
        <f>IFERROR(VLOOKUP($C72,装備品!$1:$998,COLUMN(Q$1),FALSE),"")</f>
        <v>0</v>
      </c>
      <c r="W72">
        <f>IFERROR(VLOOKUP($C72,装備品!$1:$998,COLUMN(T$1),FALSE),"")</f>
        <v>0.35</v>
      </c>
      <c r="Y72">
        <f>IFERROR(VLOOKUP($C72,装備品!$1:$998,COLUMN(U$1),FALSE),"")</f>
        <v>0</v>
      </c>
      <c r="Z72">
        <f>IFERROR(ROUNDUP(VLOOKUP($C72,装備品!$1:$998,COLUMN(O$1),FALSE)*VLOOKUP($D72,素材!$1:$1016,COLUMN(E$1),FALSE),1),"")</f>
        <v>-450</v>
      </c>
      <c r="AA72">
        <f>IF(ISNUMBER(SEARCH(SUBSTITUTE(AA$1,RIGHT(AA$1,2),""),VLOOKUP($D72,素材!$1:$1016,COLUMN($F$1),FALSE))),VLOOKUP($C72,装備品!$1:$998,COLUMN($O$1),FALSE)*VLOOKUP($D72,素材!$1:$1016,COLUMN($E$1),FALSE)/(LEN(VLOOKUP($D72,素材!$1:$1016,COLUMN($F$1),FALSE))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B72">
        <f>IF(ISNUMBER(SEARCH(SUBSTITUTE(AB$1,RIGHT(AB$1,2),""),VLOOKUP($D72,素材!$1:$1016,COLUMN($F$1),FALSE))),VLOOKUP($C72,装備品!$1:$998,COLUMN($O$1),FALSE)*VLOOKUP($D72,素材!$1:$1016,COLUMN($E$1),FALSE)/(LEN(VLOOKUP($D72,素材!$1:$1016,COLUMN($F$1),FALSE))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C72">
        <f>IF(ISNUMBER(SEARCH(SUBSTITUTE(AC$1,RIGHT(AC$1,2),""),VLOOKUP($D72,素材!$1:$1016,COLUMN($F$1),FALSE))),VLOOKUP($C72,装備品!$1:$998,COLUMN($O$1),FALSE)*VLOOKUP($D72,素材!$1:$1016,COLUMN($E$1),FALSE)/(LEN(VLOOKUP($D72,素材!$1:$1016,COLUMN($F$1),FALSE))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D72">
        <f>IF(ISNUMBER(SEARCH(SUBSTITUTE(AD$1,RIGHT(AD$1,2),""),VLOOKUP($D72,素材!$1:$1016,COLUMN($F$1),FALSE))),VLOOKUP($C72,装備品!$1:$998,COLUMN($O$1),FALSE)*VLOOKUP($D72,素材!$1:$1016,COLUMN($E$1),FALSE)/(LEN(VLOOKUP($D72,素材!$1:$1016,COLUMN($F$1),FALSE))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E72">
        <f>IF(ISNUMBER(SEARCH(SUBSTITUTE(AE$1,RIGHT(AE$1,2),""),VLOOKUP($D72,素材!$1:$1016,COLUMN($F$1),FALSE))),VLOOKUP($C72,装備品!$1:$998,COLUMN($O$1),FALSE)*VLOOKUP($D72,素材!$1:$1016,COLUMN($E$1),FALSE)/(LEN(VLOOKUP($D72,素材!$1:$1016,COLUMN($F$1),FALSE))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F72">
        <f>IF(ISNUMBER(SEARCH(SUBSTITUTE(AF$1,RIGHT(AF$1,2),""),VLOOKUP($D72,素材!$1:$1016,COLUMN($F$1),FALSE))),VLOOKUP($C72,装備品!$1:$998,COLUMN($O$1),FALSE)*VLOOKUP($D72,素材!$1:$1016,COLUMN($E$1),FALSE)/(LEN(VLOOKUP($D72,素材!$1:$1016,COLUMN($F$1),FALSE))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G72">
        <f>IF(ISNUMBER(SEARCH(SUBSTITUTE(AG$1,RIGHT(AG$1,2),""),VLOOKUP($D72,素材!$1:$1016,COLUMN($F$1),FALSE))),VLOOKUP($C72,装備品!$1:$998,COLUMN($O$1),FALSE)*VLOOKUP($D72,素材!$1:$1016,COLUMN($E$1),FALSE)/(LEN(VLOOKUP($D72,素材!$1:$1016,COLUMN($F$1),FALSE))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H72">
        <f>IF(ISNUMBER(SEARCH(SUBSTITUTE(AH$1,RIGHT(AH$1,2),""),VLOOKUP($D72,素材!$1:$1016,COLUMN($F$1),FALSE))),VLOOKUP($C72,装備品!$1:$998,COLUMN($O$1),FALSE)*VLOOKUP($D72,素材!$1:$1016,COLUMN($E$1),FALSE)/(LEN(VLOOKUP($D72,素材!$1:$1016,COLUMN($F$1),FALSE))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I72">
        <f>IF(ISNUMBER(SEARCH(SUBSTITUTE(AI$1,RIGHT(AI$1,2),""),VLOOKUP($D72,素材!$1:$1016,COLUMN($F$1),FALSE))),VLOOKUP($C72,装備品!$1:$998,COLUMN($O$1),FALSE)*VLOOKUP($D72,素材!$1:$1016,COLUMN($E$1),FALSE)/(LEN(VLOOKUP($D72,素材!$1:$1016,COLUMN($F$1),FALSE))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J72">
        <f>IF(ISNUMBER(SEARCH(SUBSTITUTE(AJ$1,RIGHT(AJ$1,2),""),VLOOKUP($D72,素材!$1:$1016,COLUMN($F$1),FALSE))),VLOOKUP($C72,装備品!$1:$998,COLUMN($O$1),FALSE)*VLOOKUP($D72,素材!$1:$1016,COLUMN($E$1),FALSE)/(LEN(VLOOKUP($D72,素材!$1:$1016,COLUMN($F$1),FALSE))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K72">
        <f>IF(ISNUMBER(SEARCH(SUBSTITUTE(AK$1,RIGHT(AK$1,2),""),VLOOKUP($D72,素材!$1:$1016,COLUMN($F$1),FALSE))),VLOOKUP($C72,装備品!$1:$998,COLUMN($O$1),FALSE)*VLOOKUP($D72,素材!$1:$1016,COLUMN($E$1),FALSE)/(LEN(VLOOKUP($D72,素材!$1:$1016,COLUMN($F$1),FALSE))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L72">
        <f>IF(ISNUMBER(SEARCH(SUBSTITUTE(AL$1,RIGHT(AL$1,2),""),VLOOKUP($D72,素材!$1:$1016,COLUMN($F$1),FALSE))),VLOOKUP($C72,装備品!$1:$998,COLUMN($O$1),FALSE)*VLOOKUP($D72,素材!$1:$1016,COLUMN($E$1),FALSE)/(LEN(VLOOKUP($D72,素材!$1:$1016,COLUMN($F$1),FALSE))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M72">
        <f>IF(ISNUMBER(SEARCH(SUBSTITUTE(AM$1,RIGHT(AM$1,2),""),VLOOKUP($D72,素材!$1:$1016,COLUMN($F$1),FALSE))),VLOOKUP($C72,装備品!$1:$998,COLUMN($O$1),FALSE)*VLOOKUP($D72,素材!$1:$1016,COLUMN($E$1),FALSE)/(LEN(VLOOKUP($D72,素材!$1:$1016,COLUMN($F$1),FALSE))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N72">
        <f>IF(ISNUMBER(SEARCH(SUBSTITUTE(AN$1,RIGHT(AN$1,2),""),VLOOKUP($D72,素材!$1:$1016,COLUMN($F$1),FALSE))),VLOOKUP($C72,装備品!$1:$998,COLUMN($O$1),FALSE)*VLOOKUP($D72,素材!$1:$1016,COLUMN($E$1),FALSE)/(LEN(VLOOKUP($D72,素材!$1:$1016,COLUMN($F$1),FALSE))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O72">
        <f>IF(ISNUMBER(SEARCH(SUBSTITUTE(AO$1,RIGHT(AO$1,2),""),VLOOKUP($D72,素材!$1:$1016,COLUMN($F$1),FALSE))),VLOOKUP($C72,装備品!$1:$998,COLUMN($O$1),FALSE)*VLOOKUP($D72,素材!$1:$1016,COLUMN($E$1),FALSE)/(LEN(VLOOKUP($D72,素材!$1:$1016,COLUMN($F$1),FALSE))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P72">
        <f>IF(ISNUMBER(SEARCH(SUBSTITUTE(AP$1,RIGHT(AP$1,2),""),VLOOKUP($D72,素材!$1:$1016,COLUMN($F$1),FALSE))),VLOOKUP($C72,装備品!$1:$998,COLUMN($O$1),FALSE)*VLOOKUP($D72,素材!$1:$1016,COLUMN($E$1),FALSE)/(LEN(VLOOKUP($D72,素材!$1:$1016,COLUMN($F$1),FALSE))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Q72">
        <f>IF(ISNUMBER(SEARCH(SUBSTITUTE(AQ$1,RIGHT(AQ$1,2),""),VLOOKUP($D72,素材!$1:$1016,COLUMN($F$1),FALSE))),VLOOKUP($C72,装備品!$1:$998,COLUMN($O$1),FALSE)*VLOOKUP($D72,素材!$1:$1016,COLUMN($E$1),FALSE)/(LEN(VLOOKUP($D72,素材!$1:$1016,COLUMN($F$1),FALSE))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R72">
        <f>IF(ISNUMBER(SEARCH(SUBSTITUTE(AR$1,RIGHT(AR$1,2),""),VLOOKUP($D72,素材!$1:$1016,COLUMN($F$1),FALSE))),VLOOKUP($C72,装備品!$1:$998,COLUMN($O$1),FALSE)*VLOOKUP($D72,素材!$1:$1016,COLUMN($E$1),FALSE)/(LEN(VLOOKUP($D72,素材!$1:$1016,COLUMN($F$1),FALSE))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S72">
        <f>IF(ISNUMBER(SEARCH(SUBSTITUTE(AS$1,RIGHT(AS$1,2),""),VLOOKUP($D72,素材!$1:$1016,COLUMN($F$1),FALSE))),VLOOKUP($C72,装備品!$1:$998,COLUMN($O$1),FALSE)*VLOOKUP($D72,素材!$1:$1016,COLUMN($E$1),FALSE)/(LEN(VLOOKUP($D72,素材!$1:$1016,COLUMN($F$1),FALSE))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T72">
        <f>IF(ISNUMBER(SEARCH(SUBSTITUTE(AT$1,RIGHT(AT$1,2),""),VLOOKUP($D72,素材!$1:$1016,COLUMN($F$1),FALSE))),VLOOKUP($C72,装備品!$1:$998,COLUMN($O$1),FALSE)*VLOOKUP($D72,素材!$1:$1016,COLUMN($E$1),FALSE)/(LEN(VLOOKUP($D72,素材!$1:$1016,COLUMN($F$1),FALSE))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U72">
        <f>IF(ISNUMBER(SEARCH(SUBSTITUTE(AU$1,RIGHT(AU$1,2),""),VLOOKUP($D72,素材!$1:$1016,COLUMN($F$1),FALSE))),VLOOKUP($C72,装備品!$1:$998,COLUMN($O$1),FALSE)*VLOOKUP($D72,素材!$1:$1016,COLUMN($E$1),FALSE)/(LEN(VLOOKUP($D72,素材!$1:$1016,COLUMN($F$1),FALSE))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V72">
        <f>IF(ISNUMBER(SEARCH(SUBSTITUTE(AV$1,RIGHT(AV$1,2),""),VLOOKUP($D72,素材!$1:$1016,COLUMN($F$1),FALSE))),VLOOKUP($C72,装備品!$1:$998,COLUMN($O$1),FALSE)*VLOOKUP($D72,素材!$1:$1016,COLUMN($E$1),FALSE)/(LEN(VLOOKUP($D72,素材!$1:$1016,COLUMN($F$1),FALSE))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W72">
        <f>IF(ISNUMBER(SEARCH(SUBSTITUTE(AW$1,RIGHT(AW$1,2),""),VLOOKUP($D72,素材!$1:$1016,COLUMN($F$1),FALSE))),VLOOKUP($C72,装備品!$1:$998,COLUMN($O$1),FALSE)*VLOOKUP($D72,素材!$1:$1016,COLUMN($E$1),FALSE)/(LEN(VLOOKUP($D72,素材!$1:$1016,COLUMN($F$1),FALSE))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X72">
        <f>IF(ISNUMBER(SEARCH(SUBSTITUTE(AX$1,RIGHT(AX$1,2),""),VLOOKUP($D72,素材!$1:$1016,COLUMN($F$1),FALSE))),VLOOKUP($C72,装備品!$1:$998,COLUMN($O$1),FALSE)*VLOOKUP($D72,素材!$1:$1016,COLUMN($E$1),FALSE)/(LEN(VLOOKUP($D72,素材!$1:$1016,COLUMN($F$1),FALSE))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Y72">
        <f>IF(ISNUMBER(SEARCH(SUBSTITUTE(AY$1,RIGHT(AY$1,2),""),VLOOKUP($D72,素材!$1:$1016,COLUMN($F$1),FALSE))),VLOOKUP($C72,装備品!$1:$998,COLUMN($O$1),FALSE)*VLOOKUP($D72,素材!$1:$1016,COLUMN($E$1),FALSE)/(LEN(VLOOKUP($D72,素材!$1:$1016,COLUMN($F$1),FALSE))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Z72">
        <f>IF(ISNUMBER(SEARCH(SUBSTITUTE(AZ$1,RIGHT(AZ$1,2),""),VLOOKUP($D72,素材!$1:$1016,COLUMN($F$1),FALSE))),VLOOKUP($C72,装備品!$1:$998,COLUMN($O$1),FALSE)*VLOOKUP($D72,素材!$1:$1016,COLUMN($E$1),FALSE)/(LEN(VLOOKUP($D72,素材!$1:$1016,COLUMN($F$1),FALSE))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BA72">
        <f>IF(ISNUMBER(SEARCH(SUBSTITUTE(BA$1,RIGHT(BA$1,2),""),VLOOKUP($D72,素材!$1:$1016,COLUMN($F$1),FALSE))),VLOOKUP($C72,装備品!$1:$998,COLUMN($O$1),FALSE)*VLOOKUP($D72,素材!$1:$1016,COLUMN($E$1),FALSE)/(LEN(VLOOKUP($D72,素材!$1:$1016,COLUMN($F$1),FALSE))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BB72">
        <f>IF(ISNUMBER(SEARCH(SUBSTITUTE(BB$1,RIGHT(BB$1,2),""),VLOOKUP($D72,素材!$1:$1016,COLUMN($F$1),FALSE))),VLOOKUP($C72,装備品!$1:$998,COLUMN($O$1),FALSE)*VLOOKUP($D72,素材!$1:$1016,COLUMN($E$1),FALSE)/(LEN(VLOOKUP($D72,素材!$1:$1016,COLUMN($F$1),FALSE))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BC72">
        <f>IF(ISNUMBER(SEARCH(SUBSTITUTE(BC$1,RIGHT(BC$1,2),""),VLOOKUP($D72,素材!$1:$1016,COLUMN($F$1),FALSE))),VLOOKUP($C72,装備品!$1:$998,COLUMN($O$1),FALSE)*VLOOKUP($D72,素材!$1:$1016,COLUMN($E$1),FALSE)/(LEN(VLOOKUP($D72,素材!$1:$1016,COLUMN($F$1),FALSE))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BD72">
        <f>IF(ISNUMBER(SEARCH(SUBSTITUTE(BD$1,RIGHT(BD$1,2),""),VLOOKUP($D72,素材!$1:$1016,COLUMN($F$1),FALSE))),VLOOKUP($C72,装備品!$1:$998,COLUMN($O$1),FALSE)*VLOOKUP($D72,素材!$1:$1016,COLUMN($E$1),FALSE)/(LEN(VLOOKUP($D72,素材!$1:$1016,COLUMN($F$1),FALSE))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BE72">
        <f>IF(ISNUMBER(SEARCH(SUBSTITUTE(BE$1,RIGHT(BE$1,2),""),VLOOKUP($D72,素材!$1:$1016,COLUMN($F$1),FALSE))),VLOOKUP($C72,装備品!$1:$998,COLUMN($O$1),FALSE)*VLOOKUP($D72,素材!$1:$1016,COLUMN($E$1),FALSE)/(LEN(VLOOKUP($D72,素材!$1:$1016,COLUMN($F$1),FALSE))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CL72">
        <f t="shared" si="7"/>
        <v>12</v>
      </c>
      <c r="CM72" s="22" t="str">
        <f t="shared" si="8"/>
        <v>頭.webp</v>
      </c>
      <c r="CN72">
        <f>IFERROR(VLOOKUP($C72,装備品!$1:$998,COLUMN(V$1),FALSE)*VLOOKUP($D72,素材!$1:$1016,COLUMN(N$1),FALSE)+IF(CI72="",0,VLOOKUP($CI72,付与!$1:$1176,COLUMN($CK$1),FALSE)),"")</f>
        <v>0</v>
      </c>
      <c r="CO72" t="str">
        <f>VLOOKUP(D72,素材!$A:$O,COLUMN(素材!O$1),FALSE)</f>
        <v>一般的な木材。金属より軽いが少し脆い</v>
      </c>
      <c r="CP72" t="str">
        <f>VLOOKUP(C72,装備品!$A:$AB,COLUMN(装備品!AB$1),FALSE)</f>
        <v>命中 魔防 Cr</v>
      </c>
      <c r="CR72" t="str">
        <f t="shared" si="9"/>
        <v>e_72</v>
      </c>
      <c r="CS72">
        <f t="shared" si="10"/>
        <v>0</v>
      </c>
    </row>
    <row r="73" spans="1:97" outlineLevel="1" x14ac:dyDescent="0.4">
      <c r="A73" t="str">
        <f t="shared" si="6"/>
        <v>木の兜</v>
      </c>
      <c r="B73" t="str">
        <f>IFERROR(VLOOKUP($D73,素材!$1:$1016,COLUMN($B$1),FALSE)&amp;"・"&amp;VLOOKUP($C73,装備品!$1:$998,COLUMN(B$1),FALSE),"")</f>
        <v>ウッド・ヘルム</v>
      </c>
      <c r="C73" t="s">
        <v>208</v>
      </c>
      <c r="D73" s="24" t="s">
        <v>254</v>
      </c>
      <c r="E73" t="str">
        <f>IFERROR(VLOOKUP(C73,装備品!$1:$998,COLUMN(C$1),FALSE),"")</f>
        <v>頭</v>
      </c>
      <c r="F73">
        <f>IFERROR(ROUNDDOWN((VLOOKUP($C73,装備品!$1:$998,COLUMN(D$1),FALSE)+IFERROR(VLOOKUP($CI73,付与!$1:$1167,COLUMN(F$1),FALSE),0))*VLOOKUP($D73,素材!$1:$1016,COLUMN(D$1),FALSE),0),"")</f>
        <v>0</v>
      </c>
      <c r="G73">
        <f>IFERROR(ROUNDDOWN((VLOOKUP($C73,装備品!$1:$998,COLUMN(E$1),FALSE)+IFERROR(VLOOKUP($CI73,付与!$1:$1167,COLUMN(G$1),FALSE),0))*VLOOKUP($D73,素材!$1:$1016,COLUMN($E$1),FALSE),0),"")</f>
        <v>0</v>
      </c>
      <c r="H73">
        <f>IFERROR(ROUNDDOWN((VLOOKUP($C73,装備品!$1:$998,COLUMN(F$1),FALSE)+IFERROR(VLOOKUP($CI73,付与!$1:$1167,COLUMN(H$1),FALSE),0))*VLOOKUP($D73,素材!$1:$1016,COLUMN($E$1),FALSE),0),"")</f>
        <v>0</v>
      </c>
      <c r="I73">
        <f>IFERROR(ROUNDDOWN((VLOOKUP($C73,装備品!$1:$998,COLUMN(G$1),FALSE)+IFERROR(VLOOKUP($CI73,付与!$1:$1167,COLUMN(I$1),FALSE),0))*VLOOKUP($D73,素材!$1:$1016,COLUMN($E$1),FALSE),0),"")</f>
        <v>12</v>
      </c>
      <c r="J73">
        <f>IFERROR(ROUNDDOWN((VLOOKUP($C73,装備品!$1:$998,COLUMN(H$1),FALSE)+IFERROR(VLOOKUP($CI73,付与!$1:$1167,COLUMN(J$1),FALSE),0))*VLOOKUP($D73,素材!$1:$1016,COLUMN($E$1),FALSE),0),"")</f>
        <v>0</v>
      </c>
      <c r="K73">
        <f>IFERROR(ROUNDDOWN((VLOOKUP($C73,装備品!$1:$998,COLUMN(I$1),FALSE)+IFERROR(VLOOKUP($CI73,付与!$1:$1167,COLUMN(K$1),FALSE),0))*VLOOKUP($D73,素材!$1:$1016,COLUMN($E$1),FALSE),0),"")</f>
        <v>0</v>
      </c>
      <c r="L73">
        <f>IFERROR(VLOOKUP($D73,素材!$1:$1016,COLUMN($F$1),FALSE),"")</f>
        <v>0</v>
      </c>
      <c r="M73">
        <f>IFERROR(VLOOKUP($C73,装備品!$1:$998,COLUMN(AA$1),FALSE)*VLOOKUP($D73,素材!$1:$1016,COLUMN($G$1),FALSE),"")</f>
        <v>0</v>
      </c>
      <c r="N73">
        <f>IFERROR(VLOOKUP($C73,装備品!$1:$998,COLUMN(I$1),FALSE),"")</f>
        <v>0</v>
      </c>
      <c r="O73" s="23">
        <f>IFERROR((VLOOKUP($C73,装備品!$1:$998,COLUMN(K$1),FALSE)+VLOOKUP($D73,素材!$1:$1016,COLUMN(H$1),FALSE))*100+IFERROR(VLOOKUP($CI73,付与!$1:$1167,COLUMN(O$1),FALSE),0),"")</f>
        <v>5</v>
      </c>
      <c r="P73" s="23">
        <f>IFERROR((VLOOKUP($C73,装備品!$1:$998,COLUMN(L$1),FALSE)+VLOOKUP($D73,素材!$1:$1016,COLUMN(I$1),FALSE))*100+IFERROR(VLOOKUP($CI73,付与!$1:$1167,COLUMN(P$1),FALSE),0),"")</f>
        <v>125</v>
      </c>
      <c r="Q73">
        <f>IFERROR(ROUNDUP(VLOOKUP($C73,装備品!$1:$998,COLUMN(M$1),FALSE)*(VLOOKUP($D73,素材!$1:$1002,COLUMN(D$1),FALSE)/100),1),"")</f>
        <v>-3.8000000000000003</v>
      </c>
      <c r="R73">
        <f>IFERROR(ROUNDUP(VLOOKUP($C73,装備品!$1:$998,COLUMN(N$1),FALSE)*(VLOOKUP($D73,素材!$1:$1002,COLUMN(D$1),FALSE)/100),1),"")</f>
        <v>0</v>
      </c>
      <c r="S73">
        <f>IFERROR(VLOOKUP($C73,装備品!$1:$998,COLUMN(P$1),FALSE),"")</f>
        <v>0</v>
      </c>
      <c r="T73">
        <f>IFERROR(VLOOKUP($C73,装備品!$1:$998,COLUMN(Q$1),FALSE),"")</f>
        <v>0</v>
      </c>
      <c r="U73">
        <f>IFERROR(VLOOKUP($C73,装備品!$1:$998,COLUMN(R$1),FALSE),"")</f>
        <v>0</v>
      </c>
      <c r="V73">
        <f>IFERROR(VLOOKUP($C73,装備品!$1:$998,COLUMN(Q$1),FALSE),"")</f>
        <v>0</v>
      </c>
      <c r="W73">
        <f>IFERROR(VLOOKUP($C73,装備品!$1:$998,COLUMN(T$1),FALSE),"")</f>
        <v>0.25</v>
      </c>
      <c r="Y73">
        <f>IFERROR(VLOOKUP($C73,装備品!$1:$998,COLUMN(U$1),FALSE),"")</f>
        <v>0</v>
      </c>
      <c r="Z73">
        <f>IFERROR(ROUNDUP(VLOOKUP($C73,装備品!$1:$998,COLUMN(O$1),FALSE)*VLOOKUP($D73,素材!$1:$1016,COLUMN(E$1),FALSE),1),"")</f>
        <v>-225</v>
      </c>
      <c r="AA73">
        <f>IF(ISNUMBER(SEARCH(SUBSTITUTE(AA$1,RIGHT(AA$1,2),""),VLOOKUP($D73,素材!$1:$1016,COLUMN($F$1),FALSE))),VLOOKUP($C73,装備品!$1:$998,COLUMN($O$1),FALSE)*VLOOKUP($D73,素材!$1:$1016,COLUMN($E$1),FALSE)/(LEN(VLOOKUP($D73,素材!$1:$1016,COLUMN($F$1),FALSE))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B73">
        <f>IF(ISNUMBER(SEARCH(SUBSTITUTE(AB$1,RIGHT(AB$1,2),""),VLOOKUP($D73,素材!$1:$1016,COLUMN($F$1),FALSE))),VLOOKUP($C73,装備品!$1:$998,COLUMN($O$1),FALSE)*VLOOKUP($D73,素材!$1:$1016,COLUMN($E$1),FALSE)/(LEN(VLOOKUP($D73,素材!$1:$1016,COLUMN($F$1),FALSE))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C73">
        <f>IF(ISNUMBER(SEARCH(SUBSTITUTE(AC$1,RIGHT(AC$1,2),""),VLOOKUP($D73,素材!$1:$1016,COLUMN($F$1),FALSE))),VLOOKUP($C73,装備品!$1:$998,COLUMN($O$1),FALSE)*VLOOKUP($D73,素材!$1:$1016,COLUMN($E$1),FALSE)/(LEN(VLOOKUP($D73,素材!$1:$1016,COLUMN($F$1),FALSE))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D73">
        <f>IF(ISNUMBER(SEARCH(SUBSTITUTE(AD$1,RIGHT(AD$1,2),""),VLOOKUP($D73,素材!$1:$1016,COLUMN($F$1),FALSE))),VLOOKUP($C73,装備品!$1:$998,COLUMN($O$1),FALSE)*VLOOKUP($D73,素材!$1:$1016,COLUMN($E$1),FALSE)/(LEN(VLOOKUP($D73,素材!$1:$1016,COLUMN($F$1),FALSE))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E73">
        <f>IF(ISNUMBER(SEARCH(SUBSTITUTE(AE$1,RIGHT(AE$1,2),""),VLOOKUP($D73,素材!$1:$1016,COLUMN($F$1),FALSE))),VLOOKUP($C73,装備品!$1:$998,COLUMN($O$1),FALSE)*VLOOKUP($D73,素材!$1:$1016,COLUMN($E$1),FALSE)/(LEN(VLOOKUP($D73,素材!$1:$1016,COLUMN($F$1),FALSE))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F73">
        <f>IF(ISNUMBER(SEARCH(SUBSTITUTE(AF$1,RIGHT(AF$1,2),""),VLOOKUP($D73,素材!$1:$1016,COLUMN($F$1),FALSE))),VLOOKUP($C73,装備品!$1:$998,COLUMN($O$1),FALSE)*VLOOKUP($D73,素材!$1:$1016,COLUMN($E$1),FALSE)/(LEN(VLOOKUP($D73,素材!$1:$1016,COLUMN($F$1),FALSE))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G73">
        <f>IF(ISNUMBER(SEARCH(SUBSTITUTE(AG$1,RIGHT(AG$1,2),""),VLOOKUP($D73,素材!$1:$1016,COLUMN($F$1),FALSE))),VLOOKUP($C73,装備品!$1:$998,COLUMN($O$1),FALSE)*VLOOKUP($D73,素材!$1:$1016,COLUMN($E$1),FALSE)/(LEN(VLOOKUP($D73,素材!$1:$1016,COLUMN($F$1),FALSE))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H73">
        <f>IF(ISNUMBER(SEARCH(SUBSTITUTE(AH$1,RIGHT(AH$1,2),""),VLOOKUP($D73,素材!$1:$1016,COLUMN($F$1),FALSE))),VLOOKUP($C73,装備品!$1:$998,COLUMN($O$1),FALSE)*VLOOKUP($D73,素材!$1:$1016,COLUMN($E$1),FALSE)/(LEN(VLOOKUP($D73,素材!$1:$1016,COLUMN($F$1),FALSE))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I73">
        <f>IF(ISNUMBER(SEARCH(SUBSTITUTE(AI$1,RIGHT(AI$1,2),""),VLOOKUP($D73,素材!$1:$1016,COLUMN($F$1),FALSE))),VLOOKUP($C73,装備品!$1:$998,COLUMN($O$1),FALSE)*VLOOKUP($D73,素材!$1:$1016,COLUMN($E$1),FALSE)/(LEN(VLOOKUP($D73,素材!$1:$1016,COLUMN($F$1),FALSE))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J73">
        <f>IF(ISNUMBER(SEARCH(SUBSTITUTE(AJ$1,RIGHT(AJ$1,2),""),VLOOKUP($D73,素材!$1:$1016,COLUMN($F$1),FALSE))),VLOOKUP($C73,装備品!$1:$998,COLUMN($O$1),FALSE)*VLOOKUP($D73,素材!$1:$1016,COLUMN($E$1),FALSE)/(LEN(VLOOKUP($D73,素材!$1:$1016,COLUMN($F$1),FALSE))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K73">
        <f>IF(ISNUMBER(SEARCH(SUBSTITUTE(AK$1,RIGHT(AK$1,2),""),VLOOKUP($D73,素材!$1:$1016,COLUMN($F$1),FALSE))),VLOOKUP($C73,装備品!$1:$998,COLUMN($O$1),FALSE)*VLOOKUP($D73,素材!$1:$1016,COLUMN($E$1),FALSE)/(LEN(VLOOKUP($D73,素材!$1:$1016,COLUMN($F$1),FALSE))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L73">
        <f>IF(ISNUMBER(SEARCH(SUBSTITUTE(AL$1,RIGHT(AL$1,2),""),VLOOKUP($D73,素材!$1:$1016,COLUMN($F$1),FALSE))),VLOOKUP($C73,装備品!$1:$998,COLUMN($O$1),FALSE)*VLOOKUP($D73,素材!$1:$1016,COLUMN($E$1),FALSE)/(LEN(VLOOKUP($D73,素材!$1:$1016,COLUMN($F$1),FALSE))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M73">
        <f>IF(ISNUMBER(SEARCH(SUBSTITUTE(AM$1,RIGHT(AM$1,2),""),VLOOKUP($D73,素材!$1:$1016,COLUMN($F$1),FALSE))),VLOOKUP($C73,装備品!$1:$998,COLUMN($O$1),FALSE)*VLOOKUP($D73,素材!$1:$1016,COLUMN($E$1),FALSE)/(LEN(VLOOKUP($D73,素材!$1:$1016,COLUMN($F$1),FALSE))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N73">
        <f>IF(ISNUMBER(SEARCH(SUBSTITUTE(AN$1,RIGHT(AN$1,2),""),VLOOKUP($D73,素材!$1:$1016,COLUMN($F$1),FALSE))),VLOOKUP($C73,装備品!$1:$998,COLUMN($O$1),FALSE)*VLOOKUP($D73,素材!$1:$1016,COLUMN($E$1),FALSE)/(LEN(VLOOKUP($D73,素材!$1:$1016,COLUMN($F$1),FALSE))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O73">
        <f>IF(ISNUMBER(SEARCH(SUBSTITUTE(AO$1,RIGHT(AO$1,2),""),VLOOKUP($D73,素材!$1:$1016,COLUMN($F$1),FALSE))),VLOOKUP($C73,装備品!$1:$998,COLUMN($O$1),FALSE)*VLOOKUP($D73,素材!$1:$1016,COLUMN($E$1),FALSE)/(LEN(VLOOKUP($D73,素材!$1:$1016,COLUMN($F$1),FALSE))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P73">
        <f>IF(ISNUMBER(SEARCH(SUBSTITUTE(AP$1,RIGHT(AP$1,2),""),VLOOKUP($D73,素材!$1:$1016,COLUMN($F$1),FALSE))),VLOOKUP($C73,装備品!$1:$998,COLUMN($O$1),FALSE)*VLOOKUP($D73,素材!$1:$1016,COLUMN($E$1),FALSE)/(LEN(VLOOKUP($D73,素材!$1:$1016,COLUMN($F$1),FALSE))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Q73">
        <f>IF(ISNUMBER(SEARCH(SUBSTITUTE(AQ$1,RIGHT(AQ$1,2),""),VLOOKUP($D73,素材!$1:$1016,COLUMN($F$1),FALSE))),VLOOKUP($C73,装備品!$1:$998,COLUMN($O$1),FALSE)*VLOOKUP($D73,素材!$1:$1016,COLUMN($E$1),FALSE)/(LEN(VLOOKUP($D73,素材!$1:$1016,COLUMN($F$1),FALSE))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R73">
        <f>IF(ISNUMBER(SEARCH(SUBSTITUTE(AR$1,RIGHT(AR$1,2),""),VLOOKUP($D73,素材!$1:$1016,COLUMN($F$1),FALSE))),VLOOKUP($C73,装備品!$1:$998,COLUMN($O$1),FALSE)*VLOOKUP($D73,素材!$1:$1016,COLUMN($E$1),FALSE)/(LEN(VLOOKUP($D73,素材!$1:$1016,COLUMN($F$1),FALSE))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S73">
        <f>IF(ISNUMBER(SEARCH(SUBSTITUTE(AS$1,RIGHT(AS$1,2),""),VLOOKUP($D73,素材!$1:$1016,COLUMN($F$1),FALSE))),VLOOKUP($C73,装備品!$1:$998,COLUMN($O$1),FALSE)*VLOOKUP($D73,素材!$1:$1016,COLUMN($E$1),FALSE)/(LEN(VLOOKUP($D73,素材!$1:$1016,COLUMN($F$1),FALSE))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T73">
        <f>IF(ISNUMBER(SEARCH(SUBSTITUTE(AT$1,RIGHT(AT$1,2),""),VLOOKUP($D73,素材!$1:$1016,COLUMN($F$1),FALSE))),VLOOKUP($C73,装備品!$1:$998,COLUMN($O$1),FALSE)*VLOOKUP($D73,素材!$1:$1016,COLUMN($E$1),FALSE)/(LEN(VLOOKUP($D73,素材!$1:$1016,COLUMN($F$1),FALSE))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U73">
        <f>IF(ISNUMBER(SEARCH(SUBSTITUTE(AU$1,RIGHT(AU$1,2),""),VLOOKUP($D73,素材!$1:$1016,COLUMN($F$1),FALSE))),VLOOKUP($C73,装備品!$1:$998,COLUMN($O$1),FALSE)*VLOOKUP($D73,素材!$1:$1016,COLUMN($E$1),FALSE)/(LEN(VLOOKUP($D73,素材!$1:$1016,COLUMN($F$1),FALSE))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V73">
        <f>IF(ISNUMBER(SEARCH(SUBSTITUTE(AV$1,RIGHT(AV$1,2),""),VLOOKUP($D73,素材!$1:$1016,COLUMN($F$1),FALSE))),VLOOKUP($C73,装備品!$1:$998,COLUMN($O$1),FALSE)*VLOOKUP($D73,素材!$1:$1016,COLUMN($E$1),FALSE)/(LEN(VLOOKUP($D73,素材!$1:$1016,COLUMN($F$1),FALSE))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W73">
        <f>IF(ISNUMBER(SEARCH(SUBSTITUTE(AW$1,RIGHT(AW$1,2),""),VLOOKUP($D73,素材!$1:$1016,COLUMN($F$1),FALSE))),VLOOKUP($C73,装備品!$1:$998,COLUMN($O$1),FALSE)*VLOOKUP($D73,素材!$1:$1016,COLUMN($E$1),FALSE)/(LEN(VLOOKUP($D73,素材!$1:$1016,COLUMN($F$1),FALSE))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X73">
        <f>IF(ISNUMBER(SEARCH(SUBSTITUTE(AX$1,RIGHT(AX$1,2),""),VLOOKUP($D73,素材!$1:$1016,COLUMN($F$1),FALSE))),VLOOKUP($C73,装備品!$1:$998,COLUMN($O$1),FALSE)*VLOOKUP($D73,素材!$1:$1016,COLUMN($E$1),FALSE)/(LEN(VLOOKUP($D73,素材!$1:$1016,COLUMN($F$1),FALSE))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Y73">
        <f>IF(ISNUMBER(SEARCH(SUBSTITUTE(AY$1,RIGHT(AY$1,2),""),VLOOKUP($D73,素材!$1:$1016,COLUMN($F$1),FALSE))),VLOOKUP($C73,装備品!$1:$998,COLUMN($O$1),FALSE)*VLOOKUP($D73,素材!$1:$1016,COLUMN($E$1),FALSE)/(LEN(VLOOKUP($D73,素材!$1:$1016,COLUMN($F$1),FALSE))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Z73">
        <f>IF(ISNUMBER(SEARCH(SUBSTITUTE(AZ$1,RIGHT(AZ$1,2),""),VLOOKUP($D73,素材!$1:$1016,COLUMN($F$1),FALSE))),VLOOKUP($C73,装備品!$1:$998,COLUMN($O$1),FALSE)*VLOOKUP($D73,素材!$1:$1016,COLUMN($E$1),FALSE)/(LEN(VLOOKUP($D73,素材!$1:$1016,COLUMN($F$1),FALSE))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BA73">
        <f>IF(ISNUMBER(SEARCH(SUBSTITUTE(BA$1,RIGHT(BA$1,2),""),VLOOKUP($D73,素材!$1:$1016,COLUMN($F$1),FALSE))),VLOOKUP($C73,装備品!$1:$998,COLUMN($O$1),FALSE)*VLOOKUP($D73,素材!$1:$1016,COLUMN($E$1),FALSE)/(LEN(VLOOKUP($D73,素材!$1:$1016,COLUMN($F$1),FALSE))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BB73">
        <f>IF(ISNUMBER(SEARCH(SUBSTITUTE(BB$1,RIGHT(BB$1,2),""),VLOOKUP($D73,素材!$1:$1016,COLUMN($F$1),FALSE))),VLOOKUP($C73,装備品!$1:$998,COLUMN($O$1),FALSE)*VLOOKUP($D73,素材!$1:$1016,COLUMN($E$1),FALSE)/(LEN(VLOOKUP($D73,素材!$1:$1016,COLUMN($F$1),FALSE))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BC73">
        <f>IF(ISNUMBER(SEARCH(SUBSTITUTE(BC$1,RIGHT(BC$1,2),""),VLOOKUP($D73,素材!$1:$1016,COLUMN($F$1),FALSE))),VLOOKUP($C73,装備品!$1:$998,COLUMN($O$1),FALSE)*VLOOKUP($D73,素材!$1:$1016,COLUMN($E$1),FALSE)/(LEN(VLOOKUP($D73,素材!$1:$1016,COLUMN($F$1),FALSE))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BD73">
        <f>IF(ISNUMBER(SEARCH(SUBSTITUTE(BD$1,RIGHT(BD$1,2),""),VLOOKUP($D73,素材!$1:$1016,COLUMN($F$1),FALSE))),VLOOKUP($C73,装備品!$1:$998,COLUMN($O$1),FALSE)*VLOOKUP($D73,素材!$1:$1016,COLUMN($E$1),FALSE)/(LEN(VLOOKUP($D73,素材!$1:$1016,COLUMN($F$1),FALSE))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BE73">
        <f>IF(ISNUMBER(SEARCH(SUBSTITUTE(BE$1,RIGHT(BE$1,2),""),VLOOKUP($D73,素材!$1:$1016,COLUMN($F$1),FALSE))),VLOOKUP($C73,装備品!$1:$998,COLUMN($O$1),FALSE)*VLOOKUP($D73,素材!$1:$1016,COLUMN($E$1),FALSE)/(LEN(VLOOKUP($D73,素材!$1:$1016,COLUMN($F$1),FALSE))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CL73">
        <f t="shared" si="7"/>
        <v>12</v>
      </c>
      <c r="CM73" s="22" t="str">
        <f t="shared" si="8"/>
        <v>頭.webp</v>
      </c>
      <c r="CN73">
        <f>IFERROR(VLOOKUP($C73,装備品!$1:$998,COLUMN(V$1),FALSE)*VLOOKUP($D73,素材!$1:$1016,COLUMN(N$1),FALSE)+IF(CI73="",0,VLOOKUP($CI73,付与!$1:$1176,COLUMN($CK$1),FALSE)),"")</f>
        <v>0</v>
      </c>
      <c r="CO73" t="str">
        <f>VLOOKUP(D73,素材!$A:$O,COLUMN(素材!O$1),FALSE)</f>
        <v>一般的な木材。金属より軽いが少し脆い</v>
      </c>
      <c r="CP73" t="str">
        <f>VLOOKUP(C73,装備品!$A:$AB,COLUMN(装備品!AB$1),FALSE)</f>
        <v>命中 魔防 Cr</v>
      </c>
      <c r="CR73" t="str">
        <f t="shared" si="9"/>
        <v>e_73</v>
      </c>
      <c r="CS73">
        <f t="shared" si="10"/>
        <v>0</v>
      </c>
    </row>
    <row r="74" spans="1:97" outlineLevel="1" x14ac:dyDescent="0.4">
      <c r="A74" t="str">
        <f t="shared" si="6"/>
        <v>木の鎧</v>
      </c>
      <c r="B74" t="str">
        <f>IFERROR(VLOOKUP($D74,素材!$1:$1016,COLUMN($B$1),FALSE)&amp;"・"&amp;VLOOKUP($C74,装備品!$1:$998,COLUMN(B$1),FALSE),"")</f>
        <v>ウッド・アーマー</v>
      </c>
      <c r="C74" t="s">
        <v>207</v>
      </c>
      <c r="D74" s="24" t="s">
        <v>254</v>
      </c>
      <c r="E74" t="str">
        <f>IFERROR(VLOOKUP(C74,装備品!$1:$998,COLUMN(C$1),FALSE),"")</f>
        <v>体</v>
      </c>
      <c r="F74">
        <f>IFERROR(ROUNDDOWN((VLOOKUP($C74,装備品!$1:$998,COLUMN(D$1),FALSE)+IFERROR(VLOOKUP($CI74,付与!$1:$1167,COLUMN(F$1),FALSE),0))*VLOOKUP($D74,素材!$1:$1016,COLUMN(D$1),FALSE),0),"")</f>
        <v>0</v>
      </c>
      <c r="G74">
        <f>IFERROR(ROUNDDOWN((VLOOKUP($C74,装備品!$1:$998,COLUMN(E$1),FALSE)+IFERROR(VLOOKUP($CI74,付与!$1:$1167,COLUMN(G$1),FALSE),0))*VLOOKUP($D74,素材!$1:$1016,COLUMN($E$1),FALSE),0),"")</f>
        <v>0</v>
      </c>
      <c r="H74">
        <f>IFERROR(ROUNDDOWN((VLOOKUP($C74,装備品!$1:$998,COLUMN(F$1),FALSE)+IFERROR(VLOOKUP($CI74,付与!$1:$1167,COLUMN(H$1),FALSE),0))*VLOOKUP($D74,素材!$1:$1016,COLUMN($E$1),FALSE),0),"")</f>
        <v>0</v>
      </c>
      <c r="I74">
        <f>IFERROR(ROUNDDOWN((VLOOKUP($C74,装備品!$1:$998,COLUMN(G$1),FALSE)+IFERROR(VLOOKUP($CI74,付与!$1:$1167,COLUMN(I$1),FALSE),0))*VLOOKUP($D74,素材!$1:$1016,COLUMN($E$1),FALSE),0),"")</f>
        <v>0</v>
      </c>
      <c r="J74">
        <f>IFERROR(ROUNDDOWN((VLOOKUP($C74,装備品!$1:$998,COLUMN(H$1),FALSE)+IFERROR(VLOOKUP($CI74,付与!$1:$1167,COLUMN(J$1),FALSE),0))*VLOOKUP($D74,素材!$1:$1016,COLUMN($E$1),FALSE),0),"")</f>
        <v>0</v>
      </c>
      <c r="K74">
        <f>IFERROR(ROUNDDOWN((VLOOKUP($C74,装備品!$1:$998,COLUMN(I$1),FALSE)+IFERROR(VLOOKUP($CI74,付与!$1:$1167,COLUMN(K$1),FALSE),0))*VLOOKUP($D74,素材!$1:$1016,COLUMN($E$1),FALSE),0),"")</f>
        <v>0</v>
      </c>
      <c r="L74">
        <f>IFERROR(VLOOKUP($D74,素材!$1:$1016,COLUMN($F$1),FALSE),"")</f>
        <v>0</v>
      </c>
      <c r="M74">
        <f>IFERROR(VLOOKUP($C74,装備品!$1:$998,COLUMN(AA$1),FALSE)*VLOOKUP($D74,素材!$1:$1016,COLUMN($G$1),FALSE),"")</f>
        <v>0</v>
      </c>
      <c r="N74">
        <f>IFERROR(VLOOKUP($C74,装備品!$1:$998,COLUMN(I$1),FALSE),"")</f>
        <v>0</v>
      </c>
      <c r="O74" s="23">
        <f>IFERROR((VLOOKUP($C74,装備品!$1:$998,COLUMN(K$1),FALSE)+VLOOKUP($D74,素材!$1:$1016,COLUMN(H$1),FALSE))*100+IFERROR(VLOOKUP($CI74,付与!$1:$1167,COLUMN(O$1),FALSE),0),"")</f>
        <v>0</v>
      </c>
      <c r="P74" s="23">
        <f>IFERROR((VLOOKUP($C74,装備品!$1:$998,COLUMN(L$1),FALSE)+VLOOKUP($D74,素材!$1:$1016,COLUMN(I$1),FALSE))*100+IFERROR(VLOOKUP($CI74,付与!$1:$1167,COLUMN(P$1),FALSE),0),"")</f>
        <v>0</v>
      </c>
      <c r="Q74">
        <f>IFERROR(ROUNDUP(VLOOKUP($C74,装備品!$1:$998,COLUMN(M$1),FALSE)*(VLOOKUP($D74,素材!$1:$1002,COLUMN(D$1),FALSE)/100),1),"")</f>
        <v>-11.299999999999999</v>
      </c>
      <c r="R74">
        <f>IFERROR(ROUNDUP(VLOOKUP($C74,装備品!$1:$998,COLUMN(N$1),FALSE)*(VLOOKUP($D74,素材!$1:$1002,COLUMN(D$1),FALSE)/100),1),"")</f>
        <v>0</v>
      </c>
      <c r="S74">
        <f>IFERROR(VLOOKUP($C74,装備品!$1:$998,COLUMN(P$1),FALSE),"")</f>
        <v>-35</v>
      </c>
      <c r="T74">
        <f>IFERROR(VLOOKUP($C74,装備品!$1:$998,COLUMN(Q$1),FALSE),"")</f>
        <v>0</v>
      </c>
      <c r="U74">
        <f>IFERROR(VLOOKUP($C74,装備品!$1:$998,COLUMN(R$1),FALSE),"")</f>
        <v>0</v>
      </c>
      <c r="V74">
        <f>IFERROR(VLOOKUP($C74,装備品!$1:$998,COLUMN(Q$1),FALSE),"")</f>
        <v>0</v>
      </c>
      <c r="W74">
        <f>IFERROR(VLOOKUP($C74,装備品!$1:$998,COLUMN(T$1),FALSE),"")</f>
        <v>0.7</v>
      </c>
      <c r="Y74">
        <f>IFERROR(VLOOKUP($C74,装備品!$1:$998,COLUMN(U$1),FALSE),"")</f>
        <v>0</v>
      </c>
      <c r="Z74">
        <f>IFERROR(ROUNDUP(VLOOKUP($C74,装備品!$1:$998,COLUMN(O$1),FALSE)*VLOOKUP($D74,素材!$1:$1016,COLUMN(E$1),FALSE),1),"")</f>
        <v>0</v>
      </c>
      <c r="AA74">
        <f>IF(ISNUMBER(SEARCH(SUBSTITUTE(AA$1,RIGHT(AA$1,2),""),VLOOKUP($D74,素材!$1:$1016,COLUMN($F$1),FALSE))),VLOOKUP($C74,装備品!$1:$998,COLUMN($O$1),FALSE)*VLOOKUP($D74,素材!$1:$1016,COLUMN($E$1),FALSE)/(LEN(VLOOKUP($D74,素材!$1:$1016,COLUMN($F$1),FALSE))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B74">
        <f>IF(ISNUMBER(SEARCH(SUBSTITUTE(AB$1,RIGHT(AB$1,2),""),VLOOKUP($D74,素材!$1:$1016,COLUMN($F$1),FALSE))),VLOOKUP($C74,装備品!$1:$998,COLUMN($O$1),FALSE)*VLOOKUP($D74,素材!$1:$1016,COLUMN($E$1),FALSE)/(LEN(VLOOKUP($D74,素材!$1:$1016,COLUMN($F$1),FALSE))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C74">
        <f>IF(ISNUMBER(SEARCH(SUBSTITUTE(AC$1,RIGHT(AC$1,2),""),VLOOKUP($D74,素材!$1:$1016,COLUMN($F$1),FALSE))),VLOOKUP($C74,装備品!$1:$998,COLUMN($O$1),FALSE)*VLOOKUP($D74,素材!$1:$1016,COLUMN($E$1),FALSE)/(LEN(VLOOKUP($D74,素材!$1:$1016,COLUMN($F$1),FALSE))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D74">
        <f>IF(ISNUMBER(SEARCH(SUBSTITUTE(AD$1,RIGHT(AD$1,2),""),VLOOKUP($D74,素材!$1:$1016,COLUMN($F$1),FALSE))),VLOOKUP($C74,装備品!$1:$998,COLUMN($O$1),FALSE)*VLOOKUP($D74,素材!$1:$1016,COLUMN($E$1),FALSE)/(LEN(VLOOKUP($D74,素材!$1:$1016,COLUMN($F$1),FALSE))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E74">
        <f>IF(ISNUMBER(SEARCH(SUBSTITUTE(AE$1,RIGHT(AE$1,2),""),VLOOKUP($D74,素材!$1:$1016,COLUMN($F$1),FALSE))),VLOOKUP($C74,装備品!$1:$998,COLUMN($O$1),FALSE)*VLOOKUP($D74,素材!$1:$1016,COLUMN($E$1),FALSE)/(LEN(VLOOKUP($D74,素材!$1:$1016,COLUMN($F$1),FALSE))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F74">
        <f>IF(ISNUMBER(SEARCH(SUBSTITUTE(AF$1,RIGHT(AF$1,2),""),VLOOKUP($D74,素材!$1:$1016,COLUMN($F$1),FALSE))),VLOOKUP($C74,装備品!$1:$998,COLUMN($O$1),FALSE)*VLOOKUP($D74,素材!$1:$1016,COLUMN($E$1),FALSE)/(LEN(VLOOKUP($D74,素材!$1:$1016,COLUMN($F$1),FALSE))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G74">
        <f>IF(ISNUMBER(SEARCH(SUBSTITUTE(AG$1,RIGHT(AG$1,2),""),VLOOKUP($D74,素材!$1:$1016,COLUMN($F$1),FALSE))),VLOOKUP($C74,装備品!$1:$998,COLUMN($O$1),FALSE)*VLOOKUP($D74,素材!$1:$1016,COLUMN($E$1),FALSE)/(LEN(VLOOKUP($D74,素材!$1:$1016,COLUMN($F$1),FALSE))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H74">
        <f>IF(ISNUMBER(SEARCH(SUBSTITUTE(AH$1,RIGHT(AH$1,2),""),VLOOKUP($D74,素材!$1:$1016,COLUMN($F$1),FALSE))),VLOOKUP($C74,装備品!$1:$998,COLUMN($O$1),FALSE)*VLOOKUP($D74,素材!$1:$1016,COLUMN($E$1),FALSE)/(LEN(VLOOKUP($D74,素材!$1:$1016,COLUMN($F$1),FALSE))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I74">
        <f>IF(ISNUMBER(SEARCH(SUBSTITUTE(AI$1,RIGHT(AI$1,2),""),VLOOKUP($D74,素材!$1:$1016,COLUMN($F$1),FALSE))),VLOOKUP($C74,装備品!$1:$998,COLUMN($O$1),FALSE)*VLOOKUP($D74,素材!$1:$1016,COLUMN($E$1),FALSE)/(LEN(VLOOKUP($D74,素材!$1:$1016,COLUMN($F$1),FALSE))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J74">
        <f>IF(ISNUMBER(SEARCH(SUBSTITUTE(AJ$1,RIGHT(AJ$1,2),""),VLOOKUP($D74,素材!$1:$1016,COLUMN($F$1),FALSE))),VLOOKUP($C74,装備品!$1:$998,COLUMN($O$1),FALSE)*VLOOKUP($D74,素材!$1:$1016,COLUMN($E$1),FALSE)/(LEN(VLOOKUP($D74,素材!$1:$1016,COLUMN($F$1),FALSE))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K74">
        <f>IF(ISNUMBER(SEARCH(SUBSTITUTE(AK$1,RIGHT(AK$1,2),""),VLOOKUP($D74,素材!$1:$1016,COLUMN($F$1),FALSE))),VLOOKUP($C74,装備品!$1:$998,COLUMN($O$1),FALSE)*VLOOKUP($D74,素材!$1:$1016,COLUMN($E$1),FALSE)/(LEN(VLOOKUP($D74,素材!$1:$1016,COLUMN($F$1),FALSE))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L74">
        <f>IF(ISNUMBER(SEARCH(SUBSTITUTE(AL$1,RIGHT(AL$1,2),""),VLOOKUP($D74,素材!$1:$1016,COLUMN($F$1),FALSE))),VLOOKUP($C74,装備品!$1:$998,COLUMN($O$1),FALSE)*VLOOKUP($D74,素材!$1:$1016,COLUMN($E$1),FALSE)/(LEN(VLOOKUP($D74,素材!$1:$1016,COLUMN($F$1),FALSE))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M74">
        <f>IF(ISNUMBER(SEARCH(SUBSTITUTE(AM$1,RIGHT(AM$1,2),""),VLOOKUP($D74,素材!$1:$1016,COLUMN($F$1),FALSE))),VLOOKUP($C74,装備品!$1:$998,COLUMN($O$1),FALSE)*VLOOKUP($D74,素材!$1:$1016,COLUMN($E$1),FALSE)/(LEN(VLOOKUP($D74,素材!$1:$1016,COLUMN($F$1),FALSE))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N74">
        <f>IF(ISNUMBER(SEARCH(SUBSTITUTE(AN$1,RIGHT(AN$1,2),""),VLOOKUP($D74,素材!$1:$1016,COLUMN($F$1),FALSE))),VLOOKUP($C74,装備品!$1:$998,COLUMN($O$1),FALSE)*VLOOKUP($D74,素材!$1:$1016,COLUMN($E$1),FALSE)/(LEN(VLOOKUP($D74,素材!$1:$1016,COLUMN($F$1),FALSE))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O74">
        <f>IF(ISNUMBER(SEARCH(SUBSTITUTE(AO$1,RIGHT(AO$1,2),""),VLOOKUP($D74,素材!$1:$1016,COLUMN($F$1),FALSE))),VLOOKUP($C74,装備品!$1:$998,COLUMN($O$1),FALSE)*VLOOKUP($D74,素材!$1:$1016,COLUMN($E$1),FALSE)/(LEN(VLOOKUP($D74,素材!$1:$1016,COLUMN($F$1),FALSE))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P74">
        <f>IF(ISNUMBER(SEARCH(SUBSTITUTE(AP$1,RIGHT(AP$1,2),""),VLOOKUP($D74,素材!$1:$1016,COLUMN($F$1),FALSE))),VLOOKUP($C74,装備品!$1:$998,COLUMN($O$1),FALSE)*VLOOKUP($D74,素材!$1:$1016,COLUMN($E$1),FALSE)/(LEN(VLOOKUP($D74,素材!$1:$1016,COLUMN($F$1),FALSE))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Q74">
        <f>IF(ISNUMBER(SEARCH(SUBSTITUTE(AQ$1,RIGHT(AQ$1,2),""),VLOOKUP($D74,素材!$1:$1016,COLUMN($F$1),FALSE))),VLOOKUP($C74,装備品!$1:$998,COLUMN($O$1),FALSE)*VLOOKUP($D74,素材!$1:$1016,COLUMN($E$1),FALSE)/(LEN(VLOOKUP($D74,素材!$1:$1016,COLUMN($F$1),FALSE))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R74">
        <f>IF(ISNUMBER(SEARCH(SUBSTITUTE(AR$1,RIGHT(AR$1,2),""),VLOOKUP($D74,素材!$1:$1016,COLUMN($F$1),FALSE))),VLOOKUP($C74,装備品!$1:$998,COLUMN($O$1),FALSE)*VLOOKUP($D74,素材!$1:$1016,COLUMN($E$1),FALSE)/(LEN(VLOOKUP($D74,素材!$1:$1016,COLUMN($F$1),FALSE))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S74">
        <f>IF(ISNUMBER(SEARCH(SUBSTITUTE(AS$1,RIGHT(AS$1,2),""),VLOOKUP($D74,素材!$1:$1016,COLUMN($F$1),FALSE))),VLOOKUP($C74,装備品!$1:$998,COLUMN($O$1),FALSE)*VLOOKUP($D74,素材!$1:$1016,COLUMN($E$1),FALSE)/(LEN(VLOOKUP($D74,素材!$1:$1016,COLUMN($F$1),FALSE))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T74">
        <f>IF(ISNUMBER(SEARCH(SUBSTITUTE(AT$1,RIGHT(AT$1,2),""),VLOOKUP($D74,素材!$1:$1016,COLUMN($F$1),FALSE))),VLOOKUP($C74,装備品!$1:$998,COLUMN($O$1),FALSE)*VLOOKUP($D74,素材!$1:$1016,COLUMN($E$1),FALSE)/(LEN(VLOOKUP($D74,素材!$1:$1016,COLUMN($F$1),FALSE))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U74">
        <f>IF(ISNUMBER(SEARCH(SUBSTITUTE(AU$1,RIGHT(AU$1,2),""),VLOOKUP($D74,素材!$1:$1016,COLUMN($F$1),FALSE))),VLOOKUP($C74,装備品!$1:$998,COLUMN($O$1),FALSE)*VLOOKUP($D74,素材!$1:$1016,COLUMN($E$1),FALSE)/(LEN(VLOOKUP($D74,素材!$1:$1016,COLUMN($F$1),FALSE))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V74">
        <f>IF(ISNUMBER(SEARCH(SUBSTITUTE(AV$1,RIGHT(AV$1,2),""),VLOOKUP($D74,素材!$1:$1016,COLUMN($F$1),FALSE))),VLOOKUP($C74,装備品!$1:$998,COLUMN($O$1),FALSE)*VLOOKUP($D74,素材!$1:$1016,COLUMN($E$1),FALSE)/(LEN(VLOOKUP($D74,素材!$1:$1016,COLUMN($F$1),FALSE))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W74">
        <f>IF(ISNUMBER(SEARCH(SUBSTITUTE(AW$1,RIGHT(AW$1,2),""),VLOOKUP($D74,素材!$1:$1016,COLUMN($F$1),FALSE))),VLOOKUP($C74,装備品!$1:$998,COLUMN($O$1),FALSE)*VLOOKUP($D74,素材!$1:$1016,COLUMN($E$1),FALSE)/(LEN(VLOOKUP($D74,素材!$1:$1016,COLUMN($F$1),FALSE))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X74">
        <f>IF(ISNUMBER(SEARCH(SUBSTITUTE(AX$1,RIGHT(AX$1,2),""),VLOOKUP($D74,素材!$1:$1016,COLUMN($F$1),FALSE))),VLOOKUP($C74,装備品!$1:$998,COLUMN($O$1),FALSE)*VLOOKUP($D74,素材!$1:$1016,COLUMN($E$1),FALSE)/(LEN(VLOOKUP($D74,素材!$1:$1016,COLUMN($F$1),FALSE))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Y74">
        <f>IF(ISNUMBER(SEARCH(SUBSTITUTE(AY$1,RIGHT(AY$1,2),""),VLOOKUP($D74,素材!$1:$1016,COLUMN($F$1),FALSE))),VLOOKUP($C74,装備品!$1:$998,COLUMN($O$1),FALSE)*VLOOKUP($D74,素材!$1:$1016,COLUMN($E$1),FALSE)/(LEN(VLOOKUP($D74,素材!$1:$1016,COLUMN($F$1),FALSE))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Z74">
        <f>IF(ISNUMBER(SEARCH(SUBSTITUTE(AZ$1,RIGHT(AZ$1,2),""),VLOOKUP($D74,素材!$1:$1016,COLUMN($F$1),FALSE))),VLOOKUP($C74,装備品!$1:$998,COLUMN($O$1),FALSE)*VLOOKUP($D74,素材!$1:$1016,COLUMN($E$1),FALSE)/(LEN(VLOOKUP($D74,素材!$1:$1016,COLUMN($F$1),FALSE))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BA74">
        <f>IF(ISNUMBER(SEARCH(SUBSTITUTE(BA$1,RIGHT(BA$1,2),""),VLOOKUP($D74,素材!$1:$1016,COLUMN($F$1),FALSE))),VLOOKUP($C74,装備品!$1:$998,COLUMN($O$1),FALSE)*VLOOKUP($D74,素材!$1:$1016,COLUMN($E$1),FALSE)/(LEN(VLOOKUP($D74,素材!$1:$1016,COLUMN($F$1),FALSE))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BB74">
        <f>IF(ISNUMBER(SEARCH(SUBSTITUTE(BB$1,RIGHT(BB$1,2),""),VLOOKUP($D74,素材!$1:$1016,COLUMN($F$1),FALSE))),VLOOKUP($C74,装備品!$1:$998,COLUMN($O$1),FALSE)*VLOOKUP($D74,素材!$1:$1016,COLUMN($E$1),FALSE)/(LEN(VLOOKUP($D74,素材!$1:$1016,COLUMN($F$1),FALSE))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BC74">
        <f>IF(ISNUMBER(SEARCH(SUBSTITUTE(BC$1,RIGHT(BC$1,2),""),VLOOKUP($D74,素材!$1:$1016,COLUMN($F$1),FALSE))),VLOOKUP($C74,装備品!$1:$998,COLUMN($O$1),FALSE)*VLOOKUP($D74,素材!$1:$1016,COLUMN($E$1),FALSE)/(LEN(VLOOKUP($D74,素材!$1:$1016,COLUMN($F$1),FALSE))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BD74">
        <f>IF(ISNUMBER(SEARCH(SUBSTITUTE(BD$1,RIGHT(BD$1,2),""),VLOOKUP($D74,素材!$1:$1016,COLUMN($F$1),FALSE))),VLOOKUP($C74,装備品!$1:$998,COLUMN($O$1),FALSE)*VLOOKUP($D74,素材!$1:$1016,COLUMN($E$1),FALSE)/(LEN(VLOOKUP($D74,素材!$1:$1016,COLUMN($F$1),FALSE))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BE74">
        <f>IF(ISNUMBER(SEARCH(SUBSTITUTE(BE$1,RIGHT(BE$1,2),""),VLOOKUP($D74,素材!$1:$1016,COLUMN($F$1),FALSE))),VLOOKUP($C74,装備品!$1:$998,COLUMN($O$1),FALSE)*VLOOKUP($D74,素材!$1:$1016,COLUMN($E$1),FALSE)/(LEN(VLOOKUP($D74,素材!$1:$1016,COLUMN($F$1),FALSE))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CL74">
        <f t="shared" si="7"/>
        <v>0</v>
      </c>
      <c r="CM74" s="22" t="str">
        <f t="shared" si="8"/>
        <v>体.webp</v>
      </c>
      <c r="CN74">
        <f>IFERROR(VLOOKUP($C74,装備品!$1:$998,COLUMN(V$1),FALSE)*VLOOKUP($D74,素材!$1:$1016,COLUMN(N$1),FALSE)+IF(CI74="",0,VLOOKUP($CI74,付与!$1:$1176,COLUMN($CK$1),FALSE)),"")</f>
        <v>0</v>
      </c>
      <c r="CO74" t="str">
        <f>VLOOKUP(D74,素材!$A:$O,COLUMN(素材!O$1),FALSE)</f>
        <v>一般的な木材。金属より軽いが少し脆い</v>
      </c>
      <c r="CP74" t="str">
        <f>VLOOKUP(C74,装備品!$A:$AB,COLUMN(装備品!AB$1),FALSE)</f>
        <v>HP 物理 魔法 体幹 出血 疲労 Cr</v>
      </c>
      <c r="CR74" t="str">
        <f t="shared" si="9"/>
        <v>e_74</v>
      </c>
      <c r="CS74">
        <f t="shared" si="10"/>
        <v>0</v>
      </c>
    </row>
    <row r="75" spans="1:97" outlineLevel="1" x14ac:dyDescent="0.4">
      <c r="A75" t="str">
        <f t="shared" si="6"/>
        <v>木の胴衣</v>
      </c>
      <c r="B75" t="str">
        <f>IFERROR(VLOOKUP($D75,素材!$1:$1016,COLUMN($B$1),FALSE)&amp;"・"&amp;VLOOKUP($C75,装備品!$1:$998,COLUMN(B$1),FALSE),"")</f>
        <v>ウッド・ベスト</v>
      </c>
      <c r="C75" t="s">
        <v>206</v>
      </c>
      <c r="D75" s="24" t="s">
        <v>254</v>
      </c>
      <c r="E75" t="str">
        <f>IFERROR(VLOOKUP(C75,装備品!$1:$998,COLUMN(C$1),FALSE),"")</f>
        <v>体</v>
      </c>
      <c r="F75">
        <f>IFERROR(ROUNDDOWN((VLOOKUP($C75,装備品!$1:$998,COLUMN(D$1),FALSE)+IFERROR(VLOOKUP($CI75,付与!$1:$1167,COLUMN(F$1),FALSE),0))*VLOOKUP($D75,素材!$1:$1016,COLUMN(D$1),FALSE),0),"")</f>
        <v>0</v>
      </c>
      <c r="G75">
        <f>IFERROR(ROUNDDOWN((VLOOKUP($C75,装備品!$1:$998,COLUMN(E$1),FALSE)+IFERROR(VLOOKUP($CI75,付与!$1:$1167,COLUMN(G$1),FALSE),0))*VLOOKUP($D75,素材!$1:$1016,COLUMN($E$1),FALSE),0),"")</f>
        <v>0</v>
      </c>
      <c r="H75">
        <f>IFERROR(ROUNDDOWN((VLOOKUP($C75,装備品!$1:$998,COLUMN(F$1),FALSE)+IFERROR(VLOOKUP($CI75,付与!$1:$1167,COLUMN(H$1),FALSE),0))*VLOOKUP($D75,素材!$1:$1016,COLUMN($E$1),FALSE),0),"")</f>
        <v>0</v>
      </c>
      <c r="I75">
        <f>IFERROR(ROUNDDOWN((VLOOKUP($C75,装備品!$1:$998,COLUMN(G$1),FALSE)+IFERROR(VLOOKUP($CI75,付与!$1:$1167,COLUMN(I$1),FALSE),0))*VLOOKUP($D75,素材!$1:$1016,COLUMN($E$1),FALSE),0),"")</f>
        <v>0</v>
      </c>
      <c r="J75">
        <f>IFERROR(ROUNDDOWN((VLOOKUP($C75,装備品!$1:$998,COLUMN(H$1),FALSE)+IFERROR(VLOOKUP($CI75,付与!$1:$1167,COLUMN(J$1),FALSE),0))*VLOOKUP($D75,素材!$1:$1016,COLUMN($E$1),FALSE),0),"")</f>
        <v>0</v>
      </c>
      <c r="K75">
        <f>IFERROR(ROUNDDOWN((VLOOKUP($C75,装備品!$1:$998,COLUMN(I$1),FALSE)+IFERROR(VLOOKUP($CI75,付与!$1:$1167,COLUMN(K$1),FALSE),0))*VLOOKUP($D75,素材!$1:$1016,COLUMN($E$1),FALSE),0),"")</f>
        <v>0</v>
      </c>
      <c r="L75">
        <f>IFERROR(VLOOKUP($D75,素材!$1:$1016,COLUMN($F$1),FALSE),"")</f>
        <v>0</v>
      </c>
      <c r="M75">
        <f>IFERROR(VLOOKUP($C75,装備品!$1:$998,COLUMN(AA$1),FALSE)*VLOOKUP($D75,素材!$1:$1016,COLUMN($G$1),FALSE),"")</f>
        <v>0</v>
      </c>
      <c r="N75">
        <f>IFERROR(VLOOKUP($C75,装備品!$1:$998,COLUMN(I$1),FALSE),"")</f>
        <v>0</v>
      </c>
      <c r="O75" s="23">
        <f>IFERROR((VLOOKUP($C75,装備品!$1:$998,COLUMN(K$1),FALSE)+VLOOKUP($D75,素材!$1:$1016,COLUMN(H$1),FALSE))*100+IFERROR(VLOOKUP($CI75,付与!$1:$1167,COLUMN(O$1),FALSE),0),"")</f>
        <v>0</v>
      </c>
      <c r="P75" s="23">
        <f>IFERROR((VLOOKUP($C75,装備品!$1:$998,COLUMN(L$1),FALSE)+VLOOKUP($D75,素材!$1:$1016,COLUMN(I$1),FALSE))*100+IFERROR(VLOOKUP($CI75,付与!$1:$1167,COLUMN(P$1),FALSE),0),"")</f>
        <v>0</v>
      </c>
      <c r="Q75">
        <f>IFERROR(ROUNDUP(VLOOKUP($C75,装備品!$1:$998,COLUMN(M$1),FALSE)*(VLOOKUP($D75,素材!$1:$1002,COLUMN(D$1),FALSE)/100),1),"")</f>
        <v>-5.6999999999999993</v>
      </c>
      <c r="R75">
        <f>IFERROR(ROUNDUP(VLOOKUP($C75,装備品!$1:$998,COLUMN(N$1),FALSE)*(VLOOKUP($D75,素材!$1:$1002,COLUMN(D$1),FALSE)/100),1),"")</f>
        <v>0</v>
      </c>
      <c r="S75">
        <f>IFERROR(VLOOKUP($C75,装備品!$1:$998,COLUMN(P$1),FALSE),"")</f>
        <v>-15</v>
      </c>
      <c r="T75">
        <f>IFERROR(VLOOKUP($C75,装備品!$1:$998,COLUMN(Q$1),FALSE),"")</f>
        <v>0</v>
      </c>
      <c r="U75">
        <f>IFERROR(VLOOKUP($C75,装備品!$1:$998,COLUMN(R$1),FALSE),"")</f>
        <v>0</v>
      </c>
      <c r="V75">
        <f>IFERROR(VLOOKUP($C75,装備品!$1:$998,COLUMN(Q$1),FALSE),"")</f>
        <v>0</v>
      </c>
      <c r="W75">
        <f>IFERROR(VLOOKUP($C75,装備品!$1:$998,COLUMN(T$1),FALSE),"")</f>
        <v>0.5</v>
      </c>
      <c r="Y75">
        <f>IFERROR(VLOOKUP($C75,装備品!$1:$998,COLUMN(U$1),FALSE),"")</f>
        <v>0</v>
      </c>
      <c r="Z75">
        <f>IFERROR(ROUNDUP(VLOOKUP($C75,装備品!$1:$998,COLUMN(O$1),FALSE)*VLOOKUP($D75,素材!$1:$1016,COLUMN(E$1),FALSE),1),"")</f>
        <v>0</v>
      </c>
      <c r="AA75">
        <f>IF(ISNUMBER(SEARCH(SUBSTITUTE(AA$1,RIGHT(AA$1,2),""),VLOOKUP($D75,素材!$1:$1016,COLUMN($F$1),FALSE))),VLOOKUP($C75,装備品!$1:$998,COLUMN($O$1),FALSE)*VLOOKUP($D75,素材!$1:$1016,COLUMN($E$1),FALSE)/(LEN(VLOOKUP($D75,素材!$1:$1016,COLUMN($F$1),FALSE))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B75">
        <f>IF(ISNUMBER(SEARCH(SUBSTITUTE(AB$1,RIGHT(AB$1,2),""),VLOOKUP($D75,素材!$1:$1016,COLUMN($F$1),FALSE))),VLOOKUP($C75,装備品!$1:$998,COLUMN($O$1),FALSE)*VLOOKUP($D75,素材!$1:$1016,COLUMN($E$1),FALSE)/(LEN(VLOOKUP($D75,素材!$1:$1016,COLUMN($F$1),FALSE))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C75">
        <f>IF(ISNUMBER(SEARCH(SUBSTITUTE(AC$1,RIGHT(AC$1,2),""),VLOOKUP($D75,素材!$1:$1016,COLUMN($F$1),FALSE))),VLOOKUP($C75,装備品!$1:$998,COLUMN($O$1),FALSE)*VLOOKUP($D75,素材!$1:$1016,COLUMN($E$1),FALSE)/(LEN(VLOOKUP($D75,素材!$1:$1016,COLUMN($F$1),FALSE))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D75">
        <f>IF(ISNUMBER(SEARCH(SUBSTITUTE(AD$1,RIGHT(AD$1,2),""),VLOOKUP($D75,素材!$1:$1016,COLUMN($F$1),FALSE))),VLOOKUP($C75,装備品!$1:$998,COLUMN($O$1),FALSE)*VLOOKUP($D75,素材!$1:$1016,COLUMN($E$1),FALSE)/(LEN(VLOOKUP($D75,素材!$1:$1016,COLUMN($F$1),FALSE))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E75">
        <f>IF(ISNUMBER(SEARCH(SUBSTITUTE(AE$1,RIGHT(AE$1,2),""),VLOOKUP($D75,素材!$1:$1016,COLUMN($F$1),FALSE))),VLOOKUP($C75,装備品!$1:$998,COLUMN($O$1),FALSE)*VLOOKUP($D75,素材!$1:$1016,COLUMN($E$1),FALSE)/(LEN(VLOOKUP($D75,素材!$1:$1016,COLUMN($F$1),FALSE))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F75">
        <f>IF(ISNUMBER(SEARCH(SUBSTITUTE(AF$1,RIGHT(AF$1,2),""),VLOOKUP($D75,素材!$1:$1016,COLUMN($F$1),FALSE))),VLOOKUP($C75,装備品!$1:$998,COLUMN($O$1),FALSE)*VLOOKUP($D75,素材!$1:$1016,COLUMN($E$1),FALSE)/(LEN(VLOOKUP($D75,素材!$1:$1016,COLUMN($F$1),FALSE))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G75">
        <f>IF(ISNUMBER(SEARCH(SUBSTITUTE(AG$1,RIGHT(AG$1,2),""),VLOOKUP($D75,素材!$1:$1016,COLUMN($F$1),FALSE))),VLOOKUP($C75,装備品!$1:$998,COLUMN($O$1),FALSE)*VLOOKUP($D75,素材!$1:$1016,COLUMN($E$1),FALSE)/(LEN(VLOOKUP($D75,素材!$1:$1016,COLUMN($F$1),FALSE))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H75">
        <f>IF(ISNUMBER(SEARCH(SUBSTITUTE(AH$1,RIGHT(AH$1,2),""),VLOOKUP($D75,素材!$1:$1016,COLUMN($F$1),FALSE))),VLOOKUP($C75,装備品!$1:$998,COLUMN($O$1),FALSE)*VLOOKUP($D75,素材!$1:$1016,COLUMN($E$1),FALSE)/(LEN(VLOOKUP($D75,素材!$1:$1016,COLUMN($F$1),FALSE))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I75">
        <f>IF(ISNUMBER(SEARCH(SUBSTITUTE(AI$1,RIGHT(AI$1,2),""),VLOOKUP($D75,素材!$1:$1016,COLUMN($F$1),FALSE))),VLOOKUP($C75,装備品!$1:$998,COLUMN($O$1),FALSE)*VLOOKUP($D75,素材!$1:$1016,COLUMN($E$1),FALSE)/(LEN(VLOOKUP($D75,素材!$1:$1016,COLUMN($F$1),FALSE))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J75">
        <f>IF(ISNUMBER(SEARCH(SUBSTITUTE(AJ$1,RIGHT(AJ$1,2),""),VLOOKUP($D75,素材!$1:$1016,COLUMN($F$1),FALSE))),VLOOKUP($C75,装備品!$1:$998,COLUMN($O$1),FALSE)*VLOOKUP($D75,素材!$1:$1016,COLUMN($E$1),FALSE)/(LEN(VLOOKUP($D75,素材!$1:$1016,COLUMN($F$1),FALSE))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K75">
        <f>IF(ISNUMBER(SEARCH(SUBSTITUTE(AK$1,RIGHT(AK$1,2),""),VLOOKUP($D75,素材!$1:$1016,COLUMN($F$1),FALSE))),VLOOKUP($C75,装備品!$1:$998,COLUMN($O$1),FALSE)*VLOOKUP($D75,素材!$1:$1016,COLUMN($E$1),FALSE)/(LEN(VLOOKUP($D75,素材!$1:$1016,COLUMN($F$1),FALSE))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L75">
        <f>IF(ISNUMBER(SEARCH(SUBSTITUTE(AL$1,RIGHT(AL$1,2),""),VLOOKUP($D75,素材!$1:$1016,COLUMN($F$1),FALSE))),VLOOKUP($C75,装備品!$1:$998,COLUMN($O$1),FALSE)*VLOOKUP($D75,素材!$1:$1016,COLUMN($E$1),FALSE)/(LEN(VLOOKUP($D75,素材!$1:$1016,COLUMN($F$1),FALSE))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M75">
        <f>IF(ISNUMBER(SEARCH(SUBSTITUTE(AM$1,RIGHT(AM$1,2),""),VLOOKUP($D75,素材!$1:$1016,COLUMN($F$1),FALSE))),VLOOKUP($C75,装備品!$1:$998,COLUMN($O$1),FALSE)*VLOOKUP($D75,素材!$1:$1016,COLUMN($E$1),FALSE)/(LEN(VLOOKUP($D75,素材!$1:$1016,COLUMN($F$1),FALSE))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N75">
        <f>IF(ISNUMBER(SEARCH(SUBSTITUTE(AN$1,RIGHT(AN$1,2),""),VLOOKUP($D75,素材!$1:$1016,COLUMN($F$1),FALSE))),VLOOKUP($C75,装備品!$1:$998,COLUMN($O$1),FALSE)*VLOOKUP($D75,素材!$1:$1016,COLUMN($E$1),FALSE)/(LEN(VLOOKUP($D75,素材!$1:$1016,COLUMN($F$1),FALSE))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O75">
        <f>IF(ISNUMBER(SEARCH(SUBSTITUTE(AO$1,RIGHT(AO$1,2),""),VLOOKUP($D75,素材!$1:$1016,COLUMN($F$1),FALSE))),VLOOKUP($C75,装備品!$1:$998,COLUMN($O$1),FALSE)*VLOOKUP($D75,素材!$1:$1016,COLUMN($E$1),FALSE)/(LEN(VLOOKUP($D75,素材!$1:$1016,COLUMN($F$1),FALSE))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P75">
        <f>IF(ISNUMBER(SEARCH(SUBSTITUTE(AP$1,RIGHT(AP$1,2),""),VLOOKUP($D75,素材!$1:$1016,COLUMN($F$1),FALSE))),VLOOKUP($C75,装備品!$1:$998,COLUMN($O$1),FALSE)*VLOOKUP($D75,素材!$1:$1016,COLUMN($E$1),FALSE)/(LEN(VLOOKUP($D75,素材!$1:$1016,COLUMN($F$1),FALSE))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Q75">
        <f>IF(ISNUMBER(SEARCH(SUBSTITUTE(AQ$1,RIGHT(AQ$1,2),""),VLOOKUP($D75,素材!$1:$1016,COLUMN($F$1),FALSE))),VLOOKUP($C75,装備品!$1:$998,COLUMN($O$1),FALSE)*VLOOKUP($D75,素材!$1:$1016,COLUMN($E$1),FALSE)/(LEN(VLOOKUP($D75,素材!$1:$1016,COLUMN($F$1),FALSE))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R75">
        <f>IF(ISNUMBER(SEARCH(SUBSTITUTE(AR$1,RIGHT(AR$1,2),""),VLOOKUP($D75,素材!$1:$1016,COLUMN($F$1),FALSE))),VLOOKUP($C75,装備品!$1:$998,COLUMN($O$1),FALSE)*VLOOKUP($D75,素材!$1:$1016,COLUMN($E$1),FALSE)/(LEN(VLOOKUP($D75,素材!$1:$1016,COLUMN($F$1),FALSE))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S75">
        <f>IF(ISNUMBER(SEARCH(SUBSTITUTE(AS$1,RIGHT(AS$1,2),""),VLOOKUP($D75,素材!$1:$1016,COLUMN($F$1),FALSE))),VLOOKUP($C75,装備品!$1:$998,COLUMN($O$1),FALSE)*VLOOKUP($D75,素材!$1:$1016,COLUMN($E$1),FALSE)/(LEN(VLOOKUP($D75,素材!$1:$1016,COLUMN($F$1),FALSE))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T75">
        <f>IF(ISNUMBER(SEARCH(SUBSTITUTE(AT$1,RIGHT(AT$1,2),""),VLOOKUP($D75,素材!$1:$1016,COLUMN($F$1),FALSE))),VLOOKUP($C75,装備品!$1:$998,COLUMN($O$1),FALSE)*VLOOKUP($D75,素材!$1:$1016,COLUMN($E$1),FALSE)/(LEN(VLOOKUP($D75,素材!$1:$1016,COLUMN($F$1),FALSE))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U75">
        <f>IF(ISNUMBER(SEARCH(SUBSTITUTE(AU$1,RIGHT(AU$1,2),""),VLOOKUP($D75,素材!$1:$1016,COLUMN($F$1),FALSE))),VLOOKUP($C75,装備品!$1:$998,COLUMN($O$1),FALSE)*VLOOKUP($D75,素材!$1:$1016,COLUMN($E$1),FALSE)/(LEN(VLOOKUP($D75,素材!$1:$1016,COLUMN($F$1),FALSE))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V75">
        <f>IF(ISNUMBER(SEARCH(SUBSTITUTE(AV$1,RIGHT(AV$1,2),""),VLOOKUP($D75,素材!$1:$1016,COLUMN($F$1),FALSE))),VLOOKUP($C75,装備品!$1:$998,COLUMN($O$1),FALSE)*VLOOKUP($D75,素材!$1:$1016,COLUMN($E$1),FALSE)/(LEN(VLOOKUP($D75,素材!$1:$1016,COLUMN($F$1),FALSE))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W75">
        <f>IF(ISNUMBER(SEARCH(SUBSTITUTE(AW$1,RIGHT(AW$1,2),""),VLOOKUP($D75,素材!$1:$1016,COLUMN($F$1),FALSE))),VLOOKUP($C75,装備品!$1:$998,COLUMN($O$1),FALSE)*VLOOKUP($D75,素材!$1:$1016,COLUMN($E$1),FALSE)/(LEN(VLOOKUP($D75,素材!$1:$1016,COLUMN($F$1),FALSE))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X75">
        <f>IF(ISNUMBER(SEARCH(SUBSTITUTE(AX$1,RIGHT(AX$1,2),""),VLOOKUP($D75,素材!$1:$1016,COLUMN($F$1),FALSE))),VLOOKUP($C75,装備品!$1:$998,COLUMN($O$1),FALSE)*VLOOKUP($D75,素材!$1:$1016,COLUMN($E$1),FALSE)/(LEN(VLOOKUP($D75,素材!$1:$1016,COLUMN($F$1),FALSE))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Y75">
        <f>IF(ISNUMBER(SEARCH(SUBSTITUTE(AY$1,RIGHT(AY$1,2),""),VLOOKUP($D75,素材!$1:$1016,COLUMN($F$1),FALSE))),VLOOKUP($C75,装備品!$1:$998,COLUMN($O$1),FALSE)*VLOOKUP($D75,素材!$1:$1016,COLUMN($E$1),FALSE)/(LEN(VLOOKUP($D75,素材!$1:$1016,COLUMN($F$1),FALSE))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Z75">
        <f>IF(ISNUMBER(SEARCH(SUBSTITUTE(AZ$1,RIGHT(AZ$1,2),""),VLOOKUP($D75,素材!$1:$1016,COLUMN($F$1),FALSE))),VLOOKUP($C75,装備品!$1:$998,COLUMN($O$1),FALSE)*VLOOKUP($D75,素材!$1:$1016,COLUMN($E$1),FALSE)/(LEN(VLOOKUP($D75,素材!$1:$1016,COLUMN($F$1),FALSE))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BA75">
        <f>IF(ISNUMBER(SEARCH(SUBSTITUTE(BA$1,RIGHT(BA$1,2),""),VLOOKUP($D75,素材!$1:$1016,COLUMN($F$1),FALSE))),VLOOKUP($C75,装備品!$1:$998,COLUMN($O$1),FALSE)*VLOOKUP($D75,素材!$1:$1016,COLUMN($E$1),FALSE)/(LEN(VLOOKUP($D75,素材!$1:$1016,COLUMN($F$1),FALSE))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BB75">
        <f>IF(ISNUMBER(SEARCH(SUBSTITUTE(BB$1,RIGHT(BB$1,2),""),VLOOKUP($D75,素材!$1:$1016,COLUMN($F$1),FALSE))),VLOOKUP($C75,装備品!$1:$998,COLUMN($O$1),FALSE)*VLOOKUP($D75,素材!$1:$1016,COLUMN($E$1),FALSE)/(LEN(VLOOKUP($D75,素材!$1:$1016,COLUMN($F$1),FALSE))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BC75">
        <f>IF(ISNUMBER(SEARCH(SUBSTITUTE(BC$1,RIGHT(BC$1,2),""),VLOOKUP($D75,素材!$1:$1016,COLUMN($F$1),FALSE))),VLOOKUP($C75,装備品!$1:$998,COLUMN($O$1),FALSE)*VLOOKUP($D75,素材!$1:$1016,COLUMN($E$1),FALSE)/(LEN(VLOOKUP($D75,素材!$1:$1016,COLUMN($F$1),FALSE))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BD75">
        <f>IF(ISNUMBER(SEARCH(SUBSTITUTE(BD$1,RIGHT(BD$1,2),""),VLOOKUP($D75,素材!$1:$1016,COLUMN($F$1),FALSE))),VLOOKUP($C75,装備品!$1:$998,COLUMN($O$1),FALSE)*VLOOKUP($D75,素材!$1:$1016,COLUMN($E$1),FALSE)/(LEN(VLOOKUP($D75,素材!$1:$1016,COLUMN($F$1),FALSE))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BE75">
        <f>IF(ISNUMBER(SEARCH(SUBSTITUTE(BE$1,RIGHT(BE$1,2),""),VLOOKUP($D75,素材!$1:$1016,COLUMN($F$1),FALSE))),VLOOKUP($C75,装備品!$1:$998,COLUMN($O$1),FALSE)*VLOOKUP($D75,素材!$1:$1016,COLUMN($E$1),FALSE)/(LEN(VLOOKUP($D75,素材!$1:$1016,COLUMN($F$1),FALSE))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CL75">
        <f t="shared" si="7"/>
        <v>0</v>
      </c>
      <c r="CM75" s="22" t="str">
        <f t="shared" si="8"/>
        <v>体.webp</v>
      </c>
      <c r="CN75">
        <f>IFERROR(VLOOKUP($C75,装備品!$1:$998,COLUMN(V$1),FALSE)*VLOOKUP($D75,素材!$1:$1016,COLUMN(N$1),FALSE)+IF(CI75="",0,VLOOKUP($CI75,付与!$1:$1176,COLUMN($CK$1),FALSE)),"")</f>
        <v>0</v>
      </c>
      <c r="CO75" t="str">
        <f>VLOOKUP(D75,素材!$A:$O,COLUMN(素材!O$1),FALSE)</f>
        <v>一般的な木材。金属より軽いが少し脆い</v>
      </c>
      <c r="CP75" t="str">
        <f>VLOOKUP(C75,装備品!$A:$AB,COLUMN(装備品!AB$1),FALSE)</f>
        <v>HP 物理 魔法 体幹 出血 疲労 Cr</v>
      </c>
      <c r="CR75" t="str">
        <f t="shared" si="9"/>
        <v>e_75</v>
      </c>
      <c r="CS75">
        <f t="shared" si="10"/>
        <v>0</v>
      </c>
    </row>
    <row r="76" spans="1:97" outlineLevel="1" x14ac:dyDescent="0.4">
      <c r="A76" t="str">
        <f t="shared" si="6"/>
        <v>木の靴</v>
      </c>
      <c r="B76" t="str">
        <f>IFERROR(VLOOKUP($D76,素材!$1:$1016,COLUMN($B$1),FALSE)&amp;"・"&amp;VLOOKUP($C76,装備品!$1:$998,COLUMN(B$1),FALSE),"")</f>
        <v>ウッド・ブーツ</v>
      </c>
      <c r="C76" t="s">
        <v>205</v>
      </c>
      <c r="D76" s="24" t="s">
        <v>254</v>
      </c>
      <c r="E76" t="str">
        <f>IFERROR(VLOOKUP(C76,装備品!$1:$998,COLUMN(C$1),FALSE),"")</f>
        <v>足</v>
      </c>
      <c r="F76">
        <f>IFERROR(ROUNDDOWN((VLOOKUP($C76,装備品!$1:$998,COLUMN(D$1),FALSE)+IFERROR(VLOOKUP($CI76,付与!$1:$1167,COLUMN(F$1),FALSE),0))*VLOOKUP($D76,素材!$1:$1016,COLUMN(D$1),FALSE),0),"")</f>
        <v>0</v>
      </c>
      <c r="G76">
        <f>IFERROR(ROUNDDOWN((VLOOKUP($C76,装備品!$1:$998,COLUMN(E$1),FALSE)+IFERROR(VLOOKUP($CI76,付与!$1:$1167,COLUMN(G$1),FALSE),0))*VLOOKUP($D76,素材!$1:$1016,COLUMN($E$1),FALSE),0),"")</f>
        <v>0</v>
      </c>
      <c r="H76">
        <f>IFERROR(ROUNDDOWN((VLOOKUP($C76,装備品!$1:$998,COLUMN(F$1),FALSE)+IFERROR(VLOOKUP($CI76,付与!$1:$1167,COLUMN(H$1),FALSE),0))*VLOOKUP($D76,素材!$1:$1016,COLUMN($E$1),FALSE),0),"")</f>
        <v>0</v>
      </c>
      <c r="I76">
        <f>IFERROR(ROUNDDOWN((VLOOKUP($C76,装備品!$1:$998,COLUMN(G$1),FALSE)+IFERROR(VLOOKUP($CI76,付与!$1:$1167,COLUMN(I$1),FALSE),0))*VLOOKUP($D76,素材!$1:$1016,COLUMN($E$1),FALSE),0),"")</f>
        <v>15</v>
      </c>
      <c r="J76">
        <f>IFERROR(ROUNDDOWN((VLOOKUP($C76,装備品!$1:$998,COLUMN(H$1),FALSE)+IFERROR(VLOOKUP($CI76,付与!$1:$1167,COLUMN(J$1),FALSE),0))*VLOOKUP($D76,素材!$1:$1016,COLUMN($E$1),FALSE),0),"")</f>
        <v>0</v>
      </c>
      <c r="K76">
        <f>IFERROR(ROUNDDOWN((VLOOKUP($C76,装備品!$1:$998,COLUMN(I$1),FALSE)+IFERROR(VLOOKUP($CI76,付与!$1:$1167,COLUMN(K$1),FALSE),0))*VLOOKUP($D76,素材!$1:$1016,COLUMN($E$1),FALSE),0),"")</f>
        <v>0</v>
      </c>
      <c r="L76">
        <f>IFERROR(VLOOKUP($D76,素材!$1:$1016,COLUMN($F$1),FALSE),"")</f>
        <v>0</v>
      </c>
      <c r="M76">
        <f>IFERROR(VLOOKUP($C76,装備品!$1:$998,COLUMN(AA$1),FALSE)*VLOOKUP($D76,素材!$1:$1016,COLUMN($G$1),FALSE),"")</f>
        <v>0</v>
      </c>
      <c r="N76">
        <f>IFERROR(VLOOKUP($C76,装備品!$1:$998,COLUMN(I$1),FALSE),"")</f>
        <v>0</v>
      </c>
      <c r="O76" s="23">
        <f>IFERROR((VLOOKUP($C76,装備品!$1:$998,COLUMN(K$1),FALSE)+VLOOKUP($D76,素材!$1:$1016,COLUMN(H$1),FALSE))*100+IFERROR(VLOOKUP($CI76,付与!$1:$1167,COLUMN(O$1),FALSE),0),"")</f>
        <v>10</v>
      </c>
      <c r="P76" s="23">
        <f>IFERROR((VLOOKUP($C76,装備品!$1:$998,COLUMN(L$1),FALSE)+VLOOKUP($D76,素材!$1:$1016,COLUMN(I$1),FALSE))*100+IFERROR(VLOOKUP($CI76,付与!$1:$1167,COLUMN(P$1),FALSE),0),"")</f>
        <v>150</v>
      </c>
      <c r="Q76">
        <f>IFERROR(ROUNDUP(VLOOKUP($C76,装備品!$1:$998,COLUMN(M$1),FALSE)*(VLOOKUP($D76,素材!$1:$1002,COLUMN(D$1),FALSE)/100),1),"")</f>
        <v>0</v>
      </c>
      <c r="R76">
        <f>IFERROR(ROUNDUP(VLOOKUP($C76,装備品!$1:$998,COLUMN(N$1),FALSE)*(VLOOKUP($D76,素材!$1:$1002,COLUMN(D$1),FALSE)/100),1),"")</f>
        <v>0</v>
      </c>
      <c r="S76">
        <f>IFERROR(VLOOKUP($C76,装備品!$1:$998,COLUMN(P$1),FALSE),"")</f>
        <v>0</v>
      </c>
      <c r="T76">
        <f>IFERROR(VLOOKUP($C76,装備品!$1:$998,COLUMN(Q$1),FALSE),"")</f>
        <v>0</v>
      </c>
      <c r="U76">
        <f>IFERROR(VLOOKUP($C76,装備品!$1:$998,COLUMN(R$1),FALSE),"")</f>
        <v>0</v>
      </c>
      <c r="V76">
        <f>IFERROR(VLOOKUP($C76,装備品!$1:$998,COLUMN(Q$1),FALSE),"")</f>
        <v>0</v>
      </c>
      <c r="W76">
        <f>IFERROR(VLOOKUP($C76,装備品!$1:$998,COLUMN(T$1),FALSE),"")</f>
        <v>0.15</v>
      </c>
      <c r="Y76">
        <f>IFERROR(VLOOKUP($C76,装備品!$1:$998,COLUMN(U$1),FALSE),"")</f>
        <v>0</v>
      </c>
      <c r="Z76">
        <f>IFERROR(ROUNDUP(VLOOKUP($C76,装備品!$1:$998,COLUMN(O$1),FALSE)*VLOOKUP($D76,素材!$1:$1016,COLUMN(E$1),FALSE),1),"")</f>
        <v>0</v>
      </c>
      <c r="AA76">
        <f>IF(ISNUMBER(SEARCH(SUBSTITUTE(AA$1,RIGHT(AA$1,2),""),VLOOKUP($D76,素材!$1:$1016,COLUMN($F$1),FALSE))),VLOOKUP($C76,装備品!$1:$998,COLUMN($O$1),FALSE)*VLOOKUP($D76,素材!$1:$1016,COLUMN($E$1),FALSE)/(LEN(VLOOKUP($D76,素材!$1:$1016,COLUMN($F$1),FALSE))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B76">
        <f>IF(ISNUMBER(SEARCH(SUBSTITUTE(AB$1,RIGHT(AB$1,2),""),VLOOKUP($D76,素材!$1:$1016,COLUMN($F$1),FALSE))),VLOOKUP($C76,装備品!$1:$998,COLUMN($O$1),FALSE)*VLOOKUP($D76,素材!$1:$1016,COLUMN($E$1),FALSE)/(LEN(VLOOKUP($D76,素材!$1:$1016,COLUMN($F$1),FALSE))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C76">
        <f>IF(ISNUMBER(SEARCH(SUBSTITUTE(AC$1,RIGHT(AC$1,2),""),VLOOKUP($D76,素材!$1:$1016,COLUMN($F$1),FALSE))),VLOOKUP($C76,装備品!$1:$998,COLUMN($O$1),FALSE)*VLOOKUP($D76,素材!$1:$1016,COLUMN($E$1),FALSE)/(LEN(VLOOKUP($D76,素材!$1:$1016,COLUMN($F$1),FALSE))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D76">
        <f>IF(ISNUMBER(SEARCH(SUBSTITUTE(AD$1,RIGHT(AD$1,2),""),VLOOKUP($D76,素材!$1:$1016,COLUMN($F$1),FALSE))),VLOOKUP($C76,装備品!$1:$998,COLUMN($O$1),FALSE)*VLOOKUP($D76,素材!$1:$1016,COLUMN($E$1),FALSE)/(LEN(VLOOKUP($D76,素材!$1:$1016,COLUMN($F$1),FALSE))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E76">
        <f>IF(ISNUMBER(SEARCH(SUBSTITUTE(AE$1,RIGHT(AE$1,2),""),VLOOKUP($D76,素材!$1:$1016,COLUMN($F$1),FALSE))),VLOOKUP($C76,装備品!$1:$998,COLUMN($O$1),FALSE)*VLOOKUP($D76,素材!$1:$1016,COLUMN($E$1),FALSE)/(LEN(VLOOKUP($D76,素材!$1:$1016,COLUMN($F$1),FALSE))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F76">
        <f>IF(ISNUMBER(SEARCH(SUBSTITUTE(AF$1,RIGHT(AF$1,2),""),VLOOKUP($D76,素材!$1:$1016,COLUMN($F$1),FALSE))),VLOOKUP($C76,装備品!$1:$998,COLUMN($O$1),FALSE)*VLOOKUP($D76,素材!$1:$1016,COLUMN($E$1),FALSE)/(LEN(VLOOKUP($D76,素材!$1:$1016,COLUMN($F$1),FALSE))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G76">
        <f>IF(ISNUMBER(SEARCH(SUBSTITUTE(AG$1,RIGHT(AG$1,2),""),VLOOKUP($D76,素材!$1:$1016,COLUMN($F$1),FALSE))),VLOOKUP($C76,装備品!$1:$998,COLUMN($O$1),FALSE)*VLOOKUP($D76,素材!$1:$1016,COLUMN($E$1),FALSE)/(LEN(VLOOKUP($D76,素材!$1:$1016,COLUMN($F$1),FALSE))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H76">
        <f>IF(ISNUMBER(SEARCH(SUBSTITUTE(AH$1,RIGHT(AH$1,2),""),VLOOKUP($D76,素材!$1:$1016,COLUMN($F$1),FALSE))),VLOOKUP($C76,装備品!$1:$998,COLUMN($O$1),FALSE)*VLOOKUP($D76,素材!$1:$1016,COLUMN($E$1),FALSE)/(LEN(VLOOKUP($D76,素材!$1:$1016,COLUMN($F$1),FALSE))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I76">
        <f>IF(ISNUMBER(SEARCH(SUBSTITUTE(AI$1,RIGHT(AI$1,2),""),VLOOKUP($D76,素材!$1:$1016,COLUMN($F$1),FALSE))),VLOOKUP($C76,装備品!$1:$998,COLUMN($O$1),FALSE)*VLOOKUP($D76,素材!$1:$1016,COLUMN($E$1),FALSE)/(LEN(VLOOKUP($D76,素材!$1:$1016,COLUMN($F$1),FALSE))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J76">
        <f>IF(ISNUMBER(SEARCH(SUBSTITUTE(AJ$1,RIGHT(AJ$1,2),""),VLOOKUP($D76,素材!$1:$1016,COLUMN($F$1),FALSE))),VLOOKUP($C76,装備品!$1:$998,COLUMN($O$1),FALSE)*VLOOKUP($D76,素材!$1:$1016,COLUMN($E$1),FALSE)/(LEN(VLOOKUP($D76,素材!$1:$1016,COLUMN($F$1),FALSE))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K76">
        <f>IF(ISNUMBER(SEARCH(SUBSTITUTE(AK$1,RIGHT(AK$1,2),""),VLOOKUP($D76,素材!$1:$1016,COLUMN($F$1),FALSE))),VLOOKUP($C76,装備品!$1:$998,COLUMN($O$1),FALSE)*VLOOKUP($D76,素材!$1:$1016,COLUMN($E$1),FALSE)/(LEN(VLOOKUP($D76,素材!$1:$1016,COLUMN($F$1),FALSE))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L76">
        <f>IF(ISNUMBER(SEARCH(SUBSTITUTE(AL$1,RIGHT(AL$1,2),""),VLOOKUP($D76,素材!$1:$1016,COLUMN($F$1),FALSE))),VLOOKUP($C76,装備品!$1:$998,COLUMN($O$1),FALSE)*VLOOKUP($D76,素材!$1:$1016,COLUMN($E$1),FALSE)/(LEN(VLOOKUP($D76,素材!$1:$1016,COLUMN($F$1),FALSE))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M76">
        <f>IF(ISNUMBER(SEARCH(SUBSTITUTE(AM$1,RIGHT(AM$1,2),""),VLOOKUP($D76,素材!$1:$1016,COLUMN($F$1),FALSE))),VLOOKUP($C76,装備品!$1:$998,COLUMN($O$1),FALSE)*VLOOKUP($D76,素材!$1:$1016,COLUMN($E$1),FALSE)/(LEN(VLOOKUP($D76,素材!$1:$1016,COLUMN($F$1),FALSE))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N76">
        <f>IF(ISNUMBER(SEARCH(SUBSTITUTE(AN$1,RIGHT(AN$1,2),""),VLOOKUP($D76,素材!$1:$1016,COLUMN($F$1),FALSE))),VLOOKUP($C76,装備品!$1:$998,COLUMN($O$1),FALSE)*VLOOKUP($D76,素材!$1:$1016,COLUMN($E$1),FALSE)/(LEN(VLOOKUP($D76,素材!$1:$1016,COLUMN($F$1),FALSE))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O76">
        <f>IF(ISNUMBER(SEARCH(SUBSTITUTE(AO$1,RIGHT(AO$1,2),""),VLOOKUP($D76,素材!$1:$1016,COLUMN($F$1),FALSE))),VLOOKUP($C76,装備品!$1:$998,COLUMN($O$1),FALSE)*VLOOKUP($D76,素材!$1:$1016,COLUMN($E$1),FALSE)/(LEN(VLOOKUP($D76,素材!$1:$1016,COLUMN($F$1),FALSE))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P76">
        <f>IF(ISNUMBER(SEARCH(SUBSTITUTE(AP$1,RIGHT(AP$1,2),""),VLOOKUP($D76,素材!$1:$1016,COLUMN($F$1),FALSE))),VLOOKUP($C76,装備品!$1:$998,COLUMN($O$1),FALSE)*VLOOKUP($D76,素材!$1:$1016,COLUMN($E$1),FALSE)/(LEN(VLOOKUP($D76,素材!$1:$1016,COLUMN($F$1),FALSE))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Q76">
        <f>IF(ISNUMBER(SEARCH(SUBSTITUTE(AQ$1,RIGHT(AQ$1,2),""),VLOOKUP($D76,素材!$1:$1016,COLUMN($F$1),FALSE))),VLOOKUP($C76,装備品!$1:$998,COLUMN($O$1),FALSE)*VLOOKUP($D76,素材!$1:$1016,COLUMN($E$1),FALSE)/(LEN(VLOOKUP($D76,素材!$1:$1016,COLUMN($F$1),FALSE))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R76">
        <f>IF(ISNUMBER(SEARCH(SUBSTITUTE(AR$1,RIGHT(AR$1,2),""),VLOOKUP($D76,素材!$1:$1016,COLUMN($F$1),FALSE))),VLOOKUP($C76,装備品!$1:$998,COLUMN($O$1),FALSE)*VLOOKUP($D76,素材!$1:$1016,COLUMN($E$1),FALSE)/(LEN(VLOOKUP($D76,素材!$1:$1016,COLUMN($F$1),FALSE))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S76">
        <f>IF(ISNUMBER(SEARCH(SUBSTITUTE(AS$1,RIGHT(AS$1,2),""),VLOOKUP($D76,素材!$1:$1016,COLUMN($F$1),FALSE))),VLOOKUP($C76,装備品!$1:$998,COLUMN($O$1),FALSE)*VLOOKUP($D76,素材!$1:$1016,COLUMN($E$1),FALSE)/(LEN(VLOOKUP($D76,素材!$1:$1016,COLUMN($F$1),FALSE))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T76">
        <f>IF(ISNUMBER(SEARCH(SUBSTITUTE(AT$1,RIGHT(AT$1,2),""),VLOOKUP($D76,素材!$1:$1016,COLUMN($F$1),FALSE))),VLOOKUP($C76,装備品!$1:$998,COLUMN($O$1),FALSE)*VLOOKUP($D76,素材!$1:$1016,COLUMN($E$1),FALSE)/(LEN(VLOOKUP($D76,素材!$1:$1016,COLUMN($F$1),FALSE))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U76">
        <f>IF(ISNUMBER(SEARCH(SUBSTITUTE(AU$1,RIGHT(AU$1,2),""),VLOOKUP($D76,素材!$1:$1016,COLUMN($F$1),FALSE))),VLOOKUP($C76,装備品!$1:$998,COLUMN($O$1),FALSE)*VLOOKUP($D76,素材!$1:$1016,COLUMN($E$1),FALSE)/(LEN(VLOOKUP($D76,素材!$1:$1016,COLUMN($F$1),FALSE))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V76">
        <f>IF(ISNUMBER(SEARCH(SUBSTITUTE(AV$1,RIGHT(AV$1,2),""),VLOOKUP($D76,素材!$1:$1016,COLUMN($F$1),FALSE))),VLOOKUP($C76,装備品!$1:$998,COLUMN($O$1),FALSE)*VLOOKUP($D76,素材!$1:$1016,COLUMN($E$1),FALSE)/(LEN(VLOOKUP($D76,素材!$1:$1016,COLUMN($F$1),FALSE))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W76">
        <f>IF(ISNUMBER(SEARCH(SUBSTITUTE(AW$1,RIGHT(AW$1,2),""),VLOOKUP($D76,素材!$1:$1016,COLUMN($F$1),FALSE))),VLOOKUP($C76,装備品!$1:$998,COLUMN($O$1),FALSE)*VLOOKUP($D76,素材!$1:$1016,COLUMN($E$1),FALSE)/(LEN(VLOOKUP($D76,素材!$1:$1016,COLUMN($F$1),FALSE))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X76">
        <f>IF(ISNUMBER(SEARCH(SUBSTITUTE(AX$1,RIGHT(AX$1,2),""),VLOOKUP($D76,素材!$1:$1016,COLUMN($F$1),FALSE))),VLOOKUP($C76,装備品!$1:$998,COLUMN($O$1),FALSE)*VLOOKUP($D76,素材!$1:$1016,COLUMN($E$1),FALSE)/(LEN(VLOOKUP($D76,素材!$1:$1016,COLUMN($F$1),FALSE))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Y76">
        <f>IF(ISNUMBER(SEARCH(SUBSTITUTE(AY$1,RIGHT(AY$1,2),""),VLOOKUP($D76,素材!$1:$1016,COLUMN($F$1),FALSE))),VLOOKUP($C76,装備品!$1:$998,COLUMN($O$1),FALSE)*VLOOKUP($D76,素材!$1:$1016,COLUMN($E$1),FALSE)/(LEN(VLOOKUP($D76,素材!$1:$1016,COLUMN($F$1),FALSE))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Z76">
        <f>IF(ISNUMBER(SEARCH(SUBSTITUTE(AZ$1,RIGHT(AZ$1,2),""),VLOOKUP($D76,素材!$1:$1016,COLUMN($F$1),FALSE))),VLOOKUP($C76,装備品!$1:$998,COLUMN($O$1),FALSE)*VLOOKUP($D76,素材!$1:$1016,COLUMN($E$1),FALSE)/(LEN(VLOOKUP($D76,素材!$1:$1016,COLUMN($F$1),FALSE))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BA76">
        <f>IF(ISNUMBER(SEARCH(SUBSTITUTE(BA$1,RIGHT(BA$1,2),""),VLOOKUP($D76,素材!$1:$1016,COLUMN($F$1),FALSE))),VLOOKUP($C76,装備品!$1:$998,COLUMN($O$1),FALSE)*VLOOKUP($D76,素材!$1:$1016,COLUMN($E$1),FALSE)/(LEN(VLOOKUP($D76,素材!$1:$1016,COLUMN($F$1),FALSE))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BB76">
        <f>IF(ISNUMBER(SEARCH(SUBSTITUTE(BB$1,RIGHT(BB$1,2),""),VLOOKUP($D76,素材!$1:$1016,COLUMN($F$1),FALSE))),VLOOKUP($C76,装備品!$1:$998,COLUMN($O$1),FALSE)*VLOOKUP($D76,素材!$1:$1016,COLUMN($E$1),FALSE)/(LEN(VLOOKUP($D76,素材!$1:$1016,COLUMN($F$1),FALSE))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BC76">
        <f>IF(ISNUMBER(SEARCH(SUBSTITUTE(BC$1,RIGHT(BC$1,2),""),VLOOKUP($D76,素材!$1:$1016,COLUMN($F$1),FALSE))),VLOOKUP($C76,装備品!$1:$998,COLUMN($O$1),FALSE)*VLOOKUP($D76,素材!$1:$1016,COLUMN($E$1),FALSE)/(LEN(VLOOKUP($D76,素材!$1:$1016,COLUMN($F$1),FALSE))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BD76">
        <f>IF(ISNUMBER(SEARCH(SUBSTITUTE(BD$1,RIGHT(BD$1,2),""),VLOOKUP($D76,素材!$1:$1016,COLUMN($F$1),FALSE))),VLOOKUP($C76,装備品!$1:$998,COLUMN($O$1),FALSE)*VLOOKUP($D76,素材!$1:$1016,COLUMN($E$1),FALSE)/(LEN(VLOOKUP($D76,素材!$1:$1016,COLUMN($F$1),FALSE))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BE76">
        <f>IF(ISNUMBER(SEARCH(SUBSTITUTE(BE$1,RIGHT(BE$1,2),""),VLOOKUP($D76,素材!$1:$1016,COLUMN($F$1),FALSE))),VLOOKUP($C76,装備品!$1:$998,COLUMN($O$1),FALSE)*VLOOKUP($D76,素材!$1:$1016,COLUMN($E$1),FALSE)/(LEN(VLOOKUP($D76,素材!$1:$1016,COLUMN($F$1),FALSE))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CL76">
        <f t="shared" si="7"/>
        <v>15</v>
      </c>
      <c r="CM76" s="22" t="str">
        <f t="shared" si="8"/>
        <v>足.webp</v>
      </c>
      <c r="CN76">
        <f>IFERROR(VLOOKUP($C76,装備品!$1:$998,COLUMN(V$1),FALSE)*VLOOKUP($D76,素材!$1:$1016,COLUMN(N$1),FALSE)+IF(CI76="",0,VLOOKUP($CI76,付与!$1:$1176,COLUMN($CK$1),FALSE)),"")</f>
        <v>0</v>
      </c>
      <c r="CO76" t="str">
        <f>VLOOKUP(D76,素材!$A:$O,COLUMN(素材!O$1),FALSE)</f>
        <v>一般的な木材。金属より軽いが少し脆い</v>
      </c>
      <c r="CP76" t="str">
        <f>VLOOKUP(C76,装備品!$A:$AB,COLUMN(装備品!AB$1),FALSE)</f>
        <v>速度 隠密 軽業 体幹</v>
      </c>
      <c r="CR76" t="str">
        <f t="shared" si="9"/>
        <v>e_76</v>
      </c>
      <c r="CS76">
        <f t="shared" si="10"/>
        <v>0</v>
      </c>
    </row>
    <row r="77" spans="1:97" outlineLevel="1" x14ac:dyDescent="0.4">
      <c r="A77" t="str">
        <f t="shared" si="6"/>
        <v>の</v>
      </c>
      <c r="B77" t="str">
        <f>IFERROR(VLOOKUP($D77,素材!$1:$1016,COLUMN($B$1),FALSE)&amp;"・"&amp;VLOOKUP($C77,装備品!$1:$998,COLUMN(B$1),FALSE),"")</f>
        <v/>
      </c>
      <c r="D77" s="24"/>
      <c r="E77" t="str">
        <f>IFERROR(VLOOKUP(C77,装備品!$1:$998,COLUMN(C$1),FALSE),"")</f>
        <v/>
      </c>
      <c r="F77" t="str">
        <f>IFERROR(ROUNDDOWN((VLOOKUP($C77,装備品!$1:$998,COLUMN(D$1),FALSE)+IFERROR(VLOOKUP($CI77,付与!$1:$1167,COLUMN(F$1),FALSE),0))*VLOOKUP($D77,素材!$1:$1016,COLUMN(D$1),FALSE),0),"")</f>
        <v/>
      </c>
      <c r="G77" t="str">
        <f>IFERROR(ROUNDDOWN((VLOOKUP($C77,装備品!$1:$998,COLUMN(E$1),FALSE)+IFERROR(VLOOKUP($CI77,付与!$1:$1167,COLUMN(G$1),FALSE),0))*VLOOKUP($D77,素材!$1:$1016,COLUMN($E$1),FALSE),0),"")</f>
        <v/>
      </c>
      <c r="H77" t="str">
        <f>IFERROR(ROUNDDOWN((VLOOKUP($C77,装備品!$1:$998,COLUMN(F$1),FALSE)+IFERROR(VLOOKUP($CI77,付与!$1:$1167,COLUMN(H$1),FALSE),0))*VLOOKUP($D77,素材!$1:$1016,COLUMN($E$1),FALSE),0),"")</f>
        <v/>
      </c>
      <c r="I77" t="str">
        <f>IFERROR(ROUNDDOWN((VLOOKUP($C77,装備品!$1:$998,COLUMN(G$1),FALSE)+IFERROR(VLOOKUP($CI77,付与!$1:$1167,COLUMN(I$1),FALSE),0))*VLOOKUP($D77,素材!$1:$1016,COLUMN($E$1),FALSE),0),"")</f>
        <v/>
      </c>
      <c r="J77" t="str">
        <f>IFERROR(ROUNDDOWN((VLOOKUP($C77,装備品!$1:$998,COLUMN(H$1),FALSE)+IFERROR(VLOOKUP($CI77,付与!$1:$1167,COLUMN(J$1),FALSE),0))*VLOOKUP($D77,素材!$1:$1016,COLUMN($E$1),FALSE),0),"")</f>
        <v/>
      </c>
      <c r="K77" t="str">
        <f>IFERROR(ROUNDDOWN((VLOOKUP($C77,装備品!$1:$998,COLUMN(I$1),FALSE)+IFERROR(VLOOKUP($CI77,付与!$1:$1167,COLUMN(K$1),FALSE),0))*VLOOKUP($D77,素材!$1:$1016,COLUMN($E$1),FALSE),0),"")</f>
        <v/>
      </c>
      <c r="L77" t="str">
        <f>IFERROR(VLOOKUP($D77,素材!$1:$1016,COLUMN($F$1),FALSE),"")</f>
        <v/>
      </c>
      <c r="M77" t="str">
        <f>IFERROR(VLOOKUP($C77,装備品!$1:$998,COLUMN(AA$1),FALSE)*VLOOKUP($D77,素材!$1:$1016,COLUMN($G$1),FALSE),"")</f>
        <v/>
      </c>
      <c r="N77" t="str">
        <f>IFERROR(VLOOKUP($C77,装備品!$1:$998,COLUMN(I$1),FALSE),"")</f>
        <v/>
      </c>
      <c r="O77" s="23" t="str">
        <f>IFERROR((VLOOKUP($C77,装備品!$1:$998,COLUMN(K$1),FALSE)+VLOOKUP($D77,素材!$1:$1016,COLUMN(H$1),FALSE))*100+IFERROR(VLOOKUP($CI77,付与!$1:$1167,COLUMN(O$1),FALSE),0),"")</f>
        <v/>
      </c>
      <c r="P77" s="23" t="str">
        <f>IFERROR((VLOOKUP($C77,装備品!$1:$998,COLUMN(L$1),FALSE)+VLOOKUP($D77,素材!$1:$1016,COLUMN(I$1),FALSE))*100+IFERROR(VLOOKUP($CI77,付与!$1:$1167,COLUMN(P$1),FALSE),0),"")</f>
        <v/>
      </c>
      <c r="Q77" t="str">
        <f>IFERROR(ROUNDUP(VLOOKUP($C77,装備品!$1:$998,COLUMN(M$1),FALSE)*(VLOOKUP($D77,素材!$1:$1002,COLUMN(D$1),FALSE)/100),1),"")</f>
        <v/>
      </c>
      <c r="R77" t="str">
        <f>IFERROR(ROUNDUP(VLOOKUP($C77,装備品!$1:$998,COLUMN(N$1),FALSE)*(VLOOKUP($D77,素材!$1:$1002,COLUMN(D$1),FALSE)/100),1),"")</f>
        <v/>
      </c>
      <c r="S77" t="str">
        <f>IFERROR(VLOOKUP($C77,装備品!$1:$998,COLUMN(P$1),FALSE),"")</f>
        <v/>
      </c>
      <c r="T77" t="str">
        <f>IFERROR(VLOOKUP($C77,装備品!$1:$998,COLUMN(Q$1),FALSE),"")</f>
        <v/>
      </c>
      <c r="U77" t="str">
        <f>IFERROR(VLOOKUP($C77,装備品!$1:$998,COLUMN(R$1),FALSE),"")</f>
        <v/>
      </c>
      <c r="V77" t="str">
        <f>IFERROR(VLOOKUP($C77,装備品!$1:$998,COLUMN(Q$1),FALSE),"")</f>
        <v/>
      </c>
      <c r="W77" t="str">
        <f>IFERROR(VLOOKUP($C77,装備品!$1:$998,COLUMN(T$1),FALSE),"")</f>
        <v/>
      </c>
      <c r="Y77" t="str">
        <f>IFERROR(VLOOKUP($C77,装備品!$1:$998,COLUMN(U$1),FALSE),"")</f>
        <v/>
      </c>
      <c r="Z77" t="str">
        <f>IFERROR(ROUNDUP(VLOOKUP($C77,装備品!$1:$998,COLUMN(O$1),FALSE)*VLOOKUP($D77,素材!$1:$1016,COLUMN(E$1),FALSE),1),"")</f>
        <v/>
      </c>
      <c r="AA77">
        <f>IF(ISNUMBER(SEARCH(SUBSTITUTE(AA$1,RIGHT(AA$1,2),""),VLOOKUP($D77,素材!$1:$1016,COLUMN($F$1),FALSE))),VLOOKUP($C77,装備品!$1:$998,COLUMN($O$1),FALSE)*VLOOKUP($D77,素材!$1:$1016,COLUMN($E$1),FALSE)/(LEN(VLOOKUP($D77,素材!$1:$1016,COLUMN($F$1),FALSE))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B77">
        <f>IF(ISNUMBER(SEARCH(SUBSTITUTE(AB$1,RIGHT(AB$1,2),""),VLOOKUP($D77,素材!$1:$1016,COLUMN($F$1),FALSE))),VLOOKUP($C77,装備品!$1:$998,COLUMN($O$1),FALSE)*VLOOKUP($D77,素材!$1:$1016,COLUMN($E$1),FALSE)/(LEN(VLOOKUP($D77,素材!$1:$1016,COLUMN($F$1),FALSE))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C77">
        <f>IF(ISNUMBER(SEARCH(SUBSTITUTE(AC$1,RIGHT(AC$1,2),""),VLOOKUP($D77,素材!$1:$1016,COLUMN($F$1),FALSE))),VLOOKUP($C77,装備品!$1:$998,COLUMN($O$1),FALSE)*VLOOKUP($D77,素材!$1:$1016,COLUMN($E$1),FALSE)/(LEN(VLOOKUP($D77,素材!$1:$1016,COLUMN($F$1),FALSE))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D77">
        <f>IF(ISNUMBER(SEARCH(SUBSTITUTE(AD$1,RIGHT(AD$1,2),""),VLOOKUP($D77,素材!$1:$1016,COLUMN($F$1),FALSE))),VLOOKUP($C77,装備品!$1:$998,COLUMN($O$1),FALSE)*VLOOKUP($D77,素材!$1:$1016,COLUMN($E$1),FALSE)/(LEN(VLOOKUP($D77,素材!$1:$1016,COLUMN($F$1),FALSE))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E77">
        <f>IF(ISNUMBER(SEARCH(SUBSTITUTE(AE$1,RIGHT(AE$1,2),""),VLOOKUP($D77,素材!$1:$1016,COLUMN($F$1),FALSE))),VLOOKUP($C77,装備品!$1:$998,COLUMN($O$1),FALSE)*VLOOKUP($D77,素材!$1:$1016,COLUMN($E$1),FALSE)/(LEN(VLOOKUP($D77,素材!$1:$1016,COLUMN($F$1),FALSE))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F77">
        <f>IF(ISNUMBER(SEARCH(SUBSTITUTE(AF$1,RIGHT(AF$1,2),""),VLOOKUP($D77,素材!$1:$1016,COLUMN($F$1),FALSE))),VLOOKUP($C77,装備品!$1:$998,COLUMN($O$1),FALSE)*VLOOKUP($D77,素材!$1:$1016,COLUMN($E$1),FALSE)/(LEN(VLOOKUP($D77,素材!$1:$1016,COLUMN($F$1),FALSE))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G77">
        <f>IF(ISNUMBER(SEARCH(SUBSTITUTE(AG$1,RIGHT(AG$1,2),""),VLOOKUP($D77,素材!$1:$1016,COLUMN($F$1),FALSE))),VLOOKUP($C77,装備品!$1:$998,COLUMN($O$1),FALSE)*VLOOKUP($D77,素材!$1:$1016,COLUMN($E$1),FALSE)/(LEN(VLOOKUP($D77,素材!$1:$1016,COLUMN($F$1),FALSE))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H77">
        <f>IF(ISNUMBER(SEARCH(SUBSTITUTE(AH$1,RIGHT(AH$1,2),""),VLOOKUP($D77,素材!$1:$1016,COLUMN($F$1),FALSE))),VLOOKUP($C77,装備品!$1:$998,COLUMN($O$1),FALSE)*VLOOKUP($D77,素材!$1:$1016,COLUMN($E$1),FALSE)/(LEN(VLOOKUP($D77,素材!$1:$1016,COLUMN($F$1),FALSE))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I77">
        <f>IF(ISNUMBER(SEARCH(SUBSTITUTE(AI$1,RIGHT(AI$1,2),""),VLOOKUP($D77,素材!$1:$1016,COLUMN($F$1),FALSE))),VLOOKUP($C77,装備品!$1:$998,COLUMN($O$1),FALSE)*VLOOKUP($D77,素材!$1:$1016,COLUMN($E$1),FALSE)/(LEN(VLOOKUP($D77,素材!$1:$1016,COLUMN($F$1),FALSE))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J77">
        <f>IF(ISNUMBER(SEARCH(SUBSTITUTE(AJ$1,RIGHT(AJ$1,2),""),VLOOKUP($D77,素材!$1:$1016,COLUMN($F$1),FALSE))),VLOOKUP($C77,装備品!$1:$998,COLUMN($O$1),FALSE)*VLOOKUP($D77,素材!$1:$1016,COLUMN($E$1),FALSE)/(LEN(VLOOKUP($D77,素材!$1:$1016,COLUMN($F$1),FALSE))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K77">
        <f>IF(ISNUMBER(SEARCH(SUBSTITUTE(AK$1,RIGHT(AK$1,2),""),VLOOKUP($D77,素材!$1:$1016,COLUMN($F$1),FALSE))),VLOOKUP($C77,装備品!$1:$998,COLUMN($O$1),FALSE)*VLOOKUP($D77,素材!$1:$1016,COLUMN($E$1),FALSE)/(LEN(VLOOKUP($D77,素材!$1:$1016,COLUMN($F$1),FALSE))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L77">
        <f>IF(ISNUMBER(SEARCH(SUBSTITUTE(AL$1,RIGHT(AL$1,2),""),VLOOKUP($D77,素材!$1:$1016,COLUMN($F$1),FALSE))),VLOOKUP($C77,装備品!$1:$998,COLUMN($O$1),FALSE)*VLOOKUP($D77,素材!$1:$1016,COLUMN($E$1),FALSE)/(LEN(VLOOKUP($D77,素材!$1:$1016,COLUMN($F$1),FALSE))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M77">
        <f>IF(ISNUMBER(SEARCH(SUBSTITUTE(AM$1,RIGHT(AM$1,2),""),VLOOKUP($D77,素材!$1:$1016,COLUMN($F$1),FALSE))),VLOOKUP($C77,装備品!$1:$998,COLUMN($O$1),FALSE)*VLOOKUP($D77,素材!$1:$1016,COLUMN($E$1),FALSE)/(LEN(VLOOKUP($D77,素材!$1:$1016,COLUMN($F$1),FALSE))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N77">
        <f>IF(ISNUMBER(SEARCH(SUBSTITUTE(AN$1,RIGHT(AN$1,2),""),VLOOKUP($D77,素材!$1:$1016,COLUMN($F$1),FALSE))),VLOOKUP($C77,装備品!$1:$998,COLUMN($O$1),FALSE)*VLOOKUP($D77,素材!$1:$1016,COLUMN($E$1),FALSE)/(LEN(VLOOKUP($D77,素材!$1:$1016,COLUMN($F$1),FALSE))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O77">
        <f>IF(ISNUMBER(SEARCH(SUBSTITUTE(AO$1,RIGHT(AO$1,2),""),VLOOKUP($D77,素材!$1:$1016,COLUMN($F$1),FALSE))),VLOOKUP($C77,装備品!$1:$998,COLUMN($O$1),FALSE)*VLOOKUP($D77,素材!$1:$1016,COLUMN($E$1),FALSE)/(LEN(VLOOKUP($D77,素材!$1:$1016,COLUMN($F$1),FALSE))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P77">
        <f>IF(ISNUMBER(SEARCH(SUBSTITUTE(AP$1,RIGHT(AP$1,2),""),VLOOKUP($D77,素材!$1:$1016,COLUMN($F$1),FALSE))),VLOOKUP($C77,装備品!$1:$998,COLUMN($O$1),FALSE)*VLOOKUP($D77,素材!$1:$1016,COLUMN($E$1),FALSE)/(LEN(VLOOKUP($D77,素材!$1:$1016,COLUMN($F$1),FALSE))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Q77">
        <f>IF(ISNUMBER(SEARCH(SUBSTITUTE(AQ$1,RIGHT(AQ$1,2),""),VLOOKUP($D77,素材!$1:$1016,COLUMN($F$1),FALSE))),VLOOKUP($C77,装備品!$1:$998,COLUMN($O$1),FALSE)*VLOOKUP($D77,素材!$1:$1016,COLUMN($E$1),FALSE)/(LEN(VLOOKUP($D77,素材!$1:$1016,COLUMN($F$1),FALSE))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R77">
        <f>IF(ISNUMBER(SEARCH(SUBSTITUTE(AR$1,RIGHT(AR$1,2),""),VLOOKUP($D77,素材!$1:$1016,COLUMN($F$1),FALSE))),VLOOKUP($C77,装備品!$1:$998,COLUMN($O$1),FALSE)*VLOOKUP($D77,素材!$1:$1016,COLUMN($E$1),FALSE)/(LEN(VLOOKUP($D77,素材!$1:$1016,COLUMN($F$1),FALSE))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S77">
        <f>IF(ISNUMBER(SEARCH(SUBSTITUTE(AS$1,RIGHT(AS$1,2),""),VLOOKUP($D77,素材!$1:$1016,COLUMN($F$1),FALSE))),VLOOKUP($C77,装備品!$1:$998,COLUMN($O$1),FALSE)*VLOOKUP($D77,素材!$1:$1016,COLUMN($E$1),FALSE)/(LEN(VLOOKUP($D77,素材!$1:$1016,COLUMN($F$1),FALSE))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T77">
        <f>IF(ISNUMBER(SEARCH(SUBSTITUTE(AT$1,RIGHT(AT$1,2),""),VLOOKUP($D77,素材!$1:$1016,COLUMN($F$1),FALSE))),VLOOKUP($C77,装備品!$1:$998,COLUMN($O$1),FALSE)*VLOOKUP($D77,素材!$1:$1016,COLUMN($E$1),FALSE)/(LEN(VLOOKUP($D77,素材!$1:$1016,COLUMN($F$1),FALSE))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U77">
        <f>IF(ISNUMBER(SEARCH(SUBSTITUTE(AU$1,RIGHT(AU$1,2),""),VLOOKUP($D77,素材!$1:$1016,COLUMN($F$1),FALSE))),VLOOKUP($C77,装備品!$1:$998,COLUMN($O$1),FALSE)*VLOOKUP($D77,素材!$1:$1016,COLUMN($E$1),FALSE)/(LEN(VLOOKUP($D77,素材!$1:$1016,COLUMN($F$1),FALSE))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V77">
        <f>IF(ISNUMBER(SEARCH(SUBSTITUTE(AV$1,RIGHT(AV$1,2),""),VLOOKUP($D77,素材!$1:$1016,COLUMN($F$1),FALSE))),VLOOKUP($C77,装備品!$1:$998,COLUMN($O$1),FALSE)*VLOOKUP($D77,素材!$1:$1016,COLUMN($E$1),FALSE)/(LEN(VLOOKUP($D77,素材!$1:$1016,COLUMN($F$1),FALSE))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W77">
        <f>IF(ISNUMBER(SEARCH(SUBSTITUTE(AW$1,RIGHT(AW$1,2),""),VLOOKUP($D77,素材!$1:$1016,COLUMN($F$1),FALSE))),VLOOKUP($C77,装備品!$1:$998,COLUMN($O$1),FALSE)*VLOOKUP($D77,素材!$1:$1016,COLUMN($E$1),FALSE)/(LEN(VLOOKUP($D77,素材!$1:$1016,COLUMN($F$1),FALSE))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X77">
        <f>IF(ISNUMBER(SEARCH(SUBSTITUTE(AX$1,RIGHT(AX$1,2),""),VLOOKUP($D77,素材!$1:$1016,COLUMN($F$1),FALSE))),VLOOKUP($C77,装備品!$1:$998,COLUMN($O$1),FALSE)*VLOOKUP($D77,素材!$1:$1016,COLUMN($E$1),FALSE)/(LEN(VLOOKUP($D77,素材!$1:$1016,COLUMN($F$1),FALSE))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Y77">
        <f>IF(ISNUMBER(SEARCH(SUBSTITUTE(AY$1,RIGHT(AY$1,2),""),VLOOKUP($D77,素材!$1:$1016,COLUMN($F$1),FALSE))),VLOOKUP($C77,装備品!$1:$998,COLUMN($O$1),FALSE)*VLOOKUP($D77,素材!$1:$1016,COLUMN($E$1),FALSE)/(LEN(VLOOKUP($D77,素材!$1:$1016,COLUMN($F$1),FALSE))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Z77">
        <f>IF(ISNUMBER(SEARCH(SUBSTITUTE(AZ$1,RIGHT(AZ$1,2),""),VLOOKUP($D77,素材!$1:$1016,COLUMN($F$1),FALSE))),VLOOKUP($C77,装備品!$1:$998,COLUMN($O$1),FALSE)*VLOOKUP($D77,素材!$1:$1016,COLUMN($E$1),FALSE)/(LEN(VLOOKUP($D77,素材!$1:$1016,COLUMN($F$1),FALSE))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BA77">
        <f>IF(ISNUMBER(SEARCH(SUBSTITUTE(BA$1,RIGHT(BA$1,2),""),VLOOKUP($D77,素材!$1:$1016,COLUMN($F$1),FALSE))),VLOOKUP($C77,装備品!$1:$998,COLUMN($O$1),FALSE)*VLOOKUP($D77,素材!$1:$1016,COLUMN($E$1),FALSE)/(LEN(VLOOKUP($D77,素材!$1:$1016,COLUMN($F$1),FALSE))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BB77">
        <f>IF(ISNUMBER(SEARCH(SUBSTITUTE(BB$1,RIGHT(BB$1,2),""),VLOOKUP($D77,素材!$1:$1016,COLUMN($F$1),FALSE))),VLOOKUP($C77,装備品!$1:$998,COLUMN($O$1),FALSE)*VLOOKUP($D77,素材!$1:$1016,COLUMN($E$1),FALSE)/(LEN(VLOOKUP($D77,素材!$1:$1016,COLUMN($F$1),FALSE))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BC77">
        <f>IF(ISNUMBER(SEARCH(SUBSTITUTE(BC$1,RIGHT(BC$1,2),""),VLOOKUP($D77,素材!$1:$1016,COLUMN($F$1),FALSE))),VLOOKUP($C77,装備品!$1:$998,COLUMN($O$1),FALSE)*VLOOKUP($D77,素材!$1:$1016,COLUMN($E$1),FALSE)/(LEN(VLOOKUP($D77,素材!$1:$1016,COLUMN($F$1),FALSE))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BD77">
        <f>IF(ISNUMBER(SEARCH(SUBSTITUTE(BD$1,RIGHT(BD$1,2),""),VLOOKUP($D77,素材!$1:$1016,COLUMN($F$1),FALSE))),VLOOKUP($C77,装備品!$1:$998,COLUMN($O$1),FALSE)*VLOOKUP($D77,素材!$1:$1016,COLUMN($E$1),FALSE)/(LEN(VLOOKUP($D77,素材!$1:$1016,COLUMN($F$1),FALSE))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BE77">
        <f>IF(ISNUMBER(SEARCH(SUBSTITUTE(BE$1,RIGHT(BE$1,2),""),VLOOKUP($D77,素材!$1:$1016,COLUMN($F$1),FALSE))),VLOOKUP($C77,装備品!$1:$998,COLUMN($O$1),FALSE)*VLOOKUP($D77,素材!$1:$1016,COLUMN($E$1),FALSE)/(LEN(VLOOKUP($D77,素材!$1:$1016,COLUMN($F$1),FALSE))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CL77">
        <f t="shared" si="7"/>
        <v>0</v>
      </c>
      <c r="CM77" s="22" t="str">
        <f t="shared" si="8"/>
        <v>.webp</v>
      </c>
      <c r="CN77" t="str">
        <f>IFERROR(VLOOKUP($C77,装備品!$1:$998,COLUMN(V$1),FALSE)*VLOOKUP($D77,素材!$1:$1016,COLUMN(N$1),FALSE)+IF(CI77="",0,VLOOKUP($CI77,付与!$1:$1176,COLUMN($CK$1),FALSE)),"")</f>
        <v/>
      </c>
      <c r="CO77" t="e">
        <f>VLOOKUP(D77,素材!$A:$O,COLUMN(素材!O$1),FALSE)</f>
        <v>#N/A</v>
      </c>
      <c r="CP77" t="e">
        <f>VLOOKUP(C77,装備品!$A:$AB,COLUMN(装備品!AB$1),FALSE)</f>
        <v>#N/A</v>
      </c>
      <c r="CR77" t="str">
        <f t="shared" si="9"/>
        <v>e_77</v>
      </c>
      <c r="CS77" t="e">
        <f t="shared" si="10"/>
        <v>#VALUE!</v>
      </c>
    </row>
    <row r="78" spans="1:97" outlineLevel="1" x14ac:dyDescent="0.4">
      <c r="A78" t="str">
        <f t="shared" si="6"/>
        <v>鋼の短刀</v>
      </c>
      <c r="B78" t="str">
        <f>IFERROR(VLOOKUP($D78,素材!$1:$1016,COLUMN($B$1),FALSE)&amp;"・"&amp;VLOOKUP($C78,装備品!$1:$998,COLUMN(B$1),FALSE),"")</f>
        <v>スチール・ナイフ</v>
      </c>
      <c r="C78" s="24" t="s">
        <v>241</v>
      </c>
      <c r="D78" s="24" t="s">
        <v>252</v>
      </c>
      <c r="E78" t="str">
        <f>IFERROR(VLOOKUP(C78,装備品!$1:$998,COLUMN(C$1),FALSE),"")</f>
        <v>武器</v>
      </c>
      <c r="F78">
        <f>IFERROR(ROUNDDOWN((VLOOKUP($C78,装備品!$1:$998,COLUMN(D$1),FALSE)+IFERROR(VLOOKUP($CI78,付与!$1:$1167,COLUMN(F$1),FALSE),0))*VLOOKUP($D78,素材!$1:$1016,COLUMN(D$1),FALSE),0),"")</f>
        <v>105</v>
      </c>
      <c r="G78">
        <f>IFERROR(ROUNDDOWN((VLOOKUP($C78,装備品!$1:$998,COLUMN(E$1),FALSE)+IFERROR(VLOOKUP($CI78,付与!$1:$1167,COLUMN(G$1),FALSE),0))*VLOOKUP($D78,素材!$1:$1016,COLUMN($E$1),FALSE),0),"")</f>
        <v>13</v>
      </c>
      <c r="H78">
        <f>IFERROR(ROUNDDOWN((VLOOKUP($C78,装備品!$1:$998,COLUMN(F$1),FALSE)+IFERROR(VLOOKUP($CI78,付与!$1:$1167,COLUMN(H$1),FALSE),0))*VLOOKUP($D78,素材!$1:$1016,COLUMN($E$1),FALSE),0),"")</f>
        <v>10</v>
      </c>
      <c r="I78">
        <f>IFERROR(ROUNDDOWN((VLOOKUP($C78,装備品!$1:$998,COLUMN(G$1),FALSE)+IFERROR(VLOOKUP($CI78,付与!$1:$1167,COLUMN(I$1),FALSE),0))*VLOOKUP($D78,素材!$1:$1016,COLUMN($E$1),FALSE),0),"")</f>
        <v>2</v>
      </c>
      <c r="J78">
        <f>IFERROR(ROUNDDOWN((VLOOKUP($C78,装備品!$1:$998,COLUMN(H$1),FALSE)+IFERROR(VLOOKUP($CI78,付与!$1:$1167,COLUMN(J$1),FALSE),0))*VLOOKUP($D78,素材!$1:$1016,COLUMN($E$1),FALSE),0),"")</f>
        <v>17</v>
      </c>
      <c r="K78">
        <f>IFERROR(ROUNDDOWN((VLOOKUP($C78,装備品!$1:$998,COLUMN(I$1),FALSE)+IFERROR(VLOOKUP($CI78,付与!$1:$1167,COLUMN(K$1),FALSE),0))*VLOOKUP($D78,素材!$1:$1016,COLUMN($E$1),FALSE),0),"")</f>
        <v>0</v>
      </c>
      <c r="L78">
        <f>IFERROR(VLOOKUP($D78,素材!$1:$1016,COLUMN($F$1),FALSE),"")</f>
        <v>0</v>
      </c>
      <c r="M78">
        <f>IFERROR(VLOOKUP($C78,装備品!$1:$998,COLUMN(AA$1),FALSE)*VLOOKUP($D78,素材!$1:$1016,COLUMN($G$1),FALSE),"")</f>
        <v>0</v>
      </c>
      <c r="N78">
        <f>IFERROR(VLOOKUP($C78,装備品!$1:$998,COLUMN(I$1),FALSE),"")</f>
        <v>0</v>
      </c>
      <c r="O78" s="23">
        <f>IFERROR((VLOOKUP($C78,装備品!$1:$998,COLUMN(K$1),FALSE)+VLOOKUP($D78,素材!$1:$1016,COLUMN(H$1),FALSE))*100+IFERROR(VLOOKUP($CI78,付与!$1:$1167,COLUMN(O$1),FALSE),0),"")</f>
        <v>10</v>
      </c>
      <c r="P78" s="23">
        <f>IFERROR((VLOOKUP($C78,装備品!$1:$998,COLUMN(L$1),FALSE)+VLOOKUP($D78,素材!$1:$1016,COLUMN(I$1),FALSE))*100+IFERROR(VLOOKUP($CI78,付与!$1:$1167,COLUMN(P$1),FALSE),0),"")</f>
        <v>175</v>
      </c>
      <c r="Q78">
        <f>IFERROR(ROUNDUP(VLOOKUP($C78,装備品!$1:$998,COLUMN(M$1),FALSE)*(VLOOKUP($D78,素材!$1:$1002,COLUMN(D$1),FALSE)/100),1),"")</f>
        <v>0</v>
      </c>
      <c r="R78">
        <f>IFERROR(ROUNDUP(VLOOKUP($C78,装備品!$1:$998,COLUMN(N$1),FALSE)*(VLOOKUP($D78,素材!$1:$1002,COLUMN(D$1),FALSE)/100),1),"")</f>
        <v>0</v>
      </c>
      <c r="S78">
        <f>IFERROR(VLOOKUP($C78,装備品!$1:$998,COLUMN(P$1),FALSE),"")</f>
        <v>0</v>
      </c>
      <c r="T78">
        <f>IFERROR(VLOOKUP($C78,装備品!$1:$998,COLUMN(Q$1),FALSE),"")</f>
        <v>0</v>
      </c>
      <c r="U78">
        <f>IFERROR(VLOOKUP($C78,装備品!$1:$998,COLUMN(R$1),FALSE),"")</f>
        <v>0</v>
      </c>
      <c r="V78">
        <f>IFERROR(VLOOKUP($C78,装備品!$1:$998,COLUMN(Q$1),FALSE),"")</f>
        <v>0</v>
      </c>
      <c r="W78">
        <f>IFERROR(VLOOKUP($C78,装備品!$1:$998,COLUMN(T$1),FALSE),"")</f>
        <v>0</v>
      </c>
      <c r="Y78">
        <f>IFERROR(VLOOKUP($C78,装備品!$1:$998,COLUMN(U$1),FALSE),"")</f>
        <v>0</v>
      </c>
      <c r="Z78">
        <f>IFERROR(ROUNDUP(VLOOKUP($C78,装備品!$1:$998,COLUMN(O$1),FALSE)*VLOOKUP($D78,素材!$1:$1016,COLUMN(E$1),FALSE),1),"")</f>
        <v>0</v>
      </c>
      <c r="AA78">
        <f>IF(ISNUMBER(SEARCH(SUBSTITUTE(AA$1,RIGHT(AA$1,2),""),VLOOKUP($D78,素材!$1:$1016,COLUMN($F$1),FALSE))),VLOOKUP($C78,装備品!$1:$998,COLUMN($O$1),FALSE)*VLOOKUP($D78,素材!$1:$1016,COLUMN($E$1),FALSE)/(LEN(VLOOKUP($D78,素材!$1:$1016,COLUMN($F$1),FALSE))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B78">
        <f>IF(ISNUMBER(SEARCH(SUBSTITUTE(AB$1,RIGHT(AB$1,2),""),VLOOKUP($D78,素材!$1:$1016,COLUMN($F$1),FALSE))),VLOOKUP($C78,装備品!$1:$998,COLUMN($O$1),FALSE)*VLOOKUP($D78,素材!$1:$1016,COLUMN($E$1),FALSE)/(LEN(VLOOKUP($D78,素材!$1:$1016,COLUMN($F$1),FALSE))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C78">
        <f>IF(ISNUMBER(SEARCH(SUBSTITUTE(AC$1,RIGHT(AC$1,2),""),VLOOKUP($D78,素材!$1:$1016,COLUMN($F$1),FALSE))),VLOOKUP($C78,装備品!$1:$998,COLUMN($O$1),FALSE)*VLOOKUP($D78,素材!$1:$1016,COLUMN($E$1),FALSE)/(LEN(VLOOKUP($D78,素材!$1:$1016,COLUMN($F$1),FALSE))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D78">
        <f>IF(ISNUMBER(SEARCH(SUBSTITUTE(AD$1,RIGHT(AD$1,2),""),VLOOKUP($D78,素材!$1:$1016,COLUMN($F$1),FALSE))),VLOOKUP($C78,装備品!$1:$998,COLUMN($O$1),FALSE)*VLOOKUP($D78,素材!$1:$1016,COLUMN($E$1),FALSE)/(LEN(VLOOKUP($D78,素材!$1:$1016,COLUMN($F$1),FALSE))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E78">
        <f>IF(ISNUMBER(SEARCH(SUBSTITUTE(AE$1,RIGHT(AE$1,2),""),VLOOKUP($D78,素材!$1:$1016,COLUMN($F$1),FALSE))),VLOOKUP($C78,装備品!$1:$998,COLUMN($O$1),FALSE)*VLOOKUP($D78,素材!$1:$1016,COLUMN($E$1),FALSE)/(LEN(VLOOKUP($D78,素材!$1:$1016,COLUMN($F$1),FALSE))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F78">
        <f>IF(ISNUMBER(SEARCH(SUBSTITUTE(AF$1,RIGHT(AF$1,2),""),VLOOKUP($D78,素材!$1:$1016,COLUMN($F$1),FALSE))),VLOOKUP($C78,装備品!$1:$998,COLUMN($O$1),FALSE)*VLOOKUP($D78,素材!$1:$1016,COLUMN($E$1),FALSE)/(LEN(VLOOKUP($D78,素材!$1:$1016,COLUMN($F$1),FALSE))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G78">
        <f>IF(ISNUMBER(SEARCH(SUBSTITUTE(AG$1,RIGHT(AG$1,2),""),VLOOKUP($D78,素材!$1:$1016,COLUMN($F$1),FALSE))),VLOOKUP($C78,装備品!$1:$998,COLUMN($O$1),FALSE)*VLOOKUP($D78,素材!$1:$1016,COLUMN($E$1),FALSE)/(LEN(VLOOKUP($D78,素材!$1:$1016,COLUMN($F$1),FALSE))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H78">
        <f>IF(ISNUMBER(SEARCH(SUBSTITUTE(AH$1,RIGHT(AH$1,2),""),VLOOKUP($D78,素材!$1:$1016,COLUMN($F$1),FALSE))),VLOOKUP($C78,装備品!$1:$998,COLUMN($O$1),FALSE)*VLOOKUP($D78,素材!$1:$1016,COLUMN($E$1),FALSE)/(LEN(VLOOKUP($D78,素材!$1:$1016,COLUMN($F$1),FALSE))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I78">
        <f>IF(ISNUMBER(SEARCH(SUBSTITUTE(AI$1,RIGHT(AI$1,2),""),VLOOKUP($D78,素材!$1:$1016,COLUMN($F$1),FALSE))),VLOOKUP($C78,装備品!$1:$998,COLUMN($O$1),FALSE)*VLOOKUP($D78,素材!$1:$1016,COLUMN($E$1),FALSE)/(LEN(VLOOKUP($D78,素材!$1:$1016,COLUMN($F$1),FALSE))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J78">
        <f>IF(ISNUMBER(SEARCH(SUBSTITUTE(AJ$1,RIGHT(AJ$1,2),""),VLOOKUP($D78,素材!$1:$1016,COLUMN($F$1),FALSE))),VLOOKUP($C78,装備品!$1:$998,COLUMN($O$1),FALSE)*VLOOKUP($D78,素材!$1:$1016,COLUMN($E$1),FALSE)/(LEN(VLOOKUP($D78,素材!$1:$1016,COLUMN($F$1),FALSE))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K78">
        <f>IF(ISNUMBER(SEARCH(SUBSTITUTE(AK$1,RIGHT(AK$1,2),""),VLOOKUP($D78,素材!$1:$1016,COLUMN($F$1),FALSE))),VLOOKUP($C78,装備品!$1:$998,COLUMN($O$1),FALSE)*VLOOKUP($D78,素材!$1:$1016,COLUMN($E$1),FALSE)/(LEN(VLOOKUP($D78,素材!$1:$1016,COLUMN($F$1),FALSE))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L78">
        <f>IF(ISNUMBER(SEARCH(SUBSTITUTE(AL$1,RIGHT(AL$1,2),""),VLOOKUP($D78,素材!$1:$1016,COLUMN($F$1),FALSE))),VLOOKUP($C78,装備品!$1:$998,COLUMN($O$1),FALSE)*VLOOKUP($D78,素材!$1:$1016,COLUMN($E$1),FALSE)/(LEN(VLOOKUP($D78,素材!$1:$1016,COLUMN($F$1),FALSE))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M78">
        <f>IF(ISNUMBER(SEARCH(SUBSTITUTE(AM$1,RIGHT(AM$1,2),""),VLOOKUP($D78,素材!$1:$1016,COLUMN($F$1),FALSE))),VLOOKUP($C78,装備品!$1:$998,COLUMN($O$1),FALSE)*VLOOKUP($D78,素材!$1:$1016,COLUMN($E$1),FALSE)/(LEN(VLOOKUP($D78,素材!$1:$1016,COLUMN($F$1),FALSE))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N78">
        <f>IF(ISNUMBER(SEARCH(SUBSTITUTE(AN$1,RIGHT(AN$1,2),""),VLOOKUP($D78,素材!$1:$1016,COLUMN($F$1),FALSE))),VLOOKUP($C78,装備品!$1:$998,COLUMN($O$1),FALSE)*VLOOKUP($D78,素材!$1:$1016,COLUMN($E$1),FALSE)/(LEN(VLOOKUP($D78,素材!$1:$1016,COLUMN($F$1),FALSE))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O78">
        <f>IF(ISNUMBER(SEARCH(SUBSTITUTE(AO$1,RIGHT(AO$1,2),""),VLOOKUP($D78,素材!$1:$1016,COLUMN($F$1),FALSE))),VLOOKUP($C78,装備品!$1:$998,COLUMN($O$1),FALSE)*VLOOKUP($D78,素材!$1:$1016,COLUMN($E$1),FALSE)/(LEN(VLOOKUP($D78,素材!$1:$1016,COLUMN($F$1),FALSE))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P78">
        <f>IF(ISNUMBER(SEARCH(SUBSTITUTE(AP$1,RIGHT(AP$1,2),""),VLOOKUP($D78,素材!$1:$1016,COLUMN($F$1),FALSE))),VLOOKUP($C78,装備品!$1:$998,COLUMN($O$1),FALSE)*VLOOKUP($D78,素材!$1:$1016,COLUMN($E$1),FALSE)/(LEN(VLOOKUP($D78,素材!$1:$1016,COLUMN($F$1),FALSE))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Q78">
        <f>IF(ISNUMBER(SEARCH(SUBSTITUTE(AQ$1,RIGHT(AQ$1,2),""),VLOOKUP($D78,素材!$1:$1016,COLUMN($F$1),FALSE))),VLOOKUP($C78,装備品!$1:$998,COLUMN($O$1),FALSE)*VLOOKUP($D78,素材!$1:$1016,COLUMN($E$1),FALSE)/(LEN(VLOOKUP($D78,素材!$1:$1016,COLUMN($F$1),FALSE))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R78">
        <f>IF(ISNUMBER(SEARCH(SUBSTITUTE(AR$1,RIGHT(AR$1,2),""),VLOOKUP($D78,素材!$1:$1016,COLUMN($F$1),FALSE))),VLOOKUP($C78,装備品!$1:$998,COLUMN($O$1),FALSE)*VLOOKUP($D78,素材!$1:$1016,COLUMN($E$1),FALSE)/(LEN(VLOOKUP($D78,素材!$1:$1016,COLUMN($F$1),FALSE))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S78">
        <f>IF(ISNUMBER(SEARCH(SUBSTITUTE(AS$1,RIGHT(AS$1,2),""),VLOOKUP($D78,素材!$1:$1016,COLUMN($F$1),FALSE))),VLOOKUP($C78,装備品!$1:$998,COLUMN($O$1),FALSE)*VLOOKUP($D78,素材!$1:$1016,COLUMN($E$1),FALSE)/(LEN(VLOOKUP($D78,素材!$1:$1016,COLUMN($F$1),FALSE))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T78">
        <f>IF(ISNUMBER(SEARCH(SUBSTITUTE(AT$1,RIGHT(AT$1,2),""),VLOOKUP($D78,素材!$1:$1016,COLUMN($F$1),FALSE))),VLOOKUP($C78,装備品!$1:$998,COLUMN($O$1),FALSE)*VLOOKUP($D78,素材!$1:$1016,COLUMN($E$1),FALSE)/(LEN(VLOOKUP($D78,素材!$1:$1016,COLUMN($F$1),FALSE))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U78">
        <f>IF(ISNUMBER(SEARCH(SUBSTITUTE(AU$1,RIGHT(AU$1,2),""),VLOOKUP($D78,素材!$1:$1016,COLUMN($F$1),FALSE))),VLOOKUP($C78,装備品!$1:$998,COLUMN($O$1),FALSE)*VLOOKUP($D78,素材!$1:$1016,COLUMN($E$1),FALSE)/(LEN(VLOOKUP($D78,素材!$1:$1016,COLUMN($F$1),FALSE))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V78">
        <f>IF(ISNUMBER(SEARCH(SUBSTITUTE(AV$1,RIGHT(AV$1,2),""),VLOOKUP($D78,素材!$1:$1016,COLUMN($F$1),FALSE))),VLOOKUP($C78,装備品!$1:$998,COLUMN($O$1),FALSE)*VLOOKUP($D78,素材!$1:$1016,COLUMN($E$1),FALSE)/(LEN(VLOOKUP($D78,素材!$1:$1016,COLUMN($F$1),FALSE))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W78">
        <f>IF(ISNUMBER(SEARCH(SUBSTITUTE(AW$1,RIGHT(AW$1,2),""),VLOOKUP($D78,素材!$1:$1016,COLUMN($F$1),FALSE))),VLOOKUP($C78,装備品!$1:$998,COLUMN($O$1),FALSE)*VLOOKUP($D78,素材!$1:$1016,COLUMN($E$1),FALSE)/(LEN(VLOOKUP($D78,素材!$1:$1016,COLUMN($F$1),FALSE))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X78">
        <f>IF(ISNUMBER(SEARCH(SUBSTITUTE(AX$1,RIGHT(AX$1,2),""),VLOOKUP($D78,素材!$1:$1016,COLUMN($F$1),FALSE))),VLOOKUP($C78,装備品!$1:$998,COLUMN($O$1),FALSE)*VLOOKUP($D78,素材!$1:$1016,COLUMN($E$1),FALSE)/(LEN(VLOOKUP($D78,素材!$1:$1016,COLUMN($F$1),FALSE))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Y78">
        <f>IF(ISNUMBER(SEARCH(SUBSTITUTE(AY$1,RIGHT(AY$1,2),""),VLOOKUP($D78,素材!$1:$1016,COLUMN($F$1),FALSE))),VLOOKUP($C78,装備品!$1:$998,COLUMN($O$1),FALSE)*VLOOKUP($D78,素材!$1:$1016,COLUMN($E$1),FALSE)/(LEN(VLOOKUP($D78,素材!$1:$1016,COLUMN($F$1),FALSE))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Z78">
        <f>IF(ISNUMBER(SEARCH(SUBSTITUTE(AZ$1,RIGHT(AZ$1,2),""),VLOOKUP($D78,素材!$1:$1016,COLUMN($F$1),FALSE))),VLOOKUP($C78,装備品!$1:$998,COLUMN($O$1),FALSE)*VLOOKUP($D78,素材!$1:$1016,COLUMN($E$1),FALSE)/(LEN(VLOOKUP($D78,素材!$1:$1016,COLUMN($F$1),FALSE))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BA78">
        <f>IF(ISNUMBER(SEARCH(SUBSTITUTE(BA$1,RIGHT(BA$1,2),""),VLOOKUP($D78,素材!$1:$1016,COLUMN($F$1),FALSE))),VLOOKUP($C78,装備品!$1:$998,COLUMN($O$1),FALSE)*VLOOKUP($D78,素材!$1:$1016,COLUMN($E$1),FALSE)/(LEN(VLOOKUP($D78,素材!$1:$1016,COLUMN($F$1),FALSE))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BB78">
        <f>IF(ISNUMBER(SEARCH(SUBSTITUTE(BB$1,RIGHT(BB$1,2),""),VLOOKUP($D78,素材!$1:$1016,COLUMN($F$1),FALSE))),VLOOKUP($C78,装備品!$1:$998,COLUMN($O$1),FALSE)*VLOOKUP($D78,素材!$1:$1016,COLUMN($E$1),FALSE)/(LEN(VLOOKUP($D78,素材!$1:$1016,COLUMN($F$1),FALSE))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BC78">
        <f>IF(ISNUMBER(SEARCH(SUBSTITUTE(BC$1,RIGHT(BC$1,2),""),VLOOKUP($D78,素材!$1:$1016,COLUMN($F$1),FALSE))),VLOOKUP($C78,装備品!$1:$998,COLUMN($O$1),FALSE)*VLOOKUP($D78,素材!$1:$1016,COLUMN($E$1),FALSE)/(LEN(VLOOKUP($D78,素材!$1:$1016,COLUMN($F$1),FALSE))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BD78">
        <f>IF(ISNUMBER(SEARCH(SUBSTITUTE(BD$1,RIGHT(BD$1,2),""),VLOOKUP($D78,素材!$1:$1016,COLUMN($F$1),FALSE))),VLOOKUP($C78,装備品!$1:$998,COLUMN($O$1),FALSE)*VLOOKUP($D78,素材!$1:$1016,COLUMN($E$1),FALSE)/(LEN(VLOOKUP($D78,素材!$1:$1016,COLUMN($F$1),FALSE))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BE78">
        <f>IF(ISNUMBER(SEARCH(SUBSTITUTE(BE$1,RIGHT(BE$1,2),""),VLOOKUP($D78,素材!$1:$1016,COLUMN($F$1),FALSE))),VLOOKUP($C78,装備品!$1:$998,COLUMN($O$1),FALSE)*VLOOKUP($D78,素材!$1:$1016,COLUMN($E$1),FALSE)/(LEN(VLOOKUP($D78,素材!$1:$1016,COLUMN($F$1),FALSE))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CL78">
        <f t="shared" si="7"/>
        <v>25</v>
      </c>
      <c r="CM78" s="22" t="str">
        <f t="shared" si="8"/>
        <v>切断.webp</v>
      </c>
      <c r="CN78">
        <f>IFERROR(VLOOKUP($C78,装備品!$1:$998,COLUMN(V$1),FALSE)*VLOOKUP($D78,素材!$1:$1016,COLUMN(N$1),FALSE)+IF(CI78="",0,VLOOKUP($CI78,付与!$1:$1176,COLUMN($CK$1),FALSE)),"")</f>
        <v>0</v>
      </c>
      <c r="CO78" t="str">
        <f>VLOOKUP(D78,素材!$A:$O,COLUMN(素材!O$1),FALSE)</f>
        <v>鍛えられた鉄。硬度が高く安価なためよく使用される。</v>
      </c>
      <c r="CP78" t="str">
        <f>VLOOKUP(C78,装備品!$A:$AB,COLUMN(装備品!AB$1),FALSE)</f>
        <v>短刀。暗殺向けの武器で、軽量かつ片手操作に適する。Cr威力が高い</v>
      </c>
      <c r="CR78" t="str">
        <f t="shared" si="9"/>
        <v>e_78</v>
      </c>
      <c r="CS78">
        <f t="shared" si="10"/>
        <v>0</v>
      </c>
    </row>
    <row r="79" spans="1:97" outlineLevel="1" x14ac:dyDescent="0.4">
      <c r="A79" t="str">
        <f t="shared" si="6"/>
        <v>鋼の刀</v>
      </c>
      <c r="B79" t="str">
        <f>IFERROR(VLOOKUP($D79,素材!$1:$1016,COLUMN($B$1),FALSE)&amp;"・"&amp;VLOOKUP($C79,装備品!$1:$998,COLUMN(B$1),FALSE),"")</f>
        <v>スチール・カタナ</v>
      </c>
      <c r="C79" s="24" t="s">
        <v>240</v>
      </c>
      <c r="D79" s="24" t="s">
        <v>252</v>
      </c>
      <c r="E79" t="str">
        <f>IFERROR(VLOOKUP(C79,装備品!$1:$998,COLUMN(C$1),FALSE),"")</f>
        <v>武器</v>
      </c>
      <c r="F79">
        <f>IFERROR(ROUNDDOWN((VLOOKUP($C79,装備品!$1:$998,COLUMN(D$1),FALSE)+IFERROR(VLOOKUP($CI79,付与!$1:$1167,COLUMN(F$1),FALSE),0))*VLOOKUP($D79,素材!$1:$1016,COLUMN(D$1),FALSE),0),"")</f>
        <v>110</v>
      </c>
      <c r="G79">
        <f>IFERROR(ROUNDDOWN((VLOOKUP($C79,装備品!$1:$998,COLUMN(E$1),FALSE)+IFERROR(VLOOKUP($CI79,付与!$1:$1167,COLUMN(G$1),FALSE),0))*VLOOKUP($D79,素材!$1:$1016,COLUMN($E$1),FALSE),0),"")</f>
        <v>18</v>
      </c>
      <c r="H79">
        <f>IFERROR(ROUNDDOWN((VLOOKUP($C79,装備品!$1:$998,COLUMN(F$1),FALSE)+IFERROR(VLOOKUP($CI79,付与!$1:$1167,COLUMN(H$1),FALSE),0))*VLOOKUP($D79,素材!$1:$1016,COLUMN($E$1),FALSE),0),"")</f>
        <v>10</v>
      </c>
      <c r="I79">
        <f>IFERROR(ROUNDDOWN((VLOOKUP($C79,装備品!$1:$998,COLUMN(G$1),FALSE)+IFERROR(VLOOKUP($CI79,付与!$1:$1167,COLUMN(I$1),FALSE),0))*VLOOKUP($D79,素材!$1:$1016,COLUMN($E$1),FALSE),0),"")</f>
        <v>2</v>
      </c>
      <c r="J79">
        <f>IFERROR(ROUNDDOWN((VLOOKUP($C79,装備品!$1:$998,COLUMN(H$1),FALSE)+IFERROR(VLOOKUP($CI79,付与!$1:$1167,COLUMN(J$1),FALSE),0))*VLOOKUP($D79,素材!$1:$1016,COLUMN($E$1),FALSE),0),"")</f>
        <v>22</v>
      </c>
      <c r="K79">
        <f>IFERROR(ROUNDDOWN((VLOOKUP($C79,装備品!$1:$998,COLUMN(I$1),FALSE)+IFERROR(VLOOKUP($CI79,付与!$1:$1167,COLUMN(K$1),FALSE),0))*VLOOKUP($D79,素材!$1:$1016,COLUMN($E$1),FALSE),0),"")</f>
        <v>0</v>
      </c>
      <c r="L79">
        <f>IFERROR(VLOOKUP($D79,素材!$1:$1016,COLUMN($F$1),FALSE),"")</f>
        <v>0</v>
      </c>
      <c r="M79">
        <f>IFERROR(VLOOKUP($C79,装備品!$1:$998,COLUMN(AA$1),FALSE)*VLOOKUP($D79,素材!$1:$1016,COLUMN($G$1),FALSE),"")</f>
        <v>0</v>
      </c>
      <c r="N79">
        <f>IFERROR(VLOOKUP($C79,装備品!$1:$998,COLUMN(I$1),FALSE),"")</f>
        <v>0</v>
      </c>
      <c r="O79" s="23">
        <f>IFERROR((VLOOKUP($C79,装備品!$1:$998,COLUMN(K$1),FALSE)+VLOOKUP($D79,素材!$1:$1016,COLUMN(H$1),FALSE))*100+IFERROR(VLOOKUP($CI79,付与!$1:$1167,COLUMN(O$1),FALSE),0),"")</f>
        <v>10</v>
      </c>
      <c r="P79" s="23">
        <f>IFERROR((VLOOKUP($C79,装備品!$1:$998,COLUMN(L$1),FALSE)+VLOOKUP($D79,素材!$1:$1016,COLUMN(I$1),FALSE))*100+IFERROR(VLOOKUP($CI79,付与!$1:$1167,COLUMN(P$1),FALSE),0),"")</f>
        <v>175</v>
      </c>
      <c r="Q79">
        <f>IFERROR(ROUNDUP(VLOOKUP($C79,装備品!$1:$998,COLUMN(M$1),FALSE)*(VLOOKUP($D79,素材!$1:$1002,COLUMN(D$1),FALSE)/100),1),"")</f>
        <v>0</v>
      </c>
      <c r="R79">
        <f>IFERROR(ROUNDUP(VLOOKUP($C79,装備品!$1:$998,COLUMN(N$1),FALSE)*(VLOOKUP($D79,素材!$1:$1002,COLUMN(D$1),FALSE)/100),1),"")</f>
        <v>0</v>
      </c>
      <c r="S79">
        <f>IFERROR(VLOOKUP($C79,装備品!$1:$998,COLUMN(P$1),FALSE),"")</f>
        <v>0</v>
      </c>
      <c r="T79">
        <f>IFERROR(VLOOKUP($C79,装備品!$1:$998,COLUMN(Q$1),FALSE),"")</f>
        <v>0</v>
      </c>
      <c r="U79">
        <f>IFERROR(VLOOKUP($C79,装備品!$1:$998,COLUMN(R$1),FALSE),"")</f>
        <v>0</v>
      </c>
      <c r="V79">
        <f>IFERROR(VLOOKUP($C79,装備品!$1:$998,COLUMN(Q$1),FALSE),"")</f>
        <v>0</v>
      </c>
      <c r="W79">
        <f>IFERROR(VLOOKUP($C79,装備品!$1:$998,COLUMN(T$1),FALSE),"")</f>
        <v>0</v>
      </c>
      <c r="Y79">
        <f>IFERROR(VLOOKUP($C79,装備品!$1:$998,COLUMN(U$1),FALSE),"")</f>
        <v>0</v>
      </c>
      <c r="Z79">
        <f>IFERROR(ROUNDUP(VLOOKUP($C79,装備品!$1:$998,COLUMN(O$1),FALSE)*VLOOKUP($D79,素材!$1:$1016,COLUMN(E$1),FALSE),1),"")</f>
        <v>0</v>
      </c>
      <c r="AA79">
        <f>IF(ISNUMBER(SEARCH(SUBSTITUTE(AA$1,RIGHT(AA$1,2),""),VLOOKUP($D79,素材!$1:$1016,COLUMN($F$1),FALSE))),VLOOKUP($C79,装備品!$1:$998,COLUMN($O$1),FALSE)*VLOOKUP($D79,素材!$1:$1016,COLUMN($E$1),FALSE)/(LEN(VLOOKUP($D79,素材!$1:$1016,COLUMN($F$1),FALSE))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B79">
        <f>IF(ISNUMBER(SEARCH(SUBSTITUTE(AB$1,RIGHT(AB$1,2),""),VLOOKUP($D79,素材!$1:$1016,COLUMN($F$1),FALSE))),VLOOKUP($C79,装備品!$1:$998,COLUMN($O$1),FALSE)*VLOOKUP($D79,素材!$1:$1016,COLUMN($E$1),FALSE)/(LEN(VLOOKUP($D79,素材!$1:$1016,COLUMN($F$1),FALSE))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C79">
        <f>IF(ISNUMBER(SEARCH(SUBSTITUTE(AC$1,RIGHT(AC$1,2),""),VLOOKUP($D79,素材!$1:$1016,COLUMN($F$1),FALSE))),VLOOKUP($C79,装備品!$1:$998,COLUMN($O$1),FALSE)*VLOOKUP($D79,素材!$1:$1016,COLUMN($E$1),FALSE)/(LEN(VLOOKUP($D79,素材!$1:$1016,COLUMN($F$1),FALSE))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D79">
        <f>IF(ISNUMBER(SEARCH(SUBSTITUTE(AD$1,RIGHT(AD$1,2),""),VLOOKUP($D79,素材!$1:$1016,COLUMN($F$1),FALSE))),VLOOKUP($C79,装備品!$1:$998,COLUMN($O$1),FALSE)*VLOOKUP($D79,素材!$1:$1016,COLUMN($E$1),FALSE)/(LEN(VLOOKUP($D79,素材!$1:$1016,COLUMN($F$1),FALSE))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E79">
        <f>IF(ISNUMBER(SEARCH(SUBSTITUTE(AE$1,RIGHT(AE$1,2),""),VLOOKUP($D79,素材!$1:$1016,COLUMN($F$1),FALSE))),VLOOKUP($C79,装備品!$1:$998,COLUMN($O$1),FALSE)*VLOOKUP($D79,素材!$1:$1016,COLUMN($E$1),FALSE)/(LEN(VLOOKUP($D79,素材!$1:$1016,COLUMN($F$1),FALSE))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F79">
        <f>IF(ISNUMBER(SEARCH(SUBSTITUTE(AF$1,RIGHT(AF$1,2),""),VLOOKUP($D79,素材!$1:$1016,COLUMN($F$1),FALSE))),VLOOKUP($C79,装備品!$1:$998,COLUMN($O$1),FALSE)*VLOOKUP($D79,素材!$1:$1016,COLUMN($E$1),FALSE)/(LEN(VLOOKUP($D79,素材!$1:$1016,COLUMN($F$1),FALSE))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G79">
        <f>IF(ISNUMBER(SEARCH(SUBSTITUTE(AG$1,RIGHT(AG$1,2),""),VLOOKUP($D79,素材!$1:$1016,COLUMN($F$1),FALSE))),VLOOKUP($C79,装備品!$1:$998,COLUMN($O$1),FALSE)*VLOOKUP($D79,素材!$1:$1016,COLUMN($E$1),FALSE)/(LEN(VLOOKUP($D79,素材!$1:$1016,COLUMN($F$1),FALSE))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H79">
        <f>IF(ISNUMBER(SEARCH(SUBSTITUTE(AH$1,RIGHT(AH$1,2),""),VLOOKUP($D79,素材!$1:$1016,COLUMN($F$1),FALSE))),VLOOKUP($C79,装備品!$1:$998,COLUMN($O$1),FALSE)*VLOOKUP($D79,素材!$1:$1016,COLUMN($E$1),FALSE)/(LEN(VLOOKUP($D79,素材!$1:$1016,COLUMN($F$1),FALSE))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I79">
        <f>IF(ISNUMBER(SEARCH(SUBSTITUTE(AI$1,RIGHT(AI$1,2),""),VLOOKUP($D79,素材!$1:$1016,COLUMN($F$1),FALSE))),VLOOKUP($C79,装備品!$1:$998,COLUMN($O$1),FALSE)*VLOOKUP($D79,素材!$1:$1016,COLUMN($E$1),FALSE)/(LEN(VLOOKUP($D79,素材!$1:$1016,COLUMN($F$1),FALSE))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J79">
        <f>IF(ISNUMBER(SEARCH(SUBSTITUTE(AJ$1,RIGHT(AJ$1,2),""),VLOOKUP($D79,素材!$1:$1016,COLUMN($F$1),FALSE))),VLOOKUP($C79,装備品!$1:$998,COLUMN($O$1),FALSE)*VLOOKUP($D79,素材!$1:$1016,COLUMN($E$1),FALSE)/(LEN(VLOOKUP($D79,素材!$1:$1016,COLUMN($F$1),FALSE))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K79">
        <f>IF(ISNUMBER(SEARCH(SUBSTITUTE(AK$1,RIGHT(AK$1,2),""),VLOOKUP($D79,素材!$1:$1016,COLUMN($F$1),FALSE))),VLOOKUP($C79,装備品!$1:$998,COLUMN($O$1),FALSE)*VLOOKUP($D79,素材!$1:$1016,COLUMN($E$1),FALSE)/(LEN(VLOOKUP($D79,素材!$1:$1016,COLUMN($F$1),FALSE))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L79">
        <f>IF(ISNUMBER(SEARCH(SUBSTITUTE(AL$1,RIGHT(AL$1,2),""),VLOOKUP($D79,素材!$1:$1016,COLUMN($F$1),FALSE))),VLOOKUP($C79,装備品!$1:$998,COLUMN($O$1),FALSE)*VLOOKUP($D79,素材!$1:$1016,COLUMN($E$1),FALSE)/(LEN(VLOOKUP($D79,素材!$1:$1016,COLUMN($F$1),FALSE))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M79">
        <f>IF(ISNUMBER(SEARCH(SUBSTITUTE(AM$1,RIGHT(AM$1,2),""),VLOOKUP($D79,素材!$1:$1016,COLUMN($F$1),FALSE))),VLOOKUP($C79,装備品!$1:$998,COLUMN($O$1),FALSE)*VLOOKUP($D79,素材!$1:$1016,COLUMN($E$1),FALSE)/(LEN(VLOOKUP($D79,素材!$1:$1016,COLUMN($F$1),FALSE))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N79">
        <f>IF(ISNUMBER(SEARCH(SUBSTITUTE(AN$1,RIGHT(AN$1,2),""),VLOOKUP($D79,素材!$1:$1016,COLUMN($F$1),FALSE))),VLOOKUP($C79,装備品!$1:$998,COLUMN($O$1),FALSE)*VLOOKUP($D79,素材!$1:$1016,COLUMN($E$1),FALSE)/(LEN(VLOOKUP($D79,素材!$1:$1016,COLUMN($F$1),FALSE))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O79">
        <f>IF(ISNUMBER(SEARCH(SUBSTITUTE(AO$1,RIGHT(AO$1,2),""),VLOOKUP($D79,素材!$1:$1016,COLUMN($F$1),FALSE))),VLOOKUP($C79,装備品!$1:$998,COLUMN($O$1),FALSE)*VLOOKUP($D79,素材!$1:$1016,COLUMN($E$1),FALSE)/(LEN(VLOOKUP($D79,素材!$1:$1016,COLUMN($F$1),FALSE))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P79">
        <f>IF(ISNUMBER(SEARCH(SUBSTITUTE(AP$1,RIGHT(AP$1,2),""),VLOOKUP($D79,素材!$1:$1016,COLUMN($F$1),FALSE))),VLOOKUP($C79,装備品!$1:$998,COLUMN($O$1),FALSE)*VLOOKUP($D79,素材!$1:$1016,COLUMN($E$1),FALSE)/(LEN(VLOOKUP($D79,素材!$1:$1016,COLUMN($F$1),FALSE))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Q79">
        <f>IF(ISNUMBER(SEARCH(SUBSTITUTE(AQ$1,RIGHT(AQ$1,2),""),VLOOKUP($D79,素材!$1:$1016,COLUMN($F$1),FALSE))),VLOOKUP($C79,装備品!$1:$998,COLUMN($O$1),FALSE)*VLOOKUP($D79,素材!$1:$1016,COLUMN($E$1),FALSE)/(LEN(VLOOKUP($D79,素材!$1:$1016,COLUMN($F$1),FALSE))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R79">
        <f>IF(ISNUMBER(SEARCH(SUBSTITUTE(AR$1,RIGHT(AR$1,2),""),VLOOKUP($D79,素材!$1:$1016,COLUMN($F$1),FALSE))),VLOOKUP($C79,装備品!$1:$998,COLUMN($O$1),FALSE)*VLOOKUP($D79,素材!$1:$1016,COLUMN($E$1),FALSE)/(LEN(VLOOKUP($D79,素材!$1:$1016,COLUMN($F$1),FALSE))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S79">
        <f>IF(ISNUMBER(SEARCH(SUBSTITUTE(AS$1,RIGHT(AS$1,2),""),VLOOKUP($D79,素材!$1:$1016,COLUMN($F$1),FALSE))),VLOOKUP($C79,装備品!$1:$998,COLUMN($O$1),FALSE)*VLOOKUP($D79,素材!$1:$1016,COLUMN($E$1),FALSE)/(LEN(VLOOKUP($D79,素材!$1:$1016,COLUMN($F$1),FALSE))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T79">
        <f>IF(ISNUMBER(SEARCH(SUBSTITUTE(AT$1,RIGHT(AT$1,2),""),VLOOKUP($D79,素材!$1:$1016,COLUMN($F$1),FALSE))),VLOOKUP($C79,装備品!$1:$998,COLUMN($O$1),FALSE)*VLOOKUP($D79,素材!$1:$1016,COLUMN($E$1),FALSE)/(LEN(VLOOKUP($D79,素材!$1:$1016,COLUMN($F$1),FALSE))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U79">
        <f>IF(ISNUMBER(SEARCH(SUBSTITUTE(AU$1,RIGHT(AU$1,2),""),VLOOKUP($D79,素材!$1:$1016,COLUMN($F$1),FALSE))),VLOOKUP($C79,装備品!$1:$998,COLUMN($O$1),FALSE)*VLOOKUP($D79,素材!$1:$1016,COLUMN($E$1),FALSE)/(LEN(VLOOKUP($D79,素材!$1:$1016,COLUMN($F$1),FALSE))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V79">
        <f>IF(ISNUMBER(SEARCH(SUBSTITUTE(AV$1,RIGHT(AV$1,2),""),VLOOKUP($D79,素材!$1:$1016,COLUMN($F$1),FALSE))),VLOOKUP($C79,装備品!$1:$998,COLUMN($O$1),FALSE)*VLOOKUP($D79,素材!$1:$1016,COLUMN($E$1),FALSE)/(LEN(VLOOKUP($D79,素材!$1:$1016,COLUMN($F$1),FALSE))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W79">
        <f>IF(ISNUMBER(SEARCH(SUBSTITUTE(AW$1,RIGHT(AW$1,2),""),VLOOKUP($D79,素材!$1:$1016,COLUMN($F$1),FALSE))),VLOOKUP($C79,装備品!$1:$998,COLUMN($O$1),FALSE)*VLOOKUP($D79,素材!$1:$1016,COLUMN($E$1),FALSE)/(LEN(VLOOKUP($D79,素材!$1:$1016,COLUMN($F$1),FALSE))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X79">
        <f>IF(ISNUMBER(SEARCH(SUBSTITUTE(AX$1,RIGHT(AX$1,2),""),VLOOKUP($D79,素材!$1:$1016,COLUMN($F$1),FALSE))),VLOOKUP($C79,装備品!$1:$998,COLUMN($O$1),FALSE)*VLOOKUP($D79,素材!$1:$1016,COLUMN($E$1),FALSE)/(LEN(VLOOKUP($D79,素材!$1:$1016,COLUMN($F$1),FALSE))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Y79">
        <f>IF(ISNUMBER(SEARCH(SUBSTITUTE(AY$1,RIGHT(AY$1,2),""),VLOOKUP($D79,素材!$1:$1016,COLUMN($F$1),FALSE))),VLOOKUP($C79,装備品!$1:$998,COLUMN($O$1),FALSE)*VLOOKUP($D79,素材!$1:$1016,COLUMN($E$1),FALSE)/(LEN(VLOOKUP($D79,素材!$1:$1016,COLUMN($F$1),FALSE))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Z79">
        <f>IF(ISNUMBER(SEARCH(SUBSTITUTE(AZ$1,RIGHT(AZ$1,2),""),VLOOKUP($D79,素材!$1:$1016,COLUMN($F$1),FALSE))),VLOOKUP($C79,装備品!$1:$998,COLUMN($O$1),FALSE)*VLOOKUP($D79,素材!$1:$1016,COLUMN($E$1),FALSE)/(LEN(VLOOKUP($D79,素材!$1:$1016,COLUMN($F$1),FALSE))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BA79">
        <f>IF(ISNUMBER(SEARCH(SUBSTITUTE(BA$1,RIGHT(BA$1,2),""),VLOOKUP($D79,素材!$1:$1016,COLUMN($F$1),FALSE))),VLOOKUP($C79,装備品!$1:$998,COLUMN($O$1),FALSE)*VLOOKUP($D79,素材!$1:$1016,COLUMN($E$1),FALSE)/(LEN(VLOOKUP($D79,素材!$1:$1016,COLUMN($F$1),FALSE))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BB79">
        <f>IF(ISNUMBER(SEARCH(SUBSTITUTE(BB$1,RIGHT(BB$1,2),""),VLOOKUP($D79,素材!$1:$1016,COLUMN($F$1),FALSE))),VLOOKUP($C79,装備品!$1:$998,COLUMN($O$1),FALSE)*VLOOKUP($D79,素材!$1:$1016,COLUMN($E$1),FALSE)/(LEN(VLOOKUP($D79,素材!$1:$1016,COLUMN($F$1),FALSE))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BC79">
        <f>IF(ISNUMBER(SEARCH(SUBSTITUTE(BC$1,RIGHT(BC$1,2),""),VLOOKUP($D79,素材!$1:$1016,COLUMN($F$1),FALSE))),VLOOKUP($C79,装備品!$1:$998,COLUMN($O$1),FALSE)*VLOOKUP($D79,素材!$1:$1016,COLUMN($E$1),FALSE)/(LEN(VLOOKUP($D79,素材!$1:$1016,COLUMN($F$1),FALSE))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BD79">
        <f>IF(ISNUMBER(SEARCH(SUBSTITUTE(BD$1,RIGHT(BD$1,2),""),VLOOKUP($D79,素材!$1:$1016,COLUMN($F$1),FALSE))),VLOOKUP($C79,装備品!$1:$998,COLUMN($O$1),FALSE)*VLOOKUP($D79,素材!$1:$1016,COLUMN($E$1),FALSE)/(LEN(VLOOKUP($D79,素材!$1:$1016,COLUMN($F$1),FALSE))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BE79">
        <f>IF(ISNUMBER(SEARCH(SUBSTITUTE(BE$1,RIGHT(BE$1,2),""),VLOOKUP($D79,素材!$1:$1016,COLUMN($F$1),FALSE))),VLOOKUP($C79,装備品!$1:$998,COLUMN($O$1),FALSE)*VLOOKUP($D79,素材!$1:$1016,COLUMN($E$1),FALSE)/(LEN(VLOOKUP($D79,素材!$1:$1016,COLUMN($F$1),FALSE))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CL79">
        <f t="shared" si="7"/>
        <v>30</v>
      </c>
      <c r="CM79" s="22" t="str">
        <f t="shared" si="8"/>
        <v>切断.webp</v>
      </c>
      <c r="CN79">
        <f>IFERROR(VLOOKUP($C79,装備品!$1:$998,COLUMN(V$1),FALSE)*VLOOKUP($D79,素材!$1:$1016,COLUMN(N$1),FALSE)+IF(CI79="",0,VLOOKUP($CI79,付与!$1:$1176,COLUMN($CK$1),FALSE)),"")</f>
        <v>0</v>
      </c>
      <c r="CO79" t="str">
        <f>VLOOKUP(D79,素材!$A:$O,COLUMN(素材!O$1),FALSE)</f>
        <v>鍛えられた鉄。硬度が高く安価なためよく使用される。</v>
      </c>
      <c r="CP79" t="str">
        <f>VLOOKUP(C79,装備品!$A:$AB,COLUMN(装備品!AB$1),FALSE)</f>
        <v>刀。切断力に優れた武器で、Cr威力が高い</v>
      </c>
      <c r="CR79" t="str">
        <f t="shared" si="9"/>
        <v>e_79</v>
      </c>
      <c r="CS79">
        <f t="shared" si="10"/>
        <v>0</v>
      </c>
    </row>
    <row r="80" spans="1:97" outlineLevel="1" x14ac:dyDescent="0.4">
      <c r="A80" t="str">
        <f t="shared" si="6"/>
        <v>鋼の剣</v>
      </c>
      <c r="B80" t="str">
        <f>IFERROR(VLOOKUP($D80,素材!$1:$1016,COLUMN($B$1),FALSE)&amp;"・"&amp;VLOOKUP($C80,装備品!$1:$998,COLUMN(B$1),FALSE),"")</f>
        <v>スチール・ソード</v>
      </c>
      <c r="C80" s="24" t="s">
        <v>239</v>
      </c>
      <c r="D80" s="24" t="s">
        <v>252</v>
      </c>
      <c r="E80" t="str">
        <f>IFERROR(VLOOKUP(C80,装備品!$1:$998,COLUMN(C$1),FALSE),"")</f>
        <v>武器</v>
      </c>
      <c r="F80">
        <f>IFERROR(ROUNDDOWN((VLOOKUP($C80,装備品!$1:$998,COLUMN(D$1),FALSE)+IFERROR(VLOOKUP($CI80,付与!$1:$1167,COLUMN(F$1),FALSE),0))*VLOOKUP($D80,素材!$1:$1016,COLUMN(D$1),FALSE),0),"")</f>
        <v>105</v>
      </c>
      <c r="G80">
        <f>IFERROR(ROUNDDOWN((VLOOKUP($C80,装備品!$1:$998,COLUMN(E$1),FALSE)+IFERROR(VLOOKUP($CI80,付与!$1:$1167,COLUMN(G$1),FALSE),0))*VLOOKUP($D80,素材!$1:$1016,COLUMN($E$1),FALSE),0),"")</f>
        <v>16</v>
      </c>
      <c r="H80">
        <f>IFERROR(ROUNDDOWN((VLOOKUP($C80,装備品!$1:$998,COLUMN(F$1),FALSE)+IFERROR(VLOOKUP($CI80,付与!$1:$1167,COLUMN(H$1),FALSE),0))*VLOOKUP($D80,素材!$1:$1016,COLUMN($E$1),FALSE),0),"")</f>
        <v>12</v>
      </c>
      <c r="I80">
        <f>IFERROR(ROUNDDOWN((VLOOKUP($C80,装備品!$1:$998,COLUMN(G$1),FALSE)+IFERROR(VLOOKUP($CI80,付与!$1:$1167,COLUMN(I$1),FALSE),0))*VLOOKUP($D80,素材!$1:$1016,COLUMN($E$1),FALSE),0),"")</f>
        <v>4</v>
      </c>
      <c r="J80">
        <f>IFERROR(ROUNDDOWN((VLOOKUP($C80,装備品!$1:$998,COLUMN(H$1),FALSE)+IFERROR(VLOOKUP($CI80,付与!$1:$1167,COLUMN(J$1),FALSE),0))*VLOOKUP($D80,素材!$1:$1016,COLUMN($E$1),FALSE),0),"")</f>
        <v>25</v>
      </c>
      <c r="K80">
        <f>IFERROR(ROUNDDOWN((VLOOKUP($C80,装備品!$1:$998,COLUMN(I$1),FALSE)+IFERROR(VLOOKUP($CI80,付与!$1:$1167,COLUMN(K$1),FALSE),0))*VLOOKUP($D80,素材!$1:$1016,COLUMN($E$1),FALSE),0),"")</f>
        <v>0</v>
      </c>
      <c r="L80">
        <f>IFERROR(VLOOKUP($D80,素材!$1:$1016,COLUMN($F$1),FALSE),"")</f>
        <v>0</v>
      </c>
      <c r="M80">
        <f>IFERROR(VLOOKUP($C80,装備品!$1:$998,COLUMN(AA$1),FALSE)*VLOOKUP($D80,素材!$1:$1016,COLUMN($G$1),FALSE),"")</f>
        <v>0</v>
      </c>
      <c r="N80">
        <f>IFERROR(VLOOKUP($C80,装備品!$1:$998,COLUMN(I$1),FALSE),"")</f>
        <v>0</v>
      </c>
      <c r="O80" s="23">
        <f>IFERROR((VLOOKUP($C80,装備品!$1:$998,COLUMN(K$1),FALSE)+VLOOKUP($D80,素材!$1:$1016,COLUMN(H$1),FALSE))*100+IFERROR(VLOOKUP($CI80,付与!$1:$1167,COLUMN(O$1),FALSE),0),"")</f>
        <v>10</v>
      </c>
      <c r="P80" s="23">
        <f>IFERROR((VLOOKUP($C80,装備品!$1:$998,COLUMN(L$1),FALSE)+VLOOKUP($D80,素材!$1:$1016,COLUMN(I$1),FALSE))*100+IFERROR(VLOOKUP($CI80,付与!$1:$1167,COLUMN(P$1),FALSE),0),"")</f>
        <v>150</v>
      </c>
      <c r="Q80">
        <f>IFERROR(ROUNDUP(VLOOKUP($C80,装備品!$1:$998,COLUMN(M$1),FALSE)*(VLOOKUP($D80,素材!$1:$1002,COLUMN(D$1),FALSE)/100),1),"")</f>
        <v>0</v>
      </c>
      <c r="R80">
        <f>IFERROR(ROUNDUP(VLOOKUP($C80,装備品!$1:$998,COLUMN(N$1),FALSE)*(VLOOKUP($D80,素材!$1:$1002,COLUMN(D$1),FALSE)/100),1),"")</f>
        <v>0</v>
      </c>
      <c r="S80">
        <f>IFERROR(VLOOKUP($C80,装備品!$1:$998,COLUMN(P$1),FALSE),"")</f>
        <v>0</v>
      </c>
      <c r="T80">
        <f>IFERROR(VLOOKUP($C80,装備品!$1:$998,COLUMN(Q$1),FALSE),"")</f>
        <v>0</v>
      </c>
      <c r="U80">
        <f>IFERROR(VLOOKUP($C80,装備品!$1:$998,COLUMN(R$1),FALSE),"")</f>
        <v>0</v>
      </c>
      <c r="V80">
        <f>IFERROR(VLOOKUP($C80,装備品!$1:$998,COLUMN(Q$1),FALSE),"")</f>
        <v>0</v>
      </c>
      <c r="W80">
        <f>IFERROR(VLOOKUP($C80,装備品!$1:$998,COLUMN(T$1),FALSE),"")</f>
        <v>0</v>
      </c>
      <c r="Y80">
        <f>IFERROR(VLOOKUP($C80,装備品!$1:$998,COLUMN(U$1),FALSE),"")</f>
        <v>0</v>
      </c>
      <c r="Z80">
        <f>IFERROR(ROUNDUP(VLOOKUP($C80,装備品!$1:$998,COLUMN(O$1),FALSE)*VLOOKUP($D80,素材!$1:$1016,COLUMN(E$1),FALSE),1),"")</f>
        <v>0</v>
      </c>
      <c r="AA80">
        <f>IF(ISNUMBER(SEARCH(SUBSTITUTE(AA$1,RIGHT(AA$1,2),""),VLOOKUP($D80,素材!$1:$1016,COLUMN($F$1),FALSE))),VLOOKUP($C80,装備品!$1:$998,COLUMN($O$1),FALSE)*VLOOKUP($D80,素材!$1:$1016,COLUMN($E$1),FALSE)/(LEN(VLOOKUP($D80,素材!$1:$1016,COLUMN($F$1),FALSE))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B80">
        <f>IF(ISNUMBER(SEARCH(SUBSTITUTE(AB$1,RIGHT(AB$1,2),""),VLOOKUP($D80,素材!$1:$1016,COLUMN($F$1),FALSE))),VLOOKUP($C80,装備品!$1:$998,COLUMN($O$1),FALSE)*VLOOKUP($D80,素材!$1:$1016,COLUMN($E$1),FALSE)/(LEN(VLOOKUP($D80,素材!$1:$1016,COLUMN($F$1),FALSE))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C80">
        <f>IF(ISNUMBER(SEARCH(SUBSTITUTE(AC$1,RIGHT(AC$1,2),""),VLOOKUP($D80,素材!$1:$1016,COLUMN($F$1),FALSE))),VLOOKUP($C80,装備品!$1:$998,COLUMN($O$1),FALSE)*VLOOKUP($D80,素材!$1:$1016,COLUMN($E$1),FALSE)/(LEN(VLOOKUP($D80,素材!$1:$1016,COLUMN($F$1),FALSE))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D80">
        <f>IF(ISNUMBER(SEARCH(SUBSTITUTE(AD$1,RIGHT(AD$1,2),""),VLOOKUP($D80,素材!$1:$1016,COLUMN($F$1),FALSE))),VLOOKUP($C80,装備品!$1:$998,COLUMN($O$1),FALSE)*VLOOKUP($D80,素材!$1:$1016,COLUMN($E$1),FALSE)/(LEN(VLOOKUP($D80,素材!$1:$1016,COLUMN($F$1),FALSE))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E80">
        <f>IF(ISNUMBER(SEARCH(SUBSTITUTE(AE$1,RIGHT(AE$1,2),""),VLOOKUP($D80,素材!$1:$1016,COLUMN($F$1),FALSE))),VLOOKUP($C80,装備品!$1:$998,COLUMN($O$1),FALSE)*VLOOKUP($D80,素材!$1:$1016,COLUMN($E$1),FALSE)/(LEN(VLOOKUP($D80,素材!$1:$1016,COLUMN($F$1),FALSE))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F80">
        <f>IF(ISNUMBER(SEARCH(SUBSTITUTE(AF$1,RIGHT(AF$1,2),""),VLOOKUP($D80,素材!$1:$1016,COLUMN($F$1),FALSE))),VLOOKUP($C80,装備品!$1:$998,COLUMN($O$1),FALSE)*VLOOKUP($D80,素材!$1:$1016,COLUMN($E$1),FALSE)/(LEN(VLOOKUP($D80,素材!$1:$1016,COLUMN($F$1),FALSE))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G80">
        <f>IF(ISNUMBER(SEARCH(SUBSTITUTE(AG$1,RIGHT(AG$1,2),""),VLOOKUP($D80,素材!$1:$1016,COLUMN($F$1),FALSE))),VLOOKUP($C80,装備品!$1:$998,COLUMN($O$1),FALSE)*VLOOKUP($D80,素材!$1:$1016,COLUMN($E$1),FALSE)/(LEN(VLOOKUP($D80,素材!$1:$1016,COLUMN($F$1),FALSE))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H80">
        <f>IF(ISNUMBER(SEARCH(SUBSTITUTE(AH$1,RIGHT(AH$1,2),""),VLOOKUP($D80,素材!$1:$1016,COLUMN($F$1),FALSE))),VLOOKUP($C80,装備品!$1:$998,COLUMN($O$1),FALSE)*VLOOKUP($D80,素材!$1:$1016,COLUMN($E$1),FALSE)/(LEN(VLOOKUP($D80,素材!$1:$1016,COLUMN($F$1),FALSE))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I80">
        <f>IF(ISNUMBER(SEARCH(SUBSTITUTE(AI$1,RIGHT(AI$1,2),""),VLOOKUP($D80,素材!$1:$1016,COLUMN($F$1),FALSE))),VLOOKUP($C80,装備品!$1:$998,COLUMN($O$1),FALSE)*VLOOKUP($D80,素材!$1:$1016,COLUMN($E$1),FALSE)/(LEN(VLOOKUP($D80,素材!$1:$1016,COLUMN($F$1),FALSE))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J80">
        <f>IF(ISNUMBER(SEARCH(SUBSTITUTE(AJ$1,RIGHT(AJ$1,2),""),VLOOKUP($D80,素材!$1:$1016,COLUMN($F$1),FALSE))),VLOOKUP($C80,装備品!$1:$998,COLUMN($O$1),FALSE)*VLOOKUP($D80,素材!$1:$1016,COLUMN($E$1),FALSE)/(LEN(VLOOKUP($D80,素材!$1:$1016,COLUMN($F$1),FALSE))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K80">
        <f>IF(ISNUMBER(SEARCH(SUBSTITUTE(AK$1,RIGHT(AK$1,2),""),VLOOKUP($D80,素材!$1:$1016,COLUMN($F$1),FALSE))),VLOOKUP($C80,装備品!$1:$998,COLUMN($O$1),FALSE)*VLOOKUP($D80,素材!$1:$1016,COLUMN($E$1),FALSE)/(LEN(VLOOKUP($D80,素材!$1:$1016,COLUMN($F$1),FALSE))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L80">
        <f>IF(ISNUMBER(SEARCH(SUBSTITUTE(AL$1,RIGHT(AL$1,2),""),VLOOKUP($D80,素材!$1:$1016,COLUMN($F$1),FALSE))),VLOOKUP($C80,装備品!$1:$998,COLUMN($O$1),FALSE)*VLOOKUP($D80,素材!$1:$1016,COLUMN($E$1),FALSE)/(LEN(VLOOKUP($D80,素材!$1:$1016,COLUMN($F$1),FALSE))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M80">
        <f>IF(ISNUMBER(SEARCH(SUBSTITUTE(AM$1,RIGHT(AM$1,2),""),VLOOKUP($D80,素材!$1:$1016,COLUMN($F$1),FALSE))),VLOOKUP($C80,装備品!$1:$998,COLUMN($O$1),FALSE)*VLOOKUP($D80,素材!$1:$1016,COLUMN($E$1),FALSE)/(LEN(VLOOKUP($D80,素材!$1:$1016,COLUMN($F$1),FALSE))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N80">
        <f>IF(ISNUMBER(SEARCH(SUBSTITUTE(AN$1,RIGHT(AN$1,2),""),VLOOKUP($D80,素材!$1:$1016,COLUMN($F$1),FALSE))),VLOOKUP($C80,装備品!$1:$998,COLUMN($O$1),FALSE)*VLOOKUP($D80,素材!$1:$1016,COLUMN($E$1),FALSE)/(LEN(VLOOKUP($D80,素材!$1:$1016,COLUMN($F$1),FALSE))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O80">
        <f>IF(ISNUMBER(SEARCH(SUBSTITUTE(AO$1,RIGHT(AO$1,2),""),VLOOKUP($D80,素材!$1:$1016,COLUMN($F$1),FALSE))),VLOOKUP($C80,装備品!$1:$998,COLUMN($O$1),FALSE)*VLOOKUP($D80,素材!$1:$1016,COLUMN($E$1),FALSE)/(LEN(VLOOKUP($D80,素材!$1:$1016,COLUMN($F$1),FALSE))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P80">
        <f>IF(ISNUMBER(SEARCH(SUBSTITUTE(AP$1,RIGHT(AP$1,2),""),VLOOKUP($D80,素材!$1:$1016,COLUMN($F$1),FALSE))),VLOOKUP($C80,装備品!$1:$998,COLUMN($O$1),FALSE)*VLOOKUP($D80,素材!$1:$1016,COLUMN($E$1),FALSE)/(LEN(VLOOKUP($D80,素材!$1:$1016,COLUMN($F$1),FALSE))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Q80">
        <f>IF(ISNUMBER(SEARCH(SUBSTITUTE(AQ$1,RIGHT(AQ$1,2),""),VLOOKUP($D80,素材!$1:$1016,COLUMN($F$1),FALSE))),VLOOKUP($C80,装備品!$1:$998,COLUMN($O$1),FALSE)*VLOOKUP($D80,素材!$1:$1016,COLUMN($E$1),FALSE)/(LEN(VLOOKUP($D80,素材!$1:$1016,COLUMN($F$1),FALSE))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R80">
        <f>IF(ISNUMBER(SEARCH(SUBSTITUTE(AR$1,RIGHT(AR$1,2),""),VLOOKUP($D80,素材!$1:$1016,COLUMN($F$1),FALSE))),VLOOKUP($C80,装備品!$1:$998,COLUMN($O$1),FALSE)*VLOOKUP($D80,素材!$1:$1016,COLUMN($E$1),FALSE)/(LEN(VLOOKUP($D80,素材!$1:$1016,COLUMN($F$1),FALSE))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S80">
        <f>IF(ISNUMBER(SEARCH(SUBSTITUTE(AS$1,RIGHT(AS$1,2),""),VLOOKUP($D80,素材!$1:$1016,COLUMN($F$1),FALSE))),VLOOKUP($C80,装備品!$1:$998,COLUMN($O$1),FALSE)*VLOOKUP($D80,素材!$1:$1016,COLUMN($E$1),FALSE)/(LEN(VLOOKUP($D80,素材!$1:$1016,COLUMN($F$1),FALSE))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T80">
        <f>IF(ISNUMBER(SEARCH(SUBSTITUTE(AT$1,RIGHT(AT$1,2),""),VLOOKUP($D80,素材!$1:$1016,COLUMN($F$1),FALSE))),VLOOKUP($C80,装備品!$1:$998,COLUMN($O$1),FALSE)*VLOOKUP($D80,素材!$1:$1016,COLUMN($E$1),FALSE)/(LEN(VLOOKUP($D80,素材!$1:$1016,COLUMN($F$1),FALSE))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U80">
        <f>IF(ISNUMBER(SEARCH(SUBSTITUTE(AU$1,RIGHT(AU$1,2),""),VLOOKUP($D80,素材!$1:$1016,COLUMN($F$1),FALSE))),VLOOKUP($C80,装備品!$1:$998,COLUMN($O$1),FALSE)*VLOOKUP($D80,素材!$1:$1016,COLUMN($E$1),FALSE)/(LEN(VLOOKUP($D80,素材!$1:$1016,COLUMN($F$1),FALSE))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V80">
        <f>IF(ISNUMBER(SEARCH(SUBSTITUTE(AV$1,RIGHT(AV$1,2),""),VLOOKUP($D80,素材!$1:$1016,COLUMN($F$1),FALSE))),VLOOKUP($C80,装備品!$1:$998,COLUMN($O$1),FALSE)*VLOOKUP($D80,素材!$1:$1016,COLUMN($E$1),FALSE)/(LEN(VLOOKUP($D80,素材!$1:$1016,COLUMN($F$1),FALSE))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W80">
        <f>IF(ISNUMBER(SEARCH(SUBSTITUTE(AW$1,RIGHT(AW$1,2),""),VLOOKUP($D80,素材!$1:$1016,COLUMN($F$1),FALSE))),VLOOKUP($C80,装備品!$1:$998,COLUMN($O$1),FALSE)*VLOOKUP($D80,素材!$1:$1016,COLUMN($E$1),FALSE)/(LEN(VLOOKUP($D80,素材!$1:$1016,COLUMN($F$1),FALSE))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X80">
        <f>IF(ISNUMBER(SEARCH(SUBSTITUTE(AX$1,RIGHT(AX$1,2),""),VLOOKUP($D80,素材!$1:$1016,COLUMN($F$1),FALSE))),VLOOKUP($C80,装備品!$1:$998,COLUMN($O$1),FALSE)*VLOOKUP($D80,素材!$1:$1016,COLUMN($E$1),FALSE)/(LEN(VLOOKUP($D80,素材!$1:$1016,COLUMN($F$1),FALSE))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Y80">
        <f>IF(ISNUMBER(SEARCH(SUBSTITUTE(AY$1,RIGHT(AY$1,2),""),VLOOKUP($D80,素材!$1:$1016,COLUMN($F$1),FALSE))),VLOOKUP($C80,装備品!$1:$998,COLUMN($O$1),FALSE)*VLOOKUP($D80,素材!$1:$1016,COLUMN($E$1),FALSE)/(LEN(VLOOKUP($D80,素材!$1:$1016,COLUMN($F$1),FALSE))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Z80">
        <f>IF(ISNUMBER(SEARCH(SUBSTITUTE(AZ$1,RIGHT(AZ$1,2),""),VLOOKUP($D80,素材!$1:$1016,COLUMN($F$1),FALSE))),VLOOKUP($C80,装備品!$1:$998,COLUMN($O$1),FALSE)*VLOOKUP($D80,素材!$1:$1016,COLUMN($E$1),FALSE)/(LEN(VLOOKUP($D80,素材!$1:$1016,COLUMN($F$1),FALSE))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BA80">
        <f>IF(ISNUMBER(SEARCH(SUBSTITUTE(BA$1,RIGHT(BA$1,2),""),VLOOKUP($D80,素材!$1:$1016,COLUMN($F$1),FALSE))),VLOOKUP($C80,装備品!$1:$998,COLUMN($O$1),FALSE)*VLOOKUP($D80,素材!$1:$1016,COLUMN($E$1),FALSE)/(LEN(VLOOKUP($D80,素材!$1:$1016,COLUMN($F$1),FALSE))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BB80">
        <f>IF(ISNUMBER(SEARCH(SUBSTITUTE(BB$1,RIGHT(BB$1,2),""),VLOOKUP($D80,素材!$1:$1016,COLUMN($F$1),FALSE))),VLOOKUP($C80,装備品!$1:$998,COLUMN($O$1),FALSE)*VLOOKUP($D80,素材!$1:$1016,COLUMN($E$1),FALSE)/(LEN(VLOOKUP($D80,素材!$1:$1016,COLUMN($F$1),FALSE))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BC80">
        <f>IF(ISNUMBER(SEARCH(SUBSTITUTE(BC$1,RIGHT(BC$1,2),""),VLOOKUP($D80,素材!$1:$1016,COLUMN($F$1),FALSE))),VLOOKUP($C80,装備品!$1:$998,COLUMN($O$1),FALSE)*VLOOKUP($D80,素材!$1:$1016,COLUMN($E$1),FALSE)/(LEN(VLOOKUP($D80,素材!$1:$1016,COLUMN($F$1),FALSE))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BD80">
        <f>IF(ISNUMBER(SEARCH(SUBSTITUTE(BD$1,RIGHT(BD$1,2),""),VLOOKUP($D80,素材!$1:$1016,COLUMN($F$1),FALSE))),VLOOKUP($C80,装備品!$1:$998,COLUMN($O$1),FALSE)*VLOOKUP($D80,素材!$1:$1016,COLUMN($E$1),FALSE)/(LEN(VLOOKUP($D80,素材!$1:$1016,COLUMN($F$1),FALSE))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BE80">
        <f>IF(ISNUMBER(SEARCH(SUBSTITUTE(BE$1,RIGHT(BE$1,2),""),VLOOKUP($D80,素材!$1:$1016,COLUMN($F$1),FALSE))),VLOOKUP($C80,装備品!$1:$998,COLUMN($O$1),FALSE)*VLOOKUP($D80,素材!$1:$1016,COLUMN($E$1),FALSE)/(LEN(VLOOKUP($D80,素材!$1:$1016,COLUMN($F$1),FALSE))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CL80">
        <f t="shared" si="7"/>
        <v>32</v>
      </c>
      <c r="CM80" s="22" t="str">
        <f t="shared" si="8"/>
        <v>切断.webp</v>
      </c>
      <c r="CN80">
        <f>IFERROR(VLOOKUP($C80,装備品!$1:$998,COLUMN(V$1),FALSE)*VLOOKUP($D80,素材!$1:$1016,COLUMN(N$1),FALSE)+IF(CI80="",0,VLOOKUP($CI80,付与!$1:$1176,COLUMN($CK$1),FALSE)),"")</f>
        <v>0</v>
      </c>
      <c r="CO80" t="str">
        <f>VLOOKUP(D80,素材!$A:$O,COLUMN(素材!O$1),FALSE)</f>
        <v>鍛えられた鉄。硬度が高く安価なためよく使用される。</v>
      </c>
      <c r="CP80" t="str">
        <f>VLOOKUP(C80,装備品!$A:$AB,COLUMN(装備品!AB$1),FALSE)</f>
        <v>剣。短い剣で片手で扱いやすく、初心者向けの武器。</v>
      </c>
      <c r="CR80" t="str">
        <f t="shared" si="9"/>
        <v>e_80</v>
      </c>
      <c r="CS80">
        <f t="shared" si="10"/>
        <v>0</v>
      </c>
    </row>
    <row r="81" spans="1:97" outlineLevel="1" x14ac:dyDescent="0.4">
      <c r="A81" t="str">
        <f t="shared" si="6"/>
        <v>鋼の広剣</v>
      </c>
      <c r="B81" t="str">
        <f>IFERROR(VLOOKUP($D81,素材!$1:$1016,COLUMN($B$1),FALSE)&amp;"・"&amp;VLOOKUP($C81,装備品!$1:$998,COLUMN(B$1),FALSE),"")</f>
        <v>スチール・ブロードソード</v>
      </c>
      <c r="C81" s="24" t="s">
        <v>238</v>
      </c>
      <c r="D81" s="24" t="s">
        <v>252</v>
      </c>
      <c r="E81" t="str">
        <f>IFERROR(VLOOKUP(C81,装備品!$1:$998,COLUMN(C$1),FALSE),"")</f>
        <v>武器</v>
      </c>
      <c r="F81">
        <f>IFERROR(ROUNDDOWN((VLOOKUP($C81,装備品!$1:$998,COLUMN(D$1),FALSE)+IFERROR(VLOOKUP($CI81,付与!$1:$1167,COLUMN(F$1),FALSE),0))*VLOOKUP($D81,素材!$1:$1016,COLUMN(D$1),FALSE),0),"")</f>
        <v>115</v>
      </c>
      <c r="G81">
        <f>IFERROR(ROUNDDOWN((VLOOKUP($C81,装備品!$1:$998,COLUMN(E$1),FALSE)+IFERROR(VLOOKUP($CI81,付与!$1:$1167,COLUMN(G$1),FALSE),0))*VLOOKUP($D81,素材!$1:$1016,COLUMN($E$1),FALSE),0),"")</f>
        <v>16</v>
      </c>
      <c r="H81">
        <f>IFERROR(ROUNDDOWN((VLOOKUP($C81,装備品!$1:$998,COLUMN(F$1),FALSE)+IFERROR(VLOOKUP($CI81,付与!$1:$1167,COLUMN(H$1),FALSE),0))*VLOOKUP($D81,素材!$1:$1016,COLUMN($E$1),FALSE),0),"")</f>
        <v>10</v>
      </c>
      <c r="I81">
        <f>IFERROR(ROUNDDOWN((VLOOKUP($C81,装備品!$1:$998,COLUMN(G$1),FALSE)+IFERROR(VLOOKUP($CI81,付与!$1:$1167,COLUMN(I$1),FALSE),0))*VLOOKUP($D81,素材!$1:$1016,COLUMN($E$1),FALSE),0),"")</f>
        <v>4</v>
      </c>
      <c r="J81">
        <f>IFERROR(ROUNDDOWN((VLOOKUP($C81,装備品!$1:$998,COLUMN(H$1),FALSE)+IFERROR(VLOOKUP($CI81,付与!$1:$1167,COLUMN(J$1),FALSE),0))*VLOOKUP($D81,素材!$1:$1016,COLUMN($E$1),FALSE),0),"")</f>
        <v>31</v>
      </c>
      <c r="K81">
        <f>IFERROR(ROUNDDOWN((VLOOKUP($C81,装備品!$1:$998,COLUMN(I$1),FALSE)+IFERROR(VLOOKUP($CI81,付与!$1:$1167,COLUMN(K$1),FALSE),0))*VLOOKUP($D81,素材!$1:$1016,COLUMN($E$1),FALSE),0),"")</f>
        <v>0</v>
      </c>
      <c r="L81">
        <f>IFERROR(VLOOKUP($D81,素材!$1:$1016,COLUMN($F$1),FALSE),"")</f>
        <v>0</v>
      </c>
      <c r="M81">
        <f>IFERROR(VLOOKUP($C81,装備品!$1:$998,COLUMN(AA$1),FALSE)*VLOOKUP($D81,素材!$1:$1016,COLUMN($G$1),FALSE),"")</f>
        <v>0</v>
      </c>
      <c r="N81">
        <f>IFERROR(VLOOKUP($C81,装備品!$1:$998,COLUMN(I$1),FALSE),"")</f>
        <v>0</v>
      </c>
      <c r="O81" s="23">
        <f>IFERROR((VLOOKUP($C81,装備品!$1:$998,COLUMN(K$1),FALSE)+VLOOKUP($D81,素材!$1:$1016,COLUMN(H$1),FALSE))*100+IFERROR(VLOOKUP($CI81,付与!$1:$1167,COLUMN(O$1),FALSE),0),"")</f>
        <v>10</v>
      </c>
      <c r="P81" s="23">
        <f>IFERROR((VLOOKUP($C81,装備品!$1:$998,COLUMN(L$1),FALSE)+VLOOKUP($D81,素材!$1:$1016,COLUMN(I$1),FALSE))*100+IFERROR(VLOOKUP($CI81,付与!$1:$1167,COLUMN(P$1),FALSE),0),"")</f>
        <v>150</v>
      </c>
      <c r="Q81">
        <f>IFERROR(ROUNDUP(VLOOKUP($C81,装備品!$1:$998,COLUMN(M$1),FALSE)*(VLOOKUP($D81,素材!$1:$1002,COLUMN(D$1),FALSE)/100),1),"")</f>
        <v>-2.7</v>
      </c>
      <c r="R81">
        <f>IFERROR(ROUNDUP(VLOOKUP($C81,装備品!$1:$998,COLUMN(N$1),FALSE)*(VLOOKUP($D81,素材!$1:$1002,COLUMN(D$1),FALSE)/100),1),"")</f>
        <v>-2.7</v>
      </c>
      <c r="S81">
        <f>IFERROR(VLOOKUP($C81,装備品!$1:$998,COLUMN(P$1),FALSE),"")</f>
        <v>0</v>
      </c>
      <c r="T81">
        <f>IFERROR(VLOOKUP($C81,装備品!$1:$998,COLUMN(Q$1),FALSE),"")</f>
        <v>0</v>
      </c>
      <c r="U81">
        <f>IFERROR(VLOOKUP($C81,装備品!$1:$998,COLUMN(R$1),FALSE),"")</f>
        <v>0</v>
      </c>
      <c r="V81">
        <f>IFERROR(VLOOKUP($C81,装備品!$1:$998,COLUMN(Q$1),FALSE),"")</f>
        <v>0</v>
      </c>
      <c r="W81">
        <f>IFERROR(VLOOKUP($C81,装備品!$1:$998,COLUMN(T$1),FALSE),"")</f>
        <v>0</v>
      </c>
      <c r="Y81">
        <f>IFERROR(VLOOKUP($C81,装備品!$1:$998,COLUMN(U$1),FALSE),"")</f>
        <v>0</v>
      </c>
      <c r="Z81">
        <f>IFERROR(ROUNDUP(VLOOKUP($C81,装備品!$1:$998,COLUMN(O$1),FALSE)*VLOOKUP($D81,素材!$1:$1016,COLUMN(E$1),FALSE),1),"")</f>
        <v>0</v>
      </c>
      <c r="AA81">
        <f>IF(ISNUMBER(SEARCH(SUBSTITUTE(AA$1,RIGHT(AA$1,2),""),VLOOKUP($D81,素材!$1:$1016,COLUMN($F$1),FALSE))),VLOOKUP($C81,装備品!$1:$998,COLUMN($O$1),FALSE)*VLOOKUP($D81,素材!$1:$1016,COLUMN($E$1),FALSE)/(LEN(VLOOKUP($D81,素材!$1:$1016,COLUMN($F$1),FALSE))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B81">
        <f>IF(ISNUMBER(SEARCH(SUBSTITUTE(AB$1,RIGHT(AB$1,2),""),VLOOKUP($D81,素材!$1:$1016,COLUMN($F$1),FALSE))),VLOOKUP($C81,装備品!$1:$998,COLUMN($O$1),FALSE)*VLOOKUP($D81,素材!$1:$1016,COLUMN($E$1),FALSE)/(LEN(VLOOKUP($D81,素材!$1:$1016,COLUMN($F$1),FALSE))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C81">
        <f>IF(ISNUMBER(SEARCH(SUBSTITUTE(AC$1,RIGHT(AC$1,2),""),VLOOKUP($D81,素材!$1:$1016,COLUMN($F$1),FALSE))),VLOOKUP($C81,装備品!$1:$998,COLUMN($O$1),FALSE)*VLOOKUP($D81,素材!$1:$1016,COLUMN($E$1),FALSE)/(LEN(VLOOKUP($D81,素材!$1:$1016,COLUMN($F$1),FALSE))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D81">
        <f>IF(ISNUMBER(SEARCH(SUBSTITUTE(AD$1,RIGHT(AD$1,2),""),VLOOKUP($D81,素材!$1:$1016,COLUMN($F$1),FALSE))),VLOOKUP($C81,装備品!$1:$998,COLUMN($O$1),FALSE)*VLOOKUP($D81,素材!$1:$1016,COLUMN($E$1),FALSE)/(LEN(VLOOKUP($D81,素材!$1:$1016,COLUMN($F$1),FALSE))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E81">
        <f>IF(ISNUMBER(SEARCH(SUBSTITUTE(AE$1,RIGHT(AE$1,2),""),VLOOKUP($D81,素材!$1:$1016,COLUMN($F$1),FALSE))),VLOOKUP($C81,装備品!$1:$998,COLUMN($O$1),FALSE)*VLOOKUP($D81,素材!$1:$1016,COLUMN($E$1),FALSE)/(LEN(VLOOKUP($D81,素材!$1:$1016,COLUMN($F$1),FALSE))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F81">
        <f>IF(ISNUMBER(SEARCH(SUBSTITUTE(AF$1,RIGHT(AF$1,2),""),VLOOKUP($D81,素材!$1:$1016,COLUMN($F$1),FALSE))),VLOOKUP($C81,装備品!$1:$998,COLUMN($O$1),FALSE)*VLOOKUP($D81,素材!$1:$1016,COLUMN($E$1),FALSE)/(LEN(VLOOKUP($D81,素材!$1:$1016,COLUMN($F$1),FALSE))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G81">
        <f>IF(ISNUMBER(SEARCH(SUBSTITUTE(AG$1,RIGHT(AG$1,2),""),VLOOKUP($D81,素材!$1:$1016,COLUMN($F$1),FALSE))),VLOOKUP($C81,装備品!$1:$998,COLUMN($O$1),FALSE)*VLOOKUP($D81,素材!$1:$1016,COLUMN($E$1),FALSE)/(LEN(VLOOKUP($D81,素材!$1:$1016,COLUMN($F$1),FALSE))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H81">
        <f>IF(ISNUMBER(SEARCH(SUBSTITUTE(AH$1,RIGHT(AH$1,2),""),VLOOKUP($D81,素材!$1:$1016,COLUMN($F$1),FALSE))),VLOOKUP($C81,装備品!$1:$998,COLUMN($O$1),FALSE)*VLOOKUP($D81,素材!$1:$1016,COLUMN($E$1),FALSE)/(LEN(VLOOKUP($D81,素材!$1:$1016,COLUMN($F$1),FALSE))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I81">
        <f>IF(ISNUMBER(SEARCH(SUBSTITUTE(AI$1,RIGHT(AI$1,2),""),VLOOKUP($D81,素材!$1:$1016,COLUMN($F$1),FALSE))),VLOOKUP($C81,装備品!$1:$998,COLUMN($O$1),FALSE)*VLOOKUP($D81,素材!$1:$1016,COLUMN($E$1),FALSE)/(LEN(VLOOKUP($D81,素材!$1:$1016,COLUMN($F$1),FALSE))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J81">
        <f>IF(ISNUMBER(SEARCH(SUBSTITUTE(AJ$1,RIGHT(AJ$1,2),""),VLOOKUP($D81,素材!$1:$1016,COLUMN($F$1),FALSE))),VLOOKUP($C81,装備品!$1:$998,COLUMN($O$1),FALSE)*VLOOKUP($D81,素材!$1:$1016,COLUMN($E$1),FALSE)/(LEN(VLOOKUP($D81,素材!$1:$1016,COLUMN($F$1),FALSE))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K81">
        <f>IF(ISNUMBER(SEARCH(SUBSTITUTE(AK$1,RIGHT(AK$1,2),""),VLOOKUP($D81,素材!$1:$1016,COLUMN($F$1),FALSE))),VLOOKUP($C81,装備品!$1:$998,COLUMN($O$1),FALSE)*VLOOKUP($D81,素材!$1:$1016,COLUMN($E$1),FALSE)/(LEN(VLOOKUP($D81,素材!$1:$1016,COLUMN($F$1),FALSE))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L81">
        <f>IF(ISNUMBER(SEARCH(SUBSTITUTE(AL$1,RIGHT(AL$1,2),""),VLOOKUP($D81,素材!$1:$1016,COLUMN($F$1),FALSE))),VLOOKUP($C81,装備品!$1:$998,COLUMN($O$1),FALSE)*VLOOKUP($D81,素材!$1:$1016,COLUMN($E$1),FALSE)/(LEN(VLOOKUP($D81,素材!$1:$1016,COLUMN($F$1),FALSE))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M81">
        <f>IF(ISNUMBER(SEARCH(SUBSTITUTE(AM$1,RIGHT(AM$1,2),""),VLOOKUP($D81,素材!$1:$1016,COLUMN($F$1),FALSE))),VLOOKUP($C81,装備品!$1:$998,COLUMN($O$1),FALSE)*VLOOKUP($D81,素材!$1:$1016,COLUMN($E$1),FALSE)/(LEN(VLOOKUP($D81,素材!$1:$1016,COLUMN($F$1),FALSE))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N81">
        <f>IF(ISNUMBER(SEARCH(SUBSTITUTE(AN$1,RIGHT(AN$1,2),""),VLOOKUP($D81,素材!$1:$1016,COLUMN($F$1),FALSE))),VLOOKUP($C81,装備品!$1:$998,COLUMN($O$1),FALSE)*VLOOKUP($D81,素材!$1:$1016,COLUMN($E$1),FALSE)/(LEN(VLOOKUP($D81,素材!$1:$1016,COLUMN($F$1),FALSE))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O81">
        <f>IF(ISNUMBER(SEARCH(SUBSTITUTE(AO$1,RIGHT(AO$1,2),""),VLOOKUP($D81,素材!$1:$1016,COLUMN($F$1),FALSE))),VLOOKUP($C81,装備品!$1:$998,COLUMN($O$1),FALSE)*VLOOKUP($D81,素材!$1:$1016,COLUMN($E$1),FALSE)/(LEN(VLOOKUP($D81,素材!$1:$1016,COLUMN($F$1),FALSE))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P81">
        <f>IF(ISNUMBER(SEARCH(SUBSTITUTE(AP$1,RIGHT(AP$1,2),""),VLOOKUP($D81,素材!$1:$1016,COLUMN($F$1),FALSE))),VLOOKUP($C81,装備品!$1:$998,COLUMN($O$1),FALSE)*VLOOKUP($D81,素材!$1:$1016,COLUMN($E$1),FALSE)/(LEN(VLOOKUP($D81,素材!$1:$1016,COLUMN($F$1),FALSE))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Q81">
        <f>IF(ISNUMBER(SEARCH(SUBSTITUTE(AQ$1,RIGHT(AQ$1,2),""),VLOOKUP($D81,素材!$1:$1016,COLUMN($F$1),FALSE))),VLOOKUP($C81,装備品!$1:$998,COLUMN($O$1),FALSE)*VLOOKUP($D81,素材!$1:$1016,COLUMN($E$1),FALSE)/(LEN(VLOOKUP($D81,素材!$1:$1016,COLUMN($F$1),FALSE))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R81">
        <f>IF(ISNUMBER(SEARCH(SUBSTITUTE(AR$1,RIGHT(AR$1,2),""),VLOOKUP($D81,素材!$1:$1016,COLUMN($F$1),FALSE))),VLOOKUP($C81,装備品!$1:$998,COLUMN($O$1),FALSE)*VLOOKUP($D81,素材!$1:$1016,COLUMN($E$1),FALSE)/(LEN(VLOOKUP($D81,素材!$1:$1016,COLUMN($F$1),FALSE))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S81">
        <f>IF(ISNUMBER(SEARCH(SUBSTITUTE(AS$1,RIGHT(AS$1,2),""),VLOOKUP($D81,素材!$1:$1016,COLUMN($F$1),FALSE))),VLOOKUP($C81,装備品!$1:$998,COLUMN($O$1),FALSE)*VLOOKUP($D81,素材!$1:$1016,COLUMN($E$1),FALSE)/(LEN(VLOOKUP($D81,素材!$1:$1016,COLUMN($F$1),FALSE))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T81">
        <f>IF(ISNUMBER(SEARCH(SUBSTITUTE(AT$1,RIGHT(AT$1,2),""),VLOOKUP($D81,素材!$1:$1016,COLUMN($F$1),FALSE))),VLOOKUP($C81,装備品!$1:$998,COLUMN($O$1),FALSE)*VLOOKUP($D81,素材!$1:$1016,COLUMN($E$1),FALSE)/(LEN(VLOOKUP($D81,素材!$1:$1016,COLUMN($F$1),FALSE))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U81">
        <f>IF(ISNUMBER(SEARCH(SUBSTITUTE(AU$1,RIGHT(AU$1,2),""),VLOOKUP($D81,素材!$1:$1016,COLUMN($F$1),FALSE))),VLOOKUP($C81,装備品!$1:$998,COLUMN($O$1),FALSE)*VLOOKUP($D81,素材!$1:$1016,COLUMN($E$1),FALSE)/(LEN(VLOOKUP($D81,素材!$1:$1016,COLUMN($F$1),FALSE))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V81">
        <f>IF(ISNUMBER(SEARCH(SUBSTITUTE(AV$1,RIGHT(AV$1,2),""),VLOOKUP($D81,素材!$1:$1016,COLUMN($F$1),FALSE))),VLOOKUP($C81,装備品!$1:$998,COLUMN($O$1),FALSE)*VLOOKUP($D81,素材!$1:$1016,COLUMN($E$1),FALSE)/(LEN(VLOOKUP($D81,素材!$1:$1016,COLUMN($F$1),FALSE))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W81">
        <f>IF(ISNUMBER(SEARCH(SUBSTITUTE(AW$1,RIGHT(AW$1,2),""),VLOOKUP($D81,素材!$1:$1016,COLUMN($F$1),FALSE))),VLOOKUP($C81,装備品!$1:$998,COLUMN($O$1),FALSE)*VLOOKUP($D81,素材!$1:$1016,COLUMN($E$1),FALSE)/(LEN(VLOOKUP($D81,素材!$1:$1016,COLUMN($F$1),FALSE))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X81">
        <f>IF(ISNUMBER(SEARCH(SUBSTITUTE(AX$1,RIGHT(AX$1,2),""),VLOOKUP($D81,素材!$1:$1016,COLUMN($F$1),FALSE))),VLOOKUP($C81,装備品!$1:$998,COLUMN($O$1),FALSE)*VLOOKUP($D81,素材!$1:$1016,COLUMN($E$1),FALSE)/(LEN(VLOOKUP($D81,素材!$1:$1016,COLUMN($F$1),FALSE))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Y81">
        <f>IF(ISNUMBER(SEARCH(SUBSTITUTE(AY$1,RIGHT(AY$1,2),""),VLOOKUP($D81,素材!$1:$1016,COLUMN($F$1),FALSE))),VLOOKUP($C81,装備品!$1:$998,COLUMN($O$1),FALSE)*VLOOKUP($D81,素材!$1:$1016,COLUMN($E$1),FALSE)/(LEN(VLOOKUP($D81,素材!$1:$1016,COLUMN($F$1),FALSE))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Z81">
        <f>IF(ISNUMBER(SEARCH(SUBSTITUTE(AZ$1,RIGHT(AZ$1,2),""),VLOOKUP($D81,素材!$1:$1016,COLUMN($F$1),FALSE))),VLOOKUP($C81,装備品!$1:$998,COLUMN($O$1),FALSE)*VLOOKUP($D81,素材!$1:$1016,COLUMN($E$1),FALSE)/(LEN(VLOOKUP($D81,素材!$1:$1016,COLUMN($F$1),FALSE))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BA81">
        <f>IF(ISNUMBER(SEARCH(SUBSTITUTE(BA$1,RIGHT(BA$1,2),""),VLOOKUP($D81,素材!$1:$1016,COLUMN($F$1),FALSE))),VLOOKUP($C81,装備品!$1:$998,COLUMN($O$1),FALSE)*VLOOKUP($D81,素材!$1:$1016,COLUMN($E$1),FALSE)/(LEN(VLOOKUP($D81,素材!$1:$1016,COLUMN($F$1),FALSE))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BB81">
        <f>IF(ISNUMBER(SEARCH(SUBSTITUTE(BB$1,RIGHT(BB$1,2),""),VLOOKUP($D81,素材!$1:$1016,COLUMN($F$1),FALSE))),VLOOKUP($C81,装備品!$1:$998,COLUMN($O$1),FALSE)*VLOOKUP($D81,素材!$1:$1016,COLUMN($E$1),FALSE)/(LEN(VLOOKUP($D81,素材!$1:$1016,COLUMN($F$1),FALSE))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BC81">
        <f>IF(ISNUMBER(SEARCH(SUBSTITUTE(BC$1,RIGHT(BC$1,2),""),VLOOKUP($D81,素材!$1:$1016,COLUMN($F$1),FALSE))),VLOOKUP($C81,装備品!$1:$998,COLUMN($O$1),FALSE)*VLOOKUP($D81,素材!$1:$1016,COLUMN($E$1),FALSE)/(LEN(VLOOKUP($D81,素材!$1:$1016,COLUMN($F$1),FALSE))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BD81">
        <f>IF(ISNUMBER(SEARCH(SUBSTITUTE(BD$1,RIGHT(BD$1,2),""),VLOOKUP($D81,素材!$1:$1016,COLUMN($F$1),FALSE))),VLOOKUP($C81,装備品!$1:$998,COLUMN($O$1),FALSE)*VLOOKUP($D81,素材!$1:$1016,COLUMN($E$1),FALSE)/(LEN(VLOOKUP($D81,素材!$1:$1016,COLUMN($F$1),FALSE))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BE81">
        <f>IF(ISNUMBER(SEARCH(SUBSTITUTE(BE$1,RIGHT(BE$1,2),""),VLOOKUP($D81,素材!$1:$1016,COLUMN($F$1),FALSE))),VLOOKUP($C81,装備品!$1:$998,COLUMN($O$1),FALSE)*VLOOKUP($D81,素材!$1:$1016,COLUMN($E$1),FALSE)/(LEN(VLOOKUP($D81,素材!$1:$1016,COLUMN($F$1),FALSE))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CL81">
        <f t="shared" si="7"/>
        <v>30</v>
      </c>
      <c r="CM81" s="22" t="str">
        <f t="shared" si="8"/>
        <v>切断.webp</v>
      </c>
      <c r="CN81">
        <f>IFERROR(VLOOKUP($C81,装備品!$1:$998,COLUMN(V$1),FALSE)*VLOOKUP($D81,素材!$1:$1016,COLUMN(N$1),FALSE)+IF(CI81="",0,VLOOKUP($CI81,付与!$1:$1176,COLUMN($CK$1),FALSE)),"")</f>
        <v>0</v>
      </c>
      <c r="CO81" t="str">
        <f>VLOOKUP(D81,素材!$A:$O,COLUMN(素材!O$1),FALSE)</f>
        <v>鍛えられた鉄。硬度が高く安価なためよく使用される。</v>
      </c>
      <c r="CP81" t="str">
        <f>VLOOKUP(C81,装備品!$A:$AB,COLUMN(装備品!AB$1),FALSE)</f>
        <v>幅の広い剣。扱いにくいが攻撃と防御にも優れている。状況に合わせて立ち回ろう。</v>
      </c>
      <c r="CR81" t="str">
        <f t="shared" si="9"/>
        <v>e_81</v>
      </c>
      <c r="CS81">
        <f t="shared" si="10"/>
        <v>0</v>
      </c>
    </row>
    <row r="82" spans="1:97" outlineLevel="1" x14ac:dyDescent="0.4">
      <c r="A82" t="str">
        <f t="shared" si="6"/>
        <v>鋼の長剣</v>
      </c>
      <c r="B82" t="str">
        <f>IFERROR(VLOOKUP($D82,素材!$1:$1016,COLUMN($B$1),FALSE)&amp;"・"&amp;VLOOKUP($C82,装備品!$1:$998,COLUMN(B$1),FALSE),"")</f>
        <v>スチール・ロングソード</v>
      </c>
      <c r="C82" s="24" t="s">
        <v>237</v>
      </c>
      <c r="D82" s="24" t="s">
        <v>252</v>
      </c>
      <c r="E82" t="str">
        <f>IFERROR(VLOOKUP(C82,装備品!$1:$998,COLUMN(C$1),FALSE),"")</f>
        <v>武器</v>
      </c>
      <c r="F82">
        <f>IFERROR(ROUNDDOWN((VLOOKUP($C82,装備品!$1:$998,COLUMN(D$1),FALSE)+IFERROR(VLOOKUP($CI82,付与!$1:$1167,COLUMN(F$1),FALSE),0))*VLOOKUP($D82,素材!$1:$1016,COLUMN(D$1),FALSE),0),"")</f>
        <v>120</v>
      </c>
      <c r="G82">
        <f>IFERROR(ROUNDDOWN((VLOOKUP($C82,装備品!$1:$998,COLUMN(E$1),FALSE)+IFERROR(VLOOKUP($CI82,付与!$1:$1167,COLUMN(G$1),FALSE),0))*VLOOKUP($D82,素材!$1:$1016,COLUMN($E$1),FALSE),0),"")</f>
        <v>20</v>
      </c>
      <c r="H82">
        <f>IFERROR(ROUNDDOWN((VLOOKUP($C82,装備品!$1:$998,COLUMN(F$1),FALSE)+IFERROR(VLOOKUP($CI82,付与!$1:$1167,COLUMN(H$1),FALSE),0))*VLOOKUP($D82,素材!$1:$1016,COLUMN($E$1),FALSE),0),"")</f>
        <v>12</v>
      </c>
      <c r="I82">
        <f>IFERROR(ROUNDDOWN((VLOOKUP($C82,装備品!$1:$998,COLUMN(G$1),FALSE)+IFERROR(VLOOKUP($CI82,付与!$1:$1167,COLUMN(I$1),FALSE),0))*VLOOKUP($D82,素材!$1:$1016,COLUMN($E$1),FALSE),0),"")</f>
        <v>4</v>
      </c>
      <c r="J82">
        <f>IFERROR(ROUNDDOWN((VLOOKUP($C82,装備品!$1:$998,COLUMN(H$1),FALSE)+IFERROR(VLOOKUP($CI82,付与!$1:$1167,COLUMN(J$1),FALSE),0))*VLOOKUP($D82,素材!$1:$1016,COLUMN($E$1),FALSE),0),"")</f>
        <v>27</v>
      </c>
      <c r="K82">
        <f>IFERROR(ROUNDDOWN((VLOOKUP($C82,装備品!$1:$998,COLUMN(I$1),FALSE)+IFERROR(VLOOKUP($CI82,付与!$1:$1167,COLUMN(K$1),FALSE),0))*VLOOKUP($D82,素材!$1:$1016,COLUMN($E$1),FALSE),0),"")</f>
        <v>0</v>
      </c>
      <c r="L82">
        <f>IFERROR(VLOOKUP($D82,素材!$1:$1016,COLUMN($F$1),FALSE),"")</f>
        <v>0</v>
      </c>
      <c r="M82">
        <f>IFERROR(VLOOKUP($C82,装備品!$1:$998,COLUMN(AA$1),FALSE)*VLOOKUP($D82,素材!$1:$1016,COLUMN($G$1),FALSE),"")</f>
        <v>0</v>
      </c>
      <c r="N82">
        <f>IFERROR(VLOOKUP($C82,装備品!$1:$998,COLUMN(I$1),FALSE),"")</f>
        <v>0</v>
      </c>
      <c r="O82" s="23">
        <f>IFERROR((VLOOKUP($C82,装備品!$1:$998,COLUMN(K$1),FALSE)+VLOOKUP($D82,素材!$1:$1016,COLUMN(H$1),FALSE))*100+IFERROR(VLOOKUP($CI82,付与!$1:$1167,COLUMN(O$1),FALSE),0),"")</f>
        <v>10</v>
      </c>
      <c r="P82" s="23">
        <f>IFERROR((VLOOKUP($C82,装備品!$1:$998,COLUMN(L$1),FALSE)+VLOOKUP($D82,素材!$1:$1016,COLUMN(I$1),FALSE))*100+IFERROR(VLOOKUP($CI82,付与!$1:$1167,COLUMN(P$1),FALSE),0),"")</f>
        <v>150</v>
      </c>
      <c r="Q82">
        <f>IFERROR(ROUNDUP(VLOOKUP($C82,装備品!$1:$998,COLUMN(M$1),FALSE)*(VLOOKUP($D82,素材!$1:$1002,COLUMN(D$1),FALSE)/100),1),"")</f>
        <v>-2.7</v>
      </c>
      <c r="R82">
        <f>IFERROR(ROUNDUP(VLOOKUP($C82,装備品!$1:$998,COLUMN(N$1),FALSE)*(VLOOKUP($D82,素材!$1:$1002,COLUMN(D$1),FALSE)/100),1),"")</f>
        <v>-2.7</v>
      </c>
      <c r="S82">
        <f>IFERROR(VLOOKUP($C82,装備品!$1:$998,COLUMN(P$1),FALSE),"")</f>
        <v>0</v>
      </c>
      <c r="T82">
        <f>IFERROR(VLOOKUP($C82,装備品!$1:$998,COLUMN(Q$1),FALSE),"")</f>
        <v>0</v>
      </c>
      <c r="U82">
        <f>IFERROR(VLOOKUP($C82,装備品!$1:$998,COLUMN(R$1),FALSE),"")</f>
        <v>0</v>
      </c>
      <c r="V82">
        <f>IFERROR(VLOOKUP($C82,装備品!$1:$998,COLUMN(Q$1),FALSE),"")</f>
        <v>0</v>
      </c>
      <c r="W82">
        <f>IFERROR(VLOOKUP($C82,装備品!$1:$998,COLUMN(T$1),FALSE),"")</f>
        <v>0</v>
      </c>
      <c r="Y82">
        <f>IFERROR(VLOOKUP($C82,装備品!$1:$998,COLUMN(U$1),FALSE),"")</f>
        <v>0</v>
      </c>
      <c r="Z82">
        <f>IFERROR(ROUNDUP(VLOOKUP($C82,装備品!$1:$998,COLUMN(O$1),FALSE)*VLOOKUP($D82,素材!$1:$1016,COLUMN(E$1),FALSE),1),"")</f>
        <v>0</v>
      </c>
      <c r="AA82">
        <f>IF(ISNUMBER(SEARCH(SUBSTITUTE(AA$1,RIGHT(AA$1,2),""),VLOOKUP($D82,素材!$1:$1016,COLUMN($F$1),FALSE))),VLOOKUP($C82,装備品!$1:$998,COLUMN($O$1),FALSE)*VLOOKUP($D82,素材!$1:$1016,COLUMN($E$1),FALSE)/(LEN(VLOOKUP($D82,素材!$1:$1016,COLUMN($F$1),FALSE))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B82">
        <f>IF(ISNUMBER(SEARCH(SUBSTITUTE(AB$1,RIGHT(AB$1,2),""),VLOOKUP($D82,素材!$1:$1016,COLUMN($F$1),FALSE))),VLOOKUP($C82,装備品!$1:$998,COLUMN($O$1),FALSE)*VLOOKUP($D82,素材!$1:$1016,COLUMN($E$1),FALSE)/(LEN(VLOOKUP($D82,素材!$1:$1016,COLUMN($F$1),FALSE))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C82">
        <f>IF(ISNUMBER(SEARCH(SUBSTITUTE(AC$1,RIGHT(AC$1,2),""),VLOOKUP($D82,素材!$1:$1016,COLUMN($F$1),FALSE))),VLOOKUP($C82,装備品!$1:$998,COLUMN($O$1),FALSE)*VLOOKUP($D82,素材!$1:$1016,COLUMN($E$1),FALSE)/(LEN(VLOOKUP($D82,素材!$1:$1016,COLUMN($F$1),FALSE))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D82">
        <f>IF(ISNUMBER(SEARCH(SUBSTITUTE(AD$1,RIGHT(AD$1,2),""),VLOOKUP($D82,素材!$1:$1016,COLUMN($F$1),FALSE))),VLOOKUP($C82,装備品!$1:$998,COLUMN($O$1),FALSE)*VLOOKUP($D82,素材!$1:$1016,COLUMN($E$1),FALSE)/(LEN(VLOOKUP($D82,素材!$1:$1016,COLUMN($F$1),FALSE))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E82">
        <f>IF(ISNUMBER(SEARCH(SUBSTITUTE(AE$1,RIGHT(AE$1,2),""),VLOOKUP($D82,素材!$1:$1016,COLUMN($F$1),FALSE))),VLOOKUP($C82,装備品!$1:$998,COLUMN($O$1),FALSE)*VLOOKUP($D82,素材!$1:$1016,COLUMN($E$1),FALSE)/(LEN(VLOOKUP($D82,素材!$1:$1016,COLUMN($F$1),FALSE))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F82">
        <f>IF(ISNUMBER(SEARCH(SUBSTITUTE(AF$1,RIGHT(AF$1,2),""),VLOOKUP($D82,素材!$1:$1016,COLUMN($F$1),FALSE))),VLOOKUP($C82,装備品!$1:$998,COLUMN($O$1),FALSE)*VLOOKUP($D82,素材!$1:$1016,COLUMN($E$1),FALSE)/(LEN(VLOOKUP($D82,素材!$1:$1016,COLUMN($F$1),FALSE))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G82">
        <f>IF(ISNUMBER(SEARCH(SUBSTITUTE(AG$1,RIGHT(AG$1,2),""),VLOOKUP($D82,素材!$1:$1016,COLUMN($F$1),FALSE))),VLOOKUP($C82,装備品!$1:$998,COLUMN($O$1),FALSE)*VLOOKUP($D82,素材!$1:$1016,COLUMN($E$1),FALSE)/(LEN(VLOOKUP($D82,素材!$1:$1016,COLUMN($F$1),FALSE))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H82">
        <f>IF(ISNUMBER(SEARCH(SUBSTITUTE(AH$1,RIGHT(AH$1,2),""),VLOOKUP($D82,素材!$1:$1016,COLUMN($F$1),FALSE))),VLOOKUP($C82,装備品!$1:$998,COLUMN($O$1),FALSE)*VLOOKUP($D82,素材!$1:$1016,COLUMN($E$1),FALSE)/(LEN(VLOOKUP($D82,素材!$1:$1016,COLUMN($F$1),FALSE))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I82">
        <f>IF(ISNUMBER(SEARCH(SUBSTITUTE(AI$1,RIGHT(AI$1,2),""),VLOOKUP($D82,素材!$1:$1016,COLUMN($F$1),FALSE))),VLOOKUP($C82,装備品!$1:$998,COLUMN($O$1),FALSE)*VLOOKUP($D82,素材!$1:$1016,COLUMN($E$1),FALSE)/(LEN(VLOOKUP($D82,素材!$1:$1016,COLUMN($F$1),FALSE))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J82">
        <f>IF(ISNUMBER(SEARCH(SUBSTITUTE(AJ$1,RIGHT(AJ$1,2),""),VLOOKUP($D82,素材!$1:$1016,COLUMN($F$1),FALSE))),VLOOKUP($C82,装備品!$1:$998,COLUMN($O$1),FALSE)*VLOOKUP($D82,素材!$1:$1016,COLUMN($E$1),FALSE)/(LEN(VLOOKUP($D82,素材!$1:$1016,COLUMN($F$1),FALSE))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K82">
        <f>IF(ISNUMBER(SEARCH(SUBSTITUTE(AK$1,RIGHT(AK$1,2),""),VLOOKUP($D82,素材!$1:$1016,COLUMN($F$1),FALSE))),VLOOKUP($C82,装備品!$1:$998,COLUMN($O$1),FALSE)*VLOOKUP($D82,素材!$1:$1016,COLUMN($E$1),FALSE)/(LEN(VLOOKUP($D82,素材!$1:$1016,COLUMN($F$1),FALSE))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L82">
        <f>IF(ISNUMBER(SEARCH(SUBSTITUTE(AL$1,RIGHT(AL$1,2),""),VLOOKUP($D82,素材!$1:$1016,COLUMN($F$1),FALSE))),VLOOKUP($C82,装備品!$1:$998,COLUMN($O$1),FALSE)*VLOOKUP($D82,素材!$1:$1016,COLUMN($E$1),FALSE)/(LEN(VLOOKUP($D82,素材!$1:$1016,COLUMN($F$1),FALSE))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M82">
        <f>IF(ISNUMBER(SEARCH(SUBSTITUTE(AM$1,RIGHT(AM$1,2),""),VLOOKUP($D82,素材!$1:$1016,COLUMN($F$1),FALSE))),VLOOKUP($C82,装備品!$1:$998,COLUMN($O$1),FALSE)*VLOOKUP($D82,素材!$1:$1016,COLUMN($E$1),FALSE)/(LEN(VLOOKUP($D82,素材!$1:$1016,COLUMN($F$1),FALSE))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N82">
        <f>IF(ISNUMBER(SEARCH(SUBSTITUTE(AN$1,RIGHT(AN$1,2),""),VLOOKUP($D82,素材!$1:$1016,COLUMN($F$1),FALSE))),VLOOKUP($C82,装備品!$1:$998,COLUMN($O$1),FALSE)*VLOOKUP($D82,素材!$1:$1016,COLUMN($E$1),FALSE)/(LEN(VLOOKUP($D82,素材!$1:$1016,COLUMN($F$1),FALSE))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O82">
        <f>IF(ISNUMBER(SEARCH(SUBSTITUTE(AO$1,RIGHT(AO$1,2),""),VLOOKUP($D82,素材!$1:$1016,COLUMN($F$1),FALSE))),VLOOKUP($C82,装備品!$1:$998,COLUMN($O$1),FALSE)*VLOOKUP($D82,素材!$1:$1016,COLUMN($E$1),FALSE)/(LEN(VLOOKUP($D82,素材!$1:$1016,COLUMN($F$1),FALSE))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P82">
        <f>IF(ISNUMBER(SEARCH(SUBSTITUTE(AP$1,RIGHT(AP$1,2),""),VLOOKUP($D82,素材!$1:$1016,COLUMN($F$1),FALSE))),VLOOKUP($C82,装備品!$1:$998,COLUMN($O$1),FALSE)*VLOOKUP($D82,素材!$1:$1016,COLUMN($E$1),FALSE)/(LEN(VLOOKUP($D82,素材!$1:$1016,COLUMN($F$1),FALSE))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Q82">
        <f>IF(ISNUMBER(SEARCH(SUBSTITUTE(AQ$1,RIGHT(AQ$1,2),""),VLOOKUP($D82,素材!$1:$1016,COLUMN($F$1),FALSE))),VLOOKUP($C82,装備品!$1:$998,COLUMN($O$1),FALSE)*VLOOKUP($D82,素材!$1:$1016,COLUMN($E$1),FALSE)/(LEN(VLOOKUP($D82,素材!$1:$1016,COLUMN($F$1),FALSE))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R82">
        <f>IF(ISNUMBER(SEARCH(SUBSTITUTE(AR$1,RIGHT(AR$1,2),""),VLOOKUP($D82,素材!$1:$1016,COLUMN($F$1),FALSE))),VLOOKUP($C82,装備品!$1:$998,COLUMN($O$1),FALSE)*VLOOKUP($D82,素材!$1:$1016,COLUMN($E$1),FALSE)/(LEN(VLOOKUP($D82,素材!$1:$1016,COLUMN($F$1),FALSE))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S82">
        <f>IF(ISNUMBER(SEARCH(SUBSTITUTE(AS$1,RIGHT(AS$1,2),""),VLOOKUP($D82,素材!$1:$1016,COLUMN($F$1),FALSE))),VLOOKUP($C82,装備品!$1:$998,COLUMN($O$1),FALSE)*VLOOKUP($D82,素材!$1:$1016,COLUMN($E$1),FALSE)/(LEN(VLOOKUP($D82,素材!$1:$1016,COLUMN($F$1),FALSE))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T82">
        <f>IF(ISNUMBER(SEARCH(SUBSTITUTE(AT$1,RIGHT(AT$1,2),""),VLOOKUP($D82,素材!$1:$1016,COLUMN($F$1),FALSE))),VLOOKUP($C82,装備品!$1:$998,COLUMN($O$1),FALSE)*VLOOKUP($D82,素材!$1:$1016,COLUMN($E$1),FALSE)/(LEN(VLOOKUP($D82,素材!$1:$1016,COLUMN($F$1),FALSE))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U82">
        <f>IF(ISNUMBER(SEARCH(SUBSTITUTE(AU$1,RIGHT(AU$1,2),""),VLOOKUP($D82,素材!$1:$1016,COLUMN($F$1),FALSE))),VLOOKUP($C82,装備品!$1:$998,COLUMN($O$1),FALSE)*VLOOKUP($D82,素材!$1:$1016,COLUMN($E$1),FALSE)/(LEN(VLOOKUP($D82,素材!$1:$1016,COLUMN($F$1),FALSE))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V82">
        <f>IF(ISNUMBER(SEARCH(SUBSTITUTE(AV$1,RIGHT(AV$1,2),""),VLOOKUP($D82,素材!$1:$1016,COLUMN($F$1),FALSE))),VLOOKUP($C82,装備品!$1:$998,COLUMN($O$1),FALSE)*VLOOKUP($D82,素材!$1:$1016,COLUMN($E$1),FALSE)/(LEN(VLOOKUP($D82,素材!$1:$1016,COLUMN($F$1),FALSE))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W82">
        <f>IF(ISNUMBER(SEARCH(SUBSTITUTE(AW$1,RIGHT(AW$1,2),""),VLOOKUP($D82,素材!$1:$1016,COLUMN($F$1),FALSE))),VLOOKUP($C82,装備品!$1:$998,COLUMN($O$1),FALSE)*VLOOKUP($D82,素材!$1:$1016,COLUMN($E$1),FALSE)/(LEN(VLOOKUP($D82,素材!$1:$1016,COLUMN($F$1),FALSE))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X82">
        <f>IF(ISNUMBER(SEARCH(SUBSTITUTE(AX$1,RIGHT(AX$1,2),""),VLOOKUP($D82,素材!$1:$1016,COLUMN($F$1),FALSE))),VLOOKUP($C82,装備品!$1:$998,COLUMN($O$1),FALSE)*VLOOKUP($D82,素材!$1:$1016,COLUMN($E$1),FALSE)/(LEN(VLOOKUP($D82,素材!$1:$1016,COLUMN($F$1),FALSE))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Y82">
        <f>IF(ISNUMBER(SEARCH(SUBSTITUTE(AY$1,RIGHT(AY$1,2),""),VLOOKUP($D82,素材!$1:$1016,COLUMN($F$1),FALSE))),VLOOKUP($C82,装備品!$1:$998,COLUMN($O$1),FALSE)*VLOOKUP($D82,素材!$1:$1016,COLUMN($E$1),FALSE)/(LEN(VLOOKUP($D82,素材!$1:$1016,COLUMN($F$1),FALSE))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Z82">
        <f>IF(ISNUMBER(SEARCH(SUBSTITUTE(AZ$1,RIGHT(AZ$1,2),""),VLOOKUP($D82,素材!$1:$1016,COLUMN($F$1),FALSE))),VLOOKUP($C82,装備品!$1:$998,COLUMN($O$1),FALSE)*VLOOKUP($D82,素材!$1:$1016,COLUMN($E$1),FALSE)/(LEN(VLOOKUP($D82,素材!$1:$1016,COLUMN($F$1),FALSE))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BA82">
        <f>IF(ISNUMBER(SEARCH(SUBSTITUTE(BA$1,RIGHT(BA$1,2),""),VLOOKUP($D82,素材!$1:$1016,COLUMN($F$1),FALSE))),VLOOKUP($C82,装備品!$1:$998,COLUMN($O$1),FALSE)*VLOOKUP($D82,素材!$1:$1016,COLUMN($E$1),FALSE)/(LEN(VLOOKUP($D82,素材!$1:$1016,COLUMN($F$1),FALSE))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BB82">
        <f>IF(ISNUMBER(SEARCH(SUBSTITUTE(BB$1,RIGHT(BB$1,2),""),VLOOKUP($D82,素材!$1:$1016,COLUMN($F$1),FALSE))),VLOOKUP($C82,装備品!$1:$998,COLUMN($O$1),FALSE)*VLOOKUP($D82,素材!$1:$1016,COLUMN($E$1),FALSE)/(LEN(VLOOKUP($D82,素材!$1:$1016,COLUMN($F$1),FALSE))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BC82">
        <f>IF(ISNUMBER(SEARCH(SUBSTITUTE(BC$1,RIGHT(BC$1,2),""),VLOOKUP($D82,素材!$1:$1016,COLUMN($F$1),FALSE))),VLOOKUP($C82,装備品!$1:$998,COLUMN($O$1),FALSE)*VLOOKUP($D82,素材!$1:$1016,COLUMN($E$1),FALSE)/(LEN(VLOOKUP($D82,素材!$1:$1016,COLUMN($F$1),FALSE))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BD82">
        <f>IF(ISNUMBER(SEARCH(SUBSTITUTE(BD$1,RIGHT(BD$1,2),""),VLOOKUP($D82,素材!$1:$1016,COLUMN($F$1),FALSE))),VLOOKUP($C82,装備品!$1:$998,COLUMN($O$1),FALSE)*VLOOKUP($D82,素材!$1:$1016,COLUMN($E$1),FALSE)/(LEN(VLOOKUP($D82,素材!$1:$1016,COLUMN($F$1),FALSE))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BE82">
        <f>IF(ISNUMBER(SEARCH(SUBSTITUTE(BE$1,RIGHT(BE$1,2),""),VLOOKUP($D82,素材!$1:$1016,COLUMN($F$1),FALSE))),VLOOKUP($C82,装備品!$1:$998,COLUMN($O$1),FALSE)*VLOOKUP($D82,素材!$1:$1016,COLUMN($E$1),FALSE)/(LEN(VLOOKUP($D82,素材!$1:$1016,COLUMN($F$1),FALSE))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CL82">
        <f t="shared" si="7"/>
        <v>36</v>
      </c>
      <c r="CM82" s="22" t="str">
        <f t="shared" si="8"/>
        <v>切断.webp</v>
      </c>
      <c r="CN82">
        <f>IFERROR(VLOOKUP($C82,装備品!$1:$998,COLUMN(V$1),FALSE)*VLOOKUP($D82,素材!$1:$1016,COLUMN(N$1),FALSE)+IF(CI82="",0,VLOOKUP($CI82,付与!$1:$1176,COLUMN($CK$1),FALSE)),"")</f>
        <v>0</v>
      </c>
      <c r="CO82" t="str">
        <f>VLOOKUP(D82,素材!$A:$O,COLUMN(素材!O$1),FALSE)</f>
        <v>鍛えられた鉄。硬度が高く安価なためよく使用される。</v>
      </c>
      <c r="CP82" t="str">
        <f>VLOOKUP(C82,装備品!$A:$AB,COLUMN(装備品!AB$1),FALSE)</f>
        <v>長剣。長く重い分扱いにくいが威力が高い。</v>
      </c>
      <c r="CR82" t="str">
        <f t="shared" si="9"/>
        <v>e_82</v>
      </c>
      <c r="CS82">
        <f t="shared" si="10"/>
        <v>0</v>
      </c>
    </row>
    <row r="83" spans="1:97" outlineLevel="1" x14ac:dyDescent="0.4">
      <c r="A83" t="str">
        <f t="shared" si="6"/>
        <v>鋼の大剣</v>
      </c>
      <c r="B83" t="str">
        <f>IFERROR(VLOOKUP($D83,素材!$1:$1016,COLUMN($B$1),FALSE)&amp;"・"&amp;VLOOKUP($C83,装備品!$1:$998,COLUMN(B$1),FALSE),"")</f>
        <v>スチール・バスターソード</v>
      </c>
      <c r="C83" s="24" t="s">
        <v>236</v>
      </c>
      <c r="D83" s="24" t="s">
        <v>252</v>
      </c>
      <c r="E83" t="str">
        <f>IFERROR(VLOOKUP(C83,装備品!$1:$998,COLUMN(C$1),FALSE),"")</f>
        <v>武器</v>
      </c>
      <c r="F83">
        <f>IFERROR(ROUNDDOWN((VLOOKUP($C83,装備品!$1:$998,COLUMN(D$1),FALSE)+IFERROR(VLOOKUP($CI83,付与!$1:$1167,COLUMN(F$1),FALSE),0))*VLOOKUP($D83,素材!$1:$1016,COLUMN(D$1),FALSE),0),"")</f>
        <v>131</v>
      </c>
      <c r="G83">
        <f>IFERROR(ROUNDDOWN((VLOOKUP($C83,装備品!$1:$998,COLUMN(E$1),FALSE)+IFERROR(VLOOKUP($CI83,付与!$1:$1167,COLUMN(G$1),FALSE),0))*VLOOKUP($D83,素材!$1:$1016,COLUMN($E$1),FALSE),0),"")</f>
        <v>24</v>
      </c>
      <c r="H83">
        <f>IFERROR(ROUNDDOWN((VLOOKUP($C83,装備品!$1:$998,COLUMN(F$1),FALSE)+IFERROR(VLOOKUP($CI83,付与!$1:$1167,COLUMN(H$1),FALSE),0))*VLOOKUP($D83,素材!$1:$1016,COLUMN($E$1),FALSE),0),"")</f>
        <v>12</v>
      </c>
      <c r="I83">
        <f>IFERROR(ROUNDDOWN((VLOOKUP($C83,装備品!$1:$998,COLUMN(G$1),FALSE)+IFERROR(VLOOKUP($CI83,付与!$1:$1167,COLUMN(I$1),FALSE),0))*VLOOKUP($D83,素材!$1:$1016,COLUMN($E$1),FALSE),0),"")</f>
        <v>5</v>
      </c>
      <c r="J83">
        <f>IFERROR(ROUNDDOWN((VLOOKUP($C83,装備品!$1:$998,COLUMN(H$1),FALSE)+IFERROR(VLOOKUP($CI83,付与!$1:$1167,COLUMN(J$1),FALSE),0))*VLOOKUP($D83,素材!$1:$1016,COLUMN($E$1),FALSE),0),"")</f>
        <v>29</v>
      </c>
      <c r="K83">
        <f>IFERROR(ROUNDDOWN((VLOOKUP($C83,装備品!$1:$998,COLUMN(I$1),FALSE)+IFERROR(VLOOKUP($CI83,付与!$1:$1167,COLUMN(K$1),FALSE),0))*VLOOKUP($D83,素材!$1:$1016,COLUMN($E$1),FALSE),0),"")</f>
        <v>0</v>
      </c>
      <c r="L83">
        <f>IFERROR(VLOOKUP($D83,素材!$1:$1016,COLUMN($F$1),FALSE),"")</f>
        <v>0</v>
      </c>
      <c r="M83">
        <f>IFERROR(VLOOKUP($C83,装備品!$1:$998,COLUMN(AA$1),FALSE)*VLOOKUP($D83,素材!$1:$1016,COLUMN($G$1),FALSE),"")</f>
        <v>0</v>
      </c>
      <c r="N83">
        <f>IFERROR(VLOOKUP($C83,装備品!$1:$998,COLUMN(I$1),FALSE),"")</f>
        <v>0</v>
      </c>
      <c r="O83" s="23">
        <f>IFERROR((VLOOKUP($C83,装備品!$1:$998,COLUMN(K$1),FALSE)+VLOOKUP($D83,素材!$1:$1016,COLUMN(H$1),FALSE))*100+IFERROR(VLOOKUP($CI83,付与!$1:$1167,COLUMN(O$1),FALSE),0),"")</f>
        <v>10</v>
      </c>
      <c r="P83" s="23">
        <f>IFERROR((VLOOKUP($C83,装備品!$1:$998,COLUMN(L$1),FALSE)+VLOOKUP($D83,素材!$1:$1016,COLUMN(I$1),FALSE))*100+IFERROR(VLOOKUP($CI83,付与!$1:$1167,COLUMN(P$1),FALSE),0),"")</f>
        <v>150</v>
      </c>
      <c r="Q83">
        <f>IFERROR(ROUNDUP(VLOOKUP($C83,装備品!$1:$998,COLUMN(M$1),FALSE)*(VLOOKUP($D83,素材!$1:$1002,COLUMN(D$1),FALSE)/100),1),"")</f>
        <v>-7.8999999999999995</v>
      </c>
      <c r="R83">
        <f>IFERROR(ROUNDUP(VLOOKUP($C83,装備品!$1:$998,COLUMN(N$1),FALSE)*(VLOOKUP($D83,素材!$1:$1002,COLUMN(D$1),FALSE)/100),1),"")</f>
        <v>-7.8999999999999995</v>
      </c>
      <c r="S83">
        <f>IFERROR(VLOOKUP($C83,装備品!$1:$998,COLUMN(P$1),FALSE),"")</f>
        <v>0</v>
      </c>
      <c r="T83">
        <f>IFERROR(VLOOKUP($C83,装備品!$1:$998,COLUMN(Q$1),FALSE),"")</f>
        <v>0</v>
      </c>
      <c r="U83">
        <f>IFERROR(VLOOKUP($C83,装備品!$1:$998,COLUMN(R$1),FALSE),"")</f>
        <v>-15</v>
      </c>
      <c r="V83">
        <f>IFERROR(VLOOKUP($C83,装備品!$1:$998,COLUMN(Q$1),FALSE),"")</f>
        <v>0</v>
      </c>
      <c r="W83">
        <f>IFERROR(VLOOKUP($C83,装備品!$1:$998,COLUMN(T$1),FALSE),"")</f>
        <v>0</v>
      </c>
      <c r="Y83">
        <f>IFERROR(VLOOKUP($C83,装備品!$1:$998,COLUMN(U$1),FALSE),"")</f>
        <v>0</v>
      </c>
      <c r="Z83">
        <f>IFERROR(ROUNDUP(VLOOKUP($C83,装備品!$1:$998,COLUMN(O$1),FALSE)*VLOOKUP($D83,素材!$1:$1016,COLUMN(E$1),FALSE),1),"")</f>
        <v>0</v>
      </c>
      <c r="AA83">
        <f>IF(ISNUMBER(SEARCH(SUBSTITUTE(AA$1,RIGHT(AA$1,2),""),VLOOKUP($D83,素材!$1:$1016,COLUMN($F$1),FALSE))),VLOOKUP($C83,装備品!$1:$998,COLUMN($O$1),FALSE)*VLOOKUP($D83,素材!$1:$1016,COLUMN($E$1),FALSE)/(LEN(VLOOKUP($D83,素材!$1:$1016,COLUMN($F$1),FALSE))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B83">
        <f>IF(ISNUMBER(SEARCH(SUBSTITUTE(AB$1,RIGHT(AB$1,2),""),VLOOKUP($D83,素材!$1:$1016,COLUMN($F$1),FALSE))),VLOOKUP($C83,装備品!$1:$998,COLUMN($O$1),FALSE)*VLOOKUP($D83,素材!$1:$1016,COLUMN($E$1),FALSE)/(LEN(VLOOKUP($D83,素材!$1:$1016,COLUMN($F$1),FALSE))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C83">
        <f>IF(ISNUMBER(SEARCH(SUBSTITUTE(AC$1,RIGHT(AC$1,2),""),VLOOKUP($D83,素材!$1:$1016,COLUMN($F$1),FALSE))),VLOOKUP($C83,装備品!$1:$998,COLUMN($O$1),FALSE)*VLOOKUP($D83,素材!$1:$1016,COLUMN($E$1),FALSE)/(LEN(VLOOKUP($D83,素材!$1:$1016,COLUMN($F$1),FALSE))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D83">
        <f>IF(ISNUMBER(SEARCH(SUBSTITUTE(AD$1,RIGHT(AD$1,2),""),VLOOKUP($D83,素材!$1:$1016,COLUMN($F$1),FALSE))),VLOOKUP($C83,装備品!$1:$998,COLUMN($O$1),FALSE)*VLOOKUP($D83,素材!$1:$1016,COLUMN($E$1),FALSE)/(LEN(VLOOKUP($D83,素材!$1:$1016,COLUMN($F$1),FALSE))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E83">
        <f>IF(ISNUMBER(SEARCH(SUBSTITUTE(AE$1,RIGHT(AE$1,2),""),VLOOKUP($D83,素材!$1:$1016,COLUMN($F$1),FALSE))),VLOOKUP($C83,装備品!$1:$998,COLUMN($O$1),FALSE)*VLOOKUP($D83,素材!$1:$1016,COLUMN($E$1),FALSE)/(LEN(VLOOKUP($D83,素材!$1:$1016,COLUMN($F$1),FALSE))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F83">
        <f>IF(ISNUMBER(SEARCH(SUBSTITUTE(AF$1,RIGHT(AF$1,2),""),VLOOKUP($D83,素材!$1:$1016,COLUMN($F$1),FALSE))),VLOOKUP($C83,装備品!$1:$998,COLUMN($O$1),FALSE)*VLOOKUP($D83,素材!$1:$1016,COLUMN($E$1),FALSE)/(LEN(VLOOKUP($D83,素材!$1:$1016,COLUMN($F$1),FALSE))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G83">
        <f>IF(ISNUMBER(SEARCH(SUBSTITUTE(AG$1,RIGHT(AG$1,2),""),VLOOKUP($D83,素材!$1:$1016,COLUMN($F$1),FALSE))),VLOOKUP($C83,装備品!$1:$998,COLUMN($O$1),FALSE)*VLOOKUP($D83,素材!$1:$1016,COLUMN($E$1),FALSE)/(LEN(VLOOKUP($D83,素材!$1:$1016,COLUMN($F$1),FALSE))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H83">
        <f>IF(ISNUMBER(SEARCH(SUBSTITUTE(AH$1,RIGHT(AH$1,2),""),VLOOKUP($D83,素材!$1:$1016,COLUMN($F$1),FALSE))),VLOOKUP($C83,装備品!$1:$998,COLUMN($O$1),FALSE)*VLOOKUP($D83,素材!$1:$1016,COLUMN($E$1),FALSE)/(LEN(VLOOKUP($D83,素材!$1:$1016,COLUMN($F$1),FALSE))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I83">
        <f>IF(ISNUMBER(SEARCH(SUBSTITUTE(AI$1,RIGHT(AI$1,2),""),VLOOKUP($D83,素材!$1:$1016,COLUMN($F$1),FALSE))),VLOOKUP($C83,装備品!$1:$998,COLUMN($O$1),FALSE)*VLOOKUP($D83,素材!$1:$1016,COLUMN($E$1),FALSE)/(LEN(VLOOKUP($D83,素材!$1:$1016,COLUMN($F$1),FALSE))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J83">
        <f>IF(ISNUMBER(SEARCH(SUBSTITUTE(AJ$1,RIGHT(AJ$1,2),""),VLOOKUP($D83,素材!$1:$1016,COLUMN($F$1),FALSE))),VLOOKUP($C83,装備品!$1:$998,COLUMN($O$1),FALSE)*VLOOKUP($D83,素材!$1:$1016,COLUMN($E$1),FALSE)/(LEN(VLOOKUP($D83,素材!$1:$1016,COLUMN($F$1),FALSE))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K83">
        <f>IF(ISNUMBER(SEARCH(SUBSTITUTE(AK$1,RIGHT(AK$1,2),""),VLOOKUP($D83,素材!$1:$1016,COLUMN($F$1),FALSE))),VLOOKUP($C83,装備品!$1:$998,COLUMN($O$1),FALSE)*VLOOKUP($D83,素材!$1:$1016,COLUMN($E$1),FALSE)/(LEN(VLOOKUP($D83,素材!$1:$1016,COLUMN($F$1),FALSE))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L83">
        <f>IF(ISNUMBER(SEARCH(SUBSTITUTE(AL$1,RIGHT(AL$1,2),""),VLOOKUP($D83,素材!$1:$1016,COLUMN($F$1),FALSE))),VLOOKUP($C83,装備品!$1:$998,COLUMN($O$1),FALSE)*VLOOKUP($D83,素材!$1:$1016,COLUMN($E$1),FALSE)/(LEN(VLOOKUP($D83,素材!$1:$1016,COLUMN($F$1),FALSE))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M83">
        <f>IF(ISNUMBER(SEARCH(SUBSTITUTE(AM$1,RIGHT(AM$1,2),""),VLOOKUP($D83,素材!$1:$1016,COLUMN($F$1),FALSE))),VLOOKUP($C83,装備品!$1:$998,COLUMN($O$1),FALSE)*VLOOKUP($D83,素材!$1:$1016,COLUMN($E$1),FALSE)/(LEN(VLOOKUP($D83,素材!$1:$1016,COLUMN($F$1),FALSE))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N83">
        <f>IF(ISNUMBER(SEARCH(SUBSTITUTE(AN$1,RIGHT(AN$1,2),""),VLOOKUP($D83,素材!$1:$1016,COLUMN($F$1),FALSE))),VLOOKUP($C83,装備品!$1:$998,COLUMN($O$1),FALSE)*VLOOKUP($D83,素材!$1:$1016,COLUMN($E$1),FALSE)/(LEN(VLOOKUP($D83,素材!$1:$1016,COLUMN($F$1),FALSE))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O83">
        <f>IF(ISNUMBER(SEARCH(SUBSTITUTE(AO$1,RIGHT(AO$1,2),""),VLOOKUP($D83,素材!$1:$1016,COLUMN($F$1),FALSE))),VLOOKUP($C83,装備品!$1:$998,COLUMN($O$1),FALSE)*VLOOKUP($D83,素材!$1:$1016,COLUMN($E$1),FALSE)/(LEN(VLOOKUP($D83,素材!$1:$1016,COLUMN($F$1),FALSE))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P83">
        <f>IF(ISNUMBER(SEARCH(SUBSTITUTE(AP$1,RIGHT(AP$1,2),""),VLOOKUP($D83,素材!$1:$1016,COLUMN($F$1),FALSE))),VLOOKUP($C83,装備品!$1:$998,COLUMN($O$1),FALSE)*VLOOKUP($D83,素材!$1:$1016,COLUMN($E$1),FALSE)/(LEN(VLOOKUP($D83,素材!$1:$1016,COLUMN($F$1),FALSE))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Q83">
        <f>IF(ISNUMBER(SEARCH(SUBSTITUTE(AQ$1,RIGHT(AQ$1,2),""),VLOOKUP($D83,素材!$1:$1016,COLUMN($F$1),FALSE))),VLOOKUP($C83,装備品!$1:$998,COLUMN($O$1),FALSE)*VLOOKUP($D83,素材!$1:$1016,COLUMN($E$1),FALSE)/(LEN(VLOOKUP($D83,素材!$1:$1016,COLUMN($F$1),FALSE))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R83">
        <f>IF(ISNUMBER(SEARCH(SUBSTITUTE(AR$1,RIGHT(AR$1,2),""),VLOOKUP($D83,素材!$1:$1016,COLUMN($F$1),FALSE))),VLOOKUP($C83,装備品!$1:$998,COLUMN($O$1),FALSE)*VLOOKUP($D83,素材!$1:$1016,COLUMN($E$1),FALSE)/(LEN(VLOOKUP($D83,素材!$1:$1016,COLUMN($F$1),FALSE))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S83">
        <f>IF(ISNUMBER(SEARCH(SUBSTITUTE(AS$1,RIGHT(AS$1,2),""),VLOOKUP($D83,素材!$1:$1016,COLUMN($F$1),FALSE))),VLOOKUP($C83,装備品!$1:$998,COLUMN($O$1),FALSE)*VLOOKUP($D83,素材!$1:$1016,COLUMN($E$1),FALSE)/(LEN(VLOOKUP($D83,素材!$1:$1016,COLUMN($F$1),FALSE))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T83">
        <f>IF(ISNUMBER(SEARCH(SUBSTITUTE(AT$1,RIGHT(AT$1,2),""),VLOOKUP($D83,素材!$1:$1016,COLUMN($F$1),FALSE))),VLOOKUP($C83,装備品!$1:$998,COLUMN($O$1),FALSE)*VLOOKUP($D83,素材!$1:$1016,COLUMN($E$1),FALSE)/(LEN(VLOOKUP($D83,素材!$1:$1016,COLUMN($F$1),FALSE))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U83">
        <f>IF(ISNUMBER(SEARCH(SUBSTITUTE(AU$1,RIGHT(AU$1,2),""),VLOOKUP($D83,素材!$1:$1016,COLUMN($F$1),FALSE))),VLOOKUP($C83,装備品!$1:$998,COLUMN($O$1),FALSE)*VLOOKUP($D83,素材!$1:$1016,COLUMN($E$1),FALSE)/(LEN(VLOOKUP($D83,素材!$1:$1016,COLUMN($F$1),FALSE))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V83">
        <f>IF(ISNUMBER(SEARCH(SUBSTITUTE(AV$1,RIGHT(AV$1,2),""),VLOOKUP($D83,素材!$1:$1016,COLUMN($F$1),FALSE))),VLOOKUP($C83,装備品!$1:$998,COLUMN($O$1),FALSE)*VLOOKUP($D83,素材!$1:$1016,COLUMN($E$1),FALSE)/(LEN(VLOOKUP($D83,素材!$1:$1016,COLUMN($F$1),FALSE))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W83">
        <f>IF(ISNUMBER(SEARCH(SUBSTITUTE(AW$1,RIGHT(AW$1,2),""),VLOOKUP($D83,素材!$1:$1016,COLUMN($F$1),FALSE))),VLOOKUP($C83,装備品!$1:$998,COLUMN($O$1),FALSE)*VLOOKUP($D83,素材!$1:$1016,COLUMN($E$1),FALSE)/(LEN(VLOOKUP($D83,素材!$1:$1016,COLUMN($F$1),FALSE))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X83">
        <f>IF(ISNUMBER(SEARCH(SUBSTITUTE(AX$1,RIGHT(AX$1,2),""),VLOOKUP($D83,素材!$1:$1016,COLUMN($F$1),FALSE))),VLOOKUP($C83,装備品!$1:$998,COLUMN($O$1),FALSE)*VLOOKUP($D83,素材!$1:$1016,COLUMN($E$1),FALSE)/(LEN(VLOOKUP($D83,素材!$1:$1016,COLUMN($F$1),FALSE))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Y83">
        <f>IF(ISNUMBER(SEARCH(SUBSTITUTE(AY$1,RIGHT(AY$1,2),""),VLOOKUP($D83,素材!$1:$1016,COLUMN($F$1),FALSE))),VLOOKUP($C83,装備品!$1:$998,COLUMN($O$1),FALSE)*VLOOKUP($D83,素材!$1:$1016,COLUMN($E$1),FALSE)/(LEN(VLOOKUP($D83,素材!$1:$1016,COLUMN($F$1),FALSE))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Z83">
        <f>IF(ISNUMBER(SEARCH(SUBSTITUTE(AZ$1,RIGHT(AZ$1,2),""),VLOOKUP($D83,素材!$1:$1016,COLUMN($F$1),FALSE))),VLOOKUP($C83,装備品!$1:$998,COLUMN($O$1),FALSE)*VLOOKUP($D83,素材!$1:$1016,COLUMN($E$1),FALSE)/(LEN(VLOOKUP($D83,素材!$1:$1016,COLUMN($F$1),FALSE))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BA83">
        <f>IF(ISNUMBER(SEARCH(SUBSTITUTE(BA$1,RIGHT(BA$1,2),""),VLOOKUP($D83,素材!$1:$1016,COLUMN($F$1),FALSE))),VLOOKUP($C83,装備品!$1:$998,COLUMN($O$1),FALSE)*VLOOKUP($D83,素材!$1:$1016,COLUMN($E$1),FALSE)/(LEN(VLOOKUP($D83,素材!$1:$1016,COLUMN($F$1),FALSE))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BB83">
        <f>IF(ISNUMBER(SEARCH(SUBSTITUTE(BB$1,RIGHT(BB$1,2),""),VLOOKUP($D83,素材!$1:$1016,COLUMN($F$1),FALSE))),VLOOKUP($C83,装備品!$1:$998,COLUMN($O$1),FALSE)*VLOOKUP($D83,素材!$1:$1016,COLUMN($E$1),FALSE)/(LEN(VLOOKUP($D83,素材!$1:$1016,COLUMN($F$1),FALSE))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BC83">
        <f>IF(ISNUMBER(SEARCH(SUBSTITUTE(BC$1,RIGHT(BC$1,2),""),VLOOKUP($D83,素材!$1:$1016,COLUMN($F$1),FALSE))),VLOOKUP($C83,装備品!$1:$998,COLUMN($O$1),FALSE)*VLOOKUP($D83,素材!$1:$1016,COLUMN($E$1),FALSE)/(LEN(VLOOKUP($D83,素材!$1:$1016,COLUMN($F$1),FALSE))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BD83">
        <f>IF(ISNUMBER(SEARCH(SUBSTITUTE(BD$1,RIGHT(BD$1,2),""),VLOOKUP($D83,素材!$1:$1016,COLUMN($F$1),FALSE))),VLOOKUP($C83,装備品!$1:$998,COLUMN($O$1),FALSE)*VLOOKUP($D83,素材!$1:$1016,COLUMN($E$1),FALSE)/(LEN(VLOOKUP($D83,素材!$1:$1016,COLUMN($F$1),FALSE))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BE83">
        <f>IF(ISNUMBER(SEARCH(SUBSTITUTE(BE$1,RIGHT(BE$1,2),""),VLOOKUP($D83,素材!$1:$1016,COLUMN($F$1),FALSE))),VLOOKUP($C83,装備品!$1:$998,COLUMN($O$1),FALSE)*VLOOKUP($D83,素材!$1:$1016,COLUMN($E$1),FALSE)/(LEN(VLOOKUP($D83,素材!$1:$1016,COLUMN($F$1),FALSE))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CL83">
        <f t="shared" si="7"/>
        <v>41</v>
      </c>
      <c r="CM83" s="22" t="str">
        <f t="shared" si="8"/>
        <v>切断.webp</v>
      </c>
      <c r="CN83">
        <f>IFERROR(VLOOKUP($C83,装備品!$1:$998,COLUMN(V$1),FALSE)*VLOOKUP($D83,素材!$1:$1016,COLUMN(N$1),FALSE)+IF(CI83="",0,VLOOKUP($CI83,付与!$1:$1176,COLUMN($CK$1),FALSE)),"")</f>
        <v>0</v>
      </c>
      <c r="CO83" t="str">
        <f>VLOOKUP(D83,素材!$A:$O,COLUMN(素材!O$1),FALSE)</f>
        <v>鍛えられた鉄。硬度が高く安価なためよく使用される。</v>
      </c>
      <c r="CP83" t="str">
        <f>VLOOKUP(C83,装備品!$A:$AB,COLUMN(装備品!AB$1),FALSE)</f>
        <v>大剣。非常に重いが威力が突出して高い武器。大きい分ガードにも向いている</v>
      </c>
      <c r="CR83" t="str">
        <f t="shared" si="9"/>
        <v>e_83</v>
      </c>
      <c r="CS83">
        <f t="shared" si="10"/>
        <v>0</v>
      </c>
    </row>
    <row r="84" spans="1:97" outlineLevel="1" x14ac:dyDescent="0.4">
      <c r="A84" t="str">
        <f t="shared" si="6"/>
        <v>鋼の細剣</v>
      </c>
      <c r="B84" t="str">
        <f>IFERROR(VLOOKUP($D84,素材!$1:$1016,COLUMN($B$1),FALSE)&amp;"・"&amp;VLOOKUP($C84,装備品!$1:$998,COLUMN(B$1),FALSE),"")</f>
        <v>スチール・レイピア</v>
      </c>
      <c r="C84" s="24" t="s">
        <v>235</v>
      </c>
      <c r="D84" s="24" t="s">
        <v>252</v>
      </c>
      <c r="E84" t="str">
        <f>IFERROR(VLOOKUP(C84,装備品!$1:$998,COLUMN(C$1),FALSE),"")</f>
        <v>武器</v>
      </c>
      <c r="F84">
        <f>IFERROR(ROUNDDOWN((VLOOKUP($C84,装備品!$1:$998,COLUMN(D$1),FALSE)+IFERROR(VLOOKUP($CI84,付与!$1:$1167,COLUMN(F$1),FALSE),0))*VLOOKUP($D84,素材!$1:$1016,COLUMN(D$1),FALSE),0),"")</f>
        <v>105</v>
      </c>
      <c r="G84">
        <f>IFERROR(ROUNDDOWN((VLOOKUP($C84,装備品!$1:$998,COLUMN(E$1),FALSE)+IFERROR(VLOOKUP($CI84,付与!$1:$1167,COLUMN(G$1),FALSE),0))*VLOOKUP($D84,素材!$1:$1016,COLUMN($E$1),FALSE),0),"")</f>
        <v>12</v>
      </c>
      <c r="H84">
        <f>IFERROR(ROUNDDOWN((VLOOKUP($C84,装備品!$1:$998,COLUMN(F$1),FALSE)+IFERROR(VLOOKUP($CI84,付与!$1:$1167,COLUMN(H$1),FALSE),0))*VLOOKUP($D84,素材!$1:$1016,COLUMN($E$1),FALSE),0),"")</f>
        <v>17</v>
      </c>
      <c r="I84">
        <f>IFERROR(ROUNDDOWN((VLOOKUP($C84,装備品!$1:$998,COLUMN(G$1),FALSE)+IFERROR(VLOOKUP($CI84,付与!$1:$1167,COLUMN(I$1),FALSE),0))*VLOOKUP($D84,素材!$1:$1016,COLUMN($E$1),FALSE),0),"")</f>
        <v>0</v>
      </c>
      <c r="J84">
        <f>IFERROR(ROUNDDOWN((VLOOKUP($C84,装備品!$1:$998,COLUMN(H$1),FALSE)+IFERROR(VLOOKUP($CI84,付与!$1:$1167,COLUMN(J$1),FALSE),0))*VLOOKUP($D84,素材!$1:$1016,COLUMN($E$1),FALSE),0),"")</f>
        <v>21</v>
      </c>
      <c r="K84">
        <f>IFERROR(ROUNDDOWN((VLOOKUP($C84,装備品!$1:$998,COLUMN(I$1),FALSE)+IFERROR(VLOOKUP($CI84,付与!$1:$1167,COLUMN(K$1),FALSE),0))*VLOOKUP($D84,素材!$1:$1016,COLUMN($E$1),FALSE),0),"")</f>
        <v>0</v>
      </c>
      <c r="L84">
        <f>IFERROR(VLOOKUP($D84,素材!$1:$1016,COLUMN($F$1),FALSE),"")</f>
        <v>0</v>
      </c>
      <c r="M84">
        <f>IFERROR(VLOOKUP($C84,装備品!$1:$998,COLUMN(AA$1),FALSE)*VLOOKUP($D84,素材!$1:$1016,COLUMN($G$1),FALSE),"")</f>
        <v>0</v>
      </c>
      <c r="N84">
        <f>IFERROR(VLOOKUP($C84,装備品!$1:$998,COLUMN(I$1),FALSE),"")</f>
        <v>0</v>
      </c>
      <c r="O84" s="23">
        <f>IFERROR((VLOOKUP($C84,装備品!$1:$998,COLUMN(K$1),FALSE)+VLOOKUP($D84,素材!$1:$1016,COLUMN(H$1),FALSE))*100+IFERROR(VLOOKUP($CI84,付与!$1:$1167,COLUMN(O$1),FALSE),0),"")</f>
        <v>15</v>
      </c>
      <c r="P84" s="23">
        <f>IFERROR((VLOOKUP($C84,装備品!$1:$998,COLUMN(L$1),FALSE)+VLOOKUP($D84,素材!$1:$1016,COLUMN(I$1),FALSE))*100+IFERROR(VLOOKUP($CI84,付与!$1:$1167,COLUMN(P$1),FALSE),0),"")</f>
        <v>125</v>
      </c>
      <c r="Q84">
        <f>IFERROR(ROUNDUP(VLOOKUP($C84,装備品!$1:$998,COLUMN(M$1),FALSE)*(VLOOKUP($D84,素材!$1:$1002,COLUMN(D$1),FALSE)/100),1),"")</f>
        <v>0</v>
      </c>
      <c r="R84">
        <f>IFERROR(ROUNDUP(VLOOKUP($C84,装備品!$1:$998,COLUMN(N$1),FALSE)*(VLOOKUP($D84,素材!$1:$1002,COLUMN(D$1),FALSE)/100),1),"")</f>
        <v>0</v>
      </c>
      <c r="S84">
        <f>IFERROR(VLOOKUP($C84,装備品!$1:$998,COLUMN(P$1),FALSE),"")</f>
        <v>0</v>
      </c>
      <c r="T84">
        <f>IFERROR(VLOOKUP($C84,装備品!$1:$998,COLUMN(Q$1),FALSE),"")</f>
        <v>0</v>
      </c>
      <c r="U84">
        <f>IFERROR(VLOOKUP($C84,装備品!$1:$998,COLUMN(R$1),FALSE),"")</f>
        <v>0</v>
      </c>
      <c r="V84">
        <f>IFERROR(VLOOKUP($C84,装備品!$1:$998,COLUMN(Q$1),FALSE),"")</f>
        <v>0</v>
      </c>
      <c r="W84">
        <f>IFERROR(VLOOKUP($C84,装備品!$1:$998,COLUMN(T$1),FALSE),"")</f>
        <v>0</v>
      </c>
      <c r="Y84">
        <f>IFERROR(VLOOKUP($C84,装備品!$1:$998,COLUMN(U$1),FALSE),"")</f>
        <v>0</v>
      </c>
      <c r="Z84">
        <f>IFERROR(ROUNDUP(VLOOKUP($C84,装備品!$1:$998,COLUMN(O$1),FALSE)*VLOOKUP($D84,素材!$1:$1016,COLUMN(E$1),FALSE),1),"")</f>
        <v>0</v>
      </c>
      <c r="AA84">
        <f>IF(ISNUMBER(SEARCH(SUBSTITUTE(AA$1,RIGHT(AA$1,2),""),VLOOKUP($D84,素材!$1:$1016,COLUMN($F$1),FALSE))),VLOOKUP($C84,装備品!$1:$998,COLUMN($O$1),FALSE)*VLOOKUP($D84,素材!$1:$1016,COLUMN($E$1),FALSE)/(LEN(VLOOKUP($D84,素材!$1:$1016,COLUMN($F$1),FALSE))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B84">
        <f>IF(ISNUMBER(SEARCH(SUBSTITUTE(AB$1,RIGHT(AB$1,2),""),VLOOKUP($D84,素材!$1:$1016,COLUMN($F$1),FALSE))),VLOOKUP($C84,装備品!$1:$998,COLUMN($O$1),FALSE)*VLOOKUP($D84,素材!$1:$1016,COLUMN($E$1),FALSE)/(LEN(VLOOKUP($D84,素材!$1:$1016,COLUMN($F$1),FALSE))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C84">
        <f>IF(ISNUMBER(SEARCH(SUBSTITUTE(AC$1,RIGHT(AC$1,2),""),VLOOKUP($D84,素材!$1:$1016,COLUMN($F$1),FALSE))),VLOOKUP($C84,装備品!$1:$998,COLUMN($O$1),FALSE)*VLOOKUP($D84,素材!$1:$1016,COLUMN($E$1),FALSE)/(LEN(VLOOKUP($D84,素材!$1:$1016,COLUMN($F$1),FALSE))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D84">
        <f>IF(ISNUMBER(SEARCH(SUBSTITUTE(AD$1,RIGHT(AD$1,2),""),VLOOKUP($D84,素材!$1:$1016,COLUMN($F$1),FALSE))),VLOOKUP($C84,装備品!$1:$998,COLUMN($O$1),FALSE)*VLOOKUP($D84,素材!$1:$1016,COLUMN($E$1),FALSE)/(LEN(VLOOKUP($D84,素材!$1:$1016,COLUMN($F$1),FALSE))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E84">
        <f>IF(ISNUMBER(SEARCH(SUBSTITUTE(AE$1,RIGHT(AE$1,2),""),VLOOKUP($D84,素材!$1:$1016,COLUMN($F$1),FALSE))),VLOOKUP($C84,装備品!$1:$998,COLUMN($O$1),FALSE)*VLOOKUP($D84,素材!$1:$1016,COLUMN($E$1),FALSE)/(LEN(VLOOKUP($D84,素材!$1:$1016,COLUMN($F$1),FALSE))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F84">
        <f>IF(ISNUMBER(SEARCH(SUBSTITUTE(AF$1,RIGHT(AF$1,2),""),VLOOKUP($D84,素材!$1:$1016,COLUMN($F$1),FALSE))),VLOOKUP($C84,装備品!$1:$998,COLUMN($O$1),FALSE)*VLOOKUP($D84,素材!$1:$1016,COLUMN($E$1),FALSE)/(LEN(VLOOKUP($D84,素材!$1:$1016,COLUMN($F$1),FALSE))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G84">
        <f>IF(ISNUMBER(SEARCH(SUBSTITUTE(AG$1,RIGHT(AG$1,2),""),VLOOKUP($D84,素材!$1:$1016,COLUMN($F$1),FALSE))),VLOOKUP($C84,装備品!$1:$998,COLUMN($O$1),FALSE)*VLOOKUP($D84,素材!$1:$1016,COLUMN($E$1),FALSE)/(LEN(VLOOKUP($D84,素材!$1:$1016,COLUMN($F$1),FALSE))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H84">
        <f>IF(ISNUMBER(SEARCH(SUBSTITUTE(AH$1,RIGHT(AH$1,2),""),VLOOKUP($D84,素材!$1:$1016,COLUMN($F$1),FALSE))),VLOOKUP($C84,装備品!$1:$998,COLUMN($O$1),FALSE)*VLOOKUP($D84,素材!$1:$1016,COLUMN($E$1),FALSE)/(LEN(VLOOKUP($D84,素材!$1:$1016,COLUMN($F$1),FALSE))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I84">
        <f>IF(ISNUMBER(SEARCH(SUBSTITUTE(AI$1,RIGHT(AI$1,2),""),VLOOKUP($D84,素材!$1:$1016,COLUMN($F$1),FALSE))),VLOOKUP($C84,装備品!$1:$998,COLUMN($O$1),FALSE)*VLOOKUP($D84,素材!$1:$1016,COLUMN($E$1),FALSE)/(LEN(VLOOKUP($D84,素材!$1:$1016,COLUMN($F$1),FALSE))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J84">
        <f>IF(ISNUMBER(SEARCH(SUBSTITUTE(AJ$1,RIGHT(AJ$1,2),""),VLOOKUP($D84,素材!$1:$1016,COLUMN($F$1),FALSE))),VLOOKUP($C84,装備品!$1:$998,COLUMN($O$1),FALSE)*VLOOKUP($D84,素材!$1:$1016,COLUMN($E$1),FALSE)/(LEN(VLOOKUP($D84,素材!$1:$1016,COLUMN($F$1),FALSE))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K84">
        <f>IF(ISNUMBER(SEARCH(SUBSTITUTE(AK$1,RIGHT(AK$1,2),""),VLOOKUP($D84,素材!$1:$1016,COLUMN($F$1),FALSE))),VLOOKUP($C84,装備品!$1:$998,COLUMN($O$1),FALSE)*VLOOKUP($D84,素材!$1:$1016,COLUMN($E$1),FALSE)/(LEN(VLOOKUP($D84,素材!$1:$1016,COLUMN($F$1),FALSE))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L84">
        <f>IF(ISNUMBER(SEARCH(SUBSTITUTE(AL$1,RIGHT(AL$1,2),""),VLOOKUP($D84,素材!$1:$1016,COLUMN($F$1),FALSE))),VLOOKUP($C84,装備品!$1:$998,COLUMN($O$1),FALSE)*VLOOKUP($D84,素材!$1:$1016,COLUMN($E$1),FALSE)/(LEN(VLOOKUP($D84,素材!$1:$1016,COLUMN($F$1),FALSE))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M84">
        <f>IF(ISNUMBER(SEARCH(SUBSTITUTE(AM$1,RIGHT(AM$1,2),""),VLOOKUP($D84,素材!$1:$1016,COLUMN($F$1),FALSE))),VLOOKUP($C84,装備品!$1:$998,COLUMN($O$1),FALSE)*VLOOKUP($D84,素材!$1:$1016,COLUMN($E$1),FALSE)/(LEN(VLOOKUP($D84,素材!$1:$1016,COLUMN($F$1),FALSE))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N84">
        <f>IF(ISNUMBER(SEARCH(SUBSTITUTE(AN$1,RIGHT(AN$1,2),""),VLOOKUP($D84,素材!$1:$1016,COLUMN($F$1),FALSE))),VLOOKUP($C84,装備品!$1:$998,COLUMN($O$1),FALSE)*VLOOKUP($D84,素材!$1:$1016,COLUMN($E$1),FALSE)/(LEN(VLOOKUP($D84,素材!$1:$1016,COLUMN($F$1),FALSE))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O84">
        <f>IF(ISNUMBER(SEARCH(SUBSTITUTE(AO$1,RIGHT(AO$1,2),""),VLOOKUP($D84,素材!$1:$1016,COLUMN($F$1),FALSE))),VLOOKUP($C84,装備品!$1:$998,COLUMN($O$1),FALSE)*VLOOKUP($D84,素材!$1:$1016,COLUMN($E$1),FALSE)/(LEN(VLOOKUP($D84,素材!$1:$1016,COLUMN($F$1),FALSE))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P84">
        <f>IF(ISNUMBER(SEARCH(SUBSTITUTE(AP$1,RIGHT(AP$1,2),""),VLOOKUP($D84,素材!$1:$1016,COLUMN($F$1),FALSE))),VLOOKUP($C84,装備品!$1:$998,COLUMN($O$1),FALSE)*VLOOKUP($D84,素材!$1:$1016,COLUMN($E$1),FALSE)/(LEN(VLOOKUP($D84,素材!$1:$1016,COLUMN($F$1),FALSE))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Q84">
        <f>IF(ISNUMBER(SEARCH(SUBSTITUTE(AQ$1,RIGHT(AQ$1,2),""),VLOOKUP($D84,素材!$1:$1016,COLUMN($F$1),FALSE))),VLOOKUP($C84,装備品!$1:$998,COLUMN($O$1),FALSE)*VLOOKUP($D84,素材!$1:$1016,COLUMN($E$1),FALSE)/(LEN(VLOOKUP($D84,素材!$1:$1016,COLUMN($F$1),FALSE))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R84">
        <f>IF(ISNUMBER(SEARCH(SUBSTITUTE(AR$1,RIGHT(AR$1,2),""),VLOOKUP($D84,素材!$1:$1016,COLUMN($F$1),FALSE))),VLOOKUP($C84,装備品!$1:$998,COLUMN($O$1),FALSE)*VLOOKUP($D84,素材!$1:$1016,COLUMN($E$1),FALSE)/(LEN(VLOOKUP($D84,素材!$1:$1016,COLUMN($F$1),FALSE))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S84">
        <f>IF(ISNUMBER(SEARCH(SUBSTITUTE(AS$1,RIGHT(AS$1,2),""),VLOOKUP($D84,素材!$1:$1016,COLUMN($F$1),FALSE))),VLOOKUP($C84,装備品!$1:$998,COLUMN($O$1),FALSE)*VLOOKUP($D84,素材!$1:$1016,COLUMN($E$1),FALSE)/(LEN(VLOOKUP($D84,素材!$1:$1016,COLUMN($F$1),FALSE))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T84">
        <f>IF(ISNUMBER(SEARCH(SUBSTITUTE(AT$1,RIGHT(AT$1,2),""),VLOOKUP($D84,素材!$1:$1016,COLUMN($F$1),FALSE))),VLOOKUP($C84,装備品!$1:$998,COLUMN($O$1),FALSE)*VLOOKUP($D84,素材!$1:$1016,COLUMN($E$1),FALSE)/(LEN(VLOOKUP($D84,素材!$1:$1016,COLUMN($F$1),FALSE))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U84">
        <f>IF(ISNUMBER(SEARCH(SUBSTITUTE(AU$1,RIGHT(AU$1,2),""),VLOOKUP($D84,素材!$1:$1016,COLUMN($F$1),FALSE))),VLOOKUP($C84,装備品!$1:$998,COLUMN($O$1),FALSE)*VLOOKUP($D84,素材!$1:$1016,COLUMN($E$1),FALSE)/(LEN(VLOOKUP($D84,素材!$1:$1016,COLUMN($F$1),FALSE))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V84">
        <f>IF(ISNUMBER(SEARCH(SUBSTITUTE(AV$1,RIGHT(AV$1,2),""),VLOOKUP($D84,素材!$1:$1016,COLUMN($F$1),FALSE))),VLOOKUP($C84,装備品!$1:$998,COLUMN($O$1),FALSE)*VLOOKUP($D84,素材!$1:$1016,COLUMN($E$1),FALSE)/(LEN(VLOOKUP($D84,素材!$1:$1016,COLUMN($F$1),FALSE))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W84">
        <f>IF(ISNUMBER(SEARCH(SUBSTITUTE(AW$1,RIGHT(AW$1,2),""),VLOOKUP($D84,素材!$1:$1016,COLUMN($F$1),FALSE))),VLOOKUP($C84,装備品!$1:$998,COLUMN($O$1),FALSE)*VLOOKUP($D84,素材!$1:$1016,COLUMN($E$1),FALSE)/(LEN(VLOOKUP($D84,素材!$1:$1016,COLUMN($F$1),FALSE))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X84">
        <f>IF(ISNUMBER(SEARCH(SUBSTITUTE(AX$1,RIGHT(AX$1,2),""),VLOOKUP($D84,素材!$1:$1016,COLUMN($F$1),FALSE))),VLOOKUP($C84,装備品!$1:$998,COLUMN($O$1),FALSE)*VLOOKUP($D84,素材!$1:$1016,COLUMN($E$1),FALSE)/(LEN(VLOOKUP($D84,素材!$1:$1016,COLUMN($F$1),FALSE))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Y84">
        <f>IF(ISNUMBER(SEARCH(SUBSTITUTE(AY$1,RIGHT(AY$1,2),""),VLOOKUP($D84,素材!$1:$1016,COLUMN($F$1),FALSE))),VLOOKUP($C84,装備品!$1:$998,COLUMN($O$1),FALSE)*VLOOKUP($D84,素材!$1:$1016,COLUMN($E$1),FALSE)/(LEN(VLOOKUP($D84,素材!$1:$1016,COLUMN($F$1),FALSE))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Z84">
        <f>IF(ISNUMBER(SEARCH(SUBSTITUTE(AZ$1,RIGHT(AZ$1,2),""),VLOOKUP($D84,素材!$1:$1016,COLUMN($F$1),FALSE))),VLOOKUP($C84,装備品!$1:$998,COLUMN($O$1),FALSE)*VLOOKUP($D84,素材!$1:$1016,COLUMN($E$1),FALSE)/(LEN(VLOOKUP($D84,素材!$1:$1016,COLUMN($F$1),FALSE))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BA84">
        <f>IF(ISNUMBER(SEARCH(SUBSTITUTE(BA$1,RIGHT(BA$1,2),""),VLOOKUP($D84,素材!$1:$1016,COLUMN($F$1),FALSE))),VLOOKUP($C84,装備品!$1:$998,COLUMN($O$1),FALSE)*VLOOKUP($D84,素材!$1:$1016,COLUMN($E$1),FALSE)/(LEN(VLOOKUP($D84,素材!$1:$1016,COLUMN($F$1),FALSE))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BB84">
        <f>IF(ISNUMBER(SEARCH(SUBSTITUTE(BB$1,RIGHT(BB$1,2),""),VLOOKUP($D84,素材!$1:$1016,COLUMN($F$1),FALSE))),VLOOKUP($C84,装備品!$1:$998,COLUMN($O$1),FALSE)*VLOOKUP($D84,素材!$1:$1016,COLUMN($E$1),FALSE)/(LEN(VLOOKUP($D84,素材!$1:$1016,COLUMN($F$1),FALSE))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BC84">
        <f>IF(ISNUMBER(SEARCH(SUBSTITUTE(BC$1,RIGHT(BC$1,2),""),VLOOKUP($D84,素材!$1:$1016,COLUMN($F$1),FALSE))),VLOOKUP($C84,装備品!$1:$998,COLUMN($O$1),FALSE)*VLOOKUP($D84,素材!$1:$1016,COLUMN($E$1),FALSE)/(LEN(VLOOKUP($D84,素材!$1:$1016,COLUMN($F$1),FALSE))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BD84">
        <f>IF(ISNUMBER(SEARCH(SUBSTITUTE(BD$1,RIGHT(BD$1,2),""),VLOOKUP($D84,素材!$1:$1016,COLUMN($F$1),FALSE))),VLOOKUP($C84,装備品!$1:$998,COLUMN($O$1),FALSE)*VLOOKUP($D84,素材!$1:$1016,COLUMN($E$1),FALSE)/(LEN(VLOOKUP($D84,素材!$1:$1016,COLUMN($F$1),FALSE))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BE84">
        <f>IF(ISNUMBER(SEARCH(SUBSTITUTE(BE$1,RIGHT(BE$1,2),""),VLOOKUP($D84,素材!$1:$1016,COLUMN($F$1),FALSE))),VLOOKUP($C84,装備品!$1:$998,COLUMN($O$1),FALSE)*VLOOKUP($D84,素材!$1:$1016,COLUMN($E$1),FALSE)/(LEN(VLOOKUP($D84,素材!$1:$1016,COLUMN($F$1),FALSE))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CL84">
        <f t="shared" si="7"/>
        <v>29</v>
      </c>
      <c r="CM84" s="22" t="str">
        <f t="shared" si="8"/>
        <v>貫通.webp</v>
      </c>
      <c r="CN84">
        <f>IFERROR(VLOOKUP($C84,装備品!$1:$998,COLUMN(V$1),FALSE)*VLOOKUP($D84,素材!$1:$1016,COLUMN(N$1),FALSE)+IF(CI84="",0,VLOOKUP($CI84,付与!$1:$1176,COLUMN($CK$1),FALSE)),"")</f>
        <v>0</v>
      </c>
      <c r="CO84" t="str">
        <f>VLOOKUP(D84,素材!$A:$O,COLUMN(素材!O$1),FALSE)</f>
        <v>鍛えられた鉄。硬度が高く安価なためよく使用される。</v>
      </c>
      <c r="CP84" t="str">
        <f>VLOOKUP(C84,装備品!$A:$AB,COLUMN(装備品!AB$1),FALSE)</f>
        <v>細剣。刺突に優れた武器でCr率が高い</v>
      </c>
      <c r="CR84" t="str">
        <f t="shared" si="9"/>
        <v>e_84</v>
      </c>
      <c r="CS84">
        <f t="shared" si="10"/>
        <v>0</v>
      </c>
    </row>
    <row r="85" spans="1:97" outlineLevel="1" x14ac:dyDescent="0.4">
      <c r="A85" t="str">
        <f t="shared" si="6"/>
        <v>鋼の刺剣</v>
      </c>
      <c r="B85" t="str">
        <f>IFERROR(VLOOKUP($D85,素材!$1:$1016,COLUMN($B$1),FALSE)&amp;"・"&amp;VLOOKUP($C85,装備品!$1:$998,COLUMN(B$1),FALSE),"")</f>
        <v>スチール・スティレット</v>
      </c>
      <c r="C85" s="24" t="s">
        <v>234</v>
      </c>
      <c r="D85" s="24" t="s">
        <v>252</v>
      </c>
      <c r="E85" t="str">
        <f>IFERROR(VLOOKUP(C85,装備品!$1:$998,COLUMN(C$1),FALSE),"")</f>
        <v>武器</v>
      </c>
      <c r="F85">
        <f>IFERROR(ROUNDDOWN((VLOOKUP($C85,装備品!$1:$998,COLUMN(D$1),FALSE)+IFERROR(VLOOKUP($CI85,付与!$1:$1167,COLUMN(F$1),FALSE),0))*VLOOKUP($D85,素材!$1:$1016,COLUMN(D$1),FALSE),0),"")</f>
        <v>115</v>
      </c>
      <c r="G85">
        <f>IFERROR(ROUNDDOWN((VLOOKUP($C85,装備品!$1:$998,COLUMN(E$1),FALSE)+IFERROR(VLOOKUP($CI85,付与!$1:$1167,COLUMN(G$1),FALSE),0))*VLOOKUP($D85,素材!$1:$1016,COLUMN($E$1),FALSE),0),"")</f>
        <v>5</v>
      </c>
      <c r="H85">
        <f>IFERROR(ROUNDDOWN((VLOOKUP($C85,装備品!$1:$998,COLUMN(F$1),FALSE)+IFERROR(VLOOKUP($CI85,付与!$1:$1167,COLUMN(H$1),FALSE),0))*VLOOKUP($D85,素材!$1:$1016,COLUMN($E$1),FALSE),0),"")</f>
        <v>24</v>
      </c>
      <c r="I85">
        <f>IFERROR(ROUNDDOWN((VLOOKUP($C85,装備品!$1:$998,COLUMN(G$1),FALSE)+IFERROR(VLOOKUP($CI85,付与!$1:$1167,COLUMN(I$1),FALSE),0))*VLOOKUP($D85,素材!$1:$1016,COLUMN($E$1),FALSE),0),"")</f>
        <v>0</v>
      </c>
      <c r="J85">
        <f>IFERROR(ROUNDDOWN((VLOOKUP($C85,装備品!$1:$998,COLUMN(H$1),FALSE)+IFERROR(VLOOKUP($CI85,付与!$1:$1167,COLUMN(J$1),FALSE),0))*VLOOKUP($D85,素材!$1:$1016,COLUMN($E$1),FALSE),0),"")</f>
        <v>22</v>
      </c>
      <c r="K85">
        <f>IFERROR(ROUNDDOWN((VLOOKUP($C85,装備品!$1:$998,COLUMN(I$1),FALSE)+IFERROR(VLOOKUP($CI85,付与!$1:$1167,COLUMN(K$1),FALSE),0))*VLOOKUP($D85,素材!$1:$1016,COLUMN($E$1),FALSE),0),"")</f>
        <v>0</v>
      </c>
      <c r="L85">
        <f>IFERROR(VLOOKUP($D85,素材!$1:$1016,COLUMN($F$1),FALSE),"")</f>
        <v>0</v>
      </c>
      <c r="M85">
        <f>IFERROR(VLOOKUP($C85,装備品!$1:$998,COLUMN(AA$1),FALSE)*VLOOKUP($D85,素材!$1:$1016,COLUMN($G$1),FALSE),"")</f>
        <v>0</v>
      </c>
      <c r="N85">
        <f>IFERROR(VLOOKUP($C85,装備品!$1:$998,COLUMN(I$1),FALSE),"")</f>
        <v>0</v>
      </c>
      <c r="O85" s="23">
        <f>IFERROR((VLOOKUP($C85,装備品!$1:$998,COLUMN(K$1),FALSE)+VLOOKUP($D85,素材!$1:$1016,COLUMN(H$1),FALSE))*100+IFERROR(VLOOKUP($CI85,付与!$1:$1167,COLUMN(O$1),FALSE),0),"")</f>
        <v>10</v>
      </c>
      <c r="P85" s="23">
        <f>IFERROR((VLOOKUP($C85,装備品!$1:$998,COLUMN(L$1),FALSE)+VLOOKUP($D85,素材!$1:$1016,COLUMN(I$1),FALSE))*100+IFERROR(VLOOKUP($CI85,付与!$1:$1167,COLUMN(P$1),FALSE),0),"")</f>
        <v>150</v>
      </c>
      <c r="Q85">
        <f>IFERROR(ROUNDUP(VLOOKUP($C85,装備品!$1:$998,COLUMN(M$1),FALSE)*(VLOOKUP($D85,素材!$1:$1002,COLUMN(D$1),FALSE)/100),1),"")</f>
        <v>0</v>
      </c>
      <c r="R85">
        <f>IFERROR(ROUNDUP(VLOOKUP($C85,装備品!$1:$998,COLUMN(N$1),FALSE)*(VLOOKUP($D85,素材!$1:$1002,COLUMN(D$1),FALSE)/100),1),"")</f>
        <v>0</v>
      </c>
      <c r="S85">
        <f>IFERROR(VLOOKUP($C85,装備品!$1:$998,COLUMN(P$1),FALSE),"")</f>
        <v>0</v>
      </c>
      <c r="T85">
        <f>IFERROR(VLOOKUP($C85,装備品!$1:$998,COLUMN(Q$1),FALSE),"")</f>
        <v>0</v>
      </c>
      <c r="U85">
        <f>IFERROR(VLOOKUP($C85,装備品!$1:$998,COLUMN(R$1),FALSE),"")</f>
        <v>0</v>
      </c>
      <c r="V85">
        <f>IFERROR(VLOOKUP($C85,装備品!$1:$998,COLUMN(Q$1),FALSE),"")</f>
        <v>0</v>
      </c>
      <c r="W85">
        <f>IFERROR(VLOOKUP($C85,装備品!$1:$998,COLUMN(T$1),FALSE),"")</f>
        <v>0</v>
      </c>
      <c r="Y85">
        <f>IFERROR(VLOOKUP($C85,装備品!$1:$998,COLUMN(U$1),FALSE),"")</f>
        <v>0</v>
      </c>
      <c r="Z85">
        <f>IFERROR(ROUNDUP(VLOOKUP($C85,装備品!$1:$998,COLUMN(O$1),FALSE)*VLOOKUP($D85,素材!$1:$1016,COLUMN(E$1),FALSE),1),"")</f>
        <v>0</v>
      </c>
      <c r="AA85">
        <f>IF(ISNUMBER(SEARCH(SUBSTITUTE(AA$1,RIGHT(AA$1,2),""),VLOOKUP($D85,素材!$1:$1016,COLUMN($F$1),FALSE))),VLOOKUP($C85,装備品!$1:$998,COLUMN($O$1),FALSE)*VLOOKUP($D85,素材!$1:$1016,COLUMN($E$1),FALSE)/(LEN(VLOOKUP($D85,素材!$1:$1016,COLUMN($F$1),FALSE))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B85">
        <f>IF(ISNUMBER(SEARCH(SUBSTITUTE(AB$1,RIGHT(AB$1,2),""),VLOOKUP($D85,素材!$1:$1016,COLUMN($F$1),FALSE))),VLOOKUP($C85,装備品!$1:$998,COLUMN($O$1),FALSE)*VLOOKUP($D85,素材!$1:$1016,COLUMN($E$1),FALSE)/(LEN(VLOOKUP($D85,素材!$1:$1016,COLUMN($F$1),FALSE))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C85">
        <f>IF(ISNUMBER(SEARCH(SUBSTITUTE(AC$1,RIGHT(AC$1,2),""),VLOOKUP($D85,素材!$1:$1016,COLUMN($F$1),FALSE))),VLOOKUP($C85,装備品!$1:$998,COLUMN($O$1),FALSE)*VLOOKUP($D85,素材!$1:$1016,COLUMN($E$1),FALSE)/(LEN(VLOOKUP($D85,素材!$1:$1016,COLUMN($F$1),FALSE))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D85">
        <f>IF(ISNUMBER(SEARCH(SUBSTITUTE(AD$1,RIGHT(AD$1,2),""),VLOOKUP($D85,素材!$1:$1016,COLUMN($F$1),FALSE))),VLOOKUP($C85,装備品!$1:$998,COLUMN($O$1),FALSE)*VLOOKUP($D85,素材!$1:$1016,COLUMN($E$1),FALSE)/(LEN(VLOOKUP($D85,素材!$1:$1016,COLUMN($F$1),FALSE))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E85">
        <f>IF(ISNUMBER(SEARCH(SUBSTITUTE(AE$1,RIGHT(AE$1,2),""),VLOOKUP($D85,素材!$1:$1016,COLUMN($F$1),FALSE))),VLOOKUP($C85,装備品!$1:$998,COLUMN($O$1),FALSE)*VLOOKUP($D85,素材!$1:$1016,COLUMN($E$1),FALSE)/(LEN(VLOOKUP($D85,素材!$1:$1016,COLUMN($F$1),FALSE))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F85">
        <f>IF(ISNUMBER(SEARCH(SUBSTITUTE(AF$1,RIGHT(AF$1,2),""),VLOOKUP($D85,素材!$1:$1016,COLUMN($F$1),FALSE))),VLOOKUP($C85,装備品!$1:$998,COLUMN($O$1),FALSE)*VLOOKUP($D85,素材!$1:$1016,COLUMN($E$1),FALSE)/(LEN(VLOOKUP($D85,素材!$1:$1016,COLUMN($F$1),FALSE))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G85">
        <f>IF(ISNUMBER(SEARCH(SUBSTITUTE(AG$1,RIGHT(AG$1,2),""),VLOOKUP($D85,素材!$1:$1016,COLUMN($F$1),FALSE))),VLOOKUP($C85,装備品!$1:$998,COLUMN($O$1),FALSE)*VLOOKUP($D85,素材!$1:$1016,COLUMN($E$1),FALSE)/(LEN(VLOOKUP($D85,素材!$1:$1016,COLUMN($F$1),FALSE))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H85">
        <f>IF(ISNUMBER(SEARCH(SUBSTITUTE(AH$1,RIGHT(AH$1,2),""),VLOOKUP($D85,素材!$1:$1016,COLUMN($F$1),FALSE))),VLOOKUP($C85,装備品!$1:$998,COLUMN($O$1),FALSE)*VLOOKUP($D85,素材!$1:$1016,COLUMN($E$1),FALSE)/(LEN(VLOOKUP($D85,素材!$1:$1016,COLUMN($F$1),FALSE))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I85">
        <f>IF(ISNUMBER(SEARCH(SUBSTITUTE(AI$1,RIGHT(AI$1,2),""),VLOOKUP($D85,素材!$1:$1016,COLUMN($F$1),FALSE))),VLOOKUP($C85,装備品!$1:$998,COLUMN($O$1),FALSE)*VLOOKUP($D85,素材!$1:$1016,COLUMN($E$1),FALSE)/(LEN(VLOOKUP($D85,素材!$1:$1016,COLUMN($F$1),FALSE))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J85">
        <f>IF(ISNUMBER(SEARCH(SUBSTITUTE(AJ$1,RIGHT(AJ$1,2),""),VLOOKUP($D85,素材!$1:$1016,COLUMN($F$1),FALSE))),VLOOKUP($C85,装備品!$1:$998,COLUMN($O$1),FALSE)*VLOOKUP($D85,素材!$1:$1016,COLUMN($E$1),FALSE)/(LEN(VLOOKUP($D85,素材!$1:$1016,COLUMN($F$1),FALSE))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K85">
        <f>IF(ISNUMBER(SEARCH(SUBSTITUTE(AK$1,RIGHT(AK$1,2),""),VLOOKUP($D85,素材!$1:$1016,COLUMN($F$1),FALSE))),VLOOKUP($C85,装備品!$1:$998,COLUMN($O$1),FALSE)*VLOOKUP($D85,素材!$1:$1016,COLUMN($E$1),FALSE)/(LEN(VLOOKUP($D85,素材!$1:$1016,COLUMN($F$1),FALSE))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L85">
        <f>IF(ISNUMBER(SEARCH(SUBSTITUTE(AL$1,RIGHT(AL$1,2),""),VLOOKUP($D85,素材!$1:$1016,COLUMN($F$1),FALSE))),VLOOKUP($C85,装備品!$1:$998,COLUMN($O$1),FALSE)*VLOOKUP($D85,素材!$1:$1016,COLUMN($E$1),FALSE)/(LEN(VLOOKUP($D85,素材!$1:$1016,COLUMN($F$1),FALSE))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M85">
        <f>IF(ISNUMBER(SEARCH(SUBSTITUTE(AM$1,RIGHT(AM$1,2),""),VLOOKUP($D85,素材!$1:$1016,COLUMN($F$1),FALSE))),VLOOKUP($C85,装備品!$1:$998,COLUMN($O$1),FALSE)*VLOOKUP($D85,素材!$1:$1016,COLUMN($E$1),FALSE)/(LEN(VLOOKUP($D85,素材!$1:$1016,COLUMN($F$1),FALSE))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N85">
        <f>IF(ISNUMBER(SEARCH(SUBSTITUTE(AN$1,RIGHT(AN$1,2),""),VLOOKUP($D85,素材!$1:$1016,COLUMN($F$1),FALSE))),VLOOKUP($C85,装備品!$1:$998,COLUMN($O$1),FALSE)*VLOOKUP($D85,素材!$1:$1016,COLUMN($E$1),FALSE)/(LEN(VLOOKUP($D85,素材!$1:$1016,COLUMN($F$1),FALSE))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O85">
        <f>IF(ISNUMBER(SEARCH(SUBSTITUTE(AO$1,RIGHT(AO$1,2),""),VLOOKUP($D85,素材!$1:$1016,COLUMN($F$1),FALSE))),VLOOKUP($C85,装備品!$1:$998,COLUMN($O$1),FALSE)*VLOOKUP($D85,素材!$1:$1016,COLUMN($E$1),FALSE)/(LEN(VLOOKUP($D85,素材!$1:$1016,COLUMN($F$1),FALSE))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P85">
        <f>IF(ISNUMBER(SEARCH(SUBSTITUTE(AP$1,RIGHT(AP$1,2),""),VLOOKUP($D85,素材!$1:$1016,COLUMN($F$1),FALSE))),VLOOKUP($C85,装備品!$1:$998,COLUMN($O$1),FALSE)*VLOOKUP($D85,素材!$1:$1016,COLUMN($E$1),FALSE)/(LEN(VLOOKUP($D85,素材!$1:$1016,COLUMN($F$1),FALSE))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Q85">
        <f>IF(ISNUMBER(SEARCH(SUBSTITUTE(AQ$1,RIGHT(AQ$1,2),""),VLOOKUP($D85,素材!$1:$1016,COLUMN($F$1),FALSE))),VLOOKUP($C85,装備品!$1:$998,COLUMN($O$1),FALSE)*VLOOKUP($D85,素材!$1:$1016,COLUMN($E$1),FALSE)/(LEN(VLOOKUP($D85,素材!$1:$1016,COLUMN($F$1),FALSE))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R85">
        <f>IF(ISNUMBER(SEARCH(SUBSTITUTE(AR$1,RIGHT(AR$1,2),""),VLOOKUP($D85,素材!$1:$1016,COLUMN($F$1),FALSE))),VLOOKUP($C85,装備品!$1:$998,COLUMN($O$1),FALSE)*VLOOKUP($D85,素材!$1:$1016,COLUMN($E$1),FALSE)/(LEN(VLOOKUP($D85,素材!$1:$1016,COLUMN($F$1),FALSE))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S85">
        <f>IF(ISNUMBER(SEARCH(SUBSTITUTE(AS$1,RIGHT(AS$1,2),""),VLOOKUP($D85,素材!$1:$1016,COLUMN($F$1),FALSE))),VLOOKUP($C85,装備品!$1:$998,COLUMN($O$1),FALSE)*VLOOKUP($D85,素材!$1:$1016,COLUMN($E$1),FALSE)/(LEN(VLOOKUP($D85,素材!$1:$1016,COLUMN($F$1),FALSE))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T85">
        <f>IF(ISNUMBER(SEARCH(SUBSTITUTE(AT$1,RIGHT(AT$1,2),""),VLOOKUP($D85,素材!$1:$1016,COLUMN($F$1),FALSE))),VLOOKUP($C85,装備品!$1:$998,COLUMN($O$1),FALSE)*VLOOKUP($D85,素材!$1:$1016,COLUMN($E$1),FALSE)/(LEN(VLOOKUP($D85,素材!$1:$1016,COLUMN($F$1),FALSE))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U85">
        <f>IF(ISNUMBER(SEARCH(SUBSTITUTE(AU$1,RIGHT(AU$1,2),""),VLOOKUP($D85,素材!$1:$1016,COLUMN($F$1),FALSE))),VLOOKUP($C85,装備品!$1:$998,COLUMN($O$1),FALSE)*VLOOKUP($D85,素材!$1:$1016,COLUMN($E$1),FALSE)/(LEN(VLOOKUP($D85,素材!$1:$1016,COLUMN($F$1),FALSE))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V85">
        <f>IF(ISNUMBER(SEARCH(SUBSTITUTE(AV$1,RIGHT(AV$1,2),""),VLOOKUP($D85,素材!$1:$1016,COLUMN($F$1),FALSE))),VLOOKUP($C85,装備品!$1:$998,COLUMN($O$1),FALSE)*VLOOKUP($D85,素材!$1:$1016,COLUMN($E$1),FALSE)/(LEN(VLOOKUP($D85,素材!$1:$1016,COLUMN($F$1),FALSE))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W85">
        <f>IF(ISNUMBER(SEARCH(SUBSTITUTE(AW$1,RIGHT(AW$1,2),""),VLOOKUP($D85,素材!$1:$1016,COLUMN($F$1),FALSE))),VLOOKUP($C85,装備品!$1:$998,COLUMN($O$1),FALSE)*VLOOKUP($D85,素材!$1:$1016,COLUMN($E$1),FALSE)/(LEN(VLOOKUP($D85,素材!$1:$1016,COLUMN($F$1),FALSE))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X85">
        <f>IF(ISNUMBER(SEARCH(SUBSTITUTE(AX$1,RIGHT(AX$1,2),""),VLOOKUP($D85,素材!$1:$1016,COLUMN($F$1),FALSE))),VLOOKUP($C85,装備品!$1:$998,COLUMN($O$1),FALSE)*VLOOKUP($D85,素材!$1:$1016,COLUMN($E$1),FALSE)/(LEN(VLOOKUP($D85,素材!$1:$1016,COLUMN($F$1),FALSE))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Y85">
        <f>IF(ISNUMBER(SEARCH(SUBSTITUTE(AY$1,RIGHT(AY$1,2),""),VLOOKUP($D85,素材!$1:$1016,COLUMN($F$1),FALSE))),VLOOKUP($C85,装備品!$1:$998,COLUMN($O$1),FALSE)*VLOOKUP($D85,素材!$1:$1016,COLUMN($E$1),FALSE)/(LEN(VLOOKUP($D85,素材!$1:$1016,COLUMN($F$1),FALSE))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Z85">
        <f>IF(ISNUMBER(SEARCH(SUBSTITUTE(AZ$1,RIGHT(AZ$1,2),""),VLOOKUP($D85,素材!$1:$1016,COLUMN($F$1),FALSE))),VLOOKUP($C85,装備品!$1:$998,COLUMN($O$1),FALSE)*VLOOKUP($D85,素材!$1:$1016,COLUMN($E$1),FALSE)/(LEN(VLOOKUP($D85,素材!$1:$1016,COLUMN($F$1),FALSE))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BA85">
        <f>IF(ISNUMBER(SEARCH(SUBSTITUTE(BA$1,RIGHT(BA$1,2),""),VLOOKUP($D85,素材!$1:$1016,COLUMN($F$1),FALSE))),VLOOKUP($C85,装備品!$1:$998,COLUMN($O$1),FALSE)*VLOOKUP($D85,素材!$1:$1016,COLUMN($E$1),FALSE)/(LEN(VLOOKUP($D85,素材!$1:$1016,COLUMN($F$1),FALSE))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BB85">
        <f>IF(ISNUMBER(SEARCH(SUBSTITUTE(BB$1,RIGHT(BB$1,2),""),VLOOKUP($D85,素材!$1:$1016,COLUMN($F$1),FALSE))),VLOOKUP($C85,装備品!$1:$998,COLUMN($O$1),FALSE)*VLOOKUP($D85,素材!$1:$1016,COLUMN($E$1),FALSE)/(LEN(VLOOKUP($D85,素材!$1:$1016,COLUMN($F$1),FALSE))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BC85">
        <f>IF(ISNUMBER(SEARCH(SUBSTITUTE(BC$1,RIGHT(BC$1,2),""),VLOOKUP($D85,素材!$1:$1016,COLUMN($F$1),FALSE))),VLOOKUP($C85,装備品!$1:$998,COLUMN($O$1),FALSE)*VLOOKUP($D85,素材!$1:$1016,COLUMN($E$1),FALSE)/(LEN(VLOOKUP($D85,素材!$1:$1016,COLUMN($F$1),FALSE))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BD85">
        <f>IF(ISNUMBER(SEARCH(SUBSTITUTE(BD$1,RIGHT(BD$1,2),""),VLOOKUP($D85,素材!$1:$1016,COLUMN($F$1),FALSE))),VLOOKUP($C85,装備品!$1:$998,COLUMN($O$1),FALSE)*VLOOKUP($D85,素材!$1:$1016,COLUMN($E$1),FALSE)/(LEN(VLOOKUP($D85,素材!$1:$1016,COLUMN($F$1),FALSE))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BE85">
        <f>IF(ISNUMBER(SEARCH(SUBSTITUTE(BE$1,RIGHT(BE$1,2),""),VLOOKUP($D85,素材!$1:$1016,COLUMN($F$1),FALSE))),VLOOKUP($C85,装備品!$1:$998,COLUMN($O$1),FALSE)*VLOOKUP($D85,素材!$1:$1016,COLUMN($E$1),FALSE)/(LEN(VLOOKUP($D85,素材!$1:$1016,COLUMN($F$1),FALSE))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CL85">
        <f t="shared" si="7"/>
        <v>29</v>
      </c>
      <c r="CM85" s="22" t="str">
        <f t="shared" si="8"/>
        <v>貫通.webp</v>
      </c>
      <c r="CN85">
        <f>IFERROR(VLOOKUP($C85,装備品!$1:$998,COLUMN(V$1),FALSE)*VLOOKUP($D85,素材!$1:$1016,COLUMN(N$1),FALSE)+IF(CI85="",0,VLOOKUP($CI85,付与!$1:$1176,COLUMN($CK$1),FALSE)),"")</f>
        <v>0</v>
      </c>
      <c r="CO85" t="str">
        <f>VLOOKUP(D85,素材!$A:$O,COLUMN(素材!O$1),FALSE)</f>
        <v>鍛えられた鉄。硬度が高く安価なためよく使用される。</v>
      </c>
      <c r="CP85" t="str">
        <f>VLOOKUP(C85,装備品!$A:$AB,COLUMN(装備品!AB$1),FALSE)</f>
        <v>刺剣。小型で精密な攻撃が可能な武器。</v>
      </c>
      <c r="CR85" t="str">
        <f t="shared" si="9"/>
        <v>e_85</v>
      </c>
      <c r="CS85">
        <f t="shared" si="10"/>
        <v>0</v>
      </c>
    </row>
    <row r="86" spans="1:97" outlineLevel="1" x14ac:dyDescent="0.4">
      <c r="A86" t="str">
        <f t="shared" si="6"/>
        <v>鋼の短槍</v>
      </c>
      <c r="B86" t="str">
        <f>IFERROR(VLOOKUP($D86,素材!$1:$1016,COLUMN($B$1),FALSE)&amp;"・"&amp;VLOOKUP($C86,装備品!$1:$998,COLUMN(B$1),FALSE),"")</f>
        <v>スチール・ショートスピア</v>
      </c>
      <c r="C86" s="24" t="s">
        <v>233</v>
      </c>
      <c r="D86" s="24" t="s">
        <v>252</v>
      </c>
      <c r="E86" t="str">
        <f>IFERROR(VLOOKUP(C86,装備品!$1:$998,COLUMN(C$1),FALSE),"")</f>
        <v>武器</v>
      </c>
      <c r="F86">
        <f>IFERROR(ROUNDDOWN((VLOOKUP($C86,装備品!$1:$998,COLUMN(D$1),FALSE)+IFERROR(VLOOKUP($CI86,付与!$1:$1167,COLUMN(F$1),FALSE),0))*VLOOKUP($D86,素材!$1:$1016,COLUMN(D$1),FALSE),0),"")</f>
        <v>110</v>
      </c>
      <c r="G86">
        <f>IFERROR(ROUNDDOWN((VLOOKUP($C86,装備品!$1:$998,COLUMN(E$1),FALSE)+IFERROR(VLOOKUP($CI86,付与!$1:$1167,COLUMN(G$1),FALSE),0))*VLOOKUP($D86,素材!$1:$1016,COLUMN($E$1),FALSE),0),"")</f>
        <v>10</v>
      </c>
      <c r="H86">
        <f>IFERROR(ROUNDDOWN((VLOOKUP($C86,装備品!$1:$998,COLUMN(F$1),FALSE)+IFERROR(VLOOKUP($CI86,付与!$1:$1167,COLUMN(H$1),FALSE),0))*VLOOKUP($D86,素材!$1:$1016,COLUMN($E$1),FALSE),0),"")</f>
        <v>18</v>
      </c>
      <c r="I86">
        <f>IFERROR(ROUNDDOWN((VLOOKUP($C86,装備品!$1:$998,COLUMN(G$1),FALSE)+IFERROR(VLOOKUP($CI86,付与!$1:$1167,COLUMN(I$1),FALSE),0))*VLOOKUP($D86,素材!$1:$1016,COLUMN($E$1),FALSE),0),"")</f>
        <v>4</v>
      </c>
      <c r="J86">
        <f>IFERROR(ROUNDDOWN((VLOOKUP($C86,装備品!$1:$998,COLUMN(H$1),FALSE)+IFERROR(VLOOKUP($CI86,付与!$1:$1167,COLUMN(J$1),FALSE),0))*VLOOKUP($D86,素材!$1:$1016,COLUMN($E$1),FALSE),0),"")</f>
        <v>22</v>
      </c>
      <c r="K86">
        <f>IFERROR(ROUNDDOWN((VLOOKUP($C86,装備品!$1:$998,COLUMN(I$1),FALSE)+IFERROR(VLOOKUP($CI86,付与!$1:$1167,COLUMN(K$1),FALSE),0))*VLOOKUP($D86,素材!$1:$1016,COLUMN($E$1),FALSE),0),"")</f>
        <v>0</v>
      </c>
      <c r="L86">
        <f>IFERROR(VLOOKUP($D86,素材!$1:$1016,COLUMN($F$1),FALSE),"")</f>
        <v>0</v>
      </c>
      <c r="M86">
        <f>IFERROR(VLOOKUP($C86,装備品!$1:$998,COLUMN(AA$1),FALSE)*VLOOKUP($D86,素材!$1:$1016,COLUMN($G$1),FALSE),"")</f>
        <v>0</v>
      </c>
      <c r="N86">
        <f>IFERROR(VLOOKUP($C86,装備品!$1:$998,COLUMN(I$1),FALSE),"")</f>
        <v>0</v>
      </c>
      <c r="O86" s="23">
        <f>IFERROR((VLOOKUP($C86,装備品!$1:$998,COLUMN(K$1),FALSE)+VLOOKUP($D86,素材!$1:$1016,COLUMN(H$1),FALSE))*100+IFERROR(VLOOKUP($CI86,付与!$1:$1167,COLUMN(O$1),FALSE),0),"")</f>
        <v>10</v>
      </c>
      <c r="P86" s="23">
        <f>IFERROR((VLOOKUP($C86,装備品!$1:$998,COLUMN(L$1),FALSE)+VLOOKUP($D86,素材!$1:$1016,COLUMN(I$1),FALSE))*100+IFERROR(VLOOKUP($CI86,付与!$1:$1167,COLUMN(P$1),FALSE),0),"")</f>
        <v>150</v>
      </c>
      <c r="Q86">
        <f>IFERROR(ROUNDUP(VLOOKUP($C86,装備品!$1:$998,COLUMN(M$1),FALSE)*(VLOOKUP($D86,素材!$1:$1002,COLUMN(D$1),FALSE)/100),1),"")</f>
        <v>0</v>
      </c>
      <c r="R86">
        <f>IFERROR(ROUNDUP(VLOOKUP($C86,装備品!$1:$998,COLUMN(N$1),FALSE)*(VLOOKUP($D86,素材!$1:$1002,COLUMN(D$1),FALSE)/100),1),"")</f>
        <v>0</v>
      </c>
      <c r="S86">
        <f>IFERROR(VLOOKUP($C86,装備品!$1:$998,COLUMN(P$1),FALSE),"")</f>
        <v>0</v>
      </c>
      <c r="T86">
        <f>IFERROR(VLOOKUP($C86,装備品!$1:$998,COLUMN(Q$1),FALSE),"")</f>
        <v>0</v>
      </c>
      <c r="U86">
        <f>IFERROR(VLOOKUP($C86,装備品!$1:$998,COLUMN(R$1),FALSE),"")</f>
        <v>0</v>
      </c>
      <c r="V86">
        <f>IFERROR(VLOOKUP($C86,装備品!$1:$998,COLUMN(Q$1),FALSE),"")</f>
        <v>0</v>
      </c>
      <c r="W86">
        <f>IFERROR(VLOOKUP($C86,装備品!$1:$998,COLUMN(T$1),FALSE),"")</f>
        <v>0</v>
      </c>
      <c r="Y86">
        <f>IFERROR(VLOOKUP($C86,装備品!$1:$998,COLUMN(U$1),FALSE),"")</f>
        <v>0</v>
      </c>
      <c r="Z86">
        <f>IFERROR(ROUNDUP(VLOOKUP($C86,装備品!$1:$998,COLUMN(O$1),FALSE)*VLOOKUP($D86,素材!$1:$1016,COLUMN(E$1),FALSE),1),"")</f>
        <v>0</v>
      </c>
      <c r="AA86">
        <f>IF(ISNUMBER(SEARCH(SUBSTITUTE(AA$1,RIGHT(AA$1,2),""),VLOOKUP($D86,素材!$1:$1016,COLUMN($F$1),FALSE))),VLOOKUP($C86,装備品!$1:$998,COLUMN($O$1),FALSE)*VLOOKUP($D86,素材!$1:$1016,COLUMN($E$1),FALSE)/(LEN(VLOOKUP($D86,素材!$1:$1016,COLUMN($F$1),FALSE))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B86">
        <f>IF(ISNUMBER(SEARCH(SUBSTITUTE(AB$1,RIGHT(AB$1,2),""),VLOOKUP($D86,素材!$1:$1016,COLUMN($F$1),FALSE))),VLOOKUP($C86,装備品!$1:$998,COLUMN($O$1),FALSE)*VLOOKUP($D86,素材!$1:$1016,COLUMN($E$1),FALSE)/(LEN(VLOOKUP($D86,素材!$1:$1016,COLUMN($F$1),FALSE))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C86">
        <f>IF(ISNUMBER(SEARCH(SUBSTITUTE(AC$1,RIGHT(AC$1,2),""),VLOOKUP($D86,素材!$1:$1016,COLUMN($F$1),FALSE))),VLOOKUP($C86,装備品!$1:$998,COLUMN($O$1),FALSE)*VLOOKUP($D86,素材!$1:$1016,COLUMN($E$1),FALSE)/(LEN(VLOOKUP($D86,素材!$1:$1016,COLUMN($F$1),FALSE))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D86">
        <f>IF(ISNUMBER(SEARCH(SUBSTITUTE(AD$1,RIGHT(AD$1,2),""),VLOOKUP($D86,素材!$1:$1016,COLUMN($F$1),FALSE))),VLOOKUP($C86,装備品!$1:$998,COLUMN($O$1),FALSE)*VLOOKUP($D86,素材!$1:$1016,COLUMN($E$1),FALSE)/(LEN(VLOOKUP($D86,素材!$1:$1016,COLUMN($F$1),FALSE))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E86">
        <f>IF(ISNUMBER(SEARCH(SUBSTITUTE(AE$1,RIGHT(AE$1,2),""),VLOOKUP($D86,素材!$1:$1016,COLUMN($F$1),FALSE))),VLOOKUP($C86,装備品!$1:$998,COLUMN($O$1),FALSE)*VLOOKUP($D86,素材!$1:$1016,COLUMN($E$1),FALSE)/(LEN(VLOOKUP($D86,素材!$1:$1016,COLUMN($F$1),FALSE))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F86">
        <f>IF(ISNUMBER(SEARCH(SUBSTITUTE(AF$1,RIGHT(AF$1,2),""),VLOOKUP($D86,素材!$1:$1016,COLUMN($F$1),FALSE))),VLOOKUP($C86,装備品!$1:$998,COLUMN($O$1),FALSE)*VLOOKUP($D86,素材!$1:$1016,COLUMN($E$1),FALSE)/(LEN(VLOOKUP($D86,素材!$1:$1016,COLUMN($F$1),FALSE))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G86">
        <f>IF(ISNUMBER(SEARCH(SUBSTITUTE(AG$1,RIGHT(AG$1,2),""),VLOOKUP($D86,素材!$1:$1016,COLUMN($F$1),FALSE))),VLOOKUP($C86,装備品!$1:$998,COLUMN($O$1),FALSE)*VLOOKUP($D86,素材!$1:$1016,COLUMN($E$1),FALSE)/(LEN(VLOOKUP($D86,素材!$1:$1016,COLUMN($F$1),FALSE))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H86">
        <f>IF(ISNUMBER(SEARCH(SUBSTITUTE(AH$1,RIGHT(AH$1,2),""),VLOOKUP($D86,素材!$1:$1016,COLUMN($F$1),FALSE))),VLOOKUP($C86,装備品!$1:$998,COLUMN($O$1),FALSE)*VLOOKUP($D86,素材!$1:$1016,COLUMN($E$1),FALSE)/(LEN(VLOOKUP($D86,素材!$1:$1016,COLUMN($F$1),FALSE))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I86">
        <f>IF(ISNUMBER(SEARCH(SUBSTITUTE(AI$1,RIGHT(AI$1,2),""),VLOOKUP($D86,素材!$1:$1016,COLUMN($F$1),FALSE))),VLOOKUP($C86,装備品!$1:$998,COLUMN($O$1),FALSE)*VLOOKUP($D86,素材!$1:$1016,COLUMN($E$1),FALSE)/(LEN(VLOOKUP($D86,素材!$1:$1016,COLUMN($F$1),FALSE))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J86">
        <f>IF(ISNUMBER(SEARCH(SUBSTITUTE(AJ$1,RIGHT(AJ$1,2),""),VLOOKUP($D86,素材!$1:$1016,COLUMN($F$1),FALSE))),VLOOKUP($C86,装備品!$1:$998,COLUMN($O$1),FALSE)*VLOOKUP($D86,素材!$1:$1016,COLUMN($E$1),FALSE)/(LEN(VLOOKUP($D86,素材!$1:$1016,COLUMN($F$1),FALSE))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K86">
        <f>IF(ISNUMBER(SEARCH(SUBSTITUTE(AK$1,RIGHT(AK$1,2),""),VLOOKUP($D86,素材!$1:$1016,COLUMN($F$1),FALSE))),VLOOKUP($C86,装備品!$1:$998,COLUMN($O$1),FALSE)*VLOOKUP($D86,素材!$1:$1016,COLUMN($E$1),FALSE)/(LEN(VLOOKUP($D86,素材!$1:$1016,COLUMN($F$1),FALSE))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L86">
        <f>IF(ISNUMBER(SEARCH(SUBSTITUTE(AL$1,RIGHT(AL$1,2),""),VLOOKUP($D86,素材!$1:$1016,COLUMN($F$1),FALSE))),VLOOKUP($C86,装備品!$1:$998,COLUMN($O$1),FALSE)*VLOOKUP($D86,素材!$1:$1016,COLUMN($E$1),FALSE)/(LEN(VLOOKUP($D86,素材!$1:$1016,COLUMN($F$1),FALSE))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M86">
        <f>IF(ISNUMBER(SEARCH(SUBSTITUTE(AM$1,RIGHT(AM$1,2),""),VLOOKUP($D86,素材!$1:$1016,COLUMN($F$1),FALSE))),VLOOKUP($C86,装備品!$1:$998,COLUMN($O$1),FALSE)*VLOOKUP($D86,素材!$1:$1016,COLUMN($E$1),FALSE)/(LEN(VLOOKUP($D86,素材!$1:$1016,COLUMN($F$1),FALSE))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N86">
        <f>IF(ISNUMBER(SEARCH(SUBSTITUTE(AN$1,RIGHT(AN$1,2),""),VLOOKUP($D86,素材!$1:$1016,COLUMN($F$1),FALSE))),VLOOKUP($C86,装備品!$1:$998,COLUMN($O$1),FALSE)*VLOOKUP($D86,素材!$1:$1016,COLUMN($E$1),FALSE)/(LEN(VLOOKUP($D86,素材!$1:$1016,COLUMN($F$1),FALSE))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O86">
        <f>IF(ISNUMBER(SEARCH(SUBSTITUTE(AO$1,RIGHT(AO$1,2),""),VLOOKUP($D86,素材!$1:$1016,COLUMN($F$1),FALSE))),VLOOKUP($C86,装備品!$1:$998,COLUMN($O$1),FALSE)*VLOOKUP($D86,素材!$1:$1016,COLUMN($E$1),FALSE)/(LEN(VLOOKUP($D86,素材!$1:$1016,COLUMN($F$1),FALSE))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P86">
        <f>IF(ISNUMBER(SEARCH(SUBSTITUTE(AP$1,RIGHT(AP$1,2),""),VLOOKUP($D86,素材!$1:$1016,COLUMN($F$1),FALSE))),VLOOKUP($C86,装備品!$1:$998,COLUMN($O$1),FALSE)*VLOOKUP($D86,素材!$1:$1016,COLUMN($E$1),FALSE)/(LEN(VLOOKUP($D86,素材!$1:$1016,COLUMN($F$1),FALSE))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Q86">
        <f>IF(ISNUMBER(SEARCH(SUBSTITUTE(AQ$1,RIGHT(AQ$1,2),""),VLOOKUP($D86,素材!$1:$1016,COLUMN($F$1),FALSE))),VLOOKUP($C86,装備品!$1:$998,COLUMN($O$1),FALSE)*VLOOKUP($D86,素材!$1:$1016,COLUMN($E$1),FALSE)/(LEN(VLOOKUP($D86,素材!$1:$1016,COLUMN($F$1),FALSE))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R86">
        <f>IF(ISNUMBER(SEARCH(SUBSTITUTE(AR$1,RIGHT(AR$1,2),""),VLOOKUP($D86,素材!$1:$1016,COLUMN($F$1),FALSE))),VLOOKUP($C86,装備品!$1:$998,COLUMN($O$1),FALSE)*VLOOKUP($D86,素材!$1:$1016,COLUMN($E$1),FALSE)/(LEN(VLOOKUP($D86,素材!$1:$1016,COLUMN($F$1),FALSE))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S86">
        <f>IF(ISNUMBER(SEARCH(SUBSTITUTE(AS$1,RIGHT(AS$1,2),""),VLOOKUP($D86,素材!$1:$1016,COLUMN($F$1),FALSE))),VLOOKUP($C86,装備品!$1:$998,COLUMN($O$1),FALSE)*VLOOKUP($D86,素材!$1:$1016,COLUMN($E$1),FALSE)/(LEN(VLOOKUP($D86,素材!$1:$1016,COLUMN($F$1),FALSE))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T86">
        <f>IF(ISNUMBER(SEARCH(SUBSTITUTE(AT$1,RIGHT(AT$1,2),""),VLOOKUP($D86,素材!$1:$1016,COLUMN($F$1),FALSE))),VLOOKUP($C86,装備品!$1:$998,COLUMN($O$1),FALSE)*VLOOKUP($D86,素材!$1:$1016,COLUMN($E$1),FALSE)/(LEN(VLOOKUP($D86,素材!$1:$1016,COLUMN($F$1),FALSE))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U86">
        <f>IF(ISNUMBER(SEARCH(SUBSTITUTE(AU$1,RIGHT(AU$1,2),""),VLOOKUP($D86,素材!$1:$1016,COLUMN($F$1),FALSE))),VLOOKUP($C86,装備品!$1:$998,COLUMN($O$1),FALSE)*VLOOKUP($D86,素材!$1:$1016,COLUMN($E$1),FALSE)/(LEN(VLOOKUP($D86,素材!$1:$1016,COLUMN($F$1),FALSE))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V86">
        <f>IF(ISNUMBER(SEARCH(SUBSTITUTE(AV$1,RIGHT(AV$1,2),""),VLOOKUP($D86,素材!$1:$1016,COLUMN($F$1),FALSE))),VLOOKUP($C86,装備品!$1:$998,COLUMN($O$1),FALSE)*VLOOKUP($D86,素材!$1:$1016,COLUMN($E$1),FALSE)/(LEN(VLOOKUP($D86,素材!$1:$1016,COLUMN($F$1),FALSE))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W86">
        <f>IF(ISNUMBER(SEARCH(SUBSTITUTE(AW$1,RIGHT(AW$1,2),""),VLOOKUP($D86,素材!$1:$1016,COLUMN($F$1),FALSE))),VLOOKUP($C86,装備品!$1:$998,COLUMN($O$1),FALSE)*VLOOKUP($D86,素材!$1:$1016,COLUMN($E$1),FALSE)/(LEN(VLOOKUP($D86,素材!$1:$1016,COLUMN($F$1),FALSE))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X86">
        <f>IF(ISNUMBER(SEARCH(SUBSTITUTE(AX$1,RIGHT(AX$1,2),""),VLOOKUP($D86,素材!$1:$1016,COLUMN($F$1),FALSE))),VLOOKUP($C86,装備品!$1:$998,COLUMN($O$1),FALSE)*VLOOKUP($D86,素材!$1:$1016,COLUMN($E$1),FALSE)/(LEN(VLOOKUP($D86,素材!$1:$1016,COLUMN($F$1),FALSE))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Y86">
        <f>IF(ISNUMBER(SEARCH(SUBSTITUTE(AY$1,RIGHT(AY$1,2),""),VLOOKUP($D86,素材!$1:$1016,COLUMN($F$1),FALSE))),VLOOKUP($C86,装備品!$1:$998,COLUMN($O$1),FALSE)*VLOOKUP($D86,素材!$1:$1016,COLUMN($E$1),FALSE)/(LEN(VLOOKUP($D86,素材!$1:$1016,COLUMN($F$1),FALSE))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Z86">
        <f>IF(ISNUMBER(SEARCH(SUBSTITUTE(AZ$1,RIGHT(AZ$1,2),""),VLOOKUP($D86,素材!$1:$1016,COLUMN($F$1),FALSE))),VLOOKUP($C86,装備品!$1:$998,COLUMN($O$1),FALSE)*VLOOKUP($D86,素材!$1:$1016,COLUMN($E$1),FALSE)/(LEN(VLOOKUP($D86,素材!$1:$1016,COLUMN($F$1),FALSE))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BA86">
        <f>IF(ISNUMBER(SEARCH(SUBSTITUTE(BA$1,RIGHT(BA$1,2),""),VLOOKUP($D86,素材!$1:$1016,COLUMN($F$1),FALSE))),VLOOKUP($C86,装備品!$1:$998,COLUMN($O$1),FALSE)*VLOOKUP($D86,素材!$1:$1016,COLUMN($E$1),FALSE)/(LEN(VLOOKUP($D86,素材!$1:$1016,COLUMN($F$1),FALSE))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BB86">
        <f>IF(ISNUMBER(SEARCH(SUBSTITUTE(BB$1,RIGHT(BB$1,2),""),VLOOKUP($D86,素材!$1:$1016,COLUMN($F$1),FALSE))),VLOOKUP($C86,装備品!$1:$998,COLUMN($O$1),FALSE)*VLOOKUP($D86,素材!$1:$1016,COLUMN($E$1),FALSE)/(LEN(VLOOKUP($D86,素材!$1:$1016,COLUMN($F$1),FALSE))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BC86">
        <f>IF(ISNUMBER(SEARCH(SUBSTITUTE(BC$1,RIGHT(BC$1,2),""),VLOOKUP($D86,素材!$1:$1016,COLUMN($F$1),FALSE))),VLOOKUP($C86,装備品!$1:$998,COLUMN($O$1),FALSE)*VLOOKUP($D86,素材!$1:$1016,COLUMN($E$1),FALSE)/(LEN(VLOOKUP($D86,素材!$1:$1016,COLUMN($F$1),FALSE))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BD86">
        <f>IF(ISNUMBER(SEARCH(SUBSTITUTE(BD$1,RIGHT(BD$1,2),""),VLOOKUP($D86,素材!$1:$1016,COLUMN($F$1),FALSE))),VLOOKUP($C86,装備品!$1:$998,COLUMN($O$1),FALSE)*VLOOKUP($D86,素材!$1:$1016,COLUMN($E$1),FALSE)/(LEN(VLOOKUP($D86,素材!$1:$1016,COLUMN($F$1),FALSE))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BE86">
        <f>IF(ISNUMBER(SEARCH(SUBSTITUTE(BE$1,RIGHT(BE$1,2),""),VLOOKUP($D86,素材!$1:$1016,COLUMN($F$1),FALSE))),VLOOKUP($C86,装備品!$1:$998,COLUMN($O$1),FALSE)*VLOOKUP($D86,素材!$1:$1016,COLUMN($E$1),FALSE)/(LEN(VLOOKUP($D86,素材!$1:$1016,COLUMN($F$1),FALSE))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CL86">
        <f t="shared" si="7"/>
        <v>32</v>
      </c>
      <c r="CM86" s="22" t="str">
        <f t="shared" si="8"/>
        <v>貫通.webp</v>
      </c>
      <c r="CN86">
        <f>IFERROR(VLOOKUP($C86,装備品!$1:$998,COLUMN(V$1),FALSE)*VLOOKUP($D86,素材!$1:$1016,COLUMN(N$1),FALSE)+IF(CI86="",0,VLOOKUP($CI86,付与!$1:$1176,COLUMN($CK$1),FALSE)),"")</f>
        <v>0</v>
      </c>
      <c r="CO86" t="str">
        <f>VLOOKUP(D86,素材!$A:$O,COLUMN(素材!O$1),FALSE)</f>
        <v>鍛えられた鉄。硬度が高く安価なためよく使用される。</v>
      </c>
      <c r="CP86" t="str">
        <f>VLOOKUP(C86,装備品!$A:$AB,COLUMN(装備品!AB$1),FALSE)</f>
        <v>短槍。短く扱いやすい槍で、投擲にも対応。</v>
      </c>
      <c r="CR86" t="str">
        <f t="shared" si="9"/>
        <v>e_86</v>
      </c>
      <c r="CS86">
        <f t="shared" si="10"/>
        <v>0</v>
      </c>
    </row>
    <row r="87" spans="1:97" outlineLevel="1" x14ac:dyDescent="0.4">
      <c r="A87" t="str">
        <f t="shared" si="6"/>
        <v>鋼の槍</v>
      </c>
      <c r="B87" t="str">
        <f>IFERROR(VLOOKUP($D87,素材!$1:$1016,COLUMN($B$1),FALSE)&amp;"・"&amp;VLOOKUP($C87,装備品!$1:$998,COLUMN(B$1),FALSE),"")</f>
        <v>スチール・スピア</v>
      </c>
      <c r="C87" s="24" t="s">
        <v>232</v>
      </c>
      <c r="D87" s="24" t="s">
        <v>252</v>
      </c>
      <c r="E87" t="str">
        <f>IFERROR(VLOOKUP(C87,装備品!$1:$998,COLUMN(C$1),FALSE),"")</f>
        <v>武器</v>
      </c>
      <c r="F87">
        <f>IFERROR(ROUNDDOWN((VLOOKUP($C87,装備品!$1:$998,COLUMN(D$1),FALSE)+IFERROR(VLOOKUP($CI87,付与!$1:$1167,COLUMN(F$1),FALSE),0))*VLOOKUP($D87,素材!$1:$1016,COLUMN(D$1),FALSE),0),"")</f>
        <v>120</v>
      </c>
      <c r="G87">
        <f>IFERROR(ROUNDDOWN((VLOOKUP($C87,装備品!$1:$998,COLUMN(E$1),FALSE)+IFERROR(VLOOKUP($CI87,付与!$1:$1167,COLUMN(G$1),FALSE),0))*VLOOKUP($D87,素材!$1:$1016,COLUMN($E$1),FALSE),0),"")</f>
        <v>10</v>
      </c>
      <c r="H87">
        <f>IFERROR(ROUNDDOWN((VLOOKUP($C87,装備品!$1:$998,COLUMN(F$1),FALSE)+IFERROR(VLOOKUP($CI87,付与!$1:$1167,COLUMN(H$1),FALSE),0))*VLOOKUP($D87,素材!$1:$1016,COLUMN($E$1),FALSE),0),"")</f>
        <v>21</v>
      </c>
      <c r="I87">
        <f>IFERROR(ROUNDDOWN((VLOOKUP($C87,装備品!$1:$998,COLUMN(G$1),FALSE)+IFERROR(VLOOKUP($CI87,付与!$1:$1167,COLUMN(I$1),FALSE),0))*VLOOKUP($D87,素材!$1:$1016,COLUMN($E$1),FALSE),0),"")</f>
        <v>4</v>
      </c>
      <c r="J87">
        <f>IFERROR(ROUNDDOWN((VLOOKUP($C87,装備品!$1:$998,COLUMN(H$1),FALSE)+IFERROR(VLOOKUP($CI87,付与!$1:$1167,COLUMN(J$1),FALSE),0))*VLOOKUP($D87,素材!$1:$1016,COLUMN($E$1),FALSE),0),"")</f>
        <v>22</v>
      </c>
      <c r="K87">
        <f>IFERROR(ROUNDDOWN((VLOOKUP($C87,装備品!$1:$998,COLUMN(I$1),FALSE)+IFERROR(VLOOKUP($CI87,付与!$1:$1167,COLUMN(K$1),FALSE),0))*VLOOKUP($D87,素材!$1:$1016,COLUMN($E$1),FALSE),0),"")</f>
        <v>0</v>
      </c>
      <c r="L87">
        <f>IFERROR(VLOOKUP($D87,素材!$1:$1016,COLUMN($F$1),FALSE),"")</f>
        <v>0</v>
      </c>
      <c r="M87">
        <f>IFERROR(VLOOKUP($C87,装備品!$1:$998,COLUMN(AA$1),FALSE)*VLOOKUP($D87,素材!$1:$1016,COLUMN($G$1),FALSE),"")</f>
        <v>0</v>
      </c>
      <c r="N87">
        <f>IFERROR(VLOOKUP($C87,装備品!$1:$998,COLUMN(I$1),FALSE),"")</f>
        <v>0</v>
      </c>
      <c r="O87" s="23">
        <f>IFERROR((VLOOKUP($C87,装備品!$1:$998,COLUMN(K$1),FALSE)+VLOOKUP($D87,素材!$1:$1016,COLUMN(H$1),FALSE))*100+IFERROR(VLOOKUP($CI87,付与!$1:$1167,COLUMN(O$1),FALSE),0),"")</f>
        <v>10</v>
      </c>
      <c r="P87" s="23">
        <f>IFERROR((VLOOKUP($C87,装備品!$1:$998,COLUMN(L$1),FALSE)+VLOOKUP($D87,素材!$1:$1016,COLUMN(I$1),FALSE))*100+IFERROR(VLOOKUP($CI87,付与!$1:$1167,COLUMN(P$1),FALSE),0),"")</f>
        <v>150</v>
      </c>
      <c r="Q87">
        <f>IFERROR(ROUNDUP(VLOOKUP($C87,装備品!$1:$998,COLUMN(M$1),FALSE)*(VLOOKUP($D87,素材!$1:$1002,COLUMN(D$1),FALSE)/100),1),"")</f>
        <v>0</v>
      </c>
      <c r="R87">
        <f>IFERROR(ROUNDUP(VLOOKUP($C87,装備品!$1:$998,COLUMN(N$1),FALSE)*(VLOOKUP($D87,素材!$1:$1002,COLUMN(D$1),FALSE)/100),1),"")</f>
        <v>-5.3</v>
      </c>
      <c r="S87">
        <f>IFERROR(VLOOKUP($C87,装備品!$1:$998,COLUMN(P$1),FALSE),"")</f>
        <v>0</v>
      </c>
      <c r="T87">
        <f>IFERROR(VLOOKUP($C87,装備品!$1:$998,COLUMN(Q$1),FALSE),"")</f>
        <v>0</v>
      </c>
      <c r="U87">
        <f>IFERROR(VLOOKUP($C87,装備品!$1:$998,COLUMN(R$1),FALSE),"")</f>
        <v>0</v>
      </c>
      <c r="V87">
        <f>IFERROR(VLOOKUP($C87,装備品!$1:$998,COLUMN(Q$1),FALSE),"")</f>
        <v>0</v>
      </c>
      <c r="W87">
        <f>IFERROR(VLOOKUP($C87,装備品!$1:$998,COLUMN(T$1),FALSE),"")</f>
        <v>0</v>
      </c>
      <c r="Y87">
        <f>IFERROR(VLOOKUP($C87,装備品!$1:$998,COLUMN(U$1),FALSE),"")</f>
        <v>0</v>
      </c>
      <c r="Z87">
        <f>IFERROR(ROUNDUP(VLOOKUP($C87,装備品!$1:$998,COLUMN(O$1),FALSE)*VLOOKUP($D87,素材!$1:$1016,COLUMN(E$1),FALSE),1),"")</f>
        <v>0</v>
      </c>
      <c r="AA87">
        <f>IF(ISNUMBER(SEARCH(SUBSTITUTE(AA$1,RIGHT(AA$1,2),""),VLOOKUP($D87,素材!$1:$1016,COLUMN($F$1),FALSE))),VLOOKUP($C87,装備品!$1:$998,COLUMN($O$1),FALSE)*VLOOKUP($D87,素材!$1:$1016,COLUMN($E$1),FALSE)/(LEN(VLOOKUP($D87,素材!$1:$1016,COLUMN($F$1),FALSE))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B87">
        <f>IF(ISNUMBER(SEARCH(SUBSTITUTE(AB$1,RIGHT(AB$1,2),""),VLOOKUP($D87,素材!$1:$1016,COLUMN($F$1),FALSE))),VLOOKUP($C87,装備品!$1:$998,COLUMN($O$1),FALSE)*VLOOKUP($D87,素材!$1:$1016,COLUMN($E$1),FALSE)/(LEN(VLOOKUP($D87,素材!$1:$1016,COLUMN($F$1),FALSE))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C87">
        <f>IF(ISNUMBER(SEARCH(SUBSTITUTE(AC$1,RIGHT(AC$1,2),""),VLOOKUP($D87,素材!$1:$1016,COLUMN($F$1),FALSE))),VLOOKUP($C87,装備品!$1:$998,COLUMN($O$1),FALSE)*VLOOKUP($D87,素材!$1:$1016,COLUMN($E$1),FALSE)/(LEN(VLOOKUP($D87,素材!$1:$1016,COLUMN($F$1),FALSE))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D87">
        <f>IF(ISNUMBER(SEARCH(SUBSTITUTE(AD$1,RIGHT(AD$1,2),""),VLOOKUP($D87,素材!$1:$1016,COLUMN($F$1),FALSE))),VLOOKUP($C87,装備品!$1:$998,COLUMN($O$1),FALSE)*VLOOKUP($D87,素材!$1:$1016,COLUMN($E$1),FALSE)/(LEN(VLOOKUP($D87,素材!$1:$1016,COLUMN($F$1),FALSE))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E87">
        <f>IF(ISNUMBER(SEARCH(SUBSTITUTE(AE$1,RIGHT(AE$1,2),""),VLOOKUP($D87,素材!$1:$1016,COLUMN($F$1),FALSE))),VLOOKUP($C87,装備品!$1:$998,COLUMN($O$1),FALSE)*VLOOKUP($D87,素材!$1:$1016,COLUMN($E$1),FALSE)/(LEN(VLOOKUP($D87,素材!$1:$1016,COLUMN($F$1),FALSE))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F87">
        <f>IF(ISNUMBER(SEARCH(SUBSTITUTE(AF$1,RIGHT(AF$1,2),""),VLOOKUP($D87,素材!$1:$1016,COLUMN($F$1),FALSE))),VLOOKUP($C87,装備品!$1:$998,COLUMN($O$1),FALSE)*VLOOKUP($D87,素材!$1:$1016,COLUMN($E$1),FALSE)/(LEN(VLOOKUP($D87,素材!$1:$1016,COLUMN($F$1),FALSE))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G87">
        <f>IF(ISNUMBER(SEARCH(SUBSTITUTE(AG$1,RIGHT(AG$1,2),""),VLOOKUP($D87,素材!$1:$1016,COLUMN($F$1),FALSE))),VLOOKUP($C87,装備品!$1:$998,COLUMN($O$1),FALSE)*VLOOKUP($D87,素材!$1:$1016,COLUMN($E$1),FALSE)/(LEN(VLOOKUP($D87,素材!$1:$1016,COLUMN($F$1),FALSE))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H87">
        <f>IF(ISNUMBER(SEARCH(SUBSTITUTE(AH$1,RIGHT(AH$1,2),""),VLOOKUP($D87,素材!$1:$1016,COLUMN($F$1),FALSE))),VLOOKUP($C87,装備品!$1:$998,COLUMN($O$1),FALSE)*VLOOKUP($D87,素材!$1:$1016,COLUMN($E$1),FALSE)/(LEN(VLOOKUP($D87,素材!$1:$1016,COLUMN($F$1),FALSE))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I87">
        <f>IF(ISNUMBER(SEARCH(SUBSTITUTE(AI$1,RIGHT(AI$1,2),""),VLOOKUP($D87,素材!$1:$1016,COLUMN($F$1),FALSE))),VLOOKUP($C87,装備品!$1:$998,COLUMN($O$1),FALSE)*VLOOKUP($D87,素材!$1:$1016,COLUMN($E$1),FALSE)/(LEN(VLOOKUP($D87,素材!$1:$1016,COLUMN($F$1),FALSE))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J87">
        <f>IF(ISNUMBER(SEARCH(SUBSTITUTE(AJ$1,RIGHT(AJ$1,2),""),VLOOKUP($D87,素材!$1:$1016,COLUMN($F$1),FALSE))),VLOOKUP($C87,装備品!$1:$998,COLUMN($O$1),FALSE)*VLOOKUP($D87,素材!$1:$1016,COLUMN($E$1),FALSE)/(LEN(VLOOKUP($D87,素材!$1:$1016,COLUMN($F$1),FALSE))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K87">
        <f>IF(ISNUMBER(SEARCH(SUBSTITUTE(AK$1,RIGHT(AK$1,2),""),VLOOKUP($D87,素材!$1:$1016,COLUMN($F$1),FALSE))),VLOOKUP($C87,装備品!$1:$998,COLUMN($O$1),FALSE)*VLOOKUP($D87,素材!$1:$1016,COLUMN($E$1),FALSE)/(LEN(VLOOKUP($D87,素材!$1:$1016,COLUMN($F$1),FALSE))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L87">
        <f>IF(ISNUMBER(SEARCH(SUBSTITUTE(AL$1,RIGHT(AL$1,2),""),VLOOKUP($D87,素材!$1:$1016,COLUMN($F$1),FALSE))),VLOOKUP($C87,装備品!$1:$998,COLUMN($O$1),FALSE)*VLOOKUP($D87,素材!$1:$1016,COLUMN($E$1),FALSE)/(LEN(VLOOKUP($D87,素材!$1:$1016,COLUMN($F$1),FALSE))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M87">
        <f>IF(ISNUMBER(SEARCH(SUBSTITUTE(AM$1,RIGHT(AM$1,2),""),VLOOKUP($D87,素材!$1:$1016,COLUMN($F$1),FALSE))),VLOOKUP($C87,装備品!$1:$998,COLUMN($O$1),FALSE)*VLOOKUP($D87,素材!$1:$1016,COLUMN($E$1),FALSE)/(LEN(VLOOKUP($D87,素材!$1:$1016,COLUMN($F$1),FALSE))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N87">
        <f>IF(ISNUMBER(SEARCH(SUBSTITUTE(AN$1,RIGHT(AN$1,2),""),VLOOKUP($D87,素材!$1:$1016,COLUMN($F$1),FALSE))),VLOOKUP($C87,装備品!$1:$998,COLUMN($O$1),FALSE)*VLOOKUP($D87,素材!$1:$1016,COLUMN($E$1),FALSE)/(LEN(VLOOKUP($D87,素材!$1:$1016,COLUMN($F$1),FALSE))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O87">
        <f>IF(ISNUMBER(SEARCH(SUBSTITUTE(AO$1,RIGHT(AO$1,2),""),VLOOKUP($D87,素材!$1:$1016,COLUMN($F$1),FALSE))),VLOOKUP($C87,装備品!$1:$998,COLUMN($O$1),FALSE)*VLOOKUP($D87,素材!$1:$1016,COLUMN($E$1),FALSE)/(LEN(VLOOKUP($D87,素材!$1:$1016,COLUMN($F$1),FALSE))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P87">
        <f>IF(ISNUMBER(SEARCH(SUBSTITUTE(AP$1,RIGHT(AP$1,2),""),VLOOKUP($D87,素材!$1:$1016,COLUMN($F$1),FALSE))),VLOOKUP($C87,装備品!$1:$998,COLUMN($O$1),FALSE)*VLOOKUP($D87,素材!$1:$1016,COLUMN($E$1),FALSE)/(LEN(VLOOKUP($D87,素材!$1:$1016,COLUMN($F$1),FALSE))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Q87">
        <f>IF(ISNUMBER(SEARCH(SUBSTITUTE(AQ$1,RIGHT(AQ$1,2),""),VLOOKUP($D87,素材!$1:$1016,COLUMN($F$1),FALSE))),VLOOKUP($C87,装備品!$1:$998,COLUMN($O$1),FALSE)*VLOOKUP($D87,素材!$1:$1016,COLUMN($E$1),FALSE)/(LEN(VLOOKUP($D87,素材!$1:$1016,COLUMN($F$1),FALSE))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R87">
        <f>IF(ISNUMBER(SEARCH(SUBSTITUTE(AR$1,RIGHT(AR$1,2),""),VLOOKUP($D87,素材!$1:$1016,COLUMN($F$1),FALSE))),VLOOKUP($C87,装備品!$1:$998,COLUMN($O$1),FALSE)*VLOOKUP($D87,素材!$1:$1016,COLUMN($E$1),FALSE)/(LEN(VLOOKUP($D87,素材!$1:$1016,COLUMN($F$1),FALSE))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S87">
        <f>IF(ISNUMBER(SEARCH(SUBSTITUTE(AS$1,RIGHT(AS$1,2),""),VLOOKUP($D87,素材!$1:$1016,COLUMN($F$1),FALSE))),VLOOKUP($C87,装備品!$1:$998,COLUMN($O$1),FALSE)*VLOOKUP($D87,素材!$1:$1016,COLUMN($E$1),FALSE)/(LEN(VLOOKUP($D87,素材!$1:$1016,COLUMN($F$1),FALSE))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T87">
        <f>IF(ISNUMBER(SEARCH(SUBSTITUTE(AT$1,RIGHT(AT$1,2),""),VLOOKUP($D87,素材!$1:$1016,COLUMN($F$1),FALSE))),VLOOKUP($C87,装備品!$1:$998,COLUMN($O$1),FALSE)*VLOOKUP($D87,素材!$1:$1016,COLUMN($E$1),FALSE)/(LEN(VLOOKUP($D87,素材!$1:$1016,COLUMN($F$1),FALSE))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U87">
        <f>IF(ISNUMBER(SEARCH(SUBSTITUTE(AU$1,RIGHT(AU$1,2),""),VLOOKUP($D87,素材!$1:$1016,COLUMN($F$1),FALSE))),VLOOKUP($C87,装備品!$1:$998,COLUMN($O$1),FALSE)*VLOOKUP($D87,素材!$1:$1016,COLUMN($E$1),FALSE)/(LEN(VLOOKUP($D87,素材!$1:$1016,COLUMN($F$1),FALSE))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V87">
        <f>IF(ISNUMBER(SEARCH(SUBSTITUTE(AV$1,RIGHT(AV$1,2),""),VLOOKUP($D87,素材!$1:$1016,COLUMN($F$1),FALSE))),VLOOKUP($C87,装備品!$1:$998,COLUMN($O$1),FALSE)*VLOOKUP($D87,素材!$1:$1016,COLUMN($E$1),FALSE)/(LEN(VLOOKUP($D87,素材!$1:$1016,COLUMN($F$1),FALSE))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W87">
        <f>IF(ISNUMBER(SEARCH(SUBSTITUTE(AW$1,RIGHT(AW$1,2),""),VLOOKUP($D87,素材!$1:$1016,COLUMN($F$1),FALSE))),VLOOKUP($C87,装備品!$1:$998,COLUMN($O$1),FALSE)*VLOOKUP($D87,素材!$1:$1016,COLUMN($E$1),FALSE)/(LEN(VLOOKUP($D87,素材!$1:$1016,COLUMN($F$1),FALSE))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X87">
        <f>IF(ISNUMBER(SEARCH(SUBSTITUTE(AX$1,RIGHT(AX$1,2),""),VLOOKUP($D87,素材!$1:$1016,COLUMN($F$1),FALSE))),VLOOKUP($C87,装備品!$1:$998,COLUMN($O$1),FALSE)*VLOOKUP($D87,素材!$1:$1016,COLUMN($E$1),FALSE)/(LEN(VLOOKUP($D87,素材!$1:$1016,COLUMN($F$1),FALSE))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Y87">
        <f>IF(ISNUMBER(SEARCH(SUBSTITUTE(AY$1,RIGHT(AY$1,2),""),VLOOKUP($D87,素材!$1:$1016,COLUMN($F$1),FALSE))),VLOOKUP($C87,装備品!$1:$998,COLUMN($O$1),FALSE)*VLOOKUP($D87,素材!$1:$1016,COLUMN($E$1),FALSE)/(LEN(VLOOKUP($D87,素材!$1:$1016,COLUMN($F$1),FALSE))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Z87">
        <f>IF(ISNUMBER(SEARCH(SUBSTITUTE(AZ$1,RIGHT(AZ$1,2),""),VLOOKUP($D87,素材!$1:$1016,COLUMN($F$1),FALSE))),VLOOKUP($C87,装備品!$1:$998,COLUMN($O$1),FALSE)*VLOOKUP($D87,素材!$1:$1016,COLUMN($E$1),FALSE)/(LEN(VLOOKUP($D87,素材!$1:$1016,COLUMN($F$1),FALSE))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BA87">
        <f>IF(ISNUMBER(SEARCH(SUBSTITUTE(BA$1,RIGHT(BA$1,2),""),VLOOKUP($D87,素材!$1:$1016,COLUMN($F$1),FALSE))),VLOOKUP($C87,装備品!$1:$998,COLUMN($O$1),FALSE)*VLOOKUP($D87,素材!$1:$1016,COLUMN($E$1),FALSE)/(LEN(VLOOKUP($D87,素材!$1:$1016,COLUMN($F$1),FALSE))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BB87">
        <f>IF(ISNUMBER(SEARCH(SUBSTITUTE(BB$1,RIGHT(BB$1,2),""),VLOOKUP($D87,素材!$1:$1016,COLUMN($F$1),FALSE))),VLOOKUP($C87,装備品!$1:$998,COLUMN($O$1),FALSE)*VLOOKUP($D87,素材!$1:$1016,COLUMN($E$1),FALSE)/(LEN(VLOOKUP($D87,素材!$1:$1016,COLUMN($F$1),FALSE))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BC87">
        <f>IF(ISNUMBER(SEARCH(SUBSTITUTE(BC$1,RIGHT(BC$1,2),""),VLOOKUP($D87,素材!$1:$1016,COLUMN($F$1),FALSE))),VLOOKUP($C87,装備品!$1:$998,COLUMN($O$1),FALSE)*VLOOKUP($D87,素材!$1:$1016,COLUMN($E$1),FALSE)/(LEN(VLOOKUP($D87,素材!$1:$1016,COLUMN($F$1),FALSE))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BD87">
        <f>IF(ISNUMBER(SEARCH(SUBSTITUTE(BD$1,RIGHT(BD$1,2),""),VLOOKUP($D87,素材!$1:$1016,COLUMN($F$1),FALSE))),VLOOKUP($C87,装備品!$1:$998,COLUMN($O$1),FALSE)*VLOOKUP($D87,素材!$1:$1016,COLUMN($E$1),FALSE)/(LEN(VLOOKUP($D87,素材!$1:$1016,COLUMN($F$1),FALSE))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BE87">
        <f>IF(ISNUMBER(SEARCH(SUBSTITUTE(BE$1,RIGHT(BE$1,2),""),VLOOKUP($D87,素材!$1:$1016,COLUMN($F$1),FALSE))),VLOOKUP($C87,装備品!$1:$998,COLUMN($O$1),FALSE)*VLOOKUP($D87,素材!$1:$1016,COLUMN($E$1),FALSE)/(LEN(VLOOKUP($D87,素材!$1:$1016,COLUMN($F$1),FALSE))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CL87">
        <f t="shared" si="7"/>
        <v>35</v>
      </c>
      <c r="CM87" s="22" t="str">
        <f t="shared" si="8"/>
        <v>貫通.webp</v>
      </c>
      <c r="CN87">
        <f>IFERROR(VLOOKUP($C87,装備品!$1:$998,COLUMN(V$1),FALSE)*VLOOKUP($D87,素材!$1:$1016,COLUMN(N$1),FALSE)+IF(CI87="",0,VLOOKUP($CI87,付与!$1:$1176,COLUMN($CK$1),FALSE)),"")</f>
        <v>0</v>
      </c>
      <c r="CO87" t="str">
        <f>VLOOKUP(D87,素材!$A:$O,COLUMN(素材!O$1),FALSE)</f>
        <v>鍛えられた鉄。硬度が高く安価なためよく使用される。</v>
      </c>
      <c r="CP87" t="str">
        <f>VLOOKUP(C87,装備品!$A:$AB,COLUMN(装備品!AB$1),FALSE)</f>
        <v>槍。リーチが長く、刺突に優れる武器。</v>
      </c>
      <c r="CR87" t="str">
        <f t="shared" si="9"/>
        <v>e_87</v>
      </c>
      <c r="CS87">
        <f t="shared" si="10"/>
        <v>0</v>
      </c>
    </row>
    <row r="88" spans="1:97" outlineLevel="1" x14ac:dyDescent="0.4">
      <c r="A88" t="str">
        <f t="shared" si="6"/>
        <v>鋼の騎士槍</v>
      </c>
      <c r="B88" t="str">
        <f>IFERROR(VLOOKUP($D88,素材!$1:$1016,COLUMN($B$1),FALSE)&amp;"・"&amp;VLOOKUP($C88,装備品!$1:$998,COLUMN(B$1),FALSE),"")</f>
        <v>スチール・ランス</v>
      </c>
      <c r="C88" s="24" t="s">
        <v>231</v>
      </c>
      <c r="D88" s="24" t="s">
        <v>252</v>
      </c>
      <c r="E88" t="str">
        <f>IFERROR(VLOOKUP(C88,装備品!$1:$998,COLUMN(C$1),FALSE),"")</f>
        <v>武器</v>
      </c>
      <c r="F88">
        <f>IFERROR(ROUNDDOWN((VLOOKUP($C88,装備品!$1:$998,COLUMN(D$1),FALSE)+IFERROR(VLOOKUP($CI88,付与!$1:$1167,COLUMN(F$1),FALSE),0))*VLOOKUP($D88,素材!$1:$1016,COLUMN(D$1),FALSE),0),"")</f>
        <v>120</v>
      </c>
      <c r="G88">
        <f>IFERROR(ROUNDDOWN((VLOOKUP($C88,装備品!$1:$998,COLUMN(E$1),FALSE)+IFERROR(VLOOKUP($CI88,付与!$1:$1167,COLUMN(G$1),FALSE),0))*VLOOKUP($D88,素材!$1:$1016,COLUMN($E$1),FALSE),0),"")</f>
        <v>0</v>
      </c>
      <c r="H88">
        <f>IFERROR(ROUNDDOWN((VLOOKUP($C88,装備品!$1:$998,COLUMN(F$1),FALSE)+IFERROR(VLOOKUP($CI88,付与!$1:$1167,COLUMN(H$1),FALSE),0))*VLOOKUP($D88,素材!$1:$1016,COLUMN($E$1),FALSE),0),"")</f>
        <v>25</v>
      </c>
      <c r="I88">
        <f>IFERROR(ROUNDDOWN((VLOOKUP($C88,装備品!$1:$998,COLUMN(G$1),FALSE)+IFERROR(VLOOKUP($CI88,付与!$1:$1167,COLUMN(I$1),FALSE),0))*VLOOKUP($D88,素材!$1:$1016,COLUMN($E$1),FALSE),0),"")</f>
        <v>12</v>
      </c>
      <c r="J88">
        <f>IFERROR(ROUNDDOWN((VLOOKUP($C88,装備品!$1:$998,COLUMN(H$1),FALSE)+IFERROR(VLOOKUP($CI88,付与!$1:$1167,COLUMN(J$1),FALSE),0))*VLOOKUP($D88,素材!$1:$1016,COLUMN($E$1),FALSE),0),"")</f>
        <v>27</v>
      </c>
      <c r="K88">
        <f>IFERROR(ROUNDDOWN((VLOOKUP($C88,装備品!$1:$998,COLUMN(I$1),FALSE)+IFERROR(VLOOKUP($CI88,付与!$1:$1167,COLUMN(K$1),FALSE),0))*VLOOKUP($D88,素材!$1:$1016,COLUMN($E$1),FALSE),0),"")</f>
        <v>0</v>
      </c>
      <c r="L88">
        <f>IFERROR(VLOOKUP($D88,素材!$1:$1016,COLUMN($F$1),FALSE),"")</f>
        <v>0</v>
      </c>
      <c r="M88">
        <f>IFERROR(VLOOKUP($C88,装備品!$1:$998,COLUMN(AA$1),FALSE)*VLOOKUP($D88,素材!$1:$1016,COLUMN($G$1),FALSE),"")</f>
        <v>0</v>
      </c>
      <c r="N88">
        <f>IFERROR(VLOOKUP($C88,装備品!$1:$998,COLUMN(I$1),FALSE),"")</f>
        <v>0</v>
      </c>
      <c r="O88" s="23">
        <f>IFERROR((VLOOKUP($C88,装備品!$1:$998,COLUMN(K$1),FALSE)+VLOOKUP($D88,素材!$1:$1016,COLUMN(H$1),FALSE))*100+IFERROR(VLOOKUP($CI88,付与!$1:$1167,COLUMN(O$1),FALSE),0),"")</f>
        <v>5</v>
      </c>
      <c r="P88" s="23">
        <f>IFERROR((VLOOKUP($C88,装備品!$1:$998,COLUMN(L$1),FALSE)+VLOOKUP($D88,素材!$1:$1016,COLUMN(I$1),FALSE))*100+IFERROR(VLOOKUP($CI88,付与!$1:$1167,COLUMN(P$1),FALSE),0),"")</f>
        <v>175</v>
      </c>
      <c r="Q88">
        <f>IFERROR(ROUNDUP(VLOOKUP($C88,装備品!$1:$998,COLUMN(M$1),FALSE)*(VLOOKUP($D88,素材!$1:$1002,COLUMN(D$1),FALSE)/100),1),"")</f>
        <v>-5.3</v>
      </c>
      <c r="R88">
        <f>IFERROR(ROUNDUP(VLOOKUP($C88,装備品!$1:$998,COLUMN(N$1),FALSE)*(VLOOKUP($D88,素材!$1:$1002,COLUMN(D$1),FALSE)/100),1),"")</f>
        <v>-5.3</v>
      </c>
      <c r="S88">
        <f>IFERROR(VLOOKUP($C88,装備品!$1:$998,COLUMN(P$1),FALSE),"")</f>
        <v>0</v>
      </c>
      <c r="T88">
        <f>IFERROR(VLOOKUP($C88,装備品!$1:$998,COLUMN(Q$1),FALSE),"")</f>
        <v>0</v>
      </c>
      <c r="U88">
        <f>IFERROR(VLOOKUP($C88,装備品!$1:$998,COLUMN(R$1),FALSE),"")</f>
        <v>-15</v>
      </c>
      <c r="V88">
        <f>IFERROR(VLOOKUP($C88,装備品!$1:$998,COLUMN(Q$1),FALSE),"")</f>
        <v>0</v>
      </c>
      <c r="W88">
        <f>IFERROR(VLOOKUP($C88,装備品!$1:$998,COLUMN(T$1),FALSE),"")</f>
        <v>0</v>
      </c>
      <c r="Y88">
        <f>IFERROR(VLOOKUP($C88,装備品!$1:$998,COLUMN(U$1),FALSE),"")</f>
        <v>0</v>
      </c>
      <c r="Z88">
        <f>IFERROR(ROUNDUP(VLOOKUP($C88,装備品!$1:$998,COLUMN(O$1),FALSE)*VLOOKUP($D88,素材!$1:$1016,COLUMN(E$1),FALSE),1),"")</f>
        <v>0</v>
      </c>
      <c r="AA88">
        <f>IF(ISNUMBER(SEARCH(SUBSTITUTE(AA$1,RIGHT(AA$1,2),""),VLOOKUP($D88,素材!$1:$1016,COLUMN($F$1),FALSE))),VLOOKUP($C88,装備品!$1:$998,COLUMN($O$1),FALSE)*VLOOKUP($D88,素材!$1:$1016,COLUMN($E$1),FALSE)/(LEN(VLOOKUP($D88,素材!$1:$1016,COLUMN($F$1),FALSE))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B88">
        <f>IF(ISNUMBER(SEARCH(SUBSTITUTE(AB$1,RIGHT(AB$1,2),""),VLOOKUP($D88,素材!$1:$1016,COLUMN($F$1),FALSE))),VLOOKUP($C88,装備品!$1:$998,COLUMN($O$1),FALSE)*VLOOKUP($D88,素材!$1:$1016,COLUMN($E$1),FALSE)/(LEN(VLOOKUP($D88,素材!$1:$1016,COLUMN($F$1),FALSE))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C88">
        <f>IF(ISNUMBER(SEARCH(SUBSTITUTE(AC$1,RIGHT(AC$1,2),""),VLOOKUP($D88,素材!$1:$1016,COLUMN($F$1),FALSE))),VLOOKUP($C88,装備品!$1:$998,COLUMN($O$1),FALSE)*VLOOKUP($D88,素材!$1:$1016,COLUMN($E$1),FALSE)/(LEN(VLOOKUP($D88,素材!$1:$1016,COLUMN($F$1),FALSE))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D88">
        <f>IF(ISNUMBER(SEARCH(SUBSTITUTE(AD$1,RIGHT(AD$1,2),""),VLOOKUP($D88,素材!$1:$1016,COLUMN($F$1),FALSE))),VLOOKUP($C88,装備品!$1:$998,COLUMN($O$1),FALSE)*VLOOKUP($D88,素材!$1:$1016,COLUMN($E$1),FALSE)/(LEN(VLOOKUP($D88,素材!$1:$1016,COLUMN($F$1),FALSE))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E88">
        <f>IF(ISNUMBER(SEARCH(SUBSTITUTE(AE$1,RIGHT(AE$1,2),""),VLOOKUP($D88,素材!$1:$1016,COLUMN($F$1),FALSE))),VLOOKUP($C88,装備品!$1:$998,COLUMN($O$1),FALSE)*VLOOKUP($D88,素材!$1:$1016,COLUMN($E$1),FALSE)/(LEN(VLOOKUP($D88,素材!$1:$1016,COLUMN($F$1),FALSE))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F88">
        <f>IF(ISNUMBER(SEARCH(SUBSTITUTE(AF$1,RIGHT(AF$1,2),""),VLOOKUP($D88,素材!$1:$1016,COLUMN($F$1),FALSE))),VLOOKUP($C88,装備品!$1:$998,COLUMN($O$1),FALSE)*VLOOKUP($D88,素材!$1:$1016,COLUMN($E$1),FALSE)/(LEN(VLOOKUP($D88,素材!$1:$1016,COLUMN($F$1),FALSE))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G88">
        <f>IF(ISNUMBER(SEARCH(SUBSTITUTE(AG$1,RIGHT(AG$1,2),""),VLOOKUP($D88,素材!$1:$1016,COLUMN($F$1),FALSE))),VLOOKUP($C88,装備品!$1:$998,COLUMN($O$1),FALSE)*VLOOKUP($D88,素材!$1:$1016,COLUMN($E$1),FALSE)/(LEN(VLOOKUP($D88,素材!$1:$1016,COLUMN($F$1),FALSE))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H88">
        <f>IF(ISNUMBER(SEARCH(SUBSTITUTE(AH$1,RIGHT(AH$1,2),""),VLOOKUP($D88,素材!$1:$1016,COLUMN($F$1),FALSE))),VLOOKUP($C88,装備品!$1:$998,COLUMN($O$1),FALSE)*VLOOKUP($D88,素材!$1:$1016,COLUMN($E$1),FALSE)/(LEN(VLOOKUP($D88,素材!$1:$1016,COLUMN($F$1),FALSE))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I88">
        <f>IF(ISNUMBER(SEARCH(SUBSTITUTE(AI$1,RIGHT(AI$1,2),""),VLOOKUP($D88,素材!$1:$1016,COLUMN($F$1),FALSE))),VLOOKUP($C88,装備品!$1:$998,COLUMN($O$1),FALSE)*VLOOKUP($D88,素材!$1:$1016,COLUMN($E$1),FALSE)/(LEN(VLOOKUP($D88,素材!$1:$1016,COLUMN($F$1),FALSE))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J88">
        <f>IF(ISNUMBER(SEARCH(SUBSTITUTE(AJ$1,RIGHT(AJ$1,2),""),VLOOKUP($D88,素材!$1:$1016,COLUMN($F$1),FALSE))),VLOOKUP($C88,装備品!$1:$998,COLUMN($O$1),FALSE)*VLOOKUP($D88,素材!$1:$1016,COLUMN($E$1),FALSE)/(LEN(VLOOKUP($D88,素材!$1:$1016,COLUMN($F$1),FALSE))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K88">
        <f>IF(ISNUMBER(SEARCH(SUBSTITUTE(AK$1,RIGHT(AK$1,2),""),VLOOKUP($D88,素材!$1:$1016,COLUMN($F$1),FALSE))),VLOOKUP($C88,装備品!$1:$998,COLUMN($O$1),FALSE)*VLOOKUP($D88,素材!$1:$1016,COLUMN($E$1),FALSE)/(LEN(VLOOKUP($D88,素材!$1:$1016,COLUMN($F$1),FALSE))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L88">
        <f>IF(ISNUMBER(SEARCH(SUBSTITUTE(AL$1,RIGHT(AL$1,2),""),VLOOKUP($D88,素材!$1:$1016,COLUMN($F$1),FALSE))),VLOOKUP($C88,装備品!$1:$998,COLUMN($O$1),FALSE)*VLOOKUP($D88,素材!$1:$1016,COLUMN($E$1),FALSE)/(LEN(VLOOKUP($D88,素材!$1:$1016,COLUMN($F$1),FALSE))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M88">
        <f>IF(ISNUMBER(SEARCH(SUBSTITUTE(AM$1,RIGHT(AM$1,2),""),VLOOKUP($D88,素材!$1:$1016,COLUMN($F$1),FALSE))),VLOOKUP($C88,装備品!$1:$998,COLUMN($O$1),FALSE)*VLOOKUP($D88,素材!$1:$1016,COLUMN($E$1),FALSE)/(LEN(VLOOKUP($D88,素材!$1:$1016,COLUMN($F$1),FALSE))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N88">
        <f>IF(ISNUMBER(SEARCH(SUBSTITUTE(AN$1,RIGHT(AN$1,2),""),VLOOKUP($D88,素材!$1:$1016,COLUMN($F$1),FALSE))),VLOOKUP($C88,装備品!$1:$998,COLUMN($O$1),FALSE)*VLOOKUP($D88,素材!$1:$1016,COLUMN($E$1),FALSE)/(LEN(VLOOKUP($D88,素材!$1:$1016,COLUMN($F$1),FALSE))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O88">
        <f>IF(ISNUMBER(SEARCH(SUBSTITUTE(AO$1,RIGHT(AO$1,2),""),VLOOKUP($D88,素材!$1:$1016,COLUMN($F$1),FALSE))),VLOOKUP($C88,装備品!$1:$998,COLUMN($O$1),FALSE)*VLOOKUP($D88,素材!$1:$1016,COLUMN($E$1),FALSE)/(LEN(VLOOKUP($D88,素材!$1:$1016,COLUMN($F$1),FALSE))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P88">
        <f>IF(ISNUMBER(SEARCH(SUBSTITUTE(AP$1,RIGHT(AP$1,2),""),VLOOKUP($D88,素材!$1:$1016,COLUMN($F$1),FALSE))),VLOOKUP($C88,装備品!$1:$998,COLUMN($O$1),FALSE)*VLOOKUP($D88,素材!$1:$1016,COLUMN($E$1),FALSE)/(LEN(VLOOKUP($D88,素材!$1:$1016,COLUMN($F$1),FALSE))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Q88">
        <f>IF(ISNUMBER(SEARCH(SUBSTITUTE(AQ$1,RIGHT(AQ$1,2),""),VLOOKUP($D88,素材!$1:$1016,COLUMN($F$1),FALSE))),VLOOKUP($C88,装備品!$1:$998,COLUMN($O$1),FALSE)*VLOOKUP($D88,素材!$1:$1016,COLUMN($E$1),FALSE)/(LEN(VLOOKUP($D88,素材!$1:$1016,COLUMN($F$1),FALSE))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R88">
        <f>IF(ISNUMBER(SEARCH(SUBSTITUTE(AR$1,RIGHT(AR$1,2),""),VLOOKUP($D88,素材!$1:$1016,COLUMN($F$1),FALSE))),VLOOKUP($C88,装備品!$1:$998,COLUMN($O$1),FALSE)*VLOOKUP($D88,素材!$1:$1016,COLUMN($E$1),FALSE)/(LEN(VLOOKUP($D88,素材!$1:$1016,COLUMN($F$1),FALSE))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S88">
        <f>IF(ISNUMBER(SEARCH(SUBSTITUTE(AS$1,RIGHT(AS$1,2),""),VLOOKUP($D88,素材!$1:$1016,COLUMN($F$1),FALSE))),VLOOKUP($C88,装備品!$1:$998,COLUMN($O$1),FALSE)*VLOOKUP($D88,素材!$1:$1016,COLUMN($E$1),FALSE)/(LEN(VLOOKUP($D88,素材!$1:$1016,COLUMN($F$1),FALSE))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T88">
        <f>IF(ISNUMBER(SEARCH(SUBSTITUTE(AT$1,RIGHT(AT$1,2),""),VLOOKUP($D88,素材!$1:$1016,COLUMN($F$1),FALSE))),VLOOKUP($C88,装備品!$1:$998,COLUMN($O$1),FALSE)*VLOOKUP($D88,素材!$1:$1016,COLUMN($E$1),FALSE)/(LEN(VLOOKUP($D88,素材!$1:$1016,COLUMN($F$1),FALSE))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U88">
        <f>IF(ISNUMBER(SEARCH(SUBSTITUTE(AU$1,RIGHT(AU$1,2),""),VLOOKUP($D88,素材!$1:$1016,COLUMN($F$1),FALSE))),VLOOKUP($C88,装備品!$1:$998,COLUMN($O$1),FALSE)*VLOOKUP($D88,素材!$1:$1016,COLUMN($E$1),FALSE)/(LEN(VLOOKUP($D88,素材!$1:$1016,COLUMN($F$1),FALSE))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V88">
        <f>IF(ISNUMBER(SEARCH(SUBSTITUTE(AV$1,RIGHT(AV$1,2),""),VLOOKUP($D88,素材!$1:$1016,COLUMN($F$1),FALSE))),VLOOKUP($C88,装備品!$1:$998,COLUMN($O$1),FALSE)*VLOOKUP($D88,素材!$1:$1016,COLUMN($E$1),FALSE)/(LEN(VLOOKUP($D88,素材!$1:$1016,COLUMN($F$1),FALSE))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W88">
        <f>IF(ISNUMBER(SEARCH(SUBSTITUTE(AW$1,RIGHT(AW$1,2),""),VLOOKUP($D88,素材!$1:$1016,COLUMN($F$1),FALSE))),VLOOKUP($C88,装備品!$1:$998,COLUMN($O$1),FALSE)*VLOOKUP($D88,素材!$1:$1016,COLUMN($E$1),FALSE)/(LEN(VLOOKUP($D88,素材!$1:$1016,COLUMN($F$1),FALSE))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X88">
        <f>IF(ISNUMBER(SEARCH(SUBSTITUTE(AX$1,RIGHT(AX$1,2),""),VLOOKUP($D88,素材!$1:$1016,COLUMN($F$1),FALSE))),VLOOKUP($C88,装備品!$1:$998,COLUMN($O$1),FALSE)*VLOOKUP($D88,素材!$1:$1016,COLUMN($E$1),FALSE)/(LEN(VLOOKUP($D88,素材!$1:$1016,COLUMN($F$1),FALSE))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Y88">
        <f>IF(ISNUMBER(SEARCH(SUBSTITUTE(AY$1,RIGHT(AY$1,2),""),VLOOKUP($D88,素材!$1:$1016,COLUMN($F$1),FALSE))),VLOOKUP($C88,装備品!$1:$998,COLUMN($O$1),FALSE)*VLOOKUP($D88,素材!$1:$1016,COLUMN($E$1),FALSE)/(LEN(VLOOKUP($D88,素材!$1:$1016,COLUMN($F$1),FALSE))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Z88">
        <f>IF(ISNUMBER(SEARCH(SUBSTITUTE(AZ$1,RIGHT(AZ$1,2),""),VLOOKUP($D88,素材!$1:$1016,COLUMN($F$1),FALSE))),VLOOKUP($C88,装備品!$1:$998,COLUMN($O$1),FALSE)*VLOOKUP($D88,素材!$1:$1016,COLUMN($E$1),FALSE)/(LEN(VLOOKUP($D88,素材!$1:$1016,COLUMN($F$1),FALSE))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BA88">
        <f>IF(ISNUMBER(SEARCH(SUBSTITUTE(BA$1,RIGHT(BA$1,2),""),VLOOKUP($D88,素材!$1:$1016,COLUMN($F$1),FALSE))),VLOOKUP($C88,装備品!$1:$998,COLUMN($O$1),FALSE)*VLOOKUP($D88,素材!$1:$1016,COLUMN($E$1),FALSE)/(LEN(VLOOKUP($D88,素材!$1:$1016,COLUMN($F$1),FALSE))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BB88">
        <f>IF(ISNUMBER(SEARCH(SUBSTITUTE(BB$1,RIGHT(BB$1,2),""),VLOOKUP($D88,素材!$1:$1016,COLUMN($F$1),FALSE))),VLOOKUP($C88,装備品!$1:$998,COLUMN($O$1),FALSE)*VLOOKUP($D88,素材!$1:$1016,COLUMN($E$1),FALSE)/(LEN(VLOOKUP($D88,素材!$1:$1016,COLUMN($F$1),FALSE))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BC88">
        <f>IF(ISNUMBER(SEARCH(SUBSTITUTE(BC$1,RIGHT(BC$1,2),""),VLOOKUP($D88,素材!$1:$1016,COLUMN($F$1),FALSE))),VLOOKUP($C88,装備品!$1:$998,COLUMN($O$1),FALSE)*VLOOKUP($D88,素材!$1:$1016,COLUMN($E$1),FALSE)/(LEN(VLOOKUP($D88,素材!$1:$1016,COLUMN($F$1),FALSE))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BD88">
        <f>IF(ISNUMBER(SEARCH(SUBSTITUTE(BD$1,RIGHT(BD$1,2),""),VLOOKUP($D88,素材!$1:$1016,COLUMN($F$1),FALSE))),VLOOKUP($C88,装備品!$1:$998,COLUMN($O$1),FALSE)*VLOOKUP($D88,素材!$1:$1016,COLUMN($E$1),FALSE)/(LEN(VLOOKUP($D88,素材!$1:$1016,COLUMN($F$1),FALSE))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BE88">
        <f>IF(ISNUMBER(SEARCH(SUBSTITUTE(BE$1,RIGHT(BE$1,2),""),VLOOKUP($D88,素材!$1:$1016,COLUMN($F$1),FALSE))),VLOOKUP($C88,装備品!$1:$998,COLUMN($O$1),FALSE)*VLOOKUP($D88,素材!$1:$1016,COLUMN($E$1),FALSE)/(LEN(VLOOKUP($D88,素材!$1:$1016,COLUMN($F$1),FALSE))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CL88">
        <f t="shared" si="7"/>
        <v>37</v>
      </c>
      <c r="CM88" s="22" t="str">
        <f t="shared" si="8"/>
        <v>貫通.webp</v>
      </c>
      <c r="CN88">
        <f>IFERROR(VLOOKUP($C88,装備品!$1:$998,COLUMN(V$1),FALSE)*VLOOKUP($D88,素材!$1:$1016,COLUMN(N$1),FALSE)+IF(CI88="",0,VLOOKUP($CI88,付与!$1:$1176,COLUMN($CK$1),FALSE)),"")</f>
        <v>0</v>
      </c>
      <c r="CO88" t="str">
        <f>VLOOKUP(D88,素材!$A:$O,COLUMN(素材!O$1),FALSE)</f>
        <v>鍛えられた鉄。硬度が高く安価なためよく使用される。</v>
      </c>
      <c r="CP88" t="str">
        <f>VLOOKUP(C88,装備品!$A:$AB,COLUMN(装備品!AB$1),FALSE)</f>
        <v>騎士槍。突撃に特化した武器で、高い攻撃力を誇る。</v>
      </c>
      <c r="CR88" t="str">
        <f t="shared" si="9"/>
        <v>e_88</v>
      </c>
      <c r="CS88">
        <f t="shared" si="10"/>
        <v>0</v>
      </c>
    </row>
    <row r="89" spans="1:97" outlineLevel="1" x14ac:dyDescent="0.4">
      <c r="A89" t="str">
        <f t="shared" si="6"/>
        <v>鋼の斧槍</v>
      </c>
      <c r="B89" t="str">
        <f>IFERROR(VLOOKUP($D89,素材!$1:$1016,COLUMN($B$1),FALSE)&amp;"・"&amp;VLOOKUP($C89,装備品!$1:$998,COLUMN(B$1),FALSE),"")</f>
        <v>スチール・ハルバート</v>
      </c>
      <c r="C89" s="24" t="s">
        <v>230</v>
      </c>
      <c r="D89" s="24" t="s">
        <v>252</v>
      </c>
      <c r="E89" t="str">
        <f>IFERROR(VLOOKUP(C89,装備品!$1:$998,COLUMN(C$1),FALSE),"")</f>
        <v>武器</v>
      </c>
      <c r="F89">
        <f>IFERROR(ROUNDDOWN((VLOOKUP($C89,装備品!$1:$998,COLUMN(D$1),FALSE)+IFERROR(VLOOKUP($CI89,付与!$1:$1167,COLUMN(F$1),FALSE),0))*VLOOKUP($D89,素材!$1:$1016,COLUMN(D$1),FALSE),0),"")</f>
        <v>115</v>
      </c>
      <c r="G89">
        <f>IFERROR(ROUNDDOWN((VLOOKUP($C89,装備品!$1:$998,COLUMN(E$1),FALSE)+IFERROR(VLOOKUP($CI89,付与!$1:$1167,COLUMN(G$1),FALSE),0))*VLOOKUP($D89,素材!$1:$1016,COLUMN($E$1),FALSE),0),"")</f>
        <v>10</v>
      </c>
      <c r="H89">
        <f>IFERROR(ROUNDDOWN((VLOOKUP($C89,装備品!$1:$998,COLUMN(F$1),FALSE)+IFERROR(VLOOKUP($CI89,付与!$1:$1167,COLUMN(H$1),FALSE),0))*VLOOKUP($D89,素材!$1:$1016,COLUMN($E$1),FALSE),0),"")</f>
        <v>13</v>
      </c>
      <c r="I89">
        <f>IFERROR(ROUNDDOWN((VLOOKUP($C89,装備品!$1:$998,COLUMN(G$1),FALSE)+IFERROR(VLOOKUP($CI89,付与!$1:$1167,COLUMN(I$1),FALSE),0))*VLOOKUP($D89,素材!$1:$1016,COLUMN($E$1),FALSE),0),"")</f>
        <v>8</v>
      </c>
      <c r="J89">
        <f>IFERROR(ROUNDDOWN((VLOOKUP($C89,装備品!$1:$998,COLUMN(H$1),FALSE)+IFERROR(VLOOKUP($CI89,付与!$1:$1167,COLUMN(J$1),FALSE),0))*VLOOKUP($D89,素材!$1:$1016,COLUMN($E$1),FALSE),0),"")</f>
        <v>25</v>
      </c>
      <c r="K89">
        <f>IFERROR(ROUNDDOWN((VLOOKUP($C89,装備品!$1:$998,COLUMN(I$1),FALSE)+IFERROR(VLOOKUP($CI89,付与!$1:$1167,COLUMN(K$1),FALSE),0))*VLOOKUP($D89,素材!$1:$1016,COLUMN($E$1),FALSE),0),"")</f>
        <v>0</v>
      </c>
      <c r="L89">
        <f>IFERROR(VLOOKUP($D89,素材!$1:$1016,COLUMN($F$1),FALSE),"")</f>
        <v>0</v>
      </c>
      <c r="M89">
        <f>IFERROR(VLOOKUP($C89,装備品!$1:$998,COLUMN(AA$1),FALSE)*VLOOKUP($D89,素材!$1:$1016,COLUMN($G$1),FALSE),"")</f>
        <v>0</v>
      </c>
      <c r="N89">
        <f>IFERROR(VLOOKUP($C89,装備品!$1:$998,COLUMN(I$1),FALSE),"")</f>
        <v>0</v>
      </c>
      <c r="O89" s="23">
        <f>IFERROR((VLOOKUP($C89,装備品!$1:$998,COLUMN(K$1),FALSE)+VLOOKUP($D89,素材!$1:$1016,COLUMN(H$1),FALSE))*100+IFERROR(VLOOKUP($CI89,付与!$1:$1167,COLUMN(O$1),FALSE),0),"")</f>
        <v>10</v>
      </c>
      <c r="P89" s="23">
        <f>IFERROR((VLOOKUP($C89,装備品!$1:$998,COLUMN(L$1),FALSE)+VLOOKUP($D89,素材!$1:$1016,COLUMN(I$1),FALSE))*100+IFERROR(VLOOKUP($CI89,付与!$1:$1167,COLUMN(P$1),FALSE),0),"")</f>
        <v>150</v>
      </c>
      <c r="Q89">
        <f>IFERROR(ROUNDUP(VLOOKUP($C89,装備品!$1:$998,COLUMN(M$1),FALSE)*(VLOOKUP($D89,素材!$1:$1002,COLUMN(D$1),FALSE)/100),1),"")</f>
        <v>-5.3</v>
      </c>
      <c r="R89">
        <f>IFERROR(ROUNDUP(VLOOKUP($C89,装備品!$1:$998,COLUMN(N$1),FALSE)*(VLOOKUP($D89,素材!$1:$1002,COLUMN(D$1),FALSE)/100),1),"")</f>
        <v>-5.3</v>
      </c>
      <c r="S89">
        <f>IFERROR(VLOOKUP($C89,装備品!$1:$998,COLUMN(P$1),FALSE),"")</f>
        <v>0</v>
      </c>
      <c r="T89">
        <f>IFERROR(VLOOKUP($C89,装備品!$1:$998,COLUMN(Q$1),FALSE),"")</f>
        <v>0</v>
      </c>
      <c r="U89">
        <f>IFERROR(VLOOKUP($C89,装備品!$1:$998,COLUMN(R$1),FALSE),"")</f>
        <v>0</v>
      </c>
      <c r="V89">
        <f>IFERROR(VLOOKUP($C89,装備品!$1:$998,COLUMN(Q$1),FALSE),"")</f>
        <v>0</v>
      </c>
      <c r="W89">
        <f>IFERROR(VLOOKUP($C89,装備品!$1:$998,COLUMN(T$1),FALSE),"")</f>
        <v>0</v>
      </c>
      <c r="Y89">
        <f>IFERROR(VLOOKUP($C89,装備品!$1:$998,COLUMN(U$1),FALSE),"")</f>
        <v>0</v>
      </c>
      <c r="Z89">
        <f>IFERROR(ROUNDUP(VLOOKUP($C89,装備品!$1:$998,COLUMN(O$1),FALSE)*VLOOKUP($D89,素材!$1:$1016,COLUMN(E$1),FALSE),1),"")</f>
        <v>0</v>
      </c>
      <c r="AA89">
        <f>IF(ISNUMBER(SEARCH(SUBSTITUTE(AA$1,RIGHT(AA$1,2),""),VLOOKUP($D89,素材!$1:$1016,COLUMN($F$1),FALSE))),VLOOKUP($C89,装備品!$1:$998,COLUMN($O$1),FALSE)*VLOOKUP($D89,素材!$1:$1016,COLUMN($E$1),FALSE)/(LEN(VLOOKUP($D89,素材!$1:$1016,COLUMN($F$1),FALSE))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B89">
        <f>IF(ISNUMBER(SEARCH(SUBSTITUTE(AB$1,RIGHT(AB$1,2),""),VLOOKUP($D89,素材!$1:$1016,COLUMN($F$1),FALSE))),VLOOKUP($C89,装備品!$1:$998,COLUMN($O$1),FALSE)*VLOOKUP($D89,素材!$1:$1016,COLUMN($E$1),FALSE)/(LEN(VLOOKUP($D89,素材!$1:$1016,COLUMN($F$1),FALSE))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C89">
        <f>IF(ISNUMBER(SEARCH(SUBSTITUTE(AC$1,RIGHT(AC$1,2),""),VLOOKUP($D89,素材!$1:$1016,COLUMN($F$1),FALSE))),VLOOKUP($C89,装備品!$1:$998,COLUMN($O$1),FALSE)*VLOOKUP($D89,素材!$1:$1016,COLUMN($E$1),FALSE)/(LEN(VLOOKUP($D89,素材!$1:$1016,COLUMN($F$1),FALSE))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D89">
        <f>IF(ISNUMBER(SEARCH(SUBSTITUTE(AD$1,RIGHT(AD$1,2),""),VLOOKUP($D89,素材!$1:$1016,COLUMN($F$1),FALSE))),VLOOKUP($C89,装備品!$1:$998,COLUMN($O$1),FALSE)*VLOOKUP($D89,素材!$1:$1016,COLUMN($E$1),FALSE)/(LEN(VLOOKUP($D89,素材!$1:$1016,COLUMN($F$1),FALSE))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E89">
        <f>IF(ISNUMBER(SEARCH(SUBSTITUTE(AE$1,RIGHT(AE$1,2),""),VLOOKUP($D89,素材!$1:$1016,COLUMN($F$1),FALSE))),VLOOKUP($C89,装備品!$1:$998,COLUMN($O$1),FALSE)*VLOOKUP($D89,素材!$1:$1016,COLUMN($E$1),FALSE)/(LEN(VLOOKUP($D89,素材!$1:$1016,COLUMN($F$1),FALSE))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F89">
        <f>IF(ISNUMBER(SEARCH(SUBSTITUTE(AF$1,RIGHT(AF$1,2),""),VLOOKUP($D89,素材!$1:$1016,COLUMN($F$1),FALSE))),VLOOKUP($C89,装備品!$1:$998,COLUMN($O$1),FALSE)*VLOOKUP($D89,素材!$1:$1016,COLUMN($E$1),FALSE)/(LEN(VLOOKUP($D89,素材!$1:$1016,COLUMN($F$1),FALSE))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G89">
        <f>IF(ISNUMBER(SEARCH(SUBSTITUTE(AG$1,RIGHT(AG$1,2),""),VLOOKUP($D89,素材!$1:$1016,COLUMN($F$1),FALSE))),VLOOKUP($C89,装備品!$1:$998,COLUMN($O$1),FALSE)*VLOOKUP($D89,素材!$1:$1016,COLUMN($E$1),FALSE)/(LEN(VLOOKUP($D89,素材!$1:$1016,COLUMN($F$1),FALSE))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H89">
        <f>IF(ISNUMBER(SEARCH(SUBSTITUTE(AH$1,RIGHT(AH$1,2),""),VLOOKUP($D89,素材!$1:$1016,COLUMN($F$1),FALSE))),VLOOKUP($C89,装備品!$1:$998,COLUMN($O$1),FALSE)*VLOOKUP($D89,素材!$1:$1016,COLUMN($E$1),FALSE)/(LEN(VLOOKUP($D89,素材!$1:$1016,COLUMN($F$1),FALSE))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I89">
        <f>IF(ISNUMBER(SEARCH(SUBSTITUTE(AI$1,RIGHT(AI$1,2),""),VLOOKUP($D89,素材!$1:$1016,COLUMN($F$1),FALSE))),VLOOKUP($C89,装備品!$1:$998,COLUMN($O$1),FALSE)*VLOOKUP($D89,素材!$1:$1016,COLUMN($E$1),FALSE)/(LEN(VLOOKUP($D89,素材!$1:$1016,COLUMN($F$1),FALSE))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J89">
        <f>IF(ISNUMBER(SEARCH(SUBSTITUTE(AJ$1,RIGHT(AJ$1,2),""),VLOOKUP($D89,素材!$1:$1016,COLUMN($F$1),FALSE))),VLOOKUP($C89,装備品!$1:$998,COLUMN($O$1),FALSE)*VLOOKUP($D89,素材!$1:$1016,COLUMN($E$1),FALSE)/(LEN(VLOOKUP($D89,素材!$1:$1016,COLUMN($F$1),FALSE))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K89">
        <f>IF(ISNUMBER(SEARCH(SUBSTITUTE(AK$1,RIGHT(AK$1,2),""),VLOOKUP($D89,素材!$1:$1016,COLUMN($F$1),FALSE))),VLOOKUP($C89,装備品!$1:$998,COLUMN($O$1),FALSE)*VLOOKUP($D89,素材!$1:$1016,COLUMN($E$1),FALSE)/(LEN(VLOOKUP($D89,素材!$1:$1016,COLUMN($F$1),FALSE))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L89">
        <f>IF(ISNUMBER(SEARCH(SUBSTITUTE(AL$1,RIGHT(AL$1,2),""),VLOOKUP($D89,素材!$1:$1016,COLUMN($F$1),FALSE))),VLOOKUP($C89,装備品!$1:$998,COLUMN($O$1),FALSE)*VLOOKUP($D89,素材!$1:$1016,COLUMN($E$1),FALSE)/(LEN(VLOOKUP($D89,素材!$1:$1016,COLUMN($F$1),FALSE))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M89">
        <f>IF(ISNUMBER(SEARCH(SUBSTITUTE(AM$1,RIGHT(AM$1,2),""),VLOOKUP($D89,素材!$1:$1016,COLUMN($F$1),FALSE))),VLOOKUP($C89,装備品!$1:$998,COLUMN($O$1),FALSE)*VLOOKUP($D89,素材!$1:$1016,COLUMN($E$1),FALSE)/(LEN(VLOOKUP($D89,素材!$1:$1016,COLUMN($F$1),FALSE))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N89">
        <f>IF(ISNUMBER(SEARCH(SUBSTITUTE(AN$1,RIGHT(AN$1,2),""),VLOOKUP($D89,素材!$1:$1016,COLUMN($F$1),FALSE))),VLOOKUP($C89,装備品!$1:$998,COLUMN($O$1),FALSE)*VLOOKUP($D89,素材!$1:$1016,COLUMN($E$1),FALSE)/(LEN(VLOOKUP($D89,素材!$1:$1016,COLUMN($F$1),FALSE))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O89">
        <f>IF(ISNUMBER(SEARCH(SUBSTITUTE(AO$1,RIGHT(AO$1,2),""),VLOOKUP($D89,素材!$1:$1016,COLUMN($F$1),FALSE))),VLOOKUP($C89,装備品!$1:$998,COLUMN($O$1),FALSE)*VLOOKUP($D89,素材!$1:$1016,COLUMN($E$1),FALSE)/(LEN(VLOOKUP($D89,素材!$1:$1016,COLUMN($F$1),FALSE))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P89">
        <f>IF(ISNUMBER(SEARCH(SUBSTITUTE(AP$1,RIGHT(AP$1,2),""),VLOOKUP($D89,素材!$1:$1016,COLUMN($F$1),FALSE))),VLOOKUP($C89,装備品!$1:$998,COLUMN($O$1),FALSE)*VLOOKUP($D89,素材!$1:$1016,COLUMN($E$1),FALSE)/(LEN(VLOOKUP($D89,素材!$1:$1016,COLUMN($F$1),FALSE))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Q89">
        <f>IF(ISNUMBER(SEARCH(SUBSTITUTE(AQ$1,RIGHT(AQ$1,2),""),VLOOKUP($D89,素材!$1:$1016,COLUMN($F$1),FALSE))),VLOOKUP($C89,装備品!$1:$998,COLUMN($O$1),FALSE)*VLOOKUP($D89,素材!$1:$1016,COLUMN($E$1),FALSE)/(LEN(VLOOKUP($D89,素材!$1:$1016,COLUMN($F$1),FALSE))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R89">
        <f>IF(ISNUMBER(SEARCH(SUBSTITUTE(AR$1,RIGHT(AR$1,2),""),VLOOKUP($D89,素材!$1:$1016,COLUMN($F$1),FALSE))),VLOOKUP($C89,装備品!$1:$998,COLUMN($O$1),FALSE)*VLOOKUP($D89,素材!$1:$1016,COLUMN($E$1),FALSE)/(LEN(VLOOKUP($D89,素材!$1:$1016,COLUMN($F$1),FALSE))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S89">
        <f>IF(ISNUMBER(SEARCH(SUBSTITUTE(AS$1,RIGHT(AS$1,2),""),VLOOKUP($D89,素材!$1:$1016,COLUMN($F$1),FALSE))),VLOOKUP($C89,装備品!$1:$998,COLUMN($O$1),FALSE)*VLOOKUP($D89,素材!$1:$1016,COLUMN($E$1),FALSE)/(LEN(VLOOKUP($D89,素材!$1:$1016,COLUMN($F$1),FALSE))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T89">
        <f>IF(ISNUMBER(SEARCH(SUBSTITUTE(AT$1,RIGHT(AT$1,2),""),VLOOKUP($D89,素材!$1:$1016,COLUMN($F$1),FALSE))),VLOOKUP($C89,装備品!$1:$998,COLUMN($O$1),FALSE)*VLOOKUP($D89,素材!$1:$1016,COLUMN($E$1),FALSE)/(LEN(VLOOKUP($D89,素材!$1:$1016,COLUMN($F$1),FALSE))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U89">
        <f>IF(ISNUMBER(SEARCH(SUBSTITUTE(AU$1,RIGHT(AU$1,2),""),VLOOKUP($D89,素材!$1:$1016,COLUMN($F$1),FALSE))),VLOOKUP($C89,装備品!$1:$998,COLUMN($O$1),FALSE)*VLOOKUP($D89,素材!$1:$1016,COLUMN($E$1),FALSE)/(LEN(VLOOKUP($D89,素材!$1:$1016,COLUMN($F$1),FALSE))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V89">
        <f>IF(ISNUMBER(SEARCH(SUBSTITUTE(AV$1,RIGHT(AV$1,2),""),VLOOKUP($D89,素材!$1:$1016,COLUMN($F$1),FALSE))),VLOOKUP($C89,装備品!$1:$998,COLUMN($O$1),FALSE)*VLOOKUP($D89,素材!$1:$1016,COLUMN($E$1),FALSE)/(LEN(VLOOKUP($D89,素材!$1:$1016,COLUMN($F$1),FALSE))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W89">
        <f>IF(ISNUMBER(SEARCH(SUBSTITUTE(AW$1,RIGHT(AW$1,2),""),VLOOKUP($D89,素材!$1:$1016,COLUMN($F$1),FALSE))),VLOOKUP($C89,装備品!$1:$998,COLUMN($O$1),FALSE)*VLOOKUP($D89,素材!$1:$1016,COLUMN($E$1),FALSE)/(LEN(VLOOKUP($D89,素材!$1:$1016,COLUMN($F$1),FALSE))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X89">
        <f>IF(ISNUMBER(SEARCH(SUBSTITUTE(AX$1,RIGHT(AX$1,2),""),VLOOKUP($D89,素材!$1:$1016,COLUMN($F$1),FALSE))),VLOOKUP($C89,装備品!$1:$998,COLUMN($O$1),FALSE)*VLOOKUP($D89,素材!$1:$1016,COLUMN($E$1),FALSE)/(LEN(VLOOKUP($D89,素材!$1:$1016,COLUMN($F$1),FALSE))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Y89">
        <f>IF(ISNUMBER(SEARCH(SUBSTITUTE(AY$1,RIGHT(AY$1,2),""),VLOOKUP($D89,素材!$1:$1016,COLUMN($F$1),FALSE))),VLOOKUP($C89,装備品!$1:$998,COLUMN($O$1),FALSE)*VLOOKUP($D89,素材!$1:$1016,COLUMN($E$1),FALSE)/(LEN(VLOOKUP($D89,素材!$1:$1016,COLUMN($F$1),FALSE))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Z89">
        <f>IF(ISNUMBER(SEARCH(SUBSTITUTE(AZ$1,RIGHT(AZ$1,2),""),VLOOKUP($D89,素材!$1:$1016,COLUMN($F$1),FALSE))),VLOOKUP($C89,装備品!$1:$998,COLUMN($O$1),FALSE)*VLOOKUP($D89,素材!$1:$1016,COLUMN($E$1),FALSE)/(LEN(VLOOKUP($D89,素材!$1:$1016,COLUMN($F$1),FALSE))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BA89">
        <f>IF(ISNUMBER(SEARCH(SUBSTITUTE(BA$1,RIGHT(BA$1,2),""),VLOOKUP($D89,素材!$1:$1016,COLUMN($F$1),FALSE))),VLOOKUP($C89,装備品!$1:$998,COLUMN($O$1),FALSE)*VLOOKUP($D89,素材!$1:$1016,COLUMN($E$1),FALSE)/(LEN(VLOOKUP($D89,素材!$1:$1016,COLUMN($F$1),FALSE))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BB89">
        <f>IF(ISNUMBER(SEARCH(SUBSTITUTE(BB$1,RIGHT(BB$1,2),""),VLOOKUP($D89,素材!$1:$1016,COLUMN($F$1),FALSE))),VLOOKUP($C89,装備品!$1:$998,COLUMN($O$1),FALSE)*VLOOKUP($D89,素材!$1:$1016,COLUMN($E$1),FALSE)/(LEN(VLOOKUP($D89,素材!$1:$1016,COLUMN($F$1),FALSE))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BC89">
        <f>IF(ISNUMBER(SEARCH(SUBSTITUTE(BC$1,RIGHT(BC$1,2),""),VLOOKUP($D89,素材!$1:$1016,COLUMN($F$1),FALSE))),VLOOKUP($C89,装備品!$1:$998,COLUMN($O$1),FALSE)*VLOOKUP($D89,素材!$1:$1016,COLUMN($E$1),FALSE)/(LEN(VLOOKUP($D89,素材!$1:$1016,COLUMN($F$1),FALSE))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BD89">
        <f>IF(ISNUMBER(SEARCH(SUBSTITUTE(BD$1,RIGHT(BD$1,2),""),VLOOKUP($D89,素材!$1:$1016,COLUMN($F$1),FALSE))),VLOOKUP($C89,装備品!$1:$998,COLUMN($O$1),FALSE)*VLOOKUP($D89,素材!$1:$1016,COLUMN($E$1),FALSE)/(LEN(VLOOKUP($D89,素材!$1:$1016,COLUMN($F$1),FALSE))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BE89">
        <f>IF(ISNUMBER(SEARCH(SUBSTITUTE(BE$1,RIGHT(BE$1,2),""),VLOOKUP($D89,素材!$1:$1016,COLUMN($F$1),FALSE))),VLOOKUP($C89,装備品!$1:$998,COLUMN($O$1),FALSE)*VLOOKUP($D89,素材!$1:$1016,COLUMN($E$1),FALSE)/(LEN(VLOOKUP($D89,素材!$1:$1016,COLUMN($F$1),FALSE))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CL89">
        <f t="shared" si="7"/>
        <v>31</v>
      </c>
      <c r="CM89" s="22" t="str">
        <f t="shared" si="8"/>
        <v>貫通.webp</v>
      </c>
      <c r="CN89">
        <f>IFERROR(VLOOKUP($C89,装備品!$1:$998,COLUMN(V$1),FALSE)*VLOOKUP($D89,素材!$1:$1016,COLUMN(N$1),FALSE)+IF(CI89="",0,VLOOKUP($CI89,付与!$1:$1176,COLUMN($CK$1),FALSE)),"")</f>
        <v>0</v>
      </c>
      <c r="CO89" t="str">
        <f>VLOOKUP(D89,素材!$A:$O,COLUMN(素材!O$1),FALSE)</f>
        <v>鍛えられた鉄。硬度が高く安価なためよく使用される。</v>
      </c>
      <c r="CP89" t="str">
        <f>VLOOKUP(C89,装備品!$A:$AB,COLUMN(装備品!AB$1),FALSE)</f>
        <v>斧槍。全力時に威力が高く斬撃と突撃の両方に対応できる武器。</v>
      </c>
      <c r="CR89" t="str">
        <f t="shared" si="9"/>
        <v>e_89</v>
      </c>
      <c r="CS89">
        <f t="shared" si="10"/>
        <v>0</v>
      </c>
    </row>
    <row r="90" spans="1:97" outlineLevel="1" x14ac:dyDescent="0.4">
      <c r="A90" t="str">
        <f t="shared" si="6"/>
        <v>鋼の棍棒</v>
      </c>
      <c r="B90" t="str">
        <f>IFERROR(VLOOKUP($D90,素材!$1:$1016,COLUMN($B$1),FALSE)&amp;"・"&amp;VLOOKUP($C90,装備品!$1:$998,COLUMN(B$1),FALSE),"")</f>
        <v>スチール・クラブ</v>
      </c>
      <c r="C90" s="24" t="s">
        <v>229</v>
      </c>
      <c r="D90" s="24" t="s">
        <v>252</v>
      </c>
      <c r="E90" t="str">
        <f>IFERROR(VLOOKUP(C90,装備品!$1:$998,COLUMN(C$1),FALSE),"")</f>
        <v>武器</v>
      </c>
      <c r="F90">
        <f>IFERROR(ROUNDDOWN((VLOOKUP($C90,装備品!$1:$998,COLUMN(D$1),FALSE)+IFERROR(VLOOKUP($CI90,付与!$1:$1167,COLUMN(F$1),FALSE),0))*VLOOKUP($D90,素材!$1:$1016,COLUMN(D$1),FALSE),0),"")</f>
        <v>110</v>
      </c>
      <c r="G90">
        <f>IFERROR(ROUNDDOWN((VLOOKUP($C90,装備品!$1:$998,COLUMN(E$1),FALSE)+IFERROR(VLOOKUP($CI90,付与!$1:$1167,COLUMN(G$1),FALSE),0))*VLOOKUP($D90,素材!$1:$1016,COLUMN($E$1),FALSE),0),"")</f>
        <v>2</v>
      </c>
      <c r="H90">
        <f>IFERROR(ROUNDDOWN((VLOOKUP($C90,装備品!$1:$998,COLUMN(F$1),FALSE)+IFERROR(VLOOKUP($CI90,付与!$1:$1167,COLUMN(H$1),FALSE),0))*VLOOKUP($D90,素材!$1:$1016,COLUMN($E$1),FALSE),0),"")</f>
        <v>0</v>
      </c>
      <c r="I90">
        <f>IFERROR(ROUNDDOWN((VLOOKUP($C90,装備品!$1:$998,COLUMN(G$1),FALSE)+IFERROR(VLOOKUP($CI90,付与!$1:$1167,COLUMN(I$1),FALSE),0))*VLOOKUP($D90,素材!$1:$1016,COLUMN($E$1),FALSE),0),"")</f>
        <v>27</v>
      </c>
      <c r="J90">
        <f>IFERROR(ROUNDDOWN((VLOOKUP($C90,装備品!$1:$998,COLUMN(H$1),FALSE)+IFERROR(VLOOKUP($CI90,付与!$1:$1167,COLUMN(J$1),FALSE),0))*VLOOKUP($D90,素材!$1:$1016,COLUMN($E$1),FALSE),0),"")</f>
        <v>25</v>
      </c>
      <c r="K90">
        <f>IFERROR(ROUNDDOWN((VLOOKUP($C90,装備品!$1:$998,COLUMN(I$1),FALSE)+IFERROR(VLOOKUP($CI90,付与!$1:$1167,COLUMN(K$1),FALSE),0))*VLOOKUP($D90,素材!$1:$1016,COLUMN($E$1),FALSE),0),"")</f>
        <v>0</v>
      </c>
      <c r="L90">
        <f>IFERROR(VLOOKUP($D90,素材!$1:$1016,COLUMN($F$1),FALSE),"")</f>
        <v>0</v>
      </c>
      <c r="M90">
        <f>IFERROR(VLOOKUP($C90,装備品!$1:$998,COLUMN(AA$1),FALSE)*VLOOKUP($D90,素材!$1:$1016,COLUMN($G$1),FALSE),"")</f>
        <v>0</v>
      </c>
      <c r="N90">
        <f>IFERROR(VLOOKUP($C90,装備品!$1:$998,COLUMN(I$1),FALSE),"")</f>
        <v>0</v>
      </c>
      <c r="O90" s="23">
        <f>IFERROR((VLOOKUP($C90,装備品!$1:$998,COLUMN(K$1),FALSE)+VLOOKUP($D90,素材!$1:$1016,COLUMN(H$1),FALSE))*100+IFERROR(VLOOKUP($CI90,付与!$1:$1167,COLUMN(O$1),FALSE),0),"")</f>
        <v>5</v>
      </c>
      <c r="P90" s="23">
        <f>IFERROR((VLOOKUP($C90,装備品!$1:$998,COLUMN(L$1),FALSE)+VLOOKUP($D90,素材!$1:$1016,COLUMN(I$1),FALSE))*100+IFERROR(VLOOKUP($CI90,付与!$1:$1167,COLUMN(P$1),FALSE),0),"")</f>
        <v>150</v>
      </c>
      <c r="Q90">
        <f>IFERROR(ROUNDUP(VLOOKUP($C90,装備品!$1:$998,COLUMN(M$1),FALSE)*(VLOOKUP($D90,素材!$1:$1002,COLUMN(D$1),FALSE)/100),1),"")</f>
        <v>0</v>
      </c>
      <c r="R90">
        <f>IFERROR(ROUNDUP(VLOOKUP($C90,装備品!$1:$998,COLUMN(N$1),FALSE)*(VLOOKUP($D90,素材!$1:$1002,COLUMN(D$1),FALSE)/100),1),"")</f>
        <v>0</v>
      </c>
      <c r="S90">
        <f>IFERROR(VLOOKUP($C90,装備品!$1:$998,COLUMN(P$1),FALSE),"")</f>
        <v>0</v>
      </c>
      <c r="T90">
        <f>IFERROR(VLOOKUP($C90,装備品!$1:$998,COLUMN(Q$1),FALSE),"")</f>
        <v>0</v>
      </c>
      <c r="U90">
        <f>IFERROR(VLOOKUP($C90,装備品!$1:$998,COLUMN(R$1),FALSE),"")</f>
        <v>0</v>
      </c>
      <c r="V90">
        <f>IFERROR(VLOOKUP($C90,装備品!$1:$998,COLUMN(Q$1),FALSE),"")</f>
        <v>0</v>
      </c>
      <c r="W90">
        <f>IFERROR(VLOOKUP($C90,装備品!$1:$998,COLUMN(T$1),FALSE),"")</f>
        <v>0</v>
      </c>
      <c r="Y90">
        <f>IFERROR(VLOOKUP($C90,装備品!$1:$998,COLUMN(U$1),FALSE),"")</f>
        <v>0</v>
      </c>
      <c r="Z90">
        <f>IFERROR(ROUNDUP(VLOOKUP($C90,装備品!$1:$998,COLUMN(O$1),FALSE)*VLOOKUP($D90,素材!$1:$1016,COLUMN(E$1),FALSE),1),"")</f>
        <v>0</v>
      </c>
      <c r="AA90">
        <f>IF(ISNUMBER(SEARCH(SUBSTITUTE(AA$1,RIGHT(AA$1,2),""),VLOOKUP($D90,素材!$1:$1016,COLUMN($F$1),FALSE))),VLOOKUP($C90,装備品!$1:$998,COLUMN($O$1),FALSE)*VLOOKUP($D90,素材!$1:$1016,COLUMN($E$1),FALSE)/(LEN(VLOOKUP($D90,素材!$1:$1016,COLUMN($F$1),FALSE))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B90">
        <f>IF(ISNUMBER(SEARCH(SUBSTITUTE(AB$1,RIGHT(AB$1,2),""),VLOOKUP($D90,素材!$1:$1016,COLUMN($F$1),FALSE))),VLOOKUP($C90,装備品!$1:$998,COLUMN($O$1),FALSE)*VLOOKUP($D90,素材!$1:$1016,COLUMN($E$1),FALSE)/(LEN(VLOOKUP($D90,素材!$1:$1016,COLUMN($F$1),FALSE))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C90">
        <f>IF(ISNUMBER(SEARCH(SUBSTITUTE(AC$1,RIGHT(AC$1,2),""),VLOOKUP($D90,素材!$1:$1016,COLUMN($F$1),FALSE))),VLOOKUP($C90,装備品!$1:$998,COLUMN($O$1),FALSE)*VLOOKUP($D90,素材!$1:$1016,COLUMN($E$1),FALSE)/(LEN(VLOOKUP($D90,素材!$1:$1016,COLUMN($F$1),FALSE))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D90">
        <f>IF(ISNUMBER(SEARCH(SUBSTITUTE(AD$1,RIGHT(AD$1,2),""),VLOOKUP($D90,素材!$1:$1016,COLUMN($F$1),FALSE))),VLOOKUP($C90,装備品!$1:$998,COLUMN($O$1),FALSE)*VLOOKUP($D90,素材!$1:$1016,COLUMN($E$1),FALSE)/(LEN(VLOOKUP($D90,素材!$1:$1016,COLUMN($F$1),FALSE))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E90">
        <f>IF(ISNUMBER(SEARCH(SUBSTITUTE(AE$1,RIGHT(AE$1,2),""),VLOOKUP($D90,素材!$1:$1016,COLUMN($F$1),FALSE))),VLOOKUP($C90,装備品!$1:$998,COLUMN($O$1),FALSE)*VLOOKUP($D90,素材!$1:$1016,COLUMN($E$1),FALSE)/(LEN(VLOOKUP($D90,素材!$1:$1016,COLUMN($F$1),FALSE))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F90">
        <f>IF(ISNUMBER(SEARCH(SUBSTITUTE(AF$1,RIGHT(AF$1,2),""),VLOOKUP($D90,素材!$1:$1016,COLUMN($F$1),FALSE))),VLOOKUP($C90,装備品!$1:$998,COLUMN($O$1),FALSE)*VLOOKUP($D90,素材!$1:$1016,COLUMN($E$1),FALSE)/(LEN(VLOOKUP($D90,素材!$1:$1016,COLUMN($F$1),FALSE))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G90">
        <f>IF(ISNUMBER(SEARCH(SUBSTITUTE(AG$1,RIGHT(AG$1,2),""),VLOOKUP($D90,素材!$1:$1016,COLUMN($F$1),FALSE))),VLOOKUP($C90,装備品!$1:$998,COLUMN($O$1),FALSE)*VLOOKUP($D90,素材!$1:$1016,COLUMN($E$1),FALSE)/(LEN(VLOOKUP($D90,素材!$1:$1016,COLUMN($F$1),FALSE))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H90">
        <f>IF(ISNUMBER(SEARCH(SUBSTITUTE(AH$1,RIGHT(AH$1,2),""),VLOOKUP($D90,素材!$1:$1016,COLUMN($F$1),FALSE))),VLOOKUP($C90,装備品!$1:$998,COLUMN($O$1),FALSE)*VLOOKUP($D90,素材!$1:$1016,COLUMN($E$1),FALSE)/(LEN(VLOOKUP($D90,素材!$1:$1016,COLUMN($F$1),FALSE))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I90">
        <f>IF(ISNUMBER(SEARCH(SUBSTITUTE(AI$1,RIGHT(AI$1,2),""),VLOOKUP($D90,素材!$1:$1016,COLUMN($F$1),FALSE))),VLOOKUP($C90,装備品!$1:$998,COLUMN($O$1),FALSE)*VLOOKUP($D90,素材!$1:$1016,COLUMN($E$1),FALSE)/(LEN(VLOOKUP($D90,素材!$1:$1016,COLUMN($F$1),FALSE))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J90">
        <f>IF(ISNUMBER(SEARCH(SUBSTITUTE(AJ$1,RIGHT(AJ$1,2),""),VLOOKUP($D90,素材!$1:$1016,COLUMN($F$1),FALSE))),VLOOKUP($C90,装備品!$1:$998,COLUMN($O$1),FALSE)*VLOOKUP($D90,素材!$1:$1016,COLUMN($E$1),FALSE)/(LEN(VLOOKUP($D90,素材!$1:$1016,COLUMN($F$1),FALSE))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K90">
        <f>IF(ISNUMBER(SEARCH(SUBSTITUTE(AK$1,RIGHT(AK$1,2),""),VLOOKUP($D90,素材!$1:$1016,COLUMN($F$1),FALSE))),VLOOKUP($C90,装備品!$1:$998,COLUMN($O$1),FALSE)*VLOOKUP($D90,素材!$1:$1016,COLUMN($E$1),FALSE)/(LEN(VLOOKUP($D90,素材!$1:$1016,COLUMN($F$1),FALSE))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L90">
        <f>IF(ISNUMBER(SEARCH(SUBSTITUTE(AL$1,RIGHT(AL$1,2),""),VLOOKUP($D90,素材!$1:$1016,COLUMN($F$1),FALSE))),VLOOKUP($C90,装備品!$1:$998,COLUMN($O$1),FALSE)*VLOOKUP($D90,素材!$1:$1016,COLUMN($E$1),FALSE)/(LEN(VLOOKUP($D90,素材!$1:$1016,COLUMN($F$1),FALSE))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M90">
        <f>IF(ISNUMBER(SEARCH(SUBSTITUTE(AM$1,RIGHT(AM$1,2),""),VLOOKUP($D90,素材!$1:$1016,COLUMN($F$1),FALSE))),VLOOKUP($C90,装備品!$1:$998,COLUMN($O$1),FALSE)*VLOOKUP($D90,素材!$1:$1016,COLUMN($E$1),FALSE)/(LEN(VLOOKUP($D90,素材!$1:$1016,COLUMN($F$1),FALSE))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N90">
        <f>IF(ISNUMBER(SEARCH(SUBSTITUTE(AN$1,RIGHT(AN$1,2),""),VLOOKUP($D90,素材!$1:$1016,COLUMN($F$1),FALSE))),VLOOKUP($C90,装備品!$1:$998,COLUMN($O$1),FALSE)*VLOOKUP($D90,素材!$1:$1016,COLUMN($E$1),FALSE)/(LEN(VLOOKUP($D90,素材!$1:$1016,COLUMN($F$1),FALSE))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O90">
        <f>IF(ISNUMBER(SEARCH(SUBSTITUTE(AO$1,RIGHT(AO$1,2),""),VLOOKUP($D90,素材!$1:$1016,COLUMN($F$1),FALSE))),VLOOKUP($C90,装備品!$1:$998,COLUMN($O$1),FALSE)*VLOOKUP($D90,素材!$1:$1016,COLUMN($E$1),FALSE)/(LEN(VLOOKUP($D90,素材!$1:$1016,COLUMN($F$1),FALSE))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P90">
        <f>IF(ISNUMBER(SEARCH(SUBSTITUTE(AP$1,RIGHT(AP$1,2),""),VLOOKUP($D90,素材!$1:$1016,COLUMN($F$1),FALSE))),VLOOKUP($C90,装備品!$1:$998,COLUMN($O$1),FALSE)*VLOOKUP($D90,素材!$1:$1016,COLUMN($E$1),FALSE)/(LEN(VLOOKUP($D90,素材!$1:$1016,COLUMN($F$1),FALSE))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Q90">
        <f>IF(ISNUMBER(SEARCH(SUBSTITUTE(AQ$1,RIGHT(AQ$1,2),""),VLOOKUP($D90,素材!$1:$1016,COLUMN($F$1),FALSE))),VLOOKUP($C90,装備品!$1:$998,COLUMN($O$1),FALSE)*VLOOKUP($D90,素材!$1:$1016,COLUMN($E$1),FALSE)/(LEN(VLOOKUP($D90,素材!$1:$1016,COLUMN($F$1),FALSE))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R90">
        <f>IF(ISNUMBER(SEARCH(SUBSTITUTE(AR$1,RIGHT(AR$1,2),""),VLOOKUP($D90,素材!$1:$1016,COLUMN($F$1),FALSE))),VLOOKUP($C90,装備品!$1:$998,COLUMN($O$1),FALSE)*VLOOKUP($D90,素材!$1:$1016,COLUMN($E$1),FALSE)/(LEN(VLOOKUP($D90,素材!$1:$1016,COLUMN($F$1),FALSE))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S90">
        <f>IF(ISNUMBER(SEARCH(SUBSTITUTE(AS$1,RIGHT(AS$1,2),""),VLOOKUP($D90,素材!$1:$1016,COLUMN($F$1),FALSE))),VLOOKUP($C90,装備品!$1:$998,COLUMN($O$1),FALSE)*VLOOKUP($D90,素材!$1:$1016,COLUMN($E$1),FALSE)/(LEN(VLOOKUP($D90,素材!$1:$1016,COLUMN($F$1),FALSE))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T90">
        <f>IF(ISNUMBER(SEARCH(SUBSTITUTE(AT$1,RIGHT(AT$1,2),""),VLOOKUP($D90,素材!$1:$1016,COLUMN($F$1),FALSE))),VLOOKUP($C90,装備品!$1:$998,COLUMN($O$1),FALSE)*VLOOKUP($D90,素材!$1:$1016,COLUMN($E$1),FALSE)/(LEN(VLOOKUP($D90,素材!$1:$1016,COLUMN($F$1),FALSE))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U90">
        <f>IF(ISNUMBER(SEARCH(SUBSTITUTE(AU$1,RIGHT(AU$1,2),""),VLOOKUP($D90,素材!$1:$1016,COLUMN($F$1),FALSE))),VLOOKUP($C90,装備品!$1:$998,COLUMN($O$1),FALSE)*VLOOKUP($D90,素材!$1:$1016,COLUMN($E$1),FALSE)/(LEN(VLOOKUP($D90,素材!$1:$1016,COLUMN($F$1),FALSE))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V90">
        <f>IF(ISNUMBER(SEARCH(SUBSTITUTE(AV$1,RIGHT(AV$1,2),""),VLOOKUP($D90,素材!$1:$1016,COLUMN($F$1),FALSE))),VLOOKUP($C90,装備品!$1:$998,COLUMN($O$1),FALSE)*VLOOKUP($D90,素材!$1:$1016,COLUMN($E$1),FALSE)/(LEN(VLOOKUP($D90,素材!$1:$1016,COLUMN($F$1),FALSE))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W90">
        <f>IF(ISNUMBER(SEARCH(SUBSTITUTE(AW$1,RIGHT(AW$1,2),""),VLOOKUP($D90,素材!$1:$1016,COLUMN($F$1),FALSE))),VLOOKUP($C90,装備品!$1:$998,COLUMN($O$1),FALSE)*VLOOKUP($D90,素材!$1:$1016,COLUMN($E$1),FALSE)/(LEN(VLOOKUP($D90,素材!$1:$1016,COLUMN($F$1),FALSE))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X90">
        <f>IF(ISNUMBER(SEARCH(SUBSTITUTE(AX$1,RIGHT(AX$1,2),""),VLOOKUP($D90,素材!$1:$1016,COLUMN($F$1),FALSE))),VLOOKUP($C90,装備品!$1:$998,COLUMN($O$1),FALSE)*VLOOKUP($D90,素材!$1:$1016,COLUMN($E$1),FALSE)/(LEN(VLOOKUP($D90,素材!$1:$1016,COLUMN($F$1),FALSE))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Y90">
        <f>IF(ISNUMBER(SEARCH(SUBSTITUTE(AY$1,RIGHT(AY$1,2),""),VLOOKUP($D90,素材!$1:$1016,COLUMN($F$1),FALSE))),VLOOKUP($C90,装備品!$1:$998,COLUMN($O$1),FALSE)*VLOOKUP($D90,素材!$1:$1016,COLUMN($E$1),FALSE)/(LEN(VLOOKUP($D90,素材!$1:$1016,COLUMN($F$1),FALSE))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Z90">
        <f>IF(ISNUMBER(SEARCH(SUBSTITUTE(AZ$1,RIGHT(AZ$1,2),""),VLOOKUP($D90,素材!$1:$1016,COLUMN($F$1),FALSE))),VLOOKUP($C90,装備品!$1:$998,COLUMN($O$1),FALSE)*VLOOKUP($D90,素材!$1:$1016,COLUMN($E$1),FALSE)/(LEN(VLOOKUP($D90,素材!$1:$1016,COLUMN($F$1),FALSE))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BA90">
        <f>IF(ISNUMBER(SEARCH(SUBSTITUTE(BA$1,RIGHT(BA$1,2),""),VLOOKUP($D90,素材!$1:$1016,COLUMN($F$1),FALSE))),VLOOKUP($C90,装備品!$1:$998,COLUMN($O$1),FALSE)*VLOOKUP($D90,素材!$1:$1016,COLUMN($E$1),FALSE)/(LEN(VLOOKUP($D90,素材!$1:$1016,COLUMN($F$1),FALSE))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BB90">
        <f>IF(ISNUMBER(SEARCH(SUBSTITUTE(BB$1,RIGHT(BB$1,2),""),VLOOKUP($D90,素材!$1:$1016,COLUMN($F$1),FALSE))),VLOOKUP($C90,装備品!$1:$998,COLUMN($O$1),FALSE)*VLOOKUP($D90,素材!$1:$1016,COLUMN($E$1),FALSE)/(LEN(VLOOKUP($D90,素材!$1:$1016,COLUMN($F$1),FALSE))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BC90">
        <f>IF(ISNUMBER(SEARCH(SUBSTITUTE(BC$1,RIGHT(BC$1,2),""),VLOOKUP($D90,素材!$1:$1016,COLUMN($F$1),FALSE))),VLOOKUP($C90,装備品!$1:$998,COLUMN($O$1),FALSE)*VLOOKUP($D90,素材!$1:$1016,COLUMN($E$1),FALSE)/(LEN(VLOOKUP($D90,素材!$1:$1016,COLUMN($F$1),FALSE))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BD90">
        <f>IF(ISNUMBER(SEARCH(SUBSTITUTE(BD$1,RIGHT(BD$1,2),""),VLOOKUP($D90,素材!$1:$1016,COLUMN($F$1),FALSE))),VLOOKUP($C90,装備品!$1:$998,COLUMN($O$1),FALSE)*VLOOKUP($D90,素材!$1:$1016,COLUMN($E$1),FALSE)/(LEN(VLOOKUP($D90,素材!$1:$1016,COLUMN($F$1),FALSE))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BE90">
        <f>IF(ISNUMBER(SEARCH(SUBSTITUTE(BE$1,RIGHT(BE$1,2),""),VLOOKUP($D90,素材!$1:$1016,COLUMN($F$1),FALSE))),VLOOKUP($C90,装備品!$1:$998,COLUMN($O$1),FALSE)*VLOOKUP($D90,素材!$1:$1016,COLUMN($E$1),FALSE)/(LEN(VLOOKUP($D90,素材!$1:$1016,COLUMN($F$1),FALSE))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CL90">
        <f t="shared" si="7"/>
        <v>29</v>
      </c>
      <c r="CM90" s="22" t="str">
        <f t="shared" si="8"/>
        <v>打撃.webp</v>
      </c>
      <c r="CN90">
        <f>IFERROR(VLOOKUP($C90,装備品!$1:$998,COLUMN(V$1),FALSE)*VLOOKUP($D90,素材!$1:$1016,COLUMN(N$1),FALSE)+IF(CI90="",0,VLOOKUP($CI90,付与!$1:$1176,COLUMN($CK$1),FALSE)),"")</f>
        <v>0</v>
      </c>
      <c r="CO90" t="str">
        <f>VLOOKUP(D90,素材!$A:$O,COLUMN(素材!O$1),FALSE)</f>
        <v>鍛えられた鉄。硬度が高く安価なためよく使用される。</v>
      </c>
      <c r="CP90" t="str">
        <f>VLOOKUP(C90,装備品!$A:$AB,COLUMN(装備品!AB$1),FALSE)</f>
        <v>棍棒。打撃に特化したシンプルな武器。威力は低いがダメージ振れが少ない。</v>
      </c>
      <c r="CR90" t="str">
        <f t="shared" si="9"/>
        <v>e_90</v>
      </c>
      <c r="CS90">
        <f t="shared" si="10"/>
        <v>0</v>
      </c>
    </row>
    <row r="91" spans="1:97" outlineLevel="1" x14ac:dyDescent="0.4">
      <c r="A91" t="str">
        <f t="shared" si="6"/>
        <v>鋼の戦棍</v>
      </c>
      <c r="B91" t="str">
        <f>IFERROR(VLOOKUP($D91,素材!$1:$1016,COLUMN($B$1),FALSE)&amp;"・"&amp;VLOOKUP($C91,装備品!$1:$998,COLUMN(B$1),FALSE),"")</f>
        <v>スチール・メイス</v>
      </c>
      <c r="C91" s="24" t="s">
        <v>228</v>
      </c>
      <c r="D91" s="24" t="s">
        <v>252</v>
      </c>
      <c r="E91" t="str">
        <f>IFERROR(VLOOKUP(C91,装備品!$1:$998,COLUMN(C$1),FALSE),"")</f>
        <v>武器</v>
      </c>
      <c r="F91">
        <f>IFERROR(ROUNDDOWN((VLOOKUP($C91,装備品!$1:$998,COLUMN(D$1),FALSE)+IFERROR(VLOOKUP($CI91,付与!$1:$1167,COLUMN(F$1),FALSE),0))*VLOOKUP($D91,素材!$1:$1016,COLUMN(D$1),FALSE),0),"")</f>
        <v>115</v>
      </c>
      <c r="G91">
        <f>IFERROR(ROUNDDOWN((VLOOKUP($C91,装備品!$1:$998,COLUMN(E$1),FALSE)+IFERROR(VLOOKUP($CI91,付与!$1:$1167,COLUMN(G$1),FALSE),0))*VLOOKUP($D91,素材!$1:$1016,COLUMN($E$1),FALSE),0),"")</f>
        <v>0</v>
      </c>
      <c r="H91">
        <f>IFERROR(ROUNDDOWN((VLOOKUP($C91,装備品!$1:$998,COLUMN(F$1),FALSE)+IFERROR(VLOOKUP($CI91,付与!$1:$1167,COLUMN(H$1),FALSE),0))*VLOOKUP($D91,素材!$1:$1016,COLUMN($E$1),FALSE),0),"")</f>
        <v>0</v>
      </c>
      <c r="I91">
        <f>IFERROR(ROUNDDOWN((VLOOKUP($C91,装備品!$1:$998,COLUMN(G$1),FALSE)+IFERROR(VLOOKUP($CI91,付与!$1:$1167,COLUMN(I$1),FALSE),0))*VLOOKUP($D91,素材!$1:$1016,COLUMN($E$1),FALSE),0),"")</f>
        <v>31</v>
      </c>
      <c r="J91">
        <f>IFERROR(ROUNDDOWN((VLOOKUP($C91,装備品!$1:$998,COLUMN(H$1),FALSE)+IFERROR(VLOOKUP($CI91,付与!$1:$1167,COLUMN(J$1),FALSE),0))*VLOOKUP($D91,素材!$1:$1016,COLUMN($E$1),FALSE),0),"")</f>
        <v>25</v>
      </c>
      <c r="K91">
        <f>IFERROR(ROUNDDOWN((VLOOKUP($C91,装備品!$1:$998,COLUMN(I$1),FALSE)+IFERROR(VLOOKUP($CI91,付与!$1:$1167,COLUMN(K$1),FALSE),0))*VLOOKUP($D91,素材!$1:$1016,COLUMN($E$1),FALSE),0),"")</f>
        <v>0</v>
      </c>
      <c r="L91">
        <f>IFERROR(VLOOKUP($D91,素材!$1:$1016,COLUMN($F$1),FALSE),"")</f>
        <v>0</v>
      </c>
      <c r="M91">
        <f>IFERROR(VLOOKUP($C91,装備品!$1:$998,COLUMN(AA$1),FALSE)*VLOOKUP($D91,素材!$1:$1016,COLUMN($G$1),FALSE),"")</f>
        <v>0</v>
      </c>
      <c r="N91">
        <f>IFERROR(VLOOKUP($C91,装備品!$1:$998,COLUMN(I$1),FALSE),"")</f>
        <v>0</v>
      </c>
      <c r="O91" s="23">
        <f>IFERROR((VLOOKUP($C91,装備品!$1:$998,COLUMN(K$1),FALSE)+VLOOKUP($D91,素材!$1:$1016,COLUMN(H$1),FALSE))*100+IFERROR(VLOOKUP($CI91,付与!$1:$1167,COLUMN(O$1),FALSE),0),"")</f>
        <v>15</v>
      </c>
      <c r="P91" s="23">
        <f>IFERROR((VLOOKUP($C91,装備品!$1:$998,COLUMN(L$1),FALSE)+VLOOKUP($D91,素材!$1:$1016,COLUMN(I$1),FALSE))*100+IFERROR(VLOOKUP($CI91,付与!$1:$1167,COLUMN(P$1),FALSE),0),"")</f>
        <v>125</v>
      </c>
      <c r="Q91">
        <f>IFERROR(ROUNDUP(VLOOKUP($C91,装備品!$1:$998,COLUMN(M$1),FALSE)*(VLOOKUP($D91,素材!$1:$1002,COLUMN(D$1),FALSE)/100),1),"")</f>
        <v>0</v>
      </c>
      <c r="R91">
        <f>IFERROR(ROUNDUP(VLOOKUP($C91,装備品!$1:$998,COLUMN(N$1),FALSE)*(VLOOKUP($D91,素材!$1:$1002,COLUMN(D$1),FALSE)/100),1),"")</f>
        <v>-2.1</v>
      </c>
      <c r="S91">
        <f>IFERROR(VLOOKUP($C91,装備品!$1:$998,COLUMN(P$1),FALSE),"")</f>
        <v>0</v>
      </c>
      <c r="T91">
        <f>IFERROR(VLOOKUP($C91,装備品!$1:$998,COLUMN(Q$1),FALSE),"")</f>
        <v>0</v>
      </c>
      <c r="U91">
        <f>IFERROR(VLOOKUP($C91,装備品!$1:$998,COLUMN(R$1),FALSE),"")</f>
        <v>0</v>
      </c>
      <c r="V91">
        <f>IFERROR(VLOOKUP($C91,装備品!$1:$998,COLUMN(Q$1),FALSE),"")</f>
        <v>0</v>
      </c>
      <c r="W91">
        <f>IFERROR(VLOOKUP($C91,装備品!$1:$998,COLUMN(T$1),FALSE),"")</f>
        <v>0</v>
      </c>
      <c r="Y91">
        <f>IFERROR(VLOOKUP($C91,装備品!$1:$998,COLUMN(U$1),FALSE),"")</f>
        <v>0</v>
      </c>
      <c r="Z91">
        <f>IFERROR(ROUNDUP(VLOOKUP($C91,装備品!$1:$998,COLUMN(O$1),FALSE)*VLOOKUP($D91,素材!$1:$1016,COLUMN(E$1),FALSE),1),"")</f>
        <v>0</v>
      </c>
      <c r="AA91">
        <f>IF(ISNUMBER(SEARCH(SUBSTITUTE(AA$1,RIGHT(AA$1,2),""),VLOOKUP($D91,素材!$1:$1016,COLUMN($F$1),FALSE))),VLOOKUP($C91,装備品!$1:$998,COLUMN($O$1),FALSE)*VLOOKUP($D91,素材!$1:$1016,COLUMN($E$1),FALSE)/(LEN(VLOOKUP($D91,素材!$1:$1016,COLUMN($F$1),FALSE))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B91">
        <f>IF(ISNUMBER(SEARCH(SUBSTITUTE(AB$1,RIGHT(AB$1,2),""),VLOOKUP($D91,素材!$1:$1016,COLUMN($F$1),FALSE))),VLOOKUP($C91,装備品!$1:$998,COLUMN($O$1),FALSE)*VLOOKUP($D91,素材!$1:$1016,COLUMN($E$1),FALSE)/(LEN(VLOOKUP($D91,素材!$1:$1016,COLUMN($F$1),FALSE))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C91">
        <f>IF(ISNUMBER(SEARCH(SUBSTITUTE(AC$1,RIGHT(AC$1,2),""),VLOOKUP($D91,素材!$1:$1016,COLUMN($F$1),FALSE))),VLOOKUP($C91,装備品!$1:$998,COLUMN($O$1),FALSE)*VLOOKUP($D91,素材!$1:$1016,COLUMN($E$1),FALSE)/(LEN(VLOOKUP($D91,素材!$1:$1016,COLUMN($F$1),FALSE))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D91">
        <f>IF(ISNUMBER(SEARCH(SUBSTITUTE(AD$1,RIGHT(AD$1,2),""),VLOOKUP($D91,素材!$1:$1016,COLUMN($F$1),FALSE))),VLOOKUP($C91,装備品!$1:$998,COLUMN($O$1),FALSE)*VLOOKUP($D91,素材!$1:$1016,COLUMN($E$1),FALSE)/(LEN(VLOOKUP($D91,素材!$1:$1016,COLUMN($F$1),FALSE))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E91">
        <f>IF(ISNUMBER(SEARCH(SUBSTITUTE(AE$1,RIGHT(AE$1,2),""),VLOOKUP($D91,素材!$1:$1016,COLUMN($F$1),FALSE))),VLOOKUP($C91,装備品!$1:$998,COLUMN($O$1),FALSE)*VLOOKUP($D91,素材!$1:$1016,COLUMN($E$1),FALSE)/(LEN(VLOOKUP($D91,素材!$1:$1016,COLUMN($F$1),FALSE))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F91">
        <f>IF(ISNUMBER(SEARCH(SUBSTITUTE(AF$1,RIGHT(AF$1,2),""),VLOOKUP($D91,素材!$1:$1016,COLUMN($F$1),FALSE))),VLOOKUP($C91,装備品!$1:$998,COLUMN($O$1),FALSE)*VLOOKUP($D91,素材!$1:$1016,COLUMN($E$1),FALSE)/(LEN(VLOOKUP($D91,素材!$1:$1016,COLUMN($F$1),FALSE))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G91">
        <f>IF(ISNUMBER(SEARCH(SUBSTITUTE(AG$1,RIGHT(AG$1,2),""),VLOOKUP($D91,素材!$1:$1016,COLUMN($F$1),FALSE))),VLOOKUP($C91,装備品!$1:$998,COLUMN($O$1),FALSE)*VLOOKUP($D91,素材!$1:$1016,COLUMN($E$1),FALSE)/(LEN(VLOOKUP($D91,素材!$1:$1016,COLUMN($F$1),FALSE))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H91">
        <f>IF(ISNUMBER(SEARCH(SUBSTITUTE(AH$1,RIGHT(AH$1,2),""),VLOOKUP($D91,素材!$1:$1016,COLUMN($F$1),FALSE))),VLOOKUP($C91,装備品!$1:$998,COLUMN($O$1),FALSE)*VLOOKUP($D91,素材!$1:$1016,COLUMN($E$1),FALSE)/(LEN(VLOOKUP($D91,素材!$1:$1016,COLUMN($F$1),FALSE))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I91">
        <f>IF(ISNUMBER(SEARCH(SUBSTITUTE(AI$1,RIGHT(AI$1,2),""),VLOOKUP($D91,素材!$1:$1016,COLUMN($F$1),FALSE))),VLOOKUP($C91,装備品!$1:$998,COLUMN($O$1),FALSE)*VLOOKUP($D91,素材!$1:$1016,COLUMN($E$1),FALSE)/(LEN(VLOOKUP($D91,素材!$1:$1016,COLUMN($F$1),FALSE))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J91">
        <f>IF(ISNUMBER(SEARCH(SUBSTITUTE(AJ$1,RIGHT(AJ$1,2),""),VLOOKUP($D91,素材!$1:$1016,COLUMN($F$1),FALSE))),VLOOKUP($C91,装備品!$1:$998,COLUMN($O$1),FALSE)*VLOOKUP($D91,素材!$1:$1016,COLUMN($E$1),FALSE)/(LEN(VLOOKUP($D91,素材!$1:$1016,COLUMN($F$1),FALSE))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K91">
        <f>IF(ISNUMBER(SEARCH(SUBSTITUTE(AK$1,RIGHT(AK$1,2),""),VLOOKUP($D91,素材!$1:$1016,COLUMN($F$1),FALSE))),VLOOKUP($C91,装備品!$1:$998,COLUMN($O$1),FALSE)*VLOOKUP($D91,素材!$1:$1016,COLUMN($E$1),FALSE)/(LEN(VLOOKUP($D91,素材!$1:$1016,COLUMN($F$1),FALSE))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L91">
        <f>IF(ISNUMBER(SEARCH(SUBSTITUTE(AL$1,RIGHT(AL$1,2),""),VLOOKUP($D91,素材!$1:$1016,COLUMN($F$1),FALSE))),VLOOKUP($C91,装備品!$1:$998,COLUMN($O$1),FALSE)*VLOOKUP($D91,素材!$1:$1016,COLUMN($E$1),FALSE)/(LEN(VLOOKUP($D91,素材!$1:$1016,COLUMN($F$1),FALSE))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M91">
        <f>IF(ISNUMBER(SEARCH(SUBSTITUTE(AM$1,RIGHT(AM$1,2),""),VLOOKUP($D91,素材!$1:$1016,COLUMN($F$1),FALSE))),VLOOKUP($C91,装備品!$1:$998,COLUMN($O$1),FALSE)*VLOOKUP($D91,素材!$1:$1016,COLUMN($E$1),FALSE)/(LEN(VLOOKUP($D91,素材!$1:$1016,COLUMN($F$1),FALSE))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N91">
        <f>IF(ISNUMBER(SEARCH(SUBSTITUTE(AN$1,RIGHT(AN$1,2),""),VLOOKUP($D91,素材!$1:$1016,COLUMN($F$1),FALSE))),VLOOKUP($C91,装備品!$1:$998,COLUMN($O$1),FALSE)*VLOOKUP($D91,素材!$1:$1016,COLUMN($E$1),FALSE)/(LEN(VLOOKUP($D91,素材!$1:$1016,COLUMN($F$1),FALSE))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O91">
        <f>IF(ISNUMBER(SEARCH(SUBSTITUTE(AO$1,RIGHT(AO$1,2),""),VLOOKUP($D91,素材!$1:$1016,COLUMN($F$1),FALSE))),VLOOKUP($C91,装備品!$1:$998,COLUMN($O$1),FALSE)*VLOOKUP($D91,素材!$1:$1016,COLUMN($E$1),FALSE)/(LEN(VLOOKUP($D91,素材!$1:$1016,COLUMN($F$1),FALSE))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P91">
        <f>IF(ISNUMBER(SEARCH(SUBSTITUTE(AP$1,RIGHT(AP$1,2),""),VLOOKUP($D91,素材!$1:$1016,COLUMN($F$1),FALSE))),VLOOKUP($C91,装備品!$1:$998,COLUMN($O$1),FALSE)*VLOOKUP($D91,素材!$1:$1016,COLUMN($E$1),FALSE)/(LEN(VLOOKUP($D91,素材!$1:$1016,COLUMN($F$1),FALSE))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Q91">
        <f>IF(ISNUMBER(SEARCH(SUBSTITUTE(AQ$1,RIGHT(AQ$1,2),""),VLOOKUP($D91,素材!$1:$1016,COLUMN($F$1),FALSE))),VLOOKUP($C91,装備品!$1:$998,COLUMN($O$1),FALSE)*VLOOKUP($D91,素材!$1:$1016,COLUMN($E$1),FALSE)/(LEN(VLOOKUP($D91,素材!$1:$1016,COLUMN($F$1),FALSE))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R91">
        <f>IF(ISNUMBER(SEARCH(SUBSTITUTE(AR$1,RIGHT(AR$1,2),""),VLOOKUP($D91,素材!$1:$1016,COLUMN($F$1),FALSE))),VLOOKUP($C91,装備品!$1:$998,COLUMN($O$1),FALSE)*VLOOKUP($D91,素材!$1:$1016,COLUMN($E$1),FALSE)/(LEN(VLOOKUP($D91,素材!$1:$1016,COLUMN($F$1),FALSE))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S91">
        <f>IF(ISNUMBER(SEARCH(SUBSTITUTE(AS$1,RIGHT(AS$1,2),""),VLOOKUP($D91,素材!$1:$1016,COLUMN($F$1),FALSE))),VLOOKUP($C91,装備品!$1:$998,COLUMN($O$1),FALSE)*VLOOKUP($D91,素材!$1:$1016,COLUMN($E$1),FALSE)/(LEN(VLOOKUP($D91,素材!$1:$1016,COLUMN($F$1),FALSE))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T91">
        <f>IF(ISNUMBER(SEARCH(SUBSTITUTE(AT$1,RIGHT(AT$1,2),""),VLOOKUP($D91,素材!$1:$1016,COLUMN($F$1),FALSE))),VLOOKUP($C91,装備品!$1:$998,COLUMN($O$1),FALSE)*VLOOKUP($D91,素材!$1:$1016,COLUMN($E$1),FALSE)/(LEN(VLOOKUP($D91,素材!$1:$1016,COLUMN($F$1),FALSE))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U91">
        <f>IF(ISNUMBER(SEARCH(SUBSTITUTE(AU$1,RIGHT(AU$1,2),""),VLOOKUP($D91,素材!$1:$1016,COLUMN($F$1),FALSE))),VLOOKUP($C91,装備品!$1:$998,COLUMN($O$1),FALSE)*VLOOKUP($D91,素材!$1:$1016,COLUMN($E$1),FALSE)/(LEN(VLOOKUP($D91,素材!$1:$1016,COLUMN($F$1),FALSE))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V91">
        <f>IF(ISNUMBER(SEARCH(SUBSTITUTE(AV$1,RIGHT(AV$1,2),""),VLOOKUP($D91,素材!$1:$1016,COLUMN($F$1),FALSE))),VLOOKUP($C91,装備品!$1:$998,COLUMN($O$1),FALSE)*VLOOKUP($D91,素材!$1:$1016,COLUMN($E$1),FALSE)/(LEN(VLOOKUP($D91,素材!$1:$1016,COLUMN($F$1),FALSE))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W91">
        <f>IF(ISNUMBER(SEARCH(SUBSTITUTE(AW$1,RIGHT(AW$1,2),""),VLOOKUP($D91,素材!$1:$1016,COLUMN($F$1),FALSE))),VLOOKUP($C91,装備品!$1:$998,COLUMN($O$1),FALSE)*VLOOKUP($D91,素材!$1:$1016,COLUMN($E$1),FALSE)/(LEN(VLOOKUP($D91,素材!$1:$1016,COLUMN($F$1),FALSE))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X91">
        <f>IF(ISNUMBER(SEARCH(SUBSTITUTE(AX$1,RIGHT(AX$1,2),""),VLOOKUP($D91,素材!$1:$1016,COLUMN($F$1),FALSE))),VLOOKUP($C91,装備品!$1:$998,COLUMN($O$1),FALSE)*VLOOKUP($D91,素材!$1:$1016,COLUMN($E$1),FALSE)/(LEN(VLOOKUP($D91,素材!$1:$1016,COLUMN($F$1),FALSE))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Y91">
        <f>IF(ISNUMBER(SEARCH(SUBSTITUTE(AY$1,RIGHT(AY$1,2),""),VLOOKUP($D91,素材!$1:$1016,COLUMN($F$1),FALSE))),VLOOKUP($C91,装備品!$1:$998,COLUMN($O$1),FALSE)*VLOOKUP($D91,素材!$1:$1016,COLUMN($E$1),FALSE)/(LEN(VLOOKUP($D91,素材!$1:$1016,COLUMN($F$1),FALSE))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Z91">
        <f>IF(ISNUMBER(SEARCH(SUBSTITUTE(AZ$1,RIGHT(AZ$1,2),""),VLOOKUP($D91,素材!$1:$1016,COLUMN($F$1),FALSE))),VLOOKUP($C91,装備品!$1:$998,COLUMN($O$1),FALSE)*VLOOKUP($D91,素材!$1:$1016,COLUMN($E$1),FALSE)/(LEN(VLOOKUP($D91,素材!$1:$1016,COLUMN($F$1),FALSE))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BA91">
        <f>IF(ISNUMBER(SEARCH(SUBSTITUTE(BA$1,RIGHT(BA$1,2),""),VLOOKUP($D91,素材!$1:$1016,COLUMN($F$1),FALSE))),VLOOKUP($C91,装備品!$1:$998,COLUMN($O$1),FALSE)*VLOOKUP($D91,素材!$1:$1016,COLUMN($E$1),FALSE)/(LEN(VLOOKUP($D91,素材!$1:$1016,COLUMN($F$1),FALSE))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BB91">
        <f>IF(ISNUMBER(SEARCH(SUBSTITUTE(BB$1,RIGHT(BB$1,2),""),VLOOKUP($D91,素材!$1:$1016,COLUMN($F$1),FALSE))),VLOOKUP($C91,装備品!$1:$998,COLUMN($O$1),FALSE)*VLOOKUP($D91,素材!$1:$1016,COLUMN($E$1),FALSE)/(LEN(VLOOKUP($D91,素材!$1:$1016,COLUMN($F$1),FALSE))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BC91">
        <f>IF(ISNUMBER(SEARCH(SUBSTITUTE(BC$1,RIGHT(BC$1,2),""),VLOOKUP($D91,素材!$1:$1016,COLUMN($F$1),FALSE))),VLOOKUP($C91,装備品!$1:$998,COLUMN($O$1),FALSE)*VLOOKUP($D91,素材!$1:$1016,COLUMN($E$1),FALSE)/(LEN(VLOOKUP($D91,素材!$1:$1016,COLUMN($F$1),FALSE))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BD91">
        <f>IF(ISNUMBER(SEARCH(SUBSTITUTE(BD$1,RIGHT(BD$1,2),""),VLOOKUP($D91,素材!$1:$1016,COLUMN($F$1),FALSE))),VLOOKUP($C91,装備品!$1:$998,COLUMN($O$1),FALSE)*VLOOKUP($D91,素材!$1:$1016,COLUMN($E$1),FALSE)/(LEN(VLOOKUP($D91,素材!$1:$1016,COLUMN($F$1),FALSE))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BE91">
        <f>IF(ISNUMBER(SEARCH(SUBSTITUTE(BE$1,RIGHT(BE$1,2),""),VLOOKUP($D91,素材!$1:$1016,COLUMN($F$1),FALSE))),VLOOKUP($C91,装備品!$1:$998,COLUMN($O$1),FALSE)*VLOOKUP($D91,素材!$1:$1016,COLUMN($E$1),FALSE)/(LEN(VLOOKUP($D91,素材!$1:$1016,COLUMN($F$1),FALSE))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CL91">
        <f t="shared" si="7"/>
        <v>31</v>
      </c>
      <c r="CM91" s="22" t="str">
        <f t="shared" si="8"/>
        <v>打撃.webp</v>
      </c>
      <c r="CN91">
        <f>IFERROR(VLOOKUP($C91,装備品!$1:$998,COLUMN(V$1),FALSE)*VLOOKUP($D91,素材!$1:$1016,COLUMN(N$1),FALSE)+IF(CI91="",0,VLOOKUP($CI91,付与!$1:$1176,COLUMN($CK$1),FALSE)),"")</f>
        <v>0</v>
      </c>
      <c r="CO91" t="str">
        <f>VLOOKUP(D91,素材!$A:$O,COLUMN(素材!O$1),FALSE)</f>
        <v>鍛えられた鉄。硬度が高く安価なためよく使用される。</v>
      </c>
      <c r="CP91" t="str">
        <f>VLOOKUP(C91,装備品!$A:$AB,COLUMN(装備品!AB$1),FALSE)</f>
        <v>戦棍。打撃に優れた武器。Cr率が高い</v>
      </c>
      <c r="CR91" t="str">
        <f t="shared" si="9"/>
        <v>e_91</v>
      </c>
      <c r="CS91">
        <f t="shared" si="10"/>
        <v>0</v>
      </c>
    </row>
    <row r="92" spans="1:97" outlineLevel="1" x14ac:dyDescent="0.4">
      <c r="A92" t="str">
        <f t="shared" si="6"/>
        <v>鋼の棘棍</v>
      </c>
      <c r="B92" t="str">
        <f>IFERROR(VLOOKUP($D92,素材!$1:$1016,COLUMN($B$1),FALSE)&amp;"・"&amp;VLOOKUP($C92,装備品!$1:$998,COLUMN(B$1),FALSE),"")</f>
        <v>スチール・モーニングスター</v>
      </c>
      <c r="C92" t="s">
        <v>227</v>
      </c>
      <c r="D92" s="24" t="s">
        <v>252</v>
      </c>
      <c r="E92" t="str">
        <f>IFERROR(VLOOKUP(C92,装備品!$1:$998,COLUMN(C$1),FALSE),"")</f>
        <v>武器</v>
      </c>
      <c r="F92">
        <f>IFERROR(ROUNDDOWN((VLOOKUP($C92,装備品!$1:$998,COLUMN(D$1),FALSE)+IFERROR(VLOOKUP($CI92,付与!$1:$1167,COLUMN(F$1),FALSE),0))*VLOOKUP($D92,素材!$1:$1016,COLUMN(D$1),FALSE),0),"")</f>
        <v>110</v>
      </c>
      <c r="G92">
        <f>IFERROR(ROUNDDOWN((VLOOKUP($C92,装備品!$1:$998,COLUMN(E$1),FALSE)+IFERROR(VLOOKUP($CI92,付与!$1:$1167,COLUMN(G$1),FALSE),0))*VLOOKUP($D92,素材!$1:$1016,COLUMN($E$1),FALSE),0),"")</f>
        <v>0</v>
      </c>
      <c r="H92">
        <f>IFERROR(ROUNDDOWN((VLOOKUP($C92,装備品!$1:$998,COLUMN(F$1),FALSE)+IFERROR(VLOOKUP($CI92,付与!$1:$1167,COLUMN(H$1),FALSE),0))*VLOOKUP($D92,素材!$1:$1016,COLUMN($E$1),FALSE),0),"")</f>
        <v>16</v>
      </c>
      <c r="I92">
        <f>IFERROR(ROUNDDOWN((VLOOKUP($C92,装備品!$1:$998,COLUMN(G$1),FALSE)+IFERROR(VLOOKUP($CI92,付与!$1:$1167,COLUMN(I$1),FALSE),0))*VLOOKUP($D92,素材!$1:$1016,COLUMN($E$1),FALSE),0),"")</f>
        <v>16</v>
      </c>
      <c r="J92">
        <f>IFERROR(ROUNDDOWN((VLOOKUP($C92,装備品!$1:$998,COLUMN(H$1),FALSE)+IFERROR(VLOOKUP($CI92,付与!$1:$1167,COLUMN(J$1),FALSE),0))*VLOOKUP($D92,素材!$1:$1016,COLUMN($E$1),FALSE),0),"")</f>
        <v>25</v>
      </c>
      <c r="K92">
        <f>IFERROR(ROUNDDOWN((VLOOKUP($C92,装備品!$1:$998,COLUMN(I$1),FALSE)+IFERROR(VLOOKUP($CI92,付与!$1:$1167,COLUMN(K$1),FALSE),0))*VLOOKUP($D92,素材!$1:$1016,COLUMN($E$1),FALSE),0),"")</f>
        <v>0</v>
      </c>
      <c r="L92">
        <f>IFERROR(VLOOKUP($D92,素材!$1:$1016,COLUMN($F$1),FALSE),"")</f>
        <v>0</v>
      </c>
      <c r="M92">
        <f>IFERROR(VLOOKUP($C92,装備品!$1:$998,COLUMN(AA$1),FALSE)*VLOOKUP($D92,素材!$1:$1016,COLUMN($G$1),FALSE),"")</f>
        <v>0</v>
      </c>
      <c r="N92">
        <f>IFERROR(VLOOKUP($C92,装備品!$1:$998,COLUMN(I$1),FALSE),"")</f>
        <v>0</v>
      </c>
      <c r="O92" s="23">
        <f>IFERROR((VLOOKUP($C92,装備品!$1:$998,COLUMN(K$1),FALSE)+VLOOKUP($D92,素材!$1:$1016,COLUMN(H$1),FALSE))*100+IFERROR(VLOOKUP($CI92,付与!$1:$1167,COLUMN(O$1),FALSE),0),"")</f>
        <v>10</v>
      </c>
      <c r="P92" s="23">
        <f>IFERROR((VLOOKUP($C92,装備品!$1:$998,COLUMN(L$1),FALSE)+VLOOKUP($D92,素材!$1:$1016,COLUMN(I$1),FALSE))*100+IFERROR(VLOOKUP($CI92,付与!$1:$1167,COLUMN(P$1),FALSE),0),"")</f>
        <v>125</v>
      </c>
      <c r="Q92">
        <f>IFERROR(ROUNDUP(VLOOKUP($C92,装備品!$1:$998,COLUMN(M$1),FALSE)*(VLOOKUP($D92,素材!$1:$1002,COLUMN(D$1),FALSE)/100),1),"")</f>
        <v>-2.7</v>
      </c>
      <c r="R92">
        <f>IFERROR(ROUNDUP(VLOOKUP($C92,装備品!$1:$998,COLUMN(N$1),FALSE)*(VLOOKUP($D92,素材!$1:$1002,COLUMN(D$1),FALSE)/100),1),"")</f>
        <v>-2.7</v>
      </c>
      <c r="S92">
        <f>IFERROR(VLOOKUP($C92,装備品!$1:$998,COLUMN(P$1),FALSE),"")</f>
        <v>0</v>
      </c>
      <c r="T92">
        <f>IFERROR(VLOOKUP($C92,装備品!$1:$998,COLUMN(Q$1),FALSE),"")</f>
        <v>0</v>
      </c>
      <c r="U92">
        <f>IFERROR(VLOOKUP($C92,装備品!$1:$998,COLUMN(R$1),FALSE),"")</f>
        <v>0</v>
      </c>
      <c r="V92">
        <f>IFERROR(VLOOKUP($C92,装備品!$1:$998,COLUMN(Q$1),FALSE),"")</f>
        <v>0</v>
      </c>
      <c r="W92">
        <f>IFERROR(VLOOKUP($C92,装備品!$1:$998,COLUMN(T$1),FALSE),"")</f>
        <v>0</v>
      </c>
      <c r="Y92">
        <f>IFERROR(VLOOKUP($C92,装備品!$1:$998,COLUMN(U$1),FALSE),"")</f>
        <v>0</v>
      </c>
      <c r="Z92">
        <f>IFERROR(ROUNDUP(VLOOKUP($C92,装備品!$1:$998,COLUMN(O$1),FALSE)*VLOOKUP($D92,素材!$1:$1016,COLUMN(E$1),FALSE),1),"")</f>
        <v>0</v>
      </c>
      <c r="AA92">
        <f>IF(ISNUMBER(SEARCH(SUBSTITUTE(AA$1,RIGHT(AA$1,2),""),VLOOKUP($D92,素材!$1:$1016,COLUMN($F$1),FALSE))),VLOOKUP($C92,装備品!$1:$998,COLUMN($O$1),FALSE)*VLOOKUP($D92,素材!$1:$1016,COLUMN($E$1),FALSE)/(LEN(VLOOKUP($D92,素材!$1:$1016,COLUMN($F$1),FALSE))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B92">
        <f>IF(ISNUMBER(SEARCH(SUBSTITUTE(AB$1,RIGHT(AB$1,2),""),VLOOKUP($D92,素材!$1:$1016,COLUMN($F$1),FALSE))),VLOOKUP($C92,装備品!$1:$998,COLUMN($O$1),FALSE)*VLOOKUP($D92,素材!$1:$1016,COLUMN($E$1),FALSE)/(LEN(VLOOKUP($D92,素材!$1:$1016,COLUMN($F$1),FALSE))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C92">
        <f>IF(ISNUMBER(SEARCH(SUBSTITUTE(AC$1,RIGHT(AC$1,2),""),VLOOKUP($D92,素材!$1:$1016,COLUMN($F$1),FALSE))),VLOOKUP($C92,装備品!$1:$998,COLUMN($O$1),FALSE)*VLOOKUP($D92,素材!$1:$1016,COLUMN($E$1),FALSE)/(LEN(VLOOKUP($D92,素材!$1:$1016,COLUMN($F$1),FALSE))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D92">
        <f>IF(ISNUMBER(SEARCH(SUBSTITUTE(AD$1,RIGHT(AD$1,2),""),VLOOKUP($D92,素材!$1:$1016,COLUMN($F$1),FALSE))),VLOOKUP($C92,装備品!$1:$998,COLUMN($O$1),FALSE)*VLOOKUP($D92,素材!$1:$1016,COLUMN($E$1),FALSE)/(LEN(VLOOKUP($D92,素材!$1:$1016,COLUMN($F$1),FALSE))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E92">
        <f>IF(ISNUMBER(SEARCH(SUBSTITUTE(AE$1,RIGHT(AE$1,2),""),VLOOKUP($D92,素材!$1:$1016,COLUMN($F$1),FALSE))),VLOOKUP($C92,装備品!$1:$998,COLUMN($O$1),FALSE)*VLOOKUP($D92,素材!$1:$1016,COLUMN($E$1),FALSE)/(LEN(VLOOKUP($D92,素材!$1:$1016,COLUMN($F$1),FALSE))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F92">
        <f>IF(ISNUMBER(SEARCH(SUBSTITUTE(AF$1,RIGHT(AF$1,2),""),VLOOKUP($D92,素材!$1:$1016,COLUMN($F$1),FALSE))),VLOOKUP($C92,装備品!$1:$998,COLUMN($O$1),FALSE)*VLOOKUP($D92,素材!$1:$1016,COLUMN($E$1),FALSE)/(LEN(VLOOKUP($D92,素材!$1:$1016,COLUMN($F$1),FALSE))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G92">
        <f>IF(ISNUMBER(SEARCH(SUBSTITUTE(AG$1,RIGHT(AG$1,2),""),VLOOKUP($D92,素材!$1:$1016,COLUMN($F$1),FALSE))),VLOOKUP($C92,装備品!$1:$998,COLUMN($O$1),FALSE)*VLOOKUP($D92,素材!$1:$1016,COLUMN($E$1),FALSE)/(LEN(VLOOKUP($D92,素材!$1:$1016,COLUMN($F$1),FALSE))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H92">
        <f>IF(ISNUMBER(SEARCH(SUBSTITUTE(AH$1,RIGHT(AH$1,2),""),VLOOKUP($D92,素材!$1:$1016,COLUMN($F$1),FALSE))),VLOOKUP($C92,装備品!$1:$998,COLUMN($O$1),FALSE)*VLOOKUP($D92,素材!$1:$1016,COLUMN($E$1),FALSE)/(LEN(VLOOKUP($D92,素材!$1:$1016,COLUMN($F$1),FALSE))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I92">
        <f>IF(ISNUMBER(SEARCH(SUBSTITUTE(AI$1,RIGHT(AI$1,2),""),VLOOKUP($D92,素材!$1:$1016,COLUMN($F$1),FALSE))),VLOOKUP($C92,装備品!$1:$998,COLUMN($O$1),FALSE)*VLOOKUP($D92,素材!$1:$1016,COLUMN($E$1),FALSE)/(LEN(VLOOKUP($D92,素材!$1:$1016,COLUMN($F$1),FALSE))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J92">
        <f>IF(ISNUMBER(SEARCH(SUBSTITUTE(AJ$1,RIGHT(AJ$1,2),""),VLOOKUP($D92,素材!$1:$1016,COLUMN($F$1),FALSE))),VLOOKUP($C92,装備品!$1:$998,COLUMN($O$1),FALSE)*VLOOKUP($D92,素材!$1:$1016,COLUMN($E$1),FALSE)/(LEN(VLOOKUP($D92,素材!$1:$1016,COLUMN($F$1),FALSE))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K92">
        <f>IF(ISNUMBER(SEARCH(SUBSTITUTE(AK$1,RIGHT(AK$1,2),""),VLOOKUP($D92,素材!$1:$1016,COLUMN($F$1),FALSE))),VLOOKUP($C92,装備品!$1:$998,COLUMN($O$1),FALSE)*VLOOKUP($D92,素材!$1:$1016,COLUMN($E$1),FALSE)/(LEN(VLOOKUP($D92,素材!$1:$1016,COLUMN($F$1),FALSE))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L92">
        <f>IF(ISNUMBER(SEARCH(SUBSTITUTE(AL$1,RIGHT(AL$1,2),""),VLOOKUP($D92,素材!$1:$1016,COLUMN($F$1),FALSE))),VLOOKUP($C92,装備品!$1:$998,COLUMN($O$1),FALSE)*VLOOKUP($D92,素材!$1:$1016,COLUMN($E$1),FALSE)/(LEN(VLOOKUP($D92,素材!$1:$1016,COLUMN($F$1),FALSE))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M92">
        <f>IF(ISNUMBER(SEARCH(SUBSTITUTE(AM$1,RIGHT(AM$1,2),""),VLOOKUP($D92,素材!$1:$1016,COLUMN($F$1),FALSE))),VLOOKUP($C92,装備品!$1:$998,COLUMN($O$1),FALSE)*VLOOKUP($D92,素材!$1:$1016,COLUMN($E$1),FALSE)/(LEN(VLOOKUP($D92,素材!$1:$1016,COLUMN($F$1),FALSE))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N92">
        <f>IF(ISNUMBER(SEARCH(SUBSTITUTE(AN$1,RIGHT(AN$1,2),""),VLOOKUP($D92,素材!$1:$1016,COLUMN($F$1),FALSE))),VLOOKUP($C92,装備品!$1:$998,COLUMN($O$1),FALSE)*VLOOKUP($D92,素材!$1:$1016,COLUMN($E$1),FALSE)/(LEN(VLOOKUP($D92,素材!$1:$1016,COLUMN($F$1),FALSE))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O92">
        <f>IF(ISNUMBER(SEARCH(SUBSTITUTE(AO$1,RIGHT(AO$1,2),""),VLOOKUP($D92,素材!$1:$1016,COLUMN($F$1),FALSE))),VLOOKUP($C92,装備品!$1:$998,COLUMN($O$1),FALSE)*VLOOKUP($D92,素材!$1:$1016,COLUMN($E$1),FALSE)/(LEN(VLOOKUP($D92,素材!$1:$1016,COLUMN($F$1),FALSE))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P92">
        <f>IF(ISNUMBER(SEARCH(SUBSTITUTE(AP$1,RIGHT(AP$1,2),""),VLOOKUP($D92,素材!$1:$1016,COLUMN($F$1),FALSE))),VLOOKUP($C92,装備品!$1:$998,COLUMN($O$1),FALSE)*VLOOKUP($D92,素材!$1:$1016,COLUMN($E$1),FALSE)/(LEN(VLOOKUP($D92,素材!$1:$1016,COLUMN($F$1),FALSE))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Q92">
        <f>IF(ISNUMBER(SEARCH(SUBSTITUTE(AQ$1,RIGHT(AQ$1,2),""),VLOOKUP($D92,素材!$1:$1016,COLUMN($F$1),FALSE))),VLOOKUP($C92,装備品!$1:$998,COLUMN($O$1),FALSE)*VLOOKUP($D92,素材!$1:$1016,COLUMN($E$1),FALSE)/(LEN(VLOOKUP($D92,素材!$1:$1016,COLUMN($F$1),FALSE))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R92">
        <f>IF(ISNUMBER(SEARCH(SUBSTITUTE(AR$1,RIGHT(AR$1,2),""),VLOOKUP($D92,素材!$1:$1016,COLUMN($F$1),FALSE))),VLOOKUP($C92,装備品!$1:$998,COLUMN($O$1),FALSE)*VLOOKUP($D92,素材!$1:$1016,COLUMN($E$1),FALSE)/(LEN(VLOOKUP($D92,素材!$1:$1016,COLUMN($F$1),FALSE))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S92">
        <f>IF(ISNUMBER(SEARCH(SUBSTITUTE(AS$1,RIGHT(AS$1,2),""),VLOOKUP($D92,素材!$1:$1016,COLUMN($F$1),FALSE))),VLOOKUP($C92,装備品!$1:$998,COLUMN($O$1),FALSE)*VLOOKUP($D92,素材!$1:$1016,COLUMN($E$1),FALSE)/(LEN(VLOOKUP($D92,素材!$1:$1016,COLUMN($F$1),FALSE))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T92">
        <f>IF(ISNUMBER(SEARCH(SUBSTITUTE(AT$1,RIGHT(AT$1,2),""),VLOOKUP($D92,素材!$1:$1016,COLUMN($F$1),FALSE))),VLOOKUP($C92,装備品!$1:$998,COLUMN($O$1),FALSE)*VLOOKUP($D92,素材!$1:$1016,COLUMN($E$1),FALSE)/(LEN(VLOOKUP($D92,素材!$1:$1016,COLUMN($F$1),FALSE))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U92">
        <f>IF(ISNUMBER(SEARCH(SUBSTITUTE(AU$1,RIGHT(AU$1,2),""),VLOOKUP($D92,素材!$1:$1016,COLUMN($F$1),FALSE))),VLOOKUP($C92,装備品!$1:$998,COLUMN($O$1),FALSE)*VLOOKUP($D92,素材!$1:$1016,COLUMN($E$1),FALSE)/(LEN(VLOOKUP($D92,素材!$1:$1016,COLUMN($F$1),FALSE))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V92">
        <f>IF(ISNUMBER(SEARCH(SUBSTITUTE(AV$1,RIGHT(AV$1,2),""),VLOOKUP($D92,素材!$1:$1016,COLUMN($F$1),FALSE))),VLOOKUP($C92,装備品!$1:$998,COLUMN($O$1),FALSE)*VLOOKUP($D92,素材!$1:$1016,COLUMN($E$1),FALSE)/(LEN(VLOOKUP($D92,素材!$1:$1016,COLUMN($F$1),FALSE))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W92">
        <f>IF(ISNUMBER(SEARCH(SUBSTITUTE(AW$1,RIGHT(AW$1,2),""),VLOOKUP($D92,素材!$1:$1016,COLUMN($F$1),FALSE))),VLOOKUP($C92,装備品!$1:$998,COLUMN($O$1),FALSE)*VLOOKUP($D92,素材!$1:$1016,COLUMN($E$1),FALSE)/(LEN(VLOOKUP($D92,素材!$1:$1016,COLUMN($F$1),FALSE))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X92">
        <f>IF(ISNUMBER(SEARCH(SUBSTITUTE(AX$1,RIGHT(AX$1,2),""),VLOOKUP($D92,素材!$1:$1016,COLUMN($F$1),FALSE))),VLOOKUP($C92,装備品!$1:$998,COLUMN($O$1),FALSE)*VLOOKUP($D92,素材!$1:$1016,COLUMN($E$1),FALSE)/(LEN(VLOOKUP($D92,素材!$1:$1016,COLUMN($F$1),FALSE))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Y92">
        <f>IF(ISNUMBER(SEARCH(SUBSTITUTE(AY$1,RIGHT(AY$1,2),""),VLOOKUP($D92,素材!$1:$1016,COLUMN($F$1),FALSE))),VLOOKUP($C92,装備品!$1:$998,COLUMN($O$1),FALSE)*VLOOKUP($D92,素材!$1:$1016,COLUMN($E$1),FALSE)/(LEN(VLOOKUP($D92,素材!$1:$1016,COLUMN($F$1),FALSE))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Z92">
        <f>IF(ISNUMBER(SEARCH(SUBSTITUTE(AZ$1,RIGHT(AZ$1,2),""),VLOOKUP($D92,素材!$1:$1016,COLUMN($F$1),FALSE))),VLOOKUP($C92,装備品!$1:$998,COLUMN($O$1),FALSE)*VLOOKUP($D92,素材!$1:$1016,COLUMN($E$1),FALSE)/(LEN(VLOOKUP($D92,素材!$1:$1016,COLUMN($F$1),FALSE))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BA92">
        <f>IF(ISNUMBER(SEARCH(SUBSTITUTE(BA$1,RIGHT(BA$1,2),""),VLOOKUP($D92,素材!$1:$1016,COLUMN($F$1),FALSE))),VLOOKUP($C92,装備品!$1:$998,COLUMN($O$1),FALSE)*VLOOKUP($D92,素材!$1:$1016,COLUMN($E$1),FALSE)/(LEN(VLOOKUP($D92,素材!$1:$1016,COLUMN($F$1),FALSE))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BB92">
        <f>IF(ISNUMBER(SEARCH(SUBSTITUTE(BB$1,RIGHT(BB$1,2),""),VLOOKUP($D92,素材!$1:$1016,COLUMN($F$1),FALSE))),VLOOKUP($C92,装備品!$1:$998,COLUMN($O$1),FALSE)*VLOOKUP($D92,素材!$1:$1016,COLUMN($E$1),FALSE)/(LEN(VLOOKUP($D92,素材!$1:$1016,COLUMN($F$1),FALSE))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BC92">
        <f>IF(ISNUMBER(SEARCH(SUBSTITUTE(BC$1,RIGHT(BC$1,2),""),VLOOKUP($D92,素材!$1:$1016,COLUMN($F$1),FALSE))),VLOOKUP($C92,装備品!$1:$998,COLUMN($O$1),FALSE)*VLOOKUP($D92,素材!$1:$1016,COLUMN($E$1),FALSE)/(LEN(VLOOKUP($D92,素材!$1:$1016,COLUMN($F$1),FALSE))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BD92">
        <f>IF(ISNUMBER(SEARCH(SUBSTITUTE(BD$1,RIGHT(BD$1,2),""),VLOOKUP($D92,素材!$1:$1016,COLUMN($F$1),FALSE))),VLOOKUP($C92,装備品!$1:$998,COLUMN($O$1),FALSE)*VLOOKUP($D92,素材!$1:$1016,COLUMN($E$1),FALSE)/(LEN(VLOOKUP($D92,素材!$1:$1016,COLUMN($F$1),FALSE))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BE92">
        <f>IF(ISNUMBER(SEARCH(SUBSTITUTE(BE$1,RIGHT(BE$1,2),""),VLOOKUP($D92,素材!$1:$1016,COLUMN($F$1),FALSE))),VLOOKUP($C92,装備品!$1:$998,COLUMN($O$1),FALSE)*VLOOKUP($D92,素材!$1:$1016,COLUMN($E$1),FALSE)/(LEN(VLOOKUP($D92,素材!$1:$1016,COLUMN($F$1),FALSE))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CL92">
        <f t="shared" si="7"/>
        <v>32</v>
      </c>
      <c r="CM92" s="22" t="str">
        <f t="shared" si="8"/>
        <v>貫通.webp</v>
      </c>
      <c r="CN92">
        <f>IFERROR(VLOOKUP($C92,装備品!$1:$998,COLUMN(V$1),FALSE)*VLOOKUP($D92,素材!$1:$1016,COLUMN(N$1),FALSE)+IF(CI92="",0,VLOOKUP($CI92,付与!$1:$1176,COLUMN($CK$1),FALSE)),"")</f>
        <v>0</v>
      </c>
      <c r="CO92" t="str">
        <f>VLOOKUP(D92,素材!$A:$O,COLUMN(素材!O$1),FALSE)</f>
        <v>鍛えられた鉄。硬度が高く安価なためよく使用される。</v>
      </c>
      <c r="CP92" t="str">
        <f>VLOOKUP(C92,装備品!$A:$AB,COLUMN(装備品!AB$1),FALSE)</f>
        <v>棘棍。打撃と刺突を兼ね備えた武器。</v>
      </c>
      <c r="CR92" t="str">
        <f t="shared" si="9"/>
        <v>e_92</v>
      </c>
      <c r="CS92">
        <f t="shared" si="10"/>
        <v>0</v>
      </c>
    </row>
    <row r="93" spans="1:97" outlineLevel="1" x14ac:dyDescent="0.4">
      <c r="A93" t="str">
        <f t="shared" si="6"/>
        <v>鋼の鎚</v>
      </c>
      <c r="B93" t="str">
        <f>IFERROR(VLOOKUP($D93,素材!$1:$1016,COLUMN($B$1),FALSE)&amp;"・"&amp;VLOOKUP($C93,装備品!$1:$998,COLUMN(B$1),FALSE),"")</f>
        <v>スチール・ハンマー</v>
      </c>
      <c r="C93" t="s">
        <v>226</v>
      </c>
      <c r="D93" s="24" t="s">
        <v>252</v>
      </c>
      <c r="E93" t="str">
        <f>IFERROR(VLOOKUP(C93,装備品!$1:$998,COLUMN(C$1),FALSE),"")</f>
        <v>武器</v>
      </c>
      <c r="F93">
        <f>IFERROR(ROUNDDOWN((VLOOKUP($C93,装備品!$1:$998,COLUMN(D$1),FALSE)+IFERROR(VLOOKUP($CI93,付与!$1:$1167,COLUMN(F$1),FALSE),0))*VLOOKUP($D93,素材!$1:$1016,COLUMN(D$1),FALSE),0),"")</f>
        <v>115</v>
      </c>
      <c r="G93">
        <f>IFERROR(ROUNDDOWN((VLOOKUP($C93,装備品!$1:$998,COLUMN(E$1),FALSE)+IFERROR(VLOOKUP($CI93,付与!$1:$1167,COLUMN(G$1),FALSE),0))*VLOOKUP($D93,素材!$1:$1016,COLUMN($E$1),FALSE),0),"")</f>
        <v>0</v>
      </c>
      <c r="H93">
        <f>IFERROR(ROUNDDOWN((VLOOKUP($C93,装備品!$1:$998,COLUMN(F$1),FALSE)+IFERROR(VLOOKUP($CI93,付与!$1:$1167,COLUMN(H$1),FALSE),0))*VLOOKUP($D93,素材!$1:$1016,COLUMN($E$1),FALSE),0),"")</f>
        <v>0</v>
      </c>
      <c r="I93">
        <f>IFERROR(ROUNDDOWN((VLOOKUP($C93,装備品!$1:$998,COLUMN(G$1),FALSE)+IFERROR(VLOOKUP($CI93,付与!$1:$1167,COLUMN(I$1),FALSE),0))*VLOOKUP($D93,素材!$1:$1016,COLUMN($E$1),FALSE),0),"")</f>
        <v>29</v>
      </c>
      <c r="J93">
        <f>IFERROR(ROUNDDOWN((VLOOKUP($C93,装備品!$1:$998,COLUMN(H$1),FALSE)+IFERROR(VLOOKUP($CI93,付与!$1:$1167,COLUMN(J$1),FALSE),0))*VLOOKUP($D93,素材!$1:$1016,COLUMN($E$1),FALSE),0),"")</f>
        <v>25</v>
      </c>
      <c r="K93">
        <f>IFERROR(ROUNDDOWN((VLOOKUP($C93,装備品!$1:$998,COLUMN(I$1),FALSE)+IFERROR(VLOOKUP($CI93,付与!$1:$1167,COLUMN(K$1),FALSE),0))*VLOOKUP($D93,素材!$1:$1016,COLUMN($E$1),FALSE),0),"")</f>
        <v>0</v>
      </c>
      <c r="L93">
        <f>IFERROR(VLOOKUP($D93,素材!$1:$1016,COLUMN($F$1),FALSE),"")</f>
        <v>0</v>
      </c>
      <c r="M93">
        <f>IFERROR(VLOOKUP($C93,装備品!$1:$998,COLUMN(AA$1),FALSE)*VLOOKUP($D93,素材!$1:$1016,COLUMN($G$1),FALSE),"")</f>
        <v>0</v>
      </c>
      <c r="N93">
        <f>IFERROR(VLOOKUP($C93,装備品!$1:$998,COLUMN(I$1),FALSE),"")</f>
        <v>0</v>
      </c>
      <c r="O93" s="23">
        <f>IFERROR((VLOOKUP($C93,装備品!$1:$998,COLUMN(K$1),FALSE)+VLOOKUP($D93,素材!$1:$1016,COLUMN(H$1),FALSE))*100+IFERROR(VLOOKUP($CI93,付与!$1:$1167,COLUMN(O$1),FALSE),0),"")</f>
        <v>10</v>
      </c>
      <c r="P93" s="23">
        <f>IFERROR((VLOOKUP($C93,装備品!$1:$998,COLUMN(L$1),FALSE)+VLOOKUP($D93,素材!$1:$1016,COLUMN(I$1),FALSE))*100+IFERROR(VLOOKUP($CI93,付与!$1:$1167,COLUMN(P$1),FALSE),0),"")</f>
        <v>150</v>
      </c>
      <c r="Q93">
        <f>IFERROR(ROUNDUP(VLOOKUP($C93,装備品!$1:$998,COLUMN(M$1),FALSE)*(VLOOKUP($D93,素材!$1:$1002,COLUMN(D$1),FALSE)/100),1),"")</f>
        <v>-2.7</v>
      </c>
      <c r="R93">
        <f>IFERROR(ROUNDUP(VLOOKUP($C93,装備品!$1:$998,COLUMN(N$1),FALSE)*(VLOOKUP($D93,素材!$1:$1002,COLUMN(D$1),FALSE)/100),1),"")</f>
        <v>0</v>
      </c>
      <c r="S93">
        <f>IFERROR(VLOOKUP($C93,装備品!$1:$998,COLUMN(P$1),FALSE),"")</f>
        <v>0</v>
      </c>
      <c r="T93">
        <f>IFERROR(VLOOKUP($C93,装備品!$1:$998,COLUMN(Q$1),FALSE),"")</f>
        <v>0</v>
      </c>
      <c r="U93">
        <f>IFERROR(VLOOKUP($C93,装備品!$1:$998,COLUMN(R$1),FALSE),"")</f>
        <v>0</v>
      </c>
      <c r="V93">
        <f>IFERROR(VLOOKUP($C93,装備品!$1:$998,COLUMN(Q$1),FALSE),"")</f>
        <v>0</v>
      </c>
      <c r="W93">
        <f>IFERROR(VLOOKUP($C93,装備品!$1:$998,COLUMN(T$1),FALSE),"")</f>
        <v>0</v>
      </c>
      <c r="Y93">
        <f>IFERROR(VLOOKUP($C93,装備品!$1:$998,COLUMN(U$1),FALSE),"")</f>
        <v>0</v>
      </c>
      <c r="Z93">
        <f>IFERROR(ROUNDUP(VLOOKUP($C93,装備品!$1:$998,COLUMN(O$1),FALSE)*VLOOKUP($D93,素材!$1:$1016,COLUMN(E$1),FALSE),1),"")</f>
        <v>0</v>
      </c>
      <c r="AA93">
        <f>IF(ISNUMBER(SEARCH(SUBSTITUTE(AA$1,RIGHT(AA$1,2),""),VLOOKUP($D93,素材!$1:$1016,COLUMN($F$1),FALSE))),VLOOKUP($C93,装備品!$1:$998,COLUMN($O$1),FALSE)*VLOOKUP($D93,素材!$1:$1016,COLUMN($E$1),FALSE)/(LEN(VLOOKUP($D93,素材!$1:$1016,COLUMN($F$1),FALSE))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B93">
        <f>IF(ISNUMBER(SEARCH(SUBSTITUTE(AB$1,RIGHT(AB$1,2),""),VLOOKUP($D93,素材!$1:$1016,COLUMN($F$1),FALSE))),VLOOKUP($C93,装備品!$1:$998,COLUMN($O$1),FALSE)*VLOOKUP($D93,素材!$1:$1016,COLUMN($E$1),FALSE)/(LEN(VLOOKUP($D93,素材!$1:$1016,COLUMN($F$1),FALSE))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C93">
        <f>IF(ISNUMBER(SEARCH(SUBSTITUTE(AC$1,RIGHT(AC$1,2),""),VLOOKUP($D93,素材!$1:$1016,COLUMN($F$1),FALSE))),VLOOKUP($C93,装備品!$1:$998,COLUMN($O$1),FALSE)*VLOOKUP($D93,素材!$1:$1016,COLUMN($E$1),FALSE)/(LEN(VLOOKUP($D93,素材!$1:$1016,COLUMN($F$1),FALSE))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D93">
        <f>IF(ISNUMBER(SEARCH(SUBSTITUTE(AD$1,RIGHT(AD$1,2),""),VLOOKUP($D93,素材!$1:$1016,COLUMN($F$1),FALSE))),VLOOKUP($C93,装備品!$1:$998,COLUMN($O$1),FALSE)*VLOOKUP($D93,素材!$1:$1016,COLUMN($E$1),FALSE)/(LEN(VLOOKUP($D93,素材!$1:$1016,COLUMN($F$1),FALSE))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E93">
        <f>IF(ISNUMBER(SEARCH(SUBSTITUTE(AE$1,RIGHT(AE$1,2),""),VLOOKUP($D93,素材!$1:$1016,COLUMN($F$1),FALSE))),VLOOKUP($C93,装備品!$1:$998,COLUMN($O$1),FALSE)*VLOOKUP($D93,素材!$1:$1016,COLUMN($E$1),FALSE)/(LEN(VLOOKUP($D93,素材!$1:$1016,COLUMN($F$1),FALSE))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F93">
        <f>IF(ISNUMBER(SEARCH(SUBSTITUTE(AF$1,RIGHT(AF$1,2),""),VLOOKUP($D93,素材!$1:$1016,COLUMN($F$1),FALSE))),VLOOKUP($C93,装備品!$1:$998,COLUMN($O$1),FALSE)*VLOOKUP($D93,素材!$1:$1016,COLUMN($E$1),FALSE)/(LEN(VLOOKUP($D93,素材!$1:$1016,COLUMN($F$1),FALSE))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G93">
        <f>IF(ISNUMBER(SEARCH(SUBSTITUTE(AG$1,RIGHT(AG$1,2),""),VLOOKUP($D93,素材!$1:$1016,COLUMN($F$1),FALSE))),VLOOKUP($C93,装備品!$1:$998,COLUMN($O$1),FALSE)*VLOOKUP($D93,素材!$1:$1016,COLUMN($E$1),FALSE)/(LEN(VLOOKUP($D93,素材!$1:$1016,COLUMN($F$1),FALSE))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H93">
        <f>IF(ISNUMBER(SEARCH(SUBSTITUTE(AH$1,RIGHT(AH$1,2),""),VLOOKUP($D93,素材!$1:$1016,COLUMN($F$1),FALSE))),VLOOKUP($C93,装備品!$1:$998,COLUMN($O$1),FALSE)*VLOOKUP($D93,素材!$1:$1016,COLUMN($E$1),FALSE)/(LEN(VLOOKUP($D93,素材!$1:$1016,COLUMN($F$1),FALSE))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I93">
        <f>IF(ISNUMBER(SEARCH(SUBSTITUTE(AI$1,RIGHT(AI$1,2),""),VLOOKUP($D93,素材!$1:$1016,COLUMN($F$1),FALSE))),VLOOKUP($C93,装備品!$1:$998,COLUMN($O$1),FALSE)*VLOOKUP($D93,素材!$1:$1016,COLUMN($E$1),FALSE)/(LEN(VLOOKUP($D93,素材!$1:$1016,COLUMN($F$1),FALSE))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J93">
        <f>IF(ISNUMBER(SEARCH(SUBSTITUTE(AJ$1,RIGHT(AJ$1,2),""),VLOOKUP($D93,素材!$1:$1016,COLUMN($F$1),FALSE))),VLOOKUP($C93,装備品!$1:$998,COLUMN($O$1),FALSE)*VLOOKUP($D93,素材!$1:$1016,COLUMN($E$1),FALSE)/(LEN(VLOOKUP($D93,素材!$1:$1016,COLUMN($F$1),FALSE))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K93">
        <f>IF(ISNUMBER(SEARCH(SUBSTITUTE(AK$1,RIGHT(AK$1,2),""),VLOOKUP($D93,素材!$1:$1016,COLUMN($F$1),FALSE))),VLOOKUP($C93,装備品!$1:$998,COLUMN($O$1),FALSE)*VLOOKUP($D93,素材!$1:$1016,COLUMN($E$1),FALSE)/(LEN(VLOOKUP($D93,素材!$1:$1016,COLUMN($F$1),FALSE))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L93">
        <f>IF(ISNUMBER(SEARCH(SUBSTITUTE(AL$1,RIGHT(AL$1,2),""),VLOOKUP($D93,素材!$1:$1016,COLUMN($F$1),FALSE))),VLOOKUP($C93,装備品!$1:$998,COLUMN($O$1),FALSE)*VLOOKUP($D93,素材!$1:$1016,COLUMN($E$1),FALSE)/(LEN(VLOOKUP($D93,素材!$1:$1016,COLUMN($F$1),FALSE))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M93">
        <f>IF(ISNUMBER(SEARCH(SUBSTITUTE(AM$1,RIGHT(AM$1,2),""),VLOOKUP($D93,素材!$1:$1016,COLUMN($F$1),FALSE))),VLOOKUP($C93,装備品!$1:$998,COLUMN($O$1),FALSE)*VLOOKUP($D93,素材!$1:$1016,COLUMN($E$1),FALSE)/(LEN(VLOOKUP($D93,素材!$1:$1016,COLUMN($F$1),FALSE))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N93">
        <f>IF(ISNUMBER(SEARCH(SUBSTITUTE(AN$1,RIGHT(AN$1,2),""),VLOOKUP($D93,素材!$1:$1016,COLUMN($F$1),FALSE))),VLOOKUP($C93,装備品!$1:$998,COLUMN($O$1),FALSE)*VLOOKUP($D93,素材!$1:$1016,COLUMN($E$1),FALSE)/(LEN(VLOOKUP($D93,素材!$1:$1016,COLUMN($F$1),FALSE))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O93">
        <f>IF(ISNUMBER(SEARCH(SUBSTITUTE(AO$1,RIGHT(AO$1,2),""),VLOOKUP($D93,素材!$1:$1016,COLUMN($F$1),FALSE))),VLOOKUP($C93,装備品!$1:$998,COLUMN($O$1),FALSE)*VLOOKUP($D93,素材!$1:$1016,COLUMN($E$1),FALSE)/(LEN(VLOOKUP($D93,素材!$1:$1016,COLUMN($F$1),FALSE))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P93">
        <f>IF(ISNUMBER(SEARCH(SUBSTITUTE(AP$1,RIGHT(AP$1,2),""),VLOOKUP($D93,素材!$1:$1016,COLUMN($F$1),FALSE))),VLOOKUP($C93,装備品!$1:$998,COLUMN($O$1),FALSE)*VLOOKUP($D93,素材!$1:$1016,COLUMN($E$1),FALSE)/(LEN(VLOOKUP($D93,素材!$1:$1016,COLUMN($F$1),FALSE))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Q93">
        <f>IF(ISNUMBER(SEARCH(SUBSTITUTE(AQ$1,RIGHT(AQ$1,2),""),VLOOKUP($D93,素材!$1:$1016,COLUMN($F$1),FALSE))),VLOOKUP($C93,装備品!$1:$998,COLUMN($O$1),FALSE)*VLOOKUP($D93,素材!$1:$1016,COLUMN($E$1),FALSE)/(LEN(VLOOKUP($D93,素材!$1:$1016,COLUMN($F$1),FALSE))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R93">
        <f>IF(ISNUMBER(SEARCH(SUBSTITUTE(AR$1,RIGHT(AR$1,2),""),VLOOKUP($D93,素材!$1:$1016,COLUMN($F$1),FALSE))),VLOOKUP($C93,装備品!$1:$998,COLUMN($O$1),FALSE)*VLOOKUP($D93,素材!$1:$1016,COLUMN($E$1),FALSE)/(LEN(VLOOKUP($D93,素材!$1:$1016,COLUMN($F$1),FALSE))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S93">
        <f>IF(ISNUMBER(SEARCH(SUBSTITUTE(AS$1,RIGHT(AS$1,2),""),VLOOKUP($D93,素材!$1:$1016,COLUMN($F$1),FALSE))),VLOOKUP($C93,装備品!$1:$998,COLUMN($O$1),FALSE)*VLOOKUP($D93,素材!$1:$1016,COLUMN($E$1),FALSE)/(LEN(VLOOKUP($D93,素材!$1:$1016,COLUMN($F$1),FALSE))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T93">
        <f>IF(ISNUMBER(SEARCH(SUBSTITUTE(AT$1,RIGHT(AT$1,2),""),VLOOKUP($D93,素材!$1:$1016,COLUMN($F$1),FALSE))),VLOOKUP($C93,装備品!$1:$998,COLUMN($O$1),FALSE)*VLOOKUP($D93,素材!$1:$1016,COLUMN($E$1),FALSE)/(LEN(VLOOKUP($D93,素材!$1:$1016,COLUMN($F$1),FALSE))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U93">
        <f>IF(ISNUMBER(SEARCH(SUBSTITUTE(AU$1,RIGHT(AU$1,2),""),VLOOKUP($D93,素材!$1:$1016,COLUMN($F$1),FALSE))),VLOOKUP($C93,装備品!$1:$998,COLUMN($O$1),FALSE)*VLOOKUP($D93,素材!$1:$1016,COLUMN($E$1),FALSE)/(LEN(VLOOKUP($D93,素材!$1:$1016,COLUMN($F$1),FALSE))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V93">
        <f>IF(ISNUMBER(SEARCH(SUBSTITUTE(AV$1,RIGHT(AV$1,2),""),VLOOKUP($D93,素材!$1:$1016,COLUMN($F$1),FALSE))),VLOOKUP($C93,装備品!$1:$998,COLUMN($O$1),FALSE)*VLOOKUP($D93,素材!$1:$1016,COLUMN($E$1),FALSE)/(LEN(VLOOKUP($D93,素材!$1:$1016,COLUMN($F$1),FALSE))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W93">
        <f>IF(ISNUMBER(SEARCH(SUBSTITUTE(AW$1,RIGHT(AW$1,2),""),VLOOKUP($D93,素材!$1:$1016,COLUMN($F$1),FALSE))),VLOOKUP($C93,装備品!$1:$998,COLUMN($O$1),FALSE)*VLOOKUP($D93,素材!$1:$1016,COLUMN($E$1),FALSE)/(LEN(VLOOKUP($D93,素材!$1:$1016,COLUMN($F$1),FALSE))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X93">
        <f>IF(ISNUMBER(SEARCH(SUBSTITUTE(AX$1,RIGHT(AX$1,2),""),VLOOKUP($D93,素材!$1:$1016,COLUMN($F$1),FALSE))),VLOOKUP($C93,装備品!$1:$998,COLUMN($O$1),FALSE)*VLOOKUP($D93,素材!$1:$1016,COLUMN($E$1),FALSE)/(LEN(VLOOKUP($D93,素材!$1:$1016,COLUMN($F$1),FALSE))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Y93">
        <f>IF(ISNUMBER(SEARCH(SUBSTITUTE(AY$1,RIGHT(AY$1,2),""),VLOOKUP($D93,素材!$1:$1016,COLUMN($F$1),FALSE))),VLOOKUP($C93,装備品!$1:$998,COLUMN($O$1),FALSE)*VLOOKUP($D93,素材!$1:$1016,COLUMN($E$1),FALSE)/(LEN(VLOOKUP($D93,素材!$1:$1016,COLUMN($F$1),FALSE))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Z93">
        <f>IF(ISNUMBER(SEARCH(SUBSTITUTE(AZ$1,RIGHT(AZ$1,2),""),VLOOKUP($D93,素材!$1:$1016,COLUMN($F$1),FALSE))),VLOOKUP($C93,装備品!$1:$998,COLUMN($O$1),FALSE)*VLOOKUP($D93,素材!$1:$1016,COLUMN($E$1),FALSE)/(LEN(VLOOKUP($D93,素材!$1:$1016,COLUMN($F$1),FALSE))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BA93">
        <f>IF(ISNUMBER(SEARCH(SUBSTITUTE(BA$1,RIGHT(BA$1,2),""),VLOOKUP($D93,素材!$1:$1016,COLUMN($F$1),FALSE))),VLOOKUP($C93,装備品!$1:$998,COLUMN($O$1),FALSE)*VLOOKUP($D93,素材!$1:$1016,COLUMN($E$1),FALSE)/(LEN(VLOOKUP($D93,素材!$1:$1016,COLUMN($F$1),FALSE))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BB93">
        <f>IF(ISNUMBER(SEARCH(SUBSTITUTE(BB$1,RIGHT(BB$1,2),""),VLOOKUP($D93,素材!$1:$1016,COLUMN($F$1),FALSE))),VLOOKUP($C93,装備品!$1:$998,COLUMN($O$1),FALSE)*VLOOKUP($D93,素材!$1:$1016,COLUMN($E$1),FALSE)/(LEN(VLOOKUP($D93,素材!$1:$1016,COLUMN($F$1),FALSE))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BC93">
        <f>IF(ISNUMBER(SEARCH(SUBSTITUTE(BC$1,RIGHT(BC$1,2),""),VLOOKUP($D93,素材!$1:$1016,COLUMN($F$1),FALSE))),VLOOKUP($C93,装備品!$1:$998,COLUMN($O$1),FALSE)*VLOOKUP($D93,素材!$1:$1016,COLUMN($E$1),FALSE)/(LEN(VLOOKUP($D93,素材!$1:$1016,COLUMN($F$1),FALSE))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BD93">
        <f>IF(ISNUMBER(SEARCH(SUBSTITUTE(BD$1,RIGHT(BD$1,2),""),VLOOKUP($D93,素材!$1:$1016,COLUMN($F$1),FALSE))),VLOOKUP($C93,装備品!$1:$998,COLUMN($O$1),FALSE)*VLOOKUP($D93,素材!$1:$1016,COLUMN($E$1),FALSE)/(LEN(VLOOKUP($D93,素材!$1:$1016,COLUMN($F$1),FALSE))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BE93">
        <f>IF(ISNUMBER(SEARCH(SUBSTITUTE(BE$1,RIGHT(BE$1,2),""),VLOOKUP($D93,素材!$1:$1016,COLUMN($F$1),FALSE))),VLOOKUP($C93,装備品!$1:$998,COLUMN($O$1),FALSE)*VLOOKUP($D93,素材!$1:$1016,COLUMN($E$1),FALSE)/(LEN(VLOOKUP($D93,素材!$1:$1016,COLUMN($F$1),FALSE))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CL93">
        <f t="shared" si="7"/>
        <v>29</v>
      </c>
      <c r="CM93" s="22" t="str">
        <f t="shared" si="8"/>
        <v>打撃.webp</v>
      </c>
      <c r="CN93">
        <f>IFERROR(VLOOKUP($C93,装備品!$1:$998,COLUMN(V$1),FALSE)*VLOOKUP($D93,素材!$1:$1016,COLUMN(N$1),FALSE)+IF(CI93="",0,VLOOKUP($CI93,付与!$1:$1176,COLUMN($CK$1),FALSE)),"")</f>
        <v>0</v>
      </c>
      <c r="CO93" t="str">
        <f>VLOOKUP(D93,素材!$A:$O,COLUMN(素材!O$1),FALSE)</f>
        <v>鍛えられた鉄。硬度が高く安価なためよく使用される。</v>
      </c>
      <c r="CP93" t="str">
        <f>VLOOKUP(C93,装備品!$A:$AB,COLUMN(装備品!AB$1),FALSE)</f>
        <v>鎚。打撃力に優れ、投擲にも対応。</v>
      </c>
      <c r="CR93" t="str">
        <f t="shared" si="9"/>
        <v>e_93</v>
      </c>
      <c r="CS93">
        <f t="shared" si="10"/>
        <v>0</v>
      </c>
    </row>
    <row r="94" spans="1:97" outlineLevel="1" x14ac:dyDescent="0.4">
      <c r="A94" t="str">
        <f t="shared" si="6"/>
        <v>鋼の戦鎚</v>
      </c>
      <c r="B94" t="str">
        <f>IFERROR(VLOOKUP($D94,素材!$1:$1016,COLUMN($B$1),FALSE)&amp;"・"&amp;VLOOKUP($C94,装備品!$1:$998,COLUMN(B$1),FALSE),"")</f>
        <v>スチール・ウォーハンマー</v>
      </c>
      <c r="C94" t="s">
        <v>225</v>
      </c>
      <c r="D94" s="24" t="s">
        <v>252</v>
      </c>
      <c r="E94" t="str">
        <f>IFERROR(VLOOKUP(C94,装備品!$1:$998,COLUMN(C$1),FALSE),"")</f>
        <v>武器</v>
      </c>
      <c r="F94">
        <f>IFERROR(ROUNDDOWN((VLOOKUP($C94,装備品!$1:$998,COLUMN(D$1),FALSE)+IFERROR(VLOOKUP($CI94,付与!$1:$1167,COLUMN(F$1),FALSE),0))*VLOOKUP($D94,素材!$1:$1016,COLUMN(D$1),FALSE),0),"")</f>
        <v>131</v>
      </c>
      <c r="G94">
        <f>IFERROR(ROUNDDOWN((VLOOKUP($C94,装備品!$1:$998,COLUMN(E$1),FALSE)+IFERROR(VLOOKUP($CI94,付与!$1:$1167,COLUMN(G$1),FALSE),0))*VLOOKUP($D94,素材!$1:$1016,COLUMN($E$1),FALSE),0),"")</f>
        <v>0</v>
      </c>
      <c r="H94">
        <f>IFERROR(ROUNDDOWN((VLOOKUP($C94,装備品!$1:$998,COLUMN(F$1),FALSE)+IFERROR(VLOOKUP($CI94,付与!$1:$1167,COLUMN(H$1),FALSE),0))*VLOOKUP($D94,素材!$1:$1016,COLUMN($E$1),FALSE),0),"")</f>
        <v>0</v>
      </c>
      <c r="I94">
        <f>IFERROR(ROUNDDOWN((VLOOKUP($C94,装備品!$1:$998,COLUMN(G$1),FALSE)+IFERROR(VLOOKUP($CI94,付与!$1:$1167,COLUMN(I$1),FALSE),0))*VLOOKUP($D94,素材!$1:$1016,COLUMN($E$1),FALSE),0),"")</f>
        <v>32</v>
      </c>
      <c r="J94">
        <f>IFERROR(ROUNDDOWN((VLOOKUP($C94,装備品!$1:$998,COLUMN(H$1),FALSE)+IFERROR(VLOOKUP($CI94,付与!$1:$1167,COLUMN(J$1),FALSE),0))*VLOOKUP($D94,素材!$1:$1016,COLUMN($E$1),FALSE),0),"")</f>
        <v>28</v>
      </c>
      <c r="K94">
        <f>IFERROR(ROUNDDOWN((VLOOKUP($C94,装備品!$1:$998,COLUMN(I$1),FALSE)+IFERROR(VLOOKUP($CI94,付与!$1:$1167,COLUMN(K$1),FALSE),0))*VLOOKUP($D94,素材!$1:$1016,COLUMN($E$1),FALSE),0),"")</f>
        <v>0</v>
      </c>
      <c r="L94">
        <f>IFERROR(VLOOKUP($D94,素材!$1:$1016,COLUMN($F$1),FALSE),"")</f>
        <v>0</v>
      </c>
      <c r="M94">
        <f>IFERROR(VLOOKUP($C94,装備品!$1:$998,COLUMN(AA$1),FALSE)*VLOOKUP($D94,素材!$1:$1016,COLUMN($G$1),FALSE),"")</f>
        <v>0</v>
      </c>
      <c r="N94">
        <f>IFERROR(VLOOKUP($C94,装備品!$1:$998,COLUMN(I$1),FALSE),"")</f>
        <v>0</v>
      </c>
      <c r="O94" s="23">
        <f>IFERROR((VLOOKUP($C94,装備品!$1:$998,COLUMN(K$1),FALSE)+VLOOKUP($D94,素材!$1:$1016,COLUMN(H$1),FALSE))*100+IFERROR(VLOOKUP($CI94,付与!$1:$1167,COLUMN(O$1),FALSE),0),"")</f>
        <v>10</v>
      </c>
      <c r="P94" s="23">
        <f>IFERROR((VLOOKUP($C94,装備品!$1:$998,COLUMN(L$1),FALSE)+VLOOKUP($D94,素材!$1:$1016,COLUMN(I$1),FALSE))*100+IFERROR(VLOOKUP($CI94,付与!$1:$1167,COLUMN(P$1),FALSE),0),"")</f>
        <v>150</v>
      </c>
      <c r="Q94">
        <f>IFERROR(ROUNDUP(VLOOKUP($C94,装備品!$1:$998,COLUMN(M$1),FALSE)*(VLOOKUP($D94,素材!$1:$1002,COLUMN(D$1),FALSE)/100),1),"")</f>
        <v>-5.3</v>
      </c>
      <c r="R94">
        <f>IFERROR(ROUNDUP(VLOOKUP($C94,装備品!$1:$998,COLUMN(N$1),FALSE)*(VLOOKUP($D94,素材!$1:$1002,COLUMN(D$1),FALSE)/100),1),"")</f>
        <v>-5.3</v>
      </c>
      <c r="S94">
        <f>IFERROR(VLOOKUP($C94,装備品!$1:$998,COLUMN(P$1),FALSE),"")</f>
        <v>0</v>
      </c>
      <c r="T94">
        <f>IFERROR(VLOOKUP($C94,装備品!$1:$998,COLUMN(Q$1),FALSE),"")</f>
        <v>0</v>
      </c>
      <c r="U94">
        <f>IFERROR(VLOOKUP($C94,装備品!$1:$998,COLUMN(R$1),FALSE),"")</f>
        <v>0</v>
      </c>
      <c r="V94">
        <f>IFERROR(VLOOKUP($C94,装備品!$1:$998,COLUMN(Q$1),FALSE),"")</f>
        <v>0</v>
      </c>
      <c r="W94">
        <f>IFERROR(VLOOKUP($C94,装備品!$1:$998,COLUMN(T$1),FALSE),"")</f>
        <v>0</v>
      </c>
      <c r="Y94">
        <f>IFERROR(VLOOKUP($C94,装備品!$1:$998,COLUMN(U$1),FALSE),"")</f>
        <v>0</v>
      </c>
      <c r="Z94">
        <f>IFERROR(ROUNDUP(VLOOKUP($C94,装備品!$1:$998,COLUMN(O$1),FALSE)*VLOOKUP($D94,素材!$1:$1016,COLUMN(E$1),FALSE),1),"")</f>
        <v>0</v>
      </c>
      <c r="AA94">
        <f>IF(ISNUMBER(SEARCH(SUBSTITUTE(AA$1,RIGHT(AA$1,2),""),VLOOKUP($D94,素材!$1:$1016,COLUMN($F$1),FALSE))),VLOOKUP($C94,装備品!$1:$998,COLUMN($O$1),FALSE)*VLOOKUP($D94,素材!$1:$1016,COLUMN($E$1),FALSE)/(LEN(VLOOKUP($D94,素材!$1:$1016,COLUMN($F$1),FALSE))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B94">
        <f>IF(ISNUMBER(SEARCH(SUBSTITUTE(AB$1,RIGHT(AB$1,2),""),VLOOKUP($D94,素材!$1:$1016,COLUMN($F$1),FALSE))),VLOOKUP($C94,装備品!$1:$998,COLUMN($O$1),FALSE)*VLOOKUP($D94,素材!$1:$1016,COLUMN($E$1),FALSE)/(LEN(VLOOKUP($D94,素材!$1:$1016,COLUMN($F$1),FALSE))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C94">
        <f>IF(ISNUMBER(SEARCH(SUBSTITUTE(AC$1,RIGHT(AC$1,2),""),VLOOKUP($D94,素材!$1:$1016,COLUMN($F$1),FALSE))),VLOOKUP($C94,装備品!$1:$998,COLUMN($O$1),FALSE)*VLOOKUP($D94,素材!$1:$1016,COLUMN($E$1),FALSE)/(LEN(VLOOKUP($D94,素材!$1:$1016,COLUMN($F$1),FALSE))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D94">
        <f>IF(ISNUMBER(SEARCH(SUBSTITUTE(AD$1,RIGHT(AD$1,2),""),VLOOKUP($D94,素材!$1:$1016,COLUMN($F$1),FALSE))),VLOOKUP($C94,装備品!$1:$998,COLUMN($O$1),FALSE)*VLOOKUP($D94,素材!$1:$1016,COLUMN($E$1),FALSE)/(LEN(VLOOKUP($D94,素材!$1:$1016,COLUMN($F$1),FALSE))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E94">
        <f>IF(ISNUMBER(SEARCH(SUBSTITUTE(AE$1,RIGHT(AE$1,2),""),VLOOKUP($D94,素材!$1:$1016,COLUMN($F$1),FALSE))),VLOOKUP($C94,装備品!$1:$998,COLUMN($O$1),FALSE)*VLOOKUP($D94,素材!$1:$1016,COLUMN($E$1),FALSE)/(LEN(VLOOKUP($D94,素材!$1:$1016,COLUMN($F$1),FALSE))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F94">
        <f>IF(ISNUMBER(SEARCH(SUBSTITUTE(AF$1,RIGHT(AF$1,2),""),VLOOKUP($D94,素材!$1:$1016,COLUMN($F$1),FALSE))),VLOOKUP($C94,装備品!$1:$998,COLUMN($O$1),FALSE)*VLOOKUP($D94,素材!$1:$1016,COLUMN($E$1),FALSE)/(LEN(VLOOKUP($D94,素材!$1:$1016,COLUMN($F$1),FALSE))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G94">
        <f>IF(ISNUMBER(SEARCH(SUBSTITUTE(AG$1,RIGHT(AG$1,2),""),VLOOKUP($D94,素材!$1:$1016,COLUMN($F$1),FALSE))),VLOOKUP($C94,装備品!$1:$998,COLUMN($O$1),FALSE)*VLOOKUP($D94,素材!$1:$1016,COLUMN($E$1),FALSE)/(LEN(VLOOKUP($D94,素材!$1:$1016,COLUMN($F$1),FALSE))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H94">
        <f>IF(ISNUMBER(SEARCH(SUBSTITUTE(AH$1,RIGHT(AH$1,2),""),VLOOKUP($D94,素材!$1:$1016,COLUMN($F$1),FALSE))),VLOOKUP($C94,装備品!$1:$998,COLUMN($O$1),FALSE)*VLOOKUP($D94,素材!$1:$1016,COLUMN($E$1),FALSE)/(LEN(VLOOKUP($D94,素材!$1:$1016,COLUMN($F$1),FALSE))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I94">
        <f>IF(ISNUMBER(SEARCH(SUBSTITUTE(AI$1,RIGHT(AI$1,2),""),VLOOKUP($D94,素材!$1:$1016,COLUMN($F$1),FALSE))),VLOOKUP($C94,装備品!$1:$998,COLUMN($O$1),FALSE)*VLOOKUP($D94,素材!$1:$1016,COLUMN($E$1),FALSE)/(LEN(VLOOKUP($D94,素材!$1:$1016,COLUMN($F$1),FALSE))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J94">
        <f>IF(ISNUMBER(SEARCH(SUBSTITUTE(AJ$1,RIGHT(AJ$1,2),""),VLOOKUP($D94,素材!$1:$1016,COLUMN($F$1),FALSE))),VLOOKUP($C94,装備品!$1:$998,COLUMN($O$1),FALSE)*VLOOKUP($D94,素材!$1:$1016,COLUMN($E$1),FALSE)/(LEN(VLOOKUP($D94,素材!$1:$1016,COLUMN($F$1),FALSE))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K94">
        <f>IF(ISNUMBER(SEARCH(SUBSTITUTE(AK$1,RIGHT(AK$1,2),""),VLOOKUP($D94,素材!$1:$1016,COLUMN($F$1),FALSE))),VLOOKUP($C94,装備品!$1:$998,COLUMN($O$1),FALSE)*VLOOKUP($D94,素材!$1:$1016,COLUMN($E$1),FALSE)/(LEN(VLOOKUP($D94,素材!$1:$1016,COLUMN($F$1),FALSE))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L94">
        <f>IF(ISNUMBER(SEARCH(SUBSTITUTE(AL$1,RIGHT(AL$1,2),""),VLOOKUP($D94,素材!$1:$1016,COLUMN($F$1),FALSE))),VLOOKUP($C94,装備品!$1:$998,COLUMN($O$1),FALSE)*VLOOKUP($D94,素材!$1:$1016,COLUMN($E$1),FALSE)/(LEN(VLOOKUP($D94,素材!$1:$1016,COLUMN($F$1),FALSE))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M94">
        <f>IF(ISNUMBER(SEARCH(SUBSTITUTE(AM$1,RIGHT(AM$1,2),""),VLOOKUP($D94,素材!$1:$1016,COLUMN($F$1),FALSE))),VLOOKUP($C94,装備品!$1:$998,COLUMN($O$1),FALSE)*VLOOKUP($D94,素材!$1:$1016,COLUMN($E$1),FALSE)/(LEN(VLOOKUP($D94,素材!$1:$1016,COLUMN($F$1),FALSE))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N94">
        <f>IF(ISNUMBER(SEARCH(SUBSTITUTE(AN$1,RIGHT(AN$1,2),""),VLOOKUP($D94,素材!$1:$1016,COLUMN($F$1),FALSE))),VLOOKUP($C94,装備品!$1:$998,COLUMN($O$1),FALSE)*VLOOKUP($D94,素材!$1:$1016,COLUMN($E$1),FALSE)/(LEN(VLOOKUP($D94,素材!$1:$1016,COLUMN($F$1),FALSE))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O94">
        <f>IF(ISNUMBER(SEARCH(SUBSTITUTE(AO$1,RIGHT(AO$1,2),""),VLOOKUP($D94,素材!$1:$1016,COLUMN($F$1),FALSE))),VLOOKUP($C94,装備品!$1:$998,COLUMN($O$1),FALSE)*VLOOKUP($D94,素材!$1:$1016,COLUMN($E$1),FALSE)/(LEN(VLOOKUP($D94,素材!$1:$1016,COLUMN($F$1),FALSE))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P94">
        <f>IF(ISNUMBER(SEARCH(SUBSTITUTE(AP$1,RIGHT(AP$1,2),""),VLOOKUP($D94,素材!$1:$1016,COLUMN($F$1),FALSE))),VLOOKUP($C94,装備品!$1:$998,COLUMN($O$1),FALSE)*VLOOKUP($D94,素材!$1:$1016,COLUMN($E$1),FALSE)/(LEN(VLOOKUP($D94,素材!$1:$1016,COLUMN($F$1),FALSE))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Q94">
        <f>IF(ISNUMBER(SEARCH(SUBSTITUTE(AQ$1,RIGHT(AQ$1,2),""),VLOOKUP($D94,素材!$1:$1016,COLUMN($F$1),FALSE))),VLOOKUP($C94,装備品!$1:$998,COLUMN($O$1),FALSE)*VLOOKUP($D94,素材!$1:$1016,COLUMN($E$1),FALSE)/(LEN(VLOOKUP($D94,素材!$1:$1016,COLUMN($F$1),FALSE))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R94">
        <f>IF(ISNUMBER(SEARCH(SUBSTITUTE(AR$1,RIGHT(AR$1,2),""),VLOOKUP($D94,素材!$1:$1016,COLUMN($F$1),FALSE))),VLOOKUP($C94,装備品!$1:$998,COLUMN($O$1),FALSE)*VLOOKUP($D94,素材!$1:$1016,COLUMN($E$1),FALSE)/(LEN(VLOOKUP($D94,素材!$1:$1016,COLUMN($F$1),FALSE))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S94">
        <f>IF(ISNUMBER(SEARCH(SUBSTITUTE(AS$1,RIGHT(AS$1,2),""),VLOOKUP($D94,素材!$1:$1016,COLUMN($F$1),FALSE))),VLOOKUP($C94,装備品!$1:$998,COLUMN($O$1),FALSE)*VLOOKUP($D94,素材!$1:$1016,COLUMN($E$1),FALSE)/(LEN(VLOOKUP($D94,素材!$1:$1016,COLUMN($F$1),FALSE))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T94">
        <f>IF(ISNUMBER(SEARCH(SUBSTITUTE(AT$1,RIGHT(AT$1,2),""),VLOOKUP($D94,素材!$1:$1016,COLUMN($F$1),FALSE))),VLOOKUP($C94,装備品!$1:$998,COLUMN($O$1),FALSE)*VLOOKUP($D94,素材!$1:$1016,COLUMN($E$1),FALSE)/(LEN(VLOOKUP($D94,素材!$1:$1016,COLUMN($F$1),FALSE))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U94">
        <f>IF(ISNUMBER(SEARCH(SUBSTITUTE(AU$1,RIGHT(AU$1,2),""),VLOOKUP($D94,素材!$1:$1016,COLUMN($F$1),FALSE))),VLOOKUP($C94,装備品!$1:$998,COLUMN($O$1),FALSE)*VLOOKUP($D94,素材!$1:$1016,COLUMN($E$1),FALSE)/(LEN(VLOOKUP($D94,素材!$1:$1016,COLUMN($F$1),FALSE))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V94">
        <f>IF(ISNUMBER(SEARCH(SUBSTITUTE(AV$1,RIGHT(AV$1,2),""),VLOOKUP($D94,素材!$1:$1016,COLUMN($F$1),FALSE))),VLOOKUP($C94,装備品!$1:$998,COLUMN($O$1),FALSE)*VLOOKUP($D94,素材!$1:$1016,COLUMN($E$1),FALSE)/(LEN(VLOOKUP($D94,素材!$1:$1016,COLUMN($F$1),FALSE))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W94">
        <f>IF(ISNUMBER(SEARCH(SUBSTITUTE(AW$1,RIGHT(AW$1,2),""),VLOOKUP($D94,素材!$1:$1016,COLUMN($F$1),FALSE))),VLOOKUP($C94,装備品!$1:$998,COLUMN($O$1),FALSE)*VLOOKUP($D94,素材!$1:$1016,COLUMN($E$1),FALSE)/(LEN(VLOOKUP($D94,素材!$1:$1016,COLUMN($F$1),FALSE))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X94">
        <f>IF(ISNUMBER(SEARCH(SUBSTITUTE(AX$1,RIGHT(AX$1,2),""),VLOOKUP($D94,素材!$1:$1016,COLUMN($F$1),FALSE))),VLOOKUP($C94,装備品!$1:$998,COLUMN($O$1),FALSE)*VLOOKUP($D94,素材!$1:$1016,COLUMN($E$1),FALSE)/(LEN(VLOOKUP($D94,素材!$1:$1016,COLUMN($F$1),FALSE))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Y94">
        <f>IF(ISNUMBER(SEARCH(SUBSTITUTE(AY$1,RIGHT(AY$1,2),""),VLOOKUP($D94,素材!$1:$1016,COLUMN($F$1),FALSE))),VLOOKUP($C94,装備品!$1:$998,COLUMN($O$1),FALSE)*VLOOKUP($D94,素材!$1:$1016,COLUMN($E$1),FALSE)/(LEN(VLOOKUP($D94,素材!$1:$1016,COLUMN($F$1),FALSE))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Z94">
        <f>IF(ISNUMBER(SEARCH(SUBSTITUTE(AZ$1,RIGHT(AZ$1,2),""),VLOOKUP($D94,素材!$1:$1016,COLUMN($F$1),FALSE))),VLOOKUP($C94,装備品!$1:$998,COLUMN($O$1),FALSE)*VLOOKUP($D94,素材!$1:$1016,COLUMN($E$1),FALSE)/(LEN(VLOOKUP($D94,素材!$1:$1016,COLUMN($F$1),FALSE))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BA94">
        <f>IF(ISNUMBER(SEARCH(SUBSTITUTE(BA$1,RIGHT(BA$1,2),""),VLOOKUP($D94,素材!$1:$1016,COLUMN($F$1),FALSE))),VLOOKUP($C94,装備品!$1:$998,COLUMN($O$1),FALSE)*VLOOKUP($D94,素材!$1:$1016,COLUMN($E$1),FALSE)/(LEN(VLOOKUP($D94,素材!$1:$1016,COLUMN($F$1),FALSE))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BB94">
        <f>IF(ISNUMBER(SEARCH(SUBSTITUTE(BB$1,RIGHT(BB$1,2),""),VLOOKUP($D94,素材!$1:$1016,COLUMN($F$1),FALSE))),VLOOKUP($C94,装備品!$1:$998,COLUMN($O$1),FALSE)*VLOOKUP($D94,素材!$1:$1016,COLUMN($E$1),FALSE)/(LEN(VLOOKUP($D94,素材!$1:$1016,COLUMN($F$1),FALSE))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BC94">
        <f>IF(ISNUMBER(SEARCH(SUBSTITUTE(BC$1,RIGHT(BC$1,2),""),VLOOKUP($D94,素材!$1:$1016,COLUMN($F$1),FALSE))),VLOOKUP($C94,装備品!$1:$998,COLUMN($O$1),FALSE)*VLOOKUP($D94,素材!$1:$1016,COLUMN($E$1),FALSE)/(LEN(VLOOKUP($D94,素材!$1:$1016,COLUMN($F$1),FALSE))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BD94">
        <f>IF(ISNUMBER(SEARCH(SUBSTITUTE(BD$1,RIGHT(BD$1,2),""),VLOOKUP($D94,素材!$1:$1016,COLUMN($F$1),FALSE))),VLOOKUP($C94,装備品!$1:$998,COLUMN($O$1),FALSE)*VLOOKUP($D94,素材!$1:$1016,COLUMN($E$1),FALSE)/(LEN(VLOOKUP($D94,素材!$1:$1016,COLUMN($F$1),FALSE))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BE94">
        <f>IF(ISNUMBER(SEARCH(SUBSTITUTE(BE$1,RIGHT(BE$1,2),""),VLOOKUP($D94,素材!$1:$1016,COLUMN($F$1),FALSE))),VLOOKUP($C94,装備品!$1:$998,COLUMN($O$1),FALSE)*VLOOKUP($D94,素材!$1:$1016,COLUMN($E$1),FALSE)/(LEN(VLOOKUP($D94,素材!$1:$1016,COLUMN($F$1),FALSE))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CL94">
        <f t="shared" si="7"/>
        <v>32</v>
      </c>
      <c r="CM94" s="22" t="str">
        <f t="shared" si="8"/>
        <v>打撃.webp</v>
      </c>
      <c r="CN94">
        <f>IFERROR(VLOOKUP($C94,装備品!$1:$998,COLUMN(V$1),FALSE)*VLOOKUP($D94,素材!$1:$1016,COLUMN(N$1),FALSE)+IF(CI94="",0,VLOOKUP($CI94,付与!$1:$1176,COLUMN($CK$1),FALSE)),"")</f>
        <v>0</v>
      </c>
      <c r="CO94" t="str">
        <f>VLOOKUP(D94,素材!$A:$O,COLUMN(素材!O$1),FALSE)</f>
        <v>鍛えられた鉄。硬度が高く安価なためよく使用される。</v>
      </c>
      <c r="CP94" t="str">
        <f>VLOOKUP(C94,装備品!$A:$AB,COLUMN(装備品!AB$1),FALSE)</f>
        <v>戦鎚。重い打撃を与える強力な武器。</v>
      </c>
      <c r="CR94" t="str">
        <f t="shared" si="9"/>
        <v>e_94</v>
      </c>
      <c r="CS94">
        <f t="shared" si="10"/>
        <v>0</v>
      </c>
    </row>
    <row r="95" spans="1:97" outlineLevel="1" x14ac:dyDescent="0.4">
      <c r="A95" t="str">
        <f t="shared" si="6"/>
        <v>鋼の鎌</v>
      </c>
      <c r="B95" t="str">
        <f>IFERROR(VLOOKUP($D95,素材!$1:$1016,COLUMN($B$1),FALSE)&amp;"・"&amp;VLOOKUP($C95,装備品!$1:$998,COLUMN(B$1),FALSE),"")</f>
        <v>スチール・シックル</v>
      </c>
      <c r="C95" t="s">
        <v>224</v>
      </c>
      <c r="D95" s="24" t="s">
        <v>252</v>
      </c>
      <c r="E95" t="str">
        <f>IFERROR(VLOOKUP(C95,装備品!$1:$998,COLUMN(C$1),FALSE),"")</f>
        <v>武器</v>
      </c>
      <c r="F95">
        <f>IFERROR(ROUNDDOWN((VLOOKUP($C95,装備品!$1:$998,COLUMN(D$1),FALSE)+IFERROR(VLOOKUP($CI95,付与!$1:$1167,COLUMN(F$1),FALSE),0))*VLOOKUP($D95,素材!$1:$1016,COLUMN(D$1),FALSE),0),"")</f>
        <v>131</v>
      </c>
      <c r="G95">
        <f>IFERROR(ROUNDDOWN((VLOOKUP($C95,装備品!$1:$998,COLUMN(E$1),FALSE)+IFERROR(VLOOKUP($CI95,付与!$1:$1167,COLUMN(G$1),FALSE),0))*VLOOKUP($D95,素材!$1:$1016,COLUMN($E$1),FALSE),0),"")</f>
        <v>12</v>
      </c>
      <c r="H95">
        <f>IFERROR(ROUNDDOWN((VLOOKUP($C95,装備品!$1:$998,COLUMN(F$1),FALSE)+IFERROR(VLOOKUP($CI95,付与!$1:$1167,COLUMN(H$1),FALSE),0))*VLOOKUP($D95,素材!$1:$1016,COLUMN($E$1),FALSE),0),"")</f>
        <v>14</v>
      </c>
      <c r="I95">
        <f>IFERROR(ROUNDDOWN((VLOOKUP($C95,装備品!$1:$998,COLUMN(G$1),FALSE)+IFERROR(VLOOKUP($CI95,付与!$1:$1167,COLUMN(I$1),FALSE),0))*VLOOKUP($D95,素材!$1:$1016,COLUMN($E$1),FALSE),0),"")</f>
        <v>1</v>
      </c>
      <c r="J95">
        <f>IFERROR(ROUNDDOWN((VLOOKUP($C95,装備品!$1:$998,COLUMN(H$1),FALSE)+IFERROR(VLOOKUP($CI95,付与!$1:$1167,COLUMN(J$1),FALSE),0))*VLOOKUP($D95,素材!$1:$1016,COLUMN($E$1),FALSE),0),"")</f>
        <v>22</v>
      </c>
      <c r="K95">
        <f>IFERROR(ROUNDDOWN((VLOOKUP($C95,装備品!$1:$998,COLUMN(I$1),FALSE)+IFERROR(VLOOKUP($CI95,付与!$1:$1167,COLUMN(K$1),FALSE),0))*VLOOKUP($D95,素材!$1:$1016,COLUMN($E$1),FALSE),0),"")</f>
        <v>0</v>
      </c>
      <c r="L95">
        <f>IFERROR(VLOOKUP($D95,素材!$1:$1016,COLUMN($F$1),FALSE),"")</f>
        <v>0</v>
      </c>
      <c r="M95">
        <f>IFERROR(VLOOKUP($C95,装備品!$1:$998,COLUMN(AA$1),FALSE)*VLOOKUP($D95,素材!$1:$1016,COLUMN($G$1),FALSE),"")</f>
        <v>0</v>
      </c>
      <c r="N95">
        <f>IFERROR(VLOOKUP($C95,装備品!$1:$998,COLUMN(I$1),FALSE),"")</f>
        <v>0</v>
      </c>
      <c r="O95" s="23">
        <f>IFERROR((VLOOKUP($C95,装備品!$1:$998,COLUMN(K$1),FALSE)+VLOOKUP($D95,素材!$1:$1016,COLUMN(H$1),FALSE))*100+IFERROR(VLOOKUP($CI95,付与!$1:$1167,COLUMN(O$1),FALSE),0),"")</f>
        <v>5</v>
      </c>
      <c r="P95" s="23">
        <f>IFERROR((VLOOKUP($C95,装備品!$1:$998,COLUMN(L$1),FALSE)+VLOOKUP($D95,素材!$1:$1016,COLUMN(I$1),FALSE))*100+IFERROR(VLOOKUP($CI95,付与!$1:$1167,COLUMN(P$1),FALSE),0),"")</f>
        <v>200</v>
      </c>
      <c r="Q95">
        <f>IFERROR(ROUNDUP(VLOOKUP($C95,装備品!$1:$998,COLUMN(M$1),FALSE)*(VLOOKUP($D95,素材!$1:$1002,COLUMN(D$1),FALSE)/100),1),"")</f>
        <v>0</v>
      </c>
      <c r="R95">
        <f>IFERROR(ROUNDUP(VLOOKUP($C95,装備品!$1:$998,COLUMN(N$1),FALSE)*(VLOOKUP($D95,素材!$1:$1002,COLUMN(D$1),FALSE)/100),1),"")</f>
        <v>0</v>
      </c>
      <c r="S95">
        <f>IFERROR(VLOOKUP($C95,装備品!$1:$998,COLUMN(P$1),FALSE),"")</f>
        <v>0</v>
      </c>
      <c r="T95">
        <f>IFERROR(VLOOKUP($C95,装備品!$1:$998,COLUMN(Q$1),FALSE),"")</f>
        <v>0</v>
      </c>
      <c r="U95">
        <f>IFERROR(VLOOKUP($C95,装備品!$1:$998,COLUMN(R$1),FALSE),"")</f>
        <v>0</v>
      </c>
      <c r="V95">
        <f>IFERROR(VLOOKUP($C95,装備品!$1:$998,COLUMN(Q$1),FALSE),"")</f>
        <v>0</v>
      </c>
      <c r="W95">
        <f>IFERROR(VLOOKUP($C95,装備品!$1:$998,COLUMN(T$1),FALSE),"")</f>
        <v>0</v>
      </c>
      <c r="Y95">
        <f>IFERROR(VLOOKUP($C95,装備品!$1:$998,COLUMN(U$1),FALSE),"")</f>
        <v>0</v>
      </c>
      <c r="Z95">
        <f>IFERROR(ROUNDUP(VLOOKUP($C95,装備品!$1:$998,COLUMN(O$1),FALSE)*VLOOKUP($D95,素材!$1:$1016,COLUMN(E$1),FALSE),1),"")</f>
        <v>0</v>
      </c>
      <c r="AA95">
        <f>IF(ISNUMBER(SEARCH(SUBSTITUTE(AA$1,RIGHT(AA$1,2),""),VLOOKUP($D95,素材!$1:$1016,COLUMN($F$1),FALSE))),VLOOKUP($C95,装備品!$1:$998,COLUMN($O$1),FALSE)*VLOOKUP($D95,素材!$1:$1016,COLUMN($E$1),FALSE)/(LEN(VLOOKUP($D95,素材!$1:$1016,COLUMN($F$1),FALSE))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B95">
        <f>IF(ISNUMBER(SEARCH(SUBSTITUTE(AB$1,RIGHT(AB$1,2),""),VLOOKUP($D95,素材!$1:$1016,COLUMN($F$1),FALSE))),VLOOKUP($C95,装備品!$1:$998,COLUMN($O$1),FALSE)*VLOOKUP($D95,素材!$1:$1016,COLUMN($E$1),FALSE)/(LEN(VLOOKUP($D95,素材!$1:$1016,COLUMN($F$1),FALSE))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C95">
        <f>IF(ISNUMBER(SEARCH(SUBSTITUTE(AC$1,RIGHT(AC$1,2),""),VLOOKUP($D95,素材!$1:$1016,COLUMN($F$1),FALSE))),VLOOKUP($C95,装備品!$1:$998,COLUMN($O$1),FALSE)*VLOOKUP($D95,素材!$1:$1016,COLUMN($E$1),FALSE)/(LEN(VLOOKUP($D95,素材!$1:$1016,COLUMN($F$1),FALSE))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D95">
        <f>IF(ISNUMBER(SEARCH(SUBSTITUTE(AD$1,RIGHT(AD$1,2),""),VLOOKUP($D95,素材!$1:$1016,COLUMN($F$1),FALSE))),VLOOKUP($C95,装備品!$1:$998,COLUMN($O$1),FALSE)*VLOOKUP($D95,素材!$1:$1016,COLUMN($E$1),FALSE)/(LEN(VLOOKUP($D95,素材!$1:$1016,COLUMN($F$1),FALSE))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E95">
        <f>IF(ISNUMBER(SEARCH(SUBSTITUTE(AE$1,RIGHT(AE$1,2),""),VLOOKUP($D95,素材!$1:$1016,COLUMN($F$1),FALSE))),VLOOKUP($C95,装備品!$1:$998,COLUMN($O$1),FALSE)*VLOOKUP($D95,素材!$1:$1016,COLUMN($E$1),FALSE)/(LEN(VLOOKUP($D95,素材!$1:$1016,COLUMN($F$1),FALSE))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F95">
        <f>IF(ISNUMBER(SEARCH(SUBSTITUTE(AF$1,RIGHT(AF$1,2),""),VLOOKUP($D95,素材!$1:$1016,COLUMN($F$1),FALSE))),VLOOKUP($C95,装備品!$1:$998,COLUMN($O$1),FALSE)*VLOOKUP($D95,素材!$1:$1016,COLUMN($E$1),FALSE)/(LEN(VLOOKUP($D95,素材!$1:$1016,COLUMN($F$1),FALSE))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G95">
        <f>IF(ISNUMBER(SEARCH(SUBSTITUTE(AG$1,RIGHT(AG$1,2),""),VLOOKUP($D95,素材!$1:$1016,COLUMN($F$1),FALSE))),VLOOKUP($C95,装備品!$1:$998,COLUMN($O$1),FALSE)*VLOOKUP($D95,素材!$1:$1016,COLUMN($E$1),FALSE)/(LEN(VLOOKUP($D95,素材!$1:$1016,COLUMN($F$1),FALSE))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H95">
        <f>IF(ISNUMBER(SEARCH(SUBSTITUTE(AH$1,RIGHT(AH$1,2),""),VLOOKUP($D95,素材!$1:$1016,COLUMN($F$1),FALSE))),VLOOKUP($C95,装備品!$1:$998,COLUMN($O$1),FALSE)*VLOOKUP($D95,素材!$1:$1016,COLUMN($E$1),FALSE)/(LEN(VLOOKUP($D95,素材!$1:$1016,COLUMN($F$1),FALSE))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I95">
        <f>IF(ISNUMBER(SEARCH(SUBSTITUTE(AI$1,RIGHT(AI$1,2),""),VLOOKUP($D95,素材!$1:$1016,COLUMN($F$1),FALSE))),VLOOKUP($C95,装備品!$1:$998,COLUMN($O$1),FALSE)*VLOOKUP($D95,素材!$1:$1016,COLUMN($E$1),FALSE)/(LEN(VLOOKUP($D95,素材!$1:$1016,COLUMN($F$1),FALSE))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J95">
        <f>IF(ISNUMBER(SEARCH(SUBSTITUTE(AJ$1,RIGHT(AJ$1,2),""),VLOOKUP($D95,素材!$1:$1016,COLUMN($F$1),FALSE))),VLOOKUP($C95,装備品!$1:$998,COLUMN($O$1),FALSE)*VLOOKUP($D95,素材!$1:$1016,COLUMN($E$1),FALSE)/(LEN(VLOOKUP($D95,素材!$1:$1016,COLUMN($F$1),FALSE))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K95">
        <f>IF(ISNUMBER(SEARCH(SUBSTITUTE(AK$1,RIGHT(AK$1,2),""),VLOOKUP($D95,素材!$1:$1016,COLUMN($F$1),FALSE))),VLOOKUP($C95,装備品!$1:$998,COLUMN($O$1),FALSE)*VLOOKUP($D95,素材!$1:$1016,COLUMN($E$1),FALSE)/(LEN(VLOOKUP($D95,素材!$1:$1016,COLUMN($F$1),FALSE))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L95">
        <f>IF(ISNUMBER(SEARCH(SUBSTITUTE(AL$1,RIGHT(AL$1,2),""),VLOOKUP($D95,素材!$1:$1016,COLUMN($F$1),FALSE))),VLOOKUP($C95,装備品!$1:$998,COLUMN($O$1),FALSE)*VLOOKUP($D95,素材!$1:$1016,COLUMN($E$1),FALSE)/(LEN(VLOOKUP($D95,素材!$1:$1016,COLUMN($F$1),FALSE))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M95">
        <f>IF(ISNUMBER(SEARCH(SUBSTITUTE(AM$1,RIGHT(AM$1,2),""),VLOOKUP($D95,素材!$1:$1016,COLUMN($F$1),FALSE))),VLOOKUP($C95,装備品!$1:$998,COLUMN($O$1),FALSE)*VLOOKUP($D95,素材!$1:$1016,COLUMN($E$1),FALSE)/(LEN(VLOOKUP($D95,素材!$1:$1016,COLUMN($F$1),FALSE))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N95">
        <f>IF(ISNUMBER(SEARCH(SUBSTITUTE(AN$1,RIGHT(AN$1,2),""),VLOOKUP($D95,素材!$1:$1016,COLUMN($F$1),FALSE))),VLOOKUP($C95,装備品!$1:$998,COLUMN($O$1),FALSE)*VLOOKUP($D95,素材!$1:$1016,COLUMN($E$1),FALSE)/(LEN(VLOOKUP($D95,素材!$1:$1016,COLUMN($F$1),FALSE))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O95">
        <f>IF(ISNUMBER(SEARCH(SUBSTITUTE(AO$1,RIGHT(AO$1,2),""),VLOOKUP($D95,素材!$1:$1016,COLUMN($F$1),FALSE))),VLOOKUP($C95,装備品!$1:$998,COLUMN($O$1),FALSE)*VLOOKUP($D95,素材!$1:$1016,COLUMN($E$1),FALSE)/(LEN(VLOOKUP($D95,素材!$1:$1016,COLUMN($F$1),FALSE))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P95">
        <f>IF(ISNUMBER(SEARCH(SUBSTITUTE(AP$1,RIGHT(AP$1,2),""),VLOOKUP($D95,素材!$1:$1016,COLUMN($F$1),FALSE))),VLOOKUP($C95,装備品!$1:$998,COLUMN($O$1),FALSE)*VLOOKUP($D95,素材!$1:$1016,COLUMN($E$1),FALSE)/(LEN(VLOOKUP($D95,素材!$1:$1016,COLUMN($F$1),FALSE))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Q95">
        <f>IF(ISNUMBER(SEARCH(SUBSTITUTE(AQ$1,RIGHT(AQ$1,2),""),VLOOKUP($D95,素材!$1:$1016,COLUMN($F$1),FALSE))),VLOOKUP($C95,装備品!$1:$998,COLUMN($O$1),FALSE)*VLOOKUP($D95,素材!$1:$1016,COLUMN($E$1),FALSE)/(LEN(VLOOKUP($D95,素材!$1:$1016,COLUMN($F$1),FALSE))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R95">
        <f>IF(ISNUMBER(SEARCH(SUBSTITUTE(AR$1,RIGHT(AR$1,2),""),VLOOKUP($D95,素材!$1:$1016,COLUMN($F$1),FALSE))),VLOOKUP($C95,装備品!$1:$998,COLUMN($O$1),FALSE)*VLOOKUP($D95,素材!$1:$1016,COLUMN($E$1),FALSE)/(LEN(VLOOKUP($D95,素材!$1:$1016,COLUMN($F$1),FALSE))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S95">
        <f>IF(ISNUMBER(SEARCH(SUBSTITUTE(AS$1,RIGHT(AS$1,2),""),VLOOKUP($D95,素材!$1:$1016,COLUMN($F$1),FALSE))),VLOOKUP($C95,装備品!$1:$998,COLUMN($O$1),FALSE)*VLOOKUP($D95,素材!$1:$1016,COLUMN($E$1),FALSE)/(LEN(VLOOKUP($D95,素材!$1:$1016,COLUMN($F$1),FALSE))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T95">
        <f>IF(ISNUMBER(SEARCH(SUBSTITUTE(AT$1,RIGHT(AT$1,2),""),VLOOKUP($D95,素材!$1:$1016,COLUMN($F$1),FALSE))),VLOOKUP($C95,装備品!$1:$998,COLUMN($O$1),FALSE)*VLOOKUP($D95,素材!$1:$1016,COLUMN($E$1),FALSE)/(LEN(VLOOKUP($D95,素材!$1:$1016,COLUMN($F$1),FALSE))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U95">
        <f>IF(ISNUMBER(SEARCH(SUBSTITUTE(AU$1,RIGHT(AU$1,2),""),VLOOKUP($D95,素材!$1:$1016,COLUMN($F$1),FALSE))),VLOOKUP($C95,装備品!$1:$998,COLUMN($O$1),FALSE)*VLOOKUP($D95,素材!$1:$1016,COLUMN($E$1),FALSE)/(LEN(VLOOKUP($D95,素材!$1:$1016,COLUMN($F$1),FALSE))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V95">
        <f>IF(ISNUMBER(SEARCH(SUBSTITUTE(AV$1,RIGHT(AV$1,2),""),VLOOKUP($D95,素材!$1:$1016,COLUMN($F$1),FALSE))),VLOOKUP($C95,装備品!$1:$998,COLUMN($O$1),FALSE)*VLOOKUP($D95,素材!$1:$1016,COLUMN($E$1),FALSE)/(LEN(VLOOKUP($D95,素材!$1:$1016,COLUMN($F$1),FALSE))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W95">
        <f>IF(ISNUMBER(SEARCH(SUBSTITUTE(AW$1,RIGHT(AW$1,2),""),VLOOKUP($D95,素材!$1:$1016,COLUMN($F$1),FALSE))),VLOOKUP($C95,装備品!$1:$998,COLUMN($O$1),FALSE)*VLOOKUP($D95,素材!$1:$1016,COLUMN($E$1),FALSE)/(LEN(VLOOKUP($D95,素材!$1:$1016,COLUMN($F$1),FALSE))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X95">
        <f>IF(ISNUMBER(SEARCH(SUBSTITUTE(AX$1,RIGHT(AX$1,2),""),VLOOKUP($D95,素材!$1:$1016,COLUMN($F$1),FALSE))),VLOOKUP($C95,装備品!$1:$998,COLUMN($O$1),FALSE)*VLOOKUP($D95,素材!$1:$1016,COLUMN($E$1),FALSE)/(LEN(VLOOKUP($D95,素材!$1:$1016,COLUMN($F$1),FALSE))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Y95">
        <f>IF(ISNUMBER(SEARCH(SUBSTITUTE(AY$1,RIGHT(AY$1,2),""),VLOOKUP($D95,素材!$1:$1016,COLUMN($F$1),FALSE))),VLOOKUP($C95,装備品!$1:$998,COLUMN($O$1),FALSE)*VLOOKUP($D95,素材!$1:$1016,COLUMN($E$1),FALSE)/(LEN(VLOOKUP($D95,素材!$1:$1016,COLUMN($F$1),FALSE))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Z95">
        <f>IF(ISNUMBER(SEARCH(SUBSTITUTE(AZ$1,RIGHT(AZ$1,2),""),VLOOKUP($D95,素材!$1:$1016,COLUMN($F$1),FALSE))),VLOOKUP($C95,装備品!$1:$998,COLUMN($O$1),FALSE)*VLOOKUP($D95,素材!$1:$1016,COLUMN($E$1),FALSE)/(LEN(VLOOKUP($D95,素材!$1:$1016,COLUMN($F$1),FALSE))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BA95">
        <f>IF(ISNUMBER(SEARCH(SUBSTITUTE(BA$1,RIGHT(BA$1,2),""),VLOOKUP($D95,素材!$1:$1016,COLUMN($F$1),FALSE))),VLOOKUP($C95,装備品!$1:$998,COLUMN($O$1),FALSE)*VLOOKUP($D95,素材!$1:$1016,COLUMN($E$1),FALSE)/(LEN(VLOOKUP($D95,素材!$1:$1016,COLUMN($F$1),FALSE))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BB95">
        <f>IF(ISNUMBER(SEARCH(SUBSTITUTE(BB$1,RIGHT(BB$1,2),""),VLOOKUP($D95,素材!$1:$1016,COLUMN($F$1),FALSE))),VLOOKUP($C95,装備品!$1:$998,COLUMN($O$1),FALSE)*VLOOKUP($D95,素材!$1:$1016,COLUMN($E$1),FALSE)/(LEN(VLOOKUP($D95,素材!$1:$1016,COLUMN($F$1),FALSE))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BC95">
        <f>IF(ISNUMBER(SEARCH(SUBSTITUTE(BC$1,RIGHT(BC$1,2),""),VLOOKUP($D95,素材!$1:$1016,COLUMN($F$1),FALSE))),VLOOKUP($C95,装備品!$1:$998,COLUMN($O$1),FALSE)*VLOOKUP($D95,素材!$1:$1016,COLUMN($E$1),FALSE)/(LEN(VLOOKUP($D95,素材!$1:$1016,COLUMN($F$1),FALSE))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BD95">
        <f>IF(ISNUMBER(SEARCH(SUBSTITUTE(BD$1,RIGHT(BD$1,2),""),VLOOKUP($D95,素材!$1:$1016,COLUMN($F$1),FALSE))),VLOOKUP($C95,装備品!$1:$998,COLUMN($O$1),FALSE)*VLOOKUP($D95,素材!$1:$1016,COLUMN($E$1),FALSE)/(LEN(VLOOKUP($D95,素材!$1:$1016,COLUMN($F$1),FALSE))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BE95">
        <f>IF(ISNUMBER(SEARCH(SUBSTITUTE(BE$1,RIGHT(BE$1,2),""),VLOOKUP($D95,素材!$1:$1016,COLUMN($F$1),FALSE))),VLOOKUP($C95,装備品!$1:$998,COLUMN($O$1),FALSE)*VLOOKUP($D95,素材!$1:$1016,COLUMN($E$1),FALSE)/(LEN(VLOOKUP($D95,素材!$1:$1016,COLUMN($F$1),FALSE))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CL95">
        <f t="shared" si="7"/>
        <v>27</v>
      </c>
      <c r="CM95" s="22" t="str">
        <f t="shared" si="8"/>
        <v>貫通.webp</v>
      </c>
      <c r="CN95">
        <f>IFERROR(VLOOKUP($C95,装備品!$1:$998,COLUMN(V$1),FALSE)*VLOOKUP($D95,素材!$1:$1016,COLUMN(N$1),FALSE)+IF(CI95="",0,VLOOKUP($CI95,付与!$1:$1176,COLUMN($CK$1),FALSE)),"")</f>
        <v>0</v>
      </c>
      <c r="CO95" t="str">
        <f>VLOOKUP(D95,素材!$A:$O,COLUMN(素材!O$1),FALSE)</f>
        <v>鍛えられた鉄。硬度が高く安価なためよく使用される。</v>
      </c>
      <c r="CP95" t="str">
        <f>VLOOKUP(C95,装備品!$A:$AB,COLUMN(装備品!AB$1),FALSE)</f>
        <v>鎌。農具を転用した武器で、鋭い斬撃を与える。</v>
      </c>
      <c r="CR95" t="str">
        <f t="shared" si="9"/>
        <v>e_95</v>
      </c>
      <c r="CS95">
        <f t="shared" si="10"/>
        <v>0</v>
      </c>
    </row>
    <row r="96" spans="1:97" outlineLevel="1" x14ac:dyDescent="0.4">
      <c r="A96" t="str">
        <f t="shared" si="6"/>
        <v>鋼の戦斧</v>
      </c>
      <c r="B96" t="str">
        <f>IFERROR(VLOOKUP($D96,素材!$1:$1016,COLUMN($B$1),FALSE)&amp;"・"&amp;VLOOKUP($C96,装備品!$1:$998,COLUMN(B$1),FALSE),"")</f>
        <v>スチール・バトルアックス</v>
      </c>
      <c r="C96" t="s">
        <v>223</v>
      </c>
      <c r="D96" s="24" t="s">
        <v>252</v>
      </c>
      <c r="E96" t="str">
        <f>IFERROR(VLOOKUP(C96,装備品!$1:$998,COLUMN(C$1),FALSE),"")</f>
        <v>武器</v>
      </c>
      <c r="F96">
        <f>IFERROR(ROUNDDOWN((VLOOKUP($C96,装備品!$1:$998,COLUMN(D$1),FALSE)+IFERROR(VLOOKUP($CI96,付与!$1:$1167,COLUMN(F$1),FALSE),0))*VLOOKUP($D96,素材!$1:$1016,COLUMN(D$1),FALSE),0),"")</f>
        <v>120</v>
      </c>
      <c r="G96">
        <f>IFERROR(ROUNDDOWN((VLOOKUP($C96,装備品!$1:$998,COLUMN(E$1),FALSE)+IFERROR(VLOOKUP($CI96,付与!$1:$1167,COLUMN(G$1),FALSE),0))*VLOOKUP($D96,素材!$1:$1016,COLUMN($E$1),FALSE),0),"")</f>
        <v>25</v>
      </c>
      <c r="H96">
        <f>IFERROR(ROUNDDOWN((VLOOKUP($C96,装備品!$1:$998,COLUMN(F$1),FALSE)+IFERROR(VLOOKUP($CI96,付与!$1:$1167,COLUMN(H$1),FALSE),0))*VLOOKUP($D96,素材!$1:$1016,COLUMN($E$1),FALSE),0),"")</f>
        <v>0</v>
      </c>
      <c r="I96">
        <f>IFERROR(ROUNDDOWN((VLOOKUP($C96,装備品!$1:$998,COLUMN(G$1),FALSE)+IFERROR(VLOOKUP($CI96,付与!$1:$1167,COLUMN(I$1),FALSE),0))*VLOOKUP($D96,素材!$1:$1016,COLUMN($E$1),FALSE),0),"")</f>
        <v>8</v>
      </c>
      <c r="J96">
        <f>IFERROR(ROUNDDOWN((VLOOKUP($C96,装備品!$1:$998,COLUMN(H$1),FALSE)+IFERROR(VLOOKUP($CI96,付与!$1:$1167,COLUMN(J$1),FALSE),0))*VLOOKUP($D96,素材!$1:$1016,COLUMN($E$1),FALSE),0),"")</f>
        <v>27</v>
      </c>
      <c r="K96">
        <f>IFERROR(ROUNDDOWN((VLOOKUP($C96,装備品!$1:$998,COLUMN(I$1),FALSE)+IFERROR(VLOOKUP($CI96,付与!$1:$1167,COLUMN(K$1),FALSE),0))*VLOOKUP($D96,素材!$1:$1016,COLUMN($E$1),FALSE),0),"")</f>
        <v>0</v>
      </c>
      <c r="L96">
        <f>IFERROR(VLOOKUP($D96,素材!$1:$1016,COLUMN($F$1),FALSE),"")</f>
        <v>0</v>
      </c>
      <c r="M96">
        <f>IFERROR(VLOOKUP($C96,装備品!$1:$998,COLUMN(AA$1),FALSE)*VLOOKUP($D96,素材!$1:$1016,COLUMN($G$1),FALSE),"")</f>
        <v>0</v>
      </c>
      <c r="N96">
        <f>IFERROR(VLOOKUP($C96,装備品!$1:$998,COLUMN(I$1),FALSE),"")</f>
        <v>0</v>
      </c>
      <c r="O96" s="23">
        <f>IFERROR((VLOOKUP($C96,装備品!$1:$998,COLUMN(K$1),FALSE)+VLOOKUP($D96,素材!$1:$1016,COLUMN(H$1),FALSE))*100+IFERROR(VLOOKUP($CI96,付与!$1:$1167,COLUMN(O$1),FALSE),0),"")</f>
        <v>5</v>
      </c>
      <c r="P96" s="23">
        <f>IFERROR((VLOOKUP($C96,装備品!$1:$998,COLUMN(L$1),FALSE)+VLOOKUP($D96,素材!$1:$1016,COLUMN(I$1),FALSE))*100+IFERROR(VLOOKUP($CI96,付与!$1:$1167,COLUMN(P$1),FALSE),0),"")</f>
        <v>175</v>
      </c>
      <c r="Q96">
        <f>IFERROR(ROUNDUP(VLOOKUP($C96,装備品!$1:$998,COLUMN(M$1),FALSE)*(VLOOKUP($D96,素材!$1:$1002,COLUMN(D$1),FALSE)/100),1),"")</f>
        <v>-2.7</v>
      </c>
      <c r="R96">
        <f>IFERROR(ROUNDUP(VLOOKUP($C96,装備品!$1:$998,COLUMN(N$1),FALSE)*(VLOOKUP($D96,素材!$1:$1002,COLUMN(D$1),FALSE)/100),1),"")</f>
        <v>0</v>
      </c>
      <c r="S96">
        <f>IFERROR(VLOOKUP($C96,装備品!$1:$998,COLUMN(P$1),FALSE),"")</f>
        <v>0</v>
      </c>
      <c r="T96">
        <f>IFERROR(VLOOKUP($C96,装備品!$1:$998,COLUMN(Q$1),FALSE),"")</f>
        <v>0</v>
      </c>
      <c r="U96">
        <f>IFERROR(VLOOKUP($C96,装備品!$1:$998,COLUMN(R$1),FALSE),"")</f>
        <v>0</v>
      </c>
      <c r="V96">
        <f>IFERROR(VLOOKUP($C96,装備品!$1:$998,COLUMN(Q$1),FALSE),"")</f>
        <v>0</v>
      </c>
      <c r="W96">
        <f>IFERROR(VLOOKUP($C96,装備品!$1:$998,COLUMN(T$1),FALSE),"")</f>
        <v>0</v>
      </c>
      <c r="Y96">
        <f>IFERROR(VLOOKUP($C96,装備品!$1:$998,COLUMN(U$1),FALSE),"")</f>
        <v>0</v>
      </c>
      <c r="Z96">
        <f>IFERROR(ROUNDUP(VLOOKUP($C96,装備品!$1:$998,COLUMN(O$1),FALSE)*VLOOKUP($D96,素材!$1:$1016,COLUMN(E$1),FALSE),1),"")</f>
        <v>0</v>
      </c>
      <c r="AA96">
        <f>IF(ISNUMBER(SEARCH(SUBSTITUTE(AA$1,RIGHT(AA$1,2),""),VLOOKUP($D96,素材!$1:$1016,COLUMN($F$1),FALSE))),VLOOKUP($C96,装備品!$1:$998,COLUMN($O$1),FALSE)*VLOOKUP($D96,素材!$1:$1016,COLUMN($E$1),FALSE)/(LEN(VLOOKUP($D96,素材!$1:$1016,COLUMN($F$1),FALSE))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B96">
        <f>IF(ISNUMBER(SEARCH(SUBSTITUTE(AB$1,RIGHT(AB$1,2),""),VLOOKUP($D96,素材!$1:$1016,COLUMN($F$1),FALSE))),VLOOKUP($C96,装備品!$1:$998,COLUMN($O$1),FALSE)*VLOOKUP($D96,素材!$1:$1016,COLUMN($E$1),FALSE)/(LEN(VLOOKUP($D96,素材!$1:$1016,COLUMN($F$1),FALSE))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C96">
        <f>IF(ISNUMBER(SEARCH(SUBSTITUTE(AC$1,RIGHT(AC$1,2),""),VLOOKUP($D96,素材!$1:$1016,COLUMN($F$1),FALSE))),VLOOKUP($C96,装備品!$1:$998,COLUMN($O$1),FALSE)*VLOOKUP($D96,素材!$1:$1016,COLUMN($E$1),FALSE)/(LEN(VLOOKUP($D96,素材!$1:$1016,COLUMN($F$1),FALSE))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D96">
        <f>IF(ISNUMBER(SEARCH(SUBSTITUTE(AD$1,RIGHT(AD$1,2),""),VLOOKUP($D96,素材!$1:$1016,COLUMN($F$1),FALSE))),VLOOKUP($C96,装備品!$1:$998,COLUMN($O$1),FALSE)*VLOOKUP($D96,素材!$1:$1016,COLUMN($E$1),FALSE)/(LEN(VLOOKUP($D96,素材!$1:$1016,COLUMN($F$1),FALSE))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E96">
        <f>IF(ISNUMBER(SEARCH(SUBSTITUTE(AE$1,RIGHT(AE$1,2),""),VLOOKUP($D96,素材!$1:$1016,COLUMN($F$1),FALSE))),VLOOKUP($C96,装備品!$1:$998,COLUMN($O$1),FALSE)*VLOOKUP($D96,素材!$1:$1016,COLUMN($E$1),FALSE)/(LEN(VLOOKUP($D96,素材!$1:$1016,COLUMN($F$1),FALSE))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F96">
        <f>IF(ISNUMBER(SEARCH(SUBSTITUTE(AF$1,RIGHT(AF$1,2),""),VLOOKUP($D96,素材!$1:$1016,COLUMN($F$1),FALSE))),VLOOKUP($C96,装備品!$1:$998,COLUMN($O$1),FALSE)*VLOOKUP($D96,素材!$1:$1016,COLUMN($E$1),FALSE)/(LEN(VLOOKUP($D96,素材!$1:$1016,COLUMN($F$1),FALSE))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G96">
        <f>IF(ISNUMBER(SEARCH(SUBSTITUTE(AG$1,RIGHT(AG$1,2),""),VLOOKUP($D96,素材!$1:$1016,COLUMN($F$1),FALSE))),VLOOKUP($C96,装備品!$1:$998,COLUMN($O$1),FALSE)*VLOOKUP($D96,素材!$1:$1016,COLUMN($E$1),FALSE)/(LEN(VLOOKUP($D96,素材!$1:$1016,COLUMN($F$1),FALSE))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H96">
        <f>IF(ISNUMBER(SEARCH(SUBSTITUTE(AH$1,RIGHT(AH$1,2),""),VLOOKUP($D96,素材!$1:$1016,COLUMN($F$1),FALSE))),VLOOKUP($C96,装備品!$1:$998,COLUMN($O$1),FALSE)*VLOOKUP($D96,素材!$1:$1016,COLUMN($E$1),FALSE)/(LEN(VLOOKUP($D96,素材!$1:$1016,COLUMN($F$1),FALSE))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I96">
        <f>IF(ISNUMBER(SEARCH(SUBSTITUTE(AI$1,RIGHT(AI$1,2),""),VLOOKUP($D96,素材!$1:$1016,COLUMN($F$1),FALSE))),VLOOKUP($C96,装備品!$1:$998,COLUMN($O$1),FALSE)*VLOOKUP($D96,素材!$1:$1016,COLUMN($E$1),FALSE)/(LEN(VLOOKUP($D96,素材!$1:$1016,COLUMN($F$1),FALSE))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J96">
        <f>IF(ISNUMBER(SEARCH(SUBSTITUTE(AJ$1,RIGHT(AJ$1,2),""),VLOOKUP($D96,素材!$1:$1016,COLUMN($F$1),FALSE))),VLOOKUP($C96,装備品!$1:$998,COLUMN($O$1),FALSE)*VLOOKUP($D96,素材!$1:$1016,COLUMN($E$1),FALSE)/(LEN(VLOOKUP($D96,素材!$1:$1016,COLUMN($F$1),FALSE))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K96">
        <f>IF(ISNUMBER(SEARCH(SUBSTITUTE(AK$1,RIGHT(AK$1,2),""),VLOOKUP($D96,素材!$1:$1016,COLUMN($F$1),FALSE))),VLOOKUP($C96,装備品!$1:$998,COLUMN($O$1),FALSE)*VLOOKUP($D96,素材!$1:$1016,COLUMN($E$1),FALSE)/(LEN(VLOOKUP($D96,素材!$1:$1016,COLUMN($F$1),FALSE))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L96">
        <f>IF(ISNUMBER(SEARCH(SUBSTITUTE(AL$1,RIGHT(AL$1,2),""),VLOOKUP($D96,素材!$1:$1016,COLUMN($F$1),FALSE))),VLOOKUP($C96,装備品!$1:$998,COLUMN($O$1),FALSE)*VLOOKUP($D96,素材!$1:$1016,COLUMN($E$1),FALSE)/(LEN(VLOOKUP($D96,素材!$1:$1016,COLUMN($F$1),FALSE))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M96">
        <f>IF(ISNUMBER(SEARCH(SUBSTITUTE(AM$1,RIGHT(AM$1,2),""),VLOOKUP($D96,素材!$1:$1016,COLUMN($F$1),FALSE))),VLOOKUP($C96,装備品!$1:$998,COLUMN($O$1),FALSE)*VLOOKUP($D96,素材!$1:$1016,COLUMN($E$1),FALSE)/(LEN(VLOOKUP($D96,素材!$1:$1016,COLUMN($F$1),FALSE))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N96">
        <f>IF(ISNUMBER(SEARCH(SUBSTITUTE(AN$1,RIGHT(AN$1,2),""),VLOOKUP($D96,素材!$1:$1016,COLUMN($F$1),FALSE))),VLOOKUP($C96,装備品!$1:$998,COLUMN($O$1),FALSE)*VLOOKUP($D96,素材!$1:$1016,COLUMN($E$1),FALSE)/(LEN(VLOOKUP($D96,素材!$1:$1016,COLUMN($F$1),FALSE))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O96">
        <f>IF(ISNUMBER(SEARCH(SUBSTITUTE(AO$1,RIGHT(AO$1,2),""),VLOOKUP($D96,素材!$1:$1016,COLUMN($F$1),FALSE))),VLOOKUP($C96,装備品!$1:$998,COLUMN($O$1),FALSE)*VLOOKUP($D96,素材!$1:$1016,COLUMN($E$1),FALSE)/(LEN(VLOOKUP($D96,素材!$1:$1016,COLUMN($F$1),FALSE))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P96">
        <f>IF(ISNUMBER(SEARCH(SUBSTITUTE(AP$1,RIGHT(AP$1,2),""),VLOOKUP($D96,素材!$1:$1016,COLUMN($F$1),FALSE))),VLOOKUP($C96,装備品!$1:$998,COLUMN($O$1),FALSE)*VLOOKUP($D96,素材!$1:$1016,COLUMN($E$1),FALSE)/(LEN(VLOOKUP($D96,素材!$1:$1016,COLUMN($F$1),FALSE))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Q96">
        <f>IF(ISNUMBER(SEARCH(SUBSTITUTE(AQ$1,RIGHT(AQ$1,2),""),VLOOKUP($D96,素材!$1:$1016,COLUMN($F$1),FALSE))),VLOOKUP($C96,装備品!$1:$998,COLUMN($O$1),FALSE)*VLOOKUP($D96,素材!$1:$1016,COLUMN($E$1),FALSE)/(LEN(VLOOKUP($D96,素材!$1:$1016,COLUMN($F$1),FALSE))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R96">
        <f>IF(ISNUMBER(SEARCH(SUBSTITUTE(AR$1,RIGHT(AR$1,2),""),VLOOKUP($D96,素材!$1:$1016,COLUMN($F$1),FALSE))),VLOOKUP($C96,装備品!$1:$998,COLUMN($O$1),FALSE)*VLOOKUP($D96,素材!$1:$1016,COLUMN($E$1),FALSE)/(LEN(VLOOKUP($D96,素材!$1:$1016,COLUMN($F$1),FALSE))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S96">
        <f>IF(ISNUMBER(SEARCH(SUBSTITUTE(AS$1,RIGHT(AS$1,2),""),VLOOKUP($D96,素材!$1:$1016,COLUMN($F$1),FALSE))),VLOOKUP($C96,装備品!$1:$998,COLUMN($O$1),FALSE)*VLOOKUP($D96,素材!$1:$1016,COLUMN($E$1),FALSE)/(LEN(VLOOKUP($D96,素材!$1:$1016,COLUMN($F$1),FALSE))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T96">
        <f>IF(ISNUMBER(SEARCH(SUBSTITUTE(AT$1,RIGHT(AT$1,2),""),VLOOKUP($D96,素材!$1:$1016,COLUMN($F$1),FALSE))),VLOOKUP($C96,装備品!$1:$998,COLUMN($O$1),FALSE)*VLOOKUP($D96,素材!$1:$1016,COLUMN($E$1),FALSE)/(LEN(VLOOKUP($D96,素材!$1:$1016,COLUMN($F$1),FALSE))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U96">
        <f>IF(ISNUMBER(SEARCH(SUBSTITUTE(AU$1,RIGHT(AU$1,2),""),VLOOKUP($D96,素材!$1:$1016,COLUMN($F$1),FALSE))),VLOOKUP($C96,装備品!$1:$998,COLUMN($O$1),FALSE)*VLOOKUP($D96,素材!$1:$1016,COLUMN($E$1),FALSE)/(LEN(VLOOKUP($D96,素材!$1:$1016,COLUMN($F$1),FALSE))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V96">
        <f>IF(ISNUMBER(SEARCH(SUBSTITUTE(AV$1,RIGHT(AV$1,2),""),VLOOKUP($D96,素材!$1:$1016,COLUMN($F$1),FALSE))),VLOOKUP($C96,装備品!$1:$998,COLUMN($O$1),FALSE)*VLOOKUP($D96,素材!$1:$1016,COLUMN($E$1),FALSE)/(LEN(VLOOKUP($D96,素材!$1:$1016,COLUMN($F$1),FALSE))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W96">
        <f>IF(ISNUMBER(SEARCH(SUBSTITUTE(AW$1,RIGHT(AW$1,2),""),VLOOKUP($D96,素材!$1:$1016,COLUMN($F$1),FALSE))),VLOOKUP($C96,装備品!$1:$998,COLUMN($O$1),FALSE)*VLOOKUP($D96,素材!$1:$1016,COLUMN($E$1),FALSE)/(LEN(VLOOKUP($D96,素材!$1:$1016,COLUMN($F$1),FALSE))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X96">
        <f>IF(ISNUMBER(SEARCH(SUBSTITUTE(AX$1,RIGHT(AX$1,2),""),VLOOKUP($D96,素材!$1:$1016,COLUMN($F$1),FALSE))),VLOOKUP($C96,装備品!$1:$998,COLUMN($O$1),FALSE)*VLOOKUP($D96,素材!$1:$1016,COLUMN($E$1),FALSE)/(LEN(VLOOKUP($D96,素材!$1:$1016,COLUMN($F$1),FALSE))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Y96">
        <f>IF(ISNUMBER(SEARCH(SUBSTITUTE(AY$1,RIGHT(AY$1,2),""),VLOOKUP($D96,素材!$1:$1016,COLUMN($F$1),FALSE))),VLOOKUP($C96,装備品!$1:$998,COLUMN($O$1),FALSE)*VLOOKUP($D96,素材!$1:$1016,COLUMN($E$1),FALSE)/(LEN(VLOOKUP($D96,素材!$1:$1016,COLUMN($F$1),FALSE))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Z96">
        <f>IF(ISNUMBER(SEARCH(SUBSTITUTE(AZ$1,RIGHT(AZ$1,2),""),VLOOKUP($D96,素材!$1:$1016,COLUMN($F$1),FALSE))),VLOOKUP($C96,装備品!$1:$998,COLUMN($O$1),FALSE)*VLOOKUP($D96,素材!$1:$1016,COLUMN($E$1),FALSE)/(LEN(VLOOKUP($D96,素材!$1:$1016,COLUMN($F$1),FALSE))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BA96">
        <f>IF(ISNUMBER(SEARCH(SUBSTITUTE(BA$1,RIGHT(BA$1,2),""),VLOOKUP($D96,素材!$1:$1016,COLUMN($F$1),FALSE))),VLOOKUP($C96,装備品!$1:$998,COLUMN($O$1),FALSE)*VLOOKUP($D96,素材!$1:$1016,COLUMN($E$1),FALSE)/(LEN(VLOOKUP($D96,素材!$1:$1016,COLUMN($F$1),FALSE))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BB96">
        <f>IF(ISNUMBER(SEARCH(SUBSTITUTE(BB$1,RIGHT(BB$1,2),""),VLOOKUP($D96,素材!$1:$1016,COLUMN($F$1),FALSE))),VLOOKUP($C96,装備品!$1:$998,COLUMN($O$1),FALSE)*VLOOKUP($D96,素材!$1:$1016,COLUMN($E$1),FALSE)/(LEN(VLOOKUP($D96,素材!$1:$1016,COLUMN($F$1),FALSE))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BC96">
        <f>IF(ISNUMBER(SEARCH(SUBSTITUTE(BC$1,RIGHT(BC$1,2),""),VLOOKUP($D96,素材!$1:$1016,COLUMN($F$1),FALSE))),VLOOKUP($C96,装備品!$1:$998,COLUMN($O$1),FALSE)*VLOOKUP($D96,素材!$1:$1016,COLUMN($E$1),FALSE)/(LEN(VLOOKUP($D96,素材!$1:$1016,COLUMN($F$1),FALSE))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BD96">
        <f>IF(ISNUMBER(SEARCH(SUBSTITUTE(BD$1,RIGHT(BD$1,2),""),VLOOKUP($D96,素材!$1:$1016,COLUMN($F$1),FALSE))),VLOOKUP($C96,装備品!$1:$998,COLUMN($O$1),FALSE)*VLOOKUP($D96,素材!$1:$1016,COLUMN($E$1),FALSE)/(LEN(VLOOKUP($D96,素材!$1:$1016,COLUMN($F$1),FALSE))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BE96">
        <f>IF(ISNUMBER(SEARCH(SUBSTITUTE(BE$1,RIGHT(BE$1,2),""),VLOOKUP($D96,素材!$1:$1016,COLUMN($F$1),FALSE))),VLOOKUP($C96,装備品!$1:$998,COLUMN($O$1),FALSE)*VLOOKUP($D96,素材!$1:$1016,COLUMN($E$1),FALSE)/(LEN(VLOOKUP($D96,素材!$1:$1016,COLUMN($F$1),FALSE))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CL96">
        <f t="shared" si="7"/>
        <v>33</v>
      </c>
      <c r="CM96" s="22" t="str">
        <f t="shared" si="8"/>
        <v>切断.webp</v>
      </c>
      <c r="CN96">
        <f>IFERROR(VLOOKUP($C96,装備品!$1:$998,COLUMN(V$1),FALSE)*VLOOKUP($D96,素材!$1:$1016,COLUMN(N$1),FALSE)+IF(CI96="",0,VLOOKUP($CI96,付与!$1:$1176,COLUMN($CK$1),FALSE)),"")</f>
        <v>0</v>
      </c>
      <c r="CO96" t="str">
        <f>VLOOKUP(D96,素材!$A:$O,COLUMN(素材!O$1),FALSE)</f>
        <v>鍛えられた鉄。硬度が高く安価なためよく使用される。</v>
      </c>
      <c r="CP96" t="str">
        <f>VLOOKUP(C96,装備品!$A:$AB,COLUMN(装備品!AB$1),FALSE)</f>
        <v>戦斧。攻撃力が高く、重いが信頼性がある武器。</v>
      </c>
      <c r="CR96" t="str">
        <f t="shared" si="9"/>
        <v>e_96</v>
      </c>
      <c r="CS96">
        <f t="shared" si="10"/>
        <v>0</v>
      </c>
    </row>
    <row r="97" spans="1:97" outlineLevel="1" x14ac:dyDescent="0.4">
      <c r="A97" t="str">
        <f t="shared" si="6"/>
        <v>鋼の鞭</v>
      </c>
      <c r="B97" t="str">
        <f>IFERROR(VLOOKUP($D97,素材!$1:$1016,COLUMN($B$1),FALSE)&amp;"・"&amp;VLOOKUP($C97,装備品!$1:$998,COLUMN(B$1),FALSE),"")</f>
        <v>スチール・ウィップ</v>
      </c>
      <c r="C97" t="s">
        <v>222</v>
      </c>
      <c r="D97" s="24" t="s">
        <v>252</v>
      </c>
      <c r="E97" t="str">
        <f>IFERROR(VLOOKUP(C97,装備品!$1:$998,COLUMN(C$1),FALSE),"")</f>
        <v>武器</v>
      </c>
      <c r="F97">
        <f>IFERROR(ROUNDDOWN((VLOOKUP($C97,装備品!$1:$998,COLUMN(D$1),FALSE)+IFERROR(VLOOKUP($CI97,付与!$1:$1167,COLUMN(F$1),FALSE),0))*VLOOKUP($D97,素材!$1:$1016,COLUMN(D$1),FALSE),0),"")</f>
        <v>110</v>
      </c>
      <c r="G97">
        <f>IFERROR(ROUNDDOWN((VLOOKUP($C97,装備品!$1:$998,COLUMN(E$1),FALSE)+IFERROR(VLOOKUP($CI97,付与!$1:$1167,COLUMN(G$1),FALSE),0))*VLOOKUP($D97,素材!$1:$1016,COLUMN($E$1),FALSE),0),"")</f>
        <v>24</v>
      </c>
      <c r="H97">
        <f>IFERROR(ROUNDDOWN((VLOOKUP($C97,装備品!$1:$998,COLUMN(F$1),FALSE)+IFERROR(VLOOKUP($CI97,付与!$1:$1167,COLUMN(H$1),FALSE),0))*VLOOKUP($D97,素材!$1:$1016,COLUMN($E$1),FALSE),0),"")</f>
        <v>0</v>
      </c>
      <c r="I97">
        <f>IFERROR(ROUNDDOWN((VLOOKUP($C97,装備品!$1:$998,COLUMN(G$1),FALSE)+IFERROR(VLOOKUP($CI97,付与!$1:$1167,COLUMN(I$1),FALSE),0))*VLOOKUP($D97,素材!$1:$1016,COLUMN($E$1),FALSE),0),"")</f>
        <v>5</v>
      </c>
      <c r="J97">
        <f>IFERROR(ROUNDDOWN((VLOOKUP($C97,装備品!$1:$998,COLUMN(H$1),FALSE)+IFERROR(VLOOKUP($CI97,付与!$1:$1167,COLUMN(J$1),FALSE),0))*VLOOKUP($D97,素材!$1:$1016,COLUMN($E$1),FALSE),0),"")</f>
        <v>14</v>
      </c>
      <c r="K97">
        <f>IFERROR(ROUNDDOWN((VLOOKUP($C97,装備品!$1:$998,COLUMN(I$1),FALSE)+IFERROR(VLOOKUP($CI97,付与!$1:$1167,COLUMN(K$1),FALSE),0))*VLOOKUP($D97,素材!$1:$1016,COLUMN($E$1),FALSE),0),"")</f>
        <v>0</v>
      </c>
      <c r="L97">
        <f>IFERROR(VLOOKUP($D97,素材!$1:$1016,COLUMN($F$1),FALSE),"")</f>
        <v>0</v>
      </c>
      <c r="M97">
        <f>IFERROR(VLOOKUP($C97,装備品!$1:$998,COLUMN(AA$1),FALSE)*VLOOKUP($D97,素材!$1:$1016,COLUMN($G$1),FALSE),"")</f>
        <v>0</v>
      </c>
      <c r="N97">
        <f>IFERROR(VLOOKUP($C97,装備品!$1:$998,COLUMN(I$1),FALSE),"")</f>
        <v>0</v>
      </c>
      <c r="O97" s="23">
        <f>IFERROR((VLOOKUP($C97,装備品!$1:$998,COLUMN(K$1),FALSE)+VLOOKUP($D97,素材!$1:$1016,COLUMN(H$1),FALSE))*100+IFERROR(VLOOKUP($CI97,付与!$1:$1167,COLUMN(O$1),FALSE),0),"")</f>
        <v>10</v>
      </c>
      <c r="P97" s="23">
        <f>IFERROR((VLOOKUP($C97,装備品!$1:$998,COLUMN(L$1),FALSE)+VLOOKUP($D97,素材!$1:$1016,COLUMN(I$1),FALSE))*100+IFERROR(VLOOKUP($CI97,付与!$1:$1167,COLUMN(P$1),FALSE),0),"")</f>
        <v>150</v>
      </c>
      <c r="Q97">
        <f>IFERROR(ROUNDUP(VLOOKUP($C97,装備品!$1:$998,COLUMN(M$1),FALSE)*(VLOOKUP($D97,素材!$1:$1002,COLUMN(D$1),FALSE)/100),1),"")</f>
        <v>0</v>
      </c>
      <c r="R97">
        <f>IFERROR(ROUNDUP(VLOOKUP($C97,装備品!$1:$998,COLUMN(N$1),FALSE)*(VLOOKUP($D97,素材!$1:$1002,COLUMN(D$1),FALSE)/100),1),"")</f>
        <v>0</v>
      </c>
      <c r="S97">
        <f>IFERROR(VLOOKUP($C97,装備品!$1:$998,COLUMN(P$1),FALSE),"")</f>
        <v>0</v>
      </c>
      <c r="T97">
        <f>IFERROR(VLOOKUP($C97,装備品!$1:$998,COLUMN(Q$1),FALSE),"")</f>
        <v>0</v>
      </c>
      <c r="U97">
        <f>IFERROR(VLOOKUP($C97,装備品!$1:$998,COLUMN(R$1),FALSE),"")</f>
        <v>0</v>
      </c>
      <c r="V97">
        <f>IFERROR(VLOOKUP($C97,装備品!$1:$998,COLUMN(Q$1),FALSE),"")</f>
        <v>0</v>
      </c>
      <c r="W97">
        <f>IFERROR(VLOOKUP($C97,装備品!$1:$998,COLUMN(T$1),FALSE),"")</f>
        <v>0</v>
      </c>
      <c r="Y97">
        <f>IFERROR(VLOOKUP($C97,装備品!$1:$998,COLUMN(U$1),FALSE),"")</f>
        <v>1</v>
      </c>
      <c r="Z97">
        <f>IFERROR(ROUNDUP(VLOOKUP($C97,装備品!$1:$998,COLUMN(O$1),FALSE)*VLOOKUP($D97,素材!$1:$1016,COLUMN(E$1),FALSE),1),"")</f>
        <v>0</v>
      </c>
      <c r="AA97">
        <f>IF(ISNUMBER(SEARCH(SUBSTITUTE(AA$1,RIGHT(AA$1,2),""),VLOOKUP($D97,素材!$1:$1016,COLUMN($F$1),FALSE))),VLOOKUP($C97,装備品!$1:$998,COLUMN($O$1),FALSE)*VLOOKUP($D97,素材!$1:$1016,COLUMN($E$1),FALSE)/(LEN(VLOOKUP($D97,素材!$1:$1016,COLUMN($F$1),FALSE))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B97">
        <f>IF(ISNUMBER(SEARCH(SUBSTITUTE(AB$1,RIGHT(AB$1,2),""),VLOOKUP($D97,素材!$1:$1016,COLUMN($F$1),FALSE))),VLOOKUP($C97,装備品!$1:$998,COLUMN($O$1),FALSE)*VLOOKUP($D97,素材!$1:$1016,COLUMN($E$1),FALSE)/(LEN(VLOOKUP($D97,素材!$1:$1016,COLUMN($F$1),FALSE))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C97">
        <f>IF(ISNUMBER(SEARCH(SUBSTITUTE(AC$1,RIGHT(AC$1,2),""),VLOOKUP($D97,素材!$1:$1016,COLUMN($F$1),FALSE))),VLOOKUP($C97,装備品!$1:$998,COLUMN($O$1),FALSE)*VLOOKUP($D97,素材!$1:$1016,COLUMN($E$1),FALSE)/(LEN(VLOOKUP($D97,素材!$1:$1016,COLUMN($F$1),FALSE))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D97">
        <f>IF(ISNUMBER(SEARCH(SUBSTITUTE(AD$1,RIGHT(AD$1,2),""),VLOOKUP($D97,素材!$1:$1016,COLUMN($F$1),FALSE))),VLOOKUP($C97,装備品!$1:$998,COLUMN($O$1),FALSE)*VLOOKUP($D97,素材!$1:$1016,COLUMN($E$1),FALSE)/(LEN(VLOOKUP($D97,素材!$1:$1016,COLUMN($F$1),FALSE))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E97">
        <f>IF(ISNUMBER(SEARCH(SUBSTITUTE(AE$1,RIGHT(AE$1,2),""),VLOOKUP($D97,素材!$1:$1016,COLUMN($F$1),FALSE))),VLOOKUP($C97,装備品!$1:$998,COLUMN($O$1),FALSE)*VLOOKUP($D97,素材!$1:$1016,COLUMN($E$1),FALSE)/(LEN(VLOOKUP($D97,素材!$1:$1016,COLUMN($F$1),FALSE))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F97">
        <f>IF(ISNUMBER(SEARCH(SUBSTITUTE(AF$1,RIGHT(AF$1,2),""),VLOOKUP($D97,素材!$1:$1016,COLUMN($F$1),FALSE))),VLOOKUP($C97,装備品!$1:$998,COLUMN($O$1),FALSE)*VLOOKUP($D97,素材!$1:$1016,COLUMN($E$1),FALSE)/(LEN(VLOOKUP($D97,素材!$1:$1016,COLUMN($F$1),FALSE))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G97">
        <f>IF(ISNUMBER(SEARCH(SUBSTITUTE(AG$1,RIGHT(AG$1,2),""),VLOOKUP($D97,素材!$1:$1016,COLUMN($F$1),FALSE))),VLOOKUP($C97,装備品!$1:$998,COLUMN($O$1),FALSE)*VLOOKUP($D97,素材!$1:$1016,COLUMN($E$1),FALSE)/(LEN(VLOOKUP($D97,素材!$1:$1016,COLUMN($F$1),FALSE))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H97">
        <f>IF(ISNUMBER(SEARCH(SUBSTITUTE(AH$1,RIGHT(AH$1,2),""),VLOOKUP($D97,素材!$1:$1016,COLUMN($F$1),FALSE))),VLOOKUP($C97,装備品!$1:$998,COLUMN($O$1),FALSE)*VLOOKUP($D97,素材!$1:$1016,COLUMN($E$1),FALSE)/(LEN(VLOOKUP($D97,素材!$1:$1016,COLUMN($F$1),FALSE))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I97">
        <f>IF(ISNUMBER(SEARCH(SUBSTITUTE(AI$1,RIGHT(AI$1,2),""),VLOOKUP($D97,素材!$1:$1016,COLUMN($F$1),FALSE))),VLOOKUP($C97,装備品!$1:$998,COLUMN($O$1),FALSE)*VLOOKUP($D97,素材!$1:$1016,COLUMN($E$1),FALSE)/(LEN(VLOOKUP($D97,素材!$1:$1016,COLUMN($F$1),FALSE))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J97">
        <f>IF(ISNUMBER(SEARCH(SUBSTITUTE(AJ$1,RIGHT(AJ$1,2),""),VLOOKUP($D97,素材!$1:$1016,COLUMN($F$1),FALSE))),VLOOKUP($C97,装備品!$1:$998,COLUMN($O$1),FALSE)*VLOOKUP($D97,素材!$1:$1016,COLUMN($E$1),FALSE)/(LEN(VLOOKUP($D97,素材!$1:$1016,COLUMN($F$1),FALSE))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K97">
        <f>IF(ISNUMBER(SEARCH(SUBSTITUTE(AK$1,RIGHT(AK$1,2),""),VLOOKUP($D97,素材!$1:$1016,COLUMN($F$1),FALSE))),VLOOKUP($C97,装備品!$1:$998,COLUMN($O$1),FALSE)*VLOOKUP($D97,素材!$1:$1016,COLUMN($E$1),FALSE)/(LEN(VLOOKUP($D97,素材!$1:$1016,COLUMN($F$1),FALSE))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L97">
        <f>IF(ISNUMBER(SEARCH(SUBSTITUTE(AL$1,RIGHT(AL$1,2),""),VLOOKUP($D97,素材!$1:$1016,COLUMN($F$1),FALSE))),VLOOKUP($C97,装備品!$1:$998,COLUMN($O$1),FALSE)*VLOOKUP($D97,素材!$1:$1016,COLUMN($E$1),FALSE)/(LEN(VLOOKUP($D97,素材!$1:$1016,COLUMN($F$1),FALSE))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M97">
        <f>IF(ISNUMBER(SEARCH(SUBSTITUTE(AM$1,RIGHT(AM$1,2),""),VLOOKUP($D97,素材!$1:$1016,COLUMN($F$1),FALSE))),VLOOKUP($C97,装備品!$1:$998,COLUMN($O$1),FALSE)*VLOOKUP($D97,素材!$1:$1016,COLUMN($E$1),FALSE)/(LEN(VLOOKUP($D97,素材!$1:$1016,COLUMN($F$1),FALSE))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N97">
        <f>IF(ISNUMBER(SEARCH(SUBSTITUTE(AN$1,RIGHT(AN$1,2),""),VLOOKUP($D97,素材!$1:$1016,COLUMN($F$1),FALSE))),VLOOKUP($C97,装備品!$1:$998,COLUMN($O$1),FALSE)*VLOOKUP($D97,素材!$1:$1016,COLUMN($E$1),FALSE)/(LEN(VLOOKUP($D97,素材!$1:$1016,COLUMN($F$1),FALSE))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O97">
        <f>IF(ISNUMBER(SEARCH(SUBSTITUTE(AO$1,RIGHT(AO$1,2),""),VLOOKUP($D97,素材!$1:$1016,COLUMN($F$1),FALSE))),VLOOKUP($C97,装備品!$1:$998,COLUMN($O$1),FALSE)*VLOOKUP($D97,素材!$1:$1016,COLUMN($E$1),FALSE)/(LEN(VLOOKUP($D97,素材!$1:$1016,COLUMN($F$1),FALSE))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P97">
        <f>IF(ISNUMBER(SEARCH(SUBSTITUTE(AP$1,RIGHT(AP$1,2),""),VLOOKUP($D97,素材!$1:$1016,COLUMN($F$1),FALSE))),VLOOKUP($C97,装備品!$1:$998,COLUMN($O$1),FALSE)*VLOOKUP($D97,素材!$1:$1016,COLUMN($E$1),FALSE)/(LEN(VLOOKUP($D97,素材!$1:$1016,COLUMN($F$1),FALSE))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Q97">
        <f>IF(ISNUMBER(SEARCH(SUBSTITUTE(AQ$1,RIGHT(AQ$1,2),""),VLOOKUP($D97,素材!$1:$1016,COLUMN($F$1),FALSE))),VLOOKUP($C97,装備品!$1:$998,COLUMN($O$1),FALSE)*VLOOKUP($D97,素材!$1:$1016,COLUMN($E$1),FALSE)/(LEN(VLOOKUP($D97,素材!$1:$1016,COLUMN($F$1),FALSE))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R97">
        <f>IF(ISNUMBER(SEARCH(SUBSTITUTE(AR$1,RIGHT(AR$1,2),""),VLOOKUP($D97,素材!$1:$1016,COLUMN($F$1),FALSE))),VLOOKUP($C97,装備品!$1:$998,COLUMN($O$1),FALSE)*VLOOKUP($D97,素材!$1:$1016,COLUMN($E$1),FALSE)/(LEN(VLOOKUP($D97,素材!$1:$1016,COLUMN($F$1),FALSE))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S97">
        <f>IF(ISNUMBER(SEARCH(SUBSTITUTE(AS$1,RIGHT(AS$1,2),""),VLOOKUP($D97,素材!$1:$1016,COLUMN($F$1),FALSE))),VLOOKUP($C97,装備品!$1:$998,COLUMN($O$1),FALSE)*VLOOKUP($D97,素材!$1:$1016,COLUMN($E$1),FALSE)/(LEN(VLOOKUP($D97,素材!$1:$1016,COLUMN($F$1),FALSE))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T97">
        <f>IF(ISNUMBER(SEARCH(SUBSTITUTE(AT$1,RIGHT(AT$1,2),""),VLOOKUP($D97,素材!$1:$1016,COLUMN($F$1),FALSE))),VLOOKUP($C97,装備品!$1:$998,COLUMN($O$1),FALSE)*VLOOKUP($D97,素材!$1:$1016,COLUMN($E$1),FALSE)/(LEN(VLOOKUP($D97,素材!$1:$1016,COLUMN($F$1),FALSE))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U97">
        <f>IF(ISNUMBER(SEARCH(SUBSTITUTE(AU$1,RIGHT(AU$1,2),""),VLOOKUP($D97,素材!$1:$1016,COLUMN($F$1),FALSE))),VLOOKUP($C97,装備品!$1:$998,COLUMN($O$1),FALSE)*VLOOKUP($D97,素材!$1:$1016,COLUMN($E$1),FALSE)/(LEN(VLOOKUP($D97,素材!$1:$1016,COLUMN($F$1),FALSE))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V97">
        <f>IF(ISNUMBER(SEARCH(SUBSTITUTE(AV$1,RIGHT(AV$1,2),""),VLOOKUP($D97,素材!$1:$1016,COLUMN($F$1),FALSE))),VLOOKUP($C97,装備品!$1:$998,COLUMN($O$1),FALSE)*VLOOKUP($D97,素材!$1:$1016,COLUMN($E$1),FALSE)/(LEN(VLOOKUP($D97,素材!$1:$1016,COLUMN($F$1),FALSE))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W97">
        <f>IF(ISNUMBER(SEARCH(SUBSTITUTE(AW$1,RIGHT(AW$1,2),""),VLOOKUP($D97,素材!$1:$1016,COLUMN($F$1),FALSE))),VLOOKUP($C97,装備品!$1:$998,COLUMN($O$1),FALSE)*VLOOKUP($D97,素材!$1:$1016,COLUMN($E$1),FALSE)/(LEN(VLOOKUP($D97,素材!$1:$1016,COLUMN($F$1),FALSE))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X97">
        <f>IF(ISNUMBER(SEARCH(SUBSTITUTE(AX$1,RIGHT(AX$1,2),""),VLOOKUP($D97,素材!$1:$1016,COLUMN($F$1),FALSE))),VLOOKUP($C97,装備品!$1:$998,COLUMN($O$1),FALSE)*VLOOKUP($D97,素材!$1:$1016,COLUMN($E$1),FALSE)/(LEN(VLOOKUP($D97,素材!$1:$1016,COLUMN($F$1),FALSE))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Y97">
        <f>IF(ISNUMBER(SEARCH(SUBSTITUTE(AY$1,RIGHT(AY$1,2),""),VLOOKUP($D97,素材!$1:$1016,COLUMN($F$1),FALSE))),VLOOKUP($C97,装備品!$1:$998,COLUMN($O$1),FALSE)*VLOOKUP($D97,素材!$1:$1016,COLUMN($E$1),FALSE)/(LEN(VLOOKUP($D97,素材!$1:$1016,COLUMN($F$1),FALSE))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Z97">
        <f>IF(ISNUMBER(SEARCH(SUBSTITUTE(AZ$1,RIGHT(AZ$1,2),""),VLOOKUP($D97,素材!$1:$1016,COLUMN($F$1),FALSE))),VLOOKUP($C97,装備品!$1:$998,COLUMN($O$1),FALSE)*VLOOKUP($D97,素材!$1:$1016,COLUMN($E$1),FALSE)/(LEN(VLOOKUP($D97,素材!$1:$1016,COLUMN($F$1),FALSE))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BA97">
        <f>IF(ISNUMBER(SEARCH(SUBSTITUTE(BA$1,RIGHT(BA$1,2),""),VLOOKUP($D97,素材!$1:$1016,COLUMN($F$1),FALSE))),VLOOKUP($C97,装備品!$1:$998,COLUMN($O$1),FALSE)*VLOOKUP($D97,素材!$1:$1016,COLUMN($E$1),FALSE)/(LEN(VLOOKUP($D97,素材!$1:$1016,COLUMN($F$1),FALSE))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BB97">
        <f>IF(ISNUMBER(SEARCH(SUBSTITUTE(BB$1,RIGHT(BB$1,2),""),VLOOKUP($D97,素材!$1:$1016,COLUMN($F$1),FALSE))),VLOOKUP($C97,装備品!$1:$998,COLUMN($O$1),FALSE)*VLOOKUP($D97,素材!$1:$1016,COLUMN($E$1),FALSE)/(LEN(VLOOKUP($D97,素材!$1:$1016,COLUMN($F$1),FALSE))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BC97">
        <f>IF(ISNUMBER(SEARCH(SUBSTITUTE(BC$1,RIGHT(BC$1,2),""),VLOOKUP($D97,素材!$1:$1016,COLUMN($F$1),FALSE))),VLOOKUP($C97,装備品!$1:$998,COLUMN($O$1),FALSE)*VLOOKUP($D97,素材!$1:$1016,COLUMN($E$1),FALSE)/(LEN(VLOOKUP($D97,素材!$1:$1016,COLUMN($F$1),FALSE))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BD97">
        <f>IF(ISNUMBER(SEARCH(SUBSTITUTE(BD$1,RIGHT(BD$1,2),""),VLOOKUP($D97,素材!$1:$1016,COLUMN($F$1),FALSE))),VLOOKUP($C97,装備品!$1:$998,COLUMN($O$1),FALSE)*VLOOKUP($D97,素材!$1:$1016,COLUMN($E$1),FALSE)/(LEN(VLOOKUP($D97,素材!$1:$1016,COLUMN($F$1),FALSE))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BE97">
        <f>IF(ISNUMBER(SEARCH(SUBSTITUTE(BE$1,RIGHT(BE$1,2),""),VLOOKUP($D97,素材!$1:$1016,COLUMN($F$1),FALSE))),VLOOKUP($C97,装備品!$1:$998,COLUMN($O$1),FALSE)*VLOOKUP($D97,素材!$1:$1016,COLUMN($E$1),FALSE)/(LEN(VLOOKUP($D97,素材!$1:$1016,COLUMN($F$1),FALSE))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CL97">
        <f t="shared" si="7"/>
        <v>29</v>
      </c>
      <c r="CM97" s="22" t="str">
        <f t="shared" si="8"/>
        <v>切断.webp</v>
      </c>
      <c r="CN97">
        <f>IFERROR(VLOOKUP($C97,装備品!$1:$998,COLUMN(V$1),FALSE)*VLOOKUP($D97,素材!$1:$1016,COLUMN(N$1),FALSE)+IF(CI97="",0,VLOOKUP($CI97,付与!$1:$1176,COLUMN($CK$1),FALSE)),"")</f>
        <v>0</v>
      </c>
      <c r="CO97" t="str">
        <f>VLOOKUP(D97,素材!$A:$O,COLUMN(素材!O$1),FALSE)</f>
        <v>鍛えられた鉄。硬度が高く安価なためよく使用される。</v>
      </c>
      <c r="CP97" t="str">
        <f>VLOOKUP(C97,装備品!$A:$AB,COLUMN(装備品!AB$1),FALSE)</f>
        <v>鞭。リーチが長く、敵を絡め取る戦闘に適する。</v>
      </c>
      <c r="CR97" t="str">
        <f t="shared" si="9"/>
        <v>e_97</v>
      </c>
      <c r="CS97">
        <f t="shared" si="10"/>
        <v>0</v>
      </c>
    </row>
    <row r="98" spans="1:97" outlineLevel="1" x14ac:dyDescent="0.4">
      <c r="A98" t="str">
        <f t="shared" si="6"/>
        <v>鋼の丸盾</v>
      </c>
      <c r="B98" t="str">
        <f>IFERROR(VLOOKUP($D98,素材!$1:$1016,COLUMN($B$1),FALSE)&amp;"・"&amp;VLOOKUP($C98,装備品!$1:$998,COLUMN(B$1),FALSE),"")</f>
        <v>スチール・バックラー</v>
      </c>
      <c r="C98" t="s">
        <v>221</v>
      </c>
      <c r="D98" s="24" t="s">
        <v>252</v>
      </c>
      <c r="E98" t="str">
        <f>IFERROR(VLOOKUP(C98,装備品!$1:$998,COLUMN(C$1),FALSE),"")</f>
        <v>盾</v>
      </c>
      <c r="F98">
        <f>IFERROR(ROUNDDOWN((VLOOKUP($C98,装備品!$1:$998,COLUMN(D$1),FALSE)+IFERROR(VLOOKUP($CI98,付与!$1:$1167,COLUMN(F$1),FALSE),0))*VLOOKUP($D98,素材!$1:$1016,COLUMN(D$1),FALSE),0),"")</f>
        <v>105</v>
      </c>
      <c r="G98">
        <f>IFERROR(ROUNDDOWN((VLOOKUP($C98,装備品!$1:$998,COLUMN(E$1),FALSE)+IFERROR(VLOOKUP($CI98,付与!$1:$1167,COLUMN(G$1),FALSE),0))*VLOOKUP($D98,素材!$1:$1016,COLUMN($E$1),FALSE),0),"")</f>
        <v>10</v>
      </c>
      <c r="H98">
        <f>IFERROR(ROUNDDOWN((VLOOKUP($C98,装備品!$1:$998,COLUMN(F$1),FALSE)+IFERROR(VLOOKUP($CI98,付与!$1:$1167,COLUMN(H$1),FALSE),0))*VLOOKUP($D98,素材!$1:$1016,COLUMN($E$1),FALSE),0),"")</f>
        <v>0</v>
      </c>
      <c r="I98">
        <f>IFERROR(ROUNDDOWN((VLOOKUP($C98,装備品!$1:$998,COLUMN(G$1),FALSE)+IFERROR(VLOOKUP($CI98,付与!$1:$1167,COLUMN(I$1),FALSE),0))*VLOOKUP($D98,素材!$1:$1016,COLUMN($E$1),FALSE),0),"")</f>
        <v>10</v>
      </c>
      <c r="J98">
        <f>IFERROR(ROUNDDOWN((VLOOKUP($C98,装備品!$1:$998,COLUMN(H$1),FALSE)+IFERROR(VLOOKUP($CI98,付与!$1:$1167,COLUMN(J$1),FALSE),0))*VLOOKUP($D98,素材!$1:$1016,COLUMN($E$1),FALSE),0),"")</f>
        <v>31</v>
      </c>
      <c r="K98">
        <f>IFERROR(ROUNDDOWN((VLOOKUP($C98,装備品!$1:$998,COLUMN(I$1),FALSE)+IFERROR(VLOOKUP($CI98,付与!$1:$1167,COLUMN(K$1),FALSE),0))*VLOOKUP($D98,素材!$1:$1016,COLUMN($E$1),FALSE),0),"")</f>
        <v>0</v>
      </c>
      <c r="L98">
        <f>IFERROR(VLOOKUP($D98,素材!$1:$1016,COLUMN($F$1),FALSE),"")</f>
        <v>0</v>
      </c>
      <c r="M98">
        <f>IFERROR(VLOOKUP($C98,装備品!$1:$998,COLUMN(AA$1),FALSE)*VLOOKUP($D98,素材!$1:$1016,COLUMN($G$1),FALSE),"")</f>
        <v>0</v>
      </c>
      <c r="N98">
        <f>IFERROR(VLOOKUP($C98,装備品!$1:$998,COLUMN(I$1),FALSE),"")</f>
        <v>0</v>
      </c>
      <c r="O98" s="23">
        <f>IFERROR((VLOOKUP($C98,装備品!$1:$998,COLUMN(K$1),FALSE)+VLOOKUP($D98,素材!$1:$1016,COLUMN(H$1),FALSE))*100+IFERROR(VLOOKUP($CI98,付与!$1:$1167,COLUMN(O$1),FALSE),0),"")</f>
        <v>5</v>
      </c>
      <c r="P98" s="23">
        <f>IFERROR((VLOOKUP($C98,装備品!$1:$998,COLUMN(L$1),FALSE)+VLOOKUP($D98,素材!$1:$1016,COLUMN(I$1),FALSE))*100+IFERROR(VLOOKUP($CI98,付与!$1:$1167,COLUMN(P$1),FALSE),0),"")</f>
        <v>125</v>
      </c>
      <c r="Q98">
        <f>IFERROR(ROUNDUP(VLOOKUP($C98,装備品!$1:$998,COLUMN(M$1),FALSE)*(VLOOKUP($D98,素材!$1:$1002,COLUMN(D$1),FALSE)/100),1),"")</f>
        <v>0</v>
      </c>
      <c r="R98">
        <f>IFERROR(ROUNDUP(VLOOKUP($C98,装備品!$1:$998,COLUMN(N$1),FALSE)*(VLOOKUP($D98,素材!$1:$1002,COLUMN(D$1),FALSE)/100),1),"")</f>
        <v>0</v>
      </c>
      <c r="S98">
        <f>IFERROR(VLOOKUP($C98,装備品!$1:$998,COLUMN(P$1),FALSE),"")</f>
        <v>0</v>
      </c>
      <c r="T98">
        <f>IFERROR(VLOOKUP($C98,装備品!$1:$998,COLUMN(Q$1),FALSE),"")</f>
        <v>0</v>
      </c>
      <c r="U98">
        <f>IFERROR(VLOOKUP($C98,装備品!$1:$998,COLUMN(R$1),FALSE),"")</f>
        <v>0</v>
      </c>
      <c r="V98">
        <f>IFERROR(VLOOKUP($C98,装備品!$1:$998,COLUMN(Q$1),FALSE),"")</f>
        <v>0</v>
      </c>
      <c r="W98">
        <f>IFERROR(VLOOKUP($C98,装備品!$1:$998,COLUMN(T$1),FALSE),"")</f>
        <v>0</v>
      </c>
      <c r="Y98">
        <f>IFERROR(VLOOKUP($C98,装備品!$1:$998,COLUMN(U$1),FALSE),"")</f>
        <v>0</v>
      </c>
      <c r="Z98">
        <f>IFERROR(ROUNDUP(VLOOKUP($C98,装備品!$1:$998,COLUMN(O$1),FALSE)*VLOOKUP($D98,素材!$1:$1016,COLUMN(E$1),FALSE),1),"")</f>
        <v>0</v>
      </c>
      <c r="AA98">
        <f>IF(ISNUMBER(SEARCH(SUBSTITUTE(AA$1,RIGHT(AA$1,2),""),VLOOKUP($D98,素材!$1:$1016,COLUMN($F$1),FALSE))),VLOOKUP($C98,装備品!$1:$998,COLUMN($O$1),FALSE)*VLOOKUP($D98,素材!$1:$1016,COLUMN($E$1),FALSE)/(LEN(VLOOKUP($D98,素材!$1:$1016,COLUMN($F$1),FALSE))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B98">
        <f>IF(ISNUMBER(SEARCH(SUBSTITUTE(AB$1,RIGHT(AB$1,2),""),VLOOKUP($D98,素材!$1:$1016,COLUMN($F$1),FALSE))),VLOOKUP($C98,装備品!$1:$998,COLUMN($O$1),FALSE)*VLOOKUP($D98,素材!$1:$1016,COLUMN($E$1),FALSE)/(LEN(VLOOKUP($D98,素材!$1:$1016,COLUMN($F$1),FALSE))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C98">
        <f>IF(ISNUMBER(SEARCH(SUBSTITUTE(AC$1,RIGHT(AC$1,2),""),VLOOKUP($D98,素材!$1:$1016,COLUMN($F$1),FALSE))),VLOOKUP($C98,装備品!$1:$998,COLUMN($O$1),FALSE)*VLOOKUP($D98,素材!$1:$1016,COLUMN($E$1),FALSE)/(LEN(VLOOKUP($D98,素材!$1:$1016,COLUMN($F$1),FALSE))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D98">
        <f>IF(ISNUMBER(SEARCH(SUBSTITUTE(AD$1,RIGHT(AD$1,2),""),VLOOKUP($D98,素材!$1:$1016,COLUMN($F$1),FALSE))),VLOOKUP($C98,装備品!$1:$998,COLUMN($O$1),FALSE)*VLOOKUP($D98,素材!$1:$1016,COLUMN($E$1),FALSE)/(LEN(VLOOKUP($D98,素材!$1:$1016,COLUMN($F$1),FALSE))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E98">
        <f>IF(ISNUMBER(SEARCH(SUBSTITUTE(AE$1,RIGHT(AE$1,2),""),VLOOKUP($D98,素材!$1:$1016,COLUMN($F$1),FALSE))),VLOOKUP($C98,装備品!$1:$998,COLUMN($O$1),FALSE)*VLOOKUP($D98,素材!$1:$1016,COLUMN($E$1),FALSE)/(LEN(VLOOKUP($D98,素材!$1:$1016,COLUMN($F$1),FALSE))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F98">
        <f>IF(ISNUMBER(SEARCH(SUBSTITUTE(AF$1,RIGHT(AF$1,2),""),VLOOKUP($D98,素材!$1:$1016,COLUMN($F$1),FALSE))),VLOOKUP($C98,装備品!$1:$998,COLUMN($O$1),FALSE)*VLOOKUP($D98,素材!$1:$1016,COLUMN($E$1),FALSE)/(LEN(VLOOKUP($D98,素材!$1:$1016,COLUMN($F$1),FALSE))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G98">
        <f>IF(ISNUMBER(SEARCH(SUBSTITUTE(AG$1,RIGHT(AG$1,2),""),VLOOKUP($D98,素材!$1:$1016,COLUMN($F$1),FALSE))),VLOOKUP($C98,装備品!$1:$998,COLUMN($O$1),FALSE)*VLOOKUP($D98,素材!$1:$1016,COLUMN($E$1),FALSE)/(LEN(VLOOKUP($D98,素材!$1:$1016,COLUMN($F$1),FALSE))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H98">
        <f>IF(ISNUMBER(SEARCH(SUBSTITUTE(AH$1,RIGHT(AH$1,2),""),VLOOKUP($D98,素材!$1:$1016,COLUMN($F$1),FALSE))),VLOOKUP($C98,装備品!$1:$998,COLUMN($O$1),FALSE)*VLOOKUP($D98,素材!$1:$1016,COLUMN($E$1),FALSE)/(LEN(VLOOKUP($D98,素材!$1:$1016,COLUMN($F$1),FALSE))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I98">
        <f>IF(ISNUMBER(SEARCH(SUBSTITUTE(AI$1,RIGHT(AI$1,2),""),VLOOKUP($D98,素材!$1:$1016,COLUMN($F$1),FALSE))),VLOOKUP($C98,装備品!$1:$998,COLUMN($O$1),FALSE)*VLOOKUP($D98,素材!$1:$1016,COLUMN($E$1),FALSE)/(LEN(VLOOKUP($D98,素材!$1:$1016,COLUMN($F$1),FALSE))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J98">
        <f>IF(ISNUMBER(SEARCH(SUBSTITUTE(AJ$1,RIGHT(AJ$1,2),""),VLOOKUP($D98,素材!$1:$1016,COLUMN($F$1),FALSE))),VLOOKUP($C98,装備品!$1:$998,COLUMN($O$1),FALSE)*VLOOKUP($D98,素材!$1:$1016,COLUMN($E$1),FALSE)/(LEN(VLOOKUP($D98,素材!$1:$1016,COLUMN($F$1),FALSE))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K98">
        <f>IF(ISNUMBER(SEARCH(SUBSTITUTE(AK$1,RIGHT(AK$1,2),""),VLOOKUP($D98,素材!$1:$1016,COLUMN($F$1),FALSE))),VLOOKUP($C98,装備品!$1:$998,COLUMN($O$1),FALSE)*VLOOKUP($D98,素材!$1:$1016,COLUMN($E$1),FALSE)/(LEN(VLOOKUP($D98,素材!$1:$1016,COLUMN($F$1),FALSE))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L98">
        <f>IF(ISNUMBER(SEARCH(SUBSTITUTE(AL$1,RIGHT(AL$1,2),""),VLOOKUP($D98,素材!$1:$1016,COLUMN($F$1),FALSE))),VLOOKUP($C98,装備品!$1:$998,COLUMN($O$1),FALSE)*VLOOKUP($D98,素材!$1:$1016,COLUMN($E$1),FALSE)/(LEN(VLOOKUP($D98,素材!$1:$1016,COLUMN($F$1),FALSE))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M98">
        <f>IF(ISNUMBER(SEARCH(SUBSTITUTE(AM$1,RIGHT(AM$1,2),""),VLOOKUP($D98,素材!$1:$1016,COLUMN($F$1),FALSE))),VLOOKUP($C98,装備品!$1:$998,COLUMN($O$1),FALSE)*VLOOKUP($D98,素材!$1:$1016,COLUMN($E$1),FALSE)/(LEN(VLOOKUP($D98,素材!$1:$1016,COLUMN($F$1),FALSE))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N98">
        <f>IF(ISNUMBER(SEARCH(SUBSTITUTE(AN$1,RIGHT(AN$1,2),""),VLOOKUP($D98,素材!$1:$1016,COLUMN($F$1),FALSE))),VLOOKUP($C98,装備品!$1:$998,COLUMN($O$1),FALSE)*VLOOKUP($D98,素材!$1:$1016,COLUMN($E$1),FALSE)/(LEN(VLOOKUP($D98,素材!$1:$1016,COLUMN($F$1),FALSE))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O98">
        <f>IF(ISNUMBER(SEARCH(SUBSTITUTE(AO$1,RIGHT(AO$1,2),""),VLOOKUP($D98,素材!$1:$1016,COLUMN($F$1),FALSE))),VLOOKUP($C98,装備品!$1:$998,COLUMN($O$1),FALSE)*VLOOKUP($D98,素材!$1:$1016,COLUMN($E$1),FALSE)/(LEN(VLOOKUP($D98,素材!$1:$1016,COLUMN($F$1),FALSE))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P98">
        <f>IF(ISNUMBER(SEARCH(SUBSTITUTE(AP$1,RIGHT(AP$1,2),""),VLOOKUP($D98,素材!$1:$1016,COLUMN($F$1),FALSE))),VLOOKUP($C98,装備品!$1:$998,COLUMN($O$1),FALSE)*VLOOKUP($D98,素材!$1:$1016,COLUMN($E$1),FALSE)/(LEN(VLOOKUP($D98,素材!$1:$1016,COLUMN($F$1),FALSE))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Q98">
        <f>IF(ISNUMBER(SEARCH(SUBSTITUTE(AQ$1,RIGHT(AQ$1,2),""),VLOOKUP($D98,素材!$1:$1016,COLUMN($F$1),FALSE))),VLOOKUP($C98,装備品!$1:$998,COLUMN($O$1),FALSE)*VLOOKUP($D98,素材!$1:$1016,COLUMN($E$1),FALSE)/(LEN(VLOOKUP($D98,素材!$1:$1016,COLUMN($F$1),FALSE))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R98">
        <f>IF(ISNUMBER(SEARCH(SUBSTITUTE(AR$1,RIGHT(AR$1,2),""),VLOOKUP($D98,素材!$1:$1016,COLUMN($F$1),FALSE))),VLOOKUP($C98,装備品!$1:$998,COLUMN($O$1),FALSE)*VLOOKUP($D98,素材!$1:$1016,COLUMN($E$1),FALSE)/(LEN(VLOOKUP($D98,素材!$1:$1016,COLUMN($F$1),FALSE))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S98">
        <f>IF(ISNUMBER(SEARCH(SUBSTITUTE(AS$1,RIGHT(AS$1,2),""),VLOOKUP($D98,素材!$1:$1016,COLUMN($F$1),FALSE))),VLOOKUP($C98,装備品!$1:$998,COLUMN($O$1),FALSE)*VLOOKUP($D98,素材!$1:$1016,COLUMN($E$1),FALSE)/(LEN(VLOOKUP($D98,素材!$1:$1016,COLUMN($F$1),FALSE))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T98">
        <f>IF(ISNUMBER(SEARCH(SUBSTITUTE(AT$1,RIGHT(AT$1,2),""),VLOOKUP($D98,素材!$1:$1016,COLUMN($F$1),FALSE))),VLOOKUP($C98,装備品!$1:$998,COLUMN($O$1),FALSE)*VLOOKUP($D98,素材!$1:$1016,COLUMN($E$1),FALSE)/(LEN(VLOOKUP($D98,素材!$1:$1016,COLUMN($F$1),FALSE))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U98">
        <f>IF(ISNUMBER(SEARCH(SUBSTITUTE(AU$1,RIGHT(AU$1,2),""),VLOOKUP($D98,素材!$1:$1016,COLUMN($F$1),FALSE))),VLOOKUP($C98,装備品!$1:$998,COLUMN($O$1),FALSE)*VLOOKUP($D98,素材!$1:$1016,COLUMN($E$1),FALSE)/(LEN(VLOOKUP($D98,素材!$1:$1016,COLUMN($F$1),FALSE))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V98">
        <f>IF(ISNUMBER(SEARCH(SUBSTITUTE(AV$1,RIGHT(AV$1,2),""),VLOOKUP($D98,素材!$1:$1016,COLUMN($F$1),FALSE))),VLOOKUP($C98,装備品!$1:$998,COLUMN($O$1),FALSE)*VLOOKUP($D98,素材!$1:$1016,COLUMN($E$1),FALSE)/(LEN(VLOOKUP($D98,素材!$1:$1016,COLUMN($F$1),FALSE))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W98">
        <f>IF(ISNUMBER(SEARCH(SUBSTITUTE(AW$1,RIGHT(AW$1,2),""),VLOOKUP($D98,素材!$1:$1016,COLUMN($F$1),FALSE))),VLOOKUP($C98,装備品!$1:$998,COLUMN($O$1),FALSE)*VLOOKUP($D98,素材!$1:$1016,COLUMN($E$1),FALSE)/(LEN(VLOOKUP($D98,素材!$1:$1016,COLUMN($F$1),FALSE))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X98">
        <f>IF(ISNUMBER(SEARCH(SUBSTITUTE(AX$1,RIGHT(AX$1,2),""),VLOOKUP($D98,素材!$1:$1016,COLUMN($F$1),FALSE))),VLOOKUP($C98,装備品!$1:$998,COLUMN($O$1),FALSE)*VLOOKUP($D98,素材!$1:$1016,COLUMN($E$1),FALSE)/(LEN(VLOOKUP($D98,素材!$1:$1016,COLUMN($F$1),FALSE))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Y98">
        <f>IF(ISNUMBER(SEARCH(SUBSTITUTE(AY$1,RIGHT(AY$1,2),""),VLOOKUP($D98,素材!$1:$1016,COLUMN($F$1),FALSE))),VLOOKUP($C98,装備品!$1:$998,COLUMN($O$1),FALSE)*VLOOKUP($D98,素材!$1:$1016,COLUMN($E$1),FALSE)/(LEN(VLOOKUP($D98,素材!$1:$1016,COLUMN($F$1),FALSE))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Z98">
        <f>IF(ISNUMBER(SEARCH(SUBSTITUTE(AZ$1,RIGHT(AZ$1,2),""),VLOOKUP($D98,素材!$1:$1016,COLUMN($F$1),FALSE))),VLOOKUP($C98,装備品!$1:$998,COLUMN($O$1),FALSE)*VLOOKUP($D98,素材!$1:$1016,COLUMN($E$1),FALSE)/(LEN(VLOOKUP($D98,素材!$1:$1016,COLUMN($F$1),FALSE))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BA98">
        <f>IF(ISNUMBER(SEARCH(SUBSTITUTE(BA$1,RIGHT(BA$1,2),""),VLOOKUP($D98,素材!$1:$1016,COLUMN($F$1),FALSE))),VLOOKUP($C98,装備品!$1:$998,COLUMN($O$1),FALSE)*VLOOKUP($D98,素材!$1:$1016,COLUMN($E$1),FALSE)/(LEN(VLOOKUP($D98,素材!$1:$1016,COLUMN($F$1),FALSE))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BB98">
        <f>IF(ISNUMBER(SEARCH(SUBSTITUTE(BB$1,RIGHT(BB$1,2),""),VLOOKUP($D98,素材!$1:$1016,COLUMN($F$1),FALSE))),VLOOKUP($C98,装備品!$1:$998,COLUMN($O$1),FALSE)*VLOOKUP($D98,素材!$1:$1016,COLUMN($E$1),FALSE)/(LEN(VLOOKUP($D98,素材!$1:$1016,COLUMN($F$1),FALSE))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BC98">
        <f>IF(ISNUMBER(SEARCH(SUBSTITUTE(BC$1,RIGHT(BC$1,2),""),VLOOKUP($D98,素材!$1:$1016,COLUMN($F$1),FALSE))),VLOOKUP($C98,装備品!$1:$998,COLUMN($O$1),FALSE)*VLOOKUP($D98,素材!$1:$1016,COLUMN($E$1),FALSE)/(LEN(VLOOKUP($D98,素材!$1:$1016,COLUMN($F$1),FALSE))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BD98">
        <f>IF(ISNUMBER(SEARCH(SUBSTITUTE(BD$1,RIGHT(BD$1,2),""),VLOOKUP($D98,素材!$1:$1016,COLUMN($F$1),FALSE))),VLOOKUP($C98,装備品!$1:$998,COLUMN($O$1),FALSE)*VLOOKUP($D98,素材!$1:$1016,COLUMN($E$1),FALSE)/(LEN(VLOOKUP($D98,素材!$1:$1016,COLUMN($F$1),FALSE))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BE98">
        <f>IF(ISNUMBER(SEARCH(SUBSTITUTE(BE$1,RIGHT(BE$1,2),""),VLOOKUP($D98,素材!$1:$1016,COLUMN($F$1),FALSE))),VLOOKUP($C98,装備品!$1:$998,COLUMN($O$1),FALSE)*VLOOKUP($D98,素材!$1:$1016,COLUMN($E$1),FALSE)/(LEN(VLOOKUP($D98,素材!$1:$1016,COLUMN($F$1),FALSE))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CL98">
        <f t="shared" si="7"/>
        <v>20</v>
      </c>
      <c r="CM98" s="22" t="str">
        <f t="shared" si="8"/>
        <v>盾.webp</v>
      </c>
      <c r="CN98">
        <f>IFERROR(VLOOKUP($C98,装備品!$1:$998,COLUMN(V$1),FALSE)*VLOOKUP($D98,素材!$1:$1016,COLUMN(N$1),FALSE)+IF(CI98="",0,VLOOKUP($CI98,付与!$1:$1176,COLUMN($CK$1),FALSE)),"")</f>
        <v>0</v>
      </c>
      <c r="CO98" t="str">
        <f>VLOOKUP(D98,素材!$A:$O,COLUMN(素材!O$1),FALSE)</f>
        <v>鍛えられた鉄。硬度が高く安価なためよく使用される。</v>
      </c>
      <c r="CP98" t="str">
        <f>VLOOKUP(C98,装備品!$A:$AB,COLUMN(装備品!AB$1),FALSE)</f>
        <v>丸盾。軽量で投擲にも使える盾。</v>
      </c>
      <c r="CR98" t="str">
        <f t="shared" si="9"/>
        <v>e_98</v>
      </c>
      <c r="CS98">
        <f t="shared" si="10"/>
        <v>0</v>
      </c>
    </row>
    <row r="99" spans="1:97" outlineLevel="1" x14ac:dyDescent="0.4">
      <c r="A99" t="str">
        <f t="shared" ref="A99:A137" si="11">D99&amp;"の"&amp;C99</f>
        <v>鋼の盾</v>
      </c>
      <c r="B99" t="str">
        <f>IFERROR(VLOOKUP($D99,素材!$1:$1016,COLUMN($B$1),FALSE)&amp;"・"&amp;VLOOKUP($C99,装備品!$1:$998,COLUMN(B$1),FALSE),"")</f>
        <v>スチール・シールド</v>
      </c>
      <c r="C99" t="s">
        <v>220</v>
      </c>
      <c r="D99" s="24" t="s">
        <v>252</v>
      </c>
      <c r="E99" t="str">
        <f>IFERROR(VLOOKUP(C99,装備品!$1:$998,COLUMN(C$1),FALSE),"")</f>
        <v>盾</v>
      </c>
      <c r="F99">
        <f>IFERROR(ROUNDDOWN((VLOOKUP($C99,装備品!$1:$998,COLUMN(D$1),FALSE)+IFERROR(VLOOKUP($CI99,付与!$1:$1167,COLUMN(F$1),FALSE),0))*VLOOKUP($D99,素材!$1:$1016,COLUMN(D$1),FALSE),0),"")</f>
        <v>105</v>
      </c>
      <c r="G99">
        <f>IFERROR(ROUNDDOWN((VLOOKUP($C99,装備品!$1:$998,COLUMN(E$1),FALSE)+IFERROR(VLOOKUP($CI99,付与!$1:$1167,COLUMN(G$1),FALSE),0))*VLOOKUP($D99,素材!$1:$1016,COLUMN($E$1),FALSE),0),"")</f>
        <v>0</v>
      </c>
      <c r="H99">
        <f>IFERROR(ROUNDDOWN((VLOOKUP($C99,装備品!$1:$998,COLUMN(F$1),FALSE)+IFERROR(VLOOKUP($CI99,付与!$1:$1167,COLUMN(H$1),FALSE),0))*VLOOKUP($D99,素材!$1:$1016,COLUMN($E$1),FALSE),0),"")</f>
        <v>0</v>
      </c>
      <c r="I99">
        <f>IFERROR(ROUNDDOWN((VLOOKUP($C99,装備品!$1:$998,COLUMN(G$1),FALSE)+IFERROR(VLOOKUP($CI99,付与!$1:$1167,COLUMN(I$1),FALSE),0))*VLOOKUP($D99,素材!$1:$1016,COLUMN($E$1),FALSE),0),"")</f>
        <v>21</v>
      </c>
      <c r="J99">
        <f>IFERROR(ROUNDDOWN((VLOOKUP($C99,装備品!$1:$998,COLUMN(H$1),FALSE)+IFERROR(VLOOKUP($CI99,付与!$1:$1167,COLUMN(J$1),FALSE),0))*VLOOKUP($D99,素材!$1:$1016,COLUMN($E$1),FALSE),0),"")</f>
        <v>33</v>
      </c>
      <c r="K99">
        <f>IFERROR(ROUNDDOWN((VLOOKUP($C99,装備品!$1:$998,COLUMN(I$1),FALSE)+IFERROR(VLOOKUP($CI99,付与!$1:$1167,COLUMN(K$1),FALSE),0))*VLOOKUP($D99,素材!$1:$1016,COLUMN($E$1),FALSE),0),"")</f>
        <v>0</v>
      </c>
      <c r="L99">
        <f>IFERROR(VLOOKUP($D99,素材!$1:$1016,COLUMN($F$1),FALSE),"")</f>
        <v>0</v>
      </c>
      <c r="M99">
        <f>IFERROR(VLOOKUP($C99,装備品!$1:$998,COLUMN(AA$1),FALSE)*VLOOKUP($D99,素材!$1:$1016,COLUMN($G$1),FALSE),"")</f>
        <v>0</v>
      </c>
      <c r="N99">
        <f>IFERROR(VLOOKUP($C99,装備品!$1:$998,COLUMN(I$1),FALSE),"")</f>
        <v>0</v>
      </c>
      <c r="O99" s="23">
        <f>IFERROR((VLOOKUP($C99,装備品!$1:$998,COLUMN(K$1),FALSE)+VLOOKUP($D99,素材!$1:$1016,COLUMN(H$1),FALSE))*100+IFERROR(VLOOKUP($CI99,付与!$1:$1167,COLUMN(O$1),FALSE),0),"")</f>
        <v>5</v>
      </c>
      <c r="P99" s="23">
        <f>IFERROR((VLOOKUP($C99,装備品!$1:$998,COLUMN(L$1),FALSE)+VLOOKUP($D99,素材!$1:$1016,COLUMN(I$1),FALSE))*100+IFERROR(VLOOKUP($CI99,付与!$1:$1167,COLUMN(P$1),FALSE),0),"")</f>
        <v>125</v>
      </c>
      <c r="Q99">
        <f>IFERROR(ROUNDUP(VLOOKUP($C99,装備品!$1:$998,COLUMN(M$1),FALSE)*(VLOOKUP($D99,素材!$1:$1002,COLUMN(D$1),FALSE)/100),1),"")</f>
        <v>0</v>
      </c>
      <c r="R99">
        <f>IFERROR(ROUNDUP(VLOOKUP($C99,装備品!$1:$998,COLUMN(N$1),FALSE)*(VLOOKUP($D99,素材!$1:$1002,COLUMN(D$1),FALSE)/100),1),"")</f>
        <v>0</v>
      </c>
      <c r="S99">
        <f>IFERROR(VLOOKUP($C99,装備品!$1:$998,COLUMN(P$1),FALSE),"")</f>
        <v>0</v>
      </c>
      <c r="T99">
        <f>IFERROR(VLOOKUP($C99,装備品!$1:$998,COLUMN(Q$1),FALSE),"")</f>
        <v>0</v>
      </c>
      <c r="U99">
        <f>IFERROR(VLOOKUP($C99,装備品!$1:$998,COLUMN(R$1),FALSE),"")</f>
        <v>0</v>
      </c>
      <c r="V99">
        <f>IFERROR(VLOOKUP($C99,装備品!$1:$998,COLUMN(Q$1),FALSE),"")</f>
        <v>0</v>
      </c>
      <c r="W99">
        <f>IFERROR(VLOOKUP($C99,装備品!$1:$998,COLUMN(T$1),FALSE),"")</f>
        <v>0</v>
      </c>
      <c r="Y99">
        <f>IFERROR(VLOOKUP($C99,装備品!$1:$998,COLUMN(U$1),FALSE),"")</f>
        <v>0</v>
      </c>
      <c r="Z99">
        <f>IFERROR(ROUNDUP(VLOOKUP($C99,装備品!$1:$998,COLUMN(O$1),FALSE)*VLOOKUP($D99,素材!$1:$1016,COLUMN(E$1),FALSE),1),"")</f>
        <v>0</v>
      </c>
      <c r="AA99">
        <f>IF(ISNUMBER(SEARCH(SUBSTITUTE(AA$1,RIGHT(AA$1,2),""),VLOOKUP($D99,素材!$1:$1016,COLUMN($F$1),FALSE))),VLOOKUP($C99,装備品!$1:$998,COLUMN($O$1),FALSE)*VLOOKUP($D99,素材!$1:$1016,COLUMN($E$1),FALSE)/(LEN(VLOOKUP($D99,素材!$1:$1016,COLUMN($F$1),FALSE))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B99">
        <f>IF(ISNUMBER(SEARCH(SUBSTITUTE(AB$1,RIGHT(AB$1,2),""),VLOOKUP($D99,素材!$1:$1016,COLUMN($F$1),FALSE))),VLOOKUP($C99,装備品!$1:$998,COLUMN($O$1),FALSE)*VLOOKUP($D99,素材!$1:$1016,COLUMN($E$1),FALSE)/(LEN(VLOOKUP($D99,素材!$1:$1016,COLUMN($F$1),FALSE))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C99">
        <f>IF(ISNUMBER(SEARCH(SUBSTITUTE(AC$1,RIGHT(AC$1,2),""),VLOOKUP($D99,素材!$1:$1016,COLUMN($F$1),FALSE))),VLOOKUP($C99,装備品!$1:$998,COLUMN($O$1),FALSE)*VLOOKUP($D99,素材!$1:$1016,COLUMN($E$1),FALSE)/(LEN(VLOOKUP($D99,素材!$1:$1016,COLUMN($F$1),FALSE))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D99">
        <f>IF(ISNUMBER(SEARCH(SUBSTITUTE(AD$1,RIGHT(AD$1,2),""),VLOOKUP($D99,素材!$1:$1016,COLUMN($F$1),FALSE))),VLOOKUP($C99,装備品!$1:$998,COLUMN($O$1),FALSE)*VLOOKUP($D99,素材!$1:$1016,COLUMN($E$1),FALSE)/(LEN(VLOOKUP($D99,素材!$1:$1016,COLUMN($F$1),FALSE))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E99">
        <f>IF(ISNUMBER(SEARCH(SUBSTITUTE(AE$1,RIGHT(AE$1,2),""),VLOOKUP($D99,素材!$1:$1016,COLUMN($F$1),FALSE))),VLOOKUP($C99,装備品!$1:$998,COLUMN($O$1),FALSE)*VLOOKUP($D99,素材!$1:$1016,COLUMN($E$1),FALSE)/(LEN(VLOOKUP($D99,素材!$1:$1016,COLUMN($F$1),FALSE))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F99">
        <f>IF(ISNUMBER(SEARCH(SUBSTITUTE(AF$1,RIGHT(AF$1,2),""),VLOOKUP($D99,素材!$1:$1016,COLUMN($F$1),FALSE))),VLOOKUP($C99,装備品!$1:$998,COLUMN($O$1),FALSE)*VLOOKUP($D99,素材!$1:$1016,COLUMN($E$1),FALSE)/(LEN(VLOOKUP($D99,素材!$1:$1016,COLUMN($F$1),FALSE))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G99">
        <f>IF(ISNUMBER(SEARCH(SUBSTITUTE(AG$1,RIGHT(AG$1,2),""),VLOOKUP($D99,素材!$1:$1016,COLUMN($F$1),FALSE))),VLOOKUP($C99,装備品!$1:$998,COLUMN($O$1),FALSE)*VLOOKUP($D99,素材!$1:$1016,COLUMN($E$1),FALSE)/(LEN(VLOOKUP($D99,素材!$1:$1016,COLUMN($F$1),FALSE))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H99">
        <f>IF(ISNUMBER(SEARCH(SUBSTITUTE(AH$1,RIGHT(AH$1,2),""),VLOOKUP($D99,素材!$1:$1016,COLUMN($F$1),FALSE))),VLOOKUP($C99,装備品!$1:$998,COLUMN($O$1),FALSE)*VLOOKUP($D99,素材!$1:$1016,COLUMN($E$1),FALSE)/(LEN(VLOOKUP($D99,素材!$1:$1016,COLUMN($F$1),FALSE))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I99">
        <f>IF(ISNUMBER(SEARCH(SUBSTITUTE(AI$1,RIGHT(AI$1,2),""),VLOOKUP($D99,素材!$1:$1016,COLUMN($F$1),FALSE))),VLOOKUP($C99,装備品!$1:$998,COLUMN($O$1),FALSE)*VLOOKUP($D99,素材!$1:$1016,COLUMN($E$1),FALSE)/(LEN(VLOOKUP($D99,素材!$1:$1016,COLUMN($F$1),FALSE))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J99">
        <f>IF(ISNUMBER(SEARCH(SUBSTITUTE(AJ$1,RIGHT(AJ$1,2),""),VLOOKUP($D99,素材!$1:$1016,COLUMN($F$1),FALSE))),VLOOKUP($C99,装備品!$1:$998,COLUMN($O$1),FALSE)*VLOOKUP($D99,素材!$1:$1016,COLUMN($E$1),FALSE)/(LEN(VLOOKUP($D99,素材!$1:$1016,COLUMN($F$1),FALSE))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K99">
        <f>IF(ISNUMBER(SEARCH(SUBSTITUTE(AK$1,RIGHT(AK$1,2),""),VLOOKUP($D99,素材!$1:$1016,COLUMN($F$1),FALSE))),VLOOKUP($C99,装備品!$1:$998,COLUMN($O$1),FALSE)*VLOOKUP($D99,素材!$1:$1016,COLUMN($E$1),FALSE)/(LEN(VLOOKUP($D99,素材!$1:$1016,COLUMN($F$1),FALSE))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L99">
        <f>IF(ISNUMBER(SEARCH(SUBSTITUTE(AL$1,RIGHT(AL$1,2),""),VLOOKUP($D99,素材!$1:$1016,COLUMN($F$1),FALSE))),VLOOKUP($C99,装備品!$1:$998,COLUMN($O$1),FALSE)*VLOOKUP($D99,素材!$1:$1016,COLUMN($E$1),FALSE)/(LEN(VLOOKUP($D99,素材!$1:$1016,COLUMN($F$1),FALSE))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M99">
        <f>IF(ISNUMBER(SEARCH(SUBSTITUTE(AM$1,RIGHT(AM$1,2),""),VLOOKUP($D99,素材!$1:$1016,COLUMN($F$1),FALSE))),VLOOKUP($C99,装備品!$1:$998,COLUMN($O$1),FALSE)*VLOOKUP($D99,素材!$1:$1016,COLUMN($E$1),FALSE)/(LEN(VLOOKUP($D99,素材!$1:$1016,COLUMN($F$1),FALSE))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N99">
        <f>IF(ISNUMBER(SEARCH(SUBSTITUTE(AN$1,RIGHT(AN$1,2),""),VLOOKUP($D99,素材!$1:$1016,COLUMN($F$1),FALSE))),VLOOKUP($C99,装備品!$1:$998,COLUMN($O$1),FALSE)*VLOOKUP($D99,素材!$1:$1016,COLUMN($E$1),FALSE)/(LEN(VLOOKUP($D99,素材!$1:$1016,COLUMN($F$1),FALSE))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O99">
        <f>IF(ISNUMBER(SEARCH(SUBSTITUTE(AO$1,RIGHT(AO$1,2),""),VLOOKUP($D99,素材!$1:$1016,COLUMN($F$1),FALSE))),VLOOKUP($C99,装備品!$1:$998,COLUMN($O$1),FALSE)*VLOOKUP($D99,素材!$1:$1016,COLUMN($E$1),FALSE)/(LEN(VLOOKUP($D99,素材!$1:$1016,COLUMN($F$1),FALSE))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P99">
        <f>IF(ISNUMBER(SEARCH(SUBSTITUTE(AP$1,RIGHT(AP$1,2),""),VLOOKUP($D99,素材!$1:$1016,COLUMN($F$1),FALSE))),VLOOKUP($C99,装備品!$1:$998,COLUMN($O$1),FALSE)*VLOOKUP($D99,素材!$1:$1016,COLUMN($E$1),FALSE)/(LEN(VLOOKUP($D99,素材!$1:$1016,COLUMN($F$1),FALSE))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Q99">
        <f>IF(ISNUMBER(SEARCH(SUBSTITUTE(AQ$1,RIGHT(AQ$1,2),""),VLOOKUP($D99,素材!$1:$1016,COLUMN($F$1),FALSE))),VLOOKUP($C99,装備品!$1:$998,COLUMN($O$1),FALSE)*VLOOKUP($D99,素材!$1:$1016,COLUMN($E$1),FALSE)/(LEN(VLOOKUP($D99,素材!$1:$1016,COLUMN($F$1),FALSE))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R99">
        <f>IF(ISNUMBER(SEARCH(SUBSTITUTE(AR$1,RIGHT(AR$1,2),""),VLOOKUP($D99,素材!$1:$1016,COLUMN($F$1),FALSE))),VLOOKUP($C99,装備品!$1:$998,COLUMN($O$1),FALSE)*VLOOKUP($D99,素材!$1:$1016,COLUMN($E$1),FALSE)/(LEN(VLOOKUP($D99,素材!$1:$1016,COLUMN($F$1),FALSE))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S99">
        <f>IF(ISNUMBER(SEARCH(SUBSTITUTE(AS$1,RIGHT(AS$1,2),""),VLOOKUP($D99,素材!$1:$1016,COLUMN($F$1),FALSE))),VLOOKUP($C99,装備品!$1:$998,COLUMN($O$1),FALSE)*VLOOKUP($D99,素材!$1:$1016,COLUMN($E$1),FALSE)/(LEN(VLOOKUP($D99,素材!$1:$1016,COLUMN($F$1),FALSE))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T99">
        <f>IF(ISNUMBER(SEARCH(SUBSTITUTE(AT$1,RIGHT(AT$1,2),""),VLOOKUP($D99,素材!$1:$1016,COLUMN($F$1),FALSE))),VLOOKUP($C99,装備品!$1:$998,COLUMN($O$1),FALSE)*VLOOKUP($D99,素材!$1:$1016,COLUMN($E$1),FALSE)/(LEN(VLOOKUP($D99,素材!$1:$1016,COLUMN($F$1),FALSE))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U99">
        <f>IF(ISNUMBER(SEARCH(SUBSTITUTE(AU$1,RIGHT(AU$1,2),""),VLOOKUP($D99,素材!$1:$1016,COLUMN($F$1),FALSE))),VLOOKUP($C99,装備品!$1:$998,COLUMN($O$1),FALSE)*VLOOKUP($D99,素材!$1:$1016,COLUMN($E$1),FALSE)/(LEN(VLOOKUP($D99,素材!$1:$1016,COLUMN($F$1),FALSE))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V99">
        <f>IF(ISNUMBER(SEARCH(SUBSTITUTE(AV$1,RIGHT(AV$1,2),""),VLOOKUP($D99,素材!$1:$1016,COLUMN($F$1),FALSE))),VLOOKUP($C99,装備品!$1:$998,COLUMN($O$1),FALSE)*VLOOKUP($D99,素材!$1:$1016,COLUMN($E$1),FALSE)/(LEN(VLOOKUP($D99,素材!$1:$1016,COLUMN($F$1),FALSE))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W99">
        <f>IF(ISNUMBER(SEARCH(SUBSTITUTE(AW$1,RIGHT(AW$1,2),""),VLOOKUP($D99,素材!$1:$1016,COLUMN($F$1),FALSE))),VLOOKUP($C99,装備品!$1:$998,COLUMN($O$1),FALSE)*VLOOKUP($D99,素材!$1:$1016,COLUMN($E$1),FALSE)/(LEN(VLOOKUP($D99,素材!$1:$1016,COLUMN($F$1),FALSE))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X99">
        <f>IF(ISNUMBER(SEARCH(SUBSTITUTE(AX$1,RIGHT(AX$1,2),""),VLOOKUP($D99,素材!$1:$1016,COLUMN($F$1),FALSE))),VLOOKUP($C99,装備品!$1:$998,COLUMN($O$1),FALSE)*VLOOKUP($D99,素材!$1:$1016,COLUMN($E$1),FALSE)/(LEN(VLOOKUP($D99,素材!$1:$1016,COLUMN($F$1),FALSE))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Y99">
        <f>IF(ISNUMBER(SEARCH(SUBSTITUTE(AY$1,RIGHT(AY$1,2),""),VLOOKUP($D99,素材!$1:$1016,COLUMN($F$1),FALSE))),VLOOKUP($C99,装備品!$1:$998,COLUMN($O$1),FALSE)*VLOOKUP($D99,素材!$1:$1016,COLUMN($E$1),FALSE)/(LEN(VLOOKUP($D99,素材!$1:$1016,COLUMN($F$1),FALSE))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Z99">
        <f>IF(ISNUMBER(SEARCH(SUBSTITUTE(AZ$1,RIGHT(AZ$1,2),""),VLOOKUP($D99,素材!$1:$1016,COLUMN($F$1),FALSE))),VLOOKUP($C99,装備品!$1:$998,COLUMN($O$1),FALSE)*VLOOKUP($D99,素材!$1:$1016,COLUMN($E$1),FALSE)/(LEN(VLOOKUP($D99,素材!$1:$1016,COLUMN($F$1),FALSE))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BA99">
        <f>IF(ISNUMBER(SEARCH(SUBSTITUTE(BA$1,RIGHT(BA$1,2),""),VLOOKUP($D99,素材!$1:$1016,COLUMN($F$1),FALSE))),VLOOKUP($C99,装備品!$1:$998,COLUMN($O$1),FALSE)*VLOOKUP($D99,素材!$1:$1016,COLUMN($E$1),FALSE)/(LEN(VLOOKUP($D99,素材!$1:$1016,COLUMN($F$1),FALSE))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BB99">
        <f>IF(ISNUMBER(SEARCH(SUBSTITUTE(BB$1,RIGHT(BB$1,2),""),VLOOKUP($D99,素材!$1:$1016,COLUMN($F$1),FALSE))),VLOOKUP($C99,装備品!$1:$998,COLUMN($O$1),FALSE)*VLOOKUP($D99,素材!$1:$1016,COLUMN($E$1),FALSE)/(LEN(VLOOKUP($D99,素材!$1:$1016,COLUMN($F$1),FALSE))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BC99">
        <f>IF(ISNUMBER(SEARCH(SUBSTITUTE(BC$1,RIGHT(BC$1,2),""),VLOOKUP($D99,素材!$1:$1016,COLUMN($F$1),FALSE))),VLOOKUP($C99,装備品!$1:$998,COLUMN($O$1),FALSE)*VLOOKUP($D99,素材!$1:$1016,COLUMN($E$1),FALSE)/(LEN(VLOOKUP($D99,素材!$1:$1016,COLUMN($F$1),FALSE))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BD99">
        <f>IF(ISNUMBER(SEARCH(SUBSTITUTE(BD$1,RIGHT(BD$1,2),""),VLOOKUP($D99,素材!$1:$1016,COLUMN($F$1),FALSE))),VLOOKUP($C99,装備品!$1:$998,COLUMN($O$1),FALSE)*VLOOKUP($D99,素材!$1:$1016,COLUMN($E$1),FALSE)/(LEN(VLOOKUP($D99,素材!$1:$1016,COLUMN($F$1),FALSE))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BE99">
        <f>IF(ISNUMBER(SEARCH(SUBSTITUTE(BE$1,RIGHT(BE$1,2),""),VLOOKUP($D99,素材!$1:$1016,COLUMN($F$1),FALSE))),VLOOKUP($C99,装備品!$1:$998,COLUMN($O$1),FALSE)*VLOOKUP($D99,素材!$1:$1016,COLUMN($E$1),FALSE)/(LEN(VLOOKUP($D99,素材!$1:$1016,COLUMN($F$1),FALSE))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CL99">
        <f t="shared" si="7"/>
        <v>21</v>
      </c>
      <c r="CM99" s="22" t="str">
        <f t="shared" si="8"/>
        <v>盾.webp</v>
      </c>
      <c r="CN99">
        <f>IFERROR(VLOOKUP($C99,装備品!$1:$998,COLUMN(V$1),FALSE)*VLOOKUP($D99,素材!$1:$1016,COLUMN(N$1),FALSE)+IF(CI99="",0,VLOOKUP($CI99,付与!$1:$1176,COLUMN($CK$1),FALSE)),"")</f>
        <v>0</v>
      </c>
      <c r="CO99" t="str">
        <f>VLOOKUP(D99,素材!$A:$O,COLUMN(素材!O$1),FALSE)</f>
        <v>鍛えられた鉄。硬度が高く安価なためよく使用される。</v>
      </c>
      <c r="CP99" t="str">
        <f>VLOOKUP(C99,装備品!$A:$AB,COLUMN(装備品!AB$1),FALSE)</f>
        <v>盾。防御力が高く、汎用性がある防具。</v>
      </c>
      <c r="CR99" t="str">
        <f t="shared" si="9"/>
        <v>e_99</v>
      </c>
      <c r="CS99">
        <f t="shared" si="10"/>
        <v>0</v>
      </c>
    </row>
    <row r="100" spans="1:97" outlineLevel="1" x14ac:dyDescent="0.4">
      <c r="A100" t="str">
        <f t="shared" si="11"/>
        <v>鋼の丸大盾</v>
      </c>
      <c r="B100" t="str">
        <f>IFERROR(VLOOKUP($D100,素材!$1:$1016,COLUMN($B$1),FALSE)&amp;"・"&amp;VLOOKUP($C100,装備品!$1:$998,COLUMN(B$1),FALSE),"")</f>
        <v>スチール・ラウンドシールド</v>
      </c>
      <c r="C100" t="s">
        <v>219</v>
      </c>
      <c r="D100" s="24" t="s">
        <v>252</v>
      </c>
      <c r="E100" t="str">
        <f>IFERROR(VLOOKUP(C100,装備品!$1:$998,COLUMN(C$1),FALSE),"")</f>
        <v>盾</v>
      </c>
      <c r="F100">
        <f>IFERROR(ROUNDDOWN((VLOOKUP($C100,装備品!$1:$998,COLUMN(D$1),FALSE)+IFERROR(VLOOKUP($CI100,付与!$1:$1167,COLUMN(F$1),FALSE),0))*VLOOKUP($D100,素材!$1:$1016,COLUMN(D$1),FALSE),0),"")</f>
        <v>115</v>
      </c>
      <c r="G100">
        <f>IFERROR(ROUNDDOWN((VLOOKUP($C100,装備品!$1:$998,COLUMN(E$1),FALSE)+IFERROR(VLOOKUP($CI100,付与!$1:$1167,COLUMN(G$1),FALSE),0))*VLOOKUP($D100,素材!$1:$1016,COLUMN($E$1),FALSE),0),"")</f>
        <v>12</v>
      </c>
      <c r="H100">
        <f>IFERROR(ROUNDDOWN((VLOOKUP($C100,装備品!$1:$998,COLUMN(F$1),FALSE)+IFERROR(VLOOKUP($CI100,付与!$1:$1167,COLUMN(H$1),FALSE),0))*VLOOKUP($D100,素材!$1:$1016,COLUMN($E$1),FALSE),0),"")</f>
        <v>0</v>
      </c>
      <c r="I100">
        <f>IFERROR(ROUNDDOWN((VLOOKUP($C100,装備品!$1:$998,COLUMN(G$1),FALSE)+IFERROR(VLOOKUP($CI100,付与!$1:$1167,COLUMN(I$1),FALSE),0))*VLOOKUP($D100,素材!$1:$1016,COLUMN($E$1),FALSE),0),"")</f>
        <v>12</v>
      </c>
      <c r="J100">
        <f>IFERROR(ROUNDDOWN((VLOOKUP($C100,装備品!$1:$998,COLUMN(H$1),FALSE)+IFERROR(VLOOKUP($CI100,付与!$1:$1167,COLUMN(J$1),FALSE),0))*VLOOKUP($D100,素材!$1:$1016,COLUMN($E$1),FALSE),0),"")</f>
        <v>33</v>
      </c>
      <c r="K100">
        <f>IFERROR(ROUNDDOWN((VLOOKUP($C100,装備品!$1:$998,COLUMN(I$1),FALSE)+IFERROR(VLOOKUP($CI100,付与!$1:$1167,COLUMN(K$1),FALSE),0))*VLOOKUP($D100,素材!$1:$1016,COLUMN($E$1),FALSE),0),"")</f>
        <v>0</v>
      </c>
      <c r="L100">
        <f>IFERROR(VLOOKUP($D100,素材!$1:$1016,COLUMN($F$1),FALSE),"")</f>
        <v>0</v>
      </c>
      <c r="M100">
        <f>IFERROR(VLOOKUP($C100,装備品!$1:$998,COLUMN(AA$1),FALSE)*VLOOKUP($D100,素材!$1:$1016,COLUMN($G$1),FALSE),"")</f>
        <v>0</v>
      </c>
      <c r="N100">
        <f>IFERROR(VLOOKUP($C100,装備品!$1:$998,COLUMN(I$1),FALSE),"")</f>
        <v>0</v>
      </c>
      <c r="O100" s="23">
        <f>IFERROR((VLOOKUP($C100,装備品!$1:$998,COLUMN(K$1),FALSE)+VLOOKUP($D100,素材!$1:$1016,COLUMN(H$1),FALSE))*100+IFERROR(VLOOKUP($CI100,付与!$1:$1167,COLUMN(O$1),FALSE),0),"")</f>
        <v>5</v>
      </c>
      <c r="P100" s="23">
        <f>IFERROR((VLOOKUP($C100,装備品!$1:$998,COLUMN(L$1),FALSE)+VLOOKUP($D100,素材!$1:$1016,COLUMN(I$1),FALSE))*100+IFERROR(VLOOKUP($CI100,付与!$1:$1167,COLUMN(P$1),FALSE),0),"")</f>
        <v>125</v>
      </c>
      <c r="Q100">
        <f>IFERROR(ROUNDUP(VLOOKUP($C100,装備品!$1:$998,COLUMN(M$1),FALSE)*(VLOOKUP($D100,素材!$1:$1002,COLUMN(D$1),FALSE)/100),1),"")</f>
        <v>-5.3</v>
      </c>
      <c r="R100">
        <f>IFERROR(ROUNDUP(VLOOKUP($C100,装備品!$1:$998,COLUMN(N$1),FALSE)*(VLOOKUP($D100,素材!$1:$1002,COLUMN(D$1),FALSE)/100),1),"")</f>
        <v>0</v>
      </c>
      <c r="S100">
        <f>IFERROR(VLOOKUP($C100,装備品!$1:$998,COLUMN(P$1),FALSE),"")</f>
        <v>0</v>
      </c>
      <c r="T100">
        <f>IFERROR(VLOOKUP($C100,装備品!$1:$998,COLUMN(Q$1),FALSE),"")</f>
        <v>0</v>
      </c>
      <c r="U100">
        <f>IFERROR(VLOOKUP($C100,装備品!$1:$998,COLUMN(R$1),FALSE),"")</f>
        <v>0</v>
      </c>
      <c r="V100">
        <f>IFERROR(VLOOKUP($C100,装備品!$1:$998,COLUMN(Q$1),FALSE),"")</f>
        <v>0</v>
      </c>
      <c r="W100">
        <f>IFERROR(VLOOKUP($C100,装備品!$1:$998,COLUMN(T$1),FALSE),"")</f>
        <v>0</v>
      </c>
      <c r="Y100">
        <f>IFERROR(VLOOKUP($C100,装備品!$1:$998,COLUMN(U$1),FALSE),"")</f>
        <v>0</v>
      </c>
      <c r="Z100">
        <f>IFERROR(ROUNDUP(VLOOKUP($C100,装備品!$1:$998,COLUMN(O$1),FALSE)*VLOOKUP($D100,素材!$1:$1016,COLUMN(E$1),FALSE),1),"")</f>
        <v>0</v>
      </c>
      <c r="AA100">
        <f>IF(ISNUMBER(SEARCH(SUBSTITUTE(AA$1,RIGHT(AA$1,2),""),VLOOKUP($D100,素材!$1:$1016,COLUMN($F$1),FALSE))),VLOOKUP($C100,装備品!$1:$998,COLUMN($O$1),FALSE)*VLOOKUP($D100,素材!$1:$1016,COLUMN($E$1),FALSE)/(LEN(VLOOKUP($D100,素材!$1:$1016,COLUMN($F$1),FALSE))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B100">
        <f>IF(ISNUMBER(SEARCH(SUBSTITUTE(AB$1,RIGHT(AB$1,2),""),VLOOKUP($D100,素材!$1:$1016,COLUMN($F$1),FALSE))),VLOOKUP($C100,装備品!$1:$998,COLUMN($O$1),FALSE)*VLOOKUP($D100,素材!$1:$1016,COLUMN($E$1),FALSE)/(LEN(VLOOKUP($D100,素材!$1:$1016,COLUMN($F$1),FALSE))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C100">
        <f>IF(ISNUMBER(SEARCH(SUBSTITUTE(AC$1,RIGHT(AC$1,2),""),VLOOKUP($D100,素材!$1:$1016,COLUMN($F$1),FALSE))),VLOOKUP($C100,装備品!$1:$998,COLUMN($O$1),FALSE)*VLOOKUP($D100,素材!$1:$1016,COLUMN($E$1),FALSE)/(LEN(VLOOKUP($D100,素材!$1:$1016,COLUMN($F$1),FALSE))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D100">
        <f>IF(ISNUMBER(SEARCH(SUBSTITUTE(AD$1,RIGHT(AD$1,2),""),VLOOKUP($D100,素材!$1:$1016,COLUMN($F$1),FALSE))),VLOOKUP($C100,装備品!$1:$998,COLUMN($O$1),FALSE)*VLOOKUP($D100,素材!$1:$1016,COLUMN($E$1),FALSE)/(LEN(VLOOKUP($D100,素材!$1:$1016,COLUMN($F$1),FALSE))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E100">
        <f>IF(ISNUMBER(SEARCH(SUBSTITUTE(AE$1,RIGHT(AE$1,2),""),VLOOKUP($D100,素材!$1:$1016,COLUMN($F$1),FALSE))),VLOOKUP($C100,装備品!$1:$998,COLUMN($O$1),FALSE)*VLOOKUP($D100,素材!$1:$1016,COLUMN($E$1),FALSE)/(LEN(VLOOKUP($D100,素材!$1:$1016,COLUMN($F$1),FALSE))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F100">
        <f>IF(ISNUMBER(SEARCH(SUBSTITUTE(AF$1,RIGHT(AF$1,2),""),VLOOKUP($D100,素材!$1:$1016,COLUMN($F$1),FALSE))),VLOOKUP($C100,装備品!$1:$998,COLUMN($O$1),FALSE)*VLOOKUP($D100,素材!$1:$1016,COLUMN($E$1),FALSE)/(LEN(VLOOKUP($D100,素材!$1:$1016,COLUMN($F$1),FALSE))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G100">
        <f>IF(ISNUMBER(SEARCH(SUBSTITUTE(AG$1,RIGHT(AG$1,2),""),VLOOKUP($D100,素材!$1:$1016,COLUMN($F$1),FALSE))),VLOOKUP($C100,装備品!$1:$998,COLUMN($O$1),FALSE)*VLOOKUP($D100,素材!$1:$1016,COLUMN($E$1),FALSE)/(LEN(VLOOKUP($D100,素材!$1:$1016,COLUMN($F$1),FALSE))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H100">
        <f>IF(ISNUMBER(SEARCH(SUBSTITUTE(AH$1,RIGHT(AH$1,2),""),VLOOKUP($D100,素材!$1:$1016,COLUMN($F$1),FALSE))),VLOOKUP($C100,装備品!$1:$998,COLUMN($O$1),FALSE)*VLOOKUP($D100,素材!$1:$1016,COLUMN($E$1),FALSE)/(LEN(VLOOKUP($D100,素材!$1:$1016,COLUMN($F$1),FALSE))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I100">
        <f>IF(ISNUMBER(SEARCH(SUBSTITUTE(AI$1,RIGHT(AI$1,2),""),VLOOKUP($D100,素材!$1:$1016,COLUMN($F$1),FALSE))),VLOOKUP($C100,装備品!$1:$998,COLUMN($O$1),FALSE)*VLOOKUP($D100,素材!$1:$1016,COLUMN($E$1),FALSE)/(LEN(VLOOKUP($D100,素材!$1:$1016,COLUMN($F$1),FALSE))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J100">
        <f>IF(ISNUMBER(SEARCH(SUBSTITUTE(AJ$1,RIGHT(AJ$1,2),""),VLOOKUP($D100,素材!$1:$1016,COLUMN($F$1),FALSE))),VLOOKUP($C100,装備品!$1:$998,COLUMN($O$1),FALSE)*VLOOKUP($D100,素材!$1:$1016,COLUMN($E$1),FALSE)/(LEN(VLOOKUP($D100,素材!$1:$1016,COLUMN($F$1),FALSE))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K100">
        <f>IF(ISNUMBER(SEARCH(SUBSTITUTE(AK$1,RIGHT(AK$1,2),""),VLOOKUP($D100,素材!$1:$1016,COLUMN($F$1),FALSE))),VLOOKUP($C100,装備品!$1:$998,COLUMN($O$1),FALSE)*VLOOKUP($D100,素材!$1:$1016,COLUMN($E$1),FALSE)/(LEN(VLOOKUP($D100,素材!$1:$1016,COLUMN($F$1),FALSE))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L100">
        <f>IF(ISNUMBER(SEARCH(SUBSTITUTE(AL$1,RIGHT(AL$1,2),""),VLOOKUP($D100,素材!$1:$1016,COLUMN($F$1),FALSE))),VLOOKUP($C100,装備品!$1:$998,COLUMN($O$1),FALSE)*VLOOKUP($D100,素材!$1:$1016,COLUMN($E$1),FALSE)/(LEN(VLOOKUP($D100,素材!$1:$1016,COLUMN($F$1),FALSE))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M100">
        <f>IF(ISNUMBER(SEARCH(SUBSTITUTE(AM$1,RIGHT(AM$1,2),""),VLOOKUP($D100,素材!$1:$1016,COLUMN($F$1),FALSE))),VLOOKUP($C100,装備品!$1:$998,COLUMN($O$1),FALSE)*VLOOKUP($D100,素材!$1:$1016,COLUMN($E$1),FALSE)/(LEN(VLOOKUP($D100,素材!$1:$1016,COLUMN($F$1),FALSE))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N100">
        <f>IF(ISNUMBER(SEARCH(SUBSTITUTE(AN$1,RIGHT(AN$1,2),""),VLOOKUP($D100,素材!$1:$1016,COLUMN($F$1),FALSE))),VLOOKUP($C100,装備品!$1:$998,COLUMN($O$1),FALSE)*VLOOKUP($D100,素材!$1:$1016,COLUMN($E$1),FALSE)/(LEN(VLOOKUP($D100,素材!$1:$1016,COLUMN($F$1),FALSE))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O100">
        <f>IF(ISNUMBER(SEARCH(SUBSTITUTE(AO$1,RIGHT(AO$1,2),""),VLOOKUP($D100,素材!$1:$1016,COLUMN($F$1),FALSE))),VLOOKUP($C100,装備品!$1:$998,COLUMN($O$1),FALSE)*VLOOKUP($D100,素材!$1:$1016,COLUMN($E$1),FALSE)/(LEN(VLOOKUP($D100,素材!$1:$1016,COLUMN($F$1),FALSE))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P100">
        <f>IF(ISNUMBER(SEARCH(SUBSTITUTE(AP$1,RIGHT(AP$1,2),""),VLOOKUP($D100,素材!$1:$1016,COLUMN($F$1),FALSE))),VLOOKUP($C100,装備品!$1:$998,COLUMN($O$1),FALSE)*VLOOKUP($D100,素材!$1:$1016,COLUMN($E$1),FALSE)/(LEN(VLOOKUP($D100,素材!$1:$1016,COLUMN($F$1),FALSE))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Q100">
        <f>IF(ISNUMBER(SEARCH(SUBSTITUTE(AQ$1,RIGHT(AQ$1,2),""),VLOOKUP($D100,素材!$1:$1016,COLUMN($F$1),FALSE))),VLOOKUP($C100,装備品!$1:$998,COLUMN($O$1),FALSE)*VLOOKUP($D100,素材!$1:$1016,COLUMN($E$1),FALSE)/(LEN(VLOOKUP($D100,素材!$1:$1016,COLUMN($F$1),FALSE))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R100">
        <f>IF(ISNUMBER(SEARCH(SUBSTITUTE(AR$1,RIGHT(AR$1,2),""),VLOOKUP($D100,素材!$1:$1016,COLUMN($F$1),FALSE))),VLOOKUP($C100,装備品!$1:$998,COLUMN($O$1),FALSE)*VLOOKUP($D100,素材!$1:$1016,COLUMN($E$1),FALSE)/(LEN(VLOOKUP($D100,素材!$1:$1016,COLUMN($F$1),FALSE))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S100">
        <f>IF(ISNUMBER(SEARCH(SUBSTITUTE(AS$1,RIGHT(AS$1,2),""),VLOOKUP($D100,素材!$1:$1016,COLUMN($F$1),FALSE))),VLOOKUP($C100,装備品!$1:$998,COLUMN($O$1),FALSE)*VLOOKUP($D100,素材!$1:$1016,COLUMN($E$1),FALSE)/(LEN(VLOOKUP($D100,素材!$1:$1016,COLUMN($F$1),FALSE))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T100">
        <f>IF(ISNUMBER(SEARCH(SUBSTITUTE(AT$1,RIGHT(AT$1,2),""),VLOOKUP($D100,素材!$1:$1016,COLUMN($F$1),FALSE))),VLOOKUP($C100,装備品!$1:$998,COLUMN($O$1),FALSE)*VLOOKUP($D100,素材!$1:$1016,COLUMN($E$1),FALSE)/(LEN(VLOOKUP($D100,素材!$1:$1016,COLUMN($F$1),FALSE))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U100">
        <f>IF(ISNUMBER(SEARCH(SUBSTITUTE(AU$1,RIGHT(AU$1,2),""),VLOOKUP($D100,素材!$1:$1016,COLUMN($F$1),FALSE))),VLOOKUP($C100,装備品!$1:$998,COLUMN($O$1),FALSE)*VLOOKUP($D100,素材!$1:$1016,COLUMN($E$1),FALSE)/(LEN(VLOOKUP($D100,素材!$1:$1016,COLUMN($F$1),FALSE))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V100">
        <f>IF(ISNUMBER(SEARCH(SUBSTITUTE(AV$1,RIGHT(AV$1,2),""),VLOOKUP($D100,素材!$1:$1016,COLUMN($F$1),FALSE))),VLOOKUP($C100,装備品!$1:$998,COLUMN($O$1),FALSE)*VLOOKUP($D100,素材!$1:$1016,COLUMN($E$1),FALSE)/(LEN(VLOOKUP($D100,素材!$1:$1016,COLUMN($F$1),FALSE))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W100">
        <f>IF(ISNUMBER(SEARCH(SUBSTITUTE(AW$1,RIGHT(AW$1,2),""),VLOOKUP($D100,素材!$1:$1016,COLUMN($F$1),FALSE))),VLOOKUP($C100,装備品!$1:$998,COLUMN($O$1),FALSE)*VLOOKUP($D100,素材!$1:$1016,COLUMN($E$1),FALSE)/(LEN(VLOOKUP($D100,素材!$1:$1016,COLUMN($F$1),FALSE))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X100">
        <f>IF(ISNUMBER(SEARCH(SUBSTITUTE(AX$1,RIGHT(AX$1,2),""),VLOOKUP($D100,素材!$1:$1016,COLUMN($F$1),FALSE))),VLOOKUP($C100,装備品!$1:$998,COLUMN($O$1),FALSE)*VLOOKUP($D100,素材!$1:$1016,COLUMN($E$1),FALSE)/(LEN(VLOOKUP($D100,素材!$1:$1016,COLUMN($F$1),FALSE))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Y100">
        <f>IF(ISNUMBER(SEARCH(SUBSTITUTE(AY$1,RIGHT(AY$1,2),""),VLOOKUP($D100,素材!$1:$1016,COLUMN($F$1),FALSE))),VLOOKUP($C100,装備品!$1:$998,COLUMN($O$1),FALSE)*VLOOKUP($D100,素材!$1:$1016,COLUMN($E$1),FALSE)/(LEN(VLOOKUP($D100,素材!$1:$1016,COLUMN($F$1),FALSE))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Z100">
        <f>IF(ISNUMBER(SEARCH(SUBSTITUTE(AZ$1,RIGHT(AZ$1,2),""),VLOOKUP($D100,素材!$1:$1016,COLUMN($F$1),FALSE))),VLOOKUP($C100,装備品!$1:$998,COLUMN($O$1),FALSE)*VLOOKUP($D100,素材!$1:$1016,COLUMN($E$1),FALSE)/(LEN(VLOOKUP($D100,素材!$1:$1016,COLUMN($F$1),FALSE))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BA100">
        <f>IF(ISNUMBER(SEARCH(SUBSTITUTE(BA$1,RIGHT(BA$1,2),""),VLOOKUP($D100,素材!$1:$1016,COLUMN($F$1),FALSE))),VLOOKUP($C100,装備品!$1:$998,COLUMN($O$1),FALSE)*VLOOKUP($D100,素材!$1:$1016,COLUMN($E$1),FALSE)/(LEN(VLOOKUP($D100,素材!$1:$1016,COLUMN($F$1),FALSE))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BB100">
        <f>IF(ISNUMBER(SEARCH(SUBSTITUTE(BB$1,RIGHT(BB$1,2),""),VLOOKUP($D100,素材!$1:$1016,COLUMN($F$1),FALSE))),VLOOKUP($C100,装備品!$1:$998,COLUMN($O$1),FALSE)*VLOOKUP($D100,素材!$1:$1016,COLUMN($E$1),FALSE)/(LEN(VLOOKUP($D100,素材!$1:$1016,COLUMN($F$1),FALSE))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BC100">
        <f>IF(ISNUMBER(SEARCH(SUBSTITUTE(BC$1,RIGHT(BC$1,2),""),VLOOKUP($D100,素材!$1:$1016,COLUMN($F$1),FALSE))),VLOOKUP($C100,装備品!$1:$998,COLUMN($O$1),FALSE)*VLOOKUP($D100,素材!$1:$1016,COLUMN($E$1),FALSE)/(LEN(VLOOKUP($D100,素材!$1:$1016,COLUMN($F$1),FALSE))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BD100">
        <f>IF(ISNUMBER(SEARCH(SUBSTITUTE(BD$1,RIGHT(BD$1,2),""),VLOOKUP($D100,素材!$1:$1016,COLUMN($F$1),FALSE))),VLOOKUP($C100,装備品!$1:$998,COLUMN($O$1),FALSE)*VLOOKUP($D100,素材!$1:$1016,COLUMN($E$1),FALSE)/(LEN(VLOOKUP($D100,素材!$1:$1016,COLUMN($F$1),FALSE))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BE100">
        <f>IF(ISNUMBER(SEARCH(SUBSTITUTE(BE$1,RIGHT(BE$1,2),""),VLOOKUP($D100,素材!$1:$1016,COLUMN($F$1),FALSE))),VLOOKUP($C100,装備品!$1:$998,COLUMN($O$1),FALSE)*VLOOKUP($D100,素材!$1:$1016,COLUMN($E$1),FALSE)/(LEN(VLOOKUP($D100,素材!$1:$1016,COLUMN($F$1),FALSE))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CL100">
        <f t="shared" si="7"/>
        <v>24</v>
      </c>
      <c r="CM100" s="22" t="str">
        <f t="shared" si="8"/>
        <v>盾.webp</v>
      </c>
      <c r="CN100">
        <f>IFERROR(VLOOKUP($C100,装備品!$1:$998,COLUMN(V$1),FALSE)*VLOOKUP($D100,素材!$1:$1016,COLUMN(N$1),FALSE)+IF(CI100="",0,VLOOKUP($CI100,付与!$1:$1176,COLUMN($CK$1),FALSE)),"")</f>
        <v>0</v>
      </c>
      <c r="CO100" t="str">
        <f>VLOOKUP(D100,素材!$A:$O,COLUMN(素材!O$1),FALSE)</f>
        <v>鍛えられた鉄。硬度が高く安価なためよく使用される。</v>
      </c>
      <c r="CP100" t="str">
        <f>VLOOKUP(C100,装備品!$A:$AB,COLUMN(装備品!AB$1),FALSE)</f>
        <v>丸大盾。防御範囲が広く、投擲も可能。</v>
      </c>
      <c r="CR100" t="str">
        <f t="shared" si="9"/>
        <v>e_100</v>
      </c>
      <c r="CS100">
        <f t="shared" si="10"/>
        <v>0</v>
      </c>
    </row>
    <row r="101" spans="1:97" outlineLevel="1" x14ac:dyDescent="0.4">
      <c r="A101" t="str">
        <f t="shared" si="11"/>
        <v>鋼の大盾</v>
      </c>
      <c r="B101" t="str">
        <f>IFERROR(VLOOKUP($D101,素材!$1:$1016,COLUMN($B$1),FALSE)&amp;"・"&amp;VLOOKUP($C101,装備品!$1:$998,COLUMN(B$1),FALSE),"")</f>
        <v>スチール・ラージシールド</v>
      </c>
      <c r="C101" t="s">
        <v>218</v>
      </c>
      <c r="D101" s="24" t="s">
        <v>252</v>
      </c>
      <c r="E101" t="str">
        <f>IFERROR(VLOOKUP(C101,装備品!$1:$998,COLUMN(C$1),FALSE),"")</f>
        <v>盾</v>
      </c>
      <c r="F101">
        <f>IFERROR(ROUNDDOWN((VLOOKUP($C101,装備品!$1:$998,COLUMN(D$1),FALSE)+IFERROR(VLOOKUP($CI101,付与!$1:$1167,COLUMN(F$1),FALSE),0))*VLOOKUP($D101,素材!$1:$1016,COLUMN(D$1),FALSE),0),"")</f>
        <v>120</v>
      </c>
      <c r="G101">
        <f>IFERROR(ROUNDDOWN((VLOOKUP($C101,装備品!$1:$998,COLUMN(E$1),FALSE)+IFERROR(VLOOKUP($CI101,付与!$1:$1167,COLUMN(G$1),FALSE),0))*VLOOKUP($D101,素材!$1:$1016,COLUMN($E$1),FALSE),0),"")</f>
        <v>0</v>
      </c>
      <c r="H101">
        <f>IFERROR(ROUNDDOWN((VLOOKUP($C101,装備品!$1:$998,COLUMN(F$1),FALSE)+IFERROR(VLOOKUP($CI101,付与!$1:$1167,COLUMN(H$1),FALSE),0))*VLOOKUP($D101,素材!$1:$1016,COLUMN($E$1),FALSE),0),"")</f>
        <v>0</v>
      </c>
      <c r="I101">
        <f>IFERROR(ROUNDDOWN((VLOOKUP($C101,装備品!$1:$998,COLUMN(G$1),FALSE)+IFERROR(VLOOKUP($CI101,付与!$1:$1167,COLUMN(I$1),FALSE),0))*VLOOKUP($D101,素材!$1:$1016,COLUMN($E$1),FALSE),0),"")</f>
        <v>22</v>
      </c>
      <c r="J101">
        <f>IFERROR(ROUNDDOWN((VLOOKUP($C101,装備品!$1:$998,COLUMN(H$1),FALSE)+IFERROR(VLOOKUP($CI101,付与!$1:$1167,COLUMN(J$1),FALSE),0))*VLOOKUP($D101,素材!$1:$1016,COLUMN($E$1),FALSE),0),"")</f>
        <v>36</v>
      </c>
      <c r="K101">
        <f>IFERROR(ROUNDDOWN((VLOOKUP($C101,装備品!$1:$998,COLUMN(I$1),FALSE)+IFERROR(VLOOKUP($CI101,付与!$1:$1167,COLUMN(K$1),FALSE),0))*VLOOKUP($D101,素材!$1:$1016,COLUMN($E$1),FALSE),0),"")</f>
        <v>0</v>
      </c>
      <c r="L101">
        <f>IFERROR(VLOOKUP($D101,素材!$1:$1016,COLUMN($F$1),FALSE),"")</f>
        <v>0</v>
      </c>
      <c r="M101">
        <f>IFERROR(VLOOKUP($C101,装備品!$1:$998,COLUMN(AA$1),FALSE)*VLOOKUP($D101,素材!$1:$1016,COLUMN($G$1),FALSE),"")</f>
        <v>0</v>
      </c>
      <c r="N101">
        <f>IFERROR(VLOOKUP($C101,装備品!$1:$998,COLUMN(I$1),FALSE),"")</f>
        <v>0</v>
      </c>
      <c r="O101" s="23">
        <f>IFERROR((VLOOKUP($C101,装備品!$1:$998,COLUMN(K$1),FALSE)+VLOOKUP($D101,素材!$1:$1016,COLUMN(H$1),FALSE))*100+IFERROR(VLOOKUP($CI101,付与!$1:$1167,COLUMN(O$1),FALSE),0),"")</f>
        <v>5</v>
      </c>
      <c r="P101" s="23">
        <f>IFERROR((VLOOKUP($C101,装備品!$1:$998,COLUMN(L$1),FALSE)+VLOOKUP($D101,素材!$1:$1016,COLUMN(I$1),FALSE))*100+IFERROR(VLOOKUP($CI101,付与!$1:$1167,COLUMN(P$1),FALSE),0),"")</f>
        <v>125</v>
      </c>
      <c r="Q101">
        <f>IFERROR(ROUNDUP(VLOOKUP($C101,装備品!$1:$998,COLUMN(M$1),FALSE)*(VLOOKUP($D101,素材!$1:$1002,COLUMN(D$1),FALSE)/100),1),"")</f>
        <v>-5.3</v>
      </c>
      <c r="R101">
        <f>IFERROR(ROUNDUP(VLOOKUP($C101,装備品!$1:$998,COLUMN(N$1),FALSE)*(VLOOKUP($D101,素材!$1:$1002,COLUMN(D$1),FALSE)/100),1),"")</f>
        <v>0</v>
      </c>
      <c r="S101">
        <f>IFERROR(VLOOKUP($C101,装備品!$1:$998,COLUMN(P$1),FALSE),"")</f>
        <v>0</v>
      </c>
      <c r="T101">
        <f>IFERROR(VLOOKUP($C101,装備品!$1:$998,COLUMN(Q$1),FALSE),"")</f>
        <v>0</v>
      </c>
      <c r="U101">
        <f>IFERROR(VLOOKUP($C101,装備品!$1:$998,COLUMN(R$1),FALSE),"")</f>
        <v>0</v>
      </c>
      <c r="V101">
        <f>IFERROR(VLOOKUP($C101,装備品!$1:$998,COLUMN(Q$1),FALSE),"")</f>
        <v>0</v>
      </c>
      <c r="W101">
        <f>IFERROR(VLOOKUP($C101,装備品!$1:$998,COLUMN(T$1),FALSE),"")</f>
        <v>0</v>
      </c>
      <c r="Y101">
        <f>IFERROR(VLOOKUP($C101,装備品!$1:$998,COLUMN(U$1),FALSE),"")</f>
        <v>0</v>
      </c>
      <c r="Z101">
        <f>IFERROR(ROUNDUP(VLOOKUP($C101,装備品!$1:$998,COLUMN(O$1),FALSE)*VLOOKUP($D101,素材!$1:$1016,COLUMN(E$1),FALSE),1),"")</f>
        <v>0</v>
      </c>
      <c r="AA101">
        <f>IF(ISNUMBER(SEARCH(SUBSTITUTE(AA$1,RIGHT(AA$1,2),""),VLOOKUP($D101,素材!$1:$1016,COLUMN($F$1),FALSE))),VLOOKUP($C101,装備品!$1:$998,COLUMN($O$1),FALSE)*VLOOKUP($D101,素材!$1:$1016,COLUMN($E$1),FALSE)/(LEN(VLOOKUP($D101,素材!$1:$1016,COLUMN($F$1),FALSE))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B101">
        <f>IF(ISNUMBER(SEARCH(SUBSTITUTE(AB$1,RIGHT(AB$1,2),""),VLOOKUP($D101,素材!$1:$1016,COLUMN($F$1),FALSE))),VLOOKUP($C101,装備品!$1:$998,COLUMN($O$1),FALSE)*VLOOKUP($D101,素材!$1:$1016,COLUMN($E$1),FALSE)/(LEN(VLOOKUP($D101,素材!$1:$1016,COLUMN($F$1),FALSE))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C101">
        <f>IF(ISNUMBER(SEARCH(SUBSTITUTE(AC$1,RIGHT(AC$1,2),""),VLOOKUP($D101,素材!$1:$1016,COLUMN($F$1),FALSE))),VLOOKUP($C101,装備品!$1:$998,COLUMN($O$1),FALSE)*VLOOKUP($D101,素材!$1:$1016,COLUMN($E$1),FALSE)/(LEN(VLOOKUP($D101,素材!$1:$1016,COLUMN($F$1),FALSE))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D101">
        <f>IF(ISNUMBER(SEARCH(SUBSTITUTE(AD$1,RIGHT(AD$1,2),""),VLOOKUP($D101,素材!$1:$1016,COLUMN($F$1),FALSE))),VLOOKUP($C101,装備品!$1:$998,COLUMN($O$1),FALSE)*VLOOKUP($D101,素材!$1:$1016,COLUMN($E$1),FALSE)/(LEN(VLOOKUP($D101,素材!$1:$1016,COLUMN($F$1),FALSE))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E101">
        <f>IF(ISNUMBER(SEARCH(SUBSTITUTE(AE$1,RIGHT(AE$1,2),""),VLOOKUP($D101,素材!$1:$1016,COLUMN($F$1),FALSE))),VLOOKUP($C101,装備品!$1:$998,COLUMN($O$1),FALSE)*VLOOKUP($D101,素材!$1:$1016,COLUMN($E$1),FALSE)/(LEN(VLOOKUP($D101,素材!$1:$1016,COLUMN($F$1),FALSE))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F101">
        <f>IF(ISNUMBER(SEARCH(SUBSTITUTE(AF$1,RIGHT(AF$1,2),""),VLOOKUP($D101,素材!$1:$1016,COLUMN($F$1),FALSE))),VLOOKUP($C101,装備品!$1:$998,COLUMN($O$1),FALSE)*VLOOKUP($D101,素材!$1:$1016,COLUMN($E$1),FALSE)/(LEN(VLOOKUP($D101,素材!$1:$1016,COLUMN($F$1),FALSE))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G101">
        <f>IF(ISNUMBER(SEARCH(SUBSTITUTE(AG$1,RIGHT(AG$1,2),""),VLOOKUP($D101,素材!$1:$1016,COLUMN($F$1),FALSE))),VLOOKUP($C101,装備品!$1:$998,COLUMN($O$1),FALSE)*VLOOKUP($D101,素材!$1:$1016,COLUMN($E$1),FALSE)/(LEN(VLOOKUP($D101,素材!$1:$1016,COLUMN($F$1),FALSE))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H101">
        <f>IF(ISNUMBER(SEARCH(SUBSTITUTE(AH$1,RIGHT(AH$1,2),""),VLOOKUP($D101,素材!$1:$1016,COLUMN($F$1),FALSE))),VLOOKUP($C101,装備品!$1:$998,COLUMN($O$1),FALSE)*VLOOKUP($D101,素材!$1:$1016,COLUMN($E$1),FALSE)/(LEN(VLOOKUP($D101,素材!$1:$1016,COLUMN($F$1),FALSE))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I101">
        <f>IF(ISNUMBER(SEARCH(SUBSTITUTE(AI$1,RIGHT(AI$1,2),""),VLOOKUP($D101,素材!$1:$1016,COLUMN($F$1),FALSE))),VLOOKUP($C101,装備品!$1:$998,COLUMN($O$1),FALSE)*VLOOKUP($D101,素材!$1:$1016,COLUMN($E$1),FALSE)/(LEN(VLOOKUP($D101,素材!$1:$1016,COLUMN($F$1),FALSE))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J101">
        <f>IF(ISNUMBER(SEARCH(SUBSTITUTE(AJ$1,RIGHT(AJ$1,2),""),VLOOKUP($D101,素材!$1:$1016,COLUMN($F$1),FALSE))),VLOOKUP($C101,装備品!$1:$998,COLUMN($O$1),FALSE)*VLOOKUP($D101,素材!$1:$1016,COLUMN($E$1),FALSE)/(LEN(VLOOKUP($D101,素材!$1:$1016,COLUMN($F$1),FALSE))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K101">
        <f>IF(ISNUMBER(SEARCH(SUBSTITUTE(AK$1,RIGHT(AK$1,2),""),VLOOKUP($D101,素材!$1:$1016,COLUMN($F$1),FALSE))),VLOOKUP($C101,装備品!$1:$998,COLUMN($O$1),FALSE)*VLOOKUP($D101,素材!$1:$1016,COLUMN($E$1),FALSE)/(LEN(VLOOKUP($D101,素材!$1:$1016,COLUMN($F$1),FALSE))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L101">
        <f>IF(ISNUMBER(SEARCH(SUBSTITUTE(AL$1,RIGHT(AL$1,2),""),VLOOKUP($D101,素材!$1:$1016,COLUMN($F$1),FALSE))),VLOOKUP($C101,装備品!$1:$998,COLUMN($O$1),FALSE)*VLOOKUP($D101,素材!$1:$1016,COLUMN($E$1),FALSE)/(LEN(VLOOKUP($D101,素材!$1:$1016,COLUMN($F$1),FALSE))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M101">
        <f>IF(ISNUMBER(SEARCH(SUBSTITUTE(AM$1,RIGHT(AM$1,2),""),VLOOKUP($D101,素材!$1:$1016,COLUMN($F$1),FALSE))),VLOOKUP($C101,装備品!$1:$998,COLUMN($O$1),FALSE)*VLOOKUP($D101,素材!$1:$1016,COLUMN($E$1),FALSE)/(LEN(VLOOKUP($D101,素材!$1:$1016,COLUMN($F$1),FALSE))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N101">
        <f>IF(ISNUMBER(SEARCH(SUBSTITUTE(AN$1,RIGHT(AN$1,2),""),VLOOKUP($D101,素材!$1:$1016,COLUMN($F$1),FALSE))),VLOOKUP($C101,装備品!$1:$998,COLUMN($O$1),FALSE)*VLOOKUP($D101,素材!$1:$1016,COLUMN($E$1),FALSE)/(LEN(VLOOKUP($D101,素材!$1:$1016,COLUMN($F$1),FALSE))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O101">
        <f>IF(ISNUMBER(SEARCH(SUBSTITUTE(AO$1,RIGHT(AO$1,2),""),VLOOKUP($D101,素材!$1:$1016,COLUMN($F$1),FALSE))),VLOOKUP($C101,装備品!$1:$998,COLUMN($O$1),FALSE)*VLOOKUP($D101,素材!$1:$1016,COLUMN($E$1),FALSE)/(LEN(VLOOKUP($D101,素材!$1:$1016,COLUMN($F$1),FALSE))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P101">
        <f>IF(ISNUMBER(SEARCH(SUBSTITUTE(AP$1,RIGHT(AP$1,2),""),VLOOKUP($D101,素材!$1:$1016,COLUMN($F$1),FALSE))),VLOOKUP($C101,装備品!$1:$998,COLUMN($O$1),FALSE)*VLOOKUP($D101,素材!$1:$1016,COLUMN($E$1),FALSE)/(LEN(VLOOKUP($D101,素材!$1:$1016,COLUMN($F$1),FALSE))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Q101">
        <f>IF(ISNUMBER(SEARCH(SUBSTITUTE(AQ$1,RIGHT(AQ$1,2),""),VLOOKUP($D101,素材!$1:$1016,COLUMN($F$1),FALSE))),VLOOKUP($C101,装備品!$1:$998,COLUMN($O$1),FALSE)*VLOOKUP($D101,素材!$1:$1016,COLUMN($E$1),FALSE)/(LEN(VLOOKUP($D101,素材!$1:$1016,COLUMN($F$1),FALSE))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R101">
        <f>IF(ISNUMBER(SEARCH(SUBSTITUTE(AR$1,RIGHT(AR$1,2),""),VLOOKUP($D101,素材!$1:$1016,COLUMN($F$1),FALSE))),VLOOKUP($C101,装備品!$1:$998,COLUMN($O$1),FALSE)*VLOOKUP($D101,素材!$1:$1016,COLUMN($E$1),FALSE)/(LEN(VLOOKUP($D101,素材!$1:$1016,COLUMN($F$1),FALSE))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S101">
        <f>IF(ISNUMBER(SEARCH(SUBSTITUTE(AS$1,RIGHT(AS$1,2),""),VLOOKUP($D101,素材!$1:$1016,COLUMN($F$1),FALSE))),VLOOKUP($C101,装備品!$1:$998,COLUMN($O$1),FALSE)*VLOOKUP($D101,素材!$1:$1016,COLUMN($E$1),FALSE)/(LEN(VLOOKUP($D101,素材!$1:$1016,COLUMN($F$1),FALSE))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T101">
        <f>IF(ISNUMBER(SEARCH(SUBSTITUTE(AT$1,RIGHT(AT$1,2),""),VLOOKUP($D101,素材!$1:$1016,COLUMN($F$1),FALSE))),VLOOKUP($C101,装備品!$1:$998,COLUMN($O$1),FALSE)*VLOOKUP($D101,素材!$1:$1016,COLUMN($E$1),FALSE)/(LEN(VLOOKUP($D101,素材!$1:$1016,COLUMN($F$1),FALSE))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U101">
        <f>IF(ISNUMBER(SEARCH(SUBSTITUTE(AU$1,RIGHT(AU$1,2),""),VLOOKUP($D101,素材!$1:$1016,COLUMN($F$1),FALSE))),VLOOKUP($C101,装備品!$1:$998,COLUMN($O$1),FALSE)*VLOOKUP($D101,素材!$1:$1016,COLUMN($E$1),FALSE)/(LEN(VLOOKUP($D101,素材!$1:$1016,COLUMN($F$1),FALSE))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V101">
        <f>IF(ISNUMBER(SEARCH(SUBSTITUTE(AV$1,RIGHT(AV$1,2),""),VLOOKUP($D101,素材!$1:$1016,COLUMN($F$1),FALSE))),VLOOKUP($C101,装備品!$1:$998,COLUMN($O$1),FALSE)*VLOOKUP($D101,素材!$1:$1016,COLUMN($E$1),FALSE)/(LEN(VLOOKUP($D101,素材!$1:$1016,COLUMN($F$1),FALSE))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W101">
        <f>IF(ISNUMBER(SEARCH(SUBSTITUTE(AW$1,RIGHT(AW$1,2),""),VLOOKUP($D101,素材!$1:$1016,COLUMN($F$1),FALSE))),VLOOKUP($C101,装備品!$1:$998,COLUMN($O$1),FALSE)*VLOOKUP($D101,素材!$1:$1016,COLUMN($E$1),FALSE)/(LEN(VLOOKUP($D101,素材!$1:$1016,COLUMN($F$1),FALSE))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X101">
        <f>IF(ISNUMBER(SEARCH(SUBSTITUTE(AX$1,RIGHT(AX$1,2),""),VLOOKUP($D101,素材!$1:$1016,COLUMN($F$1),FALSE))),VLOOKUP($C101,装備品!$1:$998,COLUMN($O$1),FALSE)*VLOOKUP($D101,素材!$1:$1016,COLUMN($E$1),FALSE)/(LEN(VLOOKUP($D101,素材!$1:$1016,COLUMN($F$1),FALSE))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Y101">
        <f>IF(ISNUMBER(SEARCH(SUBSTITUTE(AY$1,RIGHT(AY$1,2),""),VLOOKUP($D101,素材!$1:$1016,COLUMN($F$1),FALSE))),VLOOKUP($C101,装備品!$1:$998,COLUMN($O$1),FALSE)*VLOOKUP($D101,素材!$1:$1016,COLUMN($E$1),FALSE)/(LEN(VLOOKUP($D101,素材!$1:$1016,COLUMN($F$1),FALSE))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Z101">
        <f>IF(ISNUMBER(SEARCH(SUBSTITUTE(AZ$1,RIGHT(AZ$1,2),""),VLOOKUP($D101,素材!$1:$1016,COLUMN($F$1),FALSE))),VLOOKUP($C101,装備品!$1:$998,COLUMN($O$1),FALSE)*VLOOKUP($D101,素材!$1:$1016,COLUMN($E$1),FALSE)/(LEN(VLOOKUP($D101,素材!$1:$1016,COLUMN($F$1),FALSE))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BA101">
        <f>IF(ISNUMBER(SEARCH(SUBSTITUTE(BA$1,RIGHT(BA$1,2),""),VLOOKUP($D101,素材!$1:$1016,COLUMN($F$1),FALSE))),VLOOKUP($C101,装備品!$1:$998,COLUMN($O$1),FALSE)*VLOOKUP($D101,素材!$1:$1016,COLUMN($E$1),FALSE)/(LEN(VLOOKUP($D101,素材!$1:$1016,COLUMN($F$1),FALSE))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BB101">
        <f>IF(ISNUMBER(SEARCH(SUBSTITUTE(BB$1,RIGHT(BB$1,2),""),VLOOKUP($D101,素材!$1:$1016,COLUMN($F$1),FALSE))),VLOOKUP($C101,装備品!$1:$998,COLUMN($O$1),FALSE)*VLOOKUP($D101,素材!$1:$1016,COLUMN($E$1),FALSE)/(LEN(VLOOKUP($D101,素材!$1:$1016,COLUMN($F$1),FALSE))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BC101">
        <f>IF(ISNUMBER(SEARCH(SUBSTITUTE(BC$1,RIGHT(BC$1,2),""),VLOOKUP($D101,素材!$1:$1016,COLUMN($F$1),FALSE))),VLOOKUP($C101,装備品!$1:$998,COLUMN($O$1),FALSE)*VLOOKUP($D101,素材!$1:$1016,COLUMN($E$1),FALSE)/(LEN(VLOOKUP($D101,素材!$1:$1016,COLUMN($F$1),FALSE))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BD101">
        <f>IF(ISNUMBER(SEARCH(SUBSTITUTE(BD$1,RIGHT(BD$1,2),""),VLOOKUP($D101,素材!$1:$1016,COLUMN($F$1),FALSE))),VLOOKUP($C101,装備品!$1:$998,COLUMN($O$1),FALSE)*VLOOKUP($D101,素材!$1:$1016,COLUMN($E$1),FALSE)/(LEN(VLOOKUP($D101,素材!$1:$1016,COLUMN($F$1),FALSE))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BE101">
        <f>IF(ISNUMBER(SEARCH(SUBSTITUTE(BE$1,RIGHT(BE$1,2),""),VLOOKUP($D101,素材!$1:$1016,COLUMN($F$1),FALSE))),VLOOKUP($C101,装備品!$1:$998,COLUMN($O$1),FALSE)*VLOOKUP($D101,素材!$1:$1016,COLUMN($E$1),FALSE)/(LEN(VLOOKUP($D101,素材!$1:$1016,COLUMN($F$1),FALSE))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CL101">
        <f t="shared" si="7"/>
        <v>22</v>
      </c>
      <c r="CM101" s="22" t="str">
        <f t="shared" si="8"/>
        <v>盾.webp</v>
      </c>
      <c r="CN101">
        <f>IFERROR(VLOOKUP($C101,装備品!$1:$998,COLUMN(V$1),FALSE)*VLOOKUP($D101,素材!$1:$1016,COLUMN(N$1),FALSE)+IF(CI101="",0,VLOOKUP($CI101,付与!$1:$1176,COLUMN($CK$1),FALSE)),"")</f>
        <v>0</v>
      </c>
      <c r="CO101" t="str">
        <f>VLOOKUP(D101,素材!$A:$O,COLUMN(素材!O$1),FALSE)</f>
        <v>鍛えられた鉄。硬度が高く安価なためよく使用される。</v>
      </c>
      <c r="CP101" t="str">
        <f>VLOOKUP(C101,装備品!$A:$AB,COLUMN(装備品!AB$1),FALSE)</f>
        <v>大盾。さらに大きな盾で、高い防御力を持つ。</v>
      </c>
      <c r="CR101" t="str">
        <f t="shared" si="9"/>
        <v>e_101</v>
      </c>
      <c r="CS101">
        <f t="shared" si="10"/>
        <v>0</v>
      </c>
    </row>
    <row r="102" spans="1:97" outlineLevel="1" x14ac:dyDescent="0.4">
      <c r="A102" t="str">
        <f t="shared" si="11"/>
        <v>鋼の短弓</v>
      </c>
      <c r="B102" t="str">
        <f>IFERROR(VLOOKUP($D102,素材!$1:$1016,COLUMN($B$1),FALSE)&amp;"・"&amp;VLOOKUP($C102,装備品!$1:$998,COLUMN(B$1),FALSE),"")</f>
        <v>スチール・ボウ</v>
      </c>
      <c r="C102" t="s">
        <v>217</v>
      </c>
      <c r="D102" s="24" t="s">
        <v>252</v>
      </c>
      <c r="E102" t="str">
        <f>IFERROR(VLOOKUP(C102,装備品!$1:$998,COLUMN(C$1),FALSE),"")</f>
        <v>武器</v>
      </c>
      <c r="F102">
        <f>IFERROR(ROUNDDOWN((VLOOKUP($C102,装備品!$1:$998,COLUMN(D$1),FALSE)+IFERROR(VLOOKUP($CI102,付与!$1:$1167,COLUMN(F$1),FALSE),0))*VLOOKUP($D102,素材!$1:$1016,COLUMN(D$1),FALSE),0),"")</f>
        <v>115</v>
      </c>
      <c r="G102">
        <f>IFERROR(ROUNDDOWN((VLOOKUP($C102,装備品!$1:$998,COLUMN(E$1),FALSE)+IFERROR(VLOOKUP($CI102,付与!$1:$1167,COLUMN(G$1),FALSE),0))*VLOOKUP($D102,素材!$1:$1016,COLUMN($E$1),FALSE),0),"")</f>
        <v>6</v>
      </c>
      <c r="H102">
        <f>IFERROR(ROUNDDOWN((VLOOKUP($C102,装備品!$1:$998,COLUMN(F$1),FALSE)+IFERROR(VLOOKUP($CI102,付与!$1:$1167,COLUMN(H$1),FALSE),0))*VLOOKUP($D102,素材!$1:$1016,COLUMN($E$1),FALSE),0),"")</f>
        <v>6</v>
      </c>
      <c r="I102">
        <f>IFERROR(ROUNDDOWN((VLOOKUP($C102,装備品!$1:$998,COLUMN(G$1),FALSE)+IFERROR(VLOOKUP($CI102,付与!$1:$1167,COLUMN(I$1),FALSE),0))*VLOOKUP($D102,素材!$1:$1016,COLUMN($E$1),FALSE),0),"")</f>
        <v>0</v>
      </c>
      <c r="J102">
        <f>IFERROR(ROUNDDOWN((VLOOKUP($C102,装備品!$1:$998,COLUMN(H$1),FALSE)+IFERROR(VLOOKUP($CI102,付与!$1:$1167,COLUMN(J$1),FALSE),0))*VLOOKUP($D102,素材!$1:$1016,COLUMN($E$1),FALSE),0),"")</f>
        <v>0</v>
      </c>
      <c r="K102">
        <f>IFERROR(ROUNDDOWN((VLOOKUP($C102,装備品!$1:$998,COLUMN(I$1),FALSE)+IFERROR(VLOOKUP($CI102,付与!$1:$1167,COLUMN(K$1),FALSE),0))*VLOOKUP($D102,素材!$1:$1016,COLUMN($E$1),FALSE),0),"")</f>
        <v>27</v>
      </c>
      <c r="L102">
        <f>IFERROR(VLOOKUP($D102,素材!$1:$1016,COLUMN($F$1),FALSE),"")</f>
        <v>0</v>
      </c>
      <c r="M102">
        <f>IFERROR(VLOOKUP($C102,装備品!$1:$998,COLUMN(AA$1),FALSE)*VLOOKUP($D102,素材!$1:$1016,COLUMN($G$1),FALSE),"")</f>
        <v>0</v>
      </c>
      <c r="N102">
        <f>IFERROR(VLOOKUP($C102,装備品!$1:$998,COLUMN(I$1),FALSE),"")</f>
        <v>1</v>
      </c>
      <c r="O102" s="23">
        <f>IFERROR((VLOOKUP($C102,装備品!$1:$998,COLUMN(K$1),FALSE)+VLOOKUP($D102,素材!$1:$1016,COLUMN(H$1),FALSE))*100+IFERROR(VLOOKUP($CI102,付与!$1:$1167,COLUMN(O$1),FALSE),0),"")</f>
        <v>10</v>
      </c>
      <c r="P102" s="23">
        <f>IFERROR((VLOOKUP($C102,装備品!$1:$998,COLUMN(L$1),FALSE)+VLOOKUP($D102,素材!$1:$1016,COLUMN(I$1),FALSE))*100+IFERROR(VLOOKUP($CI102,付与!$1:$1167,COLUMN(P$1),FALSE),0),"")</f>
        <v>130</v>
      </c>
      <c r="Q102">
        <f>IFERROR(ROUNDUP(VLOOKUP($C102,装備品!$1:$998,COLUMN(M$1),FALSE)*(VLOOKUP($D102,素材!$1:$1002,COLUMN(D$1),FALSE)/100),1),"")</f>
        <v>-2.7</v>
      </c>
      <c r="R102">
        <f>IFERROR(ROUNDUP(VLOOKUP($C102,装備品!$1:$998,COLUMN(N$1),FALSE)*(VLOOKUP($D102,素材!$1:$1002,COLUMN(D$1),FALSE)/100),1),"")</f>
        <v>0</v>
      </c>
      <c r="S102">
        <f>IFERROR(VLOOKUP($C102,装備品!$1:$998,COLUMN(P$1),FALSE),"")</f>
        <v>0</v>
      </c>
      <c r="T102">
        <f>IFERROR(VLOOKUP($C102,装備品!$1:$998,COLUMN(Q$1),FALSE),"")</f>
        <v>0</v>
      </c>
      <c r="U102">
        <f>IFERROR(VLOOKUP($C102,装備品!$1:$998,COLUMN(R$1),FALSE),"")</f>
        <v>0</v>
      </c>
      <c r="V102">
        <f>IFERROR(VLOOKUP($C102,装備品!$1:$998,COLUMN(Q$1),FALSE),"")</f>
        <v>0</v>
      </c>
      <c r="W102">
        <f>IFERROR(VLOOKUP($C102,装備品!$1:$998,COLUMN(T$1),FALSE),"")</f>
        <v>0</v>
      </c>
      <c r="Y102">
        <f>IFERROR(VLOOKUP($C102,装備品!$1:$998,COLUMN(U$1),FALSE),"")</f>
        <v>2</v>
      </c>
      <c r="Z102">
        <f>IFERROR(ROUNDUP(VLOOKUP($C102,装備品!$1:$998,COLUMN(O$1),FALSE)*VLOOKUP($D102,素材!$1:$1016,COLUMN(E$1),FALSE),1),"")</f>
        <v>0</v>
      </c>
      <c r="AA102">
        <f>IF(ISNUMBER(SEARCH(SUBSTITUTE(AA$1,RIGHT(AA$1,2),""),VLOOKUP($D102,素材!$1:$1016,COLUMN($F$1),FALSE))),VLOOKUP($C102,装備品!$1:$998,COLUMN($O$1),FALSE)*VLOOKUP($D102,素材!$1:$1016,COLUMN($E$1),FALSE)/(LEN(VLOOKUP($D102,素材!$1:$1016,COLUMN($F$1),FALSE))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B102">
        <f>IF(ISNUMBER(SEARCH(SUBSTITUTE(AB$1,RIGHT(AB$1,2),""),VLOOKUP($D102,素材!$1:$1016,COLUMN($F$1),FALSE))),VLOOKUP($C102,装備品!$1:$998,COLUMN($O$1),FALSE)*VLOOKUP($D102,素材!$1:$1016,COLUMN($E$1),FALSE)/(LEN(VLOOKUP($D102,素材!$1:$1016,COLUMN($F$1),FALSE))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C102">
        <f>IF(ISNUMBER(SEARCH(SUBSTITUTE(AC$1,RIGHT(AC$1,2),""),VLOOKUP($D102,素材!$1:$1016,COLUMN($F$1),FALSE))),VLOOKUP($C102,装備品!$1:$998,COLUMN($O$1),FALSE)*VLOOKUP($D102,素材!$1:$1016,COLUMN($E$1),FALSE)/(LEN(VLOOKUP($D102,素材!$1:$1016,COLUMN($F$1),FALSE))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D102">
        <f>IF(ISNUMBER(SEARCH(SUBSTITUTE(AD$1,RIGHT(AD$1,2),""),VLOOKUP($D102,素材!$1:$1016,COLUMN($F$1),FALSE))),VLOOKUP($C102,装備品!$1:$998,COLUMN($O$1),FALSE)*VLOOKUP($D102,素材!$1:$1016,COLUMN($E$1),FALSE)/(LEN(VLOOKUP($D102,素材!$1:$1016,COLUMN($F$1),FALSE))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E102">
        <f>IF(ISNUMBER(SEARCH(SUBSTITUTE(AE$1,RIGHT(AE$1,2),""),VLOOKUP($D102,素材!$1:$1016,COLUMN($F$1),FALSE))),VLOOKUP($C102,装備品!$1:$998,COLUMN($O$1),FALSE)*VLOOKUP($D102,素材!$1:$1016,COLUMN($E$1),FALSE)/(LEN(VLOOKUP($D102,素材!$1:$1016,COLUMN($F$1),FALSE))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F102">
        <f>IF(ISNUMBER(SEARCH(SUBSTITUTE(AF$1,RIGHT(AF$1,2),""),VLOOKUP($D102,素材!$1:$1016,COLUMN($F$1),FALSE))),VLOOKUP($C102,装備品!$1:$998,COLUMN($O$1),FALSE)*VLOOKUP($D102,素材!$1:$1016,COLUMN($E$1),FALSE)/(LEN(VLOOKUP($D102,素材!$1:$1016,COLUMN($F$1),FALSE))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G102">
        <f>IF(ISNUMBER(SEARCH(SUBSTITUTE(AG$1,RIGHT(AG$1,2),""),VLOOKUP($D102,素材!$1:$1016,COLUMN($F$1),FALSE))),VLOOKUP($C102,装備品!$1:$998,COLUMN($O$1),FALSE)*VLOOKUP($D102,素材!$1:$1016,COLUMN($E$1),FALSE)/(LEN(VLOOKUP($D102,素材!$1:$1016,COLUMN($F$1),FALSE))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H102">
        <f>IF(ISNUMBER(SEARCH(SUBSTITUTE(AH$1,RIGHT(AH$1,2),""),VLOOKUP($D102,素材!$1:$1016,COLUMN($F$1),FALSE))),VLOOKUP($C102,装備品!$1:$998,COLUMN($O$1),FALSE)*VLOOKUP($D102,素材!$1:$1016,COLUMN($E$1),FALSE)/(LEN(VLOOKUP($D102,素材!$1:$1016,COLUMN($F$1),FALSE))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I102">
        <f>IF(ISNUMBER(SEARCH(SUBSTITUTE(AI$1,RIGHT(AI$1,2),""),VLOOKUP($D102,素材!$1:$1016,COLUMN($F$1),FALSE))),VLOOKUP($C102,装備品!$1:$998,COLUMN($O$1),FALSE)*VLOOKUP($D102,素材!$1:$1016,COLUMN($E$1),FALSE)/(LEN(VLOOKUP($D102,素材!$1:$1016,COLUMN($F$1),FALSE))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J102">
        <f>IF(ISNUMBER(SEARCH(SUBSTITUTE(AJ$1,RIGHT(AJ$1,2),""),VLOOKUP($D102,素材!$1:$1016,COLUMN($F$1),FALSE))),VLOOKUP($C102,装備品!$1:$998,COLUMN($O$1),FALSE)*VLOOKUP($D102,素材!$1:$1016,COLUMN($E$1),FALSE)/(LEN(VLOOKUP($D102,素材!$1:$1016,COLUMN($F$1),FALSE))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K102">
        <f>IF(ISNUMBER(SEARCH(SUBSTITUTE(AK$1,RIGHT(AK$1,2),""),VLOOKUP($D102,素材!$1:$1016,COLUMN($F$1),FALSE))),VLOOKUP($C102,装備品!$1:$998,COLUMN($O$1),FALSE)*VLOOKUP($D102,素材!$1:$1016,COLUMN($E$1),FALSE)/(LEN(VLOOKUP($D102,素材!$1:$1016,COLUMN($F$1),FALSE))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L102">
        <f>IF(ISNUMBER(SEARCH(SUBSTITUTE(AL$1,RIGHT(AL$1,2),""),VLOOKUP($D102,素材!$1:$1016,COLUMN($F$1),FALSE))),VLOOKUP($C102,装備品!$1:$998,COLUMN($O$1),FALSE)*VLOOKUP($D102,素材!$1:$1016,COLUMN($E$1),FALSE)/(LEN(VLOOKUP($D102,素材!$1:$1016,COLUMN($F$1),FALSE))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M102">
        <f>IF(ISNUMBER(SEARCH(SUBSTITUTE(AM$1,RIGHT(AM$1,2),""),VLOOKUP($D102,素材!$1:$1016,COLUMN($F$1),FALSE))),VLOOKUP($C102,装備品!$1:$998,COLUMN($O$1),FALSE)*VLOOKUP($D102,素材!$1:$1016,COLUMN($E$1),FALSE)/(LEN(VLOOKUP($D102,素材!$1:$1016,COLUMN($F$1),FALSE))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N102">
        <f>IF(ISNUMBER(SEARCH(SUBSTITUTE(AN$1,RIGHT(AN$1,2),""),VLOOKUP($D102,素材!$1:$1016,COLUMN($F$1),FALSE))),VLOOKUP($C102,装備品!$1:$998,COLUMN($O$1),FALSE)*VLOOKUP($D102,素材!$1:$1016,COLUMN($E$1),FALSE)/(LEN(VLOOKUP($D102,素材!$1:$1016,COLUMN($F$1),FALSE))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O102">
        <f>IF(ISNUMBER(SEARCH(SUBSTITUTE(AO$1,RIGHT(AO$1,2),""),VLOOKUP($D102,素材!$1:$1016,COLUMN($F$1),FALSE))),VLOOKUP($C102,装備品!$1:$998,COLUMN($O$1),FALSE)*VLOOKUP($D102,素材!$1:$1016,COLUMN($E$1),FALSE)/(LEN(VLOOKUP($D102,素材!$1:$1016,COLUMN($F$1),FALSE))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P102">
        <f>IF(ISNUMBER(SEARCH(SUBSTITUTE(AP$1,RIGHT(AP$1,2),""),VLOOKUP($D102,素材!$1:$1016,COLUMN($F$1),FALSE))),VLOOKUP($C102,装備品!$1:$998,COLUMN($O$1),FALSE)*VLOOKUP($D102,素材!$1:$1016,COLUMN($E$1),FALSE)/(LEN(VLOOKUP($D102,素材!$1:$1016,COLUMN($F$1),FALSE))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Q102">
        <f>IF(ISNUMBER(SEARCH(SUBSTITUTE(AQ$1,RIGHT(AQ$1,2),""),VLOOKUP($D102,素材!$1:$1016,COLUMN($F$1),FALSE))),VLOOKUP($C102,装備品!$1:$998,COLUMN($O$1),FALSE)*VLOOKUP($D102,素材!$1:$1016,COLUMN($E$1),FALSE)/(LEN(VLOOKUP($D102,素材!$1:$1016,COLUMN($F$1),FALSE))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R102">
        <f>IF(ISNUMBER(SEARCH(SUBSTITUTE(AR$1,RIGHT(AR$1,2),""),VLOOKUP($D102,素材!$1:$1016,COLUMN($F$1),FALSE))),VLOOKUP($C102,装備品!$1:$998,COLUMN($O$1),FALSE)*VLOOKUP($D102,素材!$1:$1016,COLUMN($E$1),FALSE)/(LEN(VLOOKUP($D102,素材!$1:$1016,COLUMN($F$1),FALSE))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S102">
        <f>IF(ISNUMBER(SEARCH(SUBSTITUTE(AS$1,RIGHT(AS$1,2),""),VLOOKUP($D102,素材!$1:$1016,COLUMN($F$1),FALSE))),VLOOKUP($C102,装備品!$1:$998,COLUMN($O$1),FALSE)*VLOOKUP($D102,素材!$1:$1016,COLUMN($E$1),FALSE)/(LEN(VLOOKUP($D102,素材!$1:$1016,COLUMN($F$1),FALSE))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T102">
        <f>IF(ISNUMBER(SEARCH(SUBSTITUTE(AT$1,RIGHT(AT$1,2),""),VLOOKUP($D102,素材!$1:$1016,COLUMN($F$1),FALSE))),VLOOKUP($C102,装備品!$1:$998,COLUMN($O$1),FALSE)*VLOOKUP($D102,素材!$1:$1016,COLUMN($E$1),FALSE)/(LEN(VLOOKUP($D102,素材!$1:$1016,COLUMN($F$1),FALSE))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U102">
        <f>IF(ISNUMBER(SEARCH(SUBSTITUTE(AU$1,RIGHT(AU$1,2),""),VLOOKUP($D102,素材!$1:$1016,COLUMN($F$1),FALSE))),VLOOKUP($C102,装備品!$1:$998,COLUMN($O$1),FALSE)*VLOOKUP($D102,素材!$1:$1016,COLUMN($E$1),FALSE)/(LEN(VLOOKUP($D102,素材!$1:$1016,COLUMN($F$1),FALSE))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V102">
        <f>IF(ISNUMBER(SEARCH(SUBSTITUTE(AV$1,RIGHT(AV$1,2),""),VLOOKUP($D102,素材!$1:$1016,COLUMN($F$1),FALSE))),VLOOKUP($C102,装備品!$1:$998,COLUMN($O$1),FALSE)*VLOOKUP($D102,素材!$1:$1016,COLUMN($E$1),FALSE)/(LEN(VLOOKUP($D102,素材!$1:$1016,COLUMN($F$1),FALSE))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W102">
        <f>IF(ISNUMBER(SEARCH(SUBSTITUTE(AW$1,RIGHT(AW$1,2),""),VLOOKUP($D102,素材!$1:$1016,COLUMN($F$1),FALSE))),VLOOKUP($C102,装備品!$1:$998,COLUMN($O$1),FALSE)*VLOOKUP($D102,素材!$1:$1016,COLUMN($E$1),FALSE)/(LEN(VLOOKUP($D102,素材!$1:$1016,COLUMN($F$1),FALSE))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X102">
        <f>IF(ISNUMBER(SEARCH(SUBSTITUTE(AX$1,RIGHT(AX$1,2),""),VLOOKUP($D102,素材!$1:$1016,COLUMN($F$1),FALSE))),VLOOKUP($C102,装備品!$1:$998,COLUMN($O$1),FALSE)*VLOOKUP($D102,素材!$1:$1016,COLUMN($E$1),FALSE)/(LEN(VLOOKUP($D102,素材!$1:$1016,COLUMN($F$1),FALSE))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Y102">
        <f>IF(ISNUMBER(SEARCH(SUBSTITUTE(AY$1,RIGHT(AY$1,2),""),VLOOKUP($D102,素材!$1:$1016,COLUMN($F$1),FALSE))),VLOOKUP($C102,装備品!$1:$998,COLUMN($O$1),FALSE)*VLOOKUP($D102,素材!$1:$1016,COLUMN($E$1),FALSE)/(LEN(VLOOKUP($D102,素材!$1:$1016,COLUMN($F$1),FALSE))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Z102">
        <f>IF(ISNUMBER(SEARCH(SUBSTITUTE(AZ$1,RIGHT(AZ$1,2),""),VLOOKUP($D102,素材!$1:$1016,COLUMN($F$1),FALSE))),VLOOKUP($C102,装備品!$1:$998,COLUMN($O$1),FALSE)*VLOOKUP($D102,素材!$1:$1016,COLUMN($E$1),FALSE)/(LEN(VLOOKUP($D102,素材!$1:$1016,COLUMN($F$1),FALSE))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BA102">
        <f>IF(ISNUMBER(SEARCH(SUBSTITUTE(BA$1,RIGHT(BA$1,2),""),VLOOKUP($D102,素材!$1:$1016,COLUMN($F$1),FALSE))),VLOOKUP($C102,装備品!$1:$998,COLUMN($O$1),FALSE)*VLOOKUP($D102,素材!$1:$1016,COLUMN($E$1),FALSE)/(LEN(VLOOKUP($D102,素材!$1:$1016,COLUMN($F$1),FALSE))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BB102">
        <f>IF(ISNUMBER(SEARCH(SUBSTITUTE(BB$1,RIGHT(BB$1,2),""),VLOOKUP($D102,素材!$1:$1016,COLUMN($F$1),FALSE))),VLOOKUP($C102,装備品!$1:$998,COLUMN($O$1),FALSE)*VLOOKUP($D102,素材!$1:$1016,COLUMN($E$1),FALSE)/(LEN(VLOOKUP($D102,素材!$1:$1016,COLUMN($F$1),FALSE))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BC102">
        <f>IF(ISNUMBER(SEARCH(SUBSTITUTE(BC$1,RIGHT(BC$1,2),""),VLOOKUP($D102,素材!$1:$1016,COLUMN($F$1),FALSE))),VLOOKUP($C102,装備品!$1:$998,COLUMN($O$1),FALSE)*VLOOKUP($D102,素材!$1:$1016,COLUMN($E$1),FALSE)/(LEN(VLOOKUP($D102,素材!$1:$1016,COLUMN($F$1),FALSE))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BD102">
        <f>IF(ISNUMBER(SEARCH(SUBSTITUTE(BD$1,RIGHT(BD$1,2),""),VLOOKUP($D102,素材!$1:$1016,COLUMN($F$1),FALSE))),VLOOKUP($C102,装備品!$1:$998,COLUMN($O$1),FALSE)*VLOOKUP($D102,素材!$1:$1016,COLUMN($E$1),FALSE)/(LEN(VLOOKUP($D102,素材!$1:$1016,COLUMN($F$1),FALSE))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BE102">
        <f>IF(ISNUMBER(SEARCH(SUBSTITUTE(BE$1,RIGHT(BE$1,2),""),VLOOKUP($D102,素材!$1:$1016,COLUMN($F$1),FALSE))),VLOOKUP($C102,装備品!$1:$998,COLUMN($O$1),FALSE)*VLOOKUP($D102,素材!$1:$1016,COLUMN($E$1),FALSE)/(LEN(VLOOKUP($D102,素材!$1:$1016,COLUMN($F$1),FALSE))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CL102">
        <f t="shared" si="7"/>
        <v>12</v>
      </c>
      <c r="CM102" s="22" t="str">
        <f t="shared" si="8"/>
        <v>切断.webp</v>
      </c>
      <c r="CN102">
        <f>IFERROR(VLOOKUP($C102,装備品!$1:$998,COLUMN(V$1),FALSE)*VLOOKUP($D102,素材!$1:$1016,COLUMN(N$1),FALSE)+IF(CI102="",0,VLOOKUP($CI102,付与!$1:$1176,COLUMN($CK$1),FALSE)),"")</f>
        <v>0</v>
      </c>
      <c r="CO102" t="str">
        <f>VLOOKUP(D102,素材!$A:$O,COLUMN(素材!O$1),FALSE)</f>
        <v>鍛えられた鉄。硬度が高く安価なためよく使用される。</v>
      </c>
      <c r="CP102" t="str">
        <f>VLOOKUP(C102,装備品!$A:$AB,COLUMN(装備品!AB$1),FALSE)</f>
        <v>短弓。軽量で扱いやすい遠距離武器。</v>
      </c>
      <c r="CR102" t="str">
        <f t="shared" si="9"/>
        <v>e_102</v>
      </c>
      <c r="CS102">
        <f t="shared" si="10"/>
        <v>0</v>
      </c>
    </row>
    <row r="103" spans="1:97" outlineLevel="1" x14ac:dyDescent="0.4">
      <c r="A103" t="str">
        <f t="shared" si="11"/>
        <v>鋼の長弓</v>
      </c>
      <c r="B103" t="str">
        <f>IFERROR(VLOOKUP($D103,素材!$1:$1016,COLUMN($B$1),FALSE)&amp;"・"&amp;VLOOKUP($C103,装備品!$1:$998,COLUMN(B$1),FALSE),"")</f>
        <v>スチール・ロングボウ</v>
      </c>
      <c r="C103" t="s">
        <v>216</v>
      </c>
      <c r="D103" s="24" t="s">
        <v>252</v>
      </c>
      <c r="E103" t="str">
        <f>IFERROR(VLOOKUP(C103,装備品!$1:$998,COLUMN(C$1),FALSE),"")</f>
        <v>武器</v>
      </c>
      <c r="F103">
        <f>IFERROR(ROUNDDOWN((VLOOKUP($C103,装備品!$1:$998,COLUMN(D$1),FALSE)+IFERROR(VLOOKUP($CI103,付与!$1:$1167,COLUMN(F$1),FALSE),0))*VLOOKUP($D103,素材!$1:$1016,COLUMN(D$1),FALSE),0),"")</f>
        <v>126</v>
      </c>
      <c r="G103">
        <f>IFERROR(ROUNDDOWN((VLOOKUP($C103,装備品!$1:$998,COLUMN(E$1),FALSE)+IFERROR(VLOOKUP($CI103,付与!$1:$1167,COLUMN(G$1),FALSE),0))*VLOOKUP($D103,素材!$1:$1016,COLUMN($E$1),FALSE),0),"")</f>
        <v>6</v>
      </c>
      <c r="H103">
        <f>IFERROR(ROUNDDOWN((VLOOKUP($C103,装備品!$1:$998,COLUMN(F$1),FALSE)+IFERROR(VLOOKUP($CI103,付与!$1:$1167,COLUMN(H$1),FALSE),0))*VLOOKUP($D103,素材!$1:$1016,COLUMN($E$1),FALSE),0),"")</f>
        <v>6</v>
      </c>
      <c r="I103">
        <f>IFERROR(ROUNDDOWN((VLOOKUP($C103,装備品!$1:$998,COLUMN(G$1),FALSE)+IFERROR(VLOOKUP($CI103,付与!$1:$1167,COLUMN(I$1),FALSE),0))*VLOOKUP($D103,素材!$1:$1016,COLUMN($E$1),FALSE),0),"")</f>
        <v>0</v>
      </c>
      <c r="J103">
        <f>IFERROR(ROUNDDOWN((VLOOKUP($C103,装備品!$1:$998,COLUMN(H$1),FALSE)+IFERROR(VLOOKUP($CI103,付与!$1:$1167,COLUMN(J$1),FALSE),0))*VLOOKUP($D103,素材!$1:$1016,COLUMN($E$1),FALSE),0),"")</f>
        <v>0</v>
      </c>
      <c r="K103">
        <f>IFERROR(ROUNDDOWN((VLOOKUP($C103,装備品!$1:$998,COLUMN(I$1),FALSE)+IFERROR(VLOOKUP($CI103,付与!$1:$1167,COLUMN(K$1),FALSE),0))*VLOOKUP($D103,素材!$1:$1016,COLUMN($E$1),FALSE),0),"")</f>
        <v>31</v>
      </c>
      <c r="L103">
        <f>IFERROR(VLOOKUP($D103,素材!$1:$1016,COLUMN($F$1),FALSE),"")</f>
        <v>0</v>
      </c>
      <c r="M103">
        <f>IFERROR(VLOOKUP($C103,装備品!$1:$998,COLUMN(AA$1),FALSE)*VLOOKUP($D103,素材!$1:$1016,COLUMN($G$1),FALSE),"")</f>
        <v>0</v>
      </c>
      <c r="N103">
        <f>IFERROR(VLOOKUP($C103,装備品!$1:$998,COLUMN(I$1),FALSE),"")</f>
        <v>1.1499999999999999</v>
      </c>
      <c r="O103" s="23">
        <f>IFERROR((VLOOKUP($C103,装備品!$1:$998,COLUMN(K$1),FALSE)+VLOOKUP($D103,素材!$1:$1016,COLUMN(H$1),FALSE))*100+IFERROR(VLOOKUP($CI103,付与!$1:$1167,COLUMN(O$1),FALSE),0),"")</f>
        <v>10</v>
      </c>
      <c r="P103" s="23">
        <f>IFERROR((VLOOKUP($C103,装備品!$1:$998,COLUMN(L$1),FALSE)+VLOOKUP($D103,素材!$1:$1016,COLUMN(I$1),FALSE))*100+IFERROR(VLOOKUP($CI103,付与!$1:$1167,COLUMN(P$1),FALSE),0),"")</f>
        <v>130</v>
      </c>
      <c r="Q103">
        <f>IFERROR(ROUNDUP(VLOOKUP($C103,装備品!$1:$998,COLUMN(M$1),FALSE)*(VLOOKUP($D103,素材!$1:$1002,COLUMN(D$1),FALSE)/100),1),"")</f>
        <v>-5.3</v>
      </c>
      <c r="R103">
        <f>IFERROR(ROUNDUP(VLOOKUP($C103,装備品!$1:$998,COLUMN(N$1),FALSE)*(VLOOKUP($D103,素材!$1:$1002,COLUMN(D$1),FALSE)/100),1),"")</f>
        <v>-2.7</v>
      </c>
      <c r="S103">
        <f>IFERROR(VLOOKUP($C103,装備品!$1:$998,COLUMN(P$1),FALSE),"")</f>
        <v>0</v>
      </c>
      <c r="T103">
        <f>IFERROR(VLOOKUP($C103,装備品!$1:$998,COLUMN(Q$1),FALSE),"")</f>
        <v>0</v>
      </c>
      <c r="U103">
        <f>IFERROR(VLOOKUP($C103,装備品!$1:$998,COLUMN(R$1),FALSE),"")</f>
        <v>0</v>
      </c>
      <c r="V103">
        <f>IFERROR(VLOOKUP($C103,装備品!$1:$998,COLUMN(Q$1),FALSE),"")</f>
        <v>0</v>
      </c>
      <c r="W103">
        <f>IFERROR(VLOOKUP($C103,装備品!$1:$998,COLUMN(T$1),FALSE),"")</f>
        <v>0</v>
      </c>
      <c r="Y103">
        <f>IFERROR(VLOOKUP($C103,装備品!$1:$998,COLUMN(U$1),FALSE),"")</f>
        <v>2</v>
      </c>
      <c r="Z103">
        <f>IFERROR(ROUNDUP(VLOOKUP($C103,装備品!$1:$998,COLUMN(O$1),FALSE)*VLOOKUP($D103,素材!$1:$1016,COLUMN(E$1),FALSE),1),"")</f>
        <v>0</v>
      </c>
      <c r="AA103">
        <f>IF(ISNUMBER(SEARCH(SUBSTITUTE(AA$1,RIGHT(AA$1,2),""),VLOOKUP($D103,素材!$1:$1016,COLUMN($F$1),FALSE))),VLOOKUP($C103,装備品!$1:$998,COLUMN($O$1),FALSE)*VLOOKUP($D103,素材!$1:$1016,COLUMN($E$1),FALSE)/(LEN(VLOOKUP($D103,素材!$1:$1016,COLUMN($F$1),FALSE))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B103">
        <f>IF(ISNUMBER(SEARCH(SUBSTITUTE(AB$1,RIGHT(AB$1,2),""),VLOOKUP($D103,素材!$1:$1016,COLUMN($F$1),FALSE))),VLOOKUP($C103,装備品!$1:$998,COLUMN($O$1),FALSE)*VLOOKUP($D103,素材!$1:$1016,COLUMN($E$1),FALSE)/(LEN(VLOOKUP($D103,素材!$1:$1016,COLUMN($F$1),FALSE))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C103">
        <f>IF(ISNUMBER(SEARCH(SUBSTITUTE(AC$1,RIGHT(AC$1,2),""),VLOOKUP($D103,素材!$1:$1016,COLUMN($F$1),FALSE))),VLOOKUP($C103,装備品!$1:$998,COLUMN($O$1),FALSE)*VLOOKUP($D103,素材!$1:$1016,COLUMN($E$1),FALSE)/(LEN(VLOOKUP($D103,素材!$1:$1016,COLUMN($F$1),FALSE))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D103">
        <f>IF(ISNUMBER(SEARCH(SUBSTITUTE(AD$1,RIGHT(AD$1,2),""),VLOOKUP($D103,素材!$1:$1016,COLUMN($F$1),FALSE))),VLOOKUP($C103,装備品!$1:$998,COLUMN($O$1),FALSE)*VLOOKUP($D103,素材!$1:$1016,COLUMN($E$1),FALSE)/(LEN(VLOOKUP($D103,素材!$1:$1016,COLUMN($F$1),FALSE))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E103">
        <f>IF(ISNUMBER(SEARCH(SUBSTITUTE(AE$1,RIGHT(AE$1,2),""),VLOOKUP($D103,素材!$1:$1016,COLUMN($F$1),FALSE))),VLOOKUP($C103,装備品!$1:$998,COLUMN($O$1),FALSE)*VLOOKUP($D103,素材!$1:$1016,COLUMN($E$1),FALSE)/(LEN(VLOOKUP($D103,素材!$1:$1016,COLUMN($F$1),FALSE))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F103">
        <f>IF(ISNUMBER(SEARCH(SUBSTITUTE(AF$1,RIGHT(AF$1,2),""),VLOOKUP($D103,素材!$1:$1016,COLUMN($F$1),FALSE))),VLOOKUP($C103,装備品!$1:$998,COLUMN($O$1),FALSE)*VLOOKUP($D103,素材!$1:$1016,COLUMN($E$1),FALSE)/(LEN(VLOOKUP($D103,素材!$1:$1016,COLUMN($F$1),FALSE))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G103">
        <f>IF(ISNUMBER(SEARCH(SUBSTITUTE(AG$1,RIGHT(AG$1,2),""),VLOOKUP($D103,素材!$1:$1016,COLUMN($F$1),FALSE))),VLOOKUP($C103,装備品!$1:$998,COLUMN($O$1),FALSE)*VLOOKUP($D103,素材!$1:$1016,COLUMN($E$1),FALSE)/(LEN(VLOOKUP($D103,素材!$1:$1016,COLUMN($F$1),FALSE))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H103">
        <f>IF(ISNUMBER(SEARCH(SUBSTITUTE(AH$1,RIGHT(AH$1,2),""),VLOOKUP($D103,素材!$1:$1016,COLUMN($F$1),FALSE))),VLOOKUP($C103,装備品!$1:$998,COLUMN($O$1),FALSE)*VLOOKUP($D103,素材!$1:$1016,COLUMN($E$1),FALSE)/(LEN(VLOOKUP($D103,素材!$1:$1016,COLUMN($F$1),FALSE))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I103">
        <f>IF(ISNUMBER(SEARCH(SUBSTITUTE(AI$1,RIGHT(AI$1,2),""),VLOOKUP($D103,素材!$1:$1016,COLUMN($F$1),FALSE))),VLOOKUP($C103,装備品!$1:$998,COLUMN($O$1),FALSE)*VLOOKUP($D103,素材!$1:$1016,COLUMN($E$1),FALSE)/(LEN(VLOOKUP($D103,素材!$1:$1016,COLUMN($F$1),FALSE))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J103">
        <f>IF(ISNUMBER(SEARCH(SUBSTITUTE(AJ$1,RIGHT(AJ$1,2),""),VLOOKUP($D103,素材!$1:$1016,COLUMN($F$1),FALSE))),VLOOKUP($C103,装備品!$1:$998,COLUMN($O$1),FALSE)*VLOOKUP($D103,素材!$1:$1016,COLUMN($E$1),FALSE)/(LEN(VLOOKUP($D103,素材!$1:$1016,COLUMN($F$1),FALSE))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K103">
        <f>IF(ISNUMBER(SEARCH(SUBSTITUTE(AK$1,RIGHT(AK$1,2),""),VLOOKUP($D103,素材!$1:$1016,COLUMN($F$1),FALSE))),VLOOKUP($C103,装備品!$1:$998,COLUMN($O$1),FALSE)*VLOOKUP($D103,素材!$1:$1016,COLUMN($E$1),FALSE)/(LEN(VLOOKUP($D103,素材!$1:$1016,COLUMN($F$1),FALSE))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L103">
        <f>IF(ISNUMBER(SEARCH(SUBSTITUTE(AL$1,RIGHT(AL$1,2),""),VLOOKUP($D103,素材!$1:$1016,COLUMN($F$1),FALSE))),VLOOKUP($C103,装備品!$1:$998,COLUMN($O$1),FALSE)*VLOOKUP($D103,素材!$1:$1016,COLUMN($E$1),FALSE)/(LEN(VLOOKUP($D103,素材!$1:$1016,COLUMN($F$1),FALSE))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M103">
        <f>IF(ISNUMBER(SEARCH(SUBSTITUTE(AM$1,RIGHT(AM$1,2),""),VLOOKUP($D103,素材!$1:$1016,COLUMN($F$1),FALSE))),VLOOKUP($C103,装備品!$1:$998,COLUMN($O$1),FALSE)*VLOOKUP($D103,素材!$1:$1016,COLUMN($E$1),FALSE)/(LEN(VLOOKUP($D103,素材!$1:$1016,COLUMN($F$1),FALSE))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N103">
        <f>IF(ISNUMBER(SEARCH(SUBSTITUTE(AN$1,RIGHT(AN$1,2),""),VLOOKUP($D103,素材!$1:$1016,COLUMN($F$1),FALSE))),VLOOKUP($C103,装備品!$1:$998,COLUMN($O$1),FALSE)*VLOOKUP($D103,素材!$1:$1016,COLUMN($E$1),FALSE)/(LEN(VLOOKUP($D103,素材!$1:$1016,COLUMN($F$1),FALSE))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O103">
        <f>IF(ISNUMBER(SEARCH(SUBSTITUTE(AO$1,RIGHT(AO$1,2),""),VLOOKUP($D103,素材!$1:$1016,COLUMN($F$1),FALSE))),VLOOKUP($C103,装備品!$1:$998,COLUMN($O$1),FALSE)*VLOOKUP($D103,素材!$1:$1016,COLUMN($E$1),FALSE)/(LEN(VLOOKUP($D103,素材!$1:$1016,COLUMN($F$1),FALSE))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P103">
        <f>IF(ISNUMBER(SEARCH(SUBSTITUTE(AP$1,RIGHT(AP$1,2),""),VLOOKUP($D103,素材!$1:$1016,COLUMN($F$1),FALSE))),VLOOKUP($C103,装備品!$1:$998,COLUMN($O$1),FALSE)*VLOOKUP($D103,素材!$1:$1016,COLUMN($E$1),FALSE)/(LEN(VLOOKUP($D103,素材!$1:$1016,COLUMN($F$1),FALSE))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Q103">
        <f>IF(ISNUMBER(SEARCH(SUBSTITUTE(AQ$1,RIGHT(AQ$1,2),""),VLOOKUP($D103,素材!$1:$1016,COLUMN($F$1),FALSE))),VLOOKUP($C103,装備品!$1:$998,COLUMN($O$1),FALSE)*VLOOKUP($D103,素材!$1:$1016,COLUMN($E$1),FALSE)/(LEN(VLOOKUP($D103,素材!$1:$1016,COLUMN($F$1),FALSE))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R103">
        <f>IF(ISNUMBER(SEARCH(SUBSTITUTE(AR$1,RIGHT(AR$1,2),""),VLOOKUP($D103,素材!$1:$1016,COLUMN($F$1),FALSE))),VLOOKUP($C103,装備品!$1:$998,COLUMN($O$1),FALSE)*VLOOKUP($D103,素材!$1:$1016,COLUMN($E$1),FALSE)/(LEN(VLOOKUP($D103,素材!$1:$1016,COLUMN($F$1),FALSE))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S103">
        <f>IF(ISNUMBER(SEARCH(SUBSTITUTE(AS$1,RIGHT(AS$1,2),""),VLOOKUP($D103,素材!$1:$1016,COLUMN($F$1),FALSE))),VLOOKUP($C103,装備品!$1:$998,COLUMN($O$1),FALSE)*VLOOKUP($D103,素材!$1:$1016,COLUMN($E$1),FALSE)/(LEN(VLOOKUP($D103,素材!$1:$1016,COLUMN($F$1),FALSE))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T103">
        <f>IF(ISNUMBER(SEARCH(SUBSTITUTE(AT$1,RIGHT(AT$1,2),""),VLOOKUP($D103,素材!$1:$1016,COLUMN($F$1),FALSE))),VLOOKUP($C103,装備品!$1:$998,COLUMN($O$1),FALSE)*VLOOKUP($D103,素材!$1:$1016,COLUMN($E$1),FALSE)/(LEN(VLOOKUP($D103,素材!$1:$1016,COLUMN($F$1),FALSE))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U103">
        <f>IF(ISNUMBER(SEARCH(SUBSTITUTE(AU$1,RIGHT(AU$1,2),""),VLOOKUP($D103,素材!$1:$1016,COLUMN($F$1),FALSE))),VLOOKUP($C103,装備品!$1:$998,COLUMN($O$1),FALSE)*VLOOKUP($D103,素材!$1:$1016,COLUMN($E$1),FALSE)/(LEN(VLOOKUP($D103,素材!$1:$1016,COLUMN($F$1),FALSE))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V103">
        <f>IF(ISNUMBER(SEARCH(SUBSTITUTE(AV$1,RIGHT(AV$1,2),""),VLOOKUP($D103,素材!$1:$1016,COLUMN($F$1),FALSE))),VLOOKUP($C103,装備品!$1:$998,COLUMN($O$1),FALSE)*VLOOKUP($D103,素材!$1:$1016,COLUMN($E$1),FALSE)/(LEN(VLOOKUP($D103,素材!$1:$1016,COLUMN($F$1),FALSE))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W103">
        <f>IF(ISNUMBER(SEARCH(SUBSTITUTE(AW$1,RIGHT(AW$1,2),""),VLOOKUP($D103,素材!$1:$1016,COLUMN($F$1),FALSE))),VLOOKUP($C103,装備品!$1:$998,COLUMN($O$1),FALSE)*VLOOKUP($D103,素材!$1:$1016,COLUMN($E$1),FALSE)/(LEN(VLOOKUP($D103,素材!$1:$1016,COLUMN($F$1),FALSE))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X103">
        <f>IF(ISNUMBER(SEARCH(SUBSTITUTE(AX$1,RIGHT(AX$1,2),""),VLOOKUP($D103,素材!$1:$1016,COLUMN($F$1),FALSE))),VLOOKUP($C103,装備品!$1:$998,COLUMN($O$1),FALSE)*VLOOKUP($D103,素材!$1:$1016,COLUMN($E$1),FALSE)/(LEN(VLOOKUP($D103,素材!$1:$1016,COLUMN($F$1),FALSE))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Y103">
        <f>IF(ISNUMBER(SEARCH(SUBSTITUTE(AY$1,RIGHT(AY$1,2),""),VLOOKUP($D103,素材!$1:$1016,COLUMN($F$1),FALSE))),VLOOKUP($C103,装備品!$1:$998,COLUMN($O$1),FALSE)*VLOOKUP($D103,素材!$1:$1016,COLUMN($E$1),FALSE)/(LEN(VLOOKUP($D103,素材!$1:$1016,COLUMN($F$1),FALSE))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Z103">
        <f>IF(ISNUMBER(SEARCH(SUBSTITUTE(AZ$1,RIGHT(AZ$1,2),""),VLOOKUP($D103,素材!$1:$1016,COLUMN($F$1),FALSE))),VLOOKUP($C103,装備品!$1:$998,COLUMN($O$1),FALSE)*VLOOKUP($D103,素材!$1:$1016,COLUMN($E$1),FALSE)/(LEN(VLOOKUP($D103,素材!$1:$1016,COLUMN($F$1),FALSE))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BA103">
        <f>IF(ISNUMBER(SEARCH(SUBSTITUTE(BA$1,RIGHT(BA$1,2),""),VLOOKUP($D103,素材!$1:$1016,COLUMN($F$1),FALSE))),VLOOKUP($C103,装備品!$1:$998,COLUMN($O$1),FALSE)*VLOOKUP($D103,素材!$1:$1016,COLUMN($E$1),FALSE)/(LEN(VLOOKUP($D103,素材!$1:$1016,COLUMN($F$1),FALSE))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BB103">
        <f>IF(ISNUMBER(SEARCH(SUBSTITUTE(BB$1,RIGHT(BB$1,2),""),VLOOKUP($D103,素材!$1:$1016,COLUMN($F$1),FALSE))),VLOOKUP($C103,装備品!$1:$998,COLUMN($O$1),FALSE)*VLOOKUP($D103,素材!$1:$1016,COLUMN($E$1),FALSE)/(LEN(VLOOKUP($D103,素材!$1:$1016,COLUMN($F$1),FALSE))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BC103">
        <f>IF(ISNUMBER(SEARCH(SUBSTITUTE(BC$1,RIGHT(BC$1,2),""),VLOOKUP($D103,素材!$1:$1016,COLUMN($F$1),FALSE))),VLOOKUP($C103,装備品!$1:$998,COLUMN($O$1),FALSE)*VLOOKUP($D103,素材!$1:$1016,COLUMN($E$1),FALSE)/(LEN(VLOOKUP($D103,素材!$1:$1016,COLUMN($F$1),FALSE))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BD103">
        <f>IF(ISNUMBER(SEARCH(SUBSTITUTE(BD$1,RIGHT(BD$1,2),""),VLOOKUP($D103,素材!$1:$1016,COLUMN($F$1),FALSE))),VLOOKUP($C103,装備品!$1:$998,COLUMN($O$1),FALSE)*VLOOKUP($D103,素材!$1:$1016,COLUMN($E$1),FALSE)/(LEN(VLOOKUP($D103,素材!$1:$1016,COLUMN($F$1),FALSE))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BE103">
        <f>IF(ISNUMBER(SEARCH(SUBSTITUTE(BE$1,RIGHT(BE$1,2),""),VLOOKUP($D103,素材!$1:$1016,COLUMN($F$1),FALSE))),VLOOKUP($C103,装備品!$1:$998,COLUMN($O$1),FALSE)*VLOOKUP($D103,素材!$1:$1016,COLUMN($E$1),FALSE)/(LEN(VLOOKUP($D103,素材!$1:$1016,COLUMN($F$1),FALSE))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CL103">
        <f t="shared" si="7"/>
        <v>12</v>
      </c>
      <c r="CM103" s="22" t="str">
        <f t="shared" si="8"/>
        <v>切断.webp</v>
      </c>
      <c r="CN103">
        <f>IFERROR(VLOOKUP($C103,装備品!$1:$998,COLUMN(V$1),FALSE)*VLOOKUP($D103,素材!$1:$1016,COLUMN(N$1),FALSE)+IF(CI103="",0,VLOOKUP($CI103,付与!$1:$1176,COLUMN($CK$1),FALSE)),"")</f>
        <v>0</v>
      </c>
      <c r="CO103" t="str">
        <f>VLOOKUP(D103,素材!$A:$O,COLUMN(素材!O$1),FALSE)</f>
        <v>鍛えられた鉄。硬度が高く安価なためよく使用される。</v>
      </c>
      <c r="CP103" t="str">
        <f>VLOOKUP(C103,装備品!$A:$AB,COLUMN(装備品!AB$1),FALSE)</f>
        <v>長弓。射程が長く、高い威力を持つ。</v>
      </c>
      <c r="CR103" t="str">
        <f t="shared" si="9"/>
        <v>e_103</v>
      </c>
      <c r="CS103">
        <f t="shared" si="10"/>
        <v>0</v>
      </c>
    </row>
    <row r="104" spans="1:97" outlineLevel="1" x14ac:dyDescent="0.4">
      <c r="A104" t="str">
        <f t="shared" si="11"/>
        <v>鋼の杖</v>
      </c>
      <c r="B104" t="str">
        <f>IFERROR(VLOOKUP($D104,素材!$1:$1016,COLUMN($B$1),FALSE)&amp;"・"&amp;VLOOKUP($C104,装備品!$1:$998,COLUMN(B$1),FALSE),"")</f>
        <v>スチール・ロッド</v>
      </c>
      <c r="C104" t="s">
        <v>215</v>
      </c>
      <c r="D104" s="24" t="s">
        <v>252</v>
      </c>
      <c r="E104" t="str">
        <f>IFERROR(VLOOKUP(C104,装備品!$1:$998,COLUMN(C$1),FALSE),"")</f>
        <v>杖</v>
      </c>
      <c r="F104">
        <f>IFERROR(ROUNDDOWN((VLOOKUP($C104,装備品!$1:$998,COLUMN(D$1),FALSE)+IFERROR(VLOOKUP($CI104,付与!$1:$1167,COLUMN(F$1),FALSE),0))*VLOOKUP($D104,素材!$1:$1016,COLUMN(D$1),FALSE),0),"")</f>
        <v>115</v>
      </c>
      <c r="G104">
        <f>IFERROR(ROUNDDOWN((VLOOKUP($C104,装備品!$1:$998,COLUMN(E$1),FALSE)+IFERROR(VLOOKUP($CI104,付与!$1:$1167,COLUMN(G$1),FALSE),0))*VLOOKUP($D104,素材!$1:$1016,COLUMN($E$1),FALSE),0),"")</f>
        <v>0</v>
      </c>
      <c r="H104">
        <f>IFERROR(ROUNDDOWN((VLOOKUP($C104,装備品!$1:$998,COLUMN(F$1),FALSE)+IFERROR(VLOOKUP($CI104,付与!$1:$1167,COLUMN(H$1),FALSE),0))*VLOOKUP($D104,素材!$1:$1016,COLUMN($E$1),FALSE),0),"")</f>
        <v>6</v>
      </c>
      <c r="I104">
        <f>IFERROR(ROUNDDOWN((VLOOKUP($C104,装備品!$1:$998,COLUMN(G$1),FALSE)+IFERROR(VLOOKUP($CI104,付与!$1:$1167,COLUMN(I$1),FALSE),0))*VLOOKUP($D104,素材!$1:$1016,COLUMN($E$1),FALSE),0),"")</f>
        <v>18</v>
      </c>
      <c r="J104">
        <f>IFERROR(ROUNDDOWN((VLOOKUP($C104,装備品!$1:$998,COLUMN(H$1),FALSE)+IFERROR(VLOOKUP($CI104,付与!$1:$1167,COLUMN(J$1),FALSE),0))*VLOOKUP($D104,素材!$1:$1016,COLUMN($E$1),FALSE),0),"")</f>
        <v>24</v>
      </c>
      <c r="K104">
        <f>IFERROR(ROUNDDOWN((VLOOKUP($C104,装備品!$1:$998,COLUMN(I$1),FALSE)+IFERROR(VLOOKUP($CI104,付与!$1:$1167,COLUMN(K$1),FALSE),0))*VLOOKUP($D104,素材!$1:$1016,COLUMN($E$1),FALSE),0),"")</f>
        <v>0</v>
      </c>
      <c r="L104">
        <f>IFERROR(VLOOKUP($D104,素材!$1:$1016,COLUMN($F$1),FALSE),"")</f>
        <v>0</v>
      </c>
      <c r="M104">
        <f>IFERROR(VLOOKUP($C104,装備品!$1:$998,COLUMN(AA$1),FALSE)*VLOOKUP($D104,素材!$1:$1016,COLUMN($G$1),FALSE),"")</f>
        <v>0</v>
      </c>
      <c r="N104">
        <f>IFERROR(VLOOKUP($C104,装備品!$1:$998,COLUMN(I$1),FALSE),"")</f>
        <v>0</v>
      </c>
      <c r="O104" s="23">
        <f>IFERROR((VLOOKUP($C104,装備品!$1:$998,COLUMN(K$1),FALSE)+VLOOKUP($D104,素材!$1:$1016,COLUMN(H$1),FALSE))*100+IFERROR(VLOOKUP($CI104,付与!$1:$1167,COLUMN(O$1),FALSE),0),"")</f>
        <v>5</v>
      </c>
      <c r="P104" s="23">
        <f>IFERROR((VLOOKUP($C104,装備品!$1:$998,COLUMN(L$1),FALSE)+VLOOKUP($D104,素材!$1:$1016,COLUMN(I$1),FALSE))*100+IFERROR(VLOOKUP($CI104,付与!$1:$1167,COLUMN(P$1),FALSE),0),"")</f>
        <v>150</v>
      </c>
      <c r="Q104">
        <f>IFERROR(ROUNDUP(VLOOKUP($C104,装備品!$1:$998,COLUMN(M$1),FALSE)*(VLOOKUP($D104,素材!$1:$1002,COLUMN(D$1),FALSE)/100),1),"")</f>
        <v>0</v>
      </c>
      <c r="R104">
        <f>IFERROR(ROUNDUP(VLOOKUP($C104,装備品!$1:$998,COLUMN(N$1),FALSE)*(VLOOKUP($D104,素材!$1:$1002,COLUMN(D$1),FALSE)/100),1),"")</f>
        <v>0</v>
      </c>
      <c r="S104">
        <f>IFERROR(VLOOKUP($C104,装備品!$1:$998,COLUMN(P$1),FALSE),"")</f>
        <v>0</v>
      </c>
      <c r="T104">
        <f>IFERROR(VLOOKUP($C104,装備品!$1:$998,COLUMN(Q$1),FALSE),"")</f>
        <v>0</v>
      </c>
      <c r="U104">
        <f>IFERROR(VLOOKUP($C104,装備品!$1:$998,COLUMN(R$1),FALSE),"")</f>
        <v>0</v>
      </c>
      <c r="V104">
        <f>IFERROR(VLOOKUP($C104,装備品!$1:$998,COLUMN(Q$1),FALSE),"")</f>
        <v>0</v>
      </c>
      <c r="W104">
        <f>IFERROR(VLOOKUP($C104,装備品!$1:$998,COLUMN(T$1),FALSE),"")</f>
        <v>0</v>
      </c>
      <c r="Y104">
        <f>IFERROR(VLOOKUP($C104,装備品!$1:$998,COLUMN(U$1),FALSE),"")</f>
        <v>0</v>
      </c>
      <c r="Z104">
        <f>IFERROR(ROUNDUP(VLOOKUP($C104,装備品!$1:$998,COLUMN(O$1),FALSE)*VLOOKUP($D104,素材!$1:$1016,COLUMN(E$1),FALSE),1),"")</f>
        <v>0</v>
      </c>
      <c r="AA104">
        <f>IF(ISNUMBER(SEARCH(SUBSTITUTE(AA$1,RIGHT(AA$1,2),""),VLOOKUP($D104,素材!$1:$1016,COLUMN($F$1),FALSE))),VLOOKUP($C104,装備品!$1:$998,COLUMN($O$1),FALSE)*VLOOKUP($D104,素材!$1:$1016,COLUMN($E$1),FALSE)/(LEN(VLOOKUP($D104,素材!$1:$1016,COLUMN($F$1),FALSE))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B104">
        <f>IF(ISNUMBER(SEARCH(SUBSTITUTE(AB$1,RIGHT(AB$1,2),""),VLOOKUP($D104,素材!$1:$1016,COLUMN($F$1),FALSE))),VLOOKUP($C104,装備品!$1:$998,COLUMN($O$1),FALSE)*VLOOKUP($D104,素材!$1:$1016,COLUMN($E$1),FALSE)/(LEN(VLOOKUP($D104,素材!$1:$1016,COLUMN($F$1),FALSE))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C104">
        <f>IF(ISNUMBER(SEARCH(SUBSTITUTE(AC$1,RIGHT(AC$1,2),""),VLOOKUP($D104,素材!$1:$1016,COLUMN($F$1),FALSE))),VLOOKUP($C104,装備品!$1:$998,COLUMN($O$1),FALSE)*VLOOKUP($D104,素材!$1:$1016,COLUMN($E$1),FALSE)/(LEN(VLOOKUP($D104,素材!$1:$1016,COLUMN($F$1),FALSE))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D104">
        <f>IF(ISNUMBER(SEARCH(SUBSTITUTE(AD$1,RIGHT(AD$1,2),""),VLOOKUP($D104,素材!$1:$1016,COLUMN($F$1),FALSE))),VLOOKUP($C104,装備品!$1:$998,COLUMN($O$1),FALSE)*VLOOKUP($D104,素材!$1:$1016,COLUMN($E$1),FALSE)/(LEN(VLOOKUP($D104,素材!$1:$1016,COLUMN($F$1),FALSE))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E104">
        <f>IF(ISNUMBER(SEARCH(SUBSTITUTE(AE$1,RIGHT(AE$1,2),""),VLOOKUP($D104,素材!$1:$1016,COLUMN($F$1),FALSE))),VLOOKUP($C104,装備品!$1:$998,COLUMN($O$1),FALSE)*VLOOKUP($D104,素材!$1:$1016,COLUMN($E$1),FALSE)/(LEN(VLOOKUP($D104,素材!$1:$1016,COLUMN($F$1),FALSE))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F104">
        <f>IF(ISNUMBER(SEARCH(SUBSTITUTE(AF$1,RIGHT(AF$1,2),""),VLOOKUP($D104,素材!$1:$1016,COLUMN($F$1),FALSE))),VLOOKUP($C104,装備品!$1:$998,COLUMN($O$1),FALSE)*VLOOKUP($D104,素材!$1:$1016,COLUMN($E$1),FALSE)/(LEN(VLOOKUP($D104,素材!$1:$1016,COLUMN($F$1),FALSE))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G104">
        <f>IF(ISNUMBER(SEARCH(SUBSTITUTE(AG$1,RIGHT(AG$1,2),""),VLOOKUP($D104,素材!$1:$1016,COLUMN($F$1),FALSE))),VLOOKUP($C104,装備品!$1:$998,COLUMN($O$1),FALSE)*VLOOKUP($D104,素材!$1:$1016,COLUMN($E$1),FALSE)/(LEN(VLOOKUP($D104,素材!$1:$1016,COLUMN($F$1),FALSE))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H104">
        <f>IF(ISNUMBER(SEARCH(SUBSTITUTE(AH$1,RIGHT(AH$1,2),""),VLOOKUP($D104,素材!$1:$1016,COLUMN($F$1),FALSE))),VLOOKUP($C104,装備品!$1:$998,COLUMN($O$1),FALSE)*VLOOKUP($D104,素材!$1:$1016,COLUMN($E$1),FALSE)/(LEN(VLOOKUP($D104,素材!$1:$1016,COLUMN($F$1),FALSE))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I104">
        <f>IF(ISNUMBER(SEARCH(SUBSTITUTE(AI$1,RIGHT(AI$1,2),""),VLOOKUP($D104,素材!$1:$1016,COLUMN($F$1),FALSE))),VLOOKUP($C104,装備品!$1:$998,COLUMN($O$1),FALSE)*VLOOKUP($D104,素材!$1:$1016,COLUMN($E$1),FALSE)/(LEN(VLOOKUP($D104,素材!$1:$1016,COLUMN($F$1),FALSE))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J104">
        <f>IF(ISNUMBER(SEARCH(SUBSTITUTE(AJ$1,RIGHT(AJ$1,2),""),VLOOKUP($D104,素材!$1:$1016,COLUMN($F$1),FALSE))),VLOOKUP($C104,装備品!$1:$998,COLUMN($O$1),FALSE)*VLOOKUP($D104,素材!$1:$1016,COLUMN($E$1),FALSE)/(LEN(VLOOKUP($D104,素材!$1:$1016,COLUMN($F$1),FALSE))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K104">
        <f>IF(ISNUMBER(SEARCH(SUBSTITUTE(AK$1,RIGHT(AK$1,2),""),VLOOKUP($D104,素材!$1:$1016,COLUMN($F$1),FALSE))),VLOOKUP($C104,装備品!$1:$998,COLUMN($O$1),FALSE)*VLOOKUP($D104,素材!$1:$1016,COLUMN($E$1),FALSE)/(LEN(VLOOKUP($D104,素材!$1:$1016,COLUMN($F$1),FALSE))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L104">
        <f>IF(ISNUMBER(SEARCH(SUBSTITUTE(AL$1,RIGHT(AL$1,2),""),VLOOKUP($D104,素材!$1:$1016,COLUMN($F$1),FALSE))),VLOOKUP($C104,装備品!$1:$998,COLUMN($O$1),FALSE)*VLOOKUP($D104,素材!$1:$1016,COLUMN($E$1),FALSE)/(LEN(VLOOKUP($D104,素材!$1:$1016,COLUMN($F$1),FALSE))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M104">
        <f>IF(ISNUMBER(SEARCH(SUBSTITUTE(AM$1,RIGHT(AM$1,2),""),VLOOKUP($D104,素材!$1:$1016,COLUMN($F$1),FALSE))),VLOOKUP($C104,装備品!$1:$998,COLUMN($O$1),FALSE)*VLOOKUP($D104,素材!$1:$1016,COLUMN($E$1),FALSE)/(LEN(VLOOKUP($D104,素材!$1:$1016,COLUMN($F$1),FALSE))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N104">
        <f>IF(ISNUMBER(SEARCH(SUBSTITUTE(AN$1,RIGHT(AN$1,2),""),VLOOKUP($D104,素材!$1:$1016,COLUMN($F$1),FALSE))),VLOOKUP($C104,装備品!$1:$998,COLUMN($O$1),FALSE)*VLOOKUP($D104,素材!$1:$1016,COLUMN($E$1),FALSE)/(LEN(VLOOKUP($D104,素材!$1:$1016,COLUMN($F$1),FALSE))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O104">
        <f>IF(ISNUMBER(SEARCH(SUBSTITUTE(AO$1,RIGHT(AO$1,2),""),VLOOKUP($D104,素材!$1:$1016,COLUMN($F$1),FALSE))),VLOOKUP($C104,装備品!$1:$998,COLUMN($O$1),FALSE)*VLOOKUP($D104,素材!$1:$1016,COLUMN($E$1),FALSE)/(LEN(VLOOKUP($D104,素材!$1:$1016,COLUMN($F$1),FALSE))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P104">
        <f>IF(ISNUMBER(SEARCH(SUBSTITUTE(AP$1,RIGHT(AP$1,2),""),VLOOKUP($D104,素材!$1:$1016,COLUMN($F$1),FALSE))),VLOOKUP($C104,装備品!$1:$998,COLUMN($O$1),FALSE)*VLOOKUP($D104,素材!$1:$1016,COLUMN($E$1),FALSE)/(LEN(VLOOKUP($D104,素材!$1:$1016,COLUMN($F$1),FALSE))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Q104">
        <f>IF(ISNUMBER(SEARCH(SUBSTITUTE(AQ$1,RIGHT(AQ$1,2),""),VLOOKUP($D104,素材!$1:$1016,COLUMN($F$1),FALSE))),VLOOKUP($C104,装備品!$1:$998,COLUMN($O$1),FALSE)*VLOOKUP($D104,素材!$1:$1016,COLUMN($E$1),FALSE)/(LEN(VLOOKUP($D104,素材!$1:$1016,COLUMN($F$1),FALSE))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R104">
        <f>IF(ISNUMBER(SEARCH(SUBSTITUTE(AR$1,RIGHT(AR$1,2),""),VLOOKUP($D104,素材!$1:$1016,COLUMN($F$1),FALSE))),VLOOKUP($C104,装備品!$1:$998,COLUMN($O$1),FALSE)*VLOOKUP($D104,素材!$1:$1016,COLUMN($E$1),FALSE)/(LEN(VLOOKUP($D104,素材!$1:$1016,COLUMN($F$1),FALSE))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S104">
        <f>IF(ISNUMBER(SEARCH(SUBSTITUTE(AS$1,RIGHT(AS$1,2),""),VLOOKUP($D104,素材!$1:$1016,COLUMN($F$1),FALSE))),VLOOKUP($C104,装備品!$1:$998,COLUMN($O$1),FALSE)*VLOOKUP($D104,素材!$1:$1016,COLUMN($E$1),FALSE)/(LEN(VLOOKUP($D104,素材!$1:$1016,COLUMN($F$1),FALSE))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T104">
        <f>IF(ISNUMBER(SEARCH(SUBSTITUTE(AT$1,RIGHT(AT$1,2),""),VLOOKUP($D104,素材!$1:$1016,COLUMN($F$1),FALSE))),VLOOKUP($C104,装備品!$1:$998,COLUMN($O$1),FALSE)*VLOOKUP($D104,素材!$1:$1016,COLUMN($E$1),FALSE)/(LEN(VLOOKUP($D104,素材!$1:$1016,COLUMN($F$1),FALSE))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U104">
        <f>IF(ISNUMBER(SEARCH(SUBSTITUTE(AU$1,RIGHT(AU$1,2),""),VLOOKUP($D104,素材!$1:$1016,COLUMN($F$1),FALSE))),VLOOKUP($C104,装備品!$1:$998,COLUMN($O$1),FALSE)*VLOOKUP($D104,素材!$1:$1016,COLUMN($E$1),FALSE)/(LEN(VLOOKUP($D104,素材!$1:$1016,COLUMN($F$1),FALSE))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V104">
        <f>IF(ISNUMBER(SEARCH(SUBSTITUTE(AV$1,RIGHT(AV$1,2),""),VLOOKUP($D104,素材!$1:$1016,COLUMN($F$1),FALSE))),VLOOKUP($C104,装備品!$1:$998,COLUMN($O$1),FALSE)*VLOOKUP($D104,素材!$1:$1016,COLUMN($E$1),FALSE)/(LEN(VLOOKUP($D104,素材!$1:$1016,COLUMN($F$1),FALSE))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W104">
        <f>IF(ISNUMBER(SEARCH(SUBSTITUTE(AW$1,RIGHT(AW$1,2),""),VLOOKUP($D104,素材!$1:$1016,COLUMN($F$1),FALSE))),VLOOKUP($C104,装備品!$1:$998,COLUMN($O$1),FALSE)*VLOOKUP($D104,素材!$1:$1016,COLUMN($E$1),FALSE)/(LEN(VLOOKUP($D104,素材!$1:$1016,COLUMN($F$1),FALSE))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X104">
        <f>IF(ISNUMBER(SEARCH(SUBSTITUTE(AX$1,RIGHT(AX$1,2),""),VLOOKUP($D104,素材!$1:$1016,COLUMN($F$1),FALSE))),VLOOKUP($C104,装備品!$1:$998,COLUMN($O$1),FALSE)*VLOOKUP($D104,素材!$1:$1016,COLUMN($E$1),FALSE)/(LEN(VLOOKUP($D104,素材!$1:$1016,COLUMN($F$1),FALSE))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Y104">
        <f>IF(ISNUMBER(SEARCH(SUBSTITUTE(AY$1,RIGHT(AY$1,2),""),VLOOKUP($D104,素材!$1:$1016,COLUMN($F$1),FALSE))),VLOOKUP($C104,装備品!$1:$998,COLUMN($O$1),FALSE)*VLOOKUP($D104,素材!$1:$1016,COLUMN($E$1),FALSE)/(LEN(VLOOKUP($D104,素材!$1:$1016,COLUMN($F$1),FALSE))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Z104">
        <f>IF(ISNUMBER(SEARCH(SUBSTITUTE(AZ$1,RIGHT(AZ$1,2),""),VLOOKUP($D104,素材!$1:$1016,COLUMN($F$1),FALSE))),VLOOKUP($C104,装備品!$1:$998,COLUMN($O$1),FALSE)*VLOOKUP($D104,素材!$1:$1016,COLUMN($E$1),FALSE)/(LEN(VLOOKUP($D104,素材!$1:$1016,COLUMN($F$1),FALSE))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BA104">
        <f>IF(ISNUMBER(SEARCH(SUBSTITUTE(BA$1,RIGHT(BA$1,2),""),VLOOKUP($D104,素材!$1:$1016,COLUMN($F$1),FALSE))),VLOOKUP($C104,装備品!$1:$998,COLUMN($O$1),FALSE)*VLOOKUP($D104,素材!$1:$1016,COLUMN($E$1),FALSE)/(LEN(VLOOKUP($D104,素材!$1:$1016,COLUMN($F$1),FALSE))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BB104">
        <f>IF(ISNUMBER(SEARCH(SUBSTITUTE(BB$1,RIGHT(BB$1,2),""),VLOOKUP($D104,素材!$1:$1016,COLUMN($F$1),FALSE))),VLOOKUP($C104,装備品!$1:$998,COLUMN($O$1),FALSE)*VLOOKUP($D104,素材!$1:$1016,COLUMN($E$1),FALSE)/(LEN(VLOOKUP($D104,素材!$1:$1016,COLUMN($F$1),FALSE))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BC104">
        <f>IF(ISNUMBER(SEARCH(SUBSTITUTE(BC$1,RIGHT(BC$1,2),""),VLOOKUP($D104,素材!$1:$1016,COLUMN($F$1),FALSE))),VLOOKUP($C104,装備品!$1:$998,COLUMN($O$1),FALSE)*VLOOKUP($D104,素材!$1:$1016,COLUMN($E$1),FALSE)/(LEN(VLOOKUP($D104,素材!$1:$1016,COLUMN($F$1),FALSE))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BD104">
        <f>IF(ISNUMBER(SEARCH(SUBSTITUTE(BD$1,RIGHT(BD$1,2),""),VLOOKUP($D104,素材!$1:$1016,COLUMN($F$1),FALSE))),VLOOKUP($C104,装備品!$1:$998,COLUMN($O$1),FALSE)*VLOOKUP($D104,素材!$1:$1016,COLUMN($E$1),FALSE)/(LEN(VLOOKUP($D104,素材!$1:$1016,COLUMN($F$1),FALSE))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BE104">
        <f>IF(ISNUMBER(SEARCH(SUBSTITUTE(BE$1,RIGHT(BE$1,2),""),VLOOKUP($D104,素材!$1:$1016,COLUMN($F$1),FALSE))),VLOOKUP($C104,装備品!$1:$998,COLUMN($O$1),FALSE)*VLOOKUP($D104,素材!$1:$1016,COLUMN($E$1),FALSE)/(LEN(VLOOKUP($D104,素材!$1:$1016,COLUMN($F$1),FALSE))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CL104">
        <f t="shared" si="7"/>
        <v>24</v>
      </c>
      <c r="CM104" s="22" t="str">
        <f t="shared" si="8"/>
        <v>杖.webp</v>
      </c>
      <c r="CN104">
        <f>IFERROR(VLOOKUP($C104,装備品!$1:$998,COLUMN(V$1),FALSE)*VLOOKUP($D104,素材!$1:$1016,COLUMN(N$1),FALSE)+IF(CI104="",0,VLOOKUP($CI104,付与!$1:$1176,COLUMN($CK$1),FALSE)),"")</f>
        <v>0</v>
      </c>
      <c r="CO104" t="str">
        <f>VLOOKUP(D104,素材!$A:$O,COLUMN(素材!O$1),FALSE)</f>
        <v>鍛えられた鉄。硬度が高く安価なためよく使用される。</v>
      </c>
      <c r="CP104" t="str">
        <f>VLOOKUP(C104,装備品!$A:$AB,COLUMN(装備品!AB$1),FALSE)</f>
        <v>杖。バランスの取れた魔法武器。</v>
      </c>
      <c r="CR104" t="str">
        <f t="shared" si="9"/>
        <v>e_104</v>
      </c>
      <c r="CS104">
        <f t="shared" si="10"/>
        <v>0</v>
      </c>
    </row>
    <row r="105" spans="1:97" outlineLevel="1" x14ac:dyDescent="0.4">
      <c r="A105" t="str">
        <f t="shared" si="11"/>
        <v>鋼の長杖</v>
      </c>
      <c r="B105" t="str">
        <f>IFERROR(VLOOKUP($D105,素材!$1:$1016,COLUMN($B$1),FALSE)&amp;"・"&amp;VLOOKUP($C105,装備品!$1:$998,COLUMN(B$1),FALSE),"")</f>
        <v>スチール・スタッフ</v>
      </c>
      <c r="C105" t="s">
        <v>214</v>
      </c>
      <c r="D105" s="24" t="s">
        <v>252</v>
      </c>
      <c r="E105" t="str">
        <f>IFERROR(VLOOKUP(C105,装備品!$1:$998,COLUMN(C$1),FALSE),"")</f>
        <v>杖</v>
      </c>
      <c r="F105">
        <f>IFERROR(ROUNDDOWN((VLOOKUP($C105,装備品!$1:$998,COLUMN(D$1),FALSE)+IFERROR(VLOOKUP($CI105,付与!$1:$1167,COLUMN(F$1),FALSE),0))*VLOOKUP($D105,素材!$1:$1016,COLUMN(D$1),FALSE),0),"")</f>
        <v>120</v>
      </c>
      <c r="G105">
        <f>IFERROR(ROUNDDOWN((VLOOKUP($C105,装備品!$1:$998,COLUMN(E$1),FALSE)+IFERROR(VLOOKUP($CI105,付与!$1:$1167,COLUMN(G$1),FALSE),0))*VLOOKUP($D105,素材!$1:$1016,COLUMN($E$1),FALSE),0),"")</f>
        <v>0</v>
      </c>
      <c r="H105">
        <f>IFERROR(ROUNDDOWN((VLOOKUP($C105,装備品!$1:$998,COLUMN(F$1),FALSE)+IFERROR(VLOOKUP($CI105,付与!$1:$1167,COLUMN(H$1),FALSE),0))*VLOOKUP($D105,素材!$1:$1016,COLUMN($E$1),FALSE),0),"")</f>
        <v>8</v>
      </c>
      <c r="I105">
        <f>IFERROR(ROUNDDOWN((VLOOKUP($C105,装備品!$1:$998,COLUMN(G$1),FALSE)+IFERROR(VLOOKUP($CI105,付与!$1:$1167,COLUMN(I$1),FALSE),0))*VLOOKUP($D105,素材!$1:$1016,COLUMN($E$1),FALSE),0),"")</f>
        <v>21</v>
      </c>
      <c r="J105">
        <f>IFERROR(ROUNDDOWN((VLOOKUP($C105,装備品!$1:$998,COLUMN(H$1),FALSE)+IFERROR(VLOOKUP($CI105,付与!$1:$1167,COLUMN(J$1),FALSE),0))*VLOOKUP($D105,素材!$1:$1016,COLUMN($E$1),FALSE),0),"")</f>
        <v>25</v>
      </c>
      <c r="K105">
        <f>IFERROR(ROUNDDOWN((VLOOKUP($C105,装備品!$1:$998,COLUMN(I$1),FALSE)+IFERROR(VLOOKUP($CI105,付与!$1:$1167,COLUMN(K$1),FALSE),0))*VLOOKUP($D105,素材!$1:$1016,COLUMN($E$1),FALSE),0),"")</f>
        <v>0</v>
      </c>
      <c r="L105">
        <f>IFERROR(VLOOKUP($D105,素材!$1:$1016,COLUMN($F$1),FALSE),"")</f>
        <v>0</v>
      </c>
      <c r="M105">
        <f>IFERROR(VLOOKUP($C105,装備品!$1:$998,COLUMN(AA$1),FALSE)*VLOOKUP($D105,素材!$1:$1016,COLUMN($G$1),FALSE),"")</f>
        <v>0</v>
      </c>
      <c r="N105">
        <f>IFERROR(VLOOKUP($C105,装備品!$1:$998,COLUMN(I$1),FALSE),"")</f>
        <v>0</v>
      </c>
      <c r="O105" s="23">
        <f>IFERROR((VLOOKUP($C105,装備品!$1:$998,COLUMN(K$1),FALSE)+VLOOKUP($D105,素材!$1:$1016,COLUMN(H$1),FALSE))*100+IFERROR(VLOOKUP($CI105,付与!$1:$1167,COLUMN(O$1),FALSE),0),"")</f>
        <v>5</v>
      </c>
      <c r="P105" s="23">
        <f>IFERROR((VLOOKUP($C105,装備品!$1:$998,COLUMN(L$1),FALSE)+VLOOKUP($D105,素材!$1:$1016,COLUMN(I$1),FALSE))*100+IFERROR(VLOOKUP($CI105,付与!$1:$1167,COLUMN(P$1),FALSE),0),"")</f>
        <v>150</v>
      </c>
      <c r="Q105">
        <f>IFERROR(ROUNDUP(VLOOKUP($C105,装備品!$1:$998,COLUMN(M$1),FALSE)*(VLOOKUP($D105,素材!$1:$1002,COLUMN(D$1),FALSE)/100),1),"")</f>
        <v>-4.2</v>
      </c>
      <c r="R105">
        <f>IFERROR(ROUNDUP(VLOOKUP($C105,装備品!$1:$998,COLUMN(N$1),FALSE)*(VLOOKUP($D105,素材!$1:$1002,COLUMN(D$1),FALSE)/100),1),"")</f>
        <v>-4.2</v>
      </c>
      <c r="S105">
        <f>IFERROR(VLOOKUP($C105,装備品!$1:$998,COLUMN(P$1),FALSE),"")</f>
        <v>0</v>
      </c>
      <c r="T105">
        <f>IFERROR(VLOOKUP($C105,装備品!$1:$998,COLUMN(Q$1),FALSE),"")</f>
        <v>0</v>
      </c>
      <c r="U105">
        <f>IFERROR(VLOOKUP($C105,装備品!$1:$998,COLUMN(R$1),FALSE),"")</f>
        <v>0</v>
      </c>
      <c r="V105">
        <f>IFERROR(VLOOKUP($C105,装備品!$1:$998,COLUMN(Q$1),FALSE),"")</f>
        <v>0</v>
      </c>
      <c r="W105">
        <f>IFERROR(VLOOKUP($C105,装備品!$1:$998,COLUMN(T$1),FALSE),"")</f>
        <v>0</v>
      </c>
      <c r="Y105">
        <f>IFERROR(VLOOKUP($C105,装備品!$1:$998,COLUMN(U$1),FALSE),"")</f>
        <v>0</v>
      </c>
      <c r="Z105">
        <f>IFERROR(ROUNDUP(VLOOKUP($C105,装備品!$1:$998,COLUMN(O$1),FALSE)*VLOOKUP($D105,素材!$1:$1016,COLUMN(E$1),FALSE),1),"")</f>
        <v>0</v>
      </c>
      <c r="AA105">
        <f>IF(ISNUMBER(SEARCH(SUBSTITUTE(AA$1,RIGHT(AA$1,2),""),VLOOKUP($D105,素材!$1:$1016,COLUMN($F$1),FALSE))),VLOOKUP($C105,装備品!$1:$998,COLUMN($O$1),FALSE)*VLOOKUP($D105,素材!$1:$1016,COLUMN($E$1),FALSE)/(LEN(VLOOKUP($D105,素材!$1:$1016,COLUMN($F$1),FALSE))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B105">
        <f>IF(ISNUMBER(SEARCH(SUBSTITUTE(AB$1,RIGHT(AB$1,2),""),VLOOKUP($D105,素材!$1:$1016,COLUMN($F$1),FALSE))),VLOOKUP($C105,装備品!$1:$998,COLUMN($O$1),FALSE)*VLOOKUP($D105,素材!$1:$1016,COLUMN($E$1),FALSE)/(LEN(VLOOKUP($D105,素材!$1:$1016,COLUMN($F$1),FALSE))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C105">
        <f>IF(ISNUMBER(SEARCH(SUBSTITUTE(AC$1,RIGHT(AC$1,2),""),VLOOKUP($D105,素材!$1:$1016,COLUMN($F$1),FALSE))),VLOOKUP($C105,装備品!$1:$998,COLUMN($O$1),FALSE)*VLOOKUP($D105,素材!$1:$1016,COLUMN($E$1),FALSE)/(LEN(VLOOKUP($D105,素材!$1:$1016,COLUMN($F$1),FALSE))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D105">
        <f>IF(ISNUMBER(SEARCH(SUBSTITUTE(AD$1,RIGHT(AD$1,2),""),VLOOKUP($D105,素材!$1:$1016,COLUMN($F$1),FALSE))),VLOOKUP($C105,装備品!$1:$998,COLUMN($O$1),FALSE)*VLOOKUP($D105,素材!$1:$1016,COLUMN($E$1),FALSE)/(LEN(VLOOKUP($D105,素材!$1:$1016,COLUMN($F$1),FALSE))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E105">
        <f>IF(ISNUMBER(SEARCH(SUBSTITUTE(AE$1,RIGHT(AE$1,2),""),VLOOKUP($D105,素材!$1:$1016,COLUMN($F$1),FALSE))),VLOOKUP($C105,装備品!$1:$998,COLUMN($O$1),FALSE)*VLOOKUP($D105,素材!$1:$1016,COLUMN($E$1),FALSE)/(LEN(VLOOKUP($D105,素材!$1:$1016,COLUMN($F$1),FALSE))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F105">
        <f>IF(ISNUMBER(SEARCH(SUBSTITUTE(AF$1,RIGHT(AF$1,2),""),VLOOKUP($D105,素材!$1:$1016,COLUMN($F$1),FALSE))),VLOOKUP($C105,装備品!$1:$998,COLUMN($O$1),FALSE)*VLOOKUP($D105,素材!$1:$1016,COLUMN($E$1),FALSE)/(LEN(VLOOKUP($D105,素材!$1:$1016,COLUMN($F$1),FALSE))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G105">
        <f>IF(ISNUMBER(SEARCH(SUBSTITUTE(AG$1,RIGHT(AG$1,2),""),VLOOKUP($D105,素材!$1:$1016,COLUMN($F$1),FALSE))),VLOOKUP($C105,装備品!$1:$998,COLUMN($O$1),FALSE)*VLOOKUP($D105,素材!$1:$1016,COLUMN($E$1),FALSE)/(LEN(VLOOKUP($D105,素材!$1:$1016,COLUMN($F$1),FALSE))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H105">
        <f>IF(ISNUMBER(SEARCH(SUBSTITUTE(AH$1,RIGHT(AH$1,2),""),VLOOKUP($D105,素材!$1:$1016,COLUMN($F$1),FALSE))),VLOOKUP($C105,装備品!$1:$998,COLUMN($O$1),FALSE)*VLOOKUP($D105,素材!$1:$1016,COLUMN($E$1),FALSE)/(LEN(VLOOKUP($D105,素材!$1:$1016,COLUMN($F$1),FALSE))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I105">
        <f>IF(ISNUMBER(SEARCH(SUBSTITUTE(AI$1,RIGHT(AI$1,2),""),VLOOKUP($D105,素材!$1:$1016,COLUMN($F$1),FALSE))),VLOOKUP($C105,装備品!$1:$998,COLUMN($O$1),FALSE)*VLOOKUP($D105,素材!$1:$1016,COLUMN($E$1),FALSE)/(LEN(VLOOKUP($D105,素材!$1:$1016,COLUMN($F$1),FALSE))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J105">
        <f>IF(ISNUMBER(SEARCH(SUBSTITUTE(AJ$1,RIGHT(AJ$1,2),""),VLOOKUP($D105,素材!$1:$1016,COLUMN($F$1),FALSE))),VLOOKUP($C105,装備品!$1:$998,COLUMN($O$1),FALSE)*VLOOKUP($D105,素材!$1:$1016,COLUMN($E$1),FALSE)/(LEN(VLOOKUP($D105,素材!$1:$1016,COLUMN($F$1),FALSE))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K105">
        <f>IF(ISNUMBER(SEARCH(SUBSTITUTE(AK$1,RIGHT(AK$1,2),""),VLOOKUP($D105,素材!$1:$1016,COLUMN($F$1),FALSE))),VLOOKUP($C105,装備品!$1:$998,COLUMN($O$1),FALSE)*VLOOKUP($D105,素材!$1:$1016,COLUMN($E$1),FALSE)/(LEN(VLOOKUP($D105,素材!$1:$1016,COLUMN($F$1),FALSE))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L105">
        <f>IF(ISNUMBER(SEARCH(SUBSTITUTE(AL$1,RIGHT(AL$1,2),""),VLOOKUP($D105,素材!$1:$1016,COLUMN($F$1),FALSE))),VLOOKUP($C105,装備品!$1:$998,COLUMN($O$1),FALSE)*VLOOKUP($D105,素材!$1:$1016,COLUMN($E$1),FALSE)/(LEN(VLOOKUP($D105,素材!$1:$1016,COLUMN($F$1),FALSE))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M105">
        <f>IF(ISNUMBER(SEARCH(SUBSTITUTE(AM$1,RIGHT(AM$1,2),""),VLOOKUP($D105,素材!$1:$1016,COLUMN($F$1),FALSE))),VLOOKUP($C105,装備品!$1:$998,COLUMN($O$1),FALSE)*VLOOKUP($D105,素材!$1:$1016,COLUMN($E$1),FALSE)/(LEN(VLOOKUP($D105,素材!$1:$1016,COLUMN($F$1),FALSE))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N105">
        <f>IF(ISNUMBER(SEARCH(SUBSTITUTE(AN$1,RIGHT(AN$1,2),""),VLOOKUP($D105,素材!$1:$1016,COLUMN($F$1),FALSE))),VLOOKUP($C105,装備品!$1:$998,COLUMN($O$1),FALSE)*VLOOKUP($D105,素材!$1:$1016,COLUMN($E$1),FALSE)/(LEN(VLOOKUP($D105,素材!$1:$1016,COLUMN($F$1),FALSE))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O105">
        <f>IF(ISNUMBER(SEARCH(SUBSTITUTE(AO$1,RIGHT(AO$1,2),""),VLOOKUP($D105,素材!$1:$1016,COLUMN($F$1),FALSE))),VLOOKUP($C105,装備品!$1:$998,COLUMN($O$1),FALSE)*VLOOKUP($D105,素材!$1:$1016,COLUMN($E$1),FALSE)/(LEN(VLOOKUP($D105,素材!$1:$1016,COLUMN($F$1),FALSE))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P105">
        <f>IF(ISNUMBER(SEARCH(SUBSTITUTE(AP$1,RIGHT(AP$1,2),""),VLOOKUP($D105,素材!$1:$1016,COLUMN($F$1),FALSE))),VLOOKUP($C105,装備品!$1:$998,COLUMN($O$1),FALSE)*VLOOKUP($D105,素材!$1:$1016,COLUMN($E$1),FALSE)/(LEN(VLOOKUP($D105,素材!$1:$1016,COLUMN($F$1),FALSE))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Q105">
        <f>IF(ISNUMBER(SEARCH(SUBSTITUTE(AQ$1,RIGHT(AQ$1,2),""),VLOOKUP($D105,素材!$1:$1016,COLUMN($F$1),FALSE))),VLOOKUP($C105,装備品!$1:$998,COLUMN($O$1),FALSE)*VLOOKUP($D105,素材!$1:$1016,COLUMN($E$1),FALSE)/(LEN(VLOOKUP($D105,素材!$1:$1016,COLUMN($F$1),FALSE))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R105">
        <f>IF(ISNUMBER(SEARCH(SUBSTITUTE(AR$1,RIGHT(AR$1,2),""),VLOOKUP($D105,素材!$1:$1016,COLUMN($F$1),FALSE))),VLOOKUP($C105,装備品!$1:$998,COLUMN($O$1),FALSE)*VLOOKUP($D105,素材!$1:$1016,COLUMN($E$1),FALSE)/(LEN(VLOOKUP($D105,素材!$1:$1016,COLUMN($F$1),FALSE))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S105">
        <f>IF(ISNUMBER(SEARCH(SUBSTITUTE(AS$1,RIGHT(AS$1,2),""),VLOOKUP($D105,素材!$1:$1016,COLUMN($F$1),FALSE))),VLOOKUP($C105,装備品!$1:$998,COLUMN($O$1),FALSE)*VLOOKUP($D105,素材!$1:$1016,COLUMN($E$1),FALSE)/(LEN(VLOOKUP($D105,素材!$1:$1016,COLUMN($F$1),FALSE))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T105">
        <f>IF(ISNUMBER(SEARCH(SUBSTITUTE(AT$1,RIGHT(AT$1,2),""),VLOOKUP($D105,素材!$1:$1016,COLUMN($F$1),FALSE))),VLOOKUP($C105,装備品!$1:$998,COLUMN($O$1),FALSE)*VLOOKUP($D105,素材!$1:$1016,COLUMN($E$1),FALSE)/(LEN(VLOOKUP($D105,素材!$1:$1016,COLUMN($F$1),FALSE))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U105">
        <f>IF(ISNUMBER(SEARCH(SUBSTITUTE(AU$1,RIGHT(AU$1,2),""),VLOOKUP($D105,素材!$1:$1016,COLUMN($F$1),FALSE))),VLOOKUP($C105,装備品!$1:$998,COLUMN($O$1),FALSE)*VLOOKUP($D105,素材!$1:$1016,COLUMN($E$1),FALSE)/(LEN(VLOOKUP($D105,素材!$1:$1016,COLUMN($F$1),FALSE))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V105">
        <f>IF(ISNUMBER(SEARCH(SUBSTITUTE(AV$1,RIGHT(AV$1,2),""),VLOOKUP($D105,素材!$1:$1016,COLUMN($F$1),FALSE))),VLOOKUP($C105,装備品!$1:$998,COLUMN($O$1),FALSE)*VLOOKUP($D105,素材!$1:$1016,COLUMN($E$1),FALSE)/(LEN(VLOOKUP($D105,素材!$1:$1016,COLUMN($F$1),FALSE))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W105">
        <f>IF(ISNUMBER(SEARCH(SUBSTITUTE(AW$1,RIGHT(AW$1,2),""),VLOOKUP($D105,素材!$1:$1016,COLUMN($F$1),FALSE))),VLOOKUP($C105,装備品!$1:$998,COLUMN($O$1),FALSE)*VLOOKUP($D105,素材!$1:$1016,COLUMN($E$1),FALSE)/(LEN(VLOOKUP($D105,素材!$1:$1016,COLUMN($F$1),FALSE))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X105">
        <f>IF(ISNUMBER(SEARCH(SUBSTITUTE(AX$1,RIGHT(AX$1,2),""),VLOOKUP($D105,素材!$1:$1016,COLUMN($F$1),FALSE))),VLOOKUP($C105,装備品!$1:$998,COLUMN($O$1),FALSE)*VLOOKUP($D105,素材!$1:$1016,COLUMN($E$1),FALSE)/(LEN(VLOOKUP($D105,素材!$1:$1016,COLUMN($F$1),FALSE))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Y105">
        <f>IF(ISNUMBER(SEARCH(SUBSTITUTE(AY$1,RIGHT(AY$1,2),""),VLOOKUP($D105,素材!$1:$1016,COLUMN($F$1),FALSE))),VLOOKUP($C105,装備品!$1:$998,COLUMN($O$1),FALSE)*VLOOKUP($D105,素材!$1:$1016,COLUMN($E$1),FALSE)/(LEN(VLOOKUP($D105,素材!$1:$1016,COLUMN($F$1),FALSE))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Z105">
        <f>IF(ISNUMBER(SEARCH(SUBSTITUTE(AZ$1,RIGHT(AZ$1,2),""),VLOOKUP($D105,素材!$1:$1016,COLUMN($F$1),FALSE))),VLOOKUP($C105,装備品!$1:$998,COLUMN($O$1),FALSE)*VLOOKUP($D105,素材!$1:$1016,COLUMN($E$1),FALSE)/(LEN(VLOOKUP($D105,素材!$1:$1016,COLUMN($F$1),FALSE))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BA105">
        <f>IF(ISNUMBER(SEARCH(SUBSTITUTE(BA$1,RIGHT(BA$1,2),""),VLOOKUP($D105,素材!$1:$1016,COLUMN($F$1),FALSE))),VLOOKUP($C105,装備品!$1:$998,COLUMN($O$1),FALSE)*VLOOKUP($D105,素材!$1:$1016,COLUMN($E$1),FALSE)/(LEN(VLOOKUP($D105,素材!$1:$1016,COLUMN($F$1),FALSE))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BB105">
        <f>IF(ISNUMBER(SEARCH(SUBSTITUTE(BB$1,RIGHT(BB$1,2),""),VLOOKUP($D105,素材!$1:$1016,COLUMN($F$1),FALSE))),VLOOKUP($C105,装備品!$1:$998,COLUMN($O$1),FALSE)*VLOOKUP($D105,素材!$1:$1016,COLUMN($E$1),FALSE)/(LEN(VLOOKUP($D105,素材!$1:$1016,COLUMN($F$1),FALSE))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BC105">
        <f>IF(ISNUMBER(SEARCH(SUBSTITUTE(BC$1,RIGHT(BC$1,2),""),VLOOKUP($D105,素材!$1:$1016,COLUMN($F$1),FALSE))),VLOOKUP($C105,装備品!$1:$998,COLUMN($O$1),FALSE)*VLOOKUP($D105,素材!$1:$1016,COLUMN($E$1),FALSE)/(LEN(VLOOKUP($D105,素材!$1:$1016,COLUMN($F$1),FALSE))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BD105">
        <f>IF(ISNUMBER(SEARCH(SUBSTITUTE(BD$1,RIGHT(BD$1,2),""),VLOOKUP($D105,素材!$1:$1016,COLUMN($F$1),FALSE))),VLOOKUP($C105,装備品!$1:$998,COLUMN($O$1),FALSE)*VLOOKUP($D105,素材!$1:$1016,COLUMN($E$1),FALSE)/(LEN(VLOOKUP($D105,素材!$1:$1016,COLUMN($F$1),FALSE))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BE105">
        <f>IF(ISNUMBER(SEARCH(SUBSTITUTE(BE$1,RIGHT(BE$1,2),""),VLOOKUP($D105,素材!$1:$1016,COLUMN($F$1),FALSE))),VLOOKUP($C105,装備品!$1:$998,COLUMN($O$1),FALSE)*VLOOKUP($D105,素材!$1:$1016,COLUMN($E$1),FALSE)/(LEN(VLOOKUP($D105,素材!$1:$1016,COLUMN($F$1),FALSE))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CL105">
        <f t="shared" si="7"/>
        <v>29</v>
      </c>
      <c r="CM105" s="22" t="str">
        <f t="shared" si="8"/>
        <v>杖.webp</v>
      </c>
      <c r="CN105">
        <f>IFERROR(VLOOKUP($C105,装備品!$1:$998,COLUMN(V$1),FALSE)*VLOOKUP($D105,素材!$1:$1016,COLUMN(N$1),FALSE)+IF(CI105="",0,VLOOKUP($CI105,付与!$1:$1176,COLUMN($CK$1),FALSE)),"")</f>
        <v>0</v>
      </c>
      <c r="CO105" t="str">
        <f>VLOOKUP(D105,素材!$A:$O,COLUMN(素材!O$1),FALSE)</f>
        <v>鍛えられた鉄。硬度が高く安価なためよく使用される。</v>
      </c>
      <c r="CP105" t="str">
        <f>VLOOKUP(C105,装備品!$A:$AB,COLUMN(装備品!AB$1),FALSE)</f>
        <v>長杖。強力な魔法を扱える杖だが、重い。</v>
      </c>
      <c r="CR105" t="str">
        <f t="shared" si="9"/>
        <v>e_105</v>
      </c>
      <c r="CS105">
        <f t="shared" si="10"/>
        <v>0</v>
      </c>
    </row>
    <row r="106" spans="1:97" outlineLevel="1" x14ac:dyDescent="0.4">
      <c r="A106" t="str">
        <f t="shared" si="11"/>
        <v>鋼の軽射出弓</v>
      </c>
      <c r="B106" t="str">
        <f>IFERROR(VLOOKUP($D106,素材!$1:$1016,COLUMN($B$1),FALSE)&amp;"・"&amp;VLOOKUP($C106,装備品!$1:$998,COLUMN(B$1),FALSE),"")</f>
        <v>スチール・ライトクロスボウ</v>
      </c>
      <c r="C106" t="s">
        <v>213</v>
      </c>
      <c r="D106" s="24" t="s">
        <v>252</v>
      </c>
      <c r="E106" t="str">
        <f>IFERROR(VLOOKUP(C106,装備品!$1:$998,COLUMN(C$1),FALSE),"")</f>
        <v>銃</v>
      </c>
      <c r="F106">
        <f>IFERROR(ROUNDDOWN((VLOOKUP($C106,装備品!$1:$998,COLUMN(D$1),FALSE)+IFERROR(VLOOKUP($CI106,付与!$1:$1167,COLUMN(F$1),FALSE),0))*VLOOKUP($D106,素材!$1:$1016,COLUMN(D$1),FALSE),0),"")</f>
        <v>105</v>
      </c>
      <c r="G106">
        <f>IFERROR(ROUNDDOWN((VLOOKUP($C106,装備品!$1:$998,COLUMN(E$1),FALSE)+IFERROR(VLOOKUP($CI106,付与!$1:$1167,COLUMN(G$1),FALSE),0))*VLOOKUP($D106,素材!$1:$1016,COLUMN($E$1),FALSE),0),"")</f>
        <v>0</v>
      </c>
      <c r="H106">
        <f>IFERROR(ROUNDDOWN((VLOOKUP($C106,装備品!$1:$998,COLUMN(F$1),FALSE)+IFERROR(VLOOKUP($CI106,付与!$1:$1167,COLUMN(H$1),FALSE),0))*VLOOKUP($D106,素材!$1:$1016,COLUMN($E$1),FALSE),0),"")</f>
        <v>0</v>
      </c>
      <c r="I106">
        <f>IFERROR(ROUNDDOWN((VLOOKUP($C106,装備品!$1:$998,COLUMN(G$1),FALSE)+IFERROR(VLOOKUP($CI106,付与!$1:$1167,COLUMN(I$1),FALSE),0))*VLOOKUP($D106,素材!$1:$1016,COLUMN($E$1),FALSE),0),"")</f>
        <v>0</v>
      </c>
      <c r="J106">
        <f>IFERROR(ROUNDDOWN((VLOOKUP($C106,装備品!$1:$998,COLUMN(H$1),FALSE)+IFERROR(VLOOKUP($CI106,付与!$1:$1167,COLUMN(J$1),FALSE),0))*VLOOKUP($D106,素材!$1:$1016,COLUMN($E$1),FALSE),0),"")</f>
        <v>0</v>
      </c>
      <c r="K106">
        <f>IFERROR(ROUNDDOWN((VLOOKUP($C106,装備品!$1:$998,COLUMN(I$1),FALSE)+IFERROR(VLOOKUP($CI106,付与!$1:$1167,COLUMN(K$1),FALSE),0))*VLOOKUP($D106,素材!$1:$1016,COLUMN($E$1),FALSE),0),"")</f>
        <v>72</v>
      </c>
      <c r="L106">
        <f>IFERROR(VLOOKUP($D106,素材!$1:$1016,COLUMN($F$1),FALSE),"")</f>
        <v>0</v>
      </c>
      <c r="M106">
        <f>IFERROR(VLOOKUP($C106,装備品!$1:$998,COLUMN(AA$1),FALSE)*VLOOKUP($D106,素材!$1:$1016,COLUMN($G$1),FALSE),"")</f>
        <v>0</v>
      </c>
      <c r="N106">
        <f>IFERROR(VLOOKUP($C106,装備品!$1:$998,COLUMN(I$1),FALSE),"")</f>
        <v>2.7</v>
      </c>
      <c r="O106" s="23">
        <f>IFERROR((VLOOKUP($C106,装備品!$1:$998,COLUMN(K$1),FALSE)+VLOOKUP($D106,素材!$1:$1016,COLUMN(H$1),FALSE))*100+IFERROR(VLOOKUP($CI106,付与!$1:$1167,COLUMN(O$1),FALSE),0),"")</f>
        <v>10</v>
      </c>
      <c r="P106" s="23">
        <f>IFERROR((VLOOKUP($C106,装備品!$1:$998,COLUMN(L$1),FALSE)+VLOOKUP($D106,素材!$1:$1016,COLUMN(I$1),FALSE))*100+IFERROR(VLOOKUP($CI106,付与!$1:$1167,COLUMN(P$1),FALSE),0),"")</f>
        <v>150</v>
      </c>
      <c r="Q106">
        <f>IFERROR(ROUNDUP(VLOOKUP($C106,装備品!$1:$998,COLUMN(M$1),FALSE)*(VLOOKUP($D106,素材!$1:$1002,COLUMN(D$1),FALSE)/100),1),"")</f>
        <v>0</v>
      </c>
      <c r="R106">
        <f>IFERROR(ROUNDUP(VLOOKUP($C106,装備品!$1:$998,COLUMN(N$1),FALSE)*(VLOOKUP($D106,素材!$1:$1002,COLUMN(D$1),FALSE)/100),1),"")</f>
        <v>-15.799999999999999</v>
      </c>
      <c r="S106">
        <f>IFERROR(VLOOKUP($C106,装備品!$1:$998,COLUMN(P$1),FALSE),"")</f>
        <v>0</v>
      </c>
      <c r="T106">
        <f>IFERROR(VLOOKUP($C106,装備品!$1:$998,COLUMN(Q$1),FALSE),"")</f>
        <v>0</v>
      </c>
      <c r="U106">
        <f>IFERROR(VLOOKUP($C106,装備品!$1:$998,COLUMN(R$1),FALSE),"")</f>
        <v>0</v>
      </c>
      <c r="V106">
        <f>IFERROR(VLOOKUP($C106,装備品!$1:$998,COLUMN(Q$1),FALSE),"")</f>
        <v>0</v>
      </c>
      <c r="W106">
        <f>IFERROR(VLOOKUP($C106,装備品!$1:$998,COLUMN(T$1),FALSE),"")</f>
        <v>0</v>
      </c>
      <c r="Y106">
        <f>IFERROR(VLOOKUP($C106,装備品!$1:$998,COLUMN(U$1),FALSE),"")</f>
        <v>0</v>
      </c>
      <c r="Z106">
        <f>IFERROR(ROUNDUP(VLOOKUP($C106,装備品!$1:$998,COLUMN(O$1),FALSE)*VLOOKUP($D106,素材!$1:$1016,COLUMN(E$1),FALSE),1),"")</f>
        <v>0</v>
      </c>
      <c r="AA106">
        <f>IF(ISNUMBER(SEARCH(SUBSTITUTE(AA$1,RIGHT(AA$1,2),""),VLOOKUP($D106,素材!$1:$1016,COLUMN($F$1),FALSE))),VLOOKUP($C106,装備品!$1:$998,COLUMN($O$1),FALSE)*VLOOKUP($D106,素材!$1:$1016,COLUMN($E$1),FALSE)/(LEN(VLOOKUP($D106,素材!$1:$1016,COLUMN($F$1),FALSE))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B106">
        <f>IF(ISNUMBER(SEARCH(SUBSTITUTE(AB$1,RIGHT(AB$1,2),""),VLOOKUP($D106,素材!$1:$1016,COLUMN($F$1),FALSE))),VLOOKUP($C106,装備品!$1:$998,COLUMN($O$1),FALSE)*VLOOKUP($D106,素材!$1:$1016,COLUMN($E$1),FALSE)/(LEN(VLOOKUP($D106,素材!$1:$1016,COLUMN($F$1),FALSE))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C106">
        <f>IF(ISNUMBER(SEARCH(SUBSTITUTE(AC$1,RIGHT(AC$1,2),""),VLOOKUP($D106,素材!$1:$1016,COLUMN($F$1),FALSE))),VLOOKUP($C106,装備品!$1:$998,COLUMN($O$1),FALSE)*VLOOKUP($D106,素材!$1:$1016,COLUMN($E$1),FALSE)/(LEN(VLOOKUP($D106,素材!$1:$1016,COLUMN($F$1),FALSE))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D106">
        <f>IF(ISNUMBER(SEARCH(SUBSTITUTE(AD$1,RIGHT(AD$1,2),""),VLOOKUP($D106,素材!$1:$1016,COLUMN($F$1),FALSE))),VLOOKUP($C106,装備品!$1:$998,COLUMN($O$1),FALSE)*VLOOKUP($D106,素材!$1:$1016,COLUMN($E$1),FALSE)/(LEN(VLOOKUP($D106,素材!$1:$1016,COLUMN($F$1),FALSE))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E106">
        <f>IF(ISNUMBER(SEARCH(SUBSTITUTE(AE$1,RIGHT(AE$1,2),""),VLOOKUP($D106,素材!$1:$1016,COLUMN($F$1),FALSE))),VLOOKUP($C106,装備品!$1:$998,COLUMN($O$1),FALSE)*VLOOKUP($D106,素材!$1:$1016,COLUMN($E$1),FALSE)/(LEN(VLOOKUP($D106,素材!$1:$1016,COLUMN($F$1),FALSE))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F106">
        <f>IF(ISNUMBER(SEARCH(SUBSTITUTE(AF$1,RIGHT(AF$1,2),""),VLOOKUP($D106,素材!$1:$1016,COLUMN($F$1),FALSE))),VLOOKUP($C106,装備品!$1:$998,COLUMN($O$1),FALSE)*VLOOKUP($D106,素材!$1:$1016,COLUMN($E$1),FALSE)/(LEN(VLOOKUP($D106,素材!$1:$1016,COLUMN($F$1),FALSE))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G106">
        <f>IF(ISNUMBER(SEARCH(SUBSTITUTE(AG$1,RIGHT(AG$1,2),""),VLOOKUP($D106,素材!$1:$1016,COLUMN($F$1),FALSE))),VLOOKUP($C106,装備品!$1:$998,COLUMN($O$1),FALSE)*VLOOKUP($D106,素材!$1:$1016,COLUMN($E$1),FALSE)/(LEN(VLOOKUP($D106,素材!$1:$1016,COLUMN($F$1),FALSE))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H106">
        <f>IF(ISNUMBER(SEARCH(SUBSTITUTE(AH$1,RIGHT(AH$1,2),""),VLOOKUP($D106,素材!$1:$1016,COLUMN($F$1),FALSE))),VLOOKUP($C106,装備品!$1:$998,COLUMN($O$1),FALSE)*VLOOKUP($D106,素材!$1:$1016,COLUMN($E$1),FALSE)/(LEN(VLOOKUP($D106,素材!$1:$1016,COLUMN($F$1),FALSE))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I106">
        <f>IF(ISNUMBER(SEARCH(SUBSTITUTE(AI$1,RIGHT(AI$1,2),""),VLOOKUP($D106,素材!$1:$1016,COLUMN($F$1),FALSE))),VLOOKUP($C106,装備品!$1:$998,COLUMN($O$1),FALSE)*VLOOKUP($D106,素材!$1:$1016,COLUMN($E$1),FALSE)/(LEN(VLOOKUP($D106,素材!$1:$1016,COLUMN($F$1),FALSE))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J106">
        <f>IF(ISNUMBER(SEARCH(SUBSTITUTE(AJ$1,RIGHT(AJ$1,2),""),VLOOKUP($D106,素材!$1:$1016,COLUMN($F$1),FALSE))),VLOOKUP($C106,装備品!$1:$998,COLUMN($O$1),FALSE)*VLOOKUP($D106,素材!$1:$1016,COLUMN($E$1),FALSE)/(LEN(VLOOKUP($D106,素材!$1:$1016,COLUMN($F$1),FALSE))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K106">
        <f>IF(ISNUMBER(SEARCH(SUBSTITUTE(AK$1,RIGHT(AK$1,2),""),VLOOKUP($D106,素材!$1:$1016,COLUMN($F$1),FALSE))),VLOOKUP($C106,装備品!$1:$998,COLUMN($O$1),FALSE)*VLOOKUP($D106,素材!$1:$1016,COLUMN($E$1),FALSE)/(LEN(VLOOKUP($D106,素材!$1:$1016,COLUMN($F$1),FALSE))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L106">
        <f>IF(ISNUMBER(SEARCH(SUBSTITUTE(AL$1,RIGHT(AL$1,2),""),VLOOKUP($D106,素材!$1:$1016,COLUMN($F$1),FALSE))),VLOOKUP($C106,装備品!$1:$998,COLUMN($O$1),FALSE)*VLOOKUP($D106,素材!$1:$1016,COLUMN($E$1),FALSE)/(LEN(VLOOKUP($D106,素材!$1:$1016,COLUMN($F$1),FALSE))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M106">
        <f>IF(ISNUMBER(SEARCH(SUBSTITUTE(AM$1,RIGHT(AM$1,2),""),VLOOKUP($D106,素材!$1:$1016,COLUMN($F$1),FALSE))),VLOOKUP($C106,装備品!$1:$998,COLUMN($O$1),FALSE)*VLOOKUP($D106,素材!$1:$1016,COLUMN($E$1),FALSE)/(LEN(VLOOKUP($D106,素材!$1:$1016,COLUMN($F$1),FALSE))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N106">
        <f>IF(ISNUMBER(SEARCH(SUBSTITUTE(AN$1,RIGHT(AN$1,2),""),VLOOKUP($D106,素材!$1:$1016,COLUMN($F$1),FALSE))),VLOOKUP($C106,装備品!$1:$998,COLUMN($O$1),FALSE)*VLOOKUP($D106,素材!$1:$1016,COLUMN($E$1),FALSE)/(LEN(VLOOKUP($D106,素材!$1:$1016,COLUMN($F$1),FALSE))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O106">
        <f>IF(ISNUMBER(SEARCH(SUBSTITUTE(AO$1,RIGHT(AO$1,2),""),VLOOKUP($D106,素材!$1:$1016,COLUMN($F$1),FALSE))),VLOOKUP($C106,装備品!$1:$998,COLUMN($O$1),FALSE)*VLOOKUP($D106,素材!$1:$1016,COLUMN($E$1),FALSE)/(LEN(VLOOKUP($D106,素材!$1:$1016,COLUMN($F$1),FALSE))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P106">
        <f>IF(ISNUMBER(SEARCH(SUBSTITUTE(AP$1,RIGHT(AP$1,2),""),VLOOKUP($D106,素材!$1:$1016,COLUMN($F$1),FALSE))),VLOOKUP($C106,装備品!$1:$998,COLUMN($O$1),FALSE)*VLOOKUP($D106,素材!$1:$1016,COLUMN($E$1),FALSE)/(LEN(VLOOKUP($D106,素材!$1:$1016,COLUMN($F$1),FALSE))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Q106">
        <f>IF(ISNUMBER(SEARCH(SUBSTITUTE(AQ$1,RIGHT(AQ$1,2),""),VLOOKUP($D106,素材!$1:$1016,COLUMN($F$1),FALSE))),VLOOKUP($C106,装備品!$1:$998,COLUMN($O$1),FALSE)*VLOOKUP($D106,素材!$1:$1016,COLUMN($E$1),FALSE)/(LEN(VLOOKUP($D106,素材!$1:$1016,COLUMN($F$1),FALSE))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R106">
        <f>IF(ISNUMBER(SEARCH(SUBSTITUTE(AR$1,RIGHT(AR$1,2),""),VLOOKUP($D106,素材!$1:$1016,COLUMN($F$1),FALSE))),VLOOKUP($C106,装備品!$1:$998,COLUMN($O$1),FALSE)*VLOOKUP($D106,素材!$1:$1016,COLUMN($E$1),FALSE)/(LEN(VLOOKUP($D106,素材!$1:$1016,COLUMN($F$1),FALSE))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S106">
        <f>IF(ISNUMBER(SEARCH(SUBSTITUTE(AS$1,RIGHT(AS$1,2),""),VLOOKUP($D106,素材!$1:$1016,COLUMN($F$1),FALSE))),VLOOKUP($C106,装備品!$1:$998,COLUMN($O$1),FALSE)*VLOOKUP($D106,素材!$1:$1016,COLUMN($E$1),FALSE)/(LEN(VLOOKUP($D106,素材!$1:$1016,COLUMN($F$1),FALSE))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T106">
        <f>IF(ISNUMBER(SEARCH(SUBSTITUTE(AT$1,RIGHT(AT$1,2),""),VLOOKUP($D106,素材!$1:$1016,COLUMN($F$1),FALSE))),VLOOKUP($C106,装備品!$1:$998,COLUMN($O$1),FALSE)*VLOOKUP($D106,素材!$1:$1016,COLUMN($E$1),FALSE)/(LEN(VLOOKUP($D106,素材!$1:$1016,COLUMN($F$1),FALSE))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U106">
        <f>IF(ISNUMBER(SEARCH(SUBSTITUTE(AU$1,RIGHT(AU$1,2),""),VLOOKUP($D106,素材!$1:$1016,COLUMN($F$1),FALSE))),VLOOKUP($C106,装備品!$1:$998,COLUMN($O$1),FALSE)*VLOOKUP($D106,素材!$1:$1016,COLUMN($E$1),FALSE)/(LEN(VLOOKUP($D106,素材!$1:$1016,COLUMN($F$1),FALSE))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V106">
        <f>IF(ISNUMBER(SEARCH(SUBSTITUTE(AV$1,RIGHT(AV$1,2),""),VLOOKUP($D106,素材!$1:$1016,COLUMN($F$1),FALSE))),VLOOKUP($C106,装備品!$1:$998,COLUMN($O$1),FALSE)*VLOOKUP($D106,素材!$1:$1016,COLUMN($E$1),FALSE)/(LEN(VLOOKUP($D106,素材!$1:$1016,COLUMN($F$1),FALSE))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W106">
        <f>IF(ISNUMBER(SEARCH(SUBSTITUTE(AW$1,RIGHT(AW$1,2),""),VLOOKUP($D106,素材!$1:$1016,COLUMN($F$1),FALSE))),VLOOKUP($C106,装備品!$1:$998,COLUMN($O$1),FALSE)*VLOOKUP($D106,素材!$1:$1016,COLUMN($E$1),FALSE)/(LEN(VLOOKUP($D106,素材!$1:$1016,COLUMN($F$1),FALSE))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X106">
        <f>IF(ISNUMBER(SEARCH(SUBSTITUTE(AX$1,RIGHT(AX$1,2),""),VLOOKUP($D106,素材!$1:$1016,COLUMN($F$1),FALSE))),VLOOKUP($C106,装備品!$1:$998,COLUMN($O$1),FALSE)*VLOOKUP($D106,素材!$1:$1016,COLUMN($E$1),FALSE)/(LEN(VLOOKUP($D106,素材!$1:$1016,COLUMN($F$1),FALSE))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Y106">
        <f>IF(ISNUMBER(SEARCH(SUBSTITUTE(AY$1,RIGHT(AY$1,2),""),VLOOKUP($D106,素材!$1:$1016,COLUMN($F$1),FALSE))),VLOOKUP($C106,装備品!$1:$998,COLUMN($O$1),FALSE)*VLOOKUP($D106,素材!$1:$1016,COLUMN($E$1),FALSE)/(LEN(VLOOKUP($D106,素材!$1:$1016,COLUMN($F$1),FALSE))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Z106">
        <f>IF(ISNUMBER(SEARCH(SUBSTITUTE(AZ$1,RIGHT(AZ$1,2),""),VLOOKUP($D106,素材!$1:$1016,COLUMN($F$1),FALSE))),VLOOKUP($C106,装備品!$1:$998,COLUMN($O$1),FALSE)*VLOOKUP($D106,素材!$1:$1016,COLUMN($E$1),FALSE)/(LEN(VLOOKUP($D106,素材!$1:$1016,COLUMN($F$1),FALSE))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BA106">
        <f>IF(ISNUMBER(SEARCH(SUBSTITUTE(BA$1,RIGHT(BA$1,2),""),VLOOKUP($D106,素材!$1:$1016,COLUMN($F$1),FALSE))),VLOOKUP($C106,装備品!$1:$998,COLUMN($O$1),FALSE)*VLOOKUP($D106,素材!$1:$1016,COLUMN($E$1),FALSE)/(LEN(VLOOKUP($D106,素材!$1:$1016,COLUMN($F$1),FALSE))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BB106">
        <f>IF(ISNUMBER(SEARCH(SUBSTITUTE(BB$1,RIGHT(BB$1,2),""),VLOOKUP($D106,素材!$1:$1016,COLUMN($F$1),FALSE))),VLOOKUP($C106,装備品!$1:$998,COLUMN($O$1),FALSE)*VLOOKUP($D106,素材!$1:$1016,COLUMN($E$1),FALSE)/(LEN(VLOOKUP($D106,素材!$1:$1016,COLUMN($F$1),FALSE))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BC106">
        <f>IF(ISNUMBER(SEARCH(SUBSTITUTE(BC$1,RIGHT(BC$1,2),""),VLOOKUP($D106,素材!$1:$1016,COLUMN($F$1),FALSE))),VLOOKUP($C106,装備品!$1:$998,COLUMN($O$1),FALSE)*VLOOKUP($D106,素材!$1:$1016,COLUMN($E$1),FALSE)/(LEN(VLOOKUP($D106,素材!$1:$1016,COLUMN($F$1),FALSE))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BD106">
        <f>IF(ISNUMBER(SEARCH(SUBSTITUTE(BD$1,RIGHT(BD$1,2),""),VLOOKUP($D106,素材!$1:$1016,COLUMN($F$1),FALSE))),VLOOKUP($C106,装備品!$1:$998,COLUMN($O$1),FALSE)*VLOOKUP($D106,素材!$1:$1016,COLUMN($E$1),FALSE)/(LEN(VLOOKUP($D106,素材!$1:$1016,COLUMN($F$1),FALSE))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BE106">
        <f>IF(ISNUMBER(SEARCH(SUBSTITUTE(BE$1,RIGHT(BE$1,2),""),VLOOKUP($D106,素材!$1:$1016,COLUMN($F$1),FALSE))),VLOOKUP($C106,装備品!$1:$998,COLUMN($O$1),FALSE)*VLOOKUP($D106,素材!$1:$1016,COLUMN($E$1),FALSE)/(LEN(VLOOKUP($D106,素材!$1:$1016,COLUMN($F$1),FALSE))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CL106">
        <f t="shared" si="7"/>
        <v>0</v>
      </c>
      <c r="CM106" s="22" t="str">
        <f t="shared" si="8"/>
        <v>銃.webp</v>
      </c>
      <c r="CN106">
        <f>IFERROR(VLOOKUP($C106,装備品!$1:$998,COLUMN(V$1),FALSE)*VLOOKUP($D106,素材!$1:$1016,COLUMN(N$1),FALSE)+IF(CI106="",0,VLOOKUP($CI106,付与!$1:$1176,COLUMN($CK$1),FALSE)),"")</f>
        <v>450</v>
      </c>
      <c r="CO106" t="str">
        <f>VLOOKUP(D106,素材!$A:$O,COLUMN(素材!O$1),FALSE)</f>
        <v>鍛えられた鉄。硬度が高く安価なためよく使用される。</v>
      </c>
      <c r="CP106" t="str">
        <f>VLOOKUP(C106,装備品!$A:$AB,COLUMN(装備品!AB$1),FALSE)</f>
        <v/>
      </c>
      <c r="CR106" t="str">
        <f t="shared" si="9"/>
        <v>e_106</v>
      </c>
      <c r="CS106">
        <f t="shared" si="10"/>
        <v>45000</v>
      </c>
    </row>
    <row r="107" spans="1:97" outlineLevel="1" x14ac:dyDescent="0.4">
      <c r="A107" t="str">
        <f t="shared" si="11"/>
        <v>鋼の射出弓</v>
      </c>
      <c r="B107" t="str">
        <f>IFERROR(VLOOKUP($D107,素材!$1:$1016,COLUMN($B$1),FALSE)&amp;"・"&amp;VLOOKUP($C107,装備品!$1:$998,COLUMN(B$1),FALSE),"")</f>
        <v>スチール・クロスボウ</v>
      </c>
      <c r="C107" t="s">
        <v>212</v>
      </c>
      <c r="D107" s="24" t="s">
        <v>252</v>
      </c>
      <c r="E107" t="str">
        <f>IFERROR(VLOOKUP(C107,装備品!$1:$998,COLUMN(C$1),FALSE),"")</f>
        <v>銃</v>
      </c>
      <c r="F107">
        <f>IFERROR(ROUNDDOWN((VLOOKUP($C107,装備品!$1:$998,COLUMN(D$1),FALSE)+IFERROR(VLOOKUP($CI107,付与!$1:$1167,COLUMN(F$1),FALSE),0))*VLOOKUP($D107,素材!$1:$1016,COLUMN(D$1),FALSE),0),"")</f>
        <v>105</v>
      </c>
      <c r="G107">
        <f>IFERROR(ROUNDDOWN((VLOOKUP($C107,装備品!$1:$998,COLUMN(E$1),FALSE)+IFERROR(VLOOKUP($CI107,付与!$1:$1167,COLUMN(G$1),FALSE),0))*VLOOKUP($D107,素材!$1:$1016,COLUMN($E$1),FALSE),0),"")</f>
        <v>0</v>
      </c>
      <c r="H107">
        <f>IFERROR(ROUNDDOWN((VLOOKUP($C107,装備品!$1:$998,COLUMN(F$1),FALSE)+IFERROR(VLOOKUP($CI107,付与!$1:$1167,COLUMN(H$1),FALSE),0))*VLOOKUP($D107,素材!$1:$1016,COLUMN($E$1),FALSE),0),"")</f>
        <v>0</v>
      </c>
      <c r="I107">
        <f>IFERROR(ROUNDDOWN((VLOOKUP($C107,装備品!$1:$998,COLUMN(G$1),FALSE)+IFERROR(VLOOKUP($CI107,付与!$1:$1167,COLUMN(I$1),FALSE),0))*VLOOKUP($D107,素材!$1:$1016,COLUMN($E$1),FALSE),0),"")</f>
        <v>0</v>
      </c>
      <c r="J107">
        <f>IFERROR(ROUNDDOWN((VLOOKUP($C107,装備品!$1:$998,COLUMN(H$1),FALSE)+IFERROR(VLOOKUP($CI107,付与!$1:$1167,COLUMN(J$1),FALSE),0))*VLOOKUP($D107,素材!$1:$1016,COLUMN($E$1),FALSE),0),"")</f>
        <v>0</v>
      </c>
      <c r="K107">
        <f>IFERROR(ROUNDDOWN((VLOOKUP($C107,装備品!$1:$998,COLUMN(I$1),FALSE)+IFERROR(VLOOKUP($CI107,付与!$1:$1167,COLUMN(K$1),FALSE),0))*VLOOKUP($D107,素材!$1:$1016,COLUMN($E$1),FALSE),0),"")</f>
        <v>105</v>
      </c>
      <c r="L107">
        <f>IFERROR(VLOOKUP($D107,素材!$1:$1016,COLUMN($F$1),FALSE),"")</f>
        <v>0</v>
      </c>
      <c r="M107">
        <f>IFERROR(VLOOKUP($C107,装備品!$1:$998,COLUMN(AA$1),FALSE)*VLOOKUP($D107,素材!$1:$1016,COLUMN($G$1),FALSE),"")</f>
        <v>0</v>
      </c>
      <c r="N107">
        <f>IFERROR(VLOOKUP($C107,装備品!$1:$998,COLUMN(I$1),FALSE),"")</f>
        <v>3.9</v>
      </c>
      <c r="O107" s="23">
        <f>IFERROR((VLOOKUP($C107,装備品!$1:$998,COLUMN(K$1),FALSE)+VLOOKUP($D107,素材!$1:$1016,COLUMN(H$1),FALSE))*100+IFERROR(VLOOKUP($CI107,付与!$1:$1167,COLUMN(O$1),FALSE),0),"")</f>
        <v>10</v>
      </c>
      <c r="P107" s="23">
        <f>IFERROR((VLOOKUP($C107,装備品!$1:$998,COLUMN(L$1),FALSE)+VLOOKUP($D107,素材!$1:$1016,COLUMN(I$1),FALSE))*100+IFERROR(VLOOKUP($CI107,付与!$1:$1167,COLUMN(P$1),FALSE),0),"")</f>
        <v>150</v>
      </c>
      <c r="Q107">
        <f>IFERROR(ROUNDUP(VLOOKUP($C107,装備品!$1:$998,COLUMN(M$1),FALSE)*(VLOOKUP($D107,素材!$1:$1002,COLUMN(D$1),FALSE)/100),1),"")</f>
        <v>0</v>
      </c>
      <c r="R107">
        <f>IFERROR(ROUNDUP(VLOOKUP($C107,装備品!$1:$998,COLUMN(N$1),FALSE)*(VLOOKUP($D107,素材!$1:$1002,COLUMN(D$1),FALSE)/100),1),"")</f>
        <v>-15.799999999999999</v>
      </c>
      <c r="S107">
        <f>IFERROR(VLOOKUP($C107,装備品!$1:$998,COLUMN(P$1),FALSE),"")</f>
        <v>0</v>
      </c>
      <c r="T107">
        <f>IFERROR(VLOOKUP($C107,装備品!$1:$998,COLUMN(Q$1),FALSE),"")</f>
        <v>0</v>
      </c>
      <c r="U107">
        <f>IFERROR(VLOOKUP($C107,装備品!$1:$998,COLUMN(R$1),FALSE),"")</f>
        <v>0</v>
      </c>
      <c r="V107">
        <f>IFERROR(VLOOKUP($C107,装備品!$1:$998,COLUMN(Q$1),FALSE),"")</f>
        <v>0</v>
      </c>
      <c r="W107">
        <f>IFERROR(VLOOKUP($C107,装備品!$1:$998,COLUMN(T$1),FALSE),"")</f>
        <v>0</v>
      </c>
      <c r="Y107">
        <f>IFERROR(VLOOKUP($C107,装備品!$1:$998,COLUMN(U$1),FALSE),"")</f>
        <v>0</v>
      </c>
      <c r="Z107">
        <f>IFERROR(ROUNDUP(VLOOKUP($C107,装備品!$1:$998,COLUMN(O$1),FALSE)*VLOOKUP($D107,素材!$1:$1016,COLUMN(E$1),FALSE),1),"")</f>
        <v>0</v>
      </c>
      <c r="AA107">
        <f>IF(ISNUMBER(SEARCH(SUBSTITUTE(AA$1,RIGHT(AA$1,2),""),VLOOKUP($D107,素材!$1:$1016,COLUMN($F$1),FALSE))),VLOOKUP($C107,装備品!$1:$998,COLUMN($O$1),FALSE)*VLOOKUP($D107,素材!$1:$1016,COLUMN($E$1),FALSE)/(LEN(VLOOKUP($D107,素材!$1:$1016,COLUMN($F$1),FALSE))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B107">
        <f>IF(ISNUMBER(SEARCH(SUBSTITUTE(AB$1,RIGHT(AB$1,2),""),VLOOKUP($D107,素材!$1:$1016,COLUMN($F$1),FALSE))),VLOOKUP($C107,装備品!$1:$998,COLUMN($O$1),FALSE)*VLOOKUP($D107,素材!$1:$1016,COLUMN($E$1),FALSE)/(LEN(VLOOKUP($D107,素材!$1:$1016,COLUMN($F$1),FALSE))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C107">
        <f>IF(ISNUMBER(SEARCH(SUBSTITUTE(AC$1,RIGHT(AC$1,2),""),VLOOKUP($D107,素材!$1:$1016,COLUMN($F$1),FALSE))),VLOOKUP($C107,装備品!$1:$998,COLUMN($O$1),FALSE)*VLOOKUP($D107,素材!$1:$1016,COLUMN($E$1),FALSE)/(LEN(VLOOKUP($D107,素材!$1:$1016,COLUMN($F$1),FALSE))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D107">
        <f>IF(ISNUMBER(SEARCH(SUBSTITUTE(AD$1,RIGHT(AD$1,2),""),VLOOKUP($D107,素材!$1:$1016,COLUMN($F$1),FALSE))),VLOOKUP($C107,装備品!$1:$998,COLUMN($O$1),FALSE)*VLOOKUP($D107,素材!$1:$1016,COLUMN($E$1),FALSE)/(LEN(VLOOKUP($D107,素材!$1:$1016,COLUMN($F$1),FALSE))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E107">
        <f>IF(ISNUMBER(SEARCH(SUBSTITUTE(AE$1,RIGHT(AE$1,2),""),VLOOKUP($D107,素材!$1:$1016,COLUMN($F$1),FALSE))),VLOOKUP($C107,装備品!$1:$998,COLUMN($O$1),FALSE)*VLOOKUP($D107,素材!$1:$1016,COLUMN($E$1),FALSE)/(LEN(VLOOKUP($D107,素材!$1:$1016,COLUMN($F$1),FALSE))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F107">
        <f>IF(ISNUMBER(SEARCH(SUBSTITUTE(AF$1,RIGHT(AF$1,2),""),VLOOKUP($D107,素材!$1:$1016,COLUMN($F$1),FALSE))),VLOOKUP($C107,装備品!$1:$998,COLUMN($O$1),FALSE)*VLOOKUP($D107,素材!$1:$1016,COLUMN($E$1),FALSE)/(LEN(VLOOKUP($D107,素材!$1:$1016,COLUMN($F$1),FALSE))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G107">
        <f>IF(ISNUMBER(SEARCH(SUBSTITUTE(AG$1,RIGHT(AG$1,2),""),VLOOKUP($D107,素材!$1:$1016,COLUMN($F$1),FALSE))),VLOOKUP($C107,装備品!$1:$998,COLUMN($O$1),FALSE)*VLOOKUP($D107,素材!$1:$1016,COLUMN($E$1),FALSE)/(LEN(VLOOKUP($D107,素材!$1:$1016,COLUMN($F$1),FALSE))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H107">
        <f>IF(ISNUMBER(SEARCH(SUBSTITUTE(AH$1,RIGHT(AH$1,2),""),VLOOKUP($D107,素材!$1:$1016,COLUMN($F$1),FALSE))),VLOOKUP($C107,装備品!$1:$998,COLUMN($O$1),FALSE)*VLOOKUP($D107,素材!$1:$1016,COLUMN($E$1),FALSE)/(LEN(VLOOKUP($D107,素材!$1:$1016,COLUMN($F$1),FALSE))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I107">
        <f>IF(ISNUMBER(SEARCH(SUBSTITUTE(AI$1,RIGHT(AI$1,2),""),VLOOKUP($D107,素材!$1:$1016,COLUMN($F$1),FALSE))),VLOOKUP($C107,装備品!$1:$998,COLUMN($O$1),FALSE)*VLOOKUP($D107,素材!$1:$1016,COLUMN($E$1),FALSE)/(LEN(VLOOKUP($D107,素材!$1:$1016,COLUMN($F$1),FALSE))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J107">
        <f>IF(ISNUMBER(SEARCH(SUBSTITUTE(AJ$1,RIGHT(AJ$1,2),""),VLOOKUP($D107,素材!$1:$1016,COLUMN($F$1),FALSE))),VLOOKUP($C107,装備品!$1:$998,COLUMN($O$1),FALSE)*VLOOKUP($D107,素材!$1:$1016,COLUMN($E$1),FALSE)/(LEN(VLOOKUP($D107,素材!$1:$1016,COLUMN($F$1),FALSE))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K107">
        <f>IF(ISNUMBER(SEARCH(SUBSTITUTE(AK$1,RIGHT(AK$1,2),""),VLOOKUP($D107,素材!$1:$1016,COLUMN($F$1),FALSE))),VLOOKUP($C107,装備品!$1:$998,COLUMN($O$1),FALSE)*VLOOKUP($D107,素材!$1:$1016,COLUMN($E$1),FALSE)/(LEN(VLOOKUP($D107,素材!$1:$1016,COLUMN($F$1),FALSE))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L107">
        <f>IF(ISNUMBER(SEARCH(SUBSTITUTE(AL$1,RIGHT(AL$1,2),""),VLOOKUP($D107,素材!$1:$1016,COLUMN($F$1),FALSE))),VLOOKUP($C107,装備品!$1:$998,COLUMN($O$1),FALSE)*VLOOKUP($D107,素材!$1:$1016,COLUMN($E$1),FALSE)/(LEN(VLOOKUP($D107,素材!$1:$1016,COLUMN($F$1),FALSE))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M107">
        <f>IF(ISNUMBER(SEARCH(SUBSTITUTE(AM$1,RIGHT(AM$1,2),""),VLOOKUP($D107,素材!$1:$1016,COLUMN($F$1),FALSE))),VLOOKUP($C107,装備品!$1:$998,COLUMN($O$1),FALSE)*VLOOKUP($D107,素材!$1:$1016,COLUMN($E$1),FALSE)/(LEN(VLOOKUP($D107,素材!$1:$1016,COLUMN($F$1),FALSE))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N107">
        <f>IF(ISNUMBER(SEARCH(SUBSTITUTE(AN$1,RIGHT(AN$1,2),""),VLOOKUP($D107,素材!$1:$1016,COLUMN($F$1),FALSE))),VLOOKUP($C107,装備品!$1:$998,COLUMN($O$1),FALSE)*VLOOKUP($D107,素材!$1:$1016,COLUMN($E$1),FALSE)/(LEN(VLOOKUP($D107,素材!$1:$1016,COLUMN($F$1),FALSE))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O107">
        <f>IF(ISNUMBER(SEARCH(SUBSTITUTE(AO$1,RIGHT(AO$1,2),""),VLOOKUP($D107,素材!$1:$1016,COLUMN($F$1),FALSE))),VLOOKUP($C107,装備品!$1:$998,COLUMN($O$1),FALSE)*VLOOKUP($D107,素材!$1:$1016,COLUMN($E$1),FALSE)/(LEN(VLOOKUP($D107,素材!$1:$1016,COLUMN($F$1),FALSE))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P107">
        <f>IF(ISNUMBER(SEARCH(SUBSTITUTE(AP$1,RIGHT(AP$1,2),""),VLOOKUP($D107,素材!$1:$1016,COLUMN($F$1),FALSE))),VLOOKUP($C107,装備品!$1:$998,COLUMN($O$1),FALSE)*VLOOKUP($D107,素材!$1:$1016,COLUMN($E$1),FALSE)/(LEN(VLOOKUP($D107,素材!$1:$1016,COLUMN($F$1),FALSE))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Q107">
        <f>IF(ISNUMBER(SEARCH(SUBSTITUTE(AQ$1,RIGHT(AQ$1,2),""),VLOOKUP($D107,素材!$1:$1016,COLUMN($F$1),FALSE))),VLOOKUP($C107,装備品!$1:$998,COLUMN($O$1),FALSE)*VLOOKUP($D107,素材!$1:$1016,COLUMN($E$1),FALSE)/(LEN(VLOOKUP($D107,素材!$1:$1016,COLUMN($F$1),FALSE))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R107">
        <f>IF(ISNUMBER(SEARCH(SUBSTITUTE(AR$1,RIGHT(AR$1,2),""),VLOOKUP($D107,素材!$1:$1016,COLUMN($F$1),FALSE))),VLOOKUP($C107,装備品!$1:$998,COLUMN($O$1),FALSE)*VLOOKUP($D107,素材!$1:$1016,COLUMN($E$1),FALSE)/(LEN(VLOOKUP($D107,素材!$1:$1016,COLUMN($F$1),FALSE))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S107">
        <f>IF(ISNUMBER(SEARCH(SUBSTITUTE(AS$1,RIGHT(AS$1,2),""),VLOOKUP($D107,素材!$1:$1016,COLUMN($F$1),FALSE))),VLOOKUP($C107,装備品!$1:$998,COLUMN($O$1),FALSE)*VLOOKUP($D107,素材!$1:$1016,COLUMN($E$1),FALSE)/(LEN(VLOOKUP($D107,素材!$1:$1016,COLUMN($F$1),FALSE))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T107">
        <f>IF(ISNUMBER(SEARCH(SUBSTITUTE(AT$1,RIGHT(AT$1,2),""),VLOOKUP($D107,素材!$1:$1016,COLUMN($F$1),FALSE))),VLOOKUP($C107,装備品!$1:$998,COLUMN($O$1),FALSE)*VLOOKUP($D107,素材!$1:$1016,COLUMN($E$1),FALSE)/(LEN(VLOOKUP($D107,素材!$1:$1016,COLUMN($F$1),FALSE))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U107">
        <f>IF(ISNUMBER(SEARCH(SUBSTITUTE(AU$1,RIGHT(AU$1,2),""),VLOOKUP($D107,素材!$1:$1016,COLUMN($F$1),FALSE))),VLOOKUP($C107,装備品!$1:$998,COLUMN($O$1),FALSE)*VLOOKUP($D107,素材!$1:$1016,COLUMN($E$1),FALSE)/(LEN(VLOOKUP($D107,素材!$1:$1016,COLUMN($F$1),FALSE))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V107">
        <f>IF(ISNUMBER(SEARCH(SUBSTITUTE(AV$1,RIGHT(AV$1,2),""),VLOOKUP($D107,素材!$1:$1016,COLUMN($F$1),FALSE))),VLOOKUP($C107,装備品!$1:$998,COLUMN($O$1),FALSE)*VLOOKUP($D107,素材!$1:$1016,COLUMN($E$1),FALSE)/(LEN(VLOOKUP($D107,素材!$1:$1016,COLUMN($F$1),FALSE))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W107">
        <f>IF(ISNUMBER(SEARCH(SUBSTITUTE(AW$1,RIGHT(AW$1,2),""),VLOOKUP($D107,素材!$1:$1016,COLUMN($F$1),FALSE))),VLOOKUP($C107,装備品!$1:$998,COLUMN($O$1),FALSE)*VLOOKUP($D107,素材!$1:$1016,COLUMN($E$1),FALSE)/(LEN(VLOOKUP($D107,素材!$1:$1016,COLUMN($F$1),FALSE))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X107">
        <f>IF(ISNUMBER(SEARCH(SUBSTITUTE(AX$1,RIGHT(AX$1,2),""),VLOOKUP($D107,素材!$1:$1016,COLUMN($F$1),FALSE))),VLOOKUP($C107,装備品!$1:$998,COLUMN($O$1),FALSE)*VLOOKUP($D107,素材!$1:$1016,COLUMN($E$1),FALSE)/(LEN(VLOOKUP($D107,素材!$1:$1016,COLUMN($F$1),FALSE))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Y107">
        <f>IF(ISNUMBER(SEARCH(SUBSTITUTE(AY$1,RIGHT(AY$1,2),""),VLOOKUP($D107,素材!$1:$1016,COLUMN($F$1),FALSE))),VLOOKUP($C107,装備品!$1:$998,COLUMN($O$1),FALSE)*VLOOKUP($D107,素材!$1:$1016,COLUMN($E$1),FALSE)/(LEN(VLOOKUP($D107,素材!$1:$1016,COLUMN($F$1),FALSE))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Z107">
        <f>IF(ISNUMBER(SEARCH(SUBSTITUTE(AZ$1,RIGHT(AZ$1,2),""),VLOOKUP($D107,素材!$1:$1016,COLUMN($F$1),FALSE))),VLOOKUP($C107,装備品!$1:$998,COLUMN($O$1),FALSE)*VLOOKUP($D107,素材!$1:$1016,COLUMN($E$1),FALSE)/(LEN(VLOOKUP($D107,素材!$1:$1016,COLUMN($F$1),FALSE))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BA107">
        <f>IF(ISNUMBER(SEARCH(SUBSTITUTE(BA$1,RIGHT(BA$1,2),""),VLOOKUP($D107,素材!$1:$1016,COLUMN($F$1),FALSE))),VLOOKUP($C107,装備品!$1:$998,COLUMN($O$1),FALSE)*VLOOKUP($D107,素材!$1:$1016,COLUMN($E$1),FALSE)/(LEN(VLOOKUP($D107,素材!$1:$1016,COLUMN($F$1),FALSE))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BB107">
        <f>IF(ISNUMBER(SEARCH(SUBSTITUTE(BB$1,RIGHT(BB$1,2),""),VLOOKUP($D107,素材!$1:$1016,COLUMN($F$1),FALSE))),VLOOKUP($C107,装備品!$1:$998,COLUMN($O$1),FALSE)*VLOOKUP($D107,素材!$1:$1016,COLUMN($E$1),FALSE)/(LEN(VLOOKUP($D107,素材!$1:$1016,COLUMN($F$1),FALSE))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BC107">
        <f>IF(ISNUMBER(SEARCH(SUBSTITUTE(BC$1,RIGHT(BC$1,2),""),VLOOKUP($D107,素材!$1:$1016,COLUMN($F$1),FALSE))),VLOOKUP($C107,装備品!$1:$998,COLUMN($O$1),FALSE)*VLOOKUP($D107,素材!$1:$1016,COLUMN($E$1),FALSE)/(LEN(VLOOKUP($D107,素材!$1:$1016,COLUMN($F$1),FALSE))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BD107">
        <f>IF(ISNUMBER(SEARCH(SUBSTITUTE(BD$1,RIGHT(BD$1,2),""),VLOOKUP($D107,素材!$1:$1016,COLUMN($F$1),FALSE))),VLOOKUP($C107,装備品!$1:$998,COLUMN($O$1),FALSE)*VLOOKUP($D107,素材!$1:$1016,COLUMN($E$1),FALSE)/(LEN(VLOOKUP($D107,素材!$1:$1016,COLUMN($F$1),FALSE))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BE107">
        <f>IF(ISNUMBER(SEARCH(SUBSTITUTE(BE$1,RIGHT(BE$1,2),""),VLOOKUP($D107,素材!$1:$1016,COLUMN($F$1),FALSE))),VLOOKUP($C107,装備品!$1:$998,COLUMN($O$1),FALSE)*VLOOKUP($D107,素材!$1:$1016,COLUMN($E$1),FALSE)/(LEN(VLOOKUP($D107,素材!$1:$1016,COLUMN($F$1),FALSE))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CL107">
        <f t="shared" si="7"/>
        <v>0</v>
      </c>
      <c r="CM107" s="22" t="str">
        <f t="shared" si="8"/>
        <v>銃.webp</v>
      </c>
      <c r="CN107">
        <f>IFERROR(VLOOKUP($C107,装備品!$1:$998,COLUMN(V$1),FALSE)*VLOOKUP($D107,素材!$1:$1016,COLUMN(N$1),FALSE)+IF(CI107="",0,VLOOKUP($CI107,付与!$1:$1176,COLUMN($CK$1),FALSE)),"")</f>
        <v>450</v>
      </c>
      <c r="CO107" t="str">
        <f>VLOOKUP(D107,素材!$A:$O,COLUMN(素材!O$1),FALSE)</f>
        <v>鍛えられた鉄。硬度が高く安価なためよく使用される。</v>
      </c>
      <c r="CP107" t="str">
        <f>VLOOKUP(C107,装備品!$A:$AB,COLUMN(装備品!AB$1),FALSE)</f>
        <v/>
      </c>
      <c r="CR107" t="str">
        <f t="shared" si="9"/>
        <v>e_107</v>
      </c>
      <c r="CS107">
        <f t="shared" si="10"/>
        <v>45000</v>
      </c>
    </row>
    <row r="108" spans="1:97" outlineLevel="1" x14ac:dyDescent="0.4">
      <c r="A108" t="str">
        <f t="shared" si="11"/>
        <v>鋼の回転式拳銃</v>
      </c>
      <c r="B108" t="str">
        <f>IFERROR(VLOOKUP($D108,素材!$1:$1016,COLUMN($B$1),FALSE)&amp;"・"&amp;VLOOKUP($C108,装備品!$1:$998,COLUMN(B$1),FALSE),"")</f>
        <v>スチール・リボルバー</v>
      </c>
      <c r="C108" t="s">
        <v>211</v>
      </c>
      <c r="D108" s="24" t="s">
        <v>252</v>
      </c>
      <c r="E108" t="str">
        <f>IFERROR(VLOOKUP(C108,装備品!$1:$998,COLUMN(C$1),FALSE),"")</f>
        <v>銃</v>
      </c>
      <c r="F108">
        <f>IFERROR(ROUNDDOWN((VLOOKUP($C108,装備品!$1:$998,COLUMN(D$1),FALSE)+IFERROR(VLOOKUP($CI108,付与!$1:$1167,COLUMN(F$1),FALSE),0))*VLOOKUP($D108,素材!$1:$1016,COLUMN(D$1),FALSE),0),"")</f>
        <v>105</v>
      </c>
      <c r="G108">
        <f>IFERROR(ROUNDDOWN((VLOOKUP($C108,装備品!$1:$998,COLUMN(E$1),FALSE)+IFERROR(VLOOKUP($CI108,付与!$1:$1167,COLUMN(G$1),FALSE),0))*VLOOKUP($D108,素材!$1:$1016,COLUMN($E$1),FALSE),0),"")</f>
        <v>0</v>
      </c>
      <c r="H108">
        <f>IFERROR(ROUNDDOWN((VLOOKUP($C108,装備品!$1:$998,COLUMN(F$1),FALSE)+IFERROR(VLOOKUP($CI108,付与!$1:$1167,COLUMN(H$1),FALSE),0))*VLOOKUP($D108,素材!$1:$1016,COLUMN($E$1),FALSE),0),"")</f>
        <v>0</v>
      </c>
      <c r="I108">
        <f>IFERROR(ROUNDDOWN((VLOOKUP($C108,装備品!$1:$998,COLUMN(G$1),FALSE)+IFERROR(VLOOKUP($CI108,付与!$1:$1167,COLUMN(I$1),FALSE),0))*VLOOKUP($D108,素材!$1:$1016,COLUMN($E$1),FALSE),0),"")</f>
        <v>0</v>
      </c>
      <c r="J108">
        <f>IFERROR(ROUNDDOWN((VLOOKUP($C108,装備品!$1:$998,COLUMN(H$1),FALSE)+IFERROR(VLOOKUP($CI108,付与!$1:$1167,COLUMN(J$1),FALSE),0))*VLOOKUP($D108,素材!$1:$1016,COLUMN($E$1),FALSE),0),"")</f>
        <v>0</v>
      </c>
      <c r="K108">
        <f>IFERROR(ROUNDDOWN((VLOOKUP($C108,装備品!$1:$998,COLUMN(I$1),FALSE)+IFERROR(VLOOKUP($CI108,付与!$1:$1167,COLUMN(K$1),FALSE),0))*VLOOKUP($D108,素材!$1:$1016,COLUMN($E$1),FALSE),0),"")</f>
        <v>69</v>
      </c>
      <c r="L108">
        <f>IFERROR(VLOOKUP($D108,素材!$1:$1016,COLUMN($F$1),FALSE),"")</f>
        <v>0</v>
      </c>
      <c r="M108">
        <f>IFERROR(VLOOKUP($C108,装備品!$1:$998,COLUMN(AA$1),FALSE)*VLOOKUP($D108,素材!$1:$1016,COLUMN($G$1),FALSE),"")</f>
        <v>0</v>
      </c>
      <c r="N108">
        <f>IFERROR(VLOOKUP($C108,装備品!$1:$998,COLUMN(I$1),FALSE),"")</f>
        <v>2.5700000000000003</v>
      </c>
      <c r="O108" s="23">
        <f>IFERROR((VLOOKUP($C108,装備品!$1:$998,COLUMN(K$1),FALSE)+VLOOKUP($D108,素材!$1:$1016,COLUMN(H$1),FALSE))*100+IFERROR(VLOOKUP($CI108,付与!$1:$1167,COLUMN(O$1),FALSE),0),"")</f>
        <v>10</v>
      </c>
      <c r="P108" s="23">
        <f>IFERROR((VLOOKUP($C108,装備品!$1:$998,COLUMN(L$1),FALSE)+VLOOKUP($D108,素材!$1:$1016,COLUMN(I$1),FALSE))*100+IFERROR(VLOOKUP($CI108,付与!$1:$1167,COLUMN(P$1),FALSE),0),"")</f>
        <v>140</v>
      </c>
      <c r="Q108">
        <f>IFERROR(ROUNDUP(VLOOKUP($C108,装備品!$1:$998,COLUMN(M$1),FALSE)*(VLOOKUP($D108,素材!$1:$1002,COLUMN(D$1),FALSE)/100),1),"")</f>
        <v>0</v>
      </c>
      <c r="R108">
        <f>IFERROR(ROUNDUP(VLOOKUP($C108,装備品!$1:$998,COLUMN(N$1),FALSE)*(VLOOKUP($D108,素材!$1:$1002,COLUMN(D$1),FALSE)/100),1),"")</f>
        <v>-26.3</v>
      </c>
      <c r="S108">
        <f>IFERROR(VLOOKUP($C108,装備品!$1:$998,COLUMN(P$1),FALSE),"")</f>
        <v>0</v>
      </c>
      <c r="T108">
        <f>IFERROR(VLOOKUP($C108,装備品!$1:$998,COLUMN(Q$1),FALSE),"")</f>
        <v>0</v>
      </c>
      <c r="U108">
        <f>IFERROR(VLOOKUP($C108,装備品!$1:$998,COLUMN(R$1),FALSE),"")</f>
        <v>0</v>
      </c>
      <c r="V108">
        <f>IFERROR(VLOOKUP($C108,装備品!$1:$998,COLUMN(Q$1),FALSE),"")</f>
        <v>0</v>
      </c>
      <c r="W108">
        <f>IFERROR(VLOOKUP($C108,装備品!$1:$998,COLUMN(T$1),FALSE),"")</f>
        <v>0</v>
      </c>
      <c r="Y108">
        <f>IFERROR(VLOOKUP($C108,装備品!$1:$998,COLUMN(U$1),FALSE),"")</f>
        <v>0</v>
      </c>
      <c r="Z108">
        <f>IFERROR(ROUNDUP(VLOOKUP($C108,装備品!$1:$998,COLUMN(O$1),FALSE)*VLOOKUP($D108,素材!$1:$1016,COLUMN(E$1),FALSE),1),"")</f>
        <v>0</v>
      </c>
      <c r="AA108">
        <f>IF(ISNUMBER(SEARCH(SUBSTITUTE(AA$1,RIGHT(AA$1,2),""),VLOOKUP($D108,素材!$1:$1016,COLUMN($F$1),FALSE))),VLOOKUP($C108,装備品!$1:$998,COLUMN($O$1),FALSE)*VLOOKUP($D108,素材!$1:$1016,COLUMN($E$1),FALSE)/(LEN(VLOOKUP($D108,素材!$1:$1016,COLUMN($F$1),FALSE))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B108">
        <f>IF(ISNUMBER(SEARCH(SUBSTITUTE(AB$1,RIGHT(AB$1,2),""),VLOOKUP($D108,素材!$1:$1016,COLUMN($F$1),FALSE))),VLOOKUP($C108,装備品!$1:$998,COLUMN($O$1),FALSE)*VLOOKUP($D108,素材!$1:$1016,COLUMN($E$1),FALSE)/(LEN(VLOOKUP($D108,素材!$1:$1016,COLUMN($F$1),FALSE))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C108">
        <f>IF(ISNUMBER(SEARCH(SUBSTITUTE(AC$1,RIGHT(AC$1,2),""),VLOOKUP($D108,素材!$1:$1016,COLUMN($F$1),FALSE))),VLOOKUP($C108,装備品!$1:$998,COLUMN($O$1),FALSE)*VLOOKUP($D108,素材!$1:$1016,COLUMN($E$1),FALSE)/(LEN(VLOOKUP($D108,素材!$1:$1016,COLUMN($F$1),FALSE))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D108">
        <f>IF(ISNUMBER(SEARCH(SUBSTITUTE(AD$1,RIGHT(AD$1,2),""),VLOOKUP($D108,素材!$1:$1016,COLUMN($F$1),FALSE))),VLOOKUP($C108,装備品!$1:$998,COLUMN($O$1),FALSE)*VLOOKUP($D108,素材!$1:$1016,COLUMN($E$1),FALSE)/(LEN(VLOOKUP($D108,素材!$1:$1016,COLUMN($F$1),FALSE))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E108">
        <f>IF(ISNUMBER(SEARCH(SUBSTITUTE(AE$1,RIGHT(AE$1,2),""),VLOOKUP($D108,素材!$1:$1016,COLUMN($F$1),FALSE))),VLOOKUP($C108,装備品!$1:$998,COLUMN($O$1),FALSE)*VLOOKUP($D108,素材!$1:$1016,COLUMN($E$1),FALSE)/(LEN(VLOOKUP($D108,素材!$1:$1016,COLUMN($F$1),FALSE))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F108">
        <f>IF(ISNUMBER(SEARCH(SUBSTITUTE(AF$1,RIGHT(AF$1,2),""),VLOOKUP($D108,素材!$1:$1016,COLUMN($F$1),FALSE))),VLOOKUP($C108,装備品!$1:$998,COLUMN($O$1),FALSE)*VLOOKUP($D108,素材!$1:$1016,COLUMN($E$1),FALSE)/(LEN(VLOOKUP($D108,素材!$1:$1016,COLUMN($F$1),FALSE))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G108">
        <f>IF(ISNUMBER(SEARCH(SUBSTITUTE(AG$1,RIGHT(AG$1,2),""),VLOOKUP($D108,素材!$1:$1016,COLUMN($F$1),FALSE))),VLOOKUP($C108,装備品!$1:$998,COLUMN($O$1),FALSE)*VLOOKUP($D108,素材!$1:$1016,COLUMN($E$1),FALSE)/(LEN(VLOOKUP($D108,素材!$1:$1016,COLUMN($F$1),FALSE))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H108">
        <f>IF(ISNUMBER(SEARCH(SUBSTITUTE(AH$1,RIGHT(AH$1,2),""),VLOOKUP($D108,素材!$1:$1016,COLUMN($F$1),FALSE))),VLOOKUP($C108,装備品!$1:$998,COLUMN($O$1),FALSE)*VLOOKUP($D108,素材!$1:$1016,COLUMN($E$1),FALSE)/(LEN(VLOOKUP($D108,素材!$1:$1016,COLUMN($F$1),FALSE))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I108">
        <f>IF(ISNUMBER(SEARCH(SUBSTITUTE(AI$1,RIGHT(AI$1,2),""),VLOOKUP($D108,素材!$1:$1016,COLUMN($F$1),FALSE))),VLOOKUP($C108,装備品!$1:$998,COLUMN($O$1),FALSE)*VLOOKUP($D108,素材!$1:$1016,COLUMN($E$1),FALSE)/(LEN(VLOOKUP($D108,素材!$1:$1016,COLUMN($F$1),FALSE))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J108">
        <f>IF(ISNUMBER(SEARCH(SUBSTITUTE(AJ$1,RIGHT(AJ$1,2),""),VLOOKUP($D108,素材!$1:$1016,COLUMN($F$1),FALSE))),VLOOKUP($C108,装備品!$1:$998,COLUMN($O$1),FALSE)*VLOOKUP($D108,素材!$1:$1016,COLUMN($E$1),FALSE)/(LEN(VLOOKUP($D108,素材!$1:$1016,COLUMN($F$1),FALSE))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K108">
        <f>IF(ISNUMBER(SEARCH(SUBSTITUTE(AK$1,RIGHT(AK$1,2),""),VLOOKUP($D108,素材!$1:$1016,COLUMN($F$1),FALSE))),VLOOKUP($C108,装備品!$1:$998,COLUMN($O$1),FALSE)*VLOOKUP($D108,素材!$1:$1016,COLUMN($E$1),FALSE)/(LEN(VLOOKUP($D108,素材!$1:$1016,COLUMN($F$1),FALSE))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L108">
        <f>IF(ISNUMBER(SEARCH(SUBSTITUTE(AL$1,RIGHT(AL$1,2),""),VLOOKUP($D108,素材!$1:$1016,COLUMN($F$1),FALSE))),VLOOKUP($C108,装備品!$1:$998,COLUMN($O$1),FALSE)*VLOOKUP($D108,素材!$1:$1016,COLUMN($E$1),FALSE)/(LEN(VLOOKUP($D108,素材!$1:$1016,COLUMN($F$1),FALSE))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M108">
        <f>IF(ISNUMBER(SEARCH(SUBSTITUTE(AM$1,RIGHT(AM$1,2),""),VLOOKUP($D108,素材!$1:$1016,COLUMN($F$1),FALSE))),VLOOKUP($C108,装備品!$1:$998,COLUMN($O$1),FALSE)*VLOOKUP($D108,素材!$1:$1016,COLUMN($E$1),FALSE)/(LEN(VLOOKUP($D108,素材!$1:$1016,COLUMN($F$1),FALSE))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N108">
        <f>IF(ISNUMBER(SEARCH(SUBSTITUTE(AN$1,RIGHT(AN$1,2),""),VLOOKUP($D108,素材!$1:$1016,COLUMN($F$1),FALSE))),VLOOKUP($C108,装備品!$1:$998,COLUMN($O$1),FALSE)*VLOOKUP($D108,素材!$1:$1016,COLUMN($E$1),FALSE)/(LEN(VLOOKUP($D108,素材!$1:$1016,COLUMN($F$1),FALSE))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O108">
        <f>IF(ISNUMBER(SEARCH(SUBSTITUTE(AO$1,RIGHT(AO$1,2),""),VLOOKUP($D108,素材!$1:$1016,COLUMN($F$1),FALSE))),VLOOKUP($C108,装備品!$1:$998,COLUMN($O$1),FALSE)*VLOOKUP($D108,素材!$1:$1016,COLUMN($E$1),FALSE)/(LEN(VLOOKUP($D108,素材!$1:$1016,COLUMN($F$1),FALSE))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P108">
        <f>IF(ISNUMBER(SEARCH(SUBSTITUTE(AP$1,RIGHT(AP$1,2),""),VLOOKUP($D108,素材!$1:$1016,COLUMN($F$1),FALSE))),VLOOKUP($C108,装備品!$1:$998,COLUMN($O$1),FALSE)*VLOOKUP($D108,素材!$1:$1016,COLUMN($E$1),FALSE)/(LEN(VLOOKUP($D108,素材!$1:$1016,COLUMN($F$1),FALSE))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Q108">
        <f>IF(ISNUMBER(SEARCH(SUBSTITUTE(AQ$1,RIGHT(AQ$1,2),""),VLOOKUP($D108,素材!$1:$1016,COLUMN($F$1),FALSE))),VLOOKUP($C108,装備品!$1:$998,COLUMN($O$1),FALSE)*VLOOKUP($D108,素材!$1:$1016,COLUMN($E$1),FALSE)/(LEN(VLOOKUP($D108,素材!$1:$1016,COLUMN($F$1),FALSE))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R108">
        <f>IF(ISNUMBER(SEARCH(SUBSTITUTE(AR$1,RIGHT(AR$1,2),""),VLOOKUP($D108,素材!$1:$1016,COLUMN($F$1),FALSE))),VLOOKUP($C108,装備品!$1:$998,COLUMN($O$1),FALSE)*VLOOKUP($D108,素材!$1:$1016,COLUMN($E$1),FALSE)/(LEN(VLOOKUP($D108,素材!$1:$1016,COLUMN($F$1),FALSE))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S108">
        <f>IF(ISNUMBER(SEARCH(SUBSTITUTE(AS$1,RIGHT(AS$1,2),""),VLOOKUP($D108,素材!$1:$1016,COLUMN($F$1),FALSE))),VLOOKUP($C108,装備品!$1:$998,COLUMN($O$1),FALSE)*VLOOKUP($D108,素材!$1:$1016,COLUMN($E$1),FALSE)/(LEN(VLOOKUP($D108,素材!$1:$1016,COLUMN($F$1),FALSE))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T108">
        <f>IF(ISNUMBER(SEARCH(SUBSTITUTE(AT$1,RIGHT(AT$1,2),""),VLOOKUP($D108,素材!$1:$1016,COLUMN($F$1),FALSE))),VLOOKUP($C108,装備品!$1:$998,COLUMN($O$1),FALSE)*VLOOKUP($D108,素材!$1:$1016,COLUMN($E$1),FALSE)/(LEN(VLOOKUP($D108,素材!$1:$1016,COLUMN($F$1),FALSE))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U108">
        <f>IF(ISNUMBER(SEARCH(SUBSTITUTE(AU$1,RIGHT(AU$1,2),""),VLOOKUP($D108,素材!$1:$1016,COLUMN($F$1),FALSE))),VLOOKUP($C108,装備品!$1:$998,COLUMN($O$1),FALSE)*VLOOKUP($D108,素材!$1:$1016,COLUMN($E$1),FALSE)/(LEN(VLOOKUP($D108,素材!$1:$1016,COLUMN($F$1),FALSE))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V108">
        <f>IF(ISNUMBER(SEARCH(SUBSTITUTE(AV$1,RIGHT(AV$1,2),""),VLOOKUP($D108,素材!$1:$1016,COLUMN($F$1),FALSE))),VLOOKUP($C108,装備品!$1:$998,COLUMN($O$1),FALSE)*VLOOKUP($D108,素材!$1:$1016,COLUMN($E$1),FALSE)/(LEN(VLOOKUP($D108,素材!$1:$1016,COLUMN($F$1),FALSE))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W108">
        <f>IF(ISNUMBER(SEARCH(SUBSTITUTE(AW$1,RIGHT(AW$1,2),""),VLOOKUP($D108,素材!$1:$1016,COLUMN($F$1),FALSE))),VLOOKUP($C108,装備品!$1:$998,COLUMN($O$1),FALSE)*VLOOKUP($D108,素材!$1:$1016,COLUMN($E$1),FALSE)/(LEN(VLOOKUP($D108,素材!$1:$1016,COLUMN($F$1),FALSE))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X108">
        <f>IF(ISNUMBER(SEARCH(SUBSTITUTE(AX$1,RIGHT(AX$1,2),""),VLOOKUP($D108,素材!$1:$1016,COLUMN($F$1),FALSE))),VLOOKUP($C108,装備品!$1:$998,COLUMN($O$1),FALSE)*VLOOKUP($D108,素材!$1:$1016,COLUMN($E$1),FALSE)/(LEN(VLOOKUP($D108,素材!$1:$1016,COLUMN($F$1),FALSE))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Y108">
        <f>IF(ISNUMBER(SEARCH(SUBSTITUTE(AY$1,RIGHT(AY$1,2),""),VLOOKUP($D108,素材!$1:$1016,COLUMN($F$1),FALSE))),VLOOKUP($C108,装備品!$1:$998,COLUMN($O$1),FALSE)*VLOOKUP($D108,素材!$1:$1016,COLUMN($E$1),FALSE)/(LEN(VLOOKUP($D108,素材!$1:$1016,COLUMN($F$1),FALSE))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Z108">
        <f>IF(ISNUMBER(SEARCH(SUBSTITUTE(AZ$1,RIGHT(AZ$1,2),""),VLOOKUP($D108,素材!$1:$1016,COLUMN($F$1),FALSE))),VLOOKUP($C108,装備品!$1:$998,COLUMN($O$1),FALSE)*VLOOKUP($D108,素材!$1:$1016,COLUMN($E$1),FALSE)/(LEN(VLOOKUP($D108,素材!$1:$1016,COLUMN($F$1),FALSE))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BA108">
        <f>IF(ISNUMBER(SEARCH(SUBSTITUTE(BA$1,RIGHT(BA$1,2),""),VLOOKUP($D108,素材!$1:$1016,COLUMN($F$1),FALSE))),VLOOKUP($C108,装備品!$1:$998,COLUMN($O$1),FALSE)*VLOOKUP($D108,素材!$1:$1016,COLUMN($E$1),FALSE)/(LEN(VLOOKUP($D108,素材!$1:$1016,COLUMN($F$1),FALSE))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BB108">
        <f>IF(ISNUMBER(SEARCH(SUBSTITUTE(BB$1,RIGHT(BB$1,2),""),VLOOKUP($D108,素材!$1:$1016,COLUMN($F$1),FALSE))),VLOOKUP($C108,装備品!$1:$998,COLUMN($O$1),FALSE)*VLOOKUP($D108,素材!$1:$1016,COLUMN($E$1),FALSE)/(LEN(VLOOKUP($D108,素材!$1:$1016,COLUMN($F$1),FALSE))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BC108">
        <f>IF(ISNUMBER(SEARCH(SUBSTITUTE(BC$1,RIGHT(BC$1,2),""),VLOOKUP($D108,素材!$1:$1016,COLUMN($F$1),FALSE))),VLOOKUP($C108,装備品!$1:$998,COLUMN($O$1),FALSE)*VLOOKUP($D108,素材!$1:$1016,COLUMN($E$1),FALSE)/(LEN(VLOOKUP($D108,素材!$1:$1016,COLUMN($F$1),FALSE))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BD108">
        <f>IF(ISNUMBER(SEARCH(SUBSTITUTE(BD$1,RIGHT(BD$1,2),""),VLOOKUP($D108,素材!$1:$1016,COLUMN($F$1),FALSE))),VLOOKUP($C108,装備品!$1:$998,COLUMN($O$1),FALSE)*VLOOKUP($D108,素材!$1:$1016,COLUMN($E$1),FALSE)/(LEN(VLOOKUP($D108,素材!$1:$1016,COLUMN($F$1),FALSE))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BE108">
        <f>IF(ISNUMBER(SEARCH(SUBSTITUTE(BE$1,RIGHT(BE$1,2),""),VLOOKUP($D108,素材!$1:$1016,COLUMN($F$1),FALSE))),VLOOKUP($C108,装備品!$1:$998,COLUMN($O$1),FALSE)*VLOOKUP($D108,素材!$1:$1016,COLUMN($E$1),FALSE)/(LEN(VLOOKUP($D108,素材!$1:$1016,COLUMN($F$1),FALSE))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CL108">
        <f t="shared" si="7"/>
        <v>0</v>
      </c>
      <c r="CM108" s="22" t="str">
        <f t="shared" si="8"/>
        <v>銃.webp</v>
      </c>
      <c r="CN108">
        <f>IFERROR(VLOOKUP($C108,装備品!$1:$998,COLUMN(V$1),FALSE)*VLOOKUP($D108,素材!$1:$1016,COLUMN(N$1),FALSE)+IF(CI108="",0,VLOOKUP($CI108,付与!$1:$1176,COLUMN($CK$1),FALSE)),"")</f>
        <v>2700</v>
      </c>
      <c r="CO108" t="str">
        <f>VLOOKUP(D108,素材!$A:$O,COLUMN(素材!O$1),FALSE)</f>
        <v>鍛えられた鉄。硬度が高く安価なためよく使用される。</v>
      </c>
      <c r="CP108" t="str">
        <f>VLOOKUP(C108,装備品!$A:$AB,COLUMN(装備品!AB$1),FALSE)</f>
        <v/>
      </c>
      <c r="CR108" t="str">
        <f t="shared" si="9"/>
        <v>e_108</v>
      </c>
      <c r="CS108">
        <f t="shared" si="10"/>
        <v>270000</v>
      </c>
    </row>
    <row r="109" spans="1:97" outlineLevel="1" x14ac:dyDescent="0.4">
      <c r="A109" t="str">
        <f t="shared" si="11"/>
        <v>鋼の拳銃</v>
      </c>
      <c r="B109" t="str">
        <f>IFERROR(VLOOKUP($D109,素材!$1:$1016,COLUMN($B$1),FALSE)&amp;"・"&amp;VLOOKUP($C109,装備品!$1:$998,COLUMN(B$1),FALSE),"")</f>
        <v>スチール・ハンドガン</v>
      </c>
      <c r="C109" t="s">
        <v>210</v>
      </c>
      <c r="D109" s="24" t="s">
        <v>252</v>
      </c>
      <c r="E109" t="str">
        <f>IFERROR(VLOOKUP(C109,装備品!$1:$998,COLUMN(C$1),FALSE),"")</f>
        <v>銃</v>
      </c>
      <c r="F109">
        <f>IFERROR(ROUNDDOWN((VLOOKUP($C109,装備品!$1:$998,COLUMN(D$1),FALSE)+IFERROR(VLOOKUP($CI109,付与!$1:$1167,COLUMN(F$1),FALSE),0))*VLOOKUP($D109,素材!$1:$1016,COLUMN(D$1),FALSE),0),"")</f>
        <v>105</v>
      </c>
      <c r="G109">
        <f>IFERROR(ROUNDDOWN((VLOOKUP($C109,装備品!$1:$998,COLUMN(E$1),FALSE)+IFERROR(VLOOKUP($CI109,付与!$1:$1167,COLUMN(G$1),FALSE),0))*VLOOKUP($D109,素材!$1:$1016,COLUMN($E$1),FALSE),0),"")</f>
        <v>0</v>
      </c>
      <c r="H109">
        <f>IFERROR(ROUNDDOWN((VLOOKUP($C109,装備品!$1:$998,COLUMN(F$1),FALSE)+IFERROR(VLOOKUP($CI109,付与!$1:$1167,COLUMN(H$1),FALSE),0))*VLOOKUP($D109,素材!$1:$1016,COLUMN($E$1),FALSE),0),"")</f>
        <v>0</v>
      </c>
      <c r="I109">
        <f>IFERROR(ROUNDDOWN((VLOOKUP($C109,装備品!$1:$998,COLUMN(G$1),FALSE)+IFERROR(VLOOKUP($CI109,付与!$1:$1167,COLUMN(I$1),FALSE),0))*VLOOKUP($D109,素材!$1:$1016,COLUMN($E$1),FALSE),0),"")</f>
        <v>0</v>
      </c>
      <c r="J109">
        <f>IFERROR(ROUNDDOWN((VLOOKUP($C109,装備品!$1:$998,COLUMN(H$1),FALSE)+IFERROR(VLOOKUP($CI109,付与!$1:$1167,COLUMN(J$1),FALSE),0))*VLOOKUP($D109,素材!$1:$1016,COLUMN($E$1),FALSE),0),"")</f>
        <v>0</v>
      </c>
      <c r="K109">
        <f>IFERROR(ROUNDDOWN((VLOOKUP($C109,装備品!$1:$998,COLUMN(I$1),FALSE)+IFERROR(VLOOKUP($CI109,付与!$1:$1167,COLUMN(K$1),FALSE),0))*VLOOKUP($D109,素材!$1:$1016,COLUMN($E$1),FALSE),0),"")</f>
        <v>48</v>
      </c>
      <c r="L109">
        <f>IFERROR(VLOOKUP($D109,素材!$1:$1016,COLUMN($F$1),FALSE),"")</f>
        <v>0</v>
      </c>
      <c r="M109">
        <f>IFERROR(VLOOKUP($C109,装備品!$1:$998,COLUMN(AA$1),FALSE)*VLOOKUP($D109,素材!$1:$1016,COLUMN($G$1),FALSE),"")</f>
        <v>0</v>
      </c>
      <c r="N109">
        <f>IFERROR(VLOOKUP($C109,装備品!$1:$998,COLUMN(I$1),FALSE),"")</f>
        <v>1.8</v>
      </c>
      <c r="O109" s="23">
        <f>IFERROR((VLOOKUP($C109,装備品!$1:$998,COLUMN(K$1),FALSE)+VLOOKUP($D109,素材!$1:$1016,COLUMN(H$1),FALSE))*100+IFERROR(VLOOKUP($CI109,付与!$1:$1167,COLUMN(O$1),FALSE),0),"")</f>
        <v>15</v>
      </c>
      <c r="P109" s="23">
        <f>IFERROR((VLOOKUP($C109,装備品!$1:$998,COLUMN(L$1),FALSE)+VLOOKUP($D109,素材!$1:$1016,COLUMN(I$1),FALSE))*100+IFERROR(VLOOKUP($CI109,付与!$1:$1167,COLUMN(P$1),FALSE),0),"")</f>
        <v>175</v>
      </c>
      <c r="Q109">
        <f>IFERROR(ROUNDUP(VLOOKUP($C109,装備品!$1:$998,COLUMN(M$1),FALSE)*(VLOOKUP($D109,素材!$1:$1002,COLUMN(D$1),FALSE)/100),1),"")</f>
        <v>0</v>
      </c>
      <c r="R109">
        <f>IFERROR(ROUNDUP(VLOOKUP($C109,装備品!$1:$998,COLUMN(N$1),FALSE)*(VLOOKUP($D109,素材!$1:$1002,COLUMN(D$1),FALSE)/100),1),"")</f>
        <v>-15.799999999999999</v>
      </c>
      <c r="S109">
        <f>IFERROR(VLOOKUP($C109,装備品!$1:$998,COLUMN(P$1),FALSE),"")</f>
        <v>0</v>
      </c>
      <c r="T109">
        <f>IFERROR(VLOOKUP($C109,装備品!$1:$998,COLUMN(Q$1),FALSE),"")</f>
        <v>0</v>
      </c>
      <c r="U109">
        <f>IFERROR(VLOOKUP($C109,装備品!$1:$998,COLUMN(R$1),FALSE),"")</f>
        <v>0</v>
      </c>
      <c r="V109">
        <f>IFERROR(VLOOKUP($C109,装備品!$1:$998,COLUMN(Q$1),FALSE),"")</f>
        <v>0</v>
      </c>
      <c r="W109">
        <f>IFERROR(VLOOKUP($C109,装備品!$1:$998,COLUMN(T$1),FALSE),"")</f>
        <v>0</v>
      </c>
      <c r="Y109">
        <f>IFERROR(VLOOKUP($C109,装備品!$1:$998,COLUMN(U$1),FALSE),"")</f>
        <v>0</v>
      </c>
      <c r="Z109">
        <f>IFERROR(ROUNDUP(VLOOKUP($C109,装備品!$1:$998,COLUMN(O$1),FALSE)*VLOOKUP($D109,素材!$1:$1016,COLUMN(E$1),FALSE),1),"")</f>
        <v>0</v>
      </c>
      <c r="AA109">
        <f>IF(ISNUMBER(SEARCH(SUBSTITUTE(AA$1,RIGHT(AA$1,2),""),VLOOKUP($D109,素材!$1:$1016,COLUMN($F$1),FALSE))),VLOOKUP($C109,装備品!$1:$998,COLUMN($O$1),FALSE)*VLOOKUP($D109,素材!$1:$1016,COLUMN($E$1),FALSE)/(LEN(VLOOKUP($D109,素材!$1:$1016,COLUMN($F$1),FALSE))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B109">
        <f>IF(ISNUMBER(SEARCH(SUBSTITUTE(AB$1,RIGHT(AB$1,2),""),VLOOKUP($D109,素材!$1:$1016,COLUMN($F$1),FALSE))),VLOOKUP($C109,装備品!$1:$998,COLUMN($O$1),FALSE)*VLOOKUP($D109,素材!$1:$1016,COLUMN($E$1),FALSE)/(LEN(VLOOKUP($D109,素材!$1:$1016,COLUMN($F$1),FALSE))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C109">
        <f>IF(ISNUMBER(SEARCH(SUBSTITUTE(AC$1,RIGHT(AC$1,2),""),VLOOKUP($D109,素材!$1:$1016,COLUMN($F$1),FALSE))),VLOOKUP($C109,装備品!$1:$998,COLUMN($O$1),FALSE)*VLOOKUP($D109,素材!$1:$1016,COLUMN($E$1),FALSE)/(LEN(VLOOKUP($D109,素材!$1:$1016,COLUMN($F$1),FALSE))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D109">
        <f>IF(ISNUMBER(SEARCH(SUBSTITUTE(AD$1,RIGHT(AD$1,2),""),VLOOKUP($D109,素材!$1:$1016,COLUMN($F$1),FALSE))),VLOOKUP($C109,装備品!$1:$998,COLUMN($O$1),FALSE)*VLOOKUP($D109,素材!$1:$1016,COLUMN($E$1),FALSE)/(LEN(VLOOKUP($D109,素材!$1:$1016,COLUMN($F$1),FALSE))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E109">
        <f>IF(ISNUMBER(SEARCH(SUBSTITUTE(AE$1,RIGHT(AE$1,2),""),VLOOKUP($D109,素材!$1:$1016,COLUMN($F$1),FALSE))),VLOOKUP($C109,装備品!$1:$998,COLUMN($O$1),FALSE)*VLOOKUP($D109,素材!$1:$1016,COLUMN($E$1),FALSE)/(LEN(VLOOKUP($D109,素材!$1:$1016,COLUMN($F$1),FALSE))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F109">
        <f>IF(ISNUMBER(SEARCH(SUBSTITUTE(AF$1,RIGHT(AF$1,2),""),VLOOKUP($D109,素材!$1:$1016,COLUMN($F$1),FALSE))),VLOOKUP($C109,装備品!$1:$998,COLUMN($O$1),FALSE)*VLOOKUP($D109,素材!$1:$1016,COLUMN($E$1),FALSE)/(LEN(VLOOKUP($D109,素材!$1:$1016,COLUMN($F$1),FALSE))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G109">
        <f>IF(ISNUMBER(SEARCH(SUBSTITUTE(AG$1,RIGHT(AG$1,2),""),VLOOKUP($D109,素材!$1:$1016,COLUMN($F$1),FALSE))),VLOOKUP($C109,装備品!$1:$998,COLUMN($O$1),FALSE)*VLOOKUP($D109,素材!$1:$1016,COLUMN($E$1),FALSE)/(LEN(VLOOKUP($D109,素材!$1:$1016,COLUMN($F$1),FALSE))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H109">
        <f>IF(ISNUMBER(SEARCH(SUBSTITUTE(AH$1,RIGHT(AH$1,2),""),VLOOKUP($D109,素材!$1:$1016,COLUMN($F$1),FALSE))),VLOOKUP($C109,装備品!$1:$998,COLUMN($O$1),FALSE)*VLOOKUP($D109,素材!$1:$1016,COLUMN($E$1),FALSE)/(LEN(VLOOKUP($D109,素材!$1:$1016,COLUMN($F$1),FALSE))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I109">
        <f>IF(ISNUMBER(SEARCH(SUBSTITUTE(AI$1,RIGHT(AI$1,2),""),VLOOKUP($D109,素材!$1:$1016,COLUMN($F$1),FALSE))),VLOOKUP($C109,装備品!$1:$998,COLUMN($O$1),FALSE)*VLOOKUP($D109,素材!$1:$1016,COLUMN($E$1),FALSE)/(LEN(VLOOKUP($D109,素材!$1:$1016,COLUMN($F$1),FALSE))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J109">
        <f>IF(ISNUMBER(SEARCH(SUBSTITUTE(AJ$1,RIGHT(AJ$1,2),""),VLOOKUP($D109,素材!$1:$1016,COLUMN($F$1),FALSE))),VLOOKUP($C109,装備品!$1:$998,COLUMN($O$1),FALSE)*VLOOKUP($D109,素材!$1:$1016,COLUMN($E$1),FALSE)/(LEN(VLOOKUP($D109,素材!$1:$1016,COLUMN($F$1),FALSE))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K109">
        <f>IF(ISNUMBER(SEARCH(SUBSTITUTE(AK$1,RIGHT(AK$1,2),""),VLOOKUP($D109,素材!$1:$1016,COLUMN($F$1),FALSE))),VLOOKUP($C109,装備品!$1:$998,COLUMN($O$1),FALSE)*VLOOKUP($D109,素材!$1:$1016,COLUMN($E$1),FALSE)/(LEN(VLOOKUP($D109,素材!$1:$1016,COLUMN($F$1),FALSE))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L109">
        <f>IF(ISNUMBER(SEARCH(SUBSTITUTE(AL$1,RIGHT(AL$1,2),""),VLOOKUP($D109,素材!$1:$1016,COLUMN($F$1),FALSE))),VLOOKUP($C109,装備品!$1:$998,COLUMN($O$1),FALSE)*VLOOKUP($D109,素材!$1:$1016,COLUMN($E$1),FALSE)/(LEN(VLOOKUP($D109,素材!$1:$1016,COLUMN($F$1),FALSE))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M109">
        <f>IF(ISNUMBER(SEARCH(SUBSTITUTE(AM$1,RIGHT(AM$1,2),""),VLOOKUP($D109,素材!$1:$1016,COLUMN($F$1),FALSE))),VLOOKUP($C109,装備品!$1:$998,COLUMN($O$1),FALSE)*VLOOKUP($D109,素材!$1:$1016,COLUMN($E$1),FALSE)/(LEN(VLOOKUP($D109,素材!$1:$1016,COLUMN($F$1),FALSE))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N109">
        <f>IF(ISNUMBER(SEARCH(SUBSTITUTE(AN$1,RIGHT(AN$1,2),""),VLOOKUP($D109,素材!$1:$1016,COLUMN($F$1),FALSE))),VLOOKUP($C109,装備品!$1:$998,COLUMN($O$1),FALSE)*VLOOKUP($D109,素材!$1:$1016,COLUMN($E$1),FALSE)/(LEN(VLOOKUP($D109,素材!$1:$1016,COLUMN($F$1),FALSE))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O109">
        <f>IF(ISNUMBER(SEARCH(SUBSTITUTE(AO$1,RIGHT(AO$1,2),""),VLOOKUP($D109,素材!$1:$1016,COLUMN($F$1),FALSE))),VLOOKUP($C109,装備品!$1:$998,COLUMN($O$1),FALSE)*VLOOKUP($D109,素材!$1:$1016,COLUMN($E$1),FALSE)/(LEN(VLOOKUP($D109,素材!$1:$1016,COLUMN($F$1),FALSE))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P109">
        <f>IF(ISNUMBER(SEARCH(SUBSTITUTE(AP$1,RIGHT(AP$1,2),""),VLOOKUP($D109,素材!$1:$1016,COLUMN($F$1),FALSE))),VLOOKUP($C109,装備品!$1:$998,COLUMN($O$1),FALSE)*VLOOKUP($D109,素材!$1:$1016,COLUMN($E$1),FALSE)/(LEN(VLOOKUP($D109,素材!$1:$1016,COLUMN($F$1),FALSE))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Q109">
        <f>IF(ISNUMBER(SEARCH(SUBSTITUTE(AQ$1,RIGHT(AQ$1,2),""),VLOOKUP($D109,素材!$1:$1016,COLUMN($F$1),FALSE))),VLOOKUP($C109,装備品!$1:$998,COLUMN($O$1),FALSE)*VLOOKUP($D109,素材!$1:$1016,COLUMN($E$1),FALSE)/(LEN(VLOOKUP($D109,素材!$1:$1016,COLUMN($F$1),FALSE))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R109">
        <f>IF(ISNUMBER(SEARCH(SUBSTITUTE(AR$1,RIGHT(AR$1,2),""),VLOOKUP($D109,素材!$1:$1016,COLUMN($F$1),FALSE))),VLOOKUP($C109,装備品!$1:$998,COLUMN($O$1),FALSE)*VLOOKUP($D109,素材!$1:$1016,COLUMN($E$1),FALSE)/(LEN(VLOOKUP($D109,素材!$1:$1016,COLUMN($F$1),FALSE))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S109">
        <f>IF(ISNUMBER(SEARCH(SUBSTITUTE(AS$1,RIGHT(AS$1,2),""),VLOOKUP($D109,素材!$1:$1016,COLUMN($F$1),FALSE))),VLOOKUP($C109,装備品!$1:$998,COLUMN($O$1),FALSE)*VLOOKUP($D109,素材!$1:$1016,COLUMN($E$1),FALSE)/(LEN(VLOOKUP($D109,素材!$1:$1016,COLUMN($F$1),FALSE))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T109">
        <f>IF(ISNUMBER(SEARCH(SUBSTITUTE(AT$1,RIGHT(AT$1,2),""),VLOOKUP($D109,素材!$1:$1016,COLUMN($F$1),FALSE))),VLOOKUP($C109,装備品!$1:$998,COLUMN($O$1),FALSE)*VLOOKUP($D109,素材!$1:$1016,COLUMN($E$1),FALSE)/(LEN(VLOOKUP($D109,素材!$1:$1016,COLUMN($F$1),FALSE))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U109">
        <f>IF(ISNUMBER(SEARCH(SUBSTITUTE(AU$1,RIGHT(AU$1,2),""),VLOOKUP($D109,素材!$1:$1016,COLUMN($F$1),FALSE))),VLOOKUP($C109,装備品!$1:$998,COLUMN($O$1),FALSE)*VLOOKUP($D109,素材!$1:$1016,COLUMN($E$1),FALSE)/(LEN(VLOOKUP($D109,素材!$1:$1016,COLUMN($F$1),FALSE))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V109">
        <f>IF(ISNUMBER(SEARCH(SUBSTITUTE(AV$1,RIGHT(AV$1,2),""),VLOOKUP($D109,素材!$1:$1016,COLUMN($F$1),FALSE))),VLOOKUP($C109,装備品!$1:$998,COLUMN($O$1),FALSE)*VLOOKUP($D109,素材!$1:$1016,COLUMN($E$1),FALSE)/(LEN(VLOOKUP($D109,素材!$1:$1016,COLUMN($F$1),FALSE))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W109">
        <f>IF(ISNUMBER(SEARCH(SUBSTITUTE(AW$1,RIGHT(AW$1,2),""),VLOOKUP($D109,素材!$1:$1016,COLUMN($F$1),FALSE))),VLOOKUP($C109,装備品!$1:$998,COLUMN($O$1),FALSE)*VLOOKUP($D109,素材!$1:$1016,COLUMN($E$1),FALSE)/(LEN(VLOOKUP($D109,素材!$1:$1016,COLUMN($F$1),FALSE))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X109">
        <f>IF(ISNUMBER(SEARCH(SUBSTITUTE(AX$1,RIGHT(AX$1,2),""),VLOOKUP($D109,素材!$1:$1016,COLUMN($F$1),FALSE))),VLOOKUP($C109,装備品!$1:$998,COLUMN($O$1),FALSE)*VLOOKUP($D109,素材!$1:$1016,COLUMN($E$1),FALSE)/(LEN(VLOOKUP($D109,素材!$1:$1016,COLUMN($F$1),FALSE))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Y109">
        <f>IF(ISNUMBER(SEARCH(SUBSTITUTE(AY$1,RIGHT(AY$1,2),""),VLOOKUP($D109,素材!$1:$1016,COLUMN($F$1),FALSE))),VLOOKUP($C109,装備品!$1:$998,COLUMN($O$1),FALSE)*VLOOKUP($D109,素材!$1:$1016,COLUMN($E$1),FALSE)/(LEN(VLOOKUP($D109,素材!$1:$1016,COLUMN($F$1),FALSE))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Z109">
        <f>IF(ISNUMBER(SEARCH(SUBSTITUTE(AZ$1,RIGHT(AZ$1,2),""),VLOOKUP($D109,素材!$1:$1016,COLUMN($F$1),FALSE))),VLOOKUP($C109,装備品!$1:$998,COLUMN($O$1),FALSE)*VLOOKUP($D109,素材!$1:$1016,COLUMN($E$1),FALSE)/(LEN(VLOOKUP($D109,素材!$1:$1016,COLUMN($F$1),FALSE))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BA109">
        <f>IF(ISNUMBER(SEARCH(SUBSTITUTE(BA$1,RIGHT(BA$1,2),""),VLOOKUP($D109,素材!$1:$1016,COLUMN($F$1),FALSE))),VLOOKUP($C109,装備品!$1:$998,COLUMN($O$1),FALSE)*VLOOKUP($D109,素材!$1:$1016,COLUMN($E$1),FALSE)/(LEN(VLOOKUP($D109,素材!$1:$1016,COLUMN($F$1),FALSE))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BB109">
        <f>IF(ISNUMBER(SEARCH(SUBSTITUTE(BB$1,RIGHT(BB$1,2),""),VLOOKUP($D109,素材!$1:$1016,COLUMN($F$1),FALSE))),VLOOKUP($C109,装備品!$1:$998,COLUMN($O$1),FALSE)*VLOOKUP($D109,素材!$1:$1016,COLUMN($E$1),FALSE)/(LEN(VLOOKUP($D109,素材!$1:$1016,COLUMN($F$1),FALSE))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BC109">
        <f>IF(ISNUMBER(SEARCH(SUBSTITUTE(BC$1,RIGHT(BC$1,2),""),VLOOKUP($D109,素材!$1:$1016,COLUMN($F$1),FALSE))),VLOOKUP($C109,装備品!$1:$998,COLUMN($O$1),FALSE)*VLOOKUP($D109,素材!$1:$1016,COLUMN($E$1),FALSE)/(LEN(VLOOKUP($D109,素材!$1:$1016,COLUMN($F$1),FALSE))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BD109">
        <f>IF(ISNUMBER(SEARCH(SUBSTITUTE(BD$1,RIGHT(BD$1,2),""),VLOOKUP($D109,素材!$1:$1016,COLUMN($F$1),FALSE))),VLOOKUP($C109,装備品!$1:$998,COLUMN($O$1),FALSE)*VLOOKUP($D109,素材!$1:$1016,COLUMN($E$1),FALSE)/(LEN(VLOOKUP($D109,素材!$1:$1016,COLUMN($F$1),FALSE))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BE109">
        <f>IF(ISNUMBER(SEARCH(SUBSTITUTE(BE$1,RIGHT(BE$1,2),""),VLOOKUP($D109,素材!$1:$1016,COLUMN($F$1),FALSE))),VLOOKUP($C109,装備品!$1:$998,COLUMN($O$1),FALSE)*VLOOKUP($D109,素材!$1:$1016,COLUMN($E$1),FALSE)/(LEN(VLOOKUP($D109,素材!$1:$1016,COLUMN($F$1),FALSE))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CL109">
        <f t="shared" si="7"/>
        <v>0</v>
      </c>
      <c r="CM109" s="22" t="str">
        <f t="shared" si="8"/>
        <v>銃.webp</v>
      </c>
      <c r="CN109">
        <f>IFERROR(VLOOKUP($C109,装備品!$1:$998,COLUMN(V$1),FALSE)*VLOOKUP($D109,素材!$1:$1016,COLUMN(N$1),FALSE)+IF(CI109="",0,VLOOKUP($CI109,付与!$1:$1176,COLUMN($CK$1),FALSE)),"")</f>
        <v>5400</v>
      </c>
      <c r="CO109" t="str">
        <f>VLOOKUP(D109,素材!$A:$O,COLUMN(素材!O$1),FALSE)</f>
        <v>鍛えられた鉄。硬度が高く安価なためよく使用される。</v>
      </c>
      <c r="CP109" t="str">
        <f>VLOOKUP(C109,装備品!$A:$AB,COLUMN(装備品!AB$1),FALSE)</f>
        <v/>
      </c>
      <c r="CR109" t="str">
        <f t="shared" si="9"/>
        <v>e_109</v>
      </c>
      <c r="CS109">
        <f t="shared" si="10"/>
        <v>540000</v>
      </c>
    </row>
    <row r="110" spans="1:97" outlineLevel="1" x14ac:dyDescent="0.4">
      <c r="A110" t="str">
        <f t="shared" si="11"/>
        <v>鋼の面兜</v>
      </c>
      <c r="B110" t="str">
        <f>IFERROR(VLOOKUP($D110,素材!$1:$1016,COLUMN($B$1),FALSE)&amp;"・"&amp;VLOOKUP($C110,装備品!$1:$998,COLUMN(B$1),FALSE),"")</f>
        <v>スチール・バイザーヘルム</v>
      </c>
      <c r="C110" t="s">
        <v>209</v>
      </c>
      <c r="D110" s="24" t="s">
        <v>252</v>
      </c>
      <c r="E110" t="str">
        <f>IFERROR(VLOOKUP(C110,装備品!$1:$998,COLUMN(C$1),FALSE),"")</f>
        <v>頭</v>
      </c>
      <c r="F110">
        <f>IFERROR(ROUNDDOWN((VLOOKUP($C110,装備品!$1:$998,COLUMN(D$1),FALSE)+IFERROR(VLOOKUP($CI110,付与!$1:$1167,COLUMN(F$1),FALSE),0))*VLOOKUP($D110,素材!$1:$1016,COLUMN(D$1),FALSE),0),"")</f>
        <v>0</v>
      </c>
      <c r="G110">
        <f>IFERROR(ROUNDDOWN((VLOOKUP($C110,装備品!$1:$998,COLUMN(E$1),FALSE)+IFERROR(VLOOKUP($CI110,付与!$1:$1167,COLUMN(G$1),FALSE),0))*VLOOKUP($D110,素材!$1:$1016,COLUMN($E$1),FALSE),0),"")</f>
        <v>0</v>
      </c>
      <c r="H110">
        <f>IFERROR(ROUNDDOWN((VLOOKUP($C110,装備品!$1:$998,COLUMN(F$1),FALSE)+IFERROR(VLOOKUP($CI110,付与!$1:$1167,COLUMN(H$1),FALSE),0))*VLOOKUP($D110,素材!$1:$1016,COLUMN($E$1),FALSE),0),"")</f>
        <v>0</v>
      </c>
      <c r="I110">
        <f>IFERROR(ROUNDDOWN((VLOOKUP($C110,装備品!$1:$998,COLUMN(G$1),FALSE)+IFERROR(VLOOKUP($CI110,付与!$1:$1167,COLUMN(I$1),FALSE),0))*VLOOKUP($D110,素材!$1:$1016,COLUMN($E$1),FALSE),0),"")</f>
        <v>22</v>
      </c>
      <c r="J110">
        <f>IFERROR(ROUNDDOWN((VLOOKUP($C110,装備品!$1:$998,COLUMN(H$1),FALSE)+IFERROR(VLOOKUP($CI110,付与!$1:$1167,COLUMN(J$1),FALSE),0))*VLOOKUP($D110,素材!$1:$1016,COLUMN($E$1),FALSE),0),"")</f>
        <v>0</v>
      </c>
      <c r="K110">
        <f>IFERROR(ROUNDDOWN((VLOOKUP($C110,装備品!$1:$998,COLUMN(I$1),FALSE)+IFERROR(VLOOKUP($CI110,付与!$1:$1167,COLUMN(K$1),FALSE),0))*VLOOKUP($D110,素材!$1:$1016,COLUMN($E$1),FALSE),0),"")</f>
        <v>0</v>
      </c>
      <c r="L110">
        <f>IFERROR(VLOOKUP($D110,素材!$1:$1016,COLUMN($F$1),FALSE),"")</f>
        <v>0</v>
      </c>
      <c r="M110">
        <f>IFERROR(VLOOKUP($C110,装備品!$1:$998,COLUMN(AA$1),FALSE)*VLOOKUP($D110,素材!$1:$1016,COLUMN($G$1),FALSE),"")</f>
        <v>0</v>
      </c>
      <c r="N110">
        <f>IFERROR(VLOOKUP($C110,装備品!$1:$998,COLUMN(I$1),FALSE),"")</f>
        <v>0</v>
      </c>
      <c r="O110" s="23">
        <f>IFERROR((VLOOKUP($C110,装備品!$1:$998,COLUMN(K$1),FALSE)+VLOOKUP($D110,素材!$1:$1016,COLUMN(H$1),FALSE))*100+IFERROR(VLOOKUP($CI110,付与!$1:$1167,COLUMN(O$1),FALSE),0),"")</f>
        <v>5</v>
      </c>
      <c r="P110" s="23">
        <f>IFERROR((VLOOKUP($C110,装備品!$1:$998,COLUMN(L$1),FALSE)+VLOOKUP($D110,素材!$1:$1016,COLUMN(I$1),FALSE))*100+IFERROR(VLOOKUP($CI110,付与!$1:$1167,COLUMN(P$1),FALSE),0),"")</f>
        <v>125</v>
      </c>
      <c r="Q110">
        <f>IFERROR(ROUNDUP(VLOOKUP($C110,装備品!$1:$998,COLUMN(M$1),FALSE)*(VLOOKUP($D110,素材!$1:$1002,COLUMN(D$1),FALSE)/100),1),"")</f>
        <v>-7.8999999999999995</v>
      </c>
      <c r="R110">
        <f>IFERROR(ROUNDUP(VLOOKUP($C110,装備品!$1:$998,COLUMN(N$1),FALSE)*(VLOOKUP($D110,素材!$1:$1002,COLUMN(D$1),FALSE)/100),1),"")</f>
        <v>0</v>
      </c>
      <c r="S110">
        <f>IFERROR(VLOOKUP($C110,装備品!$1:$998,COLUMN(P$1),FALSE),"")</f>
        <v>0</v>
      </c>
      <c r="T110">
        <f>IFERROR(VLOOKUP($C110,装備品!$1:$998,COLUMN(Q$1),FALSE),"")</f>
        <v>0</v>
      </c>
      <c r="U110">
        <f>IFERROR(VLOOKUP($C110,装備品!$1:$998,COLUMN(R$1),FALSE),"")</f>
        <v>0</v>
      </c>
      <c r="V110">
        <f>IFERROR(VLOOKUP($C110,装備品!$1:$998,COLUMN(Q$1),FALSE),"")</f>
        <v>0</v>
      </c>
      <c r="W110">
        <f>IFERROR(VLOOKUP($C110,装備品!$1:$998,COLUMN(T$1),FALSE),"")</f>
        <v>0.35</v>
      </c>
      <c r="Y110">
        <f>IFERROR(VLOOKUP($C110,装備品!$1:$998,COLUMN(U$1),FALSE),"")</f>
        <v>0</v>
      </c>
      <c r="Z110">
        <f>IFERROR(ROUNDUP(VLOOKUP($C110,装備品!$1:$998,COLUMN(O$1),FALSE)*VLOOKUP($D110,素材!$1:$1016,COLUMN(E$1),FALSE),1),"")</f>
        <v>-810</v>
      </c>
      <c r="AA110">
        <f>IF(ISNUMBER(SEARCH(SUBSTITUTE(AA$1,RIGHT(AA$1,2),""),VLOOKUP($D110,素材!$1:$1016,COLUMN($F$1),FALSE))),VLOOKUP($C110,装備品!$1:$998,COLUMN($O$1),FALSE)*VLOOKUP($D110,素材!$1:$1016,COLUMN($E$1),FALSE)/(LEN(VLOOKUP($D110,素材!$1:$1016,COLUMN($F$1),FALSE))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B110">
        <f>IF(ISNUMBER(SEARCH(SUBSTITUTE(AB$1,RIGHT(AB$1,2),""),VLOOKUP($D110,素材!$1:$1016,COLUMN($F$1),FALSE))),VLOOKUP($C110,装備品!$1:$998,COLUMN($O$1),FALSE)*VLOOKUP($D110,素材!$1:$1016,COLUMN($E$1),FALSE)/(LEN(VLOOKUP($D110,素材!$1:$1016,COLUMN($F$1),FALSE))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C110">
        <f>IF(ISNUMBER(SEARCH(SUBSTITUTE(AC$1,RIGHT(AC$1,2),""),VLOOKUP($D110,素材!$1:$1016,COLUMN($F$1),FALSE))),VLOOKUP($C110,装備品!$1:$998,COLUMN($O$1),FALSE)*VLOOKUP($D110,素材!$1:$1016,COLUMN($E$1),FALSE)/(LEN(VLOOKUP($D110,素材!$1:$1016,COLUMN($F$1),FALSE))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D110">
        <f>IF(ISNUMBER(SEARCH(SUBSTITUTE(AD$1,RIGHT(AD$1,2),""),VLOOKUP($D110,素材!$1:$1016,COLUMN($F$1),FALSE))),VLOOKUP($C110,装備品!$1:$998,COLUMN($O$1),FALSE)*VLOOKUP($D110,素材!$1:$1016,COLUMN($E$1),FALSE)/(LEN(VLOOKUP($D110,素材!$1:$1016,COLUMN($F$1),FALSE))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E110">
        <f>IF(ISNUMBER(SEARCH(SUBSTITUTE(AE$1,RIGHT(AE$1,2),""),VLOOKUP($D110,素材!$1:$1016,COLUMN($F$1),FALSE))),VLOOKUP($C110,装備品!$1:$998,COLUMN($O$1),FALSE)*VLOOKUP($D110,素材!$1:$1016,COLUMN($E$1),FALSE)/(LEN(VLOOKUP($D110,素材!$1:$1016,COLUMN($F$1),FALSE))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F110">
        <f>IF(ISNUMBER(SEARCH(SUBSTITUTE(AF$1,RIGHT(AF$1,2),""),VLOOKUP($D110,素材!$1:$1016,COLUMN($F$1),FALSE))),VLOOKUP($C110,装備品!$1:$998,COLUMN($O$1),FALSE)*VLOOKUP($D110,素材!$1:$1016,COLUMN($E$1),FALSE)/(LEN(VLOOKUP($D110,素材!$1:$1016,COLUMN($F$1),FALSE))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G110">
        <f>IF(ISNUMBER(SEARCH(SUBSTITUTE(AG$1,RIGHT(AG$1,2),""),VLOOKUP($D110,素材!$1:$1016,COLUMN($F$1),FALSE))),VLOOKUP($C110,装備品!$1:$998,COLUMN($O$1),FALSE)*VLOOKUP($D110,素材!$1:$1016,COLUMN($E$1),FALSE)/(LEN(VLOOKUP($D110,素材!$1:$1016,COLUMN($F$1),FALSE))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H110">
        <f>IF(ISNUMBER(SEARCH(SUBSTITUTE(AH$1,RIGHT(AH$1,2),""),VLOOKUP($D110,素材!$1:$1016,COLUMN($F$1),FALSE))),VLOOKUP($C110,装備品!$1:$998,COLUMN($O$1),FALSE)*VLOOKUP($D110,素材!$1:$1016,COLUMN($E$1),FALSE)/(LEN(VLOOKUP($D110,素材!$1:$1016,COLUMN($F$1),FALSE))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I110">
        <f>IF(ISNUMBER(SEARCH(SUBSTITUTE(AI$1,RIGHT(AI$1,2),""),VLOOKUP($D110,素材!$1:$1016,COLUMN($F$1),FALSE))),VLOOKUP($C110,装備品!$1:$998,COLUMN($O$1),FALSE)*VLOOKUP($D110,素材!$1:$1016,COLUMN($E$1),FALSE)/(LEN(VLOOKUP($D110,素材!$1:$1016,COLUMN($F$1),FALSE))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J110">
        <f>IF(ISNUMBER(SEARCH(SUBSTITUTE(AJ$1,RIGHT(AJ$1,2),""),VLOOKUP($D110,素材!$1:$1016,COLUMN($F$1),FALSE))),VLOOKUP($C110,装備品!$1:$998,COLUMN($O$1),FALSE)*VLOOKUP($D110,素材!$1:$1016,COLUMN($E$1),FALSE)/(LEN(VLOOKUP($D110,素材!$1:$1016,COLUMN($F$1),FALSE))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K110">
        <f>IF(ISNUMBER(SEARCH(SUBSTITUTE(AK$1,RIGHT(AK$1,2),""),VLOOKUP($D110,素材!$1:$1016,COLUMN($F$1),FALSE))),VLOOKUP($C110,装備品!$1:$998,COLUMN($O$1),FALSE)*VLOOKUP($D110,素材!$1:$1016,COLUMN($E$1),FALSE)/(LEN(VLOOKUP($D110,素材!$1:$1016,COLUMN($F$1),FALSE))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L110">
        <f>IF(ISNUMBER(SEARCH(SUBSTITUTE(AL$1,RIGHT(AL$1,2),""),VLOOKUP($D110,素材!$1:$1016,COLUMN($F$1),FALSE))),VLOOKUP($C110,装備品!$1:$998,COLUMN($O$1),FALSE)*VLOOKUP($D110,素材!$1:$1016,COLUMN($E$1),FALSE)/(LEN(VLOOKUP($D110,素材!$1:$1016,COLUMN($F$1),FALSE))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M110">
        <f>IF(ISNUMBER(SEARCH(SUBSTITUTE(AM$1,RIGHT(AM$1,2),""),VLOOKUP($D110,素材!$1:$1016,COLUMN($F$1),FALSE))),VLOOKUP($C110,装備品!$1:$998,COLUMN($O$1),FALSE)*VLOOKUP($D110,素材!$1:$1016,COLUMN($E$1),FALSE)/(LEN(VLOOKUP($D110,素材!$1:$1016,COLUMN($F$1),FALSE))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N110">
        <f>IF(ISNUMBER(SEARCH(SUBSTITUTE(AN$1,RIGHT(AN$1,2),""),VLOOKUP($D110,素材!$1:$1016,COLUMN($F$1),FALSE))),VLOOKUP($C110,装備品!$1:$998,COLUMN($O$1),FALSE)*VLOOKUP($D110,素材!$1:$1016,COLUMN($E$1),FALSE)/(LEN(VLOOKUP($D110,素材!$1:$1016,COLUMN($F$1),FALSE))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O110">
        <f>IF(ISNUMBER(SEARCH(SUBSTITUTE(AO$1,RIGHT(AO$1,2),""),VLOOKUP($D110,素材!$1:$1016,COLUMN($F$1),FALSE))),VLOOKUP($C110,装備品!$1:$998,COLUMN($O$1),FALSE)*VLOOKUP($D110,素材!$1:$1016,COLUMN($E$1),FALSE)/(LEN(VLOOKUP($D110,素材!$1:$1016,COLUMN($F$1),FALSE))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P110">
        <f>IF(ISNUMBER(SEARCH(SUBSTITUTE(AP$1,RIGHT(AP$1,2),""),VLOOKUP($D110,素材!$1:$1016,COLUMN($F$1),FALSE))),VLOOKUP($C110,装備品!$1:$998,COLUMN($O$1),FALSE)*VLOOKUP($D110,素材!$1:$1016,COLUMN($E$1),FALSE)/(LEN(VLOOKUP($D110,素材!$1:$1016,COLUMN($F$1),FALSE))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Q110">
        <f>IF(ISNUMBER(SEARCH(SUBSTITUTE(AQ$1,RIGHT(AQ$1,2),""),VLOOKUP($D110,素材!$1:$1016,COLUMN($F$1),FALSE))),VLOOKUP($C110,装備品!$1:$998,COLUMN($O$1),FALSE)*VLOOKUP($D110,素材!$1:$1016,COLUMN($E$1),FALSE)/(LEN(VLOOKUP($D110,素材!$1:$1016,COLUMN($F$1),FALSE))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R110">
        <f>IF(ISNUMBER(SEARCH(SUBSTITUTE(AR$1,RIGHT(AR$1,2),""),VLOOKUP($D110,素材!$1:$1016,COLUMN($F$1),FALSE))),VLOOKUP($C110,装備品!$1:$998,COLUMN($O$1),FALSE)*VLOOKUP($D110,素材!$1:$1016,COLUMN($E$1),FALSE)/(LEN(VLOOKUP($D110,素材!$1:$1016,COLUMN($F$1),FALSE))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S110">
        <f>IF(ISNUMBER(SEARCH(SUBSTITUTE(AS$1,RIGHT(AS$1,2),""),VLOOKUP($D110,素材!$1:$1016,COLUMN($F$1),FALSE))),VLOOKUP($C110,装備品!$1:$998,COLUMN($O$1),FALSE)*VLOOKUP($D110,素材!$1:$1016,COLUMN($E$1),FALSE)/(LEN(VLOOKUP($D110,素材!$1:$1016,COLUMN($F$1),FALSE))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T110">
        <f>IF(ISNUMBER(SEARCH(SUBSTITUTE(AT$1,RIGHT(AT$1,2),""),VLOOKUP($D110,素材!$1:$1016,COLUMN($F$1),FALSE))),VLOOKUP($C110,装備品!$1:$998,COLUMN($O$1),FALSE)*VLOOKUP($D110,素材!$1:$1016,COLUMN($E$1),FALSE)/(LEN(VLOOKUP($D110,素材!$1:$1016,COLUMN($F$1),FALSE))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U110">
        <f>IF(ISNUMBER(SEARCH(SUBSTITUTE(AU$1,RIGHT(AU$1,2),""),VLOOKUP($D110,素材!$1:$1016,COLUMN($F$1),FALSE))),VLOOKUP($C110,装備品!$1:$998,COLUMN($O$1),FALSE)*VLOOKUP($D110,素材!$1:$1016,COLUMN($E$1),FALSE)/(LEN(VLOOKUP($D110,素材!$1:$1016,COLUMN($F$1),FALSE))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V110">
        <f>IF(ISNUMBER(SEARCH(SUBSTITUTE(AV$1,RIGHT(AV$1,2),""),VLOOKUP($D110,素材!$1:$1016,COLUMN($F$1),FALSE))),VLOOKUP($C110,装備品!$1:$998,COLUMN($O$1),FALSE)*VLOOKUP($D110,素材!$1:$1016,COLUMN($E$1),FALSE)/(LEN(VLOOKUP($D110,素材!$1:$1016,COLUMN($F$1),FALSE))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W110">
        <f>IF(ISNUMBER(SEARCH(SUBSTITUTE(AW$1,RIGHT(AW$1,2),""),VLOOKUP($D110,素材!$1:$1016,COLUMN($F$1),FALSE))),VLOOKUP($C110,装備品!$1:$998,COLUMN($O$1),FALSE)*VLOOKUP($D110,素材!$1:$1016,COLUMN($E$1),FALSE)/(LEN(VLOOKUP($D110,素材!$1:$1016,COLUMN($F$1),FALSE))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X110">
        <f>IF(ISNUMBER(SEARCH(SUBSTITUTE(AX$1,RIGHT(AX$1,2),""),VLOOKUP($D110,素材!$1:$1016,COLUMN($F$1),FALSE))),VLOOKUP($C110,装備品!$1:$998,COLUMN($O$1),FALSE)*VLOOKUP($D110,素材!$1:$1016,COLUMN($E$1),FALSE)/(LEN(VLOOKUP($D110,素材!$1:$1016,COLUMN($F$1),FALSE))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Y110">
        <f>IF(ISNUMBER(SEARCH(SUBSTITUTE(AY$1,RIGHT(AY$1,2),""),VLOOKUP($D110,素材!$1:$1016,COLUMN($F$1),FALSE))),VLOOKUP($C110,装備品!$1:$998,COLUMN($O$1),FALSE)*VLOOKUP($D110,素材!$1:$1016,COLUMN($E$1),FALSE)/(LEN(VLOOKUP($D110,素材!$1:$1016,COLUMN($F$1),FALSE))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Z110">
        <f>IF(ISNUMBER(SEARCH(SUBSTITUTE(AZ$1,RIGHT(AZ$1,2),""),VLOOKUP($D110,素材!$1:$1016,COLUMN($F$1),FALSE))),VLOOKUP($C110,装備品!$1:$998,COLUMN($O$1),FALSE)*VLOOKUP($D110,素材!$1:$1016,COLUMN($E$1),FALSE)/(LEN(VLOOKUP($D110,素材!$1:$1016,COLUMN($F$1),FALSE))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BA110">
        <f>IF(ISNUMBER(SEARCH(SUBSTITUTE(BA$1,RIGHT(BA$1,2),""),VLOOKUP($D110,素材!$1:$1016,COLUMN($F$1),FALSE))),VLOOKUP($C110,装備品!$1:$998,COLUMN($O$1),FALSE)*VLOOKUP($D110,素材!$1:$1016,COLUMN($E$1),FALSE)/(LEN(VLOOKUP($D110,素材!$1:$1016,COLUMN($F$1),FALSE))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BB110">
        <f>IF(ISNUMBER(SEARCH(SUBSTITUTE(BB$1,RIGHT(BB$1,2),""),VLOOKUP($D110,素材!$1:$1016,COLUMN($F$1),FALSE))),VLOOKUP($C110,装備品!$1:$998,COLUMN($O$1),FALSE)*VLOOKUP($D110,素材!$1:$1016,COLUMN($E$1),FALSE)/(LEN(VLOOKUP($D110,素材!$1:$1016,COLUMN($F$1),FALSE))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BC110">
        <f>IF(ISNUMBER(SEARCH(SUBSTITUTE(BC$1,RIGHT(BC$1,2),""),VLOOKUP($D110,素材!$1:$1016,COLUMN($F$1),FALSE))),VLOOKUP($C110,装備品!$1:$998,COLUMN($O$1),FALSE)*VLOOKUP($D110,素材!$1:$1016,COLUMN($E$1),FALSE)/(LEN(VLOOKUP($D110,素材!$1:$1016,COLUMN($F$1),FALSE))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BD110">
        <f>IF(ISNUMBER(SEARCH(SUBSTITUTE(BD$1,RIGHT(BD$1,2),""),VLOOKUP($D110,素材!$1:$1016,COLUMN($F$1),FALSE))),VLOOKUP($C110,装備品!$1:$998,COLUMN($O$1),FALSE)*VLOOKUP($D110,素材!$1:$1016,COLUMN($E$1),FALSE)/(LEN(VLOOKUP($D110,素材!$1:$1016,COLUMN($F$1),FALSE))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BE110">
        <f>IF(ISNUMBER(SEARCH(SUBSTITUTE(BE$1,RIGHT(BE$1,2),""),VLOOKUP($D110,素材!$1:$1016,COLUMN($F$1),FALSE))),VLOOKUP($C110,装備品!$1:$998,COLUMN($O$1),FALSE)*VLOOKUP($D110,素材!$1:$1016,COLUMN($E$1),FALSE)/(LEN(VLOOKUP($D110,素材!$1:$1016,COLUMN($F$1),FALSE))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CL110">
        <f t="shared" si="7"/>
        <v>22</v>
      </c>
      <c r="CM110" s="22" t="str">
        <f t="shared" si="8"/>
        <v>頭.webp</v>
      </c>
      <c r="CN110">
        <f>IFERROR(VLOOKUP($C110,装備品!$1:$998,COLUMN(V$1),FALSE)*VLOOKUP($D110,素材!$1:$1016,COLUMN(N$1),FALSE)+IF(CI110="",0,VLOOKUP($CI110,付与!$1:$1176,COLUMN($CK$1),FALSE)),"")</f>
        <v>0</v>
      </c>
      <c r="CO110" t="str">
        <f>VLOOKUP(D110,素材!$A:$O,COLUMN(素材!O$1),FALSE)</f>
        <v>鍛えられた鉄。硬度が高く安価なためよく使用される。</v>
      </c>
      <c r="CP110" t="str">
        <f>VLOOKUP(C110,装備品!$A:$AB,COLUMN(装備品!AB$1),FALSE)</f>
        <v>命中 魔防 Cr</v>
      </c>
      <c r="CR110" t="str">
        <f t="shared" si="9"/>
        <v>e_110</v>
      </c>
      <c r="CS110">
        <f t="shared" si="10"/>
        <v>0</v>
      </c>
    </row>
    <row r="111" spans="1:97" outlineLevel="1" x14ac:dyDescent="0.4">
      <c r="A111" t="str">
        <f t="shared" si="11"/>
        <v>鋼の兜</v>
      </c>
      <c r="B111" t="str">
        <f>IFERROR(VLOOKUP($D111,素材!$1:$1016,COLUMN($B$1),FALSE)&amp;"・"&amp;VLOOKUP($C111,装備品!$1:$998,COLUMN(B$1),FALSE),"")</f>
        <v>スチール・ヘルム</v>
      </c>
      <c r="C111" t="s">
        <v>208</v>
      </c>
      <c r="D111" s="24" t="s">
        <v>252</v>
      </c>
      <c r="E111" t="str">
        <f>IFERROR(VLOOKUP(C111,装備品!$1:$998,COLUMN(C$1),FALSE),"")</f>
        <v>頭</v>
      </c>
      <c r="F111">
        <f>IFERROR(ROUNDDOWN((VLOOKUP($C111,装備品!$1:$998,COLUMN(D$1),FALSE)+IFERROR(VLOOKUP($CI111,付与!$1:$1167,COLUMN(F$1),FALSE),0))*VLOOKUP($D111,素材!$1:$1016,COLUMN(D$1),FALSE),0),"")</f>
        <v>0</v>
      </c>
      <c r="G111">
        <f>IFERROR(ROUNDDOWN((VLOOKUP($C111,装備品!$1:$998,COLUMN(E$1),FALSE)+IFERROR(VLOOKUP($CI111,付与!$1:$1167,COLUMN(G$1),FALSE),0))*VLOOKUP($D111,素材!$1:$1016,COLUMN($E$1),FALSE),0),"")</f>
        <v>0</v>
      </c>
      <c r="H111">
        <f>IFERROR(ROUNDDOWN((VLOOKUP($C111,装備品!$1:$998,COLUMN(F$1),FALSE)+IFERROR(VLOOKUP($CI111,付与!$1:$1167,COLUMN(H$1),FALSE),0))*VLOOKUP($D111,素材!$1:$1016,COLUMN($E$1),FALSE),0),"")</f>
        <v>0</v>
      </c>
      <c r="I111">
        <f>IFERROR(ROUNDDOWN((VLOOKUP($C111,装備品!$1:$998,COLUMN(G$1),FALSE)+IFERROR(VLOOKUP($CI111,付与!$1:$1167,COLUMN(I$1),FALSE),0))*VLOOKUP($D111,素材!$1:$1016,COLUMN($E$1),FALSE),0),"")</f>
        <v>22</v>
      </c>
      <c r="J111">
        <f>IFERROR(ROUNDDOWN((VLOOKUP($C111,装備品!$1:$998,COLUMN(H$1),FALSE)+IFERROR(VLOOKUP($CI111,付与!$1:$1167,COLUMN(J$1),FALSE),0))*VLOOKUP($D111,素材!$1:$1016,COLUMN($E$1),FALSE),0),"")</f>
        <v>0</v>
      </c>
      <c r="K111">
        <f>IFERROR(ROUNDDOWN((VLOOKUP($C111,装備品!$1:$998,COLUMN(I$1),FALSE)+IFERROR(VLOOKUP($CI111,付与!$1:$1167,COLUMN(K$1),FALSE),0))*VLOOKUP($D111,素材!$1:$1016,COLUMN($E$1),FALSE),0),"")</f>
        <v>0</v>
      </c>
      <c r="L111">
        <f>IFERROR(VLOOKUP($D111,素材!$1:$1016,COLUMN($F$1),FALSE),"")</f>
        <v>0</v>
      </c>
      <c r="M111">
        <f>IFERROR(VLOOKUP($C111,装備品!$1:$998,COLUMN(AA$1),FALSE)*VLOOKUP($D111,素材!$1:$1016,COLUMN($G$1),FALSE),"")</f>
        <v>0</v>
      </c>
      <c r="N111">
        <f>IFERROR(VLOOKUP($C111,装備品!$1:$998,COLUMN(I$1),FALSE),"")</f>
        <v>0</v>
      </c>
      <c r="O111" s="23">
        <f>IFERROR((VLOOKUP($C111,装備品!$1:$998,COLUMN(K$1),FALSE)+VLOOKUP($D111,素材!$1:$1016,COLUMN(H$1),FALSE))*100+IFERROR(VLOOKUP($CI111,付与!$1:$1167,COLUMN(O$1),FALSE),0),"")</f>
        <v>5</v>
      </c>
      <c r="P111" s="23">
        <f>IFERROR((VLOOKUP($C111,装備品!$1:$998,COLUMN(L$1),FALSE)+VLOOKUP($D111,素材!$1:$1016,COLUMN(I$1),FALSE))*100+IFERROR(VLOOKUP($CI111,付与!$1:$1167,COLUMN(P$1),FALSE),0),"")</f>
        <v>125</v>
      </c>
      <c r="Q111">
        <f>IFERROR(ROUNDUP(VLOOKUP($C111,装備品!$1:$998,COLUMN(M$1),FALSE)*(VLOOKUP($D111,素材!$1:$1002,COLUMN(D$1),FALSE)/100),1),"")</f>
        <v>-5.3</v>
      </c>
      <c r="R111">
        <f>IFERROR(ROUNDUP(VLOOKUP($C111,装備品!$1:$998,COLUMN(N$1),FALSE)*(VLOOKUP($D111,素材!$1:$1002,COLUMN(D$1),FALSE)/100),1),"")</f>
        <v>0</v>
      </c>
      <c r="S111">
        <f>IFERROR(VLOOKUP($C111,装備品!$1:$998,COLUMN(P$1),FALSE),"")</f>
        <v>0</v>
      </c>
      <c r="T111">
        <f>IFERROR(VLOOKUP($C111,装備品!$1:$998,COLUMN(Q$1),FALSE),"")</f>
        <v>0</v>
      </c>
      <c r="U111">
        <f>IFERROR(VLOOKUP($C111,装備品!$1:$998,COLUMN(R$1),FALSE),"")</f>
        <v>0</v>
      </c>
      <c r="V111">
        <f>IFERROR(VLOOKUP($C111,装備品!$1:$998,COLUMN(Q$1),FALSE),"")</f>
        <v>0</v>
      </c>
      <c r="W111">
        <f>IFERROR(VLOOKUP($C111,装備品!$1:$998,COLUMN(T$1),FALSE),"")</f>
        <v>0.25</v>
      </c>
      <c r="Y111">
        <f>IFERROR(VLOOKUP($C111,装備品!$1:$998,COLUMN(U$1),FALSE),"")</f>
        <v>0</v>
      </c>
      <c r="Z111">
        <f>IFERROR(ROUNDUP(VLOOKUP($C111,装備品!$1:$998,COLUMN(O$1),FALSE)*VLOOKUP($D111,素材!$1:$1016,COLUMN(E$1),FALSE),1),"")</f>
        <v>-405</v>
      </c>
      <c r="AA111">
        <f>IF(ISNUMBER(SEARCH(SUBSTITUTE(AA$1,RIGHT(AA$1,2),""),VLOOKUP($D111,素材!$1:$1016,COLUMN($F$1),FALSE))),VLOOKUP($C111,装備品!$1:$998,COLUMN($O$1),FALSE)*VLOOKUP($D111,素材!$1:$1016,COLUMN($E$1),FALSE)/(LEN(VLOOKUP($D111,素材!$1:$1016,COLUMN($F$1),FALSE))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B111">
        <f>IF(ISNUMBER(SEARCH(SUBSTITUTE(AB$1,RIGHT(AB$1,2),""),VLOOKUP($D111,素材!$1:$1016,COLUMN($F$1),FALSE))),VLOOKUP($C111,装備品!$1:$998,COLUMN($O$1),FALSE)*VLOOKUP($D111,素材!$1:$1016,COLUMN($E$1),FALSE)/(LEN(VLOOKUP($D111,素材!$1:$1016,COLUMN($F$1),FALSE))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C111">
        <f>IF(ISNUMBER(SEARCH(SUBSTITUTE(AC$1,RIGHT(AC$1,2),""),VLOOKUP($D111,素材!$1:$1016,COLUMN($F$1),FALSE))),VLOOKUP($C111,装備品!$1:$998,COLUMN($O$1),FALSE)*VLOOKUP($D111,素材!$1:$1016,COLUMN($E$1),FALSE)/(LEN(VLOOKUP($D111,素材!$1:$1016,COLUMN($F$1),FALSE))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D111">
        <f>IF(ISNUMBER(SEARCH(SUBSTITUTE(AD$1,RIGHT(AD$1,2),""),VLOOKUP($D111,素材!$1:$1016,COLUMN($F$1),FALSE))),VLOOKUP($C111,装備品!$1:$998,COLUMN($O$1),FALSE)*VLOOKUP($D111,素材!$1:$1016,COLUMN($E$1),FALSE)/(LEN(VLOOKUP($D111,素材!$1:$1016,COLUMN($F$1),FALSE))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E111">
        <f>IF(ISNUMBER(SEARCH(SUBSTITUTE(AE$1,RIGHT(AE$1,2),""),VLOOKUP($D111,素材!$1:$1016,COLUMN($F$1),FALSE))),VLOOKUP($C111,装備品!$1:$998,COLUMN($O$1),FALSE)*VLOOKUP($D111,素材!$1:$1016,COLUMN($E$1),FALSE)/(LEN(VLOOKUP($D111,素材!$1:$1016,COLUMN($F$1),FALSE))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F111">
        <f>IF(ISNUMBER(SEARCH(SUBSTITUTE(AF$1,RIGHT(AF$1,2),""),VLOOKUP($D111,素材!$1:$1016,COLUMN($F$1),FALSE))),VLOOKUP($C111,装備品!$1:$998,COLUMN($O$1),FALSE)*VLOOKUP($D111,素材!$1:$1016,COLUMN($E$1),FALSE)/(LEN(VLOOKUP($D111,素材!$1:$1016,COLUMN($F$1),FALSE))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G111">
        <f>IF(ISNUMBER(SEARCH(SUBSTITUTE(AG$1,RIGHT(AG$1,2),""),VLOOKUP($D111,素材!$1:$1016,COLUMN($F$1),FALSE))),VLOOKUP($C111,装備品!$1:$998,COLUMN($O$1),FALSE)*VLOOKUP($D111,素材!$1:$1016,COLUMN($E$1),FALSE)/(LEN(VLOOKUP($D111,素材!$1:$1016,COLUMN($F$1),FALSE))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H111">
        <f>IF(ISNUMBER(SEARCH(SUBSTITUTE(AH$1,RIGHT(AH$1,2),""),VLOOKUP($D111,素材!$1:$1016,COLUMN($F$1),FALSE))),VLOOKUP($C111,装備品!$1:$998,COLUMN($O$1),FALSE)*VLOOKUP($D111,素材!$1:$1016,COLUMN($E$1),FALSE)/(LEN(VLOOKUP($D111,素材!$1:$1016,COLUMN($F$1),FALSE))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I111">
        <f>IF(ISNUMBER(SEARCH(SUBSTITUTE(AI$1,RIGHT(AI$1,2),""),VLOOKUP($D111,素材!$1:$1016,COLUMN($F$1),FALSE))),VLOOKUP($C111,装備品!$1:$998,COLUMN($O$1),FALSE)*VLOOKUP($D111,素材!$1:$1016,COLUMN($E$1),FALSE)/(LEN(VLOOKUP($D111,素材!$1:$1016,COLUMN($F$1),FALSE))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J111">
        <f>IF(ISNUMBER(SEARCH(SUBSTITUTE(AJ$1,RIGHT(AJ$1,2),""),VLOOKUP($D111,素材!$1:$1016,COLUMN($F$1),FALSE))),VLOOKUP($C111,装備品!$1:$998,COLUMN($O$1),FALSE)*VLOOKUP($D111,素材!$1:$1016,COLUMN($E$1),FALSE)/(LEN(VLOOKUP($D111,素材!$1:$1016,COLUMN($F$1),FALSE))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K111">
        <f>IF(ISNUMBER(SEARCH(SUBSTITUTE(AK$1,RIGHT(AK$1,2),""),VLOOKUP($D111,素材!$1:$1016,COLUMN($F$1),FALSE))),VLOOKUP($C111,装備品!$1:$998,COLUMN($O$1),FALSE)*VLOOKUP($D111,素材!$1:$1016,COLUMN($E$1),FALSE)/(LEN(VLOOKUP($D111,素材!$1:$1016,COLUMN($F$1),FALSE))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L111">
        <f>IF(ISNUMBER(SEARCH(SUBSTITUTE(AL$1,RIGHT(AL$1,2),""),VLOOKUP($D111,素材!$1:$1016,COLUMN($F$1),FALSE))),VLOOKUP($C111,装備品!$1:$998,COLUMN($O$1),FALSE)*VLOOKUP($D111,素材!$1:$1016,COLUMN($E$1),FALSE)/(LEN(VLOOKUP($D111,素材!$1:$1016,COLUMN($F$1),FALSE))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M111">
        <f>IF(ISNUMBER(SEARCH(SUBSTITUTE(AM$1,RIGHT(AM$1,2),""),VLOOKUP($D111,素材!$1:$1016,COLUMN($F$1),FALSE))),VLOOKUP($C111,装備品!$1:$998,COLUMN($O$1),FALSE)*VLOOKUP($D111,素材!$1:$1016,COLUMN($E$1),FALSE)/(LEN(VLOOKUP($D111,素材!$1:$1016,COLUMN($F$1),FALSE))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N111">
        <f>IF(ISNUMBER(SEARCH(SUBSTITUTE(AN$1,RIGHT(AN$1,2),""),VLOOKUP($D111,素材!$1:$1016,COLUMN($F$1),FALSE))),VLOOKUP($C111,装備品!$1:$998,COLUMN($O$1),FALSE)*VLOOKUP($D111,素材!$1:$1016,COLUMN($E$1),FALSE)/(LEN(VLOOKUP($D111,素材!$1:$1016,COLUMN($F$1),FALSE))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O111">
        <f>IF(ISNUMBER(SEARCH(SUBSTITUTE(AO$1,RIGHT(AO$1,2),""),VLOOKUP($D111,素材!$1:$1016,COLUMN($F$1),FALSE))),VLOOKUP($C111,装備品!$1:$998,COLUMN($O$1),FALSE)*VLOOKUP($D111,素材!$1:$1016,COLUMN($E$1),FALSE)/(LEN(VLOOKUP($D111,素材!$1:$1016,COLUMN($F$1),FALSE))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P111">
        <f>IF(ISNUMBER(SEARCH(SUBSTITUTE(AP$1,RIGHT(AP$1,2),""),VLOOKUP($D111,素材!$1:$1016,COLUMN($F$1),FALSE))),VLOOKUP($C111,装備品!$1:$998,COLUMN($O$1),FALSE)*VLOOKUP($D111,素材!$1:$1016,COLUMN($E$1),FALSE)/(LEN(VLOOKUP($D111,素材!$1:$1016,COLUMN($F$1),FALSE))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Q111">
        <f>IF(ISNUMBER(SEARCH(SUBSTITUTE(AQ$1,RIGHT(AQ$1,2),""),VLOOKUP($D111,素材!$1:$1016,COLUMN($F$1),FALSE))),VLOOKUP($C111,装備品!$1:$998,COLUMN($O$1),FALSE)*VLOOKUP($D111,素材!$1:$1016,COLUMN($E$1),FALSE)/(LEN(VLOOKUP($D111,素材!$1:$1016,COLUMN($F$1),FALSE))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R111">
        <f>IF(ISNUMBER(SEARCH(SUBSTITUTE(AR$1,RIGHT(AR$1,2),""),VLOOKUP($D111,素材!$1:$1016,COLUMN($F$1),FALSE))),VLOOKUP($C111,装備品!$1:$998,COLUMN($O$1),FALSE)*VLOOKUP($D111,素材!$1:$1016,COLUMN($E$1),FALSE)/(LEN(VLOOKUP($D111,素材!$1:$1016,COLUMN($F$1),FALSE))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S111">
        <f>IF(ISNUMBER(SEARCH(SUBSTITUTE(AS$1,RIGHT(AS$1,2),""),VLOOKUP($D111,素材!$1:$1016,COLUMN($F$1),FALSE))),VLOOKUP($C111,装備品!$1:$998,COLUMN($O$1),FALSE)*VLOOKUP($D111,素材!$1:$1016,COLUMN($E$1),FALSE)/(LEN(VLOOKUP($D111,素材!$1:$1016,COLUMN($F$1),FALSE))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T111">
        <f>IF(ISNUMBER(SEARCH(SUBSTITUTE(AT$1,RIGHT(AT$1,2),""),VLOOKUP($D111,素材!$1:$1016,COLUMN($F$1),FALSE))),VLOOKUP($C111,装備品!$1:$998,COLUMN($O$1),FALSE)*VLOOKUP($D111,素材!$1:$1016,COLUMN($E$1),FALSE)/(LEN(VLOOKUP($D111,素材!$1:$1016,COLUMN($F$1),FALSE))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U111">
        <f>IF(ISNUMBER(SEARCH(SUBSTITUTE(AU$1,RIGHT(AU$1,2),""),VLOOKUP($D111,素材!$1:$1016,COLUMN($F$1),FALSE))),VLOOKUP($C111,装備品!$1:$998,COLUMN($O$1),FALSE)*VLOOKUP($D111,素材!$1:$1016,COLUMN($E$1),FALSE)/(LEN(VLOOKUP($D111,素材!$1:$1016,COLUMN($F$1),FALSE))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V111">
        <f>IF(ISNUMBER(SEARCH(SUBSTITUTE(AV$1,RIGHT(AV$1,2),""),VLOOKUP($D111,素材!$1:$1016,COLUMN($F$1),FALSE))),VLOOKUP($C111,装備品!$1:$998,COLUMN($O$1),FALSE)*VLOOKUP($D111,素材!$1:$1016,COLUMN($E$1),FALSE)/(LEN(VLOOKUP($D111,素材!$1:$1016,COLUMN($F$1),FALSE))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W111">
        <f>IF(ISNUMBER(SEARCH(SUBSTITUTE(AW$1,RIGHT(AW$1,2),""),VLOOKUP($D111,素材!$1:$1016,COLUMN($F$1),FALSE))),VLOOKUP($C111,装備品!$1:$998,COLUMN($O$1),FALSE)*VLOOKUP($D111,素材!$1:$1016,COLUMN($E$1),FALSE)/(LEN(VLOOKUP($D111,素材!$1:$1016,COLUMN($F$1),FALSE))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X111">
        <f>IF(ISNUMBER(SEARCH(SUBSTITUTE(AX$1,RIGHT(AX$1,2),""),VLOOKUP($D111,素材!$1:$1016,COLUMN($F$1),FALSE))),VLOOKUP($C111,装備品!$1:$998,COLUMN($O$1),FALSE)*VLOOKUP($D111,素材!$1:$1016,COLUMN($E$1),FALSE)/(LEN(VLOOKUP($D111,素材!$1:$1016,COLUMN($F$1),FALSE))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Y111">
        <f>IF(ISNUMBER(SEARCH(SUBSTITUTE(AY$1,RIGHT(AY$1,2),""),VLOOKUP($D111,素材!$1:$1016,COLUMN($F$1),FALSE))),VLOOKUP($C111,装備品!$1:$998,COLUMN($O$1),FALSE)*VLOOKUP($D111,素材!$1:$1016,COLUMN($E$1),FALSE)/(LEN(VLOOKUP($D111,素材!$1:$1016,COLUMN($F$1),FALSE))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Z111">
        <f>IF(ISNUMBER(SEARCH(SUBSTITUTE(AZ$1,RIGHT(AZ$1,2),""),VLOOKUP($D111,素材!$1:$1016,COLUMN($F$1),FALSE))),VLOOKUP($C111,装備品!$1:$998,COLUMN($O$1),FALSE)*VLOOKUP($D111,素材!$1:$1016,COLUMN($E$1),FALSE)/(LEN(VLOOKUP($D111,素材!$1:$1016,COLUMN($F$1),FALSE))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BA111">
        <f>IF(ISNUMBER(SEARCH(SUBSTITUTE(BA$1,RIGHT(BA$1,2),""),VLOOKUP($D111,素材!$1:$1016,COLUMN($F$1),FALSE))),VLOOKUP($C111,装備品!$1:$998,COLUMN($O$1),FALSE)*VLOOKUP($D111,素材!$1:$1016,COLUMN($E$1),FALSE)/(LEN(VLOOKUP($D111,素材!$1:$1016,COLUMN($F$1),FALSE))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BB111">
        <f>IF(ISNUMBER(SEARCH(SUBSTITUTE(BB$1,RIGHT(BB$1,2),""),VLOOKUP($D111,素材!$1:$1016,COLUMN($F$1),FALSE))),VLOOKUP($C111,装備品!$1:$998,COLUMN($O$1),FALSE)*VLOOKUP($D111,素材!$1:$1016,COLUMN($E$1),FALSE)/(LEN(VLOOKUP($D111,素材!$1:$1016,COLUMN($F$1),FALSE))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BC111">
        <f>IF(ISNUMBER(SEARCH(SUBSTITUTE(BC$1,RIGHT(BC$1,2),""),VLOOKUP($D111,素材!$1:$1016,COLUMN($F$1),FALSE))),VLOOKUP($C111,装備品!$1:$998,COLUMN($O$1),FALSE)*VLOOKUP($D111,素材!$1:$1016,COLUMN($E$1),FALSE)/(LEN(VLOOKUP($D111,素材!$1:$1016,COLUMN($F$1),FALSE))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BD111">
        <f>IF(ISNUMBER(SEARCH(SUBSTITUTE(BD$1,RIGHT(BD$1,2),""),VLOOKUP($D111,素材!$1:$1016,COLUMN($F$1),FALSE))),VLOOKUP($C111,装備品!$1:$998,COLUMN($O$1),FALSE)*VLOOKUP($D111,素材!$1:$1016,COLUMN($E$1),FALSE)/(LEN(VLOOKUP($D111,素材!$1:$1016,COLUMN($F$1),FALSE))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BE111">
        <f>IF(ISNUMBER(SEARCH(SUBSTITUTE(BE$1,RIGHT(BE$1,2),""),VLOOKUP($D111,素材!$1:$1016,COLUMN($F$1),FALSE))),VLOOKUP($C111,装備品!$1:$998,COLUMN($O$1),FALSE)*VLOOKUP($D111,素材!$1:$1016,COLUMN($E$1),FALSE)/(LEN(VLOOKUP($D111,素材!$1:$1016,COLUMN($F$1),FALSE))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CL111">
        <f t="shared" si="7"/>
        <v>22</v>
      </c>
      <c r="CM111" s="22" t="str">
        <f t="shared" si="8"/>
        <v>頭.webp</v>
      </c>
      <c r="CN111">
        <f>IFERROR(VLOOKUP($C111,装備品!$1:$998,COLUMN(V$1),FALSE)*VLOOKUP($D111,素材!$1:$1016,COLUMN(N$1),FALSE)+IF(CI111="",0,VLOOKUP($CI111,付与!$1:$1176,COLUMN($CK$1),FALSE)),"")</f>
        <v>0</v>
      </c>
      <c r="CO111" t="str">
        <f>VLOOKUP(D111,素材!$A:$O,COLUMN(素材!O$1),FALSE)</f>
        <v>鍛えられた鉄。硬度が高く安価なためよく使用される。</v>
      </c>
      <c r="CP111" t="str">
        <f>VLOOKUP(C111,装備品!$A:$AB,COLUMN(装備品!AB$1),FALSE)</f>
        <v>命中 魔防 Cr</v>
      </c>
      <c r="CR111" t="str">
        <f t="shared" si="9"/>
        <v>e_111</v>
      </c>
      <c r="CS111">
        <f t="shared" si="10"/>
        <v>0</v>
      </c>
    </row>
    <row r="112" spans="1:97" outlineLevel="1" x14ac:dyDescent="0.4">
      <c r="A112" t="str">
        <f t="shared" si="11"/>
        <v>鋼の鎧</v>
      </c>
      <c r="B112" t="str">
        <f>IFERROR(VLOOKUP($D112,素材!$1:$1016,COLUMN($B$1),FALSE)&amp;"・"&amp;VLOOKUP($C112,装備品!$1:$998,COLUMN(B$1),FALSE),"")</f>
        <v>スチール・アーマー</v>
      </c>
      <c r="C112" t="s">
        <v>207</v>
      </c>
      <c r="D112" s="24" t="s">
        <v>252</v>
      </c>
      <c r="E112" t="str">
        <f>IFERROR(VLOOKUP(C112,装備品!$1:$998,COLUMN(C$1),FALSE),"")</f>
        <v>体</v>
      </c>
      <c r="F112">
        <f>IFERROR(ROUNDDOWN((VLOOKUP($C112,装備品!$1:$998,COLUMN(D$1),FALSE)+IFERROR(VLOOKUP($CI112,付与!$1:$1167,COLUMN(F$1),FALSE),0))*VLOOKUP($D112,素材!$1:$1016,COLUMN(D$1),FALSE),0),"")</f>
        <v>0</v>
      </c>
      <c r="G112">
        <f>IFERROR(ROUNDDOWN((VLOOKUP($C112,装備品!$1:$998,COLUMN(E$1),FALSE)+IFERROR(VLOOKUP($CI112,付与!$1:$1167,COLUMN(G$1),FALSE),0))*VLOOKUP($D112,素材!$1:$1016,COLUMN($E$1),FALSE),0),"")</f>
        <v>0</v>
      </c>
      <c r="H112">
        <f>IFERROR(ROUNDDOWN((VLOOKUP($C112,装備品!$1:$998,COLUMN(F$1),FALSE)+IFERROR(VLOOKUP($CI112,付与!$1:$1167,COLUMN(H$1),FALSE),0))*VLOOKUP($D112,素材!$1:$1016,COLUMN($E$1),FALSE),0),"")</f>
        <v>0</v>
      </c>
      <c r="I112">
        <f>IFERROR(ROUNDDOWN((VLOOKUP($C112,装備品!$1:$998,COLUMN(G$1),FALSE)+IFERROR(VLOOKUP($CI112,付与!$1:$1167,COLUMN(I$1),FALSE),0))*VLOOKUP($D112,素材!$1:$1016,COLUMN($E$1),FALSE),0),"")</f>
        <v>0</v>
      </c>
      <c r="J112">
        <f>IFERROR(ROUNDDOWN((VLOOKUP($C112,装備品!$1:$998,COLUMN(H$1),FALSE)+IFERROR(VLOOKUP($CI112,付与!$1:$1167,COLUMN(J$1),FALSE),0))*VLOOKUP($D112,素材!$1:$1016,COLUMN($E$1),FALSE),0),"")</f>
        <v>0</v>
      </c>
      <c r="K112">
        <f>IFERROR(ROUNDDOWN((VLOOKUP($C112,装備品!$1:$998,COLUMN(I$1),FALSE)+IFERROR(VLOOKUP($CI112,付与!$1:$1167,COLUMN(K$1),FALSE),0))*VLOOKUP($D112,素材!$1:$1016,COLUMN($E$1),FALSE),0),"")</f>
        <v>0</v>
      </c>
      <c r="L112">
        <f>IFERROR(VLOOKUP($D112,素材!$1:$1016,COLUMN($F$1),FALSE),"")</f>
        <v>0</v>
      </c>
      <c r="M112">
        <f>IFERROR(VLOOKUP($C112,装備品!$1:$998,COLUMN(AA$1),FALSE)*VLOOKUP($D112,素材!$1:$1016,COLUMN($G$1),FALSE),"")</f>
        <v>0</v>
      </c>
      <c r="N112">
        <f>IFERROR(VLOOKUP($C112,装備品!$1:$998,COLUMN(I$1),FALSE),"")</f>
        <v>0</v>
      </c>
      <c r="O112" s="23">
        <f>IFERROR((VLOOKUP($C112,装備品!$1:$998,COLUMN(K$1),FALSE)+VLOOKUP($D112,素材!$1:$1016,COLUMN(H$1),FALSE))*100+IFERROR(VLOOKUP($CI112,付与!$1:$1167,COLUMN(O$1),FALSE),0),"")</f>
        <v>0</v>
      </c>
      <c r="P112" s="23">
        <f>IFERROR((VLOOKUP($C112,装備品!$1:$998,COLUMN(L$1),FALSE)+VLOOKUP($D112,素材!$1:$1016,COLUMN(I$1),FALSE))*100+IFERROR(VLOOKUP($CI112,付与!$1:$1167,COLUMN(P$1),FALSE),0),"")</f>
        <v>0</v>
      </c>
      <c r="Q112">
        <f>IFERROR(ROUNDUP(VLOOKUP($C112,装備品!$1:$998,COLUMN(M$1),FALSE)*(VLOOKUP($D112,素材!$1:$1002,COLUMN(D$1),FALSE)/100),1),"")</f>
        <v>-15.799999999999999</v>
      </c>
      <c r="R112">
        <f>IFERROR(ROUNDUP(VLOOKUP($C112,装備品!$1:$998,COLUMN(N$1),FALSE)*(VLOOKUP($D112,素材!$1:$1002,COLUMN(D$1),FALSE)/100),1),"")</f>
        <v>0</v>
      </c>
      <c r="S112">
        <f>IFERROR(VLOOKUP($C112,装備品!$1:$998,COLUMN(P$1),FALSE),"")</f>
        <v>-35</v>
      </c>
      <c r="T112">
        <f>IFERROR(VLOOKUP($C112,装備品!$1:$998,COLUMN(Q$1),FALSE),"")</f>
        <v>0</v>
      </c>
      <c r="U112">
        <f>IFERROR(VLOOKUP($C112,装備品!$1:$998,COLUMN(R$1),FALSE),"")</f>
        <v>0</v>
      </c>
      <c r="V112">
        <f>IFERROR(VLOOKUP($C112,装備品!$1:$998,COLUMN(Q$1),FALSE),"")</f>
        <v>0</v>
      </c>
      <c r="W112">
        <f>IFERROR(VLOOKUP($C112,装備品!$1:$998,COLUMN(T$1),FALSE),"")</f>
        <v>0.7</v>
      </c>
      <c r="Y112">
        <f>IFERROR(VLOOKUP($C112,装備品!$1:$998,COLUMN(U$1),FALSE),"")</f>
        <v>0</v>
      </c>
      <c r="Z112">
        <f>IFERROR(ROUNDUP(VLOOKUP($C112,装備品!$1:$998,COLUMN(O$1),FALSE)*VLOOKUP($D112,素材!$1:$1016,COLUMN(E$1),FALSE),1),"")</f>
        <v>0</v>
      </c>
      <c r="AA112">
        <f>IF(ISNUMBER(SEARCH(SUBSTITUTE(AA$1,RIGHT(AA$1,2),""),VLOOKUP($D112,素材!$1:$1016,COLUMN($F$1),FALSE))),VLOOKUP($C112,装備品!$1:$998,COLUMN($O$1),FALSE)*VLOOKUP($D112,素材!$1:$1016,COLUMN($E$1),FALSE)/(LEN(VLOOKUP($D112,素材!$1:$1016,COLUMN($F$1),FALSE))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B112">
        <f>IF(ISNUMBER(SEARCH(SUBSTITUTE(AB$1,RIGHT(AB$1,2),""),VLOOKUP($D112,素材!$1:$1016,COLUMN($F$1),FALSE))),VLOOKUP($C112,装備品!$1:$998,COLUMN($O$1),FALSE)*VLOOKUP($D112,素材!$1:$1016,COLUMN($E$1),FALSE)/(LEN(VLOOKUP($D112,素材!$1:$1016,COLUMN($F$1),FALSE))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C112">
        <f>IF(ISNUMBER(SEARCH(SUBSTITUTE(AC$1,RIGHT(AC$1,2),""),VLOOKUP($D112,素材!$1:$1016,COLUMN($F$1),FALSE))),VLOOKUP($C112,装備品!$1:$998,COLUMN($O$1),FALSE)*VLOOKUP($D112,素材!$1:$1016,COLUMN($E$1),FALSE)/(LEN(VLOOKUP($D112,素材!$1:$1016,COLUMN($F$1),FALSE))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D112">
        <f>IF(ISNUMBER(SEARCH(SUBSTITUTE(AD$1,RIGHT(AD$1,2),""),VLOOKUP($D112,素材!$1:$1016,COLUMN($F$1),FALSE))),VLOOKUP($C112,装備品!$1:$998,COLUMN($O$1),FALSE)*VLOOKUP($D112,素材!$1:$1016,COLUMN($E$1),FALSE)/(LEN(VLOOKUP($D112,素材!$1:$1016,COLUMN($F$1),FALSE))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E112">
        <f>IF(ISNUMBER(SEARCH(SUBSTITUTE(AE$1,RIGHT(AE$1,2),""),VLOOKUP($D112,素材!$1:$1016,COLUMN($F$1),FALSE))),VLOOKUP($C112,装備品!$1:$998,COLUMN($O$1),FALSE)*VLOOKUP($D112,素材!$1:$1016,COLUMN($E$1),FALSE)/(LEN(VLOOKUP($D112,素材!$1:$1016,COLUMN($F$1),FALSE))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F112">
        <f>IF(ISNUMBER(SEARCH(SUBSTITUTE(AF$1,RIGHT(AF$1,2),""),VLOOKUP($D112,素材!$1:$1016,COLUMN($F$1),FALSE))),VLOOKUP($C112,装備品!$1:$998,COLUMN($O$1),FALSE)*VLOOKUP($D112,素材!$1:$1016,COLUMN($E$1),FALSE)/(LEN(VLOOKUP($D112,素材!$1:$1016,COLUMN($F$1),FALSE))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G112">
        <f>IF(ISNUMBER(SEARCH(SUBSTITUTE(AG$1,RIGHT(AG$1,2),""),VLOOKUP($D112,素材!$1:$1016,COLUMN($F$1),FALSE))),VLOOKUP($C112,装備品!$1:$998,COLUMN($O$1),FALSE)*VLOOKUP($D112,素材!$1:$1016,COLUMN($E$1),FALSE)/(LEN(VLOOKUP($D112,素材!$1:$1016,COLUMN($F$1),FALSE))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H112">
        <f>IF(ISNUMBER(SEARCH(SUBSTITUTE(AH$1,RIGHT(AH$1,2),""),VLOOKUP($D112,素材!$1:$1016,COLUMN($F$1),FALSE))),VLOOKUP($C112,装備品!$1:$998,COLUMN($O$1),FALSE)*VLOOKUP($D112,素材!$1:$1016,COLUMN($E$1),FALSE)/(LEN(VLOOKUP($D112,素材!$1:$1016,COLUMN($F$1),FALSE))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I112">
        <f>IF(ISNUMBER(SEARCH(SUBSTITUTE(AI$1,RIGHT(AI$1,2),""),VLOOKUP($D112,素材!$1:$1016,COLUMN($F$1),FALSE))),VLOOKUP($C112,装備品!$1:$998,COLUMN($O$1),FALSE)*VLOOKUP($D112,素材!$1:$1016,COLUMN($E$1),FALSE)/(LEN(VLOOKUP($D112,素材!$1:$1016,COLUMN($F$1),FALSE))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J112">
        <f>IF(ISNUMBER(SEARCH(SUBSTITUTE(AJ$1,RIGHT(AJ$1,2),""),VLOOKUP($D112,素材!$1:$1016,COLUMN($F$1),FALSE))),VLOOKUP($C112,装備品!$1:$998,COLUMN($O$1),FALSE)*VLOOKUP($D112,素材!$1:$1016,COLUMN($E$1),FALSE)/(LEN(VLOOKUP($D112,素材!$1:$1016,COLUMN($F$1),FALSE))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K112">
        <f>IF(ISNUMBER(SEARCH(SUBSTITUTE(AK$1,RIGHT(AK$1,2),""),VLOOKUP($D112,素材!$1:$1016,COLUMN($F$1),FALSE))),VLOOKUP($C112,装備品!$1:$998,COLUMN($O$1),FALSE)*VLOOKUP($D112,素材!$1:$1016,COLUMN($E$1),FALSE)/(LEN(VLOOKUP($D112,素材!$1:$1016,COLUMN($F$1),FALSE))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L112">
        <f>IF(ISNUMBER(SEARCH(SUBSTITUTE(AL$1,RIGHT(AL$1,2),""),VLOOKUP($D112,素材!$1:$1016,COLUMN($F$1),FALSE))),VLOOKUP($C112,装備品!$1:$998,COLUMN($O$1),FALSE)*VLOOKUP($D112,素材!$1:$1016,COLUMN($E$1),FALSE)/(LEN(VLOOKUP($D112,素材!$1:$1016,COLUMN($F$1),FALSE))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M112">
        <f>IF(ISNUMBER(SEARCH(SUBSTITUTE(AM$1,RIGHT(AM$1,2),""),VLOOKUP($D112,素材!$1:$1016,COLUMN($F$1),FALSE))),VLOOKUP($C112,装備品!$1:$998,COLUMN($O$1),FALSE)*VLOOKUP($D112,素材!$1:$1016,COLUMN($E$1),FALSE)/(LEN(VLOOKUP($D112,素材!$1:$1016,COLUMN($F$1),FALSE))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N112">
        <f>IF(ISNUMBER(SEARCH(SUBSTITUTE(AN$1,RIGHT(AN$1,2),""),VLOOKUP($D112,素材!$1:$1016,COLUMN($F$1),FALSE))),VLOOKUP($C112,装備品!$1:$998,COLUMN($O$1),FALSE)*VLOOKUP($D112,素材!$1:$1016,COLUMN($E$1),FALSE)/(LEN(VLOOKUP($D112,素材!$1:$1016,COLUMN($F$1),FALSE))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O112">
        <f>IF(ISNUMBER(SEARCH(SUBSTITUTE(AO$1,RIGHT(AO$1,2),""),VLOOKUP($D112,素材!$1:$1016,COLUMN($F$1),FALSE))),VLOOKUP($C112,装備品!$1:$998,COLUMN($O$1),FALSE)*VLOOKUP($D112,素材!$1:$1016,COLUMN($E$1),FALSE)/(LEN(VLOOKUP($D112,素材!$1:$1016,COLUMN($F$1),FALSE))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P112">
        <f>IF(ISNUMBER(SEARCH(SUBSTITUTE(AP$1,RIGHT(AP$1,2),""),VLOOKUP($D112,素材!$1:$1016,COLUMN($F$1),FALSE))),VLOOKUP($C112,装備品!$1:$998,COLUMN($O$1),FALSE)*VLOOKUP($D112,素材!$1:$1016,COLUMN($E$1),FALSE)/(LEN(VLOOKUP($D112,素材!$1:$1016,COLUMN($F$1),FALSE))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Q112">
        <f>IF(ISNUMBER(SEARCH(SUBSTITUTE(AQ$1,RIGHT(AQ$1,2),""),VLOOKUP($D112,素材!$1:$1016,COLUMN($F$1),FALSE))),VLOOKUP($C112,装備品!$1:$998,COLUMN($O$1),FALSE)*VLOOKUP($D112,素材!$1:$1016,COLUMN($E$1),FALSE)/(LEN(VLOOKUP($D112,素材!$1:$1016,COLUMN($F$1),FALSE))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R112">
        <f>IF(ISNUMBER(SEARCH(SUBSTITUTE(AR$1,RIGHT(AR$1,2),""),VLOOKUP($D112,素材!$1:$1016,COLUMN($F$1),FALSE))),VLOOKUP($C112,装備品!$1:$998,COLUMN($O$1),FALSE)*VLOOKUP($D112,素材!$1:$1016,COLUMN($E$1),FALSE)/(LEN(VLOOKUP($D112,素材!$1:$1016,COLUMN($F$1),FALSE))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S112">
        <f>IF(ISNUMBER(SEARCH(SUBSTITUTE(AS$1,RIGHT(AS$1,2),""),VLOOKUP($D112,素材!$1:$1016,COLUMN($F$1),FALSE))),VLOOKUP($C112,装備品!$1:$998,COLUMN($O$1),FALSE)*VLOOKUP($D112,素材!$1:$1016,COLUMN($E$1),FALSE)/(LEN(VLOOKUP($D112,素材!$1:$1016,COLUMN($F$1),FALSE))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T112">
        <f>IF(ISNUMBER(SEARCH(SUBSTITUTE(AT$1,RIGHT(AT$1,2),""),VLOOKUP($D112,素材!$1:$1016,COLUMN($F$1),FALSE))),VLOOKUP($C112,装備品!$1:$998,COLUMN($O$1),FALSE)*VLOOKUP($D112,素材!$1:$1016,COLUMN($E$1),FALSE)/(LEN(VLOOKUP($D112,素材!$1:$1016,COLUMN($F$1),FALSE))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U112">
        <f>IF(ISNUMBER(SEARCH(SUBSTITUTE(AU$1,RIGHT(AU$1,2),""),VLOOKUP($D112,素材!$1:$1016,COLUMN($F$1),FALSE))),VLOOKUP($C112,装備品!$1:$998,COLUMN($O$1),FALSE)*VLOOKUP($D112,素材!$1:$1016,COLUMN($E$1),FALSE)/(LEN(VLOOKUP($D112,素材!$1:$1016,COLUMN($F$1),FALSE))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V112">
        <f>IF(ISNUMBER(SEARCH(SUBSTITUTE(AV$1,RIGHT(AV$1,2),""),VLOOKUP($D112,素材!$1:$1016,COLUMN($F$1),FALSE))),VLOOKUP($C112,装備品!$1:$998,COLUMN($O$1),FALSE)*VLOOKUP($D112,素材!$1:$1016,COLUMN($E$1),FALSE)/(LEN(VLOOKUP($D112,素材!$1:$1016,COLUMN($F$1),FALSE))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W112">
        <f>IF(ISNUMBER(SEARCH(SUBSTITUTE(AW$1,RIGHT(AW$1,2),""),VLOOKUP($D112,素材!$1:$1016,COLUMN($F$1),FALSE))),VLOOKUP($C112,装備品!$1:$998,COLUMN($O$1),FALSE)*VLOOKUP($D112,素材!$1:$1016,COLUMN($E$1),FALSE)/(LEN(VLOOKUP($D112,素材!$1:$1016,COLUMN($F$1),FALSE))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X112">
        <f>IF(ISNUMBER(SEARCH(SUBSTITUTE(AX$1,RIGHT(AX$1,2),""),VLOOKUP($D112,素材!$1:$1016,COLUMN($F$1),FALSE))),VLOOKUP($C112,装備品!$1:$998,COLUMN($O$1),FALSE)*VLOOKUP($D112,素材!$1:$1016,COLUMN($E$1),FALSE)/(LEN(VLOOKUP($D112,素材!$1:$1016,COLUMN($F$1),FALSE))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Y112">
        <f>IF(ISNUMBER(SEARCH(SUBSTITUTE(AY$1,RIGHT(AY$1,2),""),VLOOKUP($D112,素材!$1:$1016,COLUMN($F$1),FALSE))),VLOOKUP($C112,装備品!$1:$998,COLUMN($O$1),FALSE)*VLOOKUP($D112,素材!$1:$1016,COLUMN($E$1),FALSE)/(LEN(VLOOKUP($D112,素材!$1:$1016,COLUMN($F$1),FALSE))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Z112">
        <f>IF(ISNUMBER(SEARCH(SUBSTITUTE(AZ$1,RIGHT(AZ$1,2),""),VLOOKUP($D112,素材!$1:$1016,COLUMN($F$1),FALSE))),VLOOKUP($C112,装備品!$1:$998,COLUMN($O$1),FALSE)*VLOOKUP($D112,素材!$1:$1016,COLUMN($E$1),FALSE)/(LEN(VLOOKUP($D112,素材!$1:$1016,COLUMN($F$1),FALSE))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BA112">
        <f>IF(ISNUMBER(SEARCH(SUBSTITUTE(BA$1,RIGHT(BA$1,2),""),VLOOKUP($D112,素材!$1:$1016,COLUMN($F$1),FALSE))),VLOOKUP($C112,装備品!$1:$998,COLUMN($O$1),FALSE)*VLOOKUP($D112,素材!$1:$1016,COLUMN($E$1),FALSE)/(LEN(VLOOKUP($D112,素材!$1:$1016,COLUMN($F$1),FALSE))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BB112">
        <f>IF(ISNUMBER(SEARCH(SUBSTITUTE(BB$1,RIGHT(BB$1,2),""),VLOOKUP($D112,素材!$1:$1016,COLUMN($F$1),FALSE))),VLOOKUP($C112,装備品!$1:$998,COLUMN($O$1),FALSE)*VLOOKUP($D112,素材!$1:$1016,COLUMN($E$1),FALSE)/(LEN(VLOOKUP($D112,素材!$1:$1016,COLUMN($F$1),FALSE))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BC112">
        <f>IF(ISNUMBER(SEARCH(SUBSTITUTE(BC$1,RIGHT(BC$1,2),""),VLOOKUP($D112,素材!$1:$1016,COLUMN($F$1),FALSE))),VLOOKUP($C112,装備品!$1:$998,COLUMN($O$1),FALSE)*VLOOKUP($D112,素材!$1:$1016,COLUMN($E$1),FALSE)/(LEN(VLOOKUP($D112,素材!$1:$1016,COLUMN($F$1),FALSE))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BD112">
        <f>IF(ISNUMBER(SEARCH(SUBSTITUTE(BD$1,RIGHT(BD$1,2),""),VLOOKUP($D112,素材!$1:$1016,COLUMN($F$1),FALSE))),VLOOKUP($C112,装備品!$1:$998,COLUMN($O$1),FALSE)*VLOOKUP($D112,素材!$1:$1016,COLUMN($E$1),FALSE)/(LEN(VLOOKUP($D112,素材!$1:$1016,COLUMN($F$1),FALSE))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BE112">
        <f>IF(ISNUMBER(SEARCH(SUBSTITUTE(BE$1,RIGHT(BE$1,2),""),VLOOKUP($D112,素材!$1:$1016,COLUMN($F$1),FALSE))),VLOOKUP($C112,装備品!$1:$998,COLUMN($O$1),FALSE)*VLOOKUP($D112,素材!$1:$1016,COLUMN($E$1),FALSE)/(LEN(VLOOKUP($D112,素材!$1:$1016,COLUMN($F$1),FALSE))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CL112">
        <f t="shared" si="7"/>
        <v>0</v>
      </c>
      <c r="CM112" s="22" t="str">
        <f t="shared" si="8"/>
        <v>体.webp</v>
      </c>
      <c r="CN112">
        <f>IFERROR(VLOOKUP($C112,装備品!$1:$998,COLUMN(V$1),FALSE)*VLOOKUP($D112,素材!$1:$1016,COLUMN(N$1),FALSE)+IF(CI112="",0,VLOOKUP($CI112,付与!$1:$1176,COLUMN($CK$1),FALSE)),"")</f>
        <v>0</v>
      </c>
      <c r="CO112" t="str">
        <f>VLOOKUP(D112,素材!$A:$O,COLUMN(素材!O$1),FALSE)</f>
        <v>鍛えられた鉄。硬度が高く安価なためよく使用される。</v>
      </c>
      <c r="CP112" t="str">
        <f>VLOOKUP(C112,装備品!$A:$AB,COLUMN(装備品!AB$1),FALSE)</f>
        <v>HP 物理 魔法 体幹 出血 疲労 Cr</v>
      </c>
      <c r="CR112" t="str">
        <f t="shared" si="9"/>
        <v>e_112</v>
      </c>
      <c r="CS112">
        <f t="shared" si="10"/>
        <v>0</v>
      </c>
    </row>
    <row r="113" spans="1:97" outlineLevel="1" x14ac:dyDescent="0.4">
      <c r="A113" t="str">
        <f t="shared" si="11"/>
        <v>鋼の胴衣</v>
      </c>
      <c r="B113" t="str">
        <f>IFERROR(VLOOKUP($D113,素材!$1:$1016,COLUMN($B$1),FALSE)&amp;"・"&amp;VLOOKUP($C113,装備品!$1:$998,COLUMN(B$1),FALSE),"")</f>
        <v>スチール・ベスト</v>
      </c>
      <c r="C113" t="s">
        <v>253</v>
      </c>
      <c r="D113" s="24" t="s">
        <v>252</v>
      </c>
      <c r="E113" t="str">
        <f>IFERROR(VLOOKUP(C113,装備品!$1:$998,COLUMN(C$1),FALSE),"")</f>
        <v>体</v>
      </c>
      <c r="F113">
        <f>IFERROR(ROUNDDOWN((VLOOKUP($C113,装備品!$1:$998,COLUMN(D$1),FALSE)+IFERROR(VLOOKUP($CI113,付与!$1:$1167,COLUMN(F$1),FALSE),0))*VLOOKUP($D113,素材!$1:$1016,COLUMN(D$1),FALSE),0),"")</f>
        <v>0</v>
      </c>
      <c r="G113">
        <f>IFERROR(ROUNDDOWN((VLOOKUP($C113,装備品!$1:$998,COLUMN(E$1),FALSE)+IFERROR(VLOOKUP($CI113,付与!$1:$1167,COLUMN(G$1),FALSE),0))*VLOOKUP($D113,素材!$1:$1016,COLUMN($E$1),FALSE),0),"")</f>
        <v>0</v>
      </c>
      <c r="H113">
        <f>IFERROR(ROUNDDOWN((VLOOKUP($C113,装備品!$1:$998,COLUMN(F$1),FALSE)+IFERROR(VLOOKUP($CI113,付与!$1:$1167,COLUMN(H$1),FALSE),0))*VLOOKUP($D113,素材!$1:$1016,COLUMN($E$1),FALSE),0),"")</f>
        <v>0</v>
      </c>
      <c r="I113">
        <f>IFERROR(ROUNDDOWN((VLOOKUP($C113,装備品!$1:$998,COLUMN(G$1),FALSE)+IFERROR(VLOOKUP($CI113,付与!$1:$1167,COLUMN(I$1),FALSE),0))*VLOOKUP($D113,素材!$1:$1016,COLUMN($E$1),FALSE),0),"")</f>
        <v>0</v>
      </c>
      <c r="J113">
        <f>IFERROR(ROUNDDOWN((VLOOKUP($C113,装備品!$1:$998,COLUMN(H$1),FALSE)+IFERROR(VLOOKUP($CI113,付与!$1:$1167,COLUMN(J$1),FALSE),0))*VLOOKUP($D113,素材!$1:$1016,COLUMN($E$1),FALSE),0),"")</f>
        <v>0</v>
      </c>
      <c r="K113">
        <f>IFERROR(ROUNDDOWN((VLOOKUP($C113,装備品!$1:$998,COLUMN(I$1),FALSE)+IFERROR(VLOOKUP($CI113,付与!$1:$1167,COLUMN(K$1),FALSE),0))*VLOOKUP($D113,素材!$1:$1016,COLUMN($E$1),FALSE),0),"")</f>
        <v>0</v>
      </c>
      <c r="L113">
        <f>IFERROR(VLOOKUP($D113,素材!$1:$1016,COLUMN($F$1),FALSE),"")</f>
        <v>0</v>
      </c>
      <c r="M113">
        <f>IFERROR(VLOOKUP($C113,装備品!$1:$998,COLUMN(AA$1),FALSE)*VLOOKUP($D113,素材!$1:$1016,COLUMN($G$1),FALSE),"")</f>
        <v>0</v>
      </c>
      <c r="N113">
        <f>IFERROR(VLOOKUP($C113,装備品!$1:$998,COLUMN(I$1),FALSE),"")</f>
        <v>0</v>
      </c>
      <c r="O113" s="23">
        <f>IFERROR((VLOOKUP($C113,装備品!$1:$998,COLUMN(K$1),FALSE)+VLOOKUP($D113,素材!$1:$1016,COLUMN(H$1),FALSE))*100+IFERROR(VLOOKUP($CI113,付与!$1:$1167,COLUMN(O$1),FALSE),0),"")</f>
        <v>0</v>
      </c>
      <c r="P113" s="23">
        <f>IFERROR((VLOOKUP($C113,装備品!$1:$998,COLUMN(L$1),FALSE)+VLOOKUP($D113,素材!$1:$1016,COLUMN(I$1),FALSE))*100+IFERROR(VLOOKUP($CI113,付与!$1:$1167,COLUMN(P$1),FALSE),0),"")</f>
        <v>0</v>
      </c>
      <c r="Q113">
        <f>IFERROR(ROUNDUP(VLOOKUP($C113,装備品!$1:$998,COLUMN(M$1),FALSE)*(VLOOKUP($D113,素材!$1:$1002,COLUMN(D$1),FALSE)/100),1),"")</f>
        <v>-7.8999999999999995</v>
      </c>
      <c r="R113">
        <f>IFERROR(ROUNDUP(VLOOKUP($C113,装備品!$1:$998,COLUMN(N$1),FALSE)*(VLOOKUP($D113,素材!$1:$1002,COLUMN(D$1),FALSE)/100),1),"")</f>
        <v>0</v>
      </c>
      <c r="S113">
        <f>IFERROR(VLOOKUP($C113,装備品!$1:$998,COLUMN(P$1),FALSE),"")</f>
        <v>-15</v>
      </c>
      <c r="T113">
        <f>IFERROR(VLOOKUP($C113,装備品!$1:$998,COLUMN(Q$1),FALSE),"")</f>
        <v>0</v>
      </c>
      <c r="U113">
        <f>IFERROR(VLOOKUP($C113,装備品!$1:$998,COLUMN(R$1),FALSE),"")</f>
        <v>0</v>
      </c>
      <c r="V113">
        <f>IFERROR(VLOOKUP($C113,装備品!$1:$998,COLUMN(Q$1),FALSE),"")</f>
        <v>0</v>
      </c>
      <c r="W113">
        <f>IFERROR(VLOOKUP($C113,装備品!$1:$998,COLUMN(T$1),FALSE),"")</f>
        <v>0.5</v>
      </c>
      <c r="Y113">
        <f>IFERROR(VLOOKUP($C113,装備品!$1:$998,COLUMN(U$1),FALSE),"")</f>
        <v>0</v>
      </c>
      <c r="Z113">
        <f>IFERROR(ROUNDUP(VLOOKUP($C113,装備品!$1:$998,COLUMN(O$1),FALSE)*VLOOKUP($D113,素材!$1:$1016,COLUMN(E$1),FALSE),1),"")</f>
        <v>0</v>
      </c>
      <c r="AA113">
        <f>IF(ISNUMBER(SEARCH(SUBSTITUTE(AA$1,RIGHT(AA$1,2),""),VLOOKUP($D113,素材!$1:$1016,COLUMN($F$1),FALSE))),VLOOKUP($C113,装備品!$1:$998,COLUMN($O$1),FALSE)*VLOOKUP($D113,素材!$1:$1016,COLUMN($E$1),FALSE)/(LEN(VLOOKUP($D113,素材!$1:$1016,COLUMN($F$1),FALSE))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B113">
        <f>IF(ISNUMBER(SEARCH(SUBSTITUTE(AB$1,RIGHT(AB$1,2),""),VLOOKUP($D113,素材!$1:$1016,COLUMN($F$1),FALSE))),VLOOKUP($C113,装備品!$1:$998,COLUMN($O$1),FALSE)*VLOOKUP($D113,素材!$1:$1016,COLUMN($E$1),FALSE)/(LEN(VLOOKUP($D113,素材!$1:$1016,COLUMN($F$1),FALSE))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C113">
        <f>IF(ISNUMBER(SEARCH(SUBSTITUTE(AC$1,RIGHT(AC$1,2),""),VLOOKUP($D113,素材!$1:$1016,COLUMN($F$1),FALSE))),VLOOKUP($C113,装備品!$1:$998,COLUMN($O$1),FALSE)*VLOOKUP($D113,素材!$1:$1016,COLUMN($E$1),FALSE)/(LEN(VLOOKUP($D113,素材!$1:$1016,COLUMN($F$1),FALSE))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D113">
        <f>IF(ISNUMBER(SEARCH(SUBSTITUTE(AD$1,RIGHT(AD$1,2),""),VLOOKUP($D113,素材!$1:$1016,COLUMN($F$1),FALSE))),VLOOKUP($C113,装備品!$1:$998,COLUMN($O$1),FALSE)*VLOOKUP($D113,素材!$1:$1016,COLUMN($E$1),FALSE)/(LEN(VLOOKUP($D113,素材!$1:$1016,COLUMN($F$1),FALSE))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E113">
        <f>IF(ISNUMBER(SEARCH(SUBSTITUTE(AE$1,RIGHT(AE$1,2),""),VLOOKUP($D113,素材!$1:$1016,COLUMN($F$1),FALSE))),VLOOKUP($C113,装備品!$1:$998,COLUMN($O$1),FALSE)*VLOOKUP($D113,素材!$1:$1016,COLUMN($E$1),FALSE)/(LEN(VLOOKUP($D113,素材!$1:$1016,COLUMN($F$1),FALSE))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F113">
        <f>IF(ISNUMBER(SEARCH(SUBSTITUTE(AF$1,RIGHT(AF$1,2),""),VLOOKUP($D113,素材!$1:$1016,COLUMN($F$1),FALSE))),VLOOKUP($C113,装備品!$1:$998,COLUMN($O$1),FALSE)*VLOOKUP($D113,素材!$1:$1016,COLUMN($E$1),FALSE)/(LEN(VLOOKUP($D113,素材!$1:$1016,COLUMN($F$1),FALSE))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G113">
        <f>IF(ISNUMBER(SEARCH(SUBSTITUTE(AG$1,RIGHT(AG$1,2),""),VLOOKUP($D113,素材!$1:$1016,COLUMN($F$1),FALSE))),VLOOKUP($C113,装備品!$1:$998,COLUMN($O$1),FALSE)*VLOOKUP($D113,素材!$1:$1016,COLUMN($E$1),FALSE)/(LEN(VLOOKUP($D113,素材!$1:$1016,COLUMN($F$1),FALSE))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H113">
        <f>IF(ISNUMBER(SEARCH(SUBSTITUTE(AH$1,RIGHT(AH$1,2),""),VLOOKUP($D113,素材!$1:$1016,COLUMN($F$1),FALSE))),VLOOKUP($C113,装備品!$1:$998,COLUMN($O$1),FALSE)*VLOOKUP($D113,素材!$1:$1016,COLUMN($E$1),FALSE)/(LEN(VLOOKUP($D113,素材!$1:$1016,COLUMN($F$1),FALSE))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I113">
        <f>IF(ISNUMBER(SEARCH(SUBSTITUTE(AI$1,RIGHT(AI$1,2),""),VLOOKUP($D113,素材!$1:$1016,COLUMN($F$1),FALSE))),VLOOKUP($C113,装備品!$1:$998,COLUMN($O$1),FALSE)*VLOOKUP($D113,素材!$1:$1016,COLUMN($E$1),FALSE)/(LEN(VLOOKUP($D113,素材!$1:$1016,COLUMN($F$1),FALSE))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J113">
        <f>IF(ISNUMBER(SEARCH(SUBSTITUTE(AJ$1,RIGHT(AJ$1,2),""),VLOOKUP($D113,素材!$1:$1016,COLUMN($F$1),FALSE))),VLOOKUP($C113,装備品!$1:$998,COLUMN($O$1),FALSE)*VLOOKUP($D113,素材!$1:$1016,COLUMN($E$1),FALSE)/(LEN(VLOOKUP($D113,素材!$1:$1016,COLUMN($F$1),FALSE))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K113">
        <f>IF(ISNUMBER(SEARCH(SUBSTITUTE(AK$1,RIGHT(AK$1,2),""),VLOOKUP($D113,素材!$1:$1016,COLUMN($F$1),FALSE))),VLOOKUP($C113,装備品!$1:$998,COLUMN($O$1),FALSE)*VLOOKUP($D113,素材!$1:$1016,COLUMN($E$1),FALSE)/(LEN(VLOOKUP($D113,素材!$1:$1016,COLUMN($F$1),FALSE))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L113">
        <f>IF(ISNUMBER(SEARCH(SUBSTITUTE(AL$1,RIGHT(AL$1,2),""),VLOOKUP($D113,素材!$1:$1016,COLUMN($F$1),FALSE))),VLOOKUP($C113,装備品!$1:$998,COLUMN($O$1),FALSE)*VLOOKUP($D113,素材!$1:$1016,COLUMN($E$1),FALSE)/(LEN(VLOOKUP($D113,素材!$1:$1016,COLUMN($F$1),FALSE))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M113">
        <f>IF(ISNUMBER(SEARCH(SUBSTITUTE(AM$1,RIGHT(AM$1,2),""),VLOOKUP($D113,素材!$1:$1016,COLUMN($F$1),FALSE))),VLOOKUP($C113,装備品!$1:$998,COLUMN($O$1),FALSE)*VLOOKUP($D113,素材!$1:$1016,COLUMN($E$1),FALSE)/(LEN(VLOOKUP($D113,素材!$1:$1016,COLUMN($F$1),FALSE))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N113">
        <f>IF(ISNUMBER(SEARCH(SUBSTITUTE(AN$1,RIGHT(AN$1,2),""),VLOOKUP($D113,素材!$1:$1016,COLUMN($F$1),FALSE))),VLOOKUP($C113,装備品!$1:$998,COLUMN($O$1),FALSE)*VLOOKUP($D113,素材!$1:$1016,COLUMN($E$1),FALSE)/(LEN(VLOOKUP($D113,素材!$1:$1016,COLUMN($F$1),FALSE))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O113">
        <f>IF(ISNUMBER(SEARCH(SUBSTITUTE(AO$1,RIGHT(AO$1,2),""),VLOOKUP($D113,素材!$1:$1016,COLUMN($F$1),FALSE))),VLOOKUP($C113,装備品!$1:$998,COLUMN($O$1),FALSE)*VLOOKUP($D113,素材!$1:$1016,COLUMN($E$1),FALSE)/(LEN(VLOOKUP($D113,素材!$1:$1016,COLUMN($F$1),FALSE))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P113">
        <f>IF(ISNUMBER(SEARCH(SUBSTITUTE(AP$1,RIGHT(AP$1,2),""),VLOOKUP($D113,素材!$1:$1016,COLUMN($F$1),FALSE))),VLOOKUP($C113,装備品!$1:$998,COLUMN($O$1),FALSE)*VLOOKUP($D113,素材!$1:$1016,COLUMN($E$1),FALSE)/(LEN(VLOOKUP($D113,素材!$1:$1016,COLUMN($F$1),FALSE))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Q113">
        <f>IF(ISNUMBER(SEARCH(SUBSTITUTE(AQ$1,RIGHT(AQ$1,2),""),VLOOKUP($D113,素材!$1:$1016,COLUMN($F$1),FALSE))),VLOOKUP($C113,装備品!$1:$998,COLUMN($O$1),FALSE)*VLOOKUP($D113,素材!$1:$1016,COLUMN($E$1),FALSE)/(LEN(VLOOKUP($D113,素材!$1:$1016,COLUMN($F$1),FALSE))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R113">
        <f>IF(ISNUMBER(SEARCH(SUBSTITUTE(AR$1,RIGHT(AR$1,2),""),VLOOKUP($D113,素材!$1:$1016,COLUMN($F$1),FALSE))),VLOOKUP($C113,装備品!$1:$998,COLUMN($O$1),FALSE)*VLOOKUP($D113,素材!$1:$1016,COLUMN($E$1),FALSE)/(LEN(VLOOKUP($D113,素材!$1:$1016,COLUMN($F$1),FALSE))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S113">
        <f>IF(ISNUMBER(SEARCH(SUBSTITUTE(AS$1,RIGHT(AS$1,2),""),VLOOKUP($D113,素材!$1:$1016,COLUMN($F$1),FALSE))),VLOOKUP($C113,装備品!$1:$998,COLUMN($O$1),FALSE)*VLOOKUP($D113,素材!$1:$1016,COLUMN($E$1),FALSE)/(LEN(VLOOKUP($D113,素材!$1:$1016,COLUMN($F$1),FALSE))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T113">
        <f>IF(ISNUMBER(SEARCH(SUBSTITUTE(AT$1,RIGHT(AT$1,2),""),VLOOKUP($D113,素材!$1:$1016,COLUMN($F$1),FALSE))),VLOOKUP($C113,装備品!$1:$998,COLUMN($O$1),FALSE)*VLOOKUP($D113,素材!$1:$1016,COLUMN($E$1),FALSE)/(LEN(VLOOKUP($D113,素材!$1:$1016,COLUMN($F$1),FALSE))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U113">
        <f>IF(ISNUMBER(SEARCH(SUBSTITUTE(AU$1,RIGHT(AU$1,2),""),VLOOKUP($D113,素材!$1:$1016,COLUMN($F$1),FALSE))),VLOOKUP($C113,装備品!$1:$998,COLUMN($O$1),FALSE)*VLOOKUP($D113,素材!$1:$1016,COLUMN($E$1),FALSE)/(LEN(VLOOKUP($D113,素材!$1:$1016,COLUMN($F$1),FALSE))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V113">
        <f>IF(ISNUMBER(SEARCH(SUBSTITUTE(AV$1,RIGHT(AV$1,2),""),VLOOKUP($D113,素材!$1:$1016,COLUMN($F$1),FALSE))),VLOOKUP($C113,装備品!$1:$998,COLUMN($O$1),FALSE)*VLOOKUP($D113,素材!$1:$1016,COLUMN($E$1),FALSE)/(LEN(VLOOKUP($D113,素材!$1:$1016,COLUMN($F$1),FALSE))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W113">
        <f>IF(ISNUMBER(SEARCH(SUBSTITUTE(AW$1,RIGHT(AW$1,2),""),VLOOKUP($D113,素材!$1:$1016,COLUMN($F$1),FALSE))),VLOOKUP($C113,装備品!$1:$998,COLUMN($O$1),FALSE)*VLOOKUP($D113,素材!$1:$1016,COLUMN($E$1),FALSE)/(LEN(VLOOKUP($D113,素材!$1:$1016,COLUMN($F$1),FALSE))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X113">
        <f>IF(ISNUMBER(SEARCH(SUBSTITUTE(AX$1,RIGHT(AX$1,2),""),VLOOKUP($D113,素材!$1:$1016,COLUMN($F$1),FALSE))),VLOOKUP($C113,装備品!$1:$998,COLUMN($O$1),FALSE)*VLOOKUP($D113,素材!$1:$1016,COLUMN($E$1),FALSE)/(LEN(VLOOKUP($D113,素材!$1:$1016,COLUMN($F$1),FALSE))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Y113">
        <f>IF(ISNUMBER(SEARCH(SUBSTITUTE(AY$1,RIGHT(AY$1,2),""),VLOOKUP($D113,素材!$1:$1016,COLUMN($F$1),FALSE))),VLOOKUP($C113,装備品!$1:$998,COLUMN($O$1),FALSE)*VLOOKUP($D113,素材!$1:$1016,COLUMN($E$1),FALSE)/(LEN(VLOOKUP($D113,素材!$1:$1016,COLUMN($F$1),FALSE))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Z113">
        <f>IF(ISNUMBER(SEARCH(SUBSTITUTE(AZ$1,RIGHT(AZ$1,2),""),VLOOKUP($D113,素材!$1:$1016,COLUMN($F$1),FALSE))),VLOOKUP($C113,装備品!$1:$998,COLUMN($O$1),FALSE)*VLOOKUP($D113,素材!$1:$1016,COLUMN($E$1),FALSE)/(LEN(VLOOKUP($D113,素材!$1:$1016,COLUMN($F$1),FALSE))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BA113">
        <f>IF(ISNUMBER(SEARCH(SUBSTITUTE(BA$1,RIGHT(BA$1,2),""),VLOOKUP($D113,素材!$1:$1016,COLUMN($F$1),FALSE))),VLOOKUP($C113,装備品!$1:$998,COLUMN($O$1),FALSE)*VLOOKUP($D113,素材!$1:$1016,COLUMN($E$1),FALSE)/(LEN(VLOOKUP($D113,素材!$1:$1016,COLUMN($F$1),FALSE))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BB113">
        <f>IF(ISNUMBER(SEARCH(SUBSTITUTE(BB$1,RIGHT(BB$1,2),""),VLOOKUP($D113,素材!$1:$1016,COLUMN($F$1),FALSE))),VLOOKUP($C113,装備品!$1:$998,COLUMN($O$1),FALSE)*VLOOKUP($D113,素材!$1:$1016,COLUMN($E$1),FALSE)/(LEN(VLOOKUP($D113,素材!$1:$1016,COLUMN($F$1),FALSE))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BC113">
        <f>IF(ISNUMBER(SEARCH(SUBSTITUTE(BC$1,RIGHT(BC$1,2),""),VLOOKUP($D113,素材!$1:$1016,COLUMN($F$1),FALSE))),VLOOKUP($C113,装備品!$1:$998,COLUMN($O$1),FALSE)*VLOOKUP($D113,素材!$1:$1016,COLUMN($E$1),FALSE)/(LEN(VLOOKUP($D113,素材!$1:$1016,COLUMN($F$1),FALSE))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BD113">
        <f>IF(ISNUMBER(SEARCH(SUBSTITUTE(BD$1,RIGHT(BD$1,2),""),VLOOKUP($D113,素材!$1:$1016,COLUMN($F$1),FALSE))),VLOOKUP($C113,装備品!$1:$998,COLUMN($O$1),FALSE)*VLOOKUP($D113,素材!$1:$1016,COLUMN($E$1),FALSE)/(LEN(VLOOKUP($D113,素材!$1:$1016,COLUMN($F$1),FALSE))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BE113">
        <f>IF(ISNUMBER(SEARCH(SUBSTITUTE(BE$1,RIGHT(BE$1,2),""),VLOOKUP($D113,素材!$1:$1016,COLUMN($F$1),FALSE))),VLOOKUP($C113,装備品!$1:$998,COLUMN($O$1),FALSE)*VLOOKUP($D113,素材!$1:$1016,COLUMN($E$1),FALSE)/(LEN(VLOOKUP($D113,素材!$1:$1016,COLUMN($F$1),FALSE))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CL113">
        <f t="shared" si="7"/>
        <v>0</v>
      </c>
      <c r="CM113" s="22" t="str">
        <f t="shared" si="8"/>
        <v>体.webp</v>
      </c>
      <c r="CN113">
        <f>IFERROR(VLOOKUP($C113,装備品!$1:$998,COLUMN(V$1),FALSE)*VLOOKUP($D113,素材!$1:$1016,COLUMN(N$1),FALSE)+IF(CI113="",0,VLOOKUP($CI113,付与!$1:$1176,COLUMN($CK$1),FALSE)),"")</f>
        <v>0</v>
      </c>
      <c r="CO113" t="str">
        <f>VLOOKUP(D113,素材!$A:$O,COLUMN(素材!O$1),FALSE)</f>
        <v>鍛えられた鉄。硬度が高く安価なためよく使用される。</v>
      </c>
      <c r="CP113" t="str">
        <f>VLOOKUP(C113,装備品!$A:$AB,COLUMN(装備品!AB$1),FALSE)</f>
        <v>HP 物理 魔法 体幹 出血 疲労 Cr</v>
      </c>
      <c r="CR113" t="str">
        <f t="shared" si="9"/>
        <v>e_113</v>
      </c>
      <c r="CS113">
        <f t="shared" si="10"/>
        <v>0</v>
      </c>
    </row>
    <row r="114" spans="1:97" outlineLevel="1" x14ac:dyDescent="0.4">
      <c r="A114" t="str">
        <f t="shared" si="11"/>
        <v>鋼の靴</v>
      </c>
      <c r="B114" t="str">
        <f>IFERROR(VLOOKUP($D114,素材!$1:$1016,COLUMN($B$1),FALSE)&amp;"・"&amp;VLOOKUP($C114,装備品!$1:$998,COLUMN(B$1),FALSE),"")</f>
        <v>スチール・ブーツ</v>
      </c>
      <c r="C114" t="s">
        <v>205</v>
      </c>
      <c r="D114" s="24" t="s">
        <v>252</v>
      </c>
      <c r="E114" t="str">
        <f>IFERROR(VLOOKUP(C114,装備品!$1:$998,COLUMN(C$1),FALSE),"")</f>
        <v>足</v>
      </c>
      <c r="F114">
        <f>IFERROR(ROUNDDOWN((VLOOKUP($C114,装備品!$1:$998,COLUMN(D$1),FALSE)+IFERROR(VLOOKUP($CI114,付与!$1:$1167,COLUMN(F$1),FALSE),0))*VLOOKUP($D114,素材!$1:$1016,COLUMN(D$1),FALSE),0),"")</f>
        <v>0</v>
      </c>
      <c r="G114">
        <f>IFERROR(ROUNDDOWN((VLOOKUP($C114,装備品!$1:$998,COLUMN(E$1),FALSE)+IFERROR(VLOOKUP($CI114,付与!$1:$1167,COLUMN(G$1),FALSE),0))*VLOOKUP($D114,素材!$1:$1016,COLUMN($E$1),FALSE),0),"")</f>
        <v>0</v>
      </c>
      <c r="H114">
        <f>IFERROR(ROUNDDOWN((VLOOKUP($C114,装備品!$1:$998,COLUMN(F$1),FALSE)+IFERROR(VLOOKUP($CI114,付与!$1:$1167,COLUMN(H$1),FALSE),0))*VLOOKUP($D114,素材!$1:$1016,COLUMN($E$1),FALSE),0),"")</f>
        <v>0</v>
      </c>
      <c r="I114">
        <f>IFERROR(ROUNDDOWN((VLOOKUP($C114,装備品!$1:$998,COLUMN(G$1),FALSE)+IFERROR(VLOOKUP($CI114,付与!$1:$1167,COLUMN(I$1),FALSE),0))*VLOOKUP($D114,素材!$1:$1016,COLUMN($E$1),FALSE),0),"")</f>
        <v>27</v>
      </c>
      <c r="J114">
        <f>IFERROR(ROUNDDOWN((VLOOKUP($C114,装備品!$1:$998,COLUMN(H$1),FALSE)+IFERROR(VLOOKUP($CI114,付与!$1:$1167,COLUMN(J$1),FALSE),0))*VLOOKUP($D114,素材!$1:$1016,COLUMN($E$1),FALSE),0),"")</f>
        <v>0</v>
      </c>
      <c r="K114">
        <f>IFERROR(ROUNDDOWN((VLOOKUP($C114,装備品!$1:$998,COLUMN(I$1),FALSE)+IFERROR(VLOOKUP($CI114,付与!$1:$1167,COLUMN(K$1),FALSE),0))*VLOOKUP($D114,素材!$1:$1016,COLUMN($E$1),FALSE),0),"")</f>
        <v>0</v>
      </c>
      <c r="L114">
        <f>IFERROR(VLOOKUP($D114,素材!$1:$1016,COLUMN($F$1),FALSE),"")</f>
        <v>0</v>
      </c>
      <c r="M114">
        <f>IFERROR(VLOOKUP($C114,装備品!$1:$998,COLUMN(AA$1),FALSE)*VLOOKUP($D114,素材!$1:$1016,COLUMN($G$1),FALSE),"")</f>
        <v>0</v>
      </c>
      <c r="N114">
        <f>IFERROR(VLOOKUP($C114,装備品!$1:$998,COLUMN(I$1),FALSE),"")</f>
        <v>0</v>
      </c>
      <c r="O114" s="23">
        <f>IFERROR((VLOOKUP($C114,装備品!$1:$998,COLUMN(K$1),FALSE)+VLOOKUP($D114,素材!$1:$1016,COLUMN(H$1),FALSE))*100+IFERROR(VLOOKUP($CI114,付与!$1:$1167,COLUMN(O$1),FALSE),0),"")</f>
        <v>10</v>
      </c>
      <c r="P114" s="23">
        <f>IFERROR((VLOOKUP($C114,装備品!$1:$998,COLUMN(L$1),FALSE)+VLOOKUP($D114,素材!$1:$1016,COLUMN(I$1),FALSE))*100+IFERROR(VLOOKUP($CI114,付与!$1:$1167,COLUMN(P$1),FALSE),0),"")</f>
        <v>150</v>
      </c>
      <c r="Q114">
        <f>IFERROR(ROUNDUP(VLOOKUP($C114,装備品!$1:$998,COLUMN(M$1),FALSE)*(VLOOKUP($D114,素材!$1:$1002,COLUMN(D$1),FALSE)/100),1),"")</f>
        <v>0</v>
      </c>
      <c r="R114">
        <f>IFERROR(ROUNDUP(VLOOKUP($C114,装備品!$1:$998,COLUMN(N$1),FALSE)*(VLOOKUP($D114,素材!$1:$1002,COLUMN(D$1),FALSE)/100),1),"")</f>
        <v>0</v>
      </c>
      <c r="S114">
        <f>IFERROR(VLOOKUP($C114,装備品!$1:$998,COLUMN(P$1),FALSE),"")</f>
        <v>0</v>
      </c>
      <c r="T114">
        <f>IFERROR(VLOOKUP($C114,装備品!$1:$998,COLUMN(Q$1),FALSE),"")</f>
        <v>0</v>
      </c>
      <c r="U114">
        <f>IFERROR(VLOOKUP($C114,装備品!$1:$998,COLUMN(R$1),FALSE),"")</f>
        <v>0</v>
      </c>
      <c r="V114">
        <f>IFERROR(VLOOKUP($C114,装備品!$1:$998,COLUMN(Q$1),FALSE),"")</f>
        <v>0</v>
      </c>
      <c r="W114">
        <f>IFERROR(VLOOKUP($C114,装備品!$1:$998,COLUMN(T$1),FALSE),"")</f>
        <v>0.15</v>
      </c>
      <c r="Y114">
        <f>IFERROR(VLOOKUP($C114,装備品!$1:$998,COLUMN(U$1),FALSE),"")</f>
        <v>0</v>
      </c>
      <c r="Z114">
        <f>IFERROR(ROUNDUP(VLOOKUP($C114,装備品!$1:$998,COLUMN(O$1),FALSE)*VLOOKUP($D114,素材!$1:$1016,COLUMN(E$1),FALSE),1),"")</f>
        <v>0</v>
      </c>
      <c r="AA114">
        <f>IF(ISNUMBER(SEARCH(SUBSTITUTE(AA$1,RIGHT(AA$1,2),""),VLOOKUP($D114,素材!$1:$1016,COLUMN($F$1),FALSE))),VLOOKUP($C114,装備品!$1:$998,COLUMN($O$1),FALSE)*VLOOKUP($D114,素材!$1:$1016,COLUMN($E$1),FALSE)/(LEN(VLOOKUP($D114,素材!$1:$1016,COLUMN($F$1),FALSE))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B114">
        <f>IF(ISNUMBER(SEARCH(SUBSTITUTE(AB$1,RIGHT(AB$1,2),""),VLOOKUP($D114,素材!$1:$1016,COLUMN($F$1),FALSE))),VLOOKUP($C114,装備品!$1:$998,COLUMN($O$1),FALSE)*VLOOKUP($D114,素材!$1:$1016,COLUMN($E$1),FALSE)/(LEN(VLOOKUP($D114,素材!$1:$1016,COLUMN($F$1),FALSE))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C114">
        <f>IF(ISNUMBER(SEARCH(SUBSTITUTE(AC$1,RIGHT(AC$1,2),""),VLOOKUP($D114,素材!$1:$1016,COLUMN($F$1),FALSE))),VLOOKUP($C114,装備品!$1:$998,COLUMN($O$1),FALSE)*VLOOKUP($D114,素材!$1:$1016,COLUMN($E$1),FALSE)/(LEN(VLOOKUP($D114,素材!$1:$1016,COLUMN($F$1),FALSE))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D114">
        <f>IF(ISNUMBER(SEARCH(SUBSTITUTE(AD$1,RIGHT(AD$1,2),""),VLOOKUP($D114,素材!$1:$1016,COLUMN($F$1),FALSE))),VLOOKUP($C114,装備品!$1:$998,COLUMN($O$1),FALSE)*VLOOKUP($D114,素材!$1:$1016,COLUMN($E$1),FALSE)/(LEN(VLOOKUP($D114,素材!$1:$1016,COLUMN($F$1),FALSE))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E114">
        <f>IF(ISNUMBER(SEARCH(SUBSTITUTE(AE$1,RIGHT(AE$1,2),""),VLOOKUP($D114,素材!$1:$1016,COLUMN($F$1),FALSE))),VLOOKUP($C114,装備品!$1:$998,COLUMN($O$1),FALSE)*VLOOKUP($D114,素材!$1:$1016,COLUMN($E$1),FALSE)/(LEN(VLOOKUP($D114,素材!$1:$1016,COLUMN($F$1),FALSE))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F114">
        <f>IF(ISNUMBER(SEARCH(SUBSTITUTE(AF$1,RIGHT(AF$1,2),""),VLOOKUP($D114,素材!$1:$1016,COLUMN($F$1),FALSE))),VLOOKUP($C114,装備品!$1:$998,COLUMN($O$1),FALSE)*VLOOKUP($D114,素材!$1:$1016,COLUMN($E$1),FALSE)/(LEN(VLOOKUP($D114,素材!$1:$1016,COLUMN($F$1),FALSE))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G114">
        <f>IF(ISNUMBER(SEARCH(SUBSTITUTE(AG$1,RIGHT(AG$1,2),""),VLOOKUP($D114,素材!$1:$1016,COLUMN($F$1),FALSE))),VLOOKUP($C114,装備品!$1:$998,COLUMN($O$1),FALSE)*VLOOKUP($D114,素材!$1:$1016,COLUMN($E$1),FALSE)/(LEN(VLOOKUP($D114,素材!$1:$1016,COLUMN($F$1),FALSE))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H114">
        <f>IF(ISNUMBER(SEARCH(SUBSTITUTE(AH$1,RIGHT(AH$1,2),""),VLOOKUP($D114,素材!$1:$1016,COLUMN($F$1),FALSE))),VLOOKUP($C114,装備品!$1:$998,COLUMN($O$1),FALSE)*VLOOKUP($D114,素材!$1:$1016,COLUMN($E$1),FALSE)/(LEN(VLOOKUP($D114,素材!$1:$1016,COLUMN($F$1),FALSE))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I114">
        <f>IF(ISNUMBER(SEARCH(SUBSTITUTE(AI$1,RIGHT(AI$1,2),""),VLOOKUP($D114,素材!$1:$1016,COLUMN($F$1),FALSE))),VLOOKUP($C114,装備品!$1:$998,COLUMN($O$1),FALSE)*VLOOKUP($D114,素材!$1:$1016,COLUMN($E$1),FALSE)/(LEN(VLOOKUP($D114,素材!$1:$1016,COLUMN($F$1),FALSE))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J114">
        <f>IF(ISNUMBER(SEARCH(SUBSTITUTE(AJ$1,RIGHT(AJ$1,2),""),VLOOKUP($D114,素材!$1:$1016,COLUMN($F$1),FALSE))),VLOOKUP($C114,装備品!$1:$998,COLUMN($O$1),FALSE)*VLOOKUP($D114,素材!$1:$1016,COLUMN($E$1),FALSE)/(LEN(VLOOKUP($D114,素材!$1:$1016,COLUMN($F$1),FALSE))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K114">
        <f>IF(ISNUMBER(SEARCH(SUBSTITUTE(AK$1,RIGHT(AK$1,2),""),VLOOKUP($D114,素材!$1:$1016,COLUMN($F$1),FALSE))),VLOOKUP($C114,装備品!$1:$998,COLUMN($O$1),FALSE)*VLOOKUP($D114,素材!$1:$1016,COLUMN($E$1),FALSE)/(LEN(VLOOKUP($D114,素材!$1:$1016,COLUMN($F$1),FALSE))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L114">
        <f>IF(ISNUMBER(SEARCH(SUBSTITUTE(AL$1,RIGHT(AL$1,2),""),VLOOKUP($D114,素材!$1:$1016,COLUMN($F$1),FALSE))),VLOOKUP($C114,装備品!$1:$998,COLUMN($O$1),FALSE)*VLOOKUP($D114,素材!$1:$1016,COLUMN($E$1),FALSE)/(LEN(VLOOKUP($D114,素材!$1:$1016,COLUMN($F$1),FALSE))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M114">
        <f>IF(ISNUMBER(SEARCH(SUBSTITUTE(AM$1,RIGHT(AM$1,2),""),VLOOKUP($D114,素材!$1:$1016,COLUMN($F$1),FALSE))),VLOOKUP($C114,装備品!$1:$998,COLUMN($O$1),FALSE)*VLOOKUP($D114,素材!$1:$1016,COLUMN($E$1),FALSE)/(LEN(VLOOKUP($D114,素材!$1:$1016,COLUMN($F$1),FALSE))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N114">
        <f>IF(ISNUMBER(SEARCH(SUBSTITUTE(AN$1,RIGHT(AN$1,2),""),VLOOKUP($D114,素材!$1:$1016,COLUMN($F$1),FALSE))),VLOOKUP($C114,装備品!$1:$998,COLUMN($O$1),FALSE)*VLOOKUP($D114,素材!$1:$1016,COLUMN($E$1),FALSE)/(LEN(VLOOKUP($D114,素材!$1:$1016,COLUMN($F$1),FALSE))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O114">
        <f>IF(ISNUMBER(SEARCH(SUBSTITUTE(AO$1,RIGHT(AO$1,2),""),VLOOKUP($D114,素材!$1:$1016,COLUMN($F$1),FALSE))),VLOOKUP($C114,装備品!$1:$998,COLUMN($O$1),FALSE)*VLOOKUP($D114,素材!$1:$1016,COLUMN($E$1),FALSE)/(LEN(VLOOKUP($D114,素材!$1:$1016,COLUMN($F$1),FALSE))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P114">
        <f>IF(ISNUMBER(SEARCH(SUBSTITUTE(AP$1,RIGHT(AP$1,2),""),VLOOKUP($D114,素材!$1:$1016,COLUMN($F$1),FALSE))),VLOOKUP($C114,装備品!$1:$998,COLUMN($O$1),FALSE)*VLOOKUP($D114,素材!$1:$1016,COLUMN($E$1),FALSE)/(LEN(VLOOKUP($D114,素材!$1:$1016,COLUMN($F$1),FALSE))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Q114">
        <f>IF(ISNUMBER(SEARCH(SUBSTITUTE(AQ$1,RIGHT(AQ$1,2),""),VLOOKUP($D114,素材!$1:$1016,COLUMN($F$1),FALSE))),VLOOKUP($C114,装備品!$1:$998,COLUMN($O$1),FALSE)*VLOOKUP($D114,素材!$1:$1016,COLUMN($E$1),FALSE)/(LEN(VLOOKUP($D114,素材!$1:$1016,COLUMN($F$1),FALSE))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R114">
        <f>IF(ISNUMBER(SEARCH(SUBSTITUTE(AR$1,RIGHT(AR$1,2),""),VLOOKUP($D114,素材!$1:$1016,COLUMN($F$1),FALSE))),VLOOKUP($C114,装備品!$1:$998,COLUMN($O$1),FALSE)*VLOOKUP($D114,素材!$1:$1016,COLUMN($E$1),FALSE)/(LEN(VLOOKUP($D114,素材!$1:$1016,COLUMN($F$1),FALSE))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S114">
        <f>IF(ISNUMBER(SEARCH(SUBSTITUTE(AS$1,RIGHT(AS$1,2),""),VLOOKUP($D114,素材!$1:$1016,COLUMN($F$1),FALSE))),VLOOKUP($C114,装備品!$1:$998,COLUMN($O$1),FALSE)*VLOOKUP($D114,素材!$1:$1016,COLUMN($E$1),FALSE)/(LEN(VLOOKUP($D114,素材!$1:$1016,COLUMN($F$1),FALSE))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T114">
        <f>IF(ISNUMBER(SEARCH(SUBSTITUTE(AT$1,RIGHT(AT$1,2),""),VLOOKUP($D114,素材!$1:$1016,COLUMN($F$1),FALSE))),VLOOKUP($C114,装備品!$1:$998,COLUMN($O$1),FALSE)*VLOOKUP($D114,素材!$1:$1016,COLUMN($E$1),FALSE)/(LEN(VLOOKUP($D114,素材!$1:$1016,COLUMN($F$1),FALSE))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U114">
        <f>IF(ISNUMBER(SEARCH(SUBSTITUTE(AU$1,RIGHT(AU$1,2),""),VLOOKUP($D114,素材!$1:$1016,COLUMN($F$1),FALSE))),VLOOKUP($C114,装備品!$1:$998,COLUMN($O$1),FALSE)*VLOOKUP($D114,素材!$1:$1016,COLUMN($E$1),FALSE)/(LEN(VLOOKUP($D114,素材!$1:$1016,COLUMN($F$1),FALSE))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V114">
        <f>IF(ISNUMBER(SEARCH(SUBSTITUTE(AV$1,RIGHT(AV$1,2),""),VLOOKUP($D114,素材!$1:$1016,COLUMN($F$1),FALSE))),VLOOKUP($C114,装備品!$1:$998,COLUMN($O$1),FALSE)*VLOOKUP($D114,素材!$1:$1016,COLUMN($E$1),FALSE)/(LEN(VLOOKUP($D114,素材!$1:$1016,COLUMN($F$1),FALSE))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W114">
        <f>IF(ISNUMBER(SEARCH(SUBSTITUTE(AW$1,RIGHT(AW$1,2),""),VLOOKUP($D114,素材!$1:$1016,COLUMN($F$1),FALSE))),VLOOKUP($C114,装備品!$1:$998,COLUMN($O$1),FALSE)*VLOOKUP($D114,素材!$1:$1016,COLUMN($E$1),FALSE)/(LEN(VLOOKUP($D114,素材!$1:$1016,COLUMN($F$1),FALSE))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X114">
        <f>IF(ISNUMBER(SEARCH(SUBSTITUTE(AX$1,RIGHT(AX$1,2),""),VLOOKUP($D114,素材!$1:$1016,COLUMN($F$1),FALSE))),VLOOKUP($C114,装備品!$1:$998,COLUMN($O$1),FALSE)*VLOOKUP($D114,素材!$1:$1016,COLUMN($E$1),FALSE)/(LEN(VLOOKUP($D114,素材!$1:$1016,COLUMN($F$1),FALSE))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Y114">
        <f>IF(ISNUMBER(SEARCH(SUBSTITUTE(AY$1,RIGHT(AY$1,2),""),VLOOKUP($D114,素材!$1:$1016,COLUMN($F$1),FALSE))),VLOOKUP($C114,装備品!$1:$998,COLUMN($O$1),FALSE)*VLOOKUP($D114,素材!$1:$1016,COLUMN($E$1),FALSE)/(LEN(VLOOKUP($D114,素材!$1:$1016,COLUMN($F$1),FALSE))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Z114">
        <f>IF(ISNUMBER(SEARCH(SUBSTITUTE(AZ$1,RIGHT(AZ$1,2),""),VLOOKUP($D114,素材!$1:$1016,COLUMN($F$1),FALSE))),VLOOKUP($C114,装備品!$1:$998,COLUMN($O$1),FALSE)*VLOOKUP($D114,素材!$1:$1016,COLUMN($E$1),FALSE)/(LEN(VLOOKUP($D114,素材!$1:$1016,COLUMN($F$1),FALSE))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BA114">
        <f>IF(ISNUMBER(SEARCH(SUBSTITUTE(BA$1,RIGHT(BA$1,2),""),VLOOKUP($D114,素材!$1:$1016,COLUMN($F$1),FALSE))),VLOOKUP($C114,装備品!$1:$998,COLUMN($O$1),FALSE)*VLOOKUP($D114,素材!$1:$1016,COLUMN($E$1),FALSE)/(LEN(VLOOKUP($D114,素材!$1:$1016,COLUMN($F$1),FALSE))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BB114">
        <f>IF(ISNUMBER(SEARCH(SUBSTITUTE(BB$1,RIGHT(BB$1,2),""),VLOOKUP($D114,素材!$1:$1016,COLUMN($F$1),FALSE))),VLOOKUP($C114,装備品!$1:$998,COLUMN($O$1),FALSE)*VLOOKUP($D114,素材!$1:$1016,COLUMN($E$1),FALSE)/(LEN(VLOOKUP($D114,素材!$1:$1016,COLUMN($F$1),FALSE))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BC114">
        <f>IF(ISNUMBER(SEARCH(SUBSTITUTE(BC$1,RIGHT(BC$1,2),""),VLOOKUP($D114,素材!$1:$1016,COLUMN($F$1),FALSE))),VLOOKUP($C114,装備品!$1:$998,COLUMN($O$1),FALSE)*VLOOKUP($D114,素材!$1:$1016,COLUMN($E$1),FALSE)/(LEN(VLOOKUP($D114,素材!$1:$1016,COLUMN($F$1),FALSE))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BD114">
        <f>IF(ISNUMBER(SEARCH(SUBSTITUTE(BD$1,RIGHT(BD$1,2),""),VLOOKUP($D114,素材!$1:$1016,COLUMN($F$1),FALSE))),VLOOKUP($C114,装備品!$1:$998,COLUMN($O$1),FALSE)*VLOOKUP($D114,素材!$1:$1016,COLUMN($E$1),FALSE)/(LEN(VLOOKUP($D114,素材!$1:$1016,COLUMN($F$1),FALSE))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BE114">
        <f>IF(ISNUMBER(SEARCH(SUBSTITUTE(BE$1,RIGHT(BE$1,2),""),VLOOKUP($D114,素材!$1:$1016,COLUMN($F$1),FALSE))),VLOOKUP($C114,装備品!$1:$998,COLUMN($O$1),FALSE)*VLOOKUP($D114,素材!$1:$1016,COLUMN($E$1),FALSE)/(LEN(VLOOKUP($D114,素材!$1:$1016,COLUMN($F$1),FALSE))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CL114">
        <f t="shared" si="7"/>
        <v>27</v>
      </c>
      <c r="CM114" s="22" t="str">
        <f t="shared" si="8"/>
        <v>足.webp</v>
      </c>
      <c r="CN114">
        <f>IFERROR(VLOOKUP($C114,装備品!$1:$998,COLUMN(V$1),FALSE)*VLOOKUP($D114,素材!$1:$1016,COLUMN(N$1),FALSE)+IF(CI114="",0,VLOOKUP($CI114,付与!$1:$1176,COLUMN($CK$1),FALSE)),"")</f>
        <v>0</v>
      </c>
      <c r="CO114" t="str">
        <f>VLOOKUP(D114,素材!$A:$O,COLUMN(素材!O$1),FALSE)</f>
        <v>鍛えられた鉄。硬度が高く安価なためよく使用される。</v>
      </c>
      <c r="CP114" t="str">
        <f>VLOOKUP(C114,装備品!$A:$AB,COLUMN(装備品!AB$1),FALSE)</f>
        <v>速度 隠密 軽業 体幹</v>
      </c>
      <c r="CR114" t="str">
        <f t="shared" si="9"/>
        <v>e_114</v>
      </c>
      <c r="CS114">
        <f t="shared" si="10"/>
        <v>0</v>
      </c>
    </row>
    <row r="115" spans="1:97" x14ac:dyDescent="0.4">
      <c r="A115" t="str">
        <f t="shared" si="11"/>
        <v>の</v>
      </c>
      <c r="B115" t="str">
        <f>IFERROR(VLOOKUP($D115,素材!$1:$1016,COLUMN($B$1),FALSE)&amp;"・"&amp;VLOOKUP($C115,装備品!$1:$998,COLUMN(B$1),FALSE),"")</f>
        <v/>
      </c>
      <c r="D115" s="24"/>
      <c r="E115" t="str">
        <f>IFERROR(VLOOKUP(C115,装備品!$1:$998,COLUMN(C$1),FALSE),"")</f>
        <v/>
      </c>
      <c r="F115" t="str">
        <f>IFERROR(ROUNDDOWN((VLOOKUP($C115,装備品!$1:$998,COLUMN(D$1),FALSE)+IFERROR(VLOOKUP($CI115,付与!$1:$1167,COLUMN(F$1),FALSE),0))*VLOOKUP($D115,素材!$1:$1016,COLUMN(D$1),FALSE),0),"")</f>
        <v/>
      </c>
      <c r="G115" t="str">
        <f>IFERROR(ROUNDDOWN((VLOOKUP($C115,装備品!$1:$998,COLUMN(E$1),FALSE)+IFERROR(VLOOKUP($CI115,付与!$1:$1167,COLUMN(G$1),FALSE),0))*VLOOKUP($D115,素材!$1:$1016,COLUMN($E$1),FALSE),0),"")</f>
        <v/>
      </c>
      <c r="H115" t="str">
        <f>IFERROR(ROUNDDOWN((VLOOKUP($C115,装備品!$1:$998,COLUMN(F$1),FALSE)+IFERROR(VLOOKUP($CI115,付与!$1:$1167,COLUMN(H$1),FALSE),0))*VLOOKUP($D115,素材!$1:$1016,COLUMN($E$1),FALSE),0),"")</f>
        <v/>
      </c>
      <c r="I115" t="str">
        <f>IFERROR(ROUNDDOWN((VLOOKUP($C115,装備品!$1:$998,COLUMN(G$1),FALSE)+IFERROR(VLOOKUP($CI115,付与!$1:$1167,COLUMN(I$1),FALSE),0))*VLOOKUP($D115,素材!$1:$1016,COLUMN($E$1),FALSE),0),"")</f>
        <v/>
      </c>
      <c r="J115" t="str">
        <f>IFERROR(ROUNDDOWN((VLOOKUP($C115,装備品!$1:$998,COLUMN(H$1),FALSE)+IFERROR(VLOOKUP($CI115,付与!$1:$1167,COLUMN(J$1),FALSE),0))*VLOOKUP($D115,素材!$1:$1016,COLUMN($E$1),FALSE),0),"")</f>
        <v/>
      </c>
      <c r="K115" t="str">
        <f>IFERROR(ROUNDDOWN((VLOOKUP($C115,装備品!$1:$998,COLUMN(I$1),FALSE)+IFERROR(VLOOKUP($CI115,付与!$1:$1167,COLUMN(K$1),FALSE),0))*VLOOKUP($D115,素材!$1:$1016,COLUMN($E$1),FALSE),0),"")</f>
        <v/>
      </c>
      <c r="L115" t="str">
        <f>IFERROR(VLOOKUP($D115,素材!$1:$1016,COLUMN($F$1),FALSE),"")</f>
        <v/>
      </c>
      <c r="M115" t="str">
        <f>IFERROR(VLOOKUP($C115,装備品!$1:$998,COLUMN(AA$1),FALSE)*VLOOKUP($D115,素材!$1:$1016,COLUMN($G$1),FALSE),"")</f>
        <v/>
      </c>
      <c r="N115" t="str">
        <f>IFERROR(VLOOKUP($C115,装備品!$1:$998,COLUMN(I$1),FALSE),"")</f>
        <v/>
      </c>
      <c r="O115" s="23" t="str">
        <f>IFERROR((VLOOKUP($C115,装備品!$1:$998,COLUMN(K$1),FALSE)+VLOOKUP($D115,素材!$1:$1016,COLUMN(H$1),FALSE))*100+IFERROR(VLOOKUP($CI115,付与!$1:$1167,COLUMN(O$1),FALSE),0),"")</f>
        <v/>
      </c>
      <c r="P115" s="23" t="str">
        <f>IFERROR((VLOOKUP($C115,装備品!$1:$998,COLUMN(L$1),FALSE)+VLOOKUP($D115,素材!$1:$1016,COLUMN(I$1),FALSE))*100+IFERROR(VLOOKUP($CI115,付与!$1:$1167,COLUMN(P$1),FALSE),0),"")</f>
        <v/>
      </c>
      <c r="Q115" t="str">
        <f>IFERROR(ROUNDUP(VLOOKUP($C115,装備品!$1:$998,COLUMN(M$1),FALSE)*(VLOOKUP($D115,素材!$1:$1002,COLUMN(D$1),FALSE)/100),1),"")</f>
        <v/>
      </c>
      <c r="R115" t="str">
        <f>IFERROR(ROUNDUP(VLOOKUP($C115,装備品!$1:$998,COLUMN(N$1),FALSE)*(VLOOKUP($D115,素材!$1:$1002,COLUMN(D$1),FALSE)/100),1),"")</f>
        <v/>
      </c>
      <c r="S115" t="str">
        <f>IFERROR(VLOOKUP($C115,装備品!$1:$998,COLUMN(P$1),FALSE),"")</f>
        <v/>
      </c>
      <c r="T115" t="str">
        <f>IFERROR(VLOOKUP($C115,装備品!$1:$998,COLUMN(Q$1),FALSE),"")</f>
        <v/>
      </c>
      <c r="U115" t="str">
        <f>IFERROR(VLOOKUP($C115,装備品!$1:$998,COLUMN(R$1),FALSE),"")</f>
        <v/>
      </c>
      <c r="V115" t="str">
        <f>IFERROR(VLOOKUP($C115,装備品!$1:$998,COLUMN(Q$1),FALSE),"")</f>
        <v/>
      </c>
      <c r="W115" t="str">
        <f>IFERROR(VLOOKUP($C115,装備品!$1:$998,COLUMN(T$1),FALSE),"")</f>
        <v/>
      </c>
      <c r="Y115" t="str">
        <f>IFERROR(VLOOKUP($C115,装備品!$1:$998,COLUMN(U$1),FALSE),"")</f>
        <v/>
      </c>
      <c r="Z115" t="str">
        <f>IFERROR(ROUNDUP(VLOOKUP($C115,装備品!$1:$998,COLUMN(O$1),FALSE)*VLOOKUP($D115,素材!$1:$1016,COLUMN(E$1),FALSE),1),"")</f>
        <v/>
      </c>
      <c r="AA115">
        <f>IF(ISNUMBER(SEARCH(SUBSTITUTE(AA$1,RIGHT(AA$1,2),""),VLOOKUP($D115,素材!$1:$1016,COLUMN($F$1),FALSE))),VLOOKUP($C115,装備品!$1:$998,COLUMN($O$1),FALSE)*VLOOKUP($D115,素材!$1:$1016,COLUMN($E$1),FALSE)/(LEN(VLOOKUP($D115,素材!$1:$1016,COLUMN($F$1),FALSE))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B115">
        <f>IF(ISNUMBER(SEARCH(SUBSTITUTE(AB$1,RIGHT(AB$1,2),""),VLOOKUP($D115,素材!$1:$1016,COLUMN($F$1),FALSE))),VLOOKUP($C115,装備品!$1:$998,COLUMN($O$1),FALSE)*VLOOKUP($D115,素材!$1:$1016,COLUMN($E$1),FALSE)/(LEN(VLOOKUP($D115,素材!$1:$1016,COLUMN($F$1),FALSE))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C115">
        <f>IF(ISNUMBER(SEARCH(SUBSTITUTE(AC$1,RIGHT(AC$1,2),""),VLOOKUP($D115,素材!$1:$1016,COLUMN($F$1),FALSE))),VLOOKUP($C115,装備品!$1:$998,COLUMN($O$1),FALSE)*VLOOKUP($D115,素材!$1:$1016,COLUMN($E$1),FALSE)/(LEN(VLOOKUP($D115,素材!$1:$1016,COLUMN($F$1),FALSE))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D115">
        <f>IF(ISNUMBER(SEARCH(SUBSTITUTE(AD$1,RIGHT(AD$1,2),""),VLOOKUP($D115,素材!$1:$1016,COLUMN($F$1),FALSE))),VLOOKUP($C115,装備品!$1:$998,COLUMN($O$1),FALSE)*VLOOKUP($D115,素材!$1:$1016,COLUMN($E$1),FALSE)/(LEN(VLOOKUP($D115,素材!$1:$1016,COLUMN($F$1),FALSE))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E115">
        <f>IF(ISNUMBER(SEARCH(SUBSTITUTE(AE$1,RIGHT(AE$1,2),""),VLOOKUP($D115,素材!$1:$1016,COLUMN($F$1),FALSE))),VLOOKUP($C115,装備品!$1:$998,COLUMN($O$1),FALSE)*VLOOKUP($D115,素材!$1:$1016,COLUMN($E$1),FALSE)/(LEN(VLOOKUP($D115,素材!$1:$1016,COLUMN($F$1),FALSE))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F115">
        <f>IF(ISNUMBER(SEARCH(SUBSTITUTE(AF$1,RIGHT(AF$1,2),""),VLOOKUP($D115,素材!$1:$1016,COLUMN($F$1),FALSE))),VLOOKUP($C115,装備品!$1:$998,COLUMN($O$1),FALSE)*VLOOKUP($D115,素材!$1:$1016,COLUMN($E$1),FALSE)/(LEN(VLOOKUP($D115,素材!$1:$1016,COLUMN($F$1),FALSE))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G115">
        <f>IF(ISNUMBER(SEARCH(SUBSTITUTE(AG$1,RIGHT(AG$1,2),""),VLOOKUP($D115,素材!$1:$1016,COLUMN($F$1),FALSE))),VLOOKUP($C115,装備品!$1:$998,COLUMN($O$1),FALSE)*VLOOKUP($D115,素材!$1:$1016,COLUMN($E$1),FALSE)/(LEN(VLOOKUP($D115,素材!$1:$1016,COLUMN($F$1),FALSE))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H115">
        <f>IF(ISNUMBER(SEARCH(SUBSTITUTE(AH$1,RIGHT(AH$1,2),""),VLOOKUP($D115,素材!$1:$1016,COLUMN($F$1),FALSE))),VLOOKUP($C115,装備品!$1:$998,COLUMN($O$1),FALSE)*VLOOKUP($D115,素材!$1:$1016,COLUMN($E$1),FALSE)/(LEN(VLOOKUP($D115,素材!$1:$1016,COLUMN($F$1),FALSE))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I115">
        <f>IF(ISNUMBER(SEARCH(SUBSTITUTE(AI$1,RIGHT(AI$1,2),""),VLOOKUP($D115,素材!$1:$1016,COLUMN($F$1),FALSE))),VLOOKUP($C115,装備品!$1:$998,COLUMN($O$1),FALSE)*VLOOKUP($D115,素材!$1:$1016,COLUMN($E$1),FALSE)/(LEN(VLOOKUP($D115,素材!$1:$1016,COLUMN($F$1),FALSE))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J115">
        <f>IF(ISNUMBER(SEARCH(SUBSTITUTE(AJ$1,RIGHT(AJ$1,2),""),VLOOKUP($D115,素材!$1:$1016,COLUMN($F$1),FALSE))),VLOOKUP($C115,装備品!$1:$998,COLUMN($O$1),FALSE)*VLOOKUP($D115,素材!$1:$1016,COLUMN($E$1),FALSE)/(LEN(VLOOKUP($D115,素材!$1:$1016,COLUMN($F$1),FALSE))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K115">
        <f>IF(ISNUMBER(SEARCH(SUBSTITUTE(AK$1,RIGHT(AK$1,2),""),VLOOKUP($D115,素材!$1:$1016,COLUMN($F$1),FALSE))),VLOOKUP($C115,装備品!$1:$998,COLUMN($O$1),FALSE)*VLOOKUP($D115,素材!$1:$1016,COLUMN($E$1),FALSE)/(LEN(VLOOKUP($D115,素材!$1:$1016,COLUMN($F$1),FALSE))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L115">
        <f>IF(ISNUMBER(SEARCH(SUBSTITUTE(AL$1,RIGHT(AL$1,2),""),VLOOKUP($D115,素材!$1:$1016,COLUMN($F$1),FALSE))),VLOOKUP($C115,装備品!$1:$998,COLUMN($O$1),FALSE)*VLOOKUP($D115,素材!$1:$1016,COLUMN($E$1),FALSE)/(LEN(VLOOKUP($D115,素材!$1:$1016,COLUMN($F$1),FALSE))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M115">
        <f>IF(ISNUMBER(SEARCH(SUBSTITUTE(AM$1,RIGHT(AM$1,2),""),VLOOKUP($D115,素材!$1:$1016,COLUMN($F$1),FALSE))),VLOOKUP($C115,装備品!$1:$998,COLUMN($O$1),FALSE)*VLOOKUP($D115,素材!$1:$1016,COLUMN($E$1),FALSE)/(LEN(VLOOKUP($D115,素材!$1:$1016,COLUMN($F$1),FALSE))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N115">
        <f>IF(ISNUMBER(SEARCH(SUBSTITUTE(AN$1,RIGHT(AN$1,2),""),VLOOKUP($D115,素材!$1:$1016,COLUMN($F$1),FALSE))),VLOOKUP($C115,装備品!$1:$998,COLUMN($O$1),FALSE)*VLOOKUP($D115,素材!$1:$1016,COLUMN($E$1),FALSE)/(LEN(VLOOKUP($D115,素材!$1:$1016,COLUMN($F$1),FALSE))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O115">
        <f>IF(ISNUMBER(SEARCH(SUBSTITUTE(AO$1,RIGHT(AO$1,2),""),VLOOKUP($D115,素材!$1:$1016,COLUMN($F$1),FALSE))),VLOOKUP($C115,装備品!$1:$998,COLUMN($O$1),FALSE)*VLOOKUP($D115,素材!$1:$1016,COLUMN($E$1),FALSE)/(LEN(VLOOKUP($D115,素材!$1:$1016,COLUMN($F$1),FALSE))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P115">
        <f>IF(ISNUMBER(SEARCH(SUBSTITUTE(AP$1,RIGHT(AP$1,2),""),VLOOKUP($D115,素材!$1:$1016,COLUMN($F$1),FALSE))),VLOOKUP($C115,装備品!$1:$998,COLUMN($O$1),FALSE)*VLOOKUP($D115,素材!$1:$1016,COLUMN($E$1),FALSE)/(LEN(VLOOKUP($D115,素材!$1:$1016,COLUMN($F$1),FALSE))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Q115">
        <f>IF(ISNUMBER(SEARCH(SUBSTITUTE(AQ$1,RIGHT(AQ$1,2),""),VLOOKUP($D115,素材!$1:$1016,COLUMN($F$1),FALSE))),VLOOKUP($C115,装備品!$1:$998,COLUMN($O$1),FALSE)*VLOOKUP($D115,素材!$1:$1016,COLUMN($E$1),FALSE)/(LEN(VLOOKUP($D115,素材!$1:$1016,COLUMN($F$1),FALSE))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R115">
        <f>IF(ISNUMBER(SEARCH(SUBSTITUTE(AR$1,RIGHT(AR$1,2),""),VLOOKUP($D115,素材!$1:$1016,COLUMN($F$1),FALSE))),VLOOKUP($C115,装備品!$1:$998,COLUMN($O$1),FALSE)*VLOOKUP($D115,素材!$1:$1016,COLUMN($E$1),FALSE)/(LEN(VLOOKUP($D115,素材!$1:$1016,COLUMN($F$1),FALSE))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S115">
        <f>IF(ISNUMBER(SEARCH(SUBSTITUTE(AS$1,RIGHT(AS$1,2),""),VLOOKUP($D115,素材!$1:$1016,COLUMN($F$1),FALSE))),VLOOKUP($C115,装備品!$1:$998,COLUMN($O$1),FALSE)*VLOOKUP($D115,素材!$1:$1016,COLUMN($E$1),FALSE)/(LEN(VLOOKUP($D115,素材!$1:$1016,COLUMN($F$1),FALSE))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T115">
        <f>IF(ISNUMBER(SEARCH(SUBSTITUTE(AT$1,RIGHT(AT$1,2),""),VLOOKUP($D115,素材!$1:$1016,COLUMN($F$1),FALSE))),VLOOKUP($C115,装備品!$1:$998,COLUMN($O$1),FALSE)*VLOOKUP($D115,素材!$1:$1016,COLUMN($E$1),FALSE)/(LEN(VLOOKUP($D115,素材!$1:$1016,COLUMN($F$1),FALSE))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U115">
        <f>IF(ISNUMBER(SEARCH(SUBSTITUTE(AU$1,RIGHT(AU$1,2),""),VLOOKUP($D115,素材!$1:$1016,COLUMN($F$1),FALSE))),VLOOKUP($C115,装備品!$1:$998,COLUMN($O$1),FALSE)*VLOOKUP($D115,素材!$1:$1016,COLUMN($E$1),FALSE)/(LEN(VLOOKUP($D115,素材!$1:$1016,COLUMN($F$1),FALSE))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V115">
        <f>IF(ISNUMBER(SEARCH(SUBSTITUTE(AV$1,RIGHT(AV$1,2),""),VLOOKUP($D115,素材!$1:$1016,COLUMN($F$1),FALSE))),VLOOKUP($C115,装備品!$1:$998,COLUMN($O$1),FALSE)*VLOOKUP($D115,素材!$1:$1016,COLUMN($E$1),FALSE)/(LEN(VLOOKUP($D115,素材!$1:$1016,COLUMN($F$1),FALSE))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W115">
        <f>IF(ISNUMBER(SEARCH(SUBSTITUTE(AW$1,RIGHT(AW$1,2),""),VLOOKUP($D115,素材!$1:$1016,COLUMN($F$1),FALSE))),VLOOKUP($C115,装備品!$1:$998,COLUMN($O$1),FALSE)*VLOOKUP($D115,素材!$1:$1016,COLUMN($E$1),FALSE)/(LEN(VLOOKUP($D115,素材!$1:$1016,COLUMN($F$1),FALSE))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X115">
        <f>IF(ISNUMBER(SEARCH(SUBSTITUTE(AX$1,RIGHT(AX$1,2),""),VLOOKUP($D115,素材!$1:$1016,COLUMN($F$1),FALSE))),VLOOKUP($C115,装備品!$1:$998,COLUMN($O$1),FALSE)*VLOOKUP($D115,素材!$1:$1016,COLUMN($E$1),FALSE)/(LEN(VLOOKUP($D115,素材!$1:$1016,COLUMN($F$1),FALSE))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Y115">
        <f>IF(ISNUMBER(SEARCH(SUBSTITUTE(AY$1,RIGHT(AY$1,2),""),VLOOKUP($D115,素材!$1:$1016,COLUMN($F$1),FALSE))),VLOOKUP($C115,装備品!$1:$998,COLUMN($O$1),FALSE)*VLOOKUP($D115,素材!$1:$1016,COLUMN($E$1),FALSE)/(LEN(VLOOKUP($D115,素材!$1:$1016,COLUMN($F$1),FALSE))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Z115">
        <f>IF(ISNUMBER(SEARCH(SUBSTITUTE(AZ$1,RIGHT(AZ$1,2),""),VLOOKUP($D115,素材!$1:$1016,COLUMN($F$1),FALSE))),VLOOKUP($C115,装備品!$1:$998,COLUMN($O$1),FALSE)*VLOOKUP($D115,素材!$1:$1016,COLUMN($E$1),FALSE)/(LEN(VLOOKUP($D115,素材!$1:$1016,COLUMN($F$1),FALSE))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BA115">
        <f>IF(ISNUMBER(SEARCH(SUBSTITUTE(BA$1,RIGHT(BA$1,2),""),VLOOKUP($D115,素材!$1:$1016,COLUMN($F$1),FALSE))),VLOOKUP($C115,装備品!$1:$998,COLUMN($O$1),FALSE)*VLOOKUP($D115,素材!$1:$1016,COLUMN($E$1),FALSE)/(LEN(VLOOKUP($D115,素材!$1:$1016,COLUMN($F$1),FALSE))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BB115">
        <f>IF(ISNUMBER(SEARCH(SUBSTITUTE(BB$1,RIGHT(BB$1,2),""),VLOOKUP($D115,素材!$1:$1016,COLUMN($F$1),FALSE))),VLOOKUP($C115,装備品!$1:$998,COLUMN($O$1),FALSE)*VLOOKUP($D115,素材!$1:$1016,COLUMN($E$1),FALSE)/(LEN(VLOOKUP($D115,素材!$1:$1016,COLUMN($F$1),FALSE))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BC115">
        <f>IF(ISNUMBER(SEARCH(SUBSTITUTE(BC$1,RIGHT(BC$1,2),""),VLOOKUP($D115,素材!$1:$1016,COLUMN($F$1),FALSE))),VLOOKUP($C115,装備品!$1:$998,COLUMN($O$1),FALSE)*VLOOKUP($D115,素材!$1:$1016,COLUMN($E$1),FALSE)/(LEN(VLOOKUP($D115,素材!$1:$1016,COLUMN($F$1),FALSE))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BD115">
        <f>IF(ISNUMBER(SEARCH(SUBSTITUTE(BD$1,RIGHT(BD$1,2),""),VLOOKUP($D115,素材!$1:$1016,COLUMN($F$1),FALSE))),VLOOKUP($C115,装備品!$1:$998,COLUMN($O$1),FALSE)*VLOOKUP($D115,素材!$1:$1016,COLUMN($E$1),FALSE)/(LEN(VLOOKUP($D115,素材!$1:$1016,COLUMN($F$1),FALSE))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BE115">
        <f>IF(ISNUMBER(SEARCH(SUBSTITUTE(BE$1,RIGHT(BE$1,2),""),VLOOKUP($D115,素材!$1:$1016,COLUMN($F$1),FALSE))),VLOOKUP($C115,装備品!$1:$998,COLUMN($O$1),FALSE)*VLOOKUP($D115,素材!$1:$1016,COLUMN($E$1),FALSE)/(LEN(VLOOKUP($D115,素材!$1:$1016,COLUMN($F$1),FALSE))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CL115">
        <f t="shared" si="7"/>
        <v>0</v>
      </c>
      <c r="CM115" s="22" t="str">
        <f t="shared" si="8"/>
        <v>.webp</v>
      </c>
      <c r="CN115" t="str">
        <f>IFERROR(VLOOKUP($C115,装備品!$1:$998,COLUMN(V$1),FALSE)*VLOOKUP($D115,素材!$1:$1016,COLUMN(N$1),FALSE)+IF(CI115="",0,VLOOKUP($CI115,付与!$1:$1176,COLUMN($CK$1),FALSE)),"")</f>
        <v/>
      </c>
      <c r="CO115" t="e">
        <f>VLOOKUP(D115,素材!$A:$O,COLUMN(素材!O$1),FALSE)</f>
        <v>#N/A</v>
      </c>
      <c r="CP115" t="e">
        <f>VLOOKUP(C115,装備品!$A:$AB,COLUMN(装備品!AB$1),FALSE)</f>
        <v>#N/A</v>
      </c>
      <c r="CR115" t="str">
        <f t="shared" si="9"/>
        <v>e_115</v>
      </c>
      <c r="CS115" t="e">
        <f t="shared" si="10"/>
        <v>#VALUE!</v>
      </c>
    </row>
    <row r="116" spans="1:97" outlineLevel="1" x14ac:dyDescent="0.4">
      <c r="A116" t="str">
        <f t="shared" ref="A116" si="12">D116&amp;"の"&amp;C116</f>
        <v>皮の帽子</v>
      </c>
      <c r="B116" t="str">
        <f>IFERROR(VLOOKUP($D116,素材!$1:$1016,COLUMN($B$1),FALSE)&amp;"・"&amp;VLOOKUP($C116,装備品!$1:$998,COLUMN(B$1),FALSE),"")</f>
        <v>レザー・ハット</v>
      </c>
      <c r="C116" t="s">
        <v>1182</v>
      </c>
      <c r="D116" s="24" t="s">
        <v>251</v>
      </c>
      <c r="E116" t="str">
        <f>IFERROR(VLOOKUP(C116,装備品!$1:$998,COLUMN(C$1),FALSE),"")</f>
        <v>頭</v>
      </c>
      <c r="F116">
        <f>IFERROR(ROUNDDOWN((VLOOKUP($C116,装備品!$1:$998,COLUMN(D$1),FALSE)+IFERROR(VLOOKUP($CI116,付与!$1:$1167,COLUMN(F$1),FALSE),0))*VLOOKUP($D116,素材!$1:$1016,COLUMN(D$1),FALSE),0),"")</f>
        <v>0</v>
      </c>
      <c r="G116">
        <f>IFERROR(ROUNDDOWN((VLOOKUP($C116,装備品!$1:$998,COLUMN(E$1),FALSE)+IFERROR(VLOOKUP($CI116,付与!$1:$1167,COLUMN(G$1),FALSE),0))*VLOOKUP($D116,素材!$1:$1016,COLUMN($E$1),FALSE),0),"")</f>
        <v>0</v>
      </c>
      <c r="H116">
        <f>IFERROR(ROUNDDOWN((VLOOKUP($C116,装備品!$1:$998,COLUMN(F$1),FALSE)+IFERROR(VLOOKUP($CI116,付与!$1:$1167,COLUMN(H$1),FALSE),0))*VLOOKUP($D116,素材!$1:$1016,COLUMN($E$1),FALSE),0),"")</f>
        <v>0</v>
      </c>
      <c r="I116">
        <f>IFERROR(ROUNDDOWN((VLOOKUP($C116,装備品!$1:$998,COLUMN(G$1),FALSE)+IFERROR(VLOOKUP($CI116,付与!$1:$1167,COLUMN(I$1),FALSE),0))*VLOOKUP($D116,素材!$1:$1016,COLUMN($E$1),FALSE),0),"")</f>
        <v>0</v>
      </c>
      <c r="J116">
        <f>IFERROR(ROUNDDOWN((VLOOKUP($C116,装備品!$1:$998,COLUMN(H$1),FALSE)+IFERROR(VLOOKUP($CI116,付与!$1:$1167,COLUMN(J$1),FALSE),0))*VLOOKUP($D116,素材!$1:$1016,COLUMN($E$1),FALSE),0),"")</f>
        <v>0</v>
      </c>
      <c r="K116">
        <f>IFERROR(ROUNDDOWN((VLOOKUP($C116,装備品!$1:$998,COLUMN(I$1),FALSE)+IFERROR(VLOOKUP($CI116,付与!$1:$1167,COLUMN(K$1),FALSE),0))*VLOOKUP($D116,素材!$1:$1016,COLUMN($E$1),FALSE),0),"")</f>
        <v>0</v>
      </c>
      <c r="L116" t="str">
        <f>IFERROR(VLOOKUP($D116,素材!$1:$1016,COLUMN($F$1),FALSE),"")</f>
        <v>-</v>
      </c>
      <c r="M116" t="str">
        <f>IFERROR(VLOOKUP($C116,装備品!$1:$998,COLUMN(AA$1),FALSE)*VLOOKUP($D116,素材!$1:$1016,COLUMN($G$1),FALSE),"")</f>
        <v/>
      </c>
      <c r="N116">
        <f>IFERROR(VLOOKUP($C116,装備品!$1:$998,COLUMN(I$1),FALSE),"")</f>
        <v>0</v>
      </c>
      <c r="O116" s="23" t="str">
        <f>IFERROR((VLOOKUP($C116,装備品!$1:$998,COLUMN(K$1),FALSE)+VLOOKUP($D116,素材!$1:$1016,COLUMN(H$1),FALSE))*100+IFERROR(VLOOKUP($CI116,付与!$1:$1167,COLUMN(O$1),FALSE),0),"")</f>
        <v/>
      </c>
      <c r="P116" s="23" t="str">
        <f>IFERROR((VLOOKUP($C116,装備品!$1:$998,COLUMN(L$1),FALSE)+VLOOKUP($D116,素材!$1:$1016,COLUMN(I$1),FALSE))*100+IFERROR(VLOOKUP($CI116,付与!$1:$1167,COLUMN(P$1),FALSE),0),"")</f>
        <v/>
      </c>
      <c r="Q116">
        <f>IFERROR(ROUNDUP(VLOOKUP($C116,装備品!$1:$998,COLUMN(M$1),FALSE)*(VLOOKUP($D116,素材!$1:$1002,COLUMN(D$1),FALSE)/100),1),"")</f>
        <v>0</v>
      </c>
      <c r="R116">
        <f>IFERROR(ROUNDUP(VLOOKUP($C116,装備品!$1:$998,COLUMN(N$1),FALSE)*(VLOOKUP($D116,素材!$1:$1002,COLUMN(D$1),FALSE)/100),1),"")</f>
        <v>0</v>
      </c>
      <c r="S116">
        <f>IFERROR(VLOOKUP($C116,装備品!$1:$998,COLUMN(P$1),FALSE),"")</f>
        <v>0</v>
      </c>
      <c r="T116">
        <f>IFERROR(VLOOKUP($C116,装備品!$1:$998,COLUMN(Q$1),FALSE),"")</f>
        <v>0</v>
      </c>
      <c r="U116">
        <f>IFERROR(VLOOKUP($C116,装備品!$1:$998,COLUMN(R$1),FALSE),"")</f>
        <v>0</v>
      </c>
      <c r="V116">
        <f>IFERROR(VLOOKUP($C116,装備品!$1:$998,COLUMN(Q$1),FALSE),"")</f>
        <v>0</v>
      </c>
      <c r="W116">
        <f>IFERROR(VLOOKUP($C116,装備品!$1:$998,COLUMN(T$1),FALSE),"")</f>
        <v>0.1</v>
      </c>
      <c r="Y116">
        <f>IFERROR(VLOOKUP($C116,装備品!$1:$998,COLUMN(U$1),FALSE),"")</f>
        <v>0</v>
      </c>
      <c r="Z116">
        <f>IFERROR(ROUNDUP(VLOOKUP($C116,装備品!$1:$998,COLUMN(O$1),FALSE)*VLOOKUP($D116,素材!$1:$1016,COLUMN(E$1),FALSE),1),"")</f>
        <v>0</v>
      </c>
      <c r="AA116">
        <f>IF(ISNUMBER(SEARCH(SUBSTITUTE(AA$1,RIGHT(AA$1,2),""),VLOOKUP($D116,素材!$1:$1016,COLUMN($F$1),FALSE))),VLOOKUP($C116,装備品!$1:$998,COLUMN($O$1),FALSE)*VLOOKUP($D116,素材!$1:$1016,COLUMN($E$1),FALSE)/(LEN(VLOOKUP($D116,素材!$1:$1016,COLUMN($F$1),FALSE))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B116">
        <f>IF(ISNUMBER(SEARCH(SUBSTITUTE(AB$1,RIGHT(AB$1,2),""),VLOOKUP($D116,素材!$1:$1016,COLUMN($F$1),FALSE))),VLOOKUP($C116,装備品!$1:$998,COLUMN($O$1),FALSE)*VLOOKUP($D116,素材!$1:$1016,COLUMN($E$1),FALSE)/(LEN(VLOOKUP($D116,素材!$1:$1016,COLUMN($F$1),FALSE))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C116">
        <f>IF(ISNUMBER(SEARCH(SUBSTITUTE(AC$1,RIGHT(AC$1,2),""),VLOOKUP($D116,素材!$1:$1016,COLUMN($F$1),FALSE))),VLOOKUP($C116,装備品!$1:$998,COLUMN($O$1),FALSE)*VLOOKUP($D116,素材!$1:$1016,COLUMN($E$1),FALSE)/(LEN(VLOOKUP($D116,素材!$1:$1016,COLUMN($F$1),FALSE))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D116">
        <f>IF(ISNUMBER(SEARCH(SUBSTITUTE(AD$1,RIGHT(AD$1,2),""),VLOOKUP($D116,素材!$1:$1016,COLUMN($F$1),FALSE))),VLOOKUP($C116,装備品!$1:$998,COLUMN($O$1),FALSE)*VLOOKUP($D116,素材!$1:$1016,COLUMN($E$1),FALSE)/(LEN(VLOOKUP($D116,素材!$1:$1016,COLUMN($F$1),FALSE))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E116">
        <f>IF(ISNUMBER(SEARCH(SUBSTITUTE(AE$1,RIGHT(AE$1,2),""),VLOOKUP($D116,素材!$1:$1016,COLUMN($F$1),FALSE))),VLOOKUP($C116,装備品!$1:$998,COLUMN($O$1),FALSE)*VLOOKUP($D116,素材!$1:$1016,COLUMN($E$1),FALSE)/(LEN(VLOOKUP($D116,素材!$1:$1016,COLUMN($F$1),FALSE))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F116">
        <f>IF(ISNUMBER(SEARCH(SUBSTITUTE(AF$1,RIGHT(AF$1,2),""),VLOOKUP($D116,素材!$1:$1016,COLUMN($F$1),FALSE))),VLOOKUP($C116,装備品!$1:$998,COLUMN($O$1),FALSE)*VLOOKUP($D116,素材!$1:$1016,COLUMN($E$1),FALSE)/(LEN(VLOOKUP($D116,素材!$1:$1016,COLUMN($F$1),FALSE))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G116">
        <f>IF(ISNUMBER(SEARCH(SUBSTITUTE(AG$1,RIGHT(AG$1,2),""),VLOOKUP($D116,素材!$1:$1016,COLUMN($F$1),FALSE))),VLOOKUP($C116,装備品!$1:$998,COLUMN($O$1),FALSE)*VLOOKUP($D116,素材!$1:$1016,COLUMN($E$1),FALSE)/(LEN(VLOOKUP($D116,素材!$1:$1016,COLUMN($F$1),FALSE))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H116">
        <f>IF(ISNUMBER(SEARCH(SUBSTITUTE(AH$1,RIGHT(AH$1,2),""),VLOOKUP($D116,素材!$1:$1016,COLUMN($F$1),FALSE))),VLOOKUP($C116,装備品!$1:$998,COLUMN($O$1),FALSE)*VLOOKUP($D116,素材!$1:$1016,COLUMN($E$1),FALSE)/(LEN(VLOOKUP($D116,素材!$1:$1016,COLUMN($F$1),FALSE))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I116">
        <f>IF(ISNUMBER(SEARCH(SUBSTITUTE(AI$1,RIGHT(AI$1,2),""),VLOOKUP($D116,素材!$1:$1016,COLUMN($F$1),FALSE))),VLOOKUP($C116,装備品!$1:$998,COLUMN($O$1),FALSE)*VLOOKUP($D116,素材!$1:$1016,COLUMN($E$1),FALSE)/(LEN(VLOOKUP($D116,素材!$1:$1016,COLUMN($F$1),FALSE))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J116">
        <f>IF(ISNUMBER(SEARCH(SUBSTITUTE(AJ$1,RIGHT(AJ$1,2),""),VLOOKUP($D116,素材!$1:$1016,COLUMN($F$1),FALSE))),VLOOKUP($C116,装備品!$1:$998,COLUMN($O$1),FALSE)*VLOOKUP($D116,素材!$1:$1016,COLUMN($E$1),FALSE)/(LEN(VLOOKUP($D116,素材!$1:$1016,COLUMN($F$1),FALSE))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K116">
        <f>IF(ISNUMBER(SEARCH(SUBSTITUTE(AK$1,RIGHT(AK$1,2),""),VLOOKUP($D116,素材!$1:$1016,COLUMN($F$1),FALSE))),VLOOKUP($C116,装備品!$1:$998,COLUMN($O$1),FALSE)*VLOOKUP($D116,素材!$1:$1016,COLUMN($E$1),FALSE)/(LEN(VLOOKUP($D116,素材!$1:$1016,COLUMN($F$1),FALSE))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L116">
        <f>IF(ISNUMBER(SEARCH(SUBSTITUTE(AL$1,RIGHT(AL$1,2),""),VLOOKUP($D116,素材!$1:$1016,COLUMN($F$1),FALSE))),VLOOKUP($C116,装備品!$1:$998,COLUMN($O$1),FALSE)*VLOOKUP($D116,素材!$1:$1016,COLUMN($E$1),FALSE)/(LEN(VLOOKUP($D116,素材!$1:$1016,COLUMN($F$1),FALSE))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M116">
        <f>IF(ISNUMBER(SEARCH(SUBSTITUTE(AM$1,RIGHT(AM$1,2),""),VLOOKUP($D116,素材!$1:$1016,COLUMN($F$1),FALSE))),VLOOKUP($C116,装備品!$1:$998,COLUMN($O$1),FALSE)*VLOOKUP($D116,素材!$1:$1016,COLUMN($E$1),FALSE)/(LEN(VLOOKUP($D116,素材!$1:$1016,COLUMN($F$1),FALSE))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N116">
        <f>IF(ISNUMBER(SEARCH(SUBSTITUTE(AN$1,RIGHT(AN$1,2),""),VLOOKUP($D116,素材!$1:$1016,COLUMN($F$1),FALSE))),VLOOKUP($C116,装備品!$1:$998,COLUMN($O$1),FALSE)*VLOOKUP($D116,素材!$1:$1016,COLUMN($E$1),FALSE)/(LEN(VLOOKUP($D116,素材!$1:$1016,COLUMN($F$1),FALSE))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O116">
        <f>IF(ISNUMBER(SEARCH(SUBSTITUTE(AO$1,RIGHT(AO$1,2),""),VLOOKUP($D116,素材!$1:$1016,COLUMN($F$1),FALSE))),VLOOKUP($C116,装備品!$1:$998,COLUMN($O$1),FALSE)*VLOOKUP($D116,素材!$1:$1016,COLUMN($E$1),FALSE)/(LEN(VLOOKUP($D116,素材!$1:$1016,COLUMN($F$1),FALSE))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P116">
        <f>IF(ISNUMBER(SEARCH(SUBSTITUTE(AP$1,RIGHT(AP$1,2),""),VLOOKUP($D116,素材!$1:$1016,COLUMN($F$1),FALSE))),VLOOKUP($C116,装備品!$1:$998,COLUMN($O$1),FALSE)*VLOOKUP($D116,素材!$1:$1016,COLUMN($E$1),FALSE)/(LEN(VLOOKUP($D116,素材!$1:$1016,COLUMN($F$1),FALSE))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Q116">
        <f>IF(ISNUMBER(SEARCH(SUBSTITUTE(AQ$1,RIGHT(AQ$1,2),""),VLOOKUP($D116,素材!$1:$1016,COLUMN($F$1),FALSE))),VLOOKUP($C116,装備品!$1:$998,COLUMN($O$1),FALSE)*VLOOKUP($D116,素材!$1:$1016,COLUMN($E$1),FALSE)/(LEN(VLOOKUP($D116,素材!$1:$1016,COLUMN($F$1),FALSE))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R116">
        <f>IF(ISNUMBER(SEARCH(SUBSTITUTE(AR$1,RIGHT(AR$1,2),""),VLOOKUP($D116,素材!$1:$1016,COLUMN($F$1),FALSE))),VLOOKUP($C116,装備品!$1:$998,COLUMN($O$1),FALSE)*VLOOKUP($D116,素材!$1:$1016,COLUMN($E$1),FALSE)/(LEN(VLOOKUP($D116,素材!$1:$1016,COLUMN($F$1),FALSE))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S116">
        <f>IF(ISNUMBER(SEARCH(SUBSTITUTE(AS$1,RIGHT(AS$1,2),""),VLOOKUP($D116,素材!$1:$1016,COLUMN($F$1),FALSE))),VLOOKUP($C116,装備品!$1:$998,COLUMN($O$1),FALSE)*VLOOKUP($D116,素材!$1:$1016,COLUMN($E$1),FALSE)/(LEN(VLOOKUP($D116,素材!$1:$1016,COLUMN($F$1),FALSE))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T116">
        <f>IF(ISNUMBER(SEARCH(SUBSTITUTE(AT$1,RIGHT(AT$1,2),""),VLOOKUP($D116,素材!$1:$1016,COLUMN($F$1),FALSE))),VLOOKUP($C116,装備品!$1:$998,COLUMN($O$1),FALSE)*VLOOKUP($D116,素材!$1:$1016,COLUMN($E$1),FALSE)/(LEN(VLOOKUP($D116,素材!$1:$1016,COLUMN($F$1),FALSE))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U116">
        <f>IF(ISNUMBER(SEARCH(SUBSTITUTE(AU$1,RIGHT(AU$1,2),""),VLOOKUP($D116,素材!$1:$1016,COLUMN($F$1),FALSE))),VLOOKUP($C116,装備品!$1:$998,COLUMN($O$1),FALSE)*VLOOKUP($D116,素材!$1:$1016,COLUMN($E$1),FALSE)/(LEN(VLOOKUP($D116,素材!$1:$1016,COLUMN($F$1),FALSE))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V116">
        <f>IF(ISNUMBER(SEARCH(SUBSTITUTE(AV$1,RIGHT(AV$1,2),""),VLOOKUP($D116,素材!$1:$1016,COLUMN($F$1),FALSE))),VLOOKUP($C116,装備品!$1:$998,COLUMN($O$1),FALSE)*VLOOKUP($D116,素材!$1:$1016,COLUMN($E$1),FALSE)/(LEN(VLOOKUP($D116,素材!$1:$1016,COLUMN($F$1),FALSE))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W116">
        <f>IF(ISNUMBER(SEARCH(SUBSTITUTE(AW$1,RIGHT(AW$1,2),""),VLOOKUP($D116,素材!$1:$1016,COLUMN($F$1),FALSE))),VLOOKUP($C116,装備品!$1:$998,COLUMN($O$1),FALSE)*VLOOKUP($D116,素材!$1:$1016,COLUMN($E$1),FALSE)/(LEN(VLOOKUP($D116,素材!$1:$1016,COLUMN($F$1),FALSE))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X116">
        <f>IF(ISNUMBER(SEARCH(SUBSTITUTE(AX$1,RIGHT(AX$1,2),""),VLOOKUP($D116,素材!$1:$1016,COLUMN($F$1),FALSE))),VLOOKUP($C116,装備品!$1:$998,COLUMN($O$1),FALSE)*VLOOKUP($D116,素材!$1:$1016,COLUMN($E$1),FALSE)/(LEN(VLOOKUP($D116,素材!$1:$1016,COLUMN($F$1),FALSE))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Y116">
        <f>IF(ISNUMBER(SEARCH(SUBSTITUTE(AY$1,RIGHT(AY$1,2),""),VLOOKUP($D116,素材!$1:$1016,COLUMN($F$1),FALSE))),VLOOKUP($C116,装備品!$1:$998,COLUMN($O$1),FALSE)*VLOOKUP($D116,素材!$1:$1016,COLUMN($E$1),FALSE)/(LEN(VLOOKUP($D116,素材!$1:$1016,COLUMN($F$1),FALSE))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Z116">
        <f>IF(ISNUMBER(SEARCH(SUBSTITUTE(AZ$1,RIGHT(AZ$1,2),""),VLOOKUP($D116,素材!$1:$1016,COLUMN($F$1),FALSE))),VLOOKUP($C116,装備品!$1:$998,COLUMN($O$1),FALSE)*VLOOKUP($D116,素材!$1:$1016,COLUMN($E$1),FALSE)/(LEN(VLOOKUP($D116,素材!$1:$1016,COLUMN($F$1),FALSE))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BA116">
        <f>IF(ISNUMBER(SEARCH(SUBSTITUTE(BA$1,RIGHT(BA$1,2),""),VLOOKUP($D116,素材!$1:$1016,COLUMN($F$1),FALSE))),VLOOKUP($C116,装備品!$1:$998,COLUMN($O$1),FALSE)*VLOOKUP($D116,素材!$1:$1016,COLUMN($E$1),FALSE)/(LEN(VLOOKUP($D116,素材!$1:$1016,COLUMN($F$1),FALSE))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BB116">
        <f>IF(ISNUMBER(SEARCH(SUBSTITUTE(BB$1,RIGHT(BB$1,2),""),VLOOKUP($D116,素材!$1:$1016,COLUMN($F$1),FALSE))),VLOOKUP($C116,装備品!$1:$998,COLUMN($O$1),FALSE)*VLOOKUP($D116,素材!$1:$1016,COLUMN($E$1),FALSE)/(LEN(VLOOKUP($D116,素材!$1:$1016,COLUMN($F$1),FALSE))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BC116">
        <f>IF(ISNUMBER(SEARCH(SUBSTITUTE(BC$1,RIGHT(BC$1,2),""),VLOOKUP($D116,素材!$1:$1016,COLUMN($F$1),FALSE))),VLOOKUP($C116,装備品!$1:$998,COLUMN($O$1),FALSE)*VLOOKUP($D116,素材!$1:$1016,COLUMN($E$1),FALSE)/(LEN(VLOOKUP($D116,素材!$1:$1016,COLUMN($F$1),FALSE))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BD116">
        <f>IF(ISNUMBER(SEARCH(SUBSTITUTE(BD$1,RIGHT(BD$1,2),""),VLOOKUP($D116,素材!$1:$1016,COLUMN($F$1),FALSE))),VLOOKUP($C116,装備品!$1:$998,COLUMN($O$1),FALSE)*VLOOKUP($D116,素材!$1:$1016,COLUMN($E$1),FALSE)/(LEN(VLOOKUP($D116,素材!$1:$1016,COLUMN($F$1),FALSE))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BE116">
        <f>IF(ISNUMBER(SEARCH(SUBSTITUTE(BE$1,RIGHT(BE$1,2),""),VLOOKUP($D116,素材!$1:$1016,COLUMN($F$1),FALSE))),VLOOKUP($C116,装備品!$1:$998,COLUMN($O$1),FALSE)*VLOOKUP($D116,素材!$1:$1016,COLUMN($E$1),FALSE)/(LEN(VLOOKUP($D116,素材!$1:$1016,COLUMN($F$1),FALSE))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CL116">
        <f t="shared" si="7"/>
        <v>0</v>
      </c>
      <c r="CM116" s="22" t="str">
        <f t="shared" si="8"/>
        <v>頭.webp</v>
      </c>
      <c r="CN116">
        <f>IFERROR(VLOOKUP($C116,装備品!$1:$998,COLUMN(V$1),FALSE)*VLOOKUP($D116,素材!$1:$1016,COLUMN(N$1),FALSE)+IF(CI116="",0,VLOOKUP($CI116,付与!$1:$1176,COLUMN($CK$1),FALSE)),"")</f>
        <v>0</v>
      </c>
      <c r="CO116" t="str">
        <f>VLOOKUP(D116,素材!$A:$O,COLUMN(素材!O$1),FALSE)</f>
        <v>一般的な皮素材で、防具や軽量装備の材料として最適です。耐久性は高くありませんが、軽量で扱いやすい点が特徴です。</v>
      </c>
      <c r="CP116" t="str">
        <f>VLOOKUP(C116,装備品!$A:$AB,COLUMN(装備品!AB$1),FALSE)</f>
        <v>命中 魔防 Cr</v>
      </c>
      <c r="CR116" t="str">
        <f t="shared" si="9"/>
        <v>e_116</v>
      </c>
      <c r="CS116">
        <f t="shared" ref="CS116" si="13">CN116*100</f>
        <v>0</v>
      </c>
    </row>
    <row r="117" spans="1:97" outlineLevel="1" x14ac:dyDescent="0.4">
      <c r="A117" t="str">
        <f t="shared" si="11"/>
        <v>皮の衣布</v>
      </c>
      <c r="B117" t="str">
        <f>IFERROR(VLOOKUP($D117,素材!$1:$1016,COLUMN($B$1),FALSE)&amp;"・"&amp;VLOOKUP($C117,装備品!$1:$998,COLUMN(B$1),FALSE),"")</f>
        <v>レザー・クロース</v>
      </c>
      <c r="C117" t="s">
        <v>246</v>
      </c>
      <c r="D117" s="24" t="s">
        <v>251</v>
      </c>
      <c r="E117" t="str">
        <f>IFERROR(VLOOKUP(C117,装備品!$1:$998,COLUMN(C$1),FALSE),"")</f>
        <v>体</v>
      </c>
      <c r="F117">
        <f>IFERROR(ROUNDDOWN((VLOOKUP($C117,装備品!$1:$998,COLUMN(D$1),FALSE)+IFERROR(VLOOKUP($CI117,付与!$1:$1167,COLUMN(F$1),FALSE),0))*VLOOKUP($D117,素材!$1:$1016,COLUMN(D$1),FALSE),0),"")</f>
        <v>0</v>
      </c>
      <c r="G117">
        <f>IFERROR(ROUNDDOWN((VLOOKUP($C117,装備品!$1:$998,COLUMN(E$1),FALSE)+IFERROR(VLOOKUP($CI117,付与!$1:$1167,COLUMN(G$1),FALSE),0))*VLOOKUP($D117,素材!$1:$1016,COLUMN($E$1),FALSE),0),"")</f>
        <v>0</v>
      </c>
      <c r="H117">
        <f>IFERROR(ROUNDDOWN((VLOOKUP($C117,装備品!$1:$998,COLUMN(F$1),FALSE)+IFERROR(VLOOKUP($CI117,付与!$1:$1167,COLUMN(H$1),FALSE),0))*VLOOKUP($D117,素材!$1:$1016,COLUMN($E$1),FALSE),0),"")</f>
        <v>0</v>
      </c>
      <c r="I117">
        <f>IFERROR(ROUNDDOWN((VLOOKUP($C117,装備品!$1:$998,COLUMN(G$1),FALSE)+IFERROR(VLOOKUP($CI117,付与!$1:$1167,COLUMN(I$1),FALSE),0))*VLOOKUP($D117,素材!$1:$1016,COLUMN($E$1),FALSE),0),"")</f>
        <v>0</v>
      </c>
      <c r="J117">
        <f>IFERROR(ROUNDDOWN((VLOOKUP($C117,装備品!$1:$998,COLUMN(H$1),FALSE)+IFERROR(VLOOKUP($CI117,付与!$1:$1167,COLUMN(J$1),FALSE),0))*VLOOKUP($D117,素材!$1:$1016,COLUMN($E$1),FALSE),0),"")</f>
        <v>0</v>
      </c>
      <c r="K117">
        <f>IFERROR(ROUNDDOWN((VLOOKUP($C117,装備品!$1:$998,COLUMN(I$1),FALSE)+IFERROR(VLOOKUP($CI117,付与!$1:$1167,COLUMN(K$1),FALSE),0))*VLOOKUP($D117,素材!$1:$1016,COLUMN($E$1),FALSE),0),"")</f>
        <v>0</v>
      </c>
      <c r="L117" t="str">
        <f>IFERROR(VLOOKUP($D117,素材!$1:$1016,COLUMN($F$1),FALSE),"")</f>
        <v>-</v>
      </c>
      <c r="M117" t="str">
        <f>IFERROR(VLOOKUP($C117,装備品!$1:$998,COLUMN(AA$1),FALSE)*VLOOKUP($D117,素材!$1:$1016,COLUMN($G$1),FALSE),"")</f>
        <v/>
      </c>
      <c r="N117">
        <f>IFERROR(VLOOKUP($C117,装備品!$1:$998,COLUMN(I$1),FALSE),"")</f>
        <v>0</v>
      </c>
      <c r="O117" s="23" t="str">
        <f>IFERROR((VLOOKUP($C117,装備品!$1:$998,COLUMN(K$1),FALSE)+VLOOKUP($D117,素材!$1:$1016,COLUMN(H$1),FALSE))*100+IFERROR(VLOOKUP($CI117,付与!$1:$1167,COLUMN(O$1),FALSE),0),"")</f>
        <v/>
      </c>
      <c r="P117" s="23" t="str">
        <f>IFERROR((VLOOKUP($C117,装備品!$1:$998,COLUMN(L$1),FALSE)+VLOOKUP($D117,素材!$1:$1016,COLUMN(I$1),FALSE))*100+IFERROR(VLOOKUP($CI117,付与!$1:$1167,COLUMN(P$1),FALSE),0),"")</f>
        <v/>
      </c>
      <c r="Q117">
        <f>IFERROR(ROUNDUP(VLOOKUP($C117,装備品!$1:$998,COLUMN(M$1),FALSE)*(VLOOKUP($D117,素材!$1:$1002,COLUMN(D$1),FALSE)/100),1),"")</f>
        <v>0</v>
      </c>
      <c r="R117">
        <f>IFERROR(ROUNDUP(VLOOKUP($C117,装備品!$1:$998,COLUMN(N$1),FALSE)*(VLOOKUP($D117,素材!$1:$1002,COLUMN(D$1),FALSE)/100),1),"")</f>
        <v>0</v>
      </c>
      <c r="S117">
        <f>IFERROR(VLOOKUP($C117,装備品!$1:$998,COLUMN(P$1),FALSE),"")</f>
        <v>0</v>
      </c>
      <c r="T117">
        <f>IFERROR(VLOOKUP($C117,装備品!$1:$998,COLUMN(Q$1),FALSE),"")</f>
        <v>0</v>
      </c>
      <c r="U117">
        <f>IFERROR(VLOOKUP($C117,装備品!$1:$998,COLUMN(R$1),FALSE),"")</f>
        <v>0</v>
      </c>
      <c r="V117">
        <f>IFERROR(VLOOKUP($C117,装備品!$1:$998,COLUMN(Q$1),FALSE),"")</f>
        <v>0</v>
      </c>
      <c r="W117">
        <f>IFERROR(VLOOKUP($C117,装備品!$1:$998,COLUMN(T$1),FALSE),"")</f>
        <v>0.3</v>
      </c>
      <c r="Y117">
        <f>IFERROR(VLOOKUP($C117,装備品!$1:$998,COLUMN(U$1),FALSE),"")</f>
        <v>0</v>
      </c>
      <c r="Z117">
        <f>IFERROR(ROUNDUP(VLOOKUP($C117,装備品!$1:$998,COLUMN(O$1),FALSE)*VLOOKUP($D117,素材!$1:$1016,COLUMN(E$1),FALSE),1),"")</f>
        <v>0</v>
      </c>
      <c r="AA117">
        <f>IF(ISNUMBER(SEARCH(SUBSTITUTE(AA$1,RIGHT(AA$1,2),""),VLOOKUP($D117,素材!$1:$1016,COLUMN($F$1),FALSE))),VLOOKUP($C117,装備品!$1:$998,COLUMN($O$1),FALSE)*VLOOKUP($D117,素材!$1:$1016,COLUMN($E$1),FALSE)/(LEN(VLOOKUP($D117,素材!$1:$1016,COLUMN($F$1),FALSE))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B117">
        <f>IF(ISNUMBER(SEARCH(SUBSTITUTE(AB$1,RIGHT(AB$1,2),""),VLOOKUP($D117,素材!$1:$1016,COLUMN($F$1),FALSE))),VLOOKUP($C117,装備品!$1:$998,COLUMN($O$1),FALSE)*VLOOKUP($D117,素材!$1:$1016,COLUMN($E$1),FALSE)/(LEN(VLOOKUP($D117,素材!$1:$1016,COLUMN($F$1),FALSE))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C117">
        <f>IF(ISNUMBER(SEARCH(SUBSTITUTE(AC$1,RIGHT(AC$1,2),""),VLOOKUP($D117,素材!$1:$1016,COLUMN($F$1),FALSE))),VLOOKUP($C117,装備品!$1:$998,COLUMN($O$1),FALSE)*VLOOKUP($D117,素材!$1:$1016,COLUMN($E$1),FALSE)/(LEN(VLOOKUP($D117,素材!$1:$1016,COLUMN($F$1),FALSE))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D117">
        <f>IF(ISNUMBER(SEARCH(SUBSTITUTE(AD$1,RIGHT(AD$1,2),""),VLOOKUP($D117,素材!$1:$1016,COLUMN($F$1),FALSE))),VLOOKUP($C117,装備品!$1:$998,COLUMN($O$1),FALSE)*VLOOKUP($D117,素材!$1:$1016,COLUMN($E$1),FALSE)/(LEN(VLOOKUP($D117,素材!$1:$1016,COLUMN($F$1),FALSE))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E117">
        <f>IF(ISNUMBER(SEARCH(SUBSTITUTE(AE$1,RIGHT(AE$1,2),""),VLOOKUP($D117,素材!$1:$1016,COLUMN($F$1),FALSE))),VLOOKUP($C117,装備品!$1:$998,COLUMN($O$1),FALSE)*VLOOKUP($D117,素材!$1:$1016,COLUMN($E$1),FALSE)/(LEN(VLOOKUP($D117,素材!$1:$1016,COLUMN($F$1),FALSE))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F117">
        <f>IF(ISNUMBER(SEARCH(SUBSTITUTE(AF$1,RIGHT(AF$1,2),""),VLOOKUP($D117,素材!$1:$1016,COLUMN($F$1),FALSE))),VLOOKUP($C117,装備品!$1:$998,COLUMN($O$1),FALSE)*VLOOKUP($D117,素材!$1:$1016,COLUMN($E$1),FALSE)/(LEN(VLOOKUP($D117,素材!$1:$1016,COLUMN($F$1),FALSE))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G117">
        <f>IF(ISNUMBER(SEARCH(SUBSTITUTE(AG$1,RIGHT(AG$1,2),""),VLOOKUP($D117,素材!$1:$1016,COLUMN($F$1),FALSE))),VLOOKUP($C117,装備品!$1:$998,COLUMN($O$1),FALSE)*VLOOKUP($D117,素材!$1:$1016,COLUMN($E$1),FALSE)/(LEN(VLOOKUP($D117,素材!$1:$1016,COLUMN($F$1),FALSE))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H117">
        <f>IF(ISNUMBER(SEARCH(SUBSTITUTE(AH$1,RIGHT(AH$1,2),""),VLOOKUP($D117,素材!$1:$1016,COLUMN($F$1),FALSE))),VLOOKUP($C117,装備品!$1:$998,COLUMN($O$1),FALSE)*VLOOKUP($D117,素材!$1:$1016,COLUMN($E$1),FALSE)/(LEN(VLOOKUP($D117,素材!$1:$1016,COLUMN($F$1),FALSE))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I117">
        <f>IF(ISNUMBER(SEARCH(SUBSTITUTE(AI$1,RIGHT(AI$1,2),""),VLOOKUP($D117,素材!$1:$1016,COLUMN($F$1),FALSE))),VLOOKUP($C117,装備品!$1:$998,COLUMN($O$1),FALSE)*VLOOKUP($D117,素材!$1:$1016,COLUMN($E$1),FALSE)/(LEN(VLOOKUP($D117,素材!$1:$1016,COLUMN($F$1),FALSE))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J117">
        <f>IF(ISNUMBER(SEARCH(SUBSTITUTE(AJ$1,RIGHT(AJ$1,2),""),VLOOKUP($D117,素材!$1:$1016,COLUMN($F$1),FALSE))),VLOOKUP($C117,装備品!$1:$998,COLUMN($O$1),FALSE)*VLOOKUP($D117,素材!$1:$1016,COLUMN($E$1),FALSE)/(LEN(VLOOKUP($D117,素材!$1:$1016,COLUMN($F$1),FALSE))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K117">
        <f>IF(ISNUMBER(SEARCH(SUBSTITUTE(AK$1,RIGHT(AK$1,2),""),VLOOKUP($D117,素材!$1:$1016,COLUMN($F$1),FALSE))),VLOOKUP($C117,装備品!$1:$998,COLUMN($O$1),FALSE)*VLOOKUP($D117,素材!$1:$1016,COLUMN($E$1),FALSE)/(LEN(VLOOKUP($D117,素材!$1:$1016,COLUMN($F$1),FALSE))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L117">
        <f>IF(ISNUMBER(SEARCH(SUBSTITUTE(AL$1,RIGHT(AL$1,2),""),VLOOKUP($D117,素材!$1:$1016,COLUMN($F$1),FALSE))),VLOOKUP($C117,装備品!$1:$998,COLUMN($O$1),FALSE)*VLOOKUP($D117,素材!$1:$1016,COLUMN($E$1),FALSE)/(LEN(VLOOKUP($D117,素材!$1:$1016,COLUMN($F$1),FALSE))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M117">
        <f>IF(ISNUMBER(SEARCH(SUBSTITUTE(AM$1,RIGHT(AM$1,2),""),VLOOKUP($D117,素材!$1:$1016,COLUMN($F$1),FALSE))),VLOOKUP($C117,装備品!$1:$998,COLUMN($O$1),FALSE)*VLOOKUP($D117,素材!$1:$1016,COLUMN($E$1),FALSE)/(LEN(VLOOKUP($D117,素材!$1:$1016,COLUMN($F$1),FALSE))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N117">
        <f>IF(ISNUMBER(SEARCH(SUBSTITUTE(AN$1,RIGHT(AN$1,2),""),VLOOKUP($D117,素材!$1:$1016,COLUMN($F$1),FALSE))),VLOOKUP($C117,装備品!$1:$998,COLUMN($O$1),FALSE)*VLOOKUP($D117,素材!$1:$1016,COLUMN($E$1),FALSE)/(LEN(VLOOKUP($D117,素材!$1:$1016,COLUMN($F$1),FALSE))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O117">
        <f>IF(ISNUMBER(SEARCH(SUBSTITUTE(AO$1,RIGHT(AO$1,2),""),VLOOKUP($D117,素材!$1:$1016,COLUMN($F$1),FALSE))),VLOOKUP($C117,装備品!$1:$998,COLUMN($O$1),FALSE)*VLOOKUP($D117,素材!$1:$1016,COLUMN($E$1),FALSE)/(LEN(VLOOKUP($D117,素材!$1:$1016,COLUMN($F$1),FALSE))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P117">
        <f>IF(ISNUMBER(SEARCH(SUBSTITUTE(AP$1,RIGHT(AP$1,2),""),VLOOKUP($D117,素材!$1:$1016,COLUMN($F$1),FALSE))),VLOOKUP($C117,装備品!$1:$998,COLUMN($O$1),FALSE)*VLOOKUP($D117,素材!$1:$1016,COLUMN($E$1),FALSE)/(LEN(VLOOKUP($D117,素材!$1:$1016,COLUMN($F$1),FALSE))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Q117">
        <f>IF(ISNUMBER(SEARCH(SUBSTITUTE(AQ$1,RIGHT(AQ$1,2),""),VLOOKUP($D117,素材!$1:$1016,COLUMN($F$1),FALSE))),VLOOKUP($C117,装備品!$1:$998,COLUMN($O$1),FALSE)*VLOOKUP($D117,素材!$1:$1016,COLUMN($E$1),FALSE)/(LEN(VLOOKUP($D117,素材!$1:$1016,COLUMN($F$1),FALSE))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R117">
        <f>IF(ISNUMBER(SEARCH(SUBSTITUTE(AR$1,RIGHT(AR$1,2),""),VLOOKUP($D117,素材!$1:$1016,COLUMN($F$1),FALSE))),VLOOKUP($C117,装備品!$1:$998,COLUMN($O$1),FALSE)*VLOOKUP($D117,素材!$1:$1016,COLUMN($E$1),FALSE)/(LEN(VLOOKUP($D117,素材!$1:$1016,COLUMN($F$1),FALSE))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S117">
        <f>IF(ISNUMBER(SEARCH(SUBSTITUTE(AS$1,RIGHT(AS$1,2),""),VLOOKUP($D117,素材!$1:$1016,COLUMN($F$1),FALSE))),VLOOKUP($C117,装備品!$1:$998,COLUMN($O$1),FALSE)*VLOOKUP($D117,素材!$1:$1016,COLUMN($E$1),FALSE)/(LEN(VLOOKUP($D117,素材!$1:$1016,COLUMN($F$1),FALSE))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T117">
        <f>IF(ISNUMBER(SEARCH(SUBSTITUTE(AT$1,RIGHT(AT$1,2),""),VLOOKUP($D117,素材!$1:$1016,COLUMN($F$1),FALSE))),VLOOKUP($C117,装備品!$1:$998,COLUMN($O$1),FALSE)*VLOOKUP($D117,素材!$1:$1016,COLUMN($E$1),FALSE)/(LEN(VLOOKUP($D117,素材!$1:$1016,COLUMN($F$1),FALSE))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U117">
        <f>IF(ISNUMBER(SEARCH(SUBSTITUTE(AU$1,RIGHT(AU$1,2),""),VLOOKUP($D117,素材!$1:$1016,COLUMN($F$1),FALSE))),VLOOKUP($C117,装備品!$1:$998,COLUMN($O$1),FALSE)*VLOOKUP($D117,素材!$1:$1016,COLUMN($E$1),FALSE)/(LEN(VLOOKUP($D117,素材!$1:$1016,COLUMN($F$1),FALSE))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V117">
        <f>IF(ISNUMBER(SEARCH(SUBSTITUTE(AV$1,RIGHT(AV$1,2),""),VLOOKUP($D117,素材!$1:$1016,COLUMN($F$1),FALSE))),VLOOKUP($C117,装備品!$1:$998,COLUMN($O$1),FALSE)*VLOOKUP($D117,素材!$1:$1016,COLUMN($E$1),FALSE)/(LEN(VLOOKUP($D117,素材!$1:$1016,COLUMN($F$1),FALSE))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W117">
        <f>IF(ISNUMBER(SEARCH(SUBSTITUTE(AW$1,RIGHT(AW$1,2),""),VLOOKUP($D117,素材!$1:$1016,COLUMN($F$1),FALSE))),VLOOKUP($C117,装備品!$1:$998,COLUMN($O$1),FALSE)*VLOOKUP($D117,素材!$1:$1016,COLUMN($E$1),FALSE)/(LEN(VLOOKUP($D117,素材!$1:$1016,COLUMN($F$1),FALSE))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X117">
        <f>IF(ISNUMBER(SEARCH(SUBSTITUTE(AX$1,RIGHT(AX$1,2),""),VLOOKUP($D117,素材!$1:$1016,COLUMN($F$1),FALSE))),VLOOKUP($C117,装備品!$1:$998,COLUMN($O$1),FALSE)*VLOOKUP($D117,素材!$1:$1016,COLUMN($E$1),FALSE)/(LEN(VLOOKUP($D117,素材!$1:$1016,COLUMN($F$1),FALSE))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Y117">
        <f>IF(ISNUMBER(SEARCH(SUBSTITUTE(AY$1,RIGHT(AY$1,2),""),VLOOKUP($D117,素材!$1:$1016,COLUMN($F$1),FALSE))),VLOOKUP($C117,装備品!$1:$998,COLUMN($O$1),FALSE)*VLOOKUP($D117,素材!$1:$1016,COLUMN($E$1),FALSE)/(LEN(VLOOKUP($D117,素材!$1:$1016,COLUMN($F$1),FALSE))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Z117">
        <f>IF(ISNUMBER(SEARCH(SUBSTITUTE(AZ$1,RIGHT(AZ$1,2),""),VLOOKUP($D117,素材!$1:$1016,COLUMN($F$1),FALSE))),VLOOKUP($C117,装備品!$1:$998,COLUMN($O$1),FALSE)*VLOOKUP($D117,素材!$1:$1016,COLUMN($E$1),FALSE)/(LEN(VLOOKUP($D117,素材!$1:$1016,COLUMN($F$1),FALSE))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BA117">
        <f>IF(ISNUMBER(SEARCH(SUBSTITUTE(BA$1,RIGHT(BA$1,2),""),VLOOKUP($D117,素材!$1:$1016,COLUMN($F$1),FALSE))),VLOOKUP($C117,装備品!$1:$998,COLUMN($O$1),FALSE)*VLOOKUP($D117,素材!$1:$1016,COLUMN($E$1),FALSE)/(LEN(VLOOKUP($D117,素材!$1:$1016,COLUMN($F$1),FALSE))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BB117">
        <f>IF(ISNUMBER(SEARCH(SUBSTITUTE(BB$1,RIGHT(BB$1,2),""),VLOOKUP($D117,素材!$1:$1016,COLUMN($F$1),FALSE))),VLOOKUP($C117,装備品!$1:$998,COLUMN($O$1),FALSE)*VLOOKUP($D117,素材!$1:$1016,COLUMN($E$1),FALSE)/(LEN(VLOOKUP($D117,素材!$1:$1016,COLUMN($F$1),FALSE))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BC117">
        <f>IF(ISNUMBER(SEARCH(SUBSTITUTE(BC$1,RIGHT(BC$1,2),""),VLOOKUP($D117,素材!$1:$1016,COLUMN($F$1),FALSE))),VLOOKUP($C117,装備品!$1:$998,COLUMN($O$1),FALSE)*VLOOKUP($D117,素材!$1:$1016,COLUMN($E$1),FALSE)/(LEN(VLOOKUP($D117,素材!$1:$1016,COLUMN($F$1),FALSE))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BD117">
        <f>IF(ISNUMBER(SEARCH(SUBSTITUTE(BD$1,RIGHT(BD$1,2),""),VLOOKUP($D117,素材!$1:$1016,COLUMN($F$1),FALSE))),VLOOKUP($C117,装備品!$1:$998,COLUMN($O$1),FALSE)*VLOOKUP($D117,素材!$1:$1016,COLUMN($E$1),FALSE)/(LEN(VLOOKUP($D117,素材!$1:$1016,COLUMN($F$1),FALSE))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BE117">
        <f>IF(ISNUMBER(SEARCH(SUBSTITUTE(BE$1,RIGHT(BE$1,2),""),VLOOKUP($D117,素材!$1:$1016,COLUMN($F$1),FALSE))),VLOOKUP($C117,装備品!$1:$998,COLUMN($O$1),FALSE)*VLOOKUP($D117,素材!$1:$1016,COLUMN($E$1),FALSE)/(LEN(VLOOKUP($D117,素材!$1:$1016,COLUMN($F$1),FALSE))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CL117">
        <f t="shared" si="7"/>
        <v>0</v>
      </c>
      <c r="CM117" s="22" t="str">
        <f t="shared" si="8"/>
        <v>体.webp</v>
      </c>
      <c r="CN117">
        <f>IFERROR(VLOOKUP($C117,装備品!$1:$998,COLUMN(V$1),FALSE)*VLOOKUP($D117,素材!$1:$1016,COLUMN(N$1),FALSE)+IF(CI117="",0,VLOOKUP($CI117,付与!$1:$1176,COLUMN($CK$1),FALSE)),"")</f>
        <v>0</v>
      </c>
      <c r="CO117" t="str">
        <f>VLOOKUP(D117,素材!$A:$O,COLUMN(素材!O$1),FALSE)</f>
        <v>一般的な皮素材で、防具や軽量装備の材料として最適です。耐久性は高くありませんが、軽量で扱いやすい点が特徴です。</v>
      </c>
      <c r="CP117" t="str">
        <f>VLOOKUP(C117,装備品!$A:$AB,COLUMN(装備品!AB$1),FALSE)</f>
        <v>HP 物理 魔法 体幹 出血 疲労 Cr</v>
      </c>
      <c r="CR117" t="str">
        <f t="shared" si="9"/>
        <v>e_117</v>
      </c>
      <c r="CS117">
        <f t="shared" si="10"/>
        <v>0</v>
      </c>
    </row>
    <row r="118" spans="1:97" outlineLevel="1" x14ac:dyDescent="0.4">
      <c r="A118" t="str">
        <f t="shared" si="11"/>
        <v>皮の法衣</v>
      </c>
      <c r="B118" t="str">
        <f>IFERROR(VLOOKUP($D118,素材!$1:$1016,COLUMN($B$1),FALSE)&amp;"・"&amp;VLOOKUP($C118,装備品!$1:$998,COLUMN(B$1),FALSE),"")</f>
        <v>レザー・ローブ</v>
      </c>
      <c r="C118" t="s">
        <v>245</v>
      </c>
      <c r="D118" s="24" t="s">
        <v>251</v>
      </c>
      <c r="E118" t="str">
        <f>IFERROR(VLOOKUP(C118,装備品!$1:$998,COLUMN(C$1),FALSE),"")</f>
        <v>体</v>
      </c>
      <c r="F118">
        <f>IFERROR(ROUNDDOWN((VLOOKUP($C118,装備品!$1:$998,COLUMN(D$1),FALSE)+IFERROR(VLOOKUP($CI118,付与!$1:$1167,COLUMN(F$1),FALSE),0))*VLOOKUP($D118,素材!$1:$1016,COLUMN(D$1),FALSE),0),"")</f>
        <v>0</v>
      </c>
      <c r="G118">
        <f>IFERROR(ROUNDDOWN((VLOOKUP($C118,装備品!$1:$998,COLUMN(E$1),FALSE)+IFERROR(VLOOKUP($CI118,付与!$1:$1167,COLUMN(G$1),FALSE),0))*VLOOKUP($D118,素材!$1:$1016,COLUMN($E$1),FALSE),0),"")</f>
        <v>0</v>
      </c>
      <c r="H118">
        <f>IFERROR(ROUNDDOWN((VLOOKUP($C118,装備品!$1:$998,COLUMN(F$1),FALSE)+IFERROR(VLOOKUP($CI118,付与!$1:$1167,COLUMN(H$1),FALSE),0))*VLOOKUP($D118,素材!$1:$1016,COLUMN($E$1),FALSE),0),"")</f>
        <v>0</v>
      </c>
      <c r="I118">
        <f>IFERROR(ROUNDDOWN((VLOOKUP($C118,装備品!$1:$998,COLUMN(G$1),FALSE)+IFERROR(VLOOKUP($CI118,付与!$1:$1167,COLUMN(I$1),FALSE),0))*VLOOKUP($D118,素材!$1:$1016,COLUMN($E$1),FALSE),0),"")</f>
        <v>0</v>
      </c>
      <c r="J118">
        <f>IFERROR(ROUNDDOWN((VLOOKUP($C118,装備品!$1:$998,COLUMN(H$1),FALSE)+IFERROR(VLOOKUP($CI118,付与!$1:$1167,COLUMN(J$1),FALSE),0))*VLOOKUP($D118,素材!$1:$1016,COLUMN($E$1),FALSE),0),"")</f>
        <v>0</v>
      </c>
      <c r="K118">
        <f>IFERROR(ROUNDDOWN((VLOOKUP($C118,装備品!$1:$998,COLUMN(I$1),FALSE)+IFERROR(VLOOKUP($CI118,付与!$1:$1167,COLUMN(K$1),FALSE),0))*VLOOKUP($D118,素材!$1:$1016,COLUMN($E$1),FALSE),0),"")</f>
        <v>0</v>
      </c>
      <c r="L118" t="str">
        <f>IFERROR(VLOOKUP($D118,素材!$1:$1016,COLUMN($F$1),FALSE),"")</f>
        <v>-</v>
      </c>
      <c r="M118" t="str">
        <f>IFERROR(VLOOKUP($C118,装備品!$1:$998,COLUMN(AA$1),FALSE)*VLOOKUP($D118,素材!$1:$1016,COLUMN($G$1),FALSE),"")</f>
        <v/>
      </c>
      <c r="N118">
        <f>IFERROR(VLOOKUP($C118,装備品!$1:$998,COLUMN(I$1),FALSE),"")</f>
        <v>0</v>
      </c>
      <c r="O118" s="23" t="str">
        <f>IFERROR((VLOOKUP($C118,装備品!$1:$998,COLUMN(K$1),FALSE)+VLOOKUP($D118,素材!$1:$1016,COLUMN(H$1),FALSE))*100+IFERROR(VLOOKUP($CI118,付与!$1:$1167,COLUMN(O$1),FALSE),0),"")</f>
        <v/>
      </c>
      <c r="P118" s="23" t="str">
        <f>IFERROR((VLOOKUP($C118,装備品!$1:$998,COLUMN(L$1),FALSE)+VLOOKUP($D118,素材!$1:$1016,COLUMN(I$1),FALSE))*100+IFERROR(VLOOKUP($CI118,付与!$1:$1167,COLUMN(P$1),FALSE),0),"")</f>
        <v/>
      </c>
      <c r="Q118">
        <f>IFERROR(ROUNDUP(VLOOKUP($C118,装備品!$1:$998,COLUMN(M$1),FALSE)*(VLOOKUP($D118,素材!$1:$1002,COLUMN(D$1),FALSE)/100),1),"")</f>
        <v>0</v>
      </c>
      <c r="R118">
        <f>IFERROR(ROUNDUP(VLOOKUP($C118,装備品!$1:$998,COLUMN(N$1),FALSE)*(VLOOKUP($D118,素材!$1:$1002,COLUMN(D$1),FALSE)/100),1),"")</f>
        <v>0</v>
      </c>
      <c r="S118">
        <f>IFERROR(VLOOKUP($C118,装備品!$1:$998,COLUMN(P$1),FALSE),"")</f>
        <v>0</v>
      </c>
      <c r="T118">
        <f>IFERROR(VLOOKUP($C118,装備品!$1:$998,COLUMN(Q$1),FALSE),"")</f>
        <v>0</v>
      </c>
      <c r="U118">
        <f>IFERROR(VLOOKUP($C118,装備品!$1:$998,COLUMN(R$1),FALSE),"")</f>
        <v>0</v>
      </c>
      <c r="V118">
        <f>IFERROR(VLOOKUP($C118,装備品!$1:$998,COLUMN(Q$1),FALSE),"")</f>
        <v>0</v>
      </c>
      <c r="W118">
        <f>IFERROR(VLOOKUP($C118,装備品!$1:$998,COLUMN(T$1),FALSE),"")</f>
        <v>0.2</v>
      </c>
      <c r="Y118">
        <f>IFERROR(VLOOKUP($C118,装備品!$1:$998,COLUMN(U$1),FALSE),"")</f>
        <v>0</v>
      </c>
      <c r="Z118">
        <f>IFERROR(ROUNDUP(VLOOKUP($C118,装備品!$1:$998,COLUMN(O$1),FALSE)*VLOOKUP($D118,素材!$1:$1016,COLUMN(E$1),FALSE),1),"")</f>
        <v>0</v>
      </c>
      <c r="AA118">
        <f>IF(ISNUMBER(SEARCH(SUBSTITUTE(AA$1,RIGHT(AA$1,2),""),VLOOKUP($D118,素材!$1:$1016,COLUMN($F$1),FALSE))),VLOOKUP($C118,装備品!$1:$998,COLUMN($O$1),FALSE)*VLOOKUP($D118,素材!$1:$1016,COLUMN($E$1),FALSE)/(LEN(VLOOKUP($D118,素材!$1:$1016,COLUMN($F$1),FALSE))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B118">
        <f>IF(ISNUMBER(SEARCH(SUBSTITUTE(AB$1,RIGHT(AB$1,2),""),VLOOKUP($D118,素材!$1:$1016,COLUMN($F$1),FALSE))),VLOOKUP($C118,装備品!$1:$998,COLUMN($O$1),FALSE)*VLOOKUP($D118,素材!$1:$1016,COLUMN($E$1),FALSE)/(LEN(VLOOKUP($D118,素材!$1:$1016,COLUMN($F$1),FALSE))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C118">
        <f>IF(ISNUMBER(SEARCH(SUBSTITUTE(AC$1,RIGHT(AC$1,2),""),VLOOKUP($D118,素材!$1:$1016,COLUMN($F$1),FALSE))),VLOOKUP($C118,装備品!$1:$998,COLUMN($O$1),FALSE)*VLOOKUP($D118,素材!$1:$1016,COLUMN($E$1),FALSE)/(LEN(VLOOKUP($D118,素材!$1:$1016,COLUMN($F$1),FALSE))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D118">
        <f>IF(ISNUMBER(SEARCH(SUBSTITUTE(AD$1,RIGHT(AD$1,2),""),VLOOKUP($D118,素材!$1:$1016,COLUMN($F$1),FALSE))),VLOOKUP($C118,装備品!$1:$998,COLUMN($O$1),FALSE)*VLOOKUP($D118,素材!$1:$1016,COLUMN($E$1),FALSE)/(LEN(VLOOKUP($D118,素材!$1:$1016,COLUMN($F$1),FALSE))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E118">
        <f>IF(ISNUMBER(SEARCH(SUBSTITUTE(AE$1,RIGHT(AE$1,2),""),VLOOKUP($D118,素材!$1:$1016,COLUMN($F$1),FALSE))),VLOOKUP($C118,装備品!$1:$998,COLUMN($O$1),FALSE)*VLOOKUP($D118,素材!$1:$1016,COLUMN($E$1),FALSE)/(LEN(VLOOKUP($D118,素材!$1:$1016,COLUMN($F$1),FALSE))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F118">
        <f>IF(ISNUMBER(SEARCH(SUBSTITUTE(AF$1,RIGHT(AF$1,2),""),VLOOKUP($D118,素材!$1:$1016,COLUMN($F$1),FALSE))),VLOOKUP($C118,装備品!$1:$998,COLUMN($O$1),FALSE)*VLOOKUP($D118,素材!$1:$1016,COLUMN($E$1),FALSE)/(LEN(VLOOKUP($D118,素材!$1:$1016,COLUMN($F$1),FALSE))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G118">
        <f>IF(ISNUMBER(SEARCH(SUBSTITUTE(AG$1,RIGHT(AG$1,2),""),VLOOKUP($D118,素材!$1:$1016,COLUMN($F$1),FALSE))),VLOOKUP($C118,装備品!$1:$998,COLUMN($O$1),FALSE)*VLOOKUP($D118,素材!$1:$1016,COLUMN($E$1),FALSE)/(LEN(VLOOKUP($D118,素材!$1:$1016,COLUMN($F$1),FALSE))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H118">
        <f>IF(ISNUMBER(SEARCH(SUBSTITUTE(AH$1,RIGHT(AH$1,2),""),VLOOKUP($D118,素材!$1:$1016,COLUMN($F$1),FALSE))),VLOOKUP($C118,装備品!$1:$998,COLUMN($O$1),FALSE)*VLOOKUP($D118,素材!$1:$1016,COLUMN($E$1),FALSE)/(LEN(VLOOKUP($D118,素材!$1:$1016,COLUMN($F$1),FALSE))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I118">
        <f>IF(ISNUMBER(SEARCH(SUBSTITUTE(AI$1,RIGHT(AI$1,2),""),VLOOKUP($D118,素材!$1:$1016,COLUMN($F$1),FALSE))),VLOOKUP($C118,装備品!$1:$998,COLUMN($O$1),FALSE)*VLOOKUP($D118,素材!$1:$1016,COLUMN($E$1),FALSE)/(LEN(VLOOKUP($D118,素材!$1:$1016,COLUMN($F$1),FALSE))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J118">
        <f>IF(ISNUMBER(SEARCH(SUBSTITUTE(AJ$1,RIGHT(AJ$1,2),""),VLOOKUP($D118,素材!$1:$1016,COLUMN($F$1),FALSE))),VLOOKUP($C118,装備品!$1:$998,COLUMN($O$1),FALSE)*VLOOKUP($D118,素材!$1:$1016,COLUMN($E$1),FALSE)/(LEN(VLOOKUP($D118,素材!$1:$1016,COLUMN($F$1),FALSE))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K118">
        <f>IF(ISNUMBER(SEARCH(SUBSTITUTE(AK$1,RIGHT(AK$1,2),""),VLOOKUP($D118,素材!$1:$1016,COLUMN($F$1),FALSE))),VLOOKUP($C118,装備品!$1:$998,COLUMN($O$1),FALSE)*VLOOKUP($D118,素材!$1:$1016,COLUMN($E$1),FALSE)/(LEN(VLOOKUP($D118,素材!$1:$1016,COLUMN($F$1),FALSE))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L118">
        <f>IF(ISNUMBER(SEARCH(SUBSTITUTE(AL$1,RIGHT(AL$1,2),""),VLOOKUP($D118,素材!$1:$1016,COLUMN($F$1),FALSE))),VLOOKUP($C118,装備品!$1:$998,COLUMN($O$1),FALSE)*VLOOKUP($D118,素材!$1:$1016,COLUMN($E$1),FALSE)/(LEN(VLOOKUP($D118,素材!$1:$1016,COLUMN($F$1),FALSE))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M118">
        <f>IF(ISNUMBER(SEARCH(SUBSTITUTE(AM$1,RIGHT(AM$1,2),""),VLOOKUP($D118,素材!$1:$1016,COLUMN($F$1),FALSE))),VLOOKUP($C118,装備品!$1:$998,COLUMN($O$1),FALSE)*VLOOKUP($D118,素材!$1:$1016,COLUMN($E$1),FALSE)/(LEN(VLOOKUP($D118,素材!$1:$1016,COLUMN($F$1),FALSE))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N118">
        <f>IF(ISNUMBER(SEARCH(SUBSTITUTE(AN$1,RIGHT(AN$1,2),""),VLOOKUP($D118,素材!$1:$1016,COLUMN($F$1),FALSE))),VLOOKUP($C118,装備品!$1:$998,COLUMN($O$1),FALSE)*VLOOKUP($D118,素材!$1:$1016,COLUMN($E$1),FALSE)/(LEN(VLOOKUP($D118,素材!$1:$1016,COLUMN($F$1),FALSE))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O118">
        <f>IF(ISNUMBER(SEARCH(SUBSTITUTE(AO$1,RIGHT(AO$1,2),""),VLOOKUP($D118,素材!$1:$1016,COLUMN($F$1),FALSE))),VLOOKUP($C118,装備品!$1:$998,COLUMN($O$1),FALSE)*VLOOKUP($D118,素材!$1:$1016,COLUMN($E$1),FALSE)/(LEN(VLOOKUP($D118,素材!$1:$1016,COLUMN($F$1),FALSE))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P118">
        <f>IF(ISNUMBER(SEARCH(SUBSTITUTE(AP$1,RIGHT(AP$1,2),""),VLOOKUP($D118,素材!$1:$1016,COLUMN($F$1),FALSE))),VLOOKUP($C118,装備品!$1:$998,COLUMN($O$1),FALSE)*VLOOKUP($D118,素材!$1:$1016,COLUMN($E$1),FALSE)/(LEN(VLOOKUP($D118,素材!$1:$1016,COLUMN($F$1),FALSE))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Q118">
        <f>IF(ISNUMBER(SEARCH(SUBSTITUTE(AQ$1,RIGHT(AQ$1,2),""),VLOOKUP($D118,素材!$1:$1016,COLUMN($F$1),FALSE))),VLOOKUP($C118,装備品!$1:$998,COLUMN($O$1),FALSE)*VLOOKUP($D118,素材!$1:$1016,COLUMN($E$1),FALSE)/(LEN(VLOOKUP($D118,素材!$1:$1016,COLUMN($F$1),FALSE))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R118">
        <f>IF(ISNUMBER(SEARCH(SUBSTITUTE(AR$1,RIGHT(AR$1,2),""),VLOOKUP($D118,素材!$1:$1016,COLUMN($F$1),FALSE))),VLOOKUP($C118,装備品!$1:$998,COLUMN($O$1),FALSE)*VLOOKUP($D118,素材!$1:$1016,COLUMN($E$1),FALSE)/(LEN(VLOOKUP($D118,素材!$1:$1016,COLUMN($F$1),FALSE))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S118">
        <f>IF(ISNUMBER(SEARCH(SUBSTITUTE(AS$1,RIGHT(AS$1,2),""),VLOOKUP($D118,素材!$1:$1016,COLUMN($F$1),FALSE))),VLOOKUP($C118,装備品!$1:$998,COLUMN($O$1),FALSE)*VLOOKUP($D118,素材!$1:$1016,COLUMN($E$1),FALSE)/(LEN(VLOOKUP($D118,素材!$1:$1016,COLUMN($F$1),FALSE))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T118">
        <f>IF(ISNUMBER(SEARCH(SUBSTITUTE(AT$1,RIGHT(AT$1,2),""),VLOOKUP($D118,素材!$1:$1016,COLUMN($F$1),FALSE))),VLOOKUP($C118,装備品!$1:$998,COLUMN($O$1),FALSE)*VLOOKUP($D118,素材!$1:$1016,COLUMN($E$1),FALSE)/(LEN(VLOOKUP($D118,素材!$1:$1016,COLUMN($F$1),FALSE))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U118">
        <f>IF(ISNUMBER(SEARCH(SUBSTITUTE(AU$1,RIGHT(AU$1,2),""),VLOOKUP($D118,素材!$1:$1016,COLUMN($F$1),FALSE))),VLOOKUP($C118,装備品!$1:$998,COLUMN($O$1),FALSE)*VLOOKUP($D118,素材!$1:$1016,COLUMN($E$1),FALSE)/(LEN(VLOOKUP($D118,素材!$1:$1016,COLUMN($F$1),FALSE))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V118">
        <f>IF(ISNUMBER(SEARCH(SUBSTITUTE(AV$1,RIGHT(AV$1,2),""),VLOOKUP($D118,素材!$1:$1016,COLUMN($F$1),FALSE))),VLOOKUP($C118,装備品!$1:$998,COLUMN($O$1),FALSE)*VLOOKUP($D118,素材!$1:$1016,COLUMN($E$1),FALSE)/(LEN(VLOOKUP($D118,素材!$1:$1016,COLUMN($F$1),FALSE))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W118">
        <f>IF(ISNUMBER(SEARCH(SUBSTITUTE(AW$1,RIGHT(AW$1,2),""),VLOOKUP($D118,素材!$1:$1016,COLUMN($F$1),FALSE))),VLOOKUP($C118,装備品!$1:$998,COLUMN($O$1),FALSE)*VLOOKUP($D118,素材!$1:$1016,COLUMN($E$1),FALSE)/(LEN(VLOOKUP($D118,素材!$1:$1016,COLUMN($F$1),FALSE))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X118">
        <f>IF(ISNUMBER(SEARCH(SUBSTITUTE(AX$1,RIGHT(AX$1,2),""),VLOOKUP($D118,素材!$1:$1016,COLUMN($F$1),FALSE))),VLOOKUP($C118,装備品!$1:$998,COLUMN($O$1),FALSE)*VLOOKUP($D118,素材!$1:$1016,COLUMN($E$1),FALSE)/(LEN(VLOOKUP($D118,素材!$1:$1016,COLUMN($F$1),FALSE))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Y118">
        <f>IF(ISNUMBER(SEARCH(SUBSTITUTE(AY$1,RIGHT(AY$1,2),""),VLOOKUP($D118,素材!$1:$1016,COLUMN($F$1),FALSE))),VLOOKUP($C118,装備品!$1:$998,COLUMN($O$1),FALSE)*VLOOKUP($D118,素材!$1:$1016,COLUMN($E$1),FALSE)/(LEN(VLOOKUP($D118,素材!$1:$1016,COLUMN($F$1),FALSE))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Z118">
        <f>IF(ISNUMBER(SEARCH(SUBSTITUTE(AZ$1,RIGHT(AZ$1,2),""),VLOOKUP($D118,素材!$1:$1016,COLUMN($F$1),FALSE))),VLOOKUP($C118,装備品!$1:$998,COLUMN($O$1),FALSE)*VLOOKUP($D118,素材!$1:$1016,COLUMN($E$1),FALSE)/(LEN(VLOOKUP($D118,素材!$1:$1016,COLUMN($F$1),FALSE))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BA118">
        <f>IF(ISNUMBER(SEARCH(SUBSTITUTE(BA$1,RIGHT(BA$1,2),""),VLOOKUP($D118,素材!$1:$1016,COLUMN($F$1),FALSE))),VLOOKUP($C118,装備品!$1:$998,COLUMN($O$1),FALSE)*VLOOKUP($D118,素材!$1:$1016,COLUMN($E$1),FALSE)/(LEN(VLOOKUP($D118,素材!$1:$1016,COLUMN($F$1),FALSE))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BB118">
        <f>IF(ISNUMBER(SEARCH(SUBSTITUTE(BB$1,RIGHT(BB$1,2),""),VLOOKUP($D118,素材!$1:$1016,COLUMN($F$1),FALSE))),VLOOKUP($C118,装備品!$1:$998,COLUMN($O$1),FALSE)*VLOOKUP($D118,素材!$1:$1016,COLUMN($E$1),FALSE)/(LEN(VLOOKUP($D118,素材!$1:$1016,COLUMN($F$1),FALSE))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BC118">
        <f>IF(ISNUMBER(SEARCH(SUBSTITUTE(BC$1,RIGHT(BC$1,2),""),VLOOKUP($D118,素材!$1:$1016,COLUMN($F$1),FALSE))),VLOOKUP($C118,装備品!$1:$998,COLUMN($O$1),FALSE)*VLOOKUP($D118,素材!$1:$1016,COLUMN($E$1),FALSE)/(LEN(VLOOKUP($D118,素材!$1:$1016,COLUMN($F$1),FALSE))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BD118">
        <f>IF(ISNUMBER(SEARCH(SUBSTITUTE(BD$1,RIGHT(BD$1,2),""),VLOOKUP($D118,素材!$1:$1016,COLUMN($F$1),FALSE))),VLOOKUP($C118,装備品!$1:$998,COLUMN($O$1),FALSE)*VLOOKUP($D118,素材!$1:$1016,COLUMN($E$1),FALSE)/(LEN(VLOOKUP($D118,素材!$1:$1016,COLUMN($F$1),FALSE))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BE118">
        <f>IF(ISNUMBER(SEARCH(SUBSTITUTE(BE$1,RIGHT(BE$1,2),""),VLOOKUP($D118,素材!$1:$1016,COLUMN($F$1),FALSE))),VLOOKUP($C118,装備品!$1:$998,COLUMN($O$1),FALSE)*VLOOKUP($D118,素材!$1:$1016,COLUMN($E$1),FALSE)/(LEN(VLOOKUP($D118,素材!$1:$1016,COLUMN($F$1),FALSE))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CL118">
        <f t="shared" si="7"/>
        <v>0</v>
      </c>
      <c r="CM118" s="22" t="str">
        <f t="shared" si="8"/>
        <v>体.webp</v>
      </c>
      <c r="CN118">
        <f>IFERROR(VLOOKUP($C118,装備品!$1:$998,COLUMN(V$1),FALSE)*VLOOKUP($D118,素材!$1:$1016,COLUMN(N$1),FALSE)+IF(CI118="",0,VLOOKUP($CI118,付与!$1:$1176,COLUMN($CK$1),FALSE)),"")</f>
        <v>0</v>
      </c>
      <c r="CO118" t="str">
        <f>VLOOKUP(D118,素材!$A:$O,COLUMN(素材!O$1),FALSE)</f>
        <v>一般的な皮素材で、防具や軽量装備の材料として最適です。耐久性は高くありませんが、軽量で扱いやすい点が特徴です。</v>
      </c>
      <c r="CP118" t="str">
        <f>VLOOKUP(C118,装備品!$A:$AB,COLUMN(装備品!AB$1),FALSE)</f>
        <v>HP 物理 魔法 体幹 出血 疲労 Cr</v>
      </c>
      <c r="CR118" t="str">
        <f t="shared" si="9"/>
        <v>e_118</v>
      </c>
      <c r="CS118">
        <f t="shared" si="10"/>
        <v>0</v>
      </c>
    </row>
    <row r="119" spans="1:97" outlineLevel="1" x14ac:dyDescent="0.4">
      <c r="A119" t="str">
        <f t="shared" si="11"/>
        <v>皮の鎧</v>
      </c>
      <c r="B119" t="str">
        <f>IFERROR(VLOOKUP($D119,素材!$1:$1016,COLUMN($B$1),FALSE)&amp;"・"&amp;VLOOKUP($C119,装備品!$1:$998,COLUMN(B$1),FALSE),"")</f>
        <v>レザー・アーマー</v>
      </c>
      <c r="C119" t="s">
        <v>207</v>
      </c>
      <c r="D119" s="24" t="s">
        <v>251</v>
      </c>
      <c r="E119" t="str">
        <f>IFERROR(VLOOKUP(C119,装備品!$1:$998,COLUMN(C$1),FALSE),"")</f>
        <v>体</v>
      </c>
      <c r="F119">
        <f>IFERROR(ROUNDDOWN((VLOOKUP($C119,装備品!$1:$998,COLUMN(D$1),FALSE)+IFERROR(VLOOKUP($CI119,付与!$1:$1167,COLUMN(F$1),FALSE),0))*VLOOKUP($D119,素材!$1:$1016,COLUMN(D$1),FALSE),0),"")</f>
        <v>0</v>
      </c>
      <c r="G119">
        <f>IFERROR(ROUNDDOWN((VLOOKUP($C119,装備品!$1:$998,COLUMN(E$1),FALSE)+IFERROR(VLOOKUP($CI119,付与!$1:$1167,COLUMN(G$1),FALSE),0))*VLOOKUP($D119,素材!$1:$1016,COLUMN($E$1),FALSE),0),"")</f>
        <v>0</v>
      </c>
      <c r="H119">
        <f>IFERROR(ROUNDDOWN((VLOOKUP($C119,装備品!$1:$998,COLUMN(F$1),FALSE)+IFERROR(VLOOKUP($CI119,付与!$1:$1167,COLUMN(H$1),FALSE),0))*VLOOKUP($D119,素材!$1:$1016,COLUMN($E$1),FALSE),0),"")</f>
        <v>0</v>
      </c>
      <c r="I119">
        <f>IFERROR(ROUNDDOWN((VLOOKUP($C119,装備品!$1:$998,COLUMN(G$1),FALSE)+IFERROR(VLOOKUP($CI119,付与!$1:$1167,COLUMN(I$1),FALSE),0))*VLOOKUP($D119,素材!$1:$1016,COLUMN($E$1),FALSE),0),"")</f>
        <v>0</v>
      </c>
      <c r="J119">
        <f>IFERROR(ROUNDDOWN((VLOOKUP($C119,装備品!$1:$998,COLUMN(H$1),FALSE)+IFERROR(VLOOKUP($CI119,付与!$1:$1167,COLUMN(J$1),FALSE),0))*VLOOKUP($D119,素材!$1:$1016,COLUMN($E$1),FALSE),0),"")</f>
        <v>0</v>
      </c>
      <c r="K119">
        <f>IFERROR(ROUNDDOWN((VLOOKUP($C119,装備品!$1:$998,COLUMN(I$1),FALSE)+IFERROR(VLOOKUP($CI119,付与!$1:$1167,COLUMN(K$1),FALSE),0))*VLOOKUP($D119,素材!$1:$1016,COLUMN($E$1),FALSE),0),"")</f>
        <v>0</v>
      </c>
      <c r="L119" t="str">
        <f>IFERROR(VLOOKUP($D119,素材!$1:$1016,COLUMN($F$1),FALSE),"")</f>
        <v>-</v>
      </c>
      <c r="M119" t="str">
        <f>IFERROR(VLOOKUP($C119,装備品!$1:$998,COLUMN(AA$1),FALSE)*VLOOKUP($D119,素材!$1:$1016,COLUMN($G$1),FALSE),"")</f>
        <v/>
      </c>
      <c r="N119">
        <f>IFERROR(VLOOKUP($C119,装備品!$1:$998,COLUMN(I$1),FALSE),"")</f>
        <v>0</v>
      </c>
      <c r="O119" s="23" t="str">
        <f>IFERROR((VLOOKUP($C119,装備品!$1:$998,COLUMN(K$1),FALSE)+VLOOKUP($D119,素材!$1:$1016,COLUMN(H$1),FALSE))*100+IFERROR(VLOOKUP($CI119,付与!$1:$1167,COLUMN(O$1),FALSE),0),"")</f>
        <v/>
      </c>
      <c r="P119" s="23" t="str">
        <f>IFERROR((VLOOKUP($C119,装備品!$1:$998,COLUMN(L$1),FALSE)+VLOOKUP($D119,素材!$1:$1016,COLUMN(I$1),FALSE))*100+IFERROR(VLOOKUP($CI119,付与!$1:$1167,COLUMN(P$1),FALSE),0),"")</f>
        <v/>
      </c>
      <c r="Q119">
        <f>IFERROR(ROUNDUP(VLOOKUP($C119,装備品!$1:$998,COLUMN(M$1),FALSE)*(VLOOKUP($D119,素材!$1:$1002,COLUMN(D$1),FALSE)/100),1),"")</f>
        <v>-6</v>
      </c>
      <c r="R119">
        <f>IFERROR(ROUNDUP(VLOOKUP($C119,装備品!$1:$998,COLUMN(N$1),FALSE)*(VLOOKUP($D119,素材!$1:$1002,COLUMN(D$1),FALSE)/100),1),"")</f>
        <v>0</v>
      </c>
      <c r="S119">
        <f>IFERROR(VLOOKUP($C119,装備品!$1:$998,COLUMN(P$1),FALSE),"")</f>
        <v>-35</v>
      </c>
      <c r="T119">
        <f>IFERROR(VLOOKUP($C119,装備品!$1:$998,COLUMN(Q$1),FALSE),"")</f>
        <v>0</v>
      </c>
      <c r="U119">
        <f>IFERROR(VLOOKUP($C119,装備品!$1:$998,COLUMN(R$1),FALSE),"")</f>
        <v>0</v>
      </c>
      <c r="V119">
        <f>IFERROR(VLOOKUP($C119,装備品!$1:$998,COLUMN(Q$1),FALSE),"")</f>
        <v>0</v>
      </c>
      <c r="W119">
        <f>IFERROR(VLOOKUP($C119,装備品!$1:$998,COLUMN(T$1),FALSE),"")</f>
        <v>0.7</v>
      </c>
      <c r="Y119">
        <f>IFERROR(VLOOKUP($C119,装備品!$1:$998,COLUMN(U$1),FALSE),"")</f>
        <v>0</v>
      </c>
      <c r="Z119">
        <f>IFERROR(ROUNDUP(VLOOKUP($C119,装備品!$1:$998,COLUMN(O$1),FALSE)*VLOOKUP($D119,素材!$1:$1016,COLUMN(E$1),FALSE),1),"")</f>
        <v>0</v>
      </c>
      <c r="AA119">
        <f>IF(ISNUMBER(SEARCH(SUBSTITUTE(AA$1,RIGHT(AA$1,2),""),VLOOKUP($D119,素材!$1:$1016,COLUMN($F$1),FALSE))),VLOOKUP($C119,装備品!$1:$998,COLUMN($O$1),FALSE)*VLOOKUP($D119,素材!$1:$1016,COLUMN($E$1),FALSE)/(LEN(VLOOKUP($D119,素材!$1:$1016,COLUMN($F$1),FALSE))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B119">
        <f>IF(ISNUMBER(SEARCH(SUBSTITUTE(AB$1,RIGHT(AB$1,2),""),VLOOKUP($D119,素材!$1:$1016,COLUMN($F$1),FALSE))),VLOOKUP($C119,装備品!$1:$998,COLUMN($O$1),FALSE)*VLOOKUP($D119,素材!$1:$1016,COLUMN($E$1),FALSE)/(LEN(VLOOKUP($D119,素材!$1:$1016,COLUMN($F$1),FALSE))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C119">
        <f>IF(ISNUMBER(SEARCH(SUBSTITUTE(AC$1,RIGHT(AC$1,2),""),VLOOKUP($D119,素材!$1:$1016,COLUMN($F$1),FALSE))),VLOOKUP($C119,装備品!$1:$998,COLUMN($O$1),FALSE)*VLOOKUP($D119,素材!$1:$1016,COLUMN($E$1),FALSE)/(LEN(VLOOKUP($D119,素材!$1:$1016,COLUMN($F$1),FALSE))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D119">
        <f>IF(ISNUMBER(SEARCH(SUBSTITUTE(AD$1,RIGHT(AD$1,2),""),VLOOKUP($D119,素材!$1:$1016,COLUMN($F$1),FALSE))),VLOOKUP($C119,装備品!$1:$998,COLUMN($O$1),FALSE)*VLOOKUP($D119,素材!$1:$1016,COLUMN($E$1),FALSE)/(LEN(VLOOKUP($D119,素材!$1:$1016,COLUMN($F$1),FALSE))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E119">
        <f>IF(ISNUMBER(SEARCH(SUBSTITUTE(AE$1,RIGHT(AE$1,2),""),VLOOKUP($D119,素材!$1:$1016,COLUMN($F$1),FALSE))),VLOOKUP($C119,装備品!$1:$998,COLUMN($O$1),FALSE)*VLOOKUP($D119,素材!$1:$1016,COLUMN($E$1),FALSE)/(LEN(VLOOKUP($D119,素材!$1:$1016,COLUMN($F$1),FALSE))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F119">
        <f>IF(ISNUMBER(SEARCH(SUBSTITUTE(AF$1,RIGHT(AF$1,2),""),VLOOKUP($D119,素材!$1:$1016,COLUMN($F$1),FALSE))),VLOOKUP($C119,装備品!$1:$998,COLUMN($O$1),FALSE)*VLOOKUP($D119,素材!$1:$1016,COLUMN($E$1),FALSE)/(LEN(VLOOKUP($D119,素材!$1:$1016,COLUMN($F$1),FALSE))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G119">
        <f>IF(ISNUMBER(SEARCH(SUBSTITUTE(AG$1,RIGHT(AG$1,2),""),VLOOKUP($D119,素材!$1:$1016,COLUMN($F$1),FALSE))),VLOOKUP($C119,装備品!$1:$998,COLUMN($O$1),FALSE)*VLOOKUP($D119,素材!$1:$1016,COLUMN($E$1),FALSE)/(LEN(VLOOKUP($D119,素材!$1:$1016,COLUMN($F$1),FALSE))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H119">
        <f>IF(ISNUMBER(SEARCH(SUBSTITUTE(AH$1,RIGHT(AH$1,2),""),VLOOKUP($D119,素材!$1:$1016,COLUMN($F$1),FALSE))),VLOOKUP($C119,装備品!$1:$998,COLUMN($O$1),FALSE)*VLOOKUP($D119,素材!$1:$1016,COLUMN($E$1),FALSE)/(LEN(VLOOKUP($D119,素材!$1:$1016,COLUMN($F$1),FALSE))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I119">
        <f>IF(ISNUMBER(SEARCH(SUBSTITUTE(AI$1,RIGHT(AI$1,2),""),VLOOKUP($D119,素材!$1:$1016,COLUMN($F$1),FALSE))),VLOOKUP($C119,装備品!$1:$998,COLUMN($O$1),FALSE)*VLOOKUP($D119,素材!$1:$1016,COLUMN($E$1),FALSE)/(LEN(VLOOKUP($D119,素材!$1:$1016,COLUMN($F$1),FALSE))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J119">
        <f>IF(ISNUMBER(SEARCH(SUBSTITUTE(AJ$1,RIGHT(AJ$1,2),""),VLOOKUP($D119,素材!$1:$1016,COLUMN($F$1),FALSE))),VLOOKUP($C119,装備品!$1:$998,COLUMN($O$1),FALSE)*VLOOKUP($D119,素材!$1:$1016,COLUMN($E$1),FALSE)/(LEN(VLOOKUP($D119,素材!$1:$1016,COLUMN($F$1),FALSE))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K119">
        <f>IF(ISNUMBER(SEARCH(SUBSTITUTE(AK$1,RIGHT(AK$1,2),""),VLOOKUP($D119,素材!$1:$1016,COLUMN($F$1),FALSE))),VLOOKUP($C119,装備品!$1:$998,COLUMN($O$1),FALSE)*VLOOKUP($D119,素材!$1:$1016,COLUMN($E$1),FALSE)/(LEN(VLOOKUP($D119,素材!$1:$1016,COLUMN($F$1),FALSE))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L119">
        <f>IF(ISNUMBER(SEARCH(SUBSTITUTE(AL$1,RIGHT(AL$1,2),""),VLOOKUP($D119,素材!$1:$1016,COLUMN($F$1),FALSE))),VLOOKUP($C119,装備品!$1:$998,COLUMN($O$1),FALSE)*VLOOKUP($D119,素材!$1:$1016,COLUMN($E$1),FALSE)/(LEN(VLOOKUP($D119,素材!$1:$1016,COLUMN($F$1),FALSE))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M119">
        <f>IF(ISNUMBER(SEARCH(SUBSTITUTE(AM$1,RIGHT(AM$1,2),""),VLOOKUP($D119,素材!$1:$1016,COLUMN($F$1),FALSE))),VLOOKUP($C119,装備品!$1:$998,COLUMN($O$1),FALSE)*VLOOKUP($D119,素材!$1:$1016,COLUMN($E$1),FALSE)/(LEN(VLOOKUP($D119,素材!$1:$1016,COLUMN($F$1),FALSE))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N119">
        <f>IF(ISNUMBER(SEARCH(SUBSTITUTE(AN$1,RIGHT(AN$1,2),""),VLOOKUP($D119,素材!$1:$1016,COLUMN($F$1),FALSE))),VLOOKUP($C119,装備品!$1:$998,COLUMN($O$1),FALSE)*VLOOKUP($D119,素材!$1:$1016,COLUMN($E$1),FALSE)/(LEN(VLOOKUP($D119,素材!$1:$1016,COLUMN($F$1),FALSE))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O119">
        <f>IF(ISNUMBER(SEARCH(SUBSTITUTE(AO$1,RIGHT(AO$1,2),""),VLOOKUP($D119,素材!$1:$1016,COLUMN($F$1),FALSE))),VLOOKUP($C119,装備品!$1:$998,COLUMN($O$1),FALSE)*VLOOKUP($D119,素材!$1:$1016,COLUMN($E$1),FALSE)/(LEN(VLOOKUP($D119,素材!$1:$1016,COLUMN($F$1),FALSE))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P119">
        <f>IF(ISNUMBER(SEARCH(SUBSTITUTE(AP$1,RIGHT(AP$1,2),""),VLOOKUP($D119,素材!$1:$1016,COLUMN($F$1),FALSE))),VLOOKUP($C119,装備品!$1:$998,COLUMN($O$1),FALSE)*VLOOKUP($D119,素材!$1:$1016,COLUMN($E$1),FALSE)/(LEN(VLOOKUP($D119,素材!$1:$1016,COLUMN($F$1),FALSE))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Q119">
        <f>IF(ISNUMBER(SEARCH(SUBSTITUTE(AQ$1,RIGHT(AQ$1,2),""),VLOOKUP($D119,素材!$1:$1016,COLUMN($F$1),FALSE))),VLOOKUP($C119,装備品!$1:$998,COLUMN($O$1),FALSE)*VLOOKUP($D119,素材!$1:$1016,COLUMN($E$1),FALSE)/(LEN(VLOOKUP($D119,素材!$1:$1016,COLUMN($F$1),FALSE))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R119">
        <f>IF(ISNUMBER(SEARCH(SUBSTITUTE(AR$1,RIGHT(AR$1,2),""),VLOOKUP($D119,素材!$1:$1016,COLUMN($F$1),FALSE))),VLOOKUP($C119,装備品!$1:$998,COLUMN($O$1),FALSE)*VLOOKUP($D119,素材!$1:$1016,COLUMN($E$1),FALSE)/(LEN(VLOOKUP($D119,素材!$1:$1016,COLUMN($F$1),FALSE))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S119">
        <f>IF(ISNUMBER(SEARCH(SUBSTITUTE(AS$1,RIGHT(AS$1,2),""),VLOOKUP($D119,素材!$1:$1016,COLUMN($F$1),FALSE))),VLOOKUP($C119,装備品!$1:$998,COLUMN($O$1),FALSE)*VLOOKUP($D119,素材!$1:$1016,COLUMN($E$1),FALSE)/(LEN(VLOOKUP($D119,素材!$1:$1016,COLUMN($F$1),FALSE))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T119">
        <f>IF(ISNUMBER(SEARCH(SUBSTITUTE(AT$1,RIGHT(AT$1,2),""),VLOOKUP($D119,素材!$1:$1016,COLUMN($F$1),FALSE))),VLOOKUP($C119,装備品!$1:$998,COLUMN($O$1),FALSE)*VLOOKUP($D119,素材!$1:$1016,COLUMN($E$1),FALSE)/(LEN(VLOOKUP($D119,素材!$1:$1016,COLUMN($F$1),FALSE))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U119">
        <f>IF(ISNUMBER(SEARCH(SUBSTITUTE(AU$1,RIGHT(AU$1,2),""),VLOOKUP($D119,素材!$1:$1016,COLUMN($F$1),FALSE))),VLOOKUP($C119,装備品!$1:$998,COLUMN($O$1),FALSE)*VLOOKUP($D119,素材!$1:$1016,COLUMN($E$1),FALSE)/(LEN(VLOOKUP($D119,素材!$1:$1016,COLUMN($F$1),FALSE))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V119">
        <f>IF(ISNUMBER(SEARCH(SUBSTITUTE(AV$1,RIGHT(AV$1,2),""),VLOOKUP($D119,素材!$1:$1016,COLUMN($F$1),FALSE))),VLOOKUP($C119,装備品!$1:$998,COLUMN($O$1),FALSE)*VLOOKUP($D119,素材!$1:$1016,COLUMN($E$1),FALSE)/(LEN(VLOOKUP($D119,素材!$1:$1016,COLUMN($F$1),FALSE))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W119">
        <f>IF(ISNUMBER(SEARCH(SUBSTITUTE(AW$1,RIGHT(AW$1,2),""),VLOOKUP($D119,素材!$1:$1016,COLUMN($F$1),FALSE))),VLOOKUP($C119,装備品!$1:$998,COLUMN($O$1),FALSE)*VLOOKUP($D119,素材!$1:$1016,COLUMN($E$1),FALSE)/(LEN(VLOOKUP($D119,素材!$1:$1016,COLUMN($F$1),FALSE))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X119">
        <f>IF(ISNUMBER(SEARCH(SUBSTITUTE(AX$1,RIGHT(AX$1,2),""),VLOOKUP($D119,素材!$1:$1016,COLUMN($F$1),FALSE))),VLOOKUP($C119,装備品!$1:$998,COLUMN($O$1),FALSE)*VLOOKUP($D119,素材!$1:$1016,COLUMN($E$1),FALSE)/(LEN(VLOOKUP($D119,素材!$1:$1016,COLUMN($F$1),FALSE))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Y119">
        <f>IF(ISNUMBER(SEARCH(SUBSTITUTE(AY$1,RIGHT(AY$1,2),""),VLOOKUP($D119,素材!$1:$1016,COLUMN($F$1),FALSE))),VLOOKUP($C119,装備品!$1:$998,COLUMN($O$1),FALSE)*VLOOKUP($D119,素材!$1:$1016,COLUMN($E$1),FALSE)/(LEN(VLOOKUP($D119,素材!$1:$1016,COLUMN($F$1),FALSE))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Z119">
        <f>IF(ISNUMBER(SEARCH(SUBSTITUTE(AZ$1,RIGHT(AZ$1,2),""),VLOOKUP($D119,素材!$1:$1016,COLUMN($F$1),FALSE))),VLOOKUP($C119,装備品!$1:$998,COLUMN($O$1),FALSE)*VLOOKUP($D119,素材!$1:$1016,COLUMN($E$1),FALSE)/(LEN(VLOOKUP($D119,素材!$1:$1016,COLUMN($F$1),FALSE))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BA119">
        <f>IF(ISNUMBER(SEARCH(SUBSTITUTE(BA$1,RIGHT(BA$1,2),""),VLOOKUP($D119,素材!$1:$1016,COLUMN($F$1),FALSE))),VLOOKUP($C119,装備品!$1:$998,COLUMN($O$1),FALSE)*VLOOKUP($D119,素材!$1:$1016,COLUMN($E$1),FALSE)/(LEN(VLOOKUP($D119,素材!$1:$1016,COLUMN($F$1),FALSE))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BB119">
        <f>IF(ISNUMBER(SEARCH(SUBSTITUTE(BB$1,RIGHT(BB$1,2),""),VLOOKUP($D119,素材!$1:$1016,COLUMN($F$1),FALSE))),VLOOKUP($C119,装備品!$1:$998,COLUMN($O$1),FALSE)*VLOOKUP($D119,素材!$1:$1016,COLUMN($E$1),FALSE)/(LEN(VLOOKUP($D119,素材!$1:$1016,COLUMN($F$1),FALSE))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BC119">
        <f>IF(ISNUMBER(SEARCH(SUBSTITUTE(BC$1,RIGHT(BC$1,2),""),VLOOKUP($D119,素材!$1:$1016,COLUMN($F$1),FALSE))),VLOOKUP($C119,装備品!$1:$998,COLUMN($O$1),FALSE)*VLOOKUP($D119,素材!$1:$1016,COLUMN($E$1),FALSE)/(LEN(VLOOKUP($D119,素材!$1:$1016,COLUMN($F$1),FALSE))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BD119">
        <f>IF(ISNUMBER(SEARCH(SUBSTITUTE(BD$1,RIGHT(BD$1,2),""),VLOOKUP($D119,素材!$1:$1016,COLUMN($F$1),FALSE))),VLOOKUP($C119,装備品!$1:$998,COLUMN($O$1),FALSE)*VLOOKUP($D119,素材!$1:$1016,COLUMN($E$1),FALSE)/(LEN(VLOOKUP($D119,素材!$1:$1016,COLUMN($F$1),FALSE))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BE119">
        <f>IF(ISNUMBER(SEARCH(SUBSTITUTE(BE$1,RIGHT(BE$1,2),""),VLOOKUP($D119,素材!$1:$1016,COLUMN($F$1),FALSE))),VLOOKUP($C119,装備品!$1:$998,COLUMN($O$1),FALSE)*VLOOKUP($D119,素材!$1:$1016,COLUMN($E$1),FALSE)/(LEN(VLOOKUP($D119,素材!$1:$1016,COLUMN($F$1),FALSE))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CL119">
        <f t="shared" si="7"/>
        <v>0</v>
      </c>
      <c r="CM119" s="22" t="str">
        <f t="shared" si="8"/>
        <v>体.webp</v>
      </c>
      <c r="CN119">
        <f>IFERROR(VLOOKUP($C119,装備品!$1:$998,COLUMN(V$1),FALSE)*VLOOKUP($D119,素材!$1:$1016,COLUMN(N$1),FALSE)+IF(CI119="",0,VLOOKUP($CI119,付与!$1:$1176,COLUMN($CK$1),FALSE)),"")</f>
        <v>0</v>
      </c>
      <c r="CO119" t="str">
        <f>VLOOKUP(D119,素材!$A:$O,COLUMN(素材!O$1),FALSE)</f>
        <v>一般的な皮素材で、防具や軽量装備の材料として最適です。耐久性は高くありませんが、軽量で扱いやすい点が特徴です。</v>
      </c>
      <c r="CP119" t="str">
        <f>VLOOKUP(C119,装備品!$A:$AB,COLUMN(装備品!AB$1),FALSE)</f>
        <v>HP 物理 魔法 体幹 出血 疲労 Cr</v>
      </c>
      <c r="CR119" t="str">
        <f t="shared" si="9"/>
        <v>e_119</v>
      </c>
      <c r="CS119">
        <f t="shared" si="10"/>
        <v>0</v>
      </c>
    </row>
    <row r="120" spans="1:97" outlineLevel="1" x14ac:dyDescent="0.4">
      <c r="A120" t="str">
        <f t="shared" si="11"/>
        <v>皮の胴衣</v>
      </c>
      <c r="B120" t="str">
        <f>IFERROR(VLOOKUP($D120,素材!$1:$1016,COLUMN($B$1),FALSE)&amp;"・"&amp;VLOOKUP($C120,装備品!$1:$998,COLUMN(B$1),FALSE),"")</f>
        <v>レザー・ベスト</v>
      </c>
      <c r="C120" t="s">
        <v>206</v>
      </c>
      <c r="D120" s="24" t="s">
        <v>251</v>
      </c>
      <c r="E120" t="str">
        <f>IFERROR(VLOOKUP(C120,装備品!$1:$998,COLUMN(C$1),FALSE),"")</f>
        <v>体</v>
      </c>
      <c r="F120">
        <f>IFERROR(ROUNDDOWN((VLOOKUP($C120,装備品!$1:$998,COLUMN(D$1),FALSE)+IFERROR(VLOOKUP($CI120,付与!$1:$1167,COLUMN(F$1),FALSE),0))*VLOOKUP($D120,素材!$1:$1016,COLUMN(D$1),FALSE),0),"")</f>
        <v>0</v>
      </c>
      <c r="G120">
        <f>IFERROR(ROUNDDOWN((VLOOKUP($C120,装備品!$1:$998,COLUMN(E$1),FALSE)+IFERROR(VLOOKUP($CI120,付与!$1:$1167,COLUMN(G$1),FALSE),0))*VLOOKUP($D120,素材!$1:$1016,COLUMN($E$1),FALSE),0),"")</f>
        <v>0</v>
      </c>
      <c r="H120">
        <f>IFERROR(ROUNDDOWN((VLOOKUP($C120,装備品!$1:$998,COLUMN(F$1),FALSE)+IFERROR(VLOOKUP($CI120,付与!$1:$1167,COLUMN(H$1),FALSE),0))*VLOOKUP($D120,素材!$1:$1016,COLUMN($E$1),FALSE),0),"")</f>
        <v>0</v>
      </c>
      <c r="I120">
        <f>IFERROR(ROUNDDOWN((VLOOKUP($C120,装備品!$1:$998,COLUMN(G$1),FALSE)+IFERROR(VLOOKUP($CI120,付与!$1:$1167,COLUMN(I$1),FALSE),0))*VLOOKUP($D120,素材!$1:$1016,COLUMN($E$1),FALSE),0),"")</f>
        <v>0</v>
      </c>
      <c r="J120">
        <f>IFERROR(ROUNDDOWN((VLOOKUP($C120,装備品!$1:$998,COLUMN(H$1),FALSE)+IFERROR(VLOOKUP($CI120,付与!$1:$1167,COLUMN(J$1),FALSE),0))*VLOOKUP($D120,素材!$1:$1016,COLUMN($E$1),FALSE),0),"")</f>
        <v>0</v>
      </c>
      <c r="K120">
        <f>IFERROR(ROUNDDOWN((VLOOKUP($C120,装備品!$1:$998,COLUMN(I$1),FALSE)+IFERROR(VLOOKUP($CI120,付与!$1:$1167,COLUMN(K$1),FALSE),0))*VLOOKUP($D120,素材!$1:$1016,COLUMN($E$1),FALSE),0),"")</f>
        <v>0</v>
      </c>
      <c r="L120" t="str">
        <f>IFERROR(VLOOKUP($D120,素材!$1:$1016,COLUMN($F$1),FALSE),"")</f>
        <v>-</v>
      </c>
      <c r="M120" t="str">
        <f>IFERROR(VLOOKUP($C120,装備品!$1:$998,COLUMN(AA$1),FALSE)*VLOOKUP($D120,素材!$1:$1016,COLUMN($G$1),FALSE),"")</f>
        <v/>
      </c>
      <c r="N120">
        <f>IFERROR(VLOOKUP($C120,装備品!$1:$998,COLUMN(I$1),FALSE),"")</f>
        <v>0</v>
      </c>
      <c r="O120" s="23" t="str">
        <f>IFERROR((VLOOKUP($C120,装備品!$1:$998,COLUMN(K$1),FALSE)+VLOOKUP($D120,素材!$1:$1016,COLUMN(H$1),FALSE))*100+IFERROR(VLOOKUP($CI120,付与!$1:$1167,COLUMN(O$1),FALSE),0),"")</f>
        <v/>
      </c>
      <c r="P120" s="23" t="str">
        <f>IFERROR((VLOOKUP($C120,装備品!$1:$998,COLUMN(L$1),FALSE)+VLOOKUP($D120,素材!$1:$1016,COLUMN(I$1),FALSE))*100+IFERROR(VLOOKUP($CI120,付与!$1:$1167,COLUMN(P$1),FALSE),0),"")</f>
        <v/>
      </c>
      <c r="Q120">
        <f>IFERROR(ROUNDUP(VLOOKUP($C120,装備品!$1:$998,COLUMN(M$1),FALSE)*(VLOOKUP($D120,素材!$1:$1002,COLUMN(D$1),FALSE)/100),1),"")</f>
        <v>-3</v>
      </c>
      <c r="R120">
        <f>IFERROR(ROUNDUP(VLOOKUP($C120,装備品!$1:$998,COLUMN(N$1),FALSE)*(VLOOKUP($D120,素材!$1:$1002,COLUMN(D$1),FALSE)/100),1),"")</f>
        <v>0</v>
      </c>
      <c r="S120">
        <f>IFERROR(VLOOKUP($C120,装備品!$1:$998,COLUMN(P$1),FALSE),"")</f>
        <v>-15</v>
      </c>
      <c r="T120">
        <f>IFERROR(VLOOKUP($C120,装備品!$1:$998,COLUMN(Q$1),FALSE),"")</f>
        <v>0</v>
      </c>
      <c r="U120">
        <f>IFERROR(VLOOKUP($C120,装備品!$1:$998,COLUMN(R$1),FALSE),"")</f>
        <v>0</v>
      </c>
      <c r="V120">
        <f>IFERROR(VLOOKUP($C120,装備品!$1:$998,COLUMN(Q$1),FALSE),"")</f>
        <v>0</v>
      </c>
      <c r="W120">
        <f>IFERROR(VLOOKUP($C120,装備品!$1:$998,COLUMN(T$1),FALSE),"")</f>
        <v>0.5</v>
      </c>
      <c r="Y120">
        <f>IFERROR(VLOOKUP($C120,装備品!$1:$998,COLUMN(U$1),FALSE),"")</f>
        <v>0</v>
      </c>
      <c r="Z120">
        <f>IFERROR(ROUNDUP(VLOOKUP($C120,装備品!$1:$998,COLUMN(O$1),FALSE)*VLOOKUP($D120,素材!$1:$1016,COLUMN(E$1),FALSE),1),"")</f>
        <v>0</v>
      </c>
      <c r="AA120">
        <f>IF(ISNUMBER(SEARCH(SUBSTITUTE(AA$1,RIGHT(AA$1,2),""),VLOOKUP($D120,素材!$1:$1016,COLUMN($F$1),FALSE))),VLOOKUP($C120,装備品!$1:$998,COLUMN($O$1),FALSE)*VLOOKUP($D120,素材!$1:$1016,COLUMN($E$1),FALSE)/(LEN(VLOOKUP($D120,素材!$1:$1016,COLUMN($F$1),FALSE))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B120">
        <f>IF(ISNUMBER(SEARCH(SUBSTITUTE(AB$1,RIGHT(AB$1,2),""),VLOOKUP($D120,素材!$1:$1016,COLUMN($F$1),FALSE))),VLOOKUP($C120,装備品!$1:$998,COLUMN($O$1),FALSE)*VLOOKUP($D120,素材!$1:$1016,COLUMN($E$1),FALSE)/(LEN(VLOOKUP($D120,素材!$1:$1016,COLUMN($F$1),FALSE))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C120">
        <f>IF(ISNUMBER(SEARCH(SUBSTITUTE(AC$1,RIGHT(AC$1,2),""),VLOOKUP($D120,素材!$1:$1016,COLUMN($F$1),FALSE))),VLOOKUP($C120,装備品!$1:$998,COLUMN($O$1),FALSE)*VLOOKUP($D120,素材!$1:$1016,COLUMN($E$1),FALSE)/(LEN(VLOOKUP($D120,素材!$1:$1016,COLUMN($F$1),FALSE))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D120">
        <f>IF(ISNUMBER(SEARCH(SUBSTITUTE(AD$1,RIGHT(AD$1,2),""),VLOOKUP($D120,素材!$1:$1016,COLUMN($F$1),FALSE))),VLOOKUP($C120,装備品!$1:$998,COLUMN($O$1),FALSE)*VLOOKUP($D120,素材!$1:$1016,COLUMN($E$1),FALSE)/(LEN(VLOOKUP($D120,素材!$1:$1016,COLUMN($F$1),FALSE))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E120">
        <f>IF(ISNUMBER(SEARCH(SUBSTITUTE(AE$1,RIGHT(AE$1,2),""),VLOOKUP($D120,素材!$1:$1016,COLUMN($F$1),FALSE))),VLOOKUP($C120,装備品!$1:$998,COLUMN($O$1),FALSE)*VLOOKUP($D120,素材!$1:$1016,COLUMN($E$1),FALSE)/(LEN(VLOOKUP($D120,素材!$1:$1016,COLUMN($F$1),FALSE))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F120">
        <f>IF(ISNUMBER(SEARCH(SUBSTITUTE(AF$1,RIGHT(AF$1,2),""),VLOOKUP($D120,素材!$1:$1016,COLUMN($F$1),FALSE))),VLOOKUP($C120,装備品!$1:$998,COLUMN($O$1),FALSE)*VLOOKUP($D120,素材!$1:$1016,COLUMN($E$1),FALSE)/(LEN(VLOOKUP($D120,素材!$1:$1016,COLUMN($F$1),FALSE))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G120">
        <f>IF(ISNUMBER(SEARCH(SUBSTITUTE(AG$1,RIGHT(AG$1,2),""),VLOOKUP($D120,素材!$1:$1016,COLUMN($F$1),FALSE))),VLOOKUP($C120,装備品!$1:$998,COLUMN($O$1),FALSE)*VLOOKUP($D120,素材!$1:$1016,COLUMN($E$1),FALSE)/(LEN(VLOOKUP($D120,素材!$1:$1016,COLUMN($F$1),FALSE))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H120">
        <f>IF(ISNUMBER(SEARCH(SUBSTITUTE(AH$1,RIGHT(AH$1,2),""),VLOOKUP($D120,素材!$1:$1016,COLUMN($F$1),FALSE))),VLOOKUP($C120,装備品!$1:$998,COLUMN($O$1),FALSE)*VLOOKUP($D120,素材!$1:$1016,COLUMN($E$1),FALSE)/(LEN(VLOOKUP($D120,素材!$1:$1016,COLUMN($F$1),FALSE))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I120">
        <f>IF(ISNUMBER(SEARCH(SUBSTITUTE(AI$1,RIGHT(AI$1,2),""),VLOOKUP($D120,素材!$1:$1016,COLUMN($F$1),FALSE))),VLOOKUP($C120,装備品!$1:$998,COLUMN($O$1),FALSE)*VLOOKUP($D120,素材!$1:$1016,COLUMN($E$1),FALSE)/(LEN(VLOOKUP($D120,素材!$1:$1016,COLUMN($F$1),FALSE))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J120">
        <f>IF(ISNUMBER(SEARCH(SUBSTITUTE(AJ$1,RIGHT(AJ$1,2),""),VLOOKUP($D120,素材!$1:$1016,COLUMN($F$1),FALSE))),VLOOKUP($C120,装備品!$1:$998,COLUMN($O$1),FALSE)*VLOOKUP($D120,素材!$1:$1016,COLUMN($E$1),FALSE)/(LEN(VLOOKUP($D120,素材!$1:$1016,COLUMN($F$1),FALSE))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K120">
        <f>IF(ISNUMBER(SEARCH(SUBSTITUTE(AK$1,RIGHT(AK$1,2),""),VLOOKUP($D120,素材!$1:$1016,COLUMN($F$1),FALSE))),VLOOKUP($C120,装備品!$1:$998,COLUMN($O$1),FALSE)*VLOOKUP($D120,素材!$1:$1016,COLUMN($E$1),FALSE)/(LEN(VLOOKUP($D120,素材!$1:$1016,COLUMN($F$1),FALSE))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L120">
        <f>IF(ISNUMBER(SEARCH(SUBSTITUTE(AL$1,RIGHT(AL$1,2),""),VLOOKUP($D120,素材!$1:$1016,COLUMN($F$1),FALSE))),VLOOKUP($C120,装備品!$1:$998,COLUMN($O$1),FALSE)*VLOOKUP($D120,素材!$1:$1016,COLUMN($E$1),FALSE)/(LEN(VLOOKUP($D120,素材!$1:$1016,COLUMN($F$1),FALSE))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M120">
        <f>IF(ISNUMBER(SEARCH(SUBSTITUTE(AM$1,RIGHT(AM$1,2),""),VLOOKUP($D120,素材!$1:$1016,COLUMN($F$1),FALSE))),VLOOKUP($C120,装備品!$1:$998,COLUMN($O$1),FALSE)*VLOOKUP($D120,素材!$1:$1016,COLUMN($E$1),FALSE)/(LEN(VLOOKUP($D120,素材!$1:$1016,COLUMN($F$1),FALSE))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N120">
        <f>IF(ISNUMBER(SEARCH(SUBSTITUTE(AN$1,RIGHT(AN$1,2),""),VLOOKUP($D120,素材!$1:$1016,COLUMN($F$1),FALSE))),VLOOKUP($C120,装備品!$1:$998,COLUMN($O$1),FALSE)*VLOOKUP($D120,素材!$1:$1016,COLUMN($E$1),FALSE)/(LEN(VLOOKUP($D120,素材!$1:$1016,COLUMN($F$1),FALSE))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O120">
        <f>IF(ISNUMBER(SEARCH(SUBSTITUTE(AO$1,RIGHT(AO$1,2),""),VLOOKUP($D120,素材!$1:$1016,COLUMN($F$1),FALSE))),VLOOKUP($C120,装備品!$1:$998,COLUMN($O$1),FALSE)*VLOOKUP($D120,素材!$1:$1016,COLUMN($E$1),FALSE)/(LEN(VLOOKUP($D120,素材!$1:$1016,COLUMN($F$1),FALSE))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P120">
        <f>IF(ISNUMBER(SEARCH(SUBSTITUTE(AP$1,RIGHT(AP$1,2),""),VLOOKUP($D120,素材!$1:$1016,COLUMN($F$1),FALSE))),VLOOKUP($C120,装備品!$1:$998,COLUMN($O$1),FALSE)*VLOOKUP($D120,素材!$1:$1016,COLUMN($E$1),FALSE)/(LEN(VLOOKUP($D120,素材!$1:$1016,COLUMN($F$1),FALSE))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Q120">
        <f>IF(ISNUMBER(SEARCH(SUBSTITUTE(AQ$1,RIGHT(AQ$1,2),""),VLOOKUP($D120,素材!$1:$1016,COLUMN($F$1),FALSE))),VLOOKUP($C120,装備品!$1:$998,COLUMN($O$1),FALSE)*VLOOKUP($D120,素材!$1:$1016,COLUMN($E$1),FALSE)/(LEN(VLOOKUP($D120,素材!$1:$1016,COLUMN($F$1),FALSE))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R120">
        <f>IF(ISNUMBER(SEARCH(SUBSTITUTE(AR$1,RIGHT(AR$1,2),""),VLOOKUP($D120,素材!$1:$1016,COLUMN($F$1),FALSE))),VLOOKUP($C120,装備品!$1:$998,COLUMN($O$1),FALSE)*VLOOKUP($D120,素材!$1:$1016,COLUMN($E$1),FALSE)/(LEN(VLOOKUP($D120,素材!$1:$1016,COLUMN($F$1),FALSE))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S120">
        <f>IF(ISNUMBER(SEARCH(SUBSTITUTE(AS$1,RIGHT(AS$1,2),""),VLOOKUP($D120,素材!$1:$1016,COLUMN($F$1),FALSE))),VLOOKUP($C120,装備品!$1:$998,COLUMN($O$1),FALSE)*VLOOKUP($D120,素材!$1:$1016,COLUMN($E$1),FALSE)/(LEN(VLOOKUP($D120,素材!$1:$1016,COLUMN($F$1),FALSE))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T120">
        <f>IF(ISNUMBER(SEARCH(SUBSTITUTE(AT$1,RIGHT(AT$1,2),""),VLOOKUP($D120,素材!$1:$1016,COLUMN($F$1),FALSE))),VLOOKUP($C120,装備品!$1:$998,COLUMN($O$1),FALSE)*VLOOKUP($D120,素材!$1:$1016,COLUMN($E$1),FALSE)/(LEN(VLOOKUP($D120,素材!$1:$1016,COLUMN($F$1),FALSE))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U120">
        <f>IF(ISNUMBER(SEARCH(SUBSTITUTE(AU$1,RIGHT(AU$1,2),""),VLOOKUP($D120,素材!$1:$1016,COLUMN($F$1),FALSE))),VLOOKUP($C120,装備品!$1:$998,COLUMN($O$1),FALSE)*VLOOKUP($D120,素材!$1:$1016,COLUMN($E$1),FALSE)/(LEN(VLOOKUP($D120,素材!$1:$1016,COLUMN($F$1),FALSE))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V120">
        <f>IF(ISNUMBER(SEARCH(SUBSTITUTE(AV$1,RIGHT(AV$1,2),""),VLOOKUP($D120,素材!$1:$1016,COLUMN($F$1),FALSE))),VLOOKUP($C120,装備品!$1:$998,COLUMN($O$1),FALSE)*VLOOKUP($D120,素材!$1:$1016,COLUMN($E$1),FALSE)/(LEN(VLOOKUP($D120,素材!$1:$1016,COLUMN($F$1),FALSE))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W120">
        <f>IF(ISNUMBER(SEARCH(SUBSTITUTE(AW$1,RIGHT(AW$1,2),""),VLOOKUP($D120,素材!$1:$1016,COLUMN($F$1),FALSE))),VLOOKUP($C120,装備品!$1:$998,COLUMN($O$1),FALSE)*VLOOKUP($D120,素材!$1:$1016,COLUMN($E$1),FALSE)/(LEN(VLOOKUP($D120,素材!$1:$1016,COLUMN($F$1),FALSE))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X120">
        <f>IF(ISNUMBER(SEARCH(SUBSTITUTE(AX$1,RIGHT(AX$1,2),""),VLOOKUP($D120,素材!$1:$1016,COLUMN($F$1),FALSE))),VLOOKUP($C120,装備品!$1:$998,COLUMN($O$1),FALSE)*VLOOKUP($D120,素材!$1:$1016,COLUMN($E$1),FALSE)/(LEN(VLOOKUP($D120,素材!$1:$1016,COLUMN($F$1),FALSE))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Y120">
        <f>IF(ISNUMBER(SEARCH(SUBSTITUTE(AY$1,RIGHT(AY$1,2),""),VLOOKUP($D120,素材!$1:$1016,COLUMN($F$1),FALSE))),VLOOKUP($C120,装備品!$1:$998,COLUMN($O$1),FALSE)*VLOOKUP($D120,素材!$1:$1016,COLUMN($E$1),FALSE)/(LEN(VLOOKUP($D120,素材!$1:$1016,COLUMN($F$1),FALSE))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Z120">
        <f>IF(ISNUMBER(SEARCH(SUBSTITUTE(AZ$1,RIGHT(AZ$1,2),""),VLOOKUP($D120,素材!$1:$1016,COLUMN($F$1),FALSE))),VLOOKUP($C120,装備品!$1:$998,COLUMN($O$1),FALSE)*VLOOKUP($D120,素材!$1:$1016,COLUMN($E$1),FALSE)/(LEN(VLOOKUP($D120,素材!$1:$1016,COLUMN($F$1),FALSE))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BA120">
        <f>IF(ISNUMBER(SEARCH(SUBSTITUTE(BA$1,RIGHT(BA$1,2),""),VLOOKUP($D120,素材!$1:$1016,COLUMN($F$1),FALSE))),VLOOKUP($C120,装備品!$1:$998,COLUMN($O$1),FALSE)*VLOOKUP($D120,素材!$1:$1016,COLUMN($E$1),FALSE)/(LEN(VLOOKUP($D120,素材!$1:$1016,COLUMN($F$1),FALSE))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BB120">
        <f>IF(ISNUMBER(SEARCH(SUBSTITUTE(BB$1,RIGHT(BB$1,2),""),VLOOKUP($D120,素材!$1:$1016,COLUMN($F$1),FALSE))),VLOOKUP($C120,装備品!$1:$998,COLUMN($O$1),FALSE)*VLOOKUP($D120,素材!$1:$1016,COLUMN($E$1),FALSE)/(LEN(VLOOKUP($D120,素材!$1:$1016,COLUMN($F$1),FALSE))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BC120">
        <f>IF(ISNUMBER(SEARCH(SUBSTITUTE(BC$1,RIGHT(BC$1,2),""),VLOOKUP($D120,素材!$1:$1016,COLUMN($F$1),FALSE))),VLOOKUP($C120,装備品!$1:$998,COLUMN($O$1),FALSE)*VLOOKUP($D120,素材!$1:$1016,COLUMN($E$1),FALSE)/(LEN(VLOOKUP($D120,素材!$1:$1016,COLUMN($F$1),FALSE))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BD120">
        <f>IF(ISNUMBER(SEARCH(SUBSTITUTE(BD$1,RIGHT(BD$1,2),""),VLOOKUP($D120,素材!$1:$1016,COLUMN($F$1),FALSE))),VLOOKUP($C120,装備品!$1:$998,COLUMN($O$1),FALSE)*VLOOKUP($D120,素材!$1:$1016,COLUMN($E$1),FALSE)/(LEN(VLOOKUP($D120,素材!$1:$1016,COLUMN($F$1),FALSE))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BE120">
        <f>IF(ISNUMBER(SEARCH(SUBSTITUTE(BE$1,RIGHT(BE$1,2),""),VLOOKUP($D120,素材!$1:$1016,COLUMN($F$1),FALSE))),VLOOKUP($C120,装備品!$1:$998,COLUMN($O$1),FALSE)*VLOOKUP($D120,素材!$1:$1016,COLUMN($E$1),FALSE)/(LEN(VLOOKUP($D120,素材!$1:$1016,COLUMN($F$1),FALSE))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CL120">
        <f t="shared" si="7"/>
        <v>0</v>
      </c>
      <c r="CM120" s="22" t="str">
        <f t="shared" si="8"/>
        <v>体.webp</v>
      </c>
      <c r="CN120">
        <f>IFERROR(VLOOKUP($C120,装備品!$1:$998,COLUMN(V$1),FALSE)*VLOOKUP($D120,素材!$1:$1016,COLUMN(N$1),FALSE)+IF(CI120="",0,VLOOKUP($CI120,付与!$1:$1176,COLUMN($CK$1),FALSE)),"")</f>
        <v>0</v>
      </c>
      <c r="CO120" t="str">
        <f>VLOOKUP(D120,素材!$A:$O,COLUMN(素材!O$1),FALSE)</f>
        <v>一般的な皮素材で、防具や軽量装備の材料として最適です。耐久性は高くありませんが、軽量で扱いやすい点が特徴です。</v>
      </c>
      <c r="CP120" t="str">
        <f>VLOOKUP(C120,装備品!$A:$AB,COLUMN(装備品!AB$1),FALSE)</f>
        <v>HP 物理 魔法 体幹 出血 疲労 Cr</v>
      </c>
      <c r="CR120" t="str">
        <f t="shared" si="9"/>
        <v>e_120</v>
      </c>
      <c r="CS120">
        <f t="shared" si="10"/>
        <v>0</v>
      </c>
    </row>
    <row r="121" spans="1:97" outlineLevel="1" x14ac:dyDescent="0.4">
      <c r="A121" t="str">
        <f>D121&amp;"の"&amp;C121</f>
        <v>皮の靴</v>
      </c>
      <c r="B121" t="str">
        <f>IFERROR(VLOOKUP($D121,素材!$1:$1016,COLUMN($B$1),FALSE)&amp;"・"&amp;VLOOKUP($C121,装備品!$1:$998,COLUMN(B$1),FALSE),"")</f>
        <v>レザー・ブーツ</v>
      </c>
      <c r="C121" t="s">
        <v>1280</v>
      </c>
      <c r="D121" s="24" t="s">
        <v>251</v>
      </c>
      <c r="E121" t="str">
        <f>IFERROR(VLOOKUP(C121,装備品!$1:$998,COLUMN(C$1),FALSE),"")</f>
        <v>足</v>
      </c>
      <c r="F121">
        <f>IFERROR(ROUNDDOWN((VLOOKUP($C121,装備品!$1:$998,COLUMN(D$1),FALSE)+IFERROR(VLOOKUP($CI121,付与!$1:$1167,COLUMN(F$1),FALSE),0))*VLOOKUP($D121,素材!$1:$1016,COLUMN(D$1),FALSE),0),"")</f>
        <v>0</v>
      </c>
      <c r="G121">
        <f>IFERROR(ROUNDDOWN((VLOOKUP($C121,装備品!$1:$998,COLUMN(E$1),FALSE)+IFERROR(VLOOKUP($CI121,付与!$1:$1167,COLUMN(G$1),FALSE),0))*VLOOKUP($D121,素材!$1:$1016,COLUMN($E$1),FALSE),0),"")</f>
        <v>0</v>
      </c>
      <c r="H121">
        <f>IFERROR(ROUNDDOWN((VLOOKUP($C121,装備品!$1:$998,COLUMN(F$1),FALSE)+IFERROR(VLOOKUP($CI121,付与!$1:$1167,COLUMN(H$1),FALSE),0))*VLOOKUP($D121,素材!$1:$1016,COLUMN($E$1),FALSE),0),"")</f>
        <v>0</v>
      </c>
      <c r="I121">
        <f>IFERROR(ROUNDDOWN((VLOOKUP($C121,装備品!$1:$998,COLUMN(G$1),FALSE)+IFERROR(VLOOKUP($CI121,付与!$1:$1167,COLUMN(I$1),FALSE),0))*VLOOKUP($D121,素材!$1:$1016,COLUMN($E$1),FALSE),0),"")</f>
        <v>10</v>
      </c>
      <c r="J121">
        <f>IFERROR(ROUNDDOWN((VLOOKUP($C121,装備品!$1:$998,COLUMN(H$1),FALSE)+IFERROR(VLOOKUP($CI121,付与!$1:$1167,COLUMN(J$1),FALSE),0))*VLOOKUP($D121,素材!$1:$1016,COLUMN($E$1),FALSE),0),"")</f>
        <v>0</v>
      </c>
      <c r="K121">
        <f>IFERROR(ROUNDDOWN((VLOOKUP($C121,装備品!$1:$998,COLUMN(I$1),FALSE)+IFERROR(VLOOKUP($CI121,付与!$1:$1167,COLUMN(K$1),FALSE),0))*VLOOKUP($D121,素材!$1:$1016,COLUMN($E$1),FALSE),0),"")</f>
        <v>0</v>
      </c>
      <c r="L121" t="str">
        <f>IFERROR(VLOOKUP($D121,素材!$1:$1016,COLUMN($F$1),FALSE),"")</f>
        <v>-</v>
      </c>
      <c r="M121" t="str">
        <f>IFERROR(VLOOKUP($C121,装備品!$1:$998,COLUMN(AA$1),FALSE)*VLOOKUP($D121,素材!$1:$1016,COLUMN($G$1),FALSE),"")</f>
        <v/>
      </c>
      <c r="N121">
        <f>IFERROR(VLOOKUP($C121,装備品!$1:$998,COLUMN(I$1),FALSE),"")</f>
        <v>0</v>
      </c>
      <c r="O121" s="23" t="str">
        <f>IFERROR((VLOOKUP($C121,装備品!$1:$998,COLUMN(K$1),FALSE)+VLOOKUP($D121,素材!$1:$1016,COLUMN(H$1),FALSE))*100+IFERROR(VLOOKUP($CI121,付与!$1:$1167,COLUMN(O$1),FALSE),0),"")</f>
        <v/>
      </c>
      <c r="P121" s="23" t="str">
        <f>IFERROR((VLOOKUP($C121,装備品!$1:$998,COLUMN(L$1),FALSE)+VLOOKUP($D121,素材!$1:$1016,COLUMN(I$1),FALSE))*100+IFERROR(VLOOKUP($CI121,付与!$1:$1167,COLUMN(P$1),FALSE),0),"")</f>
        <v/>
      </c>
      <c r="Q121">
        <f>IFERROR(ROUNDUP(VLOOKUP($C121,装備品!$1:$998,COLUMN(M$1),FALSE)*(VLOOKUP($D121,素材!$1:$1002,COLUMN(D$1),FALSE)/100),1),"")</f>
        <v>0</v>
      </c>
      <c r="R121">
        <f>IFERROR(ROUNDUP(VLOOKUP($C121,装備品!$1:$998,COLUMN(N$1),FALSE)*(VLOOKUP($D121,素材!$1:$1002,COLUMN(D$1),FALSE)/100),1),"")</f>
        <v>0</v>
      </c>
      <c r="S121">
        <f>IFERROR(VLOOKUP($C121,装備品!$1:$998,COLUMN(P$1),FALSE),"")</f>
        <v>0</v>
      </c>
      <c r="T121">
        <f>IFERROR(VLOOKUP($C121,装備品!$1:$998,COLUMN(Q$1),FALSE),"")</f>
        <v>0</v>
      </c>
      <c r="U121">
        <f>IFERROR(VLOOKUP($C121,装備品!$1:$998,COLUMN(R$1),FALSE),"")</f>
        <v>0</v>
      </c>
      <c r="V121">
        <f>IFERROR(VLOOKUP($C121,装備品!$1:$998,COLUMN(Q$1),FALSE),"")</f>
        <v>0</v>
      </c>
      <c r="W121">
        <f>IFERROR(VLOOKUP($C121,装備品!$1:$998,COLUMN(T$1),FALSE),"")</f>
        <v>0.15</v>
      </c>
      <c r="Y121">
        <f>IFERROR(VLOOKUP($C121,装備品!$1:$998,COLUMN(U$1),FALSE),"")</f>
        <v>0</v>
      </c>
      <c r="Z121">
        <f>IFERROR(ROUNDUP(VLOOKUP($C121,装備品!$1:$998,COLUMN(O$1),FALSE)*VLOOKUP($D121,素材!$1:$1016,COLUMN(E$1),FALSE),1),"")</f>
        <v>0</v>
      </c>
      <c r="AA121">
        <f>IF(ISNUMBER(SEARCH(SUBSTITUTE(AA$1,RIGHT(AA$1,2),""),VLOOKUP($D121,素材!$1:$1016,COLUMN($F$1),FALSE))),VLOOKUP($C121,装備品!$1:$998,COLUMN($O$1),FALSE)*VLOOKUP($D121,素材!$1:$1016,COLUMN($E$1),FALSE)/(LEN(VLOOKUP($D121,素材!$1:$1016,COLUMN($F$1),FALSE))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B121">
        <f>IF(ISNUMBER(SEARCH(SUBSTITUTE(AB$1,RIGHT(AB$1,2),""),VLOOKUP($D121,素材!$1:$1016,COLUMN($F$1),FALSE))),VLOOKUP($C121,装備品!$1:$998,COLUMN($O$1),FALSE)*VLOOKUP($D121,素材!$1:$1016,COLUMN($E$1),FALSE)/(LEN(VLOOKUP($D121,素材!$1:$1016,COLUMN($F$1),FALSE))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C121">
        <f>IF(ISNUMBER(SEARCH(SUBSTITUTE(AC$1,RIGHT(AC$1,2),""),VLOOKUP($D121,素材!$1:$1016,COLUMN($F$1),FALSE))),VLOOKUP($C121,装備品!$1:$998,COLUMN($O$1),FALSE)*VLOOKUP($D121,素材!$1:$1016,COLUMN($E$1),FALSE)/(LEN(VLOOKUP($D121,素材!$1:$1016,COLUMN($F$1),FALSE))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D121">
        <f>IF(ISNUMBER(SEARCH(SUBSTITUTE(AD$1,RIGHT(AD$1,2),""),VLOOKUP($D121,素材!$1:$1016,COLUMN($F$1),FALSE))),VLOOKUP($C121,装備品!$1:$998,COLUMN($O$1),FALSE)*VLOOKUP($D121,素材!$1:$1016,COLUMN($E$1),FALSE)/(LEN(VLOOKUP($D121,素材!$1:$1016,COLUMN($F$1),FALSE))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E121">
        <f>IF(ISNUMBER(SEARCH(SUBSTITUTE(AE$1,RIGHT(AE$1,2),""),VLOOKUP($D121,素材!$1:$1016,COLUMN($F$1),FALSE))),VLOOKUP($C121,装備品!$1:$998,COLUMN($O$1),FALSE)*VLOOKUP($D121,素材!$1:$1016,COLUMN($E$1),FALSE)/(LEN(VLOOKUP($D121,素材!$1:$1016,COLUMN($F$1),FALSE))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F121">
        <f>IF(ISNUMBER(SEARCH(SUBSTITUTE(AF$1,RIGHT(AF$1,2),""),VLOOKUP($D121,素材!$1:$1016,COLUMN($F$1),FALSE))),VLOOKUP($C121,装備品!$1:$998,COLUMN($O$1),FALSE)*VLOOKUP($D121,素材!$1:$1016,COLUMN($E$1),FALSE)/(LEN(VLOOKUP($D121,素材!$1:$1016,COLUMN($F$1),FALSE))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G121">
        <f>IF(ISNUMBER(SEARCH(SUBSTITUTE(AG$1,RIGHT(AG$1,2),""),VLOOKUP($D121,素材!$1:$1016,COLUMN($F$1),FALSE))),VLOOKUP($C121,装備品!$1:$998,COLUMN($O$1),FALSE)*VLOOKUP($D121,素材!$1:$1016,COLUMN($E$1),FALSE)/(LEN(VLOOKUP($D121,素材!$1:$1016,COLUMN($F$1),FALSE))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H121">
        <f>IF(ISNUMBER(SEARCH(SUBSTITUTE(AH$1,RIGHT(AH$1,2),""),VLOOKUP($D121,素材!$1:$1016,COLUMN($F$1),FALSE))),VLOOKUP($C121,装備品!$1:$998,COLUMN($O$1),FALSE)*VLOOKUP($D121,素材!$1:$1016,COLUMN($E$1),FALSE)/(LEN(VLOOKUP($D121,素材!$1:$1016,COLUMN($F$1),FALSE))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I121">
        <f>IF(ISNUMBER(SEARCH(SUBSTITUTE(AI$1,RIGHT(AI$1,2),""),VLOOKUP($D121,素材!$1:$1016,COLUMN($F$1),FALSE))),VLOOKUP($C121,装備品!$1:$998,COLUMN($O$1),FALSE)*VLOOKUP($D121,素材!$1:$1016,COLUMN($E$1),FALSE)/(LEN(VLOOKUP($D121,素材!$1:$1016,COLUMN($F$1),FALSE))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J121">
        <f>IF(ISNUMBER(SEARCH(SUBSTITUTE(AJ$1,RIGHT(AJ$1,2),""),VLOOKUP($D121,素材!$1:$1016,COLUMN($F$1),FALSE))),VLOOKUP($C121,装備品!$1:$998,COLUMN($O$1),FALSE)*VLOOKUP($D121,素材!$1:$1016,COLUMN($E$1),FALSE)/(LEN(VLOOKUP($D121,素材!$1:$1016,COLUMN($F$1),FALSE))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K121">
        <f>IF(ISNUMBER(SEARCH(SUBSTITUTE(AK$1,RIGHT(AK$1,2),""),VLOOKUP($D121,素材!$1:$1016,COLUMN($F$1),FALSE))),VLOOKUP($C121,装備品!$1:$998,COLUMN($O$1),FALSE)*VLOOKUP($D121,素材!$1:$1016,COLUMN($E$1),FALSE)/(LEN(VLOOKUP($D121,素材!$1:$1016,COLUMN($F$1),FALSE))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L121">
        <f>IF(ISNUMBER(SEARCH(SUBSTITUTE(AL$1,RIGHT(AL$1,2),""),VLOOKUP($D121,素材!$1:$1016,COLUMN($F$1),FALSE))),VLOOKUP($C121,装備品!$1:$998,COLUMN($O$1),FALSE)*VLOOKUP($D121,素材!$1:$1016,COLUMN($E$1),FALSE)/(LEN(VLOOKUP($D121,素材!$1:$1016,COLUMN($F$1),FALSE))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M121">
        <f>IF(ISNUMBER(SEARCH(SUBSTITUTE(AM$1,RIGHT(AM$1,2),""),VLOOKUP($D121,素材!$1:$1016,COLUMN($F$1),FALSE))),VLOOKUP($C121,装備品!$1:$998,COLUMN($O$1),FALSE)*VLOOKUP($D121,素材!$1:$1016,COLUMN($E$1),FALSE)/(LEN(VLOOKUP($D121,素材!$1:$1016,COLUMN($F$1),FALSE))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N121">
        <f>IF(ISNUMBER(SEARCH(SUBSTITUTE(AN$1,RIGHT(AN$1,2),""),VLOOKUP($D121,素材!$1:$1016,COLUMN($F$1),FALSE))),VLOOKUP($C121,装備品!$1:$998,COLUMN($O$1),FALSE)*VLOOKUP($D121,素材!$1:$1016,COLUMN($E$1),FALSE)/(LEN(VLOOKUP($D121,素材!$1:$1016,COLUMN($F$1),FALSE))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O121">
        <f>IF(ISNUMBER(SEARCH(SUBSTITUTE(AO$1,RIGHT(AO$1,2),""),VLOOKUP($D121,素材!$1:$1016,COLUMN($F$1),FALSE))),VLOOKUP($C121,装備品!$1:$998,COLUMN($O$1),FALSE)*VLOOKUP($D121,素材!$1:$1016,COLUMN($E$1),FALSE)/(LEN(VLOOKUP($D121,素材!$1:$1016,COLUMN($F$1),FALSE))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P121">
        <f>IF(ISNUMBER(SEARCH(SUBSTITUTE(AP$1,RIGHT(AP$1,2),""),VLOOKUP($D121,素材!$1:$1016,COLUMN($F$1),FALSE))),VLOOKUP($C121,装備品!$1:$998,COLUMN($O$1),FALSE)*VLOOKUP($D121,素材!$1:$1016,COLUMN($E$1),FALSE)/(LEN(VLOOKUP($D121,素材!$1:$1016,COLUMN($F$1),FALSE))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Q121">
        <f>IF(ISNUMBER(SEARCH(SUBSTITUTE(AQ$1,RIGHT(AQ$1,2),""),VLOOKUP($D121,素材!$1:$1016,COLUMN($F$1),FALSE))),VLOOKUP($C121,装備品!$1:$998,COLUMN($O$1),FALSE)*VLOOKUP($D121,素材!$1:$1016,COLUMN($E$1),FALSE)/(LEN(VLOOKUP($D121,素材!$1:$1016,COLUMN($F$1),FALSE))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R121">
        <f>IF(ISNUMBER(SEARCH(SUBSTITUTE(AR$1,RIGHT(AR$1,2),""),VLOOKUP($D121,素材!$1:$1016,COLUMN($F$1),FALSE))),VLOOKUP($C121,装備品!$1:$998,COLUMN($O$1),FALSE)*VLOOKUP($D121,素材!$1:$1016,COLUMN($E$1),FALSE)/(LEN(VLOOKUP($D121,素材!$1:$1016,COLUMN($F$1),FALSE))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S121">
        <f>IF(ISNUMBER(SEARCH(SUBSTITUTE(AS$1,RIGHT(AS$1,2),""),VLOOKUP($D121,素材!$1:$1016,COLUMN($F$1),FALSE))),VLOOKUP($C121,装備品!$1:$998,COLUMN($O$1),FALSE)*VLOOKUP($D121,素材!$1:$1016,COLUMN($E$1),FALSE)/(LEN(VLOOKUP($D121,素材!$1:$1016,COLUMN($F$1),FALSE))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T121">
        <f>IF(ISNUMBER(SEARCH(SUBSTITUTE(AT$1,RIGHT(AT$1,2),""),VLOOKUP($D121,素材!$1:$1016,COLUMN($F$1),FALSE))),VLOOKUP($C121,装備品!$1:$998,COLUMN($O$1),FALSE)*VLOOKUP($D121,素材!$1:$1016,COLUMN($E$1),FALSE)/(LEN(VLOOKUP($D121,素材!$1:$1016,COLUMN($F$1),FALSE))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U121">
        <f>IF(ISNUMBER(SEARCH(SUBSTITUTE(AU$1,RIGHT(AU$1,2),""),VLOOKUP($D121,素材!$1:$1016,COLUMN($F$1),FALSE))),VLOOKUP($C121,装備品!$1:$998,COLUMN($O$1),FALSE)*VLOOKUP($D121,素材!$1:$1016,COLUMN($E$1),FALSE)/(LEN(VLOOKUP($D121,素材!$1:$1016,COLUMN($F$1),FALSE))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V121">
        <f>IF(ISNUMBER(SEARCH(SUBSTITUTE(AV$1,RIGHT(AV$1,2),""),VLOOKUP($D121,素材!$1:$1016,COLUMN($F$1),FALSE))),VLOOKUP($C121,装備品!$1:$998,COLUMN($O$1),FALSE)*VLOOKUP($D121,素材!$1:$1016,COLUMN($E$1),FALSE)/(LEN(VLOOKUP($D121,素材!$1:$1016,COLUMN($F$1),FALSE))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W121">
        <f>IF(ISNUMBER(SEARCH(SUBSTITUTE(AW$1,RIGHT(AW$1,2),""),VLOOKUP($D121,素材!$1:$1016,COLUMN($F$1),FALSE))),VLOOKUP($C121,装備品!$1:$998,COLUMN($O$1),FALSE)*VLOOKUP($D121,素材!$1:$1016,COLUMN($E$1),FALSE)/(LEN(VLOOKUP($D121,素材!$1:$1016,COLUMN($F$1),FALSE))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X121">
        <f>IF(ISNUMBER(SEARCH(SUBSTITUTE(AX$1,RIGHT(AX$1,2),""),VLOOKUP($D121,素材!$1:$1016,COLUMN($F$1),FALSE))),VLOOKUP($C121,装備品!$1:$998,COLUMN($O$1),FALSE)*VLOOKUP($D121,素材!$1:$1016,COLUMN($E$1),FALSE)/(LEN(VLOOKUP($D121,素材!$1:$1016,COLUMN($F$1),FALSE))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Y121">
        <f>IF(ISNUMBER(SEARCH(SUBSTITUTE(AY$1,RIGHT(AY$1,2),""),VLOOKUP($D121,素材!$1:$1016,COLUMN($F$1),FALSE))),VLOOKUP($C121,装備品!$1:$998,COLUMN($O$1),FALSE)*VLOOKUP($D121,素材!$1:$1016,COLUMN($E$1),FALSE)/(LEN(VLOOKUP($D121,素材!$1:$1016,COLUMN($F$1),FALSE))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Z121">
        <f>IF(ISNUMBER(SEARCH(SUBSTITUTE(AZ$1,RIGHT(AZ$1,2),""),VLOOKUP($D121,素材!$1:$1016,COLUMN($F$1),FALSE))),VLOOKUP($C121,装備品!$1:$998,COLUMN($O$1),FALSE)*VLOOKUP($D121,素材!$1:$1016,COLUMN($E$1),FALSE)/(LEN(VLOOKUP($D121,素材!$1:$1016,COLUMN($F$1),FALSE))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BA121">
        <f>IF(ISNUMBER(SEARCH(SUBSTITUTE(BA$1,RIGHT(BA$1,2),""),VLOOKUP($D121,素材!$1:$1016,COLUMN($F$1),FALSE))),VLOOKUP($C121,装備品!$1:$998,COLUMN($O$1),FALSE)*VLOOKUP($D121,素材!$1:$1016,COLUMN($E$1),FALSE)/(LEN(VLOOKUP($D121,素材!$1:$1016,COLUMN($F$1),FALSE))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BB121">
        <f>IF(ISNUMBER(SEARCH(SUBSTITUTE(BB$1,RIGHT(BB$1,2),""),VLOOKUP($D121,素材!$1:$1016,COLUMN($F$1),FALSE))),VLOOKUP($C121,装備品!$1:$998,COLUMN($O$1),FALSE)*VLOOKUP($D121,素材!$1:$1016,COLUMN($E$1),FALSE)/(LEN(VLOOKUP($D121,素材!$1:$1016,COLUMN($F$1),FALSE))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BC121">
        <f>IF(ISNUMBER(SEARCH(SUBSTITUTE(BC$1,RIGHT(BC$1,2),""),VLOOKUP($D121,素材!$1:$1016,COLUMN($F$1),FALSE))),VLOOKUP($C121,装備品!$1:$998,COLUMN($O$1),FALSE)*VLOOKUP($D121,素材!$1:$1016,COLUMN($E$1),FALSE)/(LEN(VLOOKUP($D121,素材!$1:$1016,COLUMN($F$1),FALSE))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BD121">
        <f>IF(ISNUMBER(SEARCH(SUBSTITUTE(BD$1,RIGHT(BD$1,2),""),VLOOKUP($D121,素材!$1:$1016,COLUMN($F$1),FALSE))),VLOOKUP($C121,装備品!$1:$998,COLUMN($O$1),FALSE)*VLOOKUP($D121,素材!$1:$1016,COLUMN($E$1),FALSE)/(LEN(VLOOKUP($D121,素材!$1:$1016,COLUMN($F$1),FALSE))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BE121">
        <f>IF(ISNUMBER(SEARCH(SUBSTITUTE(BE$1,RIGHT(BE$1,2),""),VLOOKUP($D121,素材!$1:$1016,COLUMN($F$1),FALSE))),VLOOKUP($C121,装備品!$1:$998,COLUMN($O$1),FALSE)*VLOOKUP($D121,素材!$1:$1016,COLUMN($E$1),FALSE)/(LEN(VLOOKUP($D121,素材!$1:$1016,COLUMN($F$1),FALSE))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CL121">
        <f t="shared" si="7"/>
        <v>10</v>
      </c>
      <c r="CM121" s="22" t="str">
        <f t="shared" si="8"/>
        <v>足.webp</v>
      </c>
      <c r="CN121">
        <f>IFERROR(VLOOKUP($C121,装備品!$1:$998,COLUMN(V$1),FALSE)*VLOOKUP($D121,素材!$1:$1016,COLUMN(N$1),FALSE)+IF(CI121="",0,VLOOKUP($CI121,付与!$1:$1176,COLUMN($CK$1),FALSE)),"")</f>
        <v>0</v>
      </c>
      <c r="CO121" t="str">
        <f>VLOOKUP(D121,素材!$A:$O,COLUMN(素材!O$1),FALSE)</f>
        <v>一般的な皮素材で、防具や軽量装備の材料として最適です。耐久性は高くありませんが、軽量で扱いやすい点が特徴です。</v>
      </c>
      <c r="CP121" t="str">
        <f>VLOOKUP(C121,装備品!$A:$AB,COLUMN(装備品!AB$1),FALSE)</f>
        <v>速度 隠密 軽業 体幹</v>
      </c>
      <c r="CR121" t="str">
        <f t="shared" si="9"/>
        <v>e_121</v>
      </c>
      <c r="CS121">
        <f t="shared" ref="CS121" si="14">CN121*100</f>
        <v>0</v>
      </c>
    </row>
    <row r="122" spans="1:97" ht="23.25" customHeight="1" outlineLevel="1" x14ac:dyDescent="0.4">
      <c r="A122" t="str">
        <f t="shared" ref="A122" si="15">D122&amp;"の"&amp;C122</f>
        <v>獣皮の帽子</v>
      </c>
      <c r="B122" t="str">
        <f>IFERROR(VLOOKUP($D122,素材!$1:$1016,COLUMN($B$1),FALSE)&amp;"・"&amp;VLOOKUP($C122,装備品!$1:$998,COLUMN(B$1),FALSE),"")</f>
        <v>ビーストレザー・ハット</v>
      </c>
      <c r="C122" t="s">
        <v>1182</v>
      </c>
      <c r="D122" s="24" t="s">
        <v>250</v>
      </c>
      <c r="E122" t="str">
        <f>IFERROR(VLOOKUP(C122,装備品!$1:$998,COLUMN(C$1),FALSE),"")</f>
        <v>頭</v>
      </c>
      <c r="F122">
        <f>IFERROR(ROUNDDOWN((VLOOKUP($C122,装備品!$1:$998,COLUMN(D$1),FALSE)+IFERROR(VLOOKUP($CI122,付与!$1:$1167,COLUMN(F$1),FALSE),0))*VLOOKUP($D122,素材!$1:$1016,COLUMN(D$1),FALSE),0),"")</f>
        <v>0</v>
      </c>
      <c r="G122">
        <f>IFERROR(ROUNDDOWN((VLOOKUP($C122,装備品!$1:$998,COLUMN(E$1),FALSE)+IFERROR(VLOOKUP($CI122,付与!$1:$1167,COLUMN(G$1),FALSE),0))*VLOOKUP($D122,素材!$1:$1016,COLUMN($E$1),FALSE),0),"")</f>
        <v>0</v>
      </c>
      <c r="H122">
        <f>IFERROR(ROUNDDOWN((VLOOKUP($C122,装備品!$1:$998,COLUMN(F$1),FALSE)+IFERROR(VLOOKUP($CI122,付与!$1:$1167,COLUMN(H$1),FALSE),0))*VLOOKUP($D122,素材!$1:$1016,COLUMN($E$1),FALSE),0),"")</f>
        <v>0</v>
      </c>
      <c r="I122">
        <f>IFERROR(ROUNDDOWN((VLOOKUP($C122,装備品!$1:$998,COLUMN(G$1),FALSE)+IFERROR(VLOOKUP($CI122,付与!$1:$1167,COLUMN(I$1),FALSE),0))*VLOOKUP($D122,素材!$1:$1016,COLUMN($E$1),FALSE),0),"")</f>
        <v>0</v>
      </c>
      <c r="J122">
        <f>IFERROR(ROUNDDOWN((VLOOKUP($C122,装備品!$1:$998,COLUMN(H$1),FALSE)+IFERROR(VLOOKUP($CI122,付与!$1:$1167,COLUMN(J$1),FALSE),0))*VLOOKUP($D122,素材!$1:$1016,COLUMN($E$1),FALSE),0),"")</f>
        <v>0</v>
      </c>
      <c r="K122">
        <f>IFERROR(ROUNDDOWN((VLOOKUP($C122,装備品!$1:$998,COLUMN(I$1),FALSE)+IFERROR(VLOOKUP($CI122,付与!$1:$1167,COLUMN(K$1),FALSE),0))*VLOOKUP($D122,素材!$1:$1016,COLUMN($E$1),FALSE),0),"")</f>
        <v>0</v>
      </c>
      <c r="L122" t="str">
        <f>IFERROR(VLOOKUP($D122,素材!$1:$1016,COLUMN($F$1),FALSE),"")</f>
        <v>-</v>
      </c>
      <c r="M122" t="str">
        <f>IFERROR(VLOOKUP($C122,装備品!$1:$998,COLUMN(AA$1),FALSE)*VLOOKUP($D122,素材!$1:$1016,COLUMN($G$1),FALSE),"")</f>
        <v/>
      </c>
      <c r="N122">
        <f>IFERROR(VLOOKUP($C122,装備品!$1:$998,COLUMN(I$1),FALSE),"")</f>
        <v>0</v>
      </c>
      <c r="O122" s="23" t="str">
        <f>IFERROR((VLOOKUP($C122,装備品!$1:$998,COLUMN(K$1),FALSE)+VLOOKUP($D122,素材!$1:$1016,COLUMN(H$1),FALSE))*100+IFERROR(VLOOKUP($CI122,付与!$1:$1167,COLUMN(O$1),FALSE),0),"")</f>
        <v/>
      </c>
      <c r="P122" s="23" t="str">
        <f>IFERROR((VLOOKUP($C122,装備品!$1:$998,COLUMN(L$1),FALSE)+VLOOKUP($D122,素材!$1:$1016,COLUMN(I$1),FALSE))*100+IFERROR(VLOOKUP($CI122,付与!$1:$1167,COLUMN(P$1),FALSE),0),"")</f>
        <v/>
      </c>
      <c r="Q122">
        <f>IFERROR(ROUNDUP(VLOOKUP($C122,装備品!$1:$998,COLUMN(M$1),FALSE)*(VLOOKUP($D122,素材!$1:$1002,COLUMN(D$1),FALSE)/100),1),"")</f>
        <v>0</v>
      </c>
      <c r="R122">
        <f>IFERROR(ROUNDUP(VLOOKUP($C122,装備品!$1:$998,COLUMN(N$1),FALSE)*(VLOOKUP($D122,素材!$1:$1002,COLUMN(D$1),FALSE)/100),1),"")</f>
        <v>0</v>
      </c>
      <c r="S122">
        <f>IFERROR(VLOOKUP($C122,装備品!$1:$998,COLUMN(P$1),FALSE),"")</f>
        <v>0</v>
      </c>
      <c r="T122">
        <f>IFERROR(VLOOKUP($C122,装備品!$1:$998,COLUMN(Q$1),FALSE),"")</f>
        <v>0</v>
      </c>
      <c r="U122">
        <f>IFERROR(VLOOKUP($C122,装備品!$1:$998,COLUMN(R$1),FALSE),"")</f>
        <v>0</v>
      </c>
      <c r="V122">
        <f>IFERROR(VLOOKUP($C122,装備品!$1:$998,COLUMN(Q$1),FALSE),"")</f>
        <v>0</v>
      </c>
      <c r="W122">
        <f>IFERROR(VLOOKUP($C122,装備品!$1:$998,COLUMN(T$1),FALSE),"")</f>
        <v>0.1</v>
      </c>
      <c r="Y122">
        <f>IFERROR(VLOOKUP($C122,装備品!$1:$998,COLUMN(U$1),FALSE),"")</f>
        <v>0</v>
      </c>
      <c r="Z122">
        <f>IFERROR(ROUNDUP(VLOOKUP($C122,装備品!$1:$998,COLUMN(O$1),FALSE)*VLOOKUP($D122,素材!$1:$1016,COLUMN(E$1),FALSE),1),"")</f>
        <v>0</v>
      </c>
      <c r="AA122">
        <f>IF(ISNUMBER(SEARCH(SUBSTITUTE(AA$1,RIGHT(AA$1,2),""),VLOOKUP($D122,素材!$1:$1016,COLUMN($F$1),FALSE))),VLOOKUP($C122,装備品!$1:$998,COLUMN($O$1),FALSE)*VLOOKUP($D122,素材!$1:$1016,COLUMN($E$1),FALSE)/(LEN(VLOOKUP($D122,素材!$1:$1016,COLUMN($F$1),FALSE))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B122">
        <f>IF(ISNUMBER(SEARCH(SUBSTITUTE(AB$1,RIGHT(AB$1,2),""),VLOOKUP($D122,素材!$1:$1016,COLUMN($F$1),FALSE))),VLOOKUP($C122,装備品!$1:$998,COLUMN($O$1),FALSE)*VLOOKUP($D122,素材!$1:$1016,COLUMN($E$1),FALSE)/(LEN(VLOOKUP($D122,素材!$1:$1016,COLUMN($F$1),FALSE))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C122">
        <f>IF(ISNUMBER(SEARCH(SUBSTITUTE(AC$1,RIGHT(AC$1,2),""),VLOOKUP($D122,素材!$1:$1016,COLUMN($F$1),FALSE))),VLOOKUP($C122,装備品!$1:$998,COLUMN($O$1),FALSE)*VLOOKUP($D122,素材!$1:$1016,COLUMN($E$1),FALSE)/(LEN(VLOOKUP($D122,素材!$1:$1016,COLUMN($F$1),FALSE))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D122">
        <f>IF(ISNUMBER(SEARCH(SUBSTITUTE(AD$1,RIGHT(AD$1,2),""),VLOOKUP($D122,素材!$1:$1016,COLUMN($F$1),FALSE))),VLOOKUP($C122,装備品!$1:$998,COLUMN($O$1),FALSE)*VLOOKUP($D122,素材!$1:$1016,COLUMN($E$1),FALSE)/(LEN(VLOOKUP($D122,素材!$1:$1016,COLUMN($F$1),FALSE))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E122">
        <f>IF(ISNUMBER(SEARCH(SUBSTITUTE(AE$1,RIGHT(AE$1,2),""),VLOOKUP($D122,素材!$1:$1016,COLUMN($F$1),FALSE))),VLOOKUP($C122,装備品!$1:$998,COLUMN($O$1),FALSE)*VLOOKUP($D122,素材!$1:$1016,COLUMN($E$1),FALSE)/(LEN(VLOOKUP($D122,素材!$1:$1016,COLUMN($F$1),FALSE))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F122">
        <f>IF(ISNUMBER(SEARCH(SUBSTITUTE(AF$1,RIGHT(AF$1,2),""),VLOOKUP($D122,素材!$1:$1016,COLUMN($F$1),FALSE))),VLOOKUP($C122,装備品!$1:$998,COLUMN($O$1),FALSE)*VLOOKUP($D122,素材!$1:$1016,COLUMN($E$1),FALSE)/(LEN(VLOOKUP($D122,素材!$1:$1016,COLUMN($F$1),FALSE))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G122">
        <f>IF(ISNUMBER(SEARCH(SUBSTITUTE(AG$1,RIGHT(AG$1,2),""),VLOOKUP($D122,素材!$1:$1016,COLUMN($F$1),FALSE))),VLOOKUP($C122,装備品!$1:$998,COLUMN($O$1),FALSE)*VLOOKUP($D122,素材!$1:$1016,COLUMN($E$1),FALSE)/(LEN(VLOOKUP($D122,素材!$1:$1016,COLUMN($F$1),FALSE))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H122">
        <f>IF(ISNUMBER(SEARCH(SUBSTITUTE(AH$1,RIGHT(AH$1,2),""),VLOOKUP($D122,素材!$1:$1016,COLUMN($F$1),FALSE))),VLOOKUP($C122,装備品!$1:$998,COLUMN($O$1),FALSE)*VLOOKUP($D122,素材!$1:$1016,COLUMN($E$1),FALSE)/(LEN(VLOOKUP($D122,素材!$1:$1016,COLUMN($F$1),FALSE))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I122">
        <f>IF(ISNUMBER(SEARCH(SUBSTITUTE(AI$1,RIGHT(AI$1,2),""),VLOOKUP($D122,素材!$1:$1016,COLUMN($F$1),FALSE))),VLOOKUP($C122,装備品!$1:$998,COLUMN($O$1),FALSE)*VLOOKUP($D122,素材!$1:$1016,COLUMN($E$1),FALSE)/(LEN(VLOOKUP($D122,素材!$1:$1016,COLUMN($F$1),FALSE))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J122">
        <f>IF(ISNUMBER(SEARCH(SUBSTITUTE(AJ$1,RIGHT(AJ$1,2),""),VLOOKUP($D122,素材!$1:$1016,COLUMN($F$1),FALSE))),VLOOKUP($C122,装備品!$1:$998,COLUMN($O$1),FALSE)*VLOOKUP($D122,素材!$1:$1016,COLUMN($E$1),FALSE)/(LEN(VLOOKUP($D122,素材!$1:$1016,COLUMN($F$1),FALSE))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K122">
        <f>IF(ISNUMBER(SEARCH(SUBSTITUTE(AK$1,RIGHT(AK$1,2),""),VLOOKUP($D122,素材!$1:$1016,COLUMN($F$1),FALSE))),VLOOKUP($C122,装備品!$1:$998,COLUMN($O$1),FALSE)*VLOOKUP($D122,素材!$1:$1016,COLUMN($E$1),FALSE)/(LEN(VLOOKUP($D122,素材!$1:$1016,COLUMN($F$1),FALSE))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L122">
        <f>IF(ISNUMBER(SEARCH(SUBSTITUTE(AL$1,RIGHT(AL$1,2),""),VLOOKUP($D122,素材!$1:$1016,COLUMN($F$1),FALSE))),VLOOKUP($C122,装備品!$1:$998,COLUMN($O$1),FALSE)*VLOOKUP($D122,素材!$1:$1016,COLUMN($E$1),FALSE)/(LEN(VLOOKUP($D122,素材!$1:$1016,COLUMN($F$1),FALSE))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M122">
        <f>IF(ISNUMBER(SEARCH(SUBSTITUTE(AM$1,RIGHT(AM$1,2),""),VLOOKUP($D122,素材!$1:$1016,COLUMN($F$1),FALSE))),VLOOKUP($C122,装備品!$1:$998,COLUMN($O$1),FALSE)*VLOOKUP($D122,素材!$1:$1016,COLUMN($E$1),FALSE)/(LEN(VLOOKUP($D122,素材!$1:$1016,COLUMN($F$1),FALSE))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N122">
        <f>IF(ISNUMBER(SEARCH(SUBSTITUTE(AN$1,RIGHT(AN$1,2),""),VLOOKUP($D122,素材!$1:$1016,COLUMN($F$1),FALSE))),VLOOKUP($C122,装備品!$1:$998,COLUMN($O$1),FALSE)*VLOOKUP($D122,素材!$1:$1016,COLUMN($E$1),FALSE)/(LEN(VLOOKUP($D122,素材!$1:$1016,COLUMN($F$1),FALSE))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O122">
        <f>IF(ISNUMBER(SEARCH(SUBSTITUTE(AO$1,RIGHT(AO$1,2),""),VLOOKUP($D122,素材!$1:$1016,COLUMN($F$1),FALSE))),VLOOKUP($C122,装備品!$1:$998,COLUMN($O$1),FALSE)*VLOOKUP($D122,素材!$1:$1016,COLUMN($E$1),FALSE)/(LEN(VLOOKUP($D122,素材!$1:$1016,COLUMN($F$1),FALSE))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P122">
        <f>IF(ISNUMBER(SEARCH(SUBSTITUTE(AP$1,RIGHT(AP$1,2),""),VLOOKUP($D122,素材!$1:$1016,COLUMN($F$1),FALSE))),VLOOKUP($C122,装備品!$1:$998,COLUMN($O$1),FALSE)*VLOOKUP($D122,素材!$1:$1016,COLUMN($E$1),FALSE)/(LEN(VLOOKUP($D122,素材!$1:$1016,COLUMN($F$1),FALSE))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Q122">
        <f>IF(ISNUMBER(SEARCH(SUBSTITUTE(AQ$1,RIGHT(AQ$1,2),""),VLOOKUP($D122,素材!$1:$1016,COLUMN($F$1),FALSE))),VLOOKUP($C122,装備品!$1:$998,COLUMN($O$1),FALSE)*VLOOKUP($D122,素材!$1:$1016,COLUMN($E$1),FALSE)/(LEN(VLOOKUP($D122,素材!$1:$1016,COLUMN($F$1),FALSE))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R122">
        <f>IF(ISNUMBER(SEARCH(SUBSTITUTE(AR$1,RIGHT(AR$1,2),""),VLOOKUP($D122,素材!$1:$1016,COLUMN($F$1),FALSE))),VLOOKUP($C122,装備品!$1:$998,COLUMN($O$1),FALSE)*VLOOKUP($D122,素材!$1:$1016,COLUMN($E$1),FALSE)/(LEN(VLOOKUP($D122,素材!$1:$1016,COLUMN($F$1),FALSE))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S122">
        <f>IF(ISNUMBER(SEARCH(SUBSTITUTE(AS$1,RIGHT(AS$1,2),""),VLOOKUP($D122,素材!$1:$1016,COLUMN($F$1),FALSE))),VLOOKUP($C122,装備品!$1:$998,COLUMN($O$1),FALSE)*VLOOKUP($D122,素材!$1:$1016,COLUMN($E$1),FALSE)/(LEN(VLOOKUP($D122,素材!$1:$1016,COLUMN($F$1),FALSE))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T122">
        <f>IF(ISNUMBER(SEARCH(SUBSTITUTE(AT$1,RIGHT(AT$1,2),""),VLOOKUP($D122,素材!$1:$1016,COLUMN($F$1),FALSE))),VLOOKUP($C122,装備品!$1:$998,COLUMN($O$1),FALSE)*VLOOKUP($D122,素材!$1:$1016,COLUMN($E$1),FALSE)/(LEN(VLOOKUP($D122,素材!$1:$1016,COLUMN($F$1),FALSE))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U122">
        <f>IF(ISNUMBER(SEARCH(SUBSTITUTE(AU$1,RIGHT(AU$1,2),""),VLOOKUP($D122,素材!$1:$1016,COLUMN($F$1),FALSE))),VLOOKUP($C122,装備品!$1:$998,COLUMN($O$1),FALSE)*VLOOKUP($D122,素材!$1:$1016,COLUMN($E$1),FALSE)/(LEN(VLOOKUP($D122,素材!$1:$1016,COLUMN($F$1),FALSE))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V122">
        <f>IF(ISNUMBER(SEARCH(SUBSTITUTE(AV$1,RIGHT(AV$1,2),""),VLOOKUP($D122,素材!$1:$1016,COLUMN($F$1),FALSE))),VLOOKUP($C122,装備品!$1:$998,COLUMN($O$1),FALSE)*VLOOKUP($D122,素材!$1:$1016,COLUMN($E$1),FALSE)/(LEN(VLOOKUP($D122,素材!$1:$1016,COLUMN($F$1),FALSE))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W122">
        <f>IF(ISNUMBER(SEARCH(SUBSTITUTE(AW$1,RIGHT(AW$1,2),""),VLOOKUP($D122,素材!$1:$1016,COLUMN($F$1),FALSE))),VLOOKUP($C122,装備品!$1:$998,COLUMN($O$1),FALSE)*VLOOKUP($D122,素材!$1:$1016,COLUMN($E$1),FALSE)/(LEN(VLOOKUP($D122,素材!$1:$1016,COLUMN($F$1),FALSE))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X122">
        <f>IF(ISNUMBER(SEARCH(SUBSTITUTE(AX$1,RIGHT(AX$1,2),""),VLOOKUP($D122,素材!$1:$1016,COLUMN($F$1),FALSE))),VLOOKUP($C122,装備品!$1:$998,COLUMN($O$1),FALSE)*VLOOKUP($D122,素材!$1:$1016,COLUMN($E$1),FALSE)/(LEN(VLOOKUP($D122,素材!$1:$1016,COLUMN($F$1),FALSE))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Y122">
        <f>IF(ISNUMBER(SEARCH(SUBSTITUTE(AY$1,RIGHT(AY$1,2),""),VLOOKUP($D122,素材!$1:$1016,COLUMN($F$1),FALSE))),VLOOKUP($C122,装備品!$1:$998,COLUMN($O$1),FALSE)*VLOOKUP($D122,素材!$1:$1016,COLUMN($E$1),FALSE)/(LEN(VLOOKUP($D122,素材!$1:$1016,COLUMN($F$1),FALSE))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Z122">
        <f>IF(ISNUMBER(SEARCH(SUBSTITUTE(AZ$1,RIGHT(AZ$1,2),""),VLOOKUP($D122,素材!$1:$1016,COLUMN($F$1),FALSE))),VLOOKUP($C122,装備品!$1:$998,COLUMN($O$1),FALSE)*VLOOKUP($D122,素材!$1:$1016,COLUMN($E$1),FALSE)/(LEN(VLOOKUP($D122,素材!$1:$1016,COLUMN($F$1),FALSE))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BA122">
        <f>IF(ISNUMBER(SEARCH(SUBSTITUTE(BA$1,RIGHT(BA$1,2),""),VLOOKUP($D122,素材!$1:$1016,COLUMN($F$1),FALSE))),VLOOKUP($C122,装備品!$1:$998,COLUMN($O$1),FALSE)*VLOOKUP($D122,素材!$1:$1016,COLUMN($E$1),FALSE)/(LEN(VLOOKUP($D122,素材!$1:$1016,COLUMN($F$1),FALSE))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BB122">
        <f>IF(ISNUMBER(SEARCH(SUBSTITUTE(BB$1,RIGHT(BB$1,2),""),VLOOKUP($D122,素材!$1:$1016,COLUMN($F$1),FALSE))),VLOOKUP($C122,装備品!$1:$998,COLUMN($O$1),FALSE)*VLOOKUP($D122,素材!$1:$1016,COLUMN($E$1),FALSE)/(LEN(VLOOKUP($D122,素材!$1:$1016,COLUMN($F$1),FALSE))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BC122">
        <f>IF(ISNUMBER(SEARCH(SUBSTITUTE(BC$1,RIGHT(BC$1,2),""),VLOOKUP($D122,素材!$1:$1016,COLUMN($F$1),FALSE))),VLOOKUP($C122,装備品!$1:$998,COLUMN($O$1),FALSE)*VLOOKUP($D122,素材!$1:$1016,COLUMN($E$1),FALSE)/(LEN(VLOOKUP($D122,素材!$1:$1016,COLUMN($F$1),FALSE))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BD122">
        <f>IF(ISNUMBER(SEARCH(SUBSTITUTE(BD$1,RIGHT(BD$1,2),""),VLOOKUP($D122,素材!$1:$1016,COLUMN($F$1),FALSE))),VLOOKUP($C122,装備品!$1:$998,COLUMN($O$1),FALSE)*VLOOKUP($D122,素材!$1:$1016,COLUMN($E$1),FALSE)/(LEN(VLOOKUP($D122,素材!$1:$1016,COLUMN($F$1),FALSE))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BE122">
        <f>IF(ISNUMBER(SEARCH(SUBSTITUTE(BE$1,RIGHT(BE$1,2),""),VLOOKUP($D122,素材!$1:$1016,COLUMN($F$1),FALSE))),VLOOKUP($C122,装備品!$1:$998,COLUMN($O$1),FALSE)*VLOOKUP($D122,素材!$1:$1016,COLUMN($E$1),FALSE)/(LEN(VLOOKUP($D122,素材!$1:$1016,COLUMN($F$1),FALSE))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CL122">
        <f t="shared" si="7"/>
        <v>0</v>
      </c>
      <c r="CM122" s="22" t="str">
        <f t="shared" si="8"/>
        <v>頭.webp</v>
      </c>
      <c r="CN122">
        <f>IFERROR(VLOOKUP($C122,装備品!$1:$998,COLUMN(V$1),FALSE)*VLOOKUP($D122,素材!$1:$1016,COLUMN(N$1),FALSE)+IF(CI122="",0,VLOOKUP($CI122,付与!$1:$1176,COLUMN($CK$1),FALSE)),"")</f>
        <v>0</v>
      </c>
      <c r="CO122" t="str">
        <f>VLOOKUP(D122,素材!$A:$O,COLUMN(素材!O$1),FALSE)</f>
        <v>野生動物から得られる丈夫な皮素材。皮装備の性能を向上させ、基本的な防護性能を備えています。</v>
      </c>
      <c r="CP122" t="str">
        <f>VLOOKUP(C122,装備品!$A:$AB,COLUMN(装備品!AB$1),FALSE)</f>
        <v>命中 魔防 Cr</v>
      </c>
      <c r="CR122" t="str">
        <f t="shared" si="9"/>
        <v>e_122</v>
      </c>
      <c r="CS122">
        <f t="shared" ref="CS122" si="16">CN122*100</f>
        <v>0</v>
      </c>
    </row>
    <row r="123" spans="1:97" ht="23.25" customHeight="1" outlineLevel="1" x14ac:dyDescent="0.4">
      <c r="A123" t="str">
        <f t="shared" si="11"/>
        <v>獣皮の衣布</v>
      </c>
      <c r="B123" t="str">
        <f>IFERROR(VLOOKUP($D123,素材!$1:$1016,COLUMN($B$1),FALSE)&amp;"・"&amp;VLOOKUP($C123,装備品!$1:$998,COLUMN(B$1),FALSE),"")</f>
        <v>ビーストレザー・クロース</v>
      </c>
      <c r="C123" t="s">
        <v>246</v>
      </c>
      <c r="D123" s="24" t="s">
        <v>250</v>
      </c>
      <c r="E123" t="str">
        <f>IFERROR(VLOOKUP(C123,装備品!$1:$998,COLUMN(C$1),FALSE),"")</f>
        <v>体</v>
      </c>
      <c r="F123">
        <f>IFERROR(ROUNDDOWN((VLOOKUP($C123,装備品!$1:$998,COLUMN(D$1),FALSE)+IFERROR(VLOOKUP($CI123,付与!$1:$1167,COLUMN(F$1),FALSE),0))*VLOOKUP($D123,素材!$1:$1016,COLUMN(D$1),FALSE),0),"")</f>
        <v>0</v>
      </c>
      <c r="G123">
        <f>IFERROR(ROUNDDOWN((VLOOKUP($C123,装備品!$1:$998,COLUMN(E$1),FALSE)+IFERROR(VLOOKUP($CI123,付与!$1:$1167,COLUMN(G$1),FALSE),0))*VLOOKUP($D123,素材!$1:$1016,COLUMN($E$1),FALSE),0),"")</f>
        <v>0</v>
      </c>
      <c r="H123">
        <f>IFERROR(ROUNDDOWN((VLOOKUP($C123,装備品!$1:$998,COLUMN(F$1),FALSE)+IFERROR(VLOOKUP($CI123,付与!$1:$1167,COLUMN(H$1),FALSE),0))*VLOOKUP($D123,素材!$1:$1016,COLUMN($E$1),FALSE),0),"")</f>
        <v>0</v>
      </c>
      <c r="I123">
        <f>IFERROR(ROUNDDOWN((VLOOKUP($C123,装備品!$1:$998,COLUMN(G$1),FALSE)+IFERROR(VLOOKUP($CI123,付与!$1:$1167,COLUMN(I$1),FALSE),0))*VLOOKUP($D123,素材!$1:$1016,COLUMN($E$1),FALSE),0),"")</f>
        <v>0</v>
      </c>
      <c r="J123">
        <f>IFERROR(ROUNDDOWN((VLOOKUP($C123,装備品!$1:$998,COLUMN(H$1),FALSE)+IFERROR(VLOOKUP($CI123,付与!$1:$1167,COLUMN(J$1),FALSE),0))*VLOOKUP($D123,素材!$1:$1016,COLUMN($E$1),FALSE),0),"")</f>
        <v>0</v>
      </c>
      <c r="K123">
        <f>IFERROR(ROUNDDOWN((VLOOKUP($C123,装備品!$1:$998,COLUMN(I$1),FALSE)+IFERROR(VLOOKUP($CI123,付与!$1:$1167,COLUMN(K$1),FALSE),0))*VLOOKUP($D123,素材!$1:$1016,COLUMN($E$1),FALSE),0),"")</f>
        <v>0</v>
      </c>
      <c r="L123" t="str">
        <f>IFERROR(VLOOKUP($D123,素材!$1:$1016,COLUMN($F$1),FALSE),"")</f>
        <v>-</v>
      </c>
      <c r="M123" t="str">
        <f>IFERROR(VLOOKUP($C123,装備品!$1:$998,COLUMN(AA$1),FALSE)*VLOOKUP($D123,素材!$1:$1016,COLUMN($G$1),FALSE),"")</f>
        <v/>
      </c>
      <c r="N123">
        <f>IFERROR(VLOOKUP($C123,装備品!$1:$998,COLUMN(I$1),FALSE),"")</f>
        <v>0</v>
      </c>
      <c r="O123" s="23" t="str">
        <f>IFERROR((VLOOKUP($C123,装備品!$1:$998,COLUMN(K$1),FALSE)+VLOOKUP($D123,素材!$1:$1016,COLUMN(H$1),FALSE))*100+IFERROR(VLOOKUP($CI123,付与!$1:$1167,COLUMN(O$1),FALSE),0),"")</f>
        <v/>
      </c>
      <c r="P123" s="23" t="str">
        <f>IFERROR((VLOOKUP($C123,装備品!$1:$998,COLUMN(L$1),FALSE)+VLOOKUP($D123,素材!$1:$1016,COLUMN(I$1),FALSE))*100+IFERROR(VLOOKUP($CI123,付与!$1:$1167,COLUMN(P$1),FALSE),0),"")</f>
        <v/>
      </c>
      <c r="Q123">
        <f>IFERROR(ROUNDUP(VLOOKUP($C123,装備品!$1:$998,COLUMN(M$1),FALSE)*(VLOOKUP($D123,素材!$1:$1002,COLUMN(D$1),FALSE)/100),1),"")</f>
        <v>0</v>
      </c>
      <c r="R123">
        <f>IFERROR(ROUNDUP(VLOOKUP($C123,装備品!$1:$998,COLUMN(N$1),FALSE)*(VLOOKUP($D123,素材!$1:$1002,COLUMN(D$1),FALSE)/100),1),"")</f>
        <v>0</v>
      </c>
      <c r="S123">
        <f>IFERROR(VLOOKUP($C123,装備品!$1:$998,COLUMN(P$1),FALSE),"")</f>
        <v>0</v>
      </c>
      <c r="T123">
        <f>IFERROR(VLOOKUP($C123,装備品!$1:$998,COLUMN(Q$1),FALSE),"")</f>
        <v>0</v>
      </c>
      <c r="U123">
        <f>IFERROR(VLOOKUP($C123,装備品!$1:$998,COLUMN(R$1),FALSE),"")</f>
        <v>0</v>
      </c>
      <c r="V123">
        <f>IFERROR(VLOOKUP($C123,装備品!$1:$998,COLUMN(Q$1),FALSE),"")</f>
        <v>0</v>
      </c>
      <c r="W123">
        <f>IFERROR(VLOOKUP($C123,装備品!$1:$998,COLUMN(T$1),FALSE),"")</f>
        <v>0.3</v>
      </c>
      <c r="Y123">
        <f>IFERROR(VLOOKUP($C123,装備品!$1:$998,COLUMN(U$1),FALSE),"")</f>
        <v>0</v>
      </c>
      <c r="Z123">
        <f>IFERROR(ROUNDUP(VLOOKUP($C123,装備品!$1:$998,COLUMN(O$1),FALSE)*VLOOKUP($D123,素材!$1:$1016,COLUMN(E$1),FALSE),1),"")</f>
        <v>0</v>
      </c>
      <c r="AA123">
        <f>IF(ISNUMBER(SEARCH(SUBSTITUTE(AA$1,RIGHT(AA$1,2),""),VLOOKUP($D123,素材!$1:$1016,COLUMN($F$1),FALSE))),VLOOKUP($C123,装備品!$1:$998,COLUMN($O$1),FALSE)*VLOOKUP($D123,素材!$1:$1016,COLUMN($E$1),FALSE)/(LEN(VLOOKUP($D123,素材!$1:$1016,COLUMN($F$1),FALSE))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B123">
        <f>IF(ISNUMBER(SEARCH(SUBSTITUTE(AB$1,RIGHT(AB$1,2),""),VLOOKUP($D123,素材!$1:$1016,COLUMN($F$1),FALSE))),VLOOKUP($C123,装備品!$1:$998,COLUMN($O$1),FALSE)*VLOOKUP($D123,素材!$1:$1016,COLUMN($E$1),FALSE)/(LEN(VLOOKUP($D123,素材!$1:$1016,COLUMN($F$1),FALSE))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C123">
        <f>IF(ISNUMBER(SEARCH(SUBSTITUTE(AC$1,RIGHT(AC$1,2),""),VLOOKUP($D123,素材!$1:$1016,COLUMN($F$1),FALSE))),VLOOKUP($C123,装備品!$1:$998,COLUMN($O$1),FALSE)*VLOOKUP($D123,素材!$1:$1016,COLUMN($E$1),FALSE)/(LEN(VLOOKUP($D123,素材!$1:$1016,COLUMN($F$1),FALSE))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D123">
        <f>IF(ISNUMBER(SEARCH(SUBSTITUTE(AD$1,RIGHT(AD$1,2),""),VLOOKUP($D123,素材!$1:$1016,COLUMN($F$1),FALSE))),VLOOKUP($C123,装備品!$1:$998,COLUMN($O$1),FALSE)*VLOOKUP($D123,素材!$1:$1016,COLUMN($E$1),FALSE)/(LEN(VLOOKUP($D123,素材!$1:$1016,COLUMN($F$1),FALSE))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E123">
        <f>IF(ISNUMBER(SEARCH(SUBSTITUTE(AE$1,RIGHT(AE$1,2),""),VLOOKUP($D123,素材!$1:$1016,COLUMN($F$1),FALSE))),VLOOKUP($C123,装備品!$1:$998,COLUMN($O$1),FALSE)*VLOOKUP($D123,素材!$1:$1016,COLUMN($E$1),FALSE)/(LEN(VLOOKUP($D123,素材!$1:$1016,COLUMN($F$1),FALSE))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F123">
        <f>IF(ISNUMBER(SEARCH(SUBSTITUTE(AF$1,RIGHT(AF$1,2),""),VLOOKUP($D123,素材!$1:$1016,COLUMN($F$1),FALSE))),VLOOKUP($C123,装備品!$1:$998,COLUMN($O$1),FALSE)*VLOOKUP($D123,素材!$1:$1016,COLUMN($E$1),FALSE)/(LEN(VLOOKUP($D123,素材!$1:$1016,COLUMN($F$1),FALSE))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G123">
        <f>IF(ISNUMBER(SEARCH(SUBSTITUTE(AG$1,RIGHT(AG$1,2),""),VLOOKUP($D123,素材!$1:$1016,COLUMN($F$1),FALSE))),VLOOKUP($C123,装備品!$1:$998,COLUMN($O$1),FALSE)*VLOOKUP($D123,素材!$1:$1016,COLUMN($E$1),FALSE)/(LEN(VLOOKUP($D123,素材!$1:$1016,COLUMN($F$1),FALSE))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H123">
        <f>IF(ISNUMBER(SEARCH(SUBSTITUTE(AH$1,RIGHT(AH$1,2),""),VLOOKUP($D123,素材!$1:$1016,COLUMN($F$1),FALSE))),VLOOKUP($C123,装備品!$1:$998,COLUMN($O$1),FALSE)*VLOOKUP($D123,素材!$1:$1016,COLUMN($E$1),FALSE)/(LEN(VLOOKUP($D123,素材!$1:$1016,COLUMN($F$1),FALSE))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I123">
        <f>IF(ISNUMBER(SEARCH(SUBSTITUTE(AI$1,RIGHT(AI$1,2),""),VLOOKUP($D123,素材!$1:$1016,COLUMN($F$1),FALSE))),VLOOKUP($C123,装備品!$1:$998,COLUMN($O$1),FALSE)*VLOOKUP($D123,素材!$1:$1016,COLUMN($E$1),FALSE)/(LEN(VLOOKUP($D123,素材!$1:$1016,COLUMN($F$1),FALSE))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J123">
        <f>IF(ISNUMBER(SEARCH(SUBSTITUTE(AJ$1,RIGHT(AJ$1,2),""),VLOOKUP($D123,素材!$1:$1016,COLUMN($F$1),FALSE))),VLOOKUP($C123,装備品!$1:$998,COLUMN($O$1),FALSE)*VLOOKUP($D123,素材!$1:$1016,COLUMN($E$1),FALSE)/(LEN(VLOOKUP($D123,素材!$1:$1016,COLUMN($F$1),FALSE))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K123">
        <f>IF(ISNUMBER(SEARCH(SUBSTITUTE(AK$1,RIGHT(AK$1,2),""),VLOOKUP($D123,素材!$1:$1016,COLUMN($F$1),FALSE))),VLOOKUP($C123,装備品!$1:$998,COLUMN($O$1),FALSE)*VLOOKUP($D123,素材!$1:$1016,COLUMN($E$1),FALSE)/(LEN(VLOOKUP($D123,素材!$1:$1016,COLUMN($F$1),FALSE))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L123">
        <f>IF(ISNUMBER(SEARCH(SUBSTITUTE(AL$1,RIGHT(AL$1,2),""),VLOOKUP($D123,素材!$1:$1016,COLUMN($F$1),FALSE))),VLOOKUP($C123,装備品!$1:$998,COLUMN($O$1),FALSE)*VLOOKUP($D123,素材!$1:$1016,COLUMN($E$1),FALSE)/(LEN(VLOOKUP($D123,素材!$1:$1016,COLUMN($F$1),FALSE))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M123">
        <f>IF(ISNUMBER(SEARCH(SUBSTITUTE(AM$1,RIGHT(AM$1,2),""),VLOOKUP($D123,素材!$1:$1016,COLUMN($F$1),FALSE))),VLOOKUP($C123,装備品!$1:$998,COLUMN($O$1),FALSE)*VLOOKUP($D123,素材!$1:$1016,COLUMN($E$1),FALSE)/(LEN(VLOOKUP($D123,素材!$1:$1016,COLUMN($F$1),FALSE))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N123">
        <f>IF(ISNUMBER(SEARCH(SUBSTITUTE(AN$1,RIGHT(AN$1,2),""),VLOOKUP($D123,素材!$1:$1016,COLUMN($F$1),FALSE))),VLOOKUP($C123,装備品!$1:$998,COLUMN($O$1),FALSE)*VLOOKUP($D123,素材!$1:$1016,COLUMN($E$1),FALSE)/(LEN(VLOOKUP($D123,素材!$1:$1016,COLUMN($F$1),FALSE))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O123">
        <f>IF(ISNUMBER(SEARCH(SUBSTITUTE(AO$1,RIGHT(AO$1,2),""),VLOOKUP($D123,素材!$1:$1016,COLUMN($F$1),FALSE))),VLOOKUP($C123,装備品!$1:$998,COLUMN($O$1),FALSE)*VLOOKUP($D123,素材!$1:$1016,COLUMN($E$1),FALSE)/(LEN(VLOOKUP($D123,素材!$1:$1016,COLUMN($F$1),FALSE))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P123">
        <f>IF(ISNUMBER(SEARCH(SUBSTITUTE(AP$1,RIGHT(AP$1,2),""),VLOOKUP($D123,素材!$1:$1016,COLUMN($F$1),FALSE))),VLOOKUP($C123,装備品!$1:$998,COLUMN($O$1),FALSE)*VLOOKUP($D123,素材!$1:$1016,COLUMN($E$1),FALSE)/(LEN(VLOOKUP($D123,素材!$1:$1016,COLUMN($F$1),FALSE))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Q123">
        <f>IF(ISNUMBER(SEARCH(SUBSTITUTE(AQ$1,RIGHT(AQ$1,2),""),VLOOKUP($D123,素材!$1:$1016,COLUMN($F$1),FALSE))),VLOOKUP($C123,装備品!$1:$998,COLUMN($O$1),FALSE)*VLOOKUP($D123,素材!$1:$1016,COLUMN($E$1),FALSE)/(LEN(VLOOKUP($D123,素材!$1:$1016,COLUMN($F$1),FALSE))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R123">
        <f>IF(ISNUMBER(SEARCH(SUBSTITUTE(AR$1,RIGHT(AR$1,2),""),VLOOKUP($D123,素材!$1:$1016,COLUMN($F$1),FALSE))),VLOOKUP($C123,装備品!$1:$998,COLUMN($O$1),FALSE)*VLOOKUP($D123,素材!$1:$1016,COLUMN($E$1),FALSE)/(LEN(VLOOKUP($D123,素材!$1:$1016,COLUMN($F$1),FALSE))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S123">
        <f>IF(ISNUMBER(SEARCH(SUBSTITUTE(AS$1,RIGHT(AS$1,2),""),VLOOKUP($D123,素材!$1:$1016,COLUMN($F$1),FALSE))),VLOOKUP($C123,装備品!$1:$998,COLUMN($O$1),FALSE)*VLOOKUP($D123,素材!$1:$1016,COLUMN($E$1),FALSE)/(LEN(VLOOKUP($D123,素材!$1:$1016,COLUMN($F$1),FALSE))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T123">
        <f>IF(ISNUMBER(SEARCH(SUBSTITUTE(AT$1,RIGHT(AT$1,2),""),VLOOKUP($D123,素材!$1:$1016,COLUMN($F$1),FALSE))),VLOOKUP($C123,装備品!$1:$998,COLUMN($O$1),FALSE)*VLOOKUP($D123,素材!$1:$1016,COLUMN($E$1),FALSE)/(LEN(VLOOKUP($D123,素材!$1:$1016,COLUMN($F$1),FALSE))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U123">
        <f>IF(ISNUMBER(SEARCH(SUBSTITUTE(AU$1,RIGHT(AU$1,2),""),VLOOKUP($D123,素材!$1:$1016,COLUMN($F$1),FALSE))),VLOOKUP($C123,装備品!$1:$998,COLUMN($O$1),FALSE)*VLOOKUP($D123,素材!$1:$1016,COLUMN($E$1),FALSE)/(LEN(VLOOKUP($D123,素材!$1:$1016,COLUMN($F$1),FALSE))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V123">
        <f>IF(ISNUMBER(SEARCH(SUBSTITUTE(AV$1,RIGHT(AV$1,2),""),VLOOKUP($D123,素材!$1:$1016,COLUMN($F$1),FALSE))),VLOOKUP($C123,装備品!$1:$998,COLUMN($O$1),FALSE)*VLOOKUP($D123,素材!$1:$1016,COLUMN($E$1),FALSE)/(LEN(VLOOKUP($D123,素材!$1:$1016,COLUMN($F$1),FALSE))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W123">
        <f>IF(ISNUMBER(SEARCH(SUBSTITUTE(AW$1,RIGHT(AW$1,2),""),VLOOKUP($D123,素材!$1:$1016,COLUMN($F$1),FALSE))),VLOOKUP($C123,装備品!$1:$998,COLUMN($O$1),FALSE)*VLOOKUP($D123,素材!$1:$1016,COLUMN($E$1),FALSE)/(LEN(VLOOKUP($D123,素材!$1:$1016,COLUMN($F$1),FALSE))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X123">
        <f>IF(ISNUMBER(SEARCH(SUBSTITUTE(AX$1,RIGHT(AX$1,2),""),VLOOKUP($D123,素材!$1:$1016,COLUMN($F$1),FALSE))),VLOOKUP($C123,装備品!$1:$998,COLUMN($O$1),FALSE)*VLOOKUP($D123,素材!$1:$1016,COLUMN($E$1),FALSE)/(LEN(VLOOKUP($D123,素材!$1:$1016,COLUMN($F$1),FALSE))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Y123">
        <f>IF(ISNUMBER(SEARCH(SUBSTITUTE(AY$1,RIGHT(AY$1,2),""),VLOOKUP($D123,素材!$1:$1016,COLUMN($F$1),FALSE))),VLOOKUP($C123,装備品!$1:$998,COLUMN($O$1),FALSE)*VLOOKUP($D123,素材!$1:$1016,COLUMN($E$1),FALSE)/(LEN(VLOOKUP($D123,素材!$1:$1016,COLUMN($F$1),FALSE))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Z123">
        <f>IF(ISNUMBER(SEARCH(SUBSTITUTE(AZ$1,RIGHT(AZ$1,2),""),VLOOKUP($D123,素材!$1:$1016,COLUMN($F$1),FALSE))),VLOOKUP($C123,装備品!$1:$998,COLUMN($O$1),FALSE)*VLOOKUP($D123,素材!$1:$1016,COLUMN($E$1),FALSE)/(LEN(VLOOKUP($D123,素材!$1:$1016,COLUMN($F$1),FALSE))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BA123">
        <f>IF(ISNUMBER(SEARCH(SUBSTITUTE(BA$1,RIGHT(BA$1,2),""),VLOOKUP($D123,素材!$1:$1016,COLUMN($F$1),FALSE))),VLOOKUP($C123,装備品!$1:$998,COLUMN($O$1),FALSE)*VLOOKUP($D123,素材!$1:$1016,COLUMN($E$1),FALSE)/(LEN(VLOOKUP($D123,素材!$1:$1016,COLUMN($F$1),FALSE))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BB123">
        <f>IF(ISNUMBER(SEARCH(SUBSTITUTE(BB$1,RIGHT(BB$1,2),""),VLOOKUP($D123,素材!$1:$1016,COLUMN($F$1),FALSE))),VLOOKUP($C123,装備品!$1:$998,COLUMN($O$1),FALSE)*VLOOKUP($D123,素材!$1:$1016,COLUMN($E$1),FALSE)/(LEN(VLOOKUP($D123,素材!$1:$1016,COLUMN($F$1),FALSE))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BC123">
        <f>IF(ISNUMBER(SEARCH(SUBSTITUTE(BC$1,RIGHT(BC$1,2),""),VLOOKUP($D123,素材!$1:$1016,COLUMN($F$1),FALSE))),VLOOKUP($C123,装備品!$1:$998,COLUMN($O$1),FALSE)*VLOOKUP($D123,素材!$1:$1016,COLUMN($E$1),FALSE)/(LEN(VLOOKUP($D123,素材!$1:$1016,COLUMN($F$1),FALSE))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BD123">
        <f>IF(ISNUMBER(SEARCH(SUBSTITUTE(BD$1,RIGHT(BD$1,2),""),VLOOKUP($D123,素材!$1:$1016,COLUMN($F$1),FALSE))),VLOOKUP($C123,装備品!$1:$998,COLUMN($O$1),FALSE)*VLOOKUP($D123,素材!$1:$1016,COLUMN($E$1),FALSE)/(LEN(VLOOKUP($D123,素材!$1:$1016,COLUMN($F$1),FALSE))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BE123">
        <f>IF(ISNUMBER(SEARCH(SUBSTITUTE(BE$1,RIGHT(BE$1,2),""),VLOOKUP($D123,素材!$1:$1016,COLUMN($F$1),FALSE))),VLOOKUP($C123,装備品!$1:$998,COLUMN($O$1),FALSE)*VLOOKUP($D123,素材!$1:$1016,COLUMN($E$1),FALSE)/(LEN(VLOOKUP($D123,素材!$1:$1016,COLUMN($F$1),FALSE))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CL123">
        <f t="shared" si="7"/>
        <v>0</v>
      </c>
      <c r="CM123" s="22" t="str">
        <f t="shared" si="8"/>
        <v>体.webp</v>
      </c>
      <c r="CN123">
        <f>IFERROR(VLOOKUP($C123,装備品!$1:$998,COLUMN(V$1),FALSE)*VLOOKUP($D123,素材!$1:$1016,COLUMN(N$1),FALSE)+IF(CI123="",0,VLOOKUP($CI123,付与!$1:$1176,COLUMN($CK$1),FALSE)),"")</f>
        <v>0</v>
      </c>
      <c r="CO123" t="str">
        <f>VLOOKUP(D123,素材!$A:$O,COLUMN(素材!O$1),FALSE)</f>
        <v>野生動物から得られる丈夫な皮素材。皮装備の性能を向上させ、基本的な防護性能を備えています。</v>
      </c>
      <c r="CP123" t="str">
        <f>VLOOKUP(C123,装備品!$A:$AB,COLUMN(装備品!AB$1),FALSE)</f>
        <v>HP 物理 魔法 体幹 出血 疲労 Cr</v>
      </c>
      <c r="CR123" t="str">
        <f t="shared" si="9"/>
        <v>e_123</v>
      </c>
      <c r="CS123">
        <f t="shared" si="10"/>
        <v>0</v>
      </c>
    </row>
    <row r="124" spans="1:97" outlineLevel="1" x14ac:dyDescent="0.4">
      <c r="A124" t="str">
        <f t="shared" si="11"/>
        <v>獣皮の法衣</v>
      </c>
      <c r="B124" t="str">
        <f>IFERROR(VLOOKUP($D124,素材!$1:$1016,COLUMN($B$1),FALSE)&amp;"・"&amp;VLOOKUP($C124,装備品!$1:$998,COLUMN(B$1),FALSE),"")</f>
        <v>ビーストレザー・ローブ</v>
      </c>
      <c r="C124" t="s">
        <v>245</v>
      </c>
      <c r="D124" s="24" t="s">
        <v>250</v>
      </c>
      <c r="E124" t="str">
        <f>IFERROR(VLOOKUP(C124,装備品!$1:$998,COLUMN(C$1),FALSE),"")</f>
        <v>体</v>
      </c>
      <c r="F124">
        <f>IFERROR(ROUNDDOWN((VLOOKUP($C124,装備品!$1:$998,COLUMN(D$1),FALSE)+IFERROR(VLOOKUP($CI124,付与!$1:$1167,COLUMN(F$1),FALSE),0))*VLOOKUP($D124,素材!$1:$1016,COLUMN(D$1),FALSE),0),"")</f>
        <v>0</v>
      </c>
      <c r="G124">
        <f>IFERROR(ROUNDDOWN((VLOOKUP($C124,装備品!$1:$998,COLUMN(E$1),FALSE)+IFERROR(VLOOKUP($CI124,付与!$1:$1167,COLUMN(G$1),FALSE),0))*VLOOKUP($D124,素材!$1:$1016,COLUMN($E$1),FALSE),0),"")</f>
        <v>0</v>
      </c>
      <c r="H124">
        <f>IFERROR(ROUNDDOWN((VLOOKUP($C124,装備品!$1:$998,COLUMN(F$1),FALSE)+IFERROR(VLOOKUP($CI124,付与!$1:$1167,COLUMN(H$1),FALSE),0))*VLOOKUP($D124,素材!$1:$1016,COLUMN($E$1),FALSE),0),"")</f>
        <v>0</v>
      </c>
      <c r="I124">
        <f>IFERROR(ROUNDDOWN((VLOOKUP($C124,装備品!$1:$998,COLUMN(G$1),FALSE)+IFERROR(VLOOKUP($CI124,付与!$1:$1167,COLUMN(I$1),FALSE),0))*VLOOKUP($D124,素材!$1:$1016,COLUMN($E$1),FALSE),0),"")</f>
        <v>0</v>
      </c>
      <c r="J124">
        <f>IFERROR(ROUNDDOWN((VLOOKUP($C124,装備品!$1:$998,COLUMN(H$1),FALSE)+IFERROR(VLOOKUP($CI124,付与!$1:$1167,COLUMN(J$1),FALSE),0))*VLOOKUP($D124,素材!$1:$1016,COLUMN($E$1),FALSE),0),"")</f>
        <v>0</v>
      </c>
      <c r="K124">
        <f>IFERROR(ROUNDDOWN((VLOOKUP($C124,装備品!$1:$998,COLUMN(I$1),FALSE)+IFERROR(VLOOKUP($CI124,付与!$1:$1167,COLUMN(K$1),FALSE),0))*VLOOKUP($D124,素材!$1:$1016,COLUMN($E$1),FALSE),0),"")</f>
        <v>0</v>
      </c>
      <c r="L124" t="str">
        <f>IFERROR(VLOOKUP($D124,素材!$1:$1016,COLUMN($F$1),FALSE),"")</f>
        <v>-</v>
      </c>
      <c r="M124" t="str">
        <f>IFERROR(VLOOKUP($C124,装備品!$1:$998,COLUMN(AA$1),FALSE)*VLOOKUP($D124,素材!$1:$1016,COLUMN($G$1),FALSE),"")</f>
        <v/>
      </c>
      <c r="N124">
        <f>IFERROR(VLOOKUP($C124,装備品!$1:$998,COLUMN(I$1),FALSE),"")</f>
        <v>0</v>
      </c>
      <c r="O124" s="23" t="str">
        <f>IFERROR((VLOOKUP($C124,装備品!$1:$998,COLUMN(K$1),FALSE)+VLOOKUP($D124,素材!$1:$1016,COLUMN(H$1),FALSE))*100+IFERROR(VLOOKUP($CI124,付与!$1:$1167,COLUMN(O$1),FALSE),0),"")</f>
        <v/>
      </c>
      <c r="P124" s="23" t="str">
        <f>IFERROR((VLOOKUP($C124,装備品!$1:$998,COLUMN(L$1),FALSE)+VLOOKUP($D124,素材!$1:$1016,COLUMN(I$1),FALSE))*100+IFERROR(VLOOKUP($CI124,付与!$1:$1167,COLUMN(P$1),FALSE),0),"")</f>
        <v/>
      </c>
      <c r="Q124">
        <f>IFERROR(ROUNDUP(VLOOKUP($C124,装備品!$1:$998,COLUMN(M$1),FALSE)*(VLOOKUP($D124,素材!$1:$1002,COLUMN(D$1),FALSE)/100),1),"")</f>
        <v>0</v>
      </c>
      <c r="R124">
        <f>IFERROR(ROUNDUP(VLOOKUP($C124,装備品!$1:$998,COLUMN(N$1),FALSE)*(VLOOKUP($D124,素材!$1:$1002,COLUMN(D$1),FALSE)/100),1),"")</f>
        <v>0</v>
      </c>
      <c r="S124">
        <f>IFERROR(VLOOKUP($C124,装備品!$1:$998,COLUMN(P$1),FALSE),"")</f>
        <v>0</v>
      </c>
      <c r="T124">
        <f>IFERROR(VLOOKUP($C124,装備品!$1:$998,COLUMN(Q$1),FALSE),"")</f>
        <v>0</v>
      </c>
      <c r="U124">
        <f>IFERROR(VLOOKUP($C124,装備品!$1:$998,COLUMN(R$1),FALSE),"")</f>
        <v>0</v>
      </c>
      <c r="V124">
        <f>IFERROR(VLOOKUP($C124,装備品!$1:$998,COLUMN(Q$1),FALSE),"")</f>
        <v>0</v>
      </c>
      <c r="W124">
        <f>IFERROR(VLOOKUP($C124,装備品!$1:$998,COLUMN(T$1),FALSE),"")</f>
        <v>0.2</v>
      </c>
      <c r="Y124">
        <f>IFERROR(VLOOKUP($C124,装備品!$1:$998,COLUMN(U$1),FALSE),"")</f>
        <v>0</v>
      </c>
      <c r="Z124">
        <f>IFERROR(ROUNDUP(VLOOKUP($C124,装備品!$1:$998,COLUMN(O$1),FALSE)*VLOOKUP($D124,素材!$1:$1016,COLUMN(E$1),FALSE),1),"")</f>
        <v>0</v>
      </c>
      <c r="AA124">
        <f>IF(ISNUMBER(SEARCH(SUBSTITUTE(AA$1,RIGHT(AA$1,2),""),VLOOKUP($D124,素材!$1:$1016,COLUMN($F$1),FALSE))),VLOOKUP($C124,装備品!$1:$998,COLUMN($O$1),FALSE)*VLOOKUP($D124,素材!$1:$1016,COLUMN($E$1),FALSE)/(LEN(VLOOKUP($D124,素材!$1:$1016,COLUMN($F$1),FALSE))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B124">
        <f>IF(ISNUMBER(SEARCH(SUBSTITUTE(AB$1,RIGHT(AB$1,2),""),VLOOKUP($D124,素材!$1:$1016,COLUMN($F$1),FALSE))),VLOOKUP($C124,装備品!$1:$998,COLUMN($O$1),FALSE)*VLOOKUP($D124,素材!$1:$1016,COLUMN($E$1),FALSE)/(LEN(VLOOKUP($D124,素材!$1:$1016,COLUMN($F$1),FALSE))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C124">
        <f>IF(ISNUMBER(SEARCH(SUBSTITUTE(AC$1,RIGHT(AC$1,2),""),VLOOKUP($D124,素材!$1:$1016,COLUMN($F$1),FALSE))),VLOOKUP($C124,装備品!$1:$998,COLUMN($O$1),FALSE)*VLOOKUP($D124,素材!$1:$1016,COLUMN($E$1),FALSE)/(LEN(VLOOKUP($D124,素材!$1:$1016,COLUMN($F$1),FALSE))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D124">
        <f>IF(ISNUMBER(SEARCH(SUBSTITUTE(AD$1,RIGHT(AD$1,2),""),VLOOKUP($D124,素材!$1:$1016,COLUMN($F$1),FALSE))),VLOOKUP($C124,装備品!$1:$998,COLUMN($O$1),FALSE)*VLOOKUP($D124,素材!$1:$1016,COLUMN($E$1),FALSE)/(LEN(VLOOKUP($D124,素材!$1:$1016,COLUMN($F$1),FALSE))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E124">
        <f>IF(ISNUMBER(SEARCH(SUBSTITUTE(AE$1,RIGHT(AE$1,2),""),VLOOKUP($D124,素材!$1:$1016,COLUMN($F$1),FALSE))),VLOOKUP($C124,装備品!$1:$998,COLUMN($O$1),FALSE)*VLOOKUP($D124,素材!$1:$1016,COLUMN($E$1),FALSE)/(LEN(VLOOKUP($D124,素材!$1:$1016,COLUMN($F$1),FALSE))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F124">
        <f>IF(ISNUMBER(SEARCH(SUBSTITUTE(AF$1,RIGHT(AF$1,2),""),VLOOKUP($D124,素材!$1:$1016,COLUMN($F$1),FALSE))),VLOOKUP($C124,装備品!$1:$998,COLUMN($O$1),FALSE)*VLOOKUP($D124,素材!$1:$1016,COLUMN($E$1),FALSE)/(LEN(VLOOKUP($D124,素材!$1:$1016,COLUMN($F$1),FALSE))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G124">
        <f>IF(ISNUMBER(SEARCH(SUBSTITUTE(AG$1,RIGHT(AG$1,2),""),VLOOKUP($D124,素材!$1:$1016,COLUMN($F$1),FALSE))),VLOOKUP($C124,装備品!$1:$998,COLUMN($O$1),FALSE)*VLOOKUP($D124,素材!$1:$1016,COLUMN($E$1),FALSE)/(LEN(VLOOKUP($D124,素材!$1:$1016,COLUMN($F$1),FALSE))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H124">
        <f>IF(ISNUMBER(SEARCH(SUBSTITUTE(AH$1,RIGHT(AH$1,2),""),VLOOKUP($D124,素材!$1:$1016,COLUMN($F$1),FALSE))),VLOOKUP($C124,装備品!$1:$998,COLUMN($O$1),FALSE)*VLOOKUP($D124,素材!$1:$1016,COLUMN($E$1),FALSE)/(LEN(VLOOKUP($D124,素材!$1:$1016,COLUMN($F$1),FALSE))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I124">
        <f>IF(ISNUMBER(SEARCH(SUBSTITUTE(AI$1,RIGHT(AI$1,2),""),VLOOKUP($D124,素材!$1:$1016,COLUMN($F$1),FALSE))),VLOOKUP($C124,装備品!$1:$998,COLUMN($O$1),FALSE)*VLOOKUP($D124,素材!$1:$1016,COLUMN($E$1),FALSE)/(LEN(VLOOKUP($D124,素材!$1:$1016,COLUMN($F$1),FALSE))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J124">
        <f>IF(ISNUMBER(SEARCH(SUBSTITUTE(AJ$1,RIGHT(AJ$1,2),""),VLOOKUP($D124,素材!$1:$1016,COLUMN($F$1),FALSE))),VLOOKUP($C124,装備品!$1:$998,COLUMN($O$1),FALSE)*VLOOKUP($D124,素材!$1:$1016,COLUMN($E$1),FALSE)/(LEN(VLOOKUP($D124,素材!$1:$1016,COLUMN($F$1),FALSE))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K124">
        <f>IF(ISNUMBER(SEARCH(SUBSTITUTE(AK$1,RIGHT(AK$1,2),""),VLOOKUP($D124,素材!$1:$1016,COLUMN($F$1),FALSE))),VLOOKUP($C124,装備品!$1:$998,COLUMN($O$1),FALSE)*VLOOKUP($D124,素材!$1:$1016,COLUMN($E$1),FALSE)/(LEN(VLOOKUP($D124,素材!$1:$1016,COLUMN($F$1),FALSE))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L124">
        <f>IF(ISNUMBER(SEARCH(SUBSTITUTE(AL$1,RIGHT(AL$1,2),""),VLOOKUP($D124,素材!$1:$1016,COLUMN($F$1),FALSE))),VLOOKUP($C124,装備品!$1:$998,COLUMN($O$1),FALSE)*VLOOKUP($D124,素材!$1:$1016,COLUMN($E$1),FALSE)/(LEN(VLOOKUP($D124,素材!$1:$1016,COLUMN($F$1),FALSE))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M124">
        <f>IF(ISNUMBER(SEARCH(SUBSTITUTE(AM$1,RIGHT(AM$1,2),""),VLOOKUP($D124,素材!$1:$1016,COLUMN($F$1),FALSE))),VLOOKUP($C124,装備品!$1:$998,COLUMN($O$1),FALSE)*VLOOKUP($D124,素材!$1:$1016,COLUMN($E$1),FALSE)/(LEN(VLOOKUP($D124,素材!$1:$1016,COLUMN($F$1),FALSE))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N124">
        <f>IF(ISNUMBER(SEARCH(SUBSTITUTE(AN$1,RIGHT(AN$1,2),""),VLOOKUP($D124,素材!$1:$1016,COLUMN($F$1),FALSE))),VLOOKUP($C124,装備品!$1:$998,COLUMN($O$1),FALSE)*VLOOKUP($D124,素材!$1:$1016,COLUMN($E$1),FALSE)/(LEN(VLOOKUP($D124,素材!$1:$1016,COLUMN($F$1),FALSE))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O124">
        <f>IF(ISNUMBER(SEARCH(SUBSTITUTE(AO$1,RIGHT(AO$1,2),""),VLOOKUP($D124,素材!$1:$1016,COLUMN($F$1),FALSE))),VLOOKUP($C124,装備品!$1:$998,COLUMN($O$1),FALSE)*VLOOKUP($D124,素材!$1:$1016,COLUMN($E$1),FALSE)/(LEN(VLOOKUP($D124,素材!$1:$1016,COLUMN($F$1),FALSE))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P124">
        <f>IF(ISNUMBER(SEARCH(SUBSTITUTE(AP$1,RIGHT(AP$1,2),""),VLOOKUP($D124,素材!$1:$1016,COLUMN($F$1),FALSE))),VLOOKUP($C124,装備品!$1:$998,COLUMN($O$1),FALSE)*VLOOKUP($D124,素材!$1:$1016,COLUMN($E$1),FALSE)/(LEN(VLOOKUP($D124,素材!$1:$1016,COLUMN($F$1),FALSE))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Q124">
        <f>IF(ISNUMBER(SEARCH(SUBSTITUTE(AQ$1,RIGHT(AQ$1,2),""),VLOOKUP($D124,素材!$1:$1016,COLUMN($F$1),FALSE))),VLOOKUP($C124,装備品!$1:$998,COLUMN($O$1),FALSE)*VLOOKUP($D124,素材!$1:$1016,COLUMN($E$1),FALSE)/(LEN(VLOOKUP($D124,素材!$1:$1016,COLUMN($F$1),FALSE))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R124">
        <f>IF(ISNUMBER(SEARCH(SUBSTITUTE(AR$1,RIGHT(AR$1,2),""),VLOOKUP($D124,素材!$1:$1016,COLUMN($F$1),FALSE))),VLOOKUP($C124,装備品!$1:$998,COLUMN($O$1),FALSE)*VLOOKUP($D124,素材!$1:$1016,COLUMN($E$1),FALSE)/(LEN(VLOOKUP($D124,素材!$1:$1016,COLUMN($F$1),FALSE))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S124">
        <f>IF(ISNUMBER(SEARCH(SUBSTITUTE(AS$1,RIGHT(AS$1,2),""),VLOOKUP($D124,素材!$1:$1016,COLUMN($F$1),FALSE))),VLOOKUP($C124,装備品!$1:$998,COLUMN($O$1),FALSE)*VLOOKUP($D124,素材!$1:$1016,COLUMN($E$1),FALSE)/(LEN(VLOOKUP($D124,素材!$1:$1016,COLUMN($F$1),FALSE))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T124">
        <f>IF(ISNUMBER(SEARCH(SUBSTITUTE(AT$1,RIGHT(AT$1,2),""),VLOOKUP($D124,素材!$1:$1016,COLUMN($F$1),FALSE))),VLOOKUP($C124,装備品!$1:$998,COLUMN($O$1),FALSE)*VLOOKUP($D124,素材!$1:$1016,COLUMN($E$1),FALSE)/(LEN(VLOOKUP($D124,素材!$1:$1016,COLUMN($F$1),FALSE))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U124">
        <f>IF(ISNUMBER(SEARCH(SUBSTITUTE(AU$1,RIGHT(AU$1,2),""),VLOOKUP($D124,素材!$1:$1016,COLUMN($F$1),FALSE))),VLOOKUP($C124,装備品!$1:$998,COLUMN($O$1),FALSE)*VLOOKUP($D124,素材!$1:$1016,COLUMN($E$1),FALSE)/(LEN(VLOOKUP($D124,素材!$1:$1016,COLUMN($F$1),FALSE))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V124">
        <f>IF(ISNUMBER(SEARCH(SUBSTITUTE(AV$1,RIGHT(AV$1,2),""),VLOOKUP($D124,素材!$1:$1016,COLUMN($F$1),FALSE))),VLOOKUP($C124,装備品!$1:$998,COLUMN($O$1),FALSE)*VLOOKUP($D124,素材!$1:$1016,COLUMN($E$1),FALSE)/(LEN(VLOOKUP($D124,素材!$1:$1016,COLUMN($F$1),FALSE))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W124">
        <f>IF(ISNUMBER(SEARCH(SUBSTITUTE(AW$1,RIGHT(AW$1,2),""),VLOOKUP($D124,素材!$1:$1016,COLUMN($F$1),FALSE))),VLOOKUP($C124,装備品!$1:$998,COLUMN($O$1),FALSE)*VLOOKUP($D124,素材!$1:$1016,COLUMN($E$1),FALSE)/(LEN(VLOOKUP($D124,素材!$1:$1016,COLUMN($F$1),FALSE))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X124">
        <f>IF(ISNUMBER(SEARCH(SUBSTITUTE(AX$1,RIGHT(AX$1,2),""),VLOOKUP($D124,素材!$1:$1016,COLUMN($F$1),FALSE))),VLOOKUP($C124,装備品!$1:$998,COLUMN($O$1),FALSE)*VLOOKUP($D124,素材!$1:$1016,COLUMN($E$1),FALSE)/(LEN(VLOOKUP($D124,素材!$1:$1016,COLUMN($F$1),FALSE))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Y124">
        <f>IF(ISNUMBER(SEARCH(SUBSTITUTE(AY$1,RIGHT(AY$1,2),""),VLOOKUP($D124,素材!$1:$1016,COLUMN($F$1),FALSE))),VLOOKUP($C124,装備品!$1:$998,COLUMN($O$1),FALSE)*VLOOKUP($D124,素材!$1:$1016,COLUMN($E$1),FALSE)/(LEN(VLOOKUP($D124,素材!$1:$1016,COLUMN($F$1),FALSE))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Z124">
        <f>IF(ISNUMBER(SEARCH(SUBSTITUTE(AZ$1,RIGHT(AZ$1,2),""),VLOOKUP($D124,素材!$1:$1016,COLUMN($F$1),FALSE))),VLOOKUP($C124,装備品!$1:$998,COLUMN($O$1),FALSE)*VLOOKUP($D124,素材!$1:$1016,COLUMN($E$1),FALSE)/(LEN(VLOOKUP($D124,素材!$1:$1016,COLUMN($F$1),FALSE))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BA124">
        <f>IF(ISNUMBER(SEARCH(SUBSTITUTE(BA$1,RIGHT(BA$1,2),""),VLOOKUP($D124,素材!$1:$1016,COLUMN($F$1),FALSE))),VLOOKUP($C124,装備品!$1:$998,COLUMN($O$1),FALSE)*VLOOKUP($D124,素材!$1:$1016,COLUMN($E$1),FALSE)/(LEN(VLOOKUP($D124,素材!$1:$1016,COLUMN($F$1),FALSE))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BB124">
        <f>IF(ISNUMBER(SEARCH(SUBSTITUTE(BB$1,RIGHT(BB$1,2),""),VLOOKUP($D124,素材!$1:$1016,COLUMN($F$1),FALSE))),VLOOKUP($C124,装備品!$1:$998,COLUMN($O$1),FALSE)*VLOOKUP($D124,素材!$1:$1016,COLUMN($E$1),FALSE)/(LEN(VLOOKUP($D124,素材!$1:$1016,COLUMN($F$1),FALSE))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BC124">
        <f>IF(ISNUMBER(SEARCH(SUBSTITUTE(BC$1,RIGHT(BC$1,2),""),VLOOKUP($D124,素材!$1:$1016,COLUMN($F$1),FALSE))),VLOOKUP($C124,装備品!$1:$998,COLUMN($O$1),FALSE)*VLOOKUP($D124,素材!$1:$1016,COLUMN($E$1),FALSE)/(LEN(VLOOKUP($D124,素材!$1:$1016,COLUMN($F$1),FALSE))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BD124">
        <f>IF(ISNUMBER(SEARCH(SUBSTITUTE(BD$1,RIGHT(BD$1,2),""),VLOOKUP($D124,素材!$1:$1016,COLUMN($F$1),FALSE))),VLOOKUP($C124,装備品!$1:$998,COLUMN($O$1),FALSE)*VLOOKUP($D124,素材!$1:$1016,COLUMN($E$1),FALSE)/(LEN(VLOOKUP($D124,素材!$1:$1016,COLUMN($F$1),FALSE))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BE124">
        <f>IF(ISNUMBER(SEARCH(SUBSTITUTE(BE$1,RIGHT(BE$1,2),""),VLOOKUP($D124,素材!$1:$1016,COLUMN($F$1),FALSE))),VLOOKUP($C124,装備品!$1:$998,COLUMN($O$1),FALSE)*VLOOKUP($D124,素材!$1:$1016,COLUMN($E$1),FALSE)/(LEN(VLOOKUP($D124,素材!$1:$1016,COLUMN($F$1),FALSE))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CL124">
        <f t="shared" si="7"/>
        <v>0</v>
      </c>
      <c r="CM124" s="22" t="str">
        <f t="shared" si="8"/>
        <v>体.webp</v>
      </c>
      <c r="CN124">
        <f>IFERROR(VLOOKUP($C124,装備品!$1:$998,COLUMN(V$1),FALSE)*VLOOKUP($D124,素材!$1:$1016,COLUMN(N$1),FALSE)+IF(CI124="",0,VLOOKUP($CI124,付与!$1:$1176,COLUMN($CK$1),FALSE)),"")</f>
        <v>0</v>
      </c>
      <c r="CO124" t="str">
        <f>VLOOKUP(D124,素材!$A:$O,COLUMN(素材!O$1),FALSE)</f>
        <v>野生動物から得られる丈夫な皮素材。皮装備の性能を向上させ、基本的な防護性能を備えています。</v>
      </c>
      <c r="CP124" t="str">
        <f>VLOOKUP(C124,装備品!$A:$AB,COLUMN(装備品!AB$1),FALSE)</f>
        <v>HP 物理 魔法 体幹 出血 疲労 Cr</v>
      </c>
      <c r="CR124" t="str">
        <f t="shared" si="9"/>
        <v>e_124</v>
      </c>
      <c r="CS124">
        <f t="shared" si="10"/>
        <v>0</v>
      </c>
    </row>
    <row r="125" spans="1:97" ht="23.25" customHeight="1" outlineLevel="1" x14ac:dyDescent="0.4">
      <c r="A125" t="str">
        <f t="shared" si="11"/>
        <v>獣皮の鎧</v>
      </c>
      <c r="B125" t="str">
        <f>IFERROR(VLOOKUP($D125,素材!$1:$1016,COLUMN($B$1),FALSE)&amp;"・"&amp;VLOOKUP($C125,装備品!$1:$998,COLUMN(B$1),FALSE),"")</f>
        <v>ビーストレザー・アーマー</v>
      </c>
      <c r="C125" t="s">
        <v>207</v>
      </c>
      <c r="D125" s="24" t="s">
        <v>250</v>
      </c>
      <c r="E125" t="str">
        <f>IFERROR(VLOOKUP(C125,装備品!$1:$998,COLUMN(C$1),FALSE),"")</f>
        <v>体</v>
      </c>
      <c r="F125">
        <f>IFERROR(ROUNDDOWN((VLOOKUP($C125,装備品!$1:$998,COLUMN(D$1),FALSE)+IFERROR(VLOOKUP($CI125,付与!$1:$1167,COLUMN(F$1),FALSE),0))*VLOOKUP($D125,素材!$1:$1016,COLUMN(D$1),FALSE),0),"")</f>
        <v>0</v>
      </c>
      <c r="G125">
        <f>IFERROR(ROUNDDOWN((VLOOKUP($C125,装備品!$1:$998,COLUMN(E$1),FALSE)+IFERROR(VLOOKUP($CI125,付与!$1:$1167,COLUMN(G$1),FALSE),0))*VLOOKUP($D125,素材!$1:$1016,COLUMN($E$1),FALSE),0),"")</f>
        <v>0</v>
      </c>
      <c r="H125">
        <f>IFERROR(ROUNDDOWN((VLOOKUP($C125,装備品!$1:$998,COLUMN(F$1),FALSE)+IFERROR(VLOOKUP($CI125,付与!$1:$1167,COLUMN(H$1),FALSE),0))*VLOOKUP($D125,素材!$1:$1016,COLUMN($E$1),FALSE),0),"")</f>
        <v>0</v>
      </c>
      <c r="I125">
        <f>IFERROR(ROUNDDOWN((VLOOKUP($C125,装備品!$1:$998,COLUMN(G$1),FALSE)+IFERROR(VLOOKUP($CI125,付与!$1:$1167,COLUMN(I$1),FALSE),0))*VLOOKUP($D125,素材!$1:$1016,COLUMN($E$1),FALSE),0),"")</f>
        <v>0</v>
      </c>
      <c r="J125">
        <f>IFERROR(ROUNDDOWN((VLOOKUP($C125,装備品!$1:$998,COLUMN(H$1),FALSE)+IFERROR(VLOOKUP($CI125,付与!$1:$1167,COLUMN(J$1),FALSE),0))*VLOOKUP($D125,素材!$1:$1016,COLUMN($E$1),FALSE),0),"")</f>
        <v>0</v>
      </c>
      <c r="K125">
        <f>IFERROR(ROUNDDOWN((VLOOKUP($C125,装備品!$1:$998,COLUMN(I$1),FALSE)+IFERROR(VLOOKUP($CI125,付与!$1:$1167,COLUMN(K$1),FALSE),0))*VLOOKUP($D125,素材!$1:$1016,COLUMN($E$1),FALSE),0),"")</f>
        <v>0</v>
      </c>
      <c r="L125" t="str">
        <f>IFERROR(VLOOKUP($D125,素材!$1:$1016,COLUMN($F$1),FALSE),"")</f>
        <v>-</v>
      </c>
      <c r="M125" t="str">
        <f>IFERROR(VLOOKUP($C125,装備品!$1:$998,COLUMN(AA$1),FALSE)*VLOOKUP($D125,素材!$1:$1016,COLUMN($G$1),FALSE),"")</f>
        <v/>
      </c>
      <c r="N125">
        <f>IFERROR(VLOOKUP($C125,装備品!$1:$998,COLUMN(I$1),FALSE),"")</f>
        <v>0</v>
      </c>
      <c r="O125" s="23" t="str">
        <f>IFERROR((VLOOKUP($C125,装備品!$1:$998,COLUMN(K$1),FALSE)+VLOOKUP($D125,素材!$1:$1016,COLUMN(H$1),FALSE))*100+IFERROR(VLOOKUP($CI125,付与!$1:$1167,COLUMN(O$1),FALSE),0),"")</f>
        <v/>
      </c>
      <c r="P125" s="23" t="str">
        <f>IFERROR((VLOOKUP($C125,装備品!$1:$998,COLUMN(L$1),FALSE)+VLOOKUP($D125,素材!$1:$1016,COLUMN(I$1),FALSE))*100+IFERROR(VLOOKUP($CI125,付与!$1:$1167,COLUMN(P$1),FALSE),0),"")</f>
        <v/>
      </c>
      <c r="Q125">
        <f>IFERROR(ROUNDUP(VLOOKUP($C125,装備品!$1:$998,COLUMN(M$1),FALSE)*(VLOOKUP($D125,素材!$1:$1002,COLUMN(D$1),FALSE)/100),1),"")</f>
        <v>-6</v>
      </c>
      <c r="R125">
        <f>IFERROR(ROUNDUP(VLOOKUP($C125,装備品!$1:$998,COLUMN(N$1),FALSE)*(VLOOKUP($D125,素材!$1:$1002,COLUMN(D$1),FALSE)/100),1),"")</f>
        <v>0</v>
      </c>
      <c r="S125">
        <f>IFERROR(VLOOKUP($C125,装備品!$1:$998,COLUMN(P$1),FALSE),"")</f>
        <v>-35</v>
      </c>
      <c r="T125">
        <f>IFERROR(VLOOKUP($C125,装備品!$1:$998,COLUMN(Q$1),FALSE),"")</f>
        <v>0</v>
      </c>
      <c r="U125">
        <f>IFERROR(VLOOKUP($C125,装備品!$1:$998,COLUMN(R$1),FALSE),"")</f>
        <v>0</v>
      </c>
      <c r="V125">
        <f>IFERROR(VLOOKUP($C125,装備品!$1:$998,COLUMN(Q$1),FALSE),"")</f>
        <v>0</v>
      </c>
      <c r="W125">
        <f>IFERROR(VLOOKUP($C125,装備品!$1:$998,COLUMN(T$1),FALSE),"")</f>
        <v>0.7</v>
      </c>
      <c r="Y125">
        <f>IFERROR(VLOOKUP($C125,装備品!$1:$998,COLUMN(U$1),FALSE),"")</f>
        <v>0</v>
      </c>
      <c r="Z125">
        <f>IFERROR(ROUNDUP(VLOOKUP($C125,装備品!$1:$998,COLUMN(O$1),FALSE)*VLOOKUP($D125,素材!$1:$1016,COLUMN(E$1),FALSE),1),"")</f>
        <v>0</v>
      </c>
      <c r="AA125">
        <f>IF(ISNUMBER(SEARCH(SUBSTITUTE(AA$1,RIGHT(AA$1,2),""),VLOOKUP($D125,素材!$1:$1016,COLUMN($F$1),FALSE))),VLOOKUP($C125,装備品!$1:$998,COLUMN($O$1),FALSE)*VLOOKUP($D125,素材!$1:$1016,COLUMN($E$1),FALSE)/(LEN(VLOOKUP($D125,素材!$1:$1016,COLUMN($F$1),FALSE))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B125">
        <f>IF(ISNUMBER(SEARCH(SUBSTITUTE(AB$1,RIGHT(AB$1,2),""),VLOOKUP($D125,素材!$1:$1016,COLUMN($F$1),FALSE))),VLOOKUP($C125,装備品!$1:$998,COLUMN($O$1),FALSE)*VLOOKUP($D125,素材!$1:$1016,COLUMN($E$1),FALSE)/(LEN(VLOOKUP($D125,素材!$1:$1016,COLUMN($F$1),FALSE))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C125">
        <f>IF(ISNUMBER(SEARCH(SUBSTITUTE(AC$1,RIGHT(AC$1,2),""),VLOOKUP($D125,素材!$1:$1016,COLUMN($F$1),FALSE))),VLOOKUP($C125,装備品!$1:$998,COLUMN($O$1),FALSE)*VLOOKUP($D125,素材!$1:$1016,COLUMN($E$1),FALSE)/(LEN(VLOOKUP($D125,素材!$1:$1016,COLUMN($F$1),FALSE))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D125">
        <f>IF(ISNUMBER(SEARCH(SUBSTITUTE(AD$1,RIGHT(AD$1,2),""),VLOOKUP($D125,素材!$1:$1016,COLUMN($F$1),FALSE))),VLOOKUP($C125,装備品!$1:$998,COLUMN($O$1),FALSE)*VLOOKUP($D125,素材!$1:$1016,COLUMN($E$1),FALSE)/(LEN(VLOOKUP($D125,素材!$1:$1016,COLUMN($F$1),FALSE))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E125">
        <f>IF(ISNUMBER(SEARCH(SUBSTITUTE(AE$1,RIGHT(AE$1,2),""),VLOOKUP($D125,素材!$1:$1016,COLUMN($F$1),FALSE))),VLOOKUP($C125,装備品!$1:$998,COLUMN($O$1),FALSE)*VLOOKUP($D125,素材!$1:$1016,COLUMN($E$1),FALSE)/(LEN(VLOOKUP($D125,素材!$1:$1016,COLUMN($F$1),FALSE))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F125">
        <f>IF(ISNUMBER(SEARCH(SUBSTITUTE(AF$1,RIGHT(AF$1,2),""),VLOOKUP($D125,素材!$1:$1016,COLUMN($F$1),FALSE))),VLOOKUP($C125,装備品!$1:$998,COLUMN($O$1),FALSE)*VLOOKUP($D125,素材!$1:$1016,COLUMN($E$1),FALSE)/(LEN(VLOOKUP($D125,素材!$1:$1016,COLUMN($F$1),FALSE))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G125">
        <f>IF(ISNUMBER(SEARCH(SUBSTITUTE(AG$1,RIGHT(AG$1,2),""),VLOOKUP($D125,素材!$1:$1016,COLUMN($F$1),FALSE))),VLOOKUP($C125,装備品!$1:$998,COLUMN($O$1),FALSE)*VLOOKUP($D125,素材!$1:$1016,COLUMN($E$1),FALSE)/(LEN(VLOOKUP($D125,素材!$1:$1016,COLUMN($F$1),FALSE))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H125">
        <f>IF(ISNUMBER(SEARCH(SUBSTITUTE(AH$1,RIGHT(AH$1,2),""),VLOOKUP($D125,素材!$1:$1016,COLUMN($F$1),FALSE))),VLOOKUP($C125,装備品!$1:$998,COLUMN($O$1),FALSE)*VLOOKUP($D125,素材!$1:$1016,COLUMN($E$1),FALSE)/(LEN(VLOOKUP($D125,素材!$1:$1016,COLUMN($F$1),FALSE))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I125">
        <f>IF(ISNUMBER(SEARCH(SUBSTITUTE(AI$1,RIGHT(AI$1,2),""),VLOOKUP($D125,素材!$1:$1016,COLUMN($F$1),FALSE))),VLOOKUP($C125,装備品!$1:$998,COLUMN($O$1),FALSE)*VLOOKUP($D125,素材!$1:$1016,COLUMN($E$1),FALSE)/(LEN(VLOOKUP($D125,素材!$1:$1016,COLUMN($F$1),FALSE))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J125">
        <f>IF(ISNUMBER(SEARCH(SUBSTITUTE(AJ$1,RIGHT(AJ$1,2),""),VLOOKUP($D125,素材!$1:$1016,COLUMN($F$1),FALSE))),VLOOKUP($C125,装備品!$1:$998,COLUMN($O$1),FALSE)*VLOOKUP($D125,素材!$1:$1016,COLUMN($E$1),FALSE)/(LEN(VLOOKUP($D125,素材!$1:$1016,COLUMN($F$1),FALSE))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K125">
        <f>IF(ISNUMBER(SEARCH(SUBSTITUTE(AK$1,RIGHT(AK$1,2),""),VLOOKUP($D125,素材!$1:$1016,COLUMN($F$1),FALSE))),VLOOKUP($C125,装備品!$1:$998,COLUMN($O$1),FALSE)*VLOOKUP($D125,素材!$1:$1016,COLUMN($E$1),FALSE)/(LEN(VLOOKUP($D125,素材!$1:$1016,COLUMN($F$1),FALSE))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L125">
        <f>IF(ISNUMBER(SEARCH(SUBSTITUTE(AL$1,RIGHT(AL$1,2),""),VLOOKUP($D125,素材!$1:$1016,COLUMN($F$1),FALSE))),VLOOKUP($C125,装備品!$1:$998,COLUMN($O$1),FALSE)*VLOOKUP($D125,素材!$1:$1016,COLUMN($E$1),FALSE)/(LEN(VLOOKUP($D125,素材!$1:$1016,COLUMN($F$1),FALSE))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M125">
        <f>IF(ISNUMBER(SEARCH(SUBSTITUTE(AM$1,RIGHT(AM$1,2),""),VLOOKUP($D125,素材!$1:$1016,COLUMN($F$1),FALSE))),VLOOKUP($C125,装備品!$1:$998,COLUMN($O$1),FALSE)*VLOOKUP($D125,素材!$1:$1016,COLUMN($E$1),FALSE)/(LEN(VLOOKUP($D125,素材!$1:$1016,COLUMN($F$1),FALSE))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N125">
        <f>IF(ISNUMBER(SEARCH(SUBSTITUTE(AN$1,RIGHT(AN$1,2),""),VLOOKUP($D125,素材!$1:$1016,COLUMN($F$1),FALSE))),VLOOKUP($C125,装備品!$1:$998,COLUMN($O$1),FALSE)*VLOOKUP($D125,素材!$1:$1016,COLUMN($E$1),FALSE)/(LEN(VLOOKUP($D125,素材!$1:$1016,COLUMN($F$1),FALSE))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O125">
        <f>IF(ISNUMBER(SEARCH(SUBSTITUTE(AO$1,RIGHT(AO$1,2),""),VLOOKUP($D125,素材!$1:$1016,COLUMN($F$1),FALSE))),VLOOKUP($C125,装備品!$1:$998,COLUMN($O$1),FALSE)*VLOOKUP($D125,素材!$1:$1016,COLUMN($E$1),FALSE)/(LEN(VLOOKUP($D125,素材!$1:$1016,COLUMN($F$1),FALSE))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P125">
        <f>IF(ISNUMBER(SEARCH(SUBSTITUTE(AP$1,RIGHT(AP$1,2),""),VLOOKUP($D125,素材!$1:$1016,COLUMN($F$1),FALSE))),VLOOKUP($C125,装備品!$1:$998,COLUMN($O$1),FALSE)*VLOOKUP($D125,素材!$1:$1016,COLUMN($E$1),FALSE)/(LEN(VLOOKUP($D125,素材!$1:$1016,COLUMN($F$1),FALSE))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Q125">
        <f>IF(ISNUMBER(SEARCH(SUBSTITUTE(AQ$1,RIGHT(AQ$1,2),""),VLOOKUP($D125,素材!$1:$1016,COLUMN($F$1),FALSE))),VLOOKUP($C125,装備品!$1:$998,COLUMN($O$1),FALSE)*VLOOKUP($D125,素材!$1:$1016,COLUMN($E$1),FALSE)/(LEN(VLOOKUP($D125,素材!$1:$1016,COLUMN($F$1),FALSE))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R125">
        <f>IF(ISNUMBER(SEARCH(SUBSTITUTE(AR$1,RIGHT(AR$1,2),""),VLOOKUP($D125,素材!$1:$1016,COLUMN($F$1),FALSE))),VLOOKUP($C125,装備品!$1:$998,COLUMN($O$1),FALSE)*VLOOKUP($D125,素材!$1:$1016,COLUMN($E$1),FALSE)/(LEN(VLOOKUP($D125,素材!$1:$1016,COLUMN($F$1),FALSE))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S125">
        <f>IF(ISNUMBER(SEARCH(SUBSTITUTE(AS$1,RIGHT(AS$1,2),""),VLOOKUP($D125,素材!$1:$1016,COLUMN($F$1),FALSE))),VLOOKUP($C125,装備品!$1:$998,COLUMN($O$1),FALSE)*VLOOKUP($D125,素材!$1:$1016,COLUMN($E$1),FALSE)/(LEN(VLOOKUP($D125,素材!$1:$1016,COLUMN($F$1),FALSE))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T125">
        <f>IF(ISNUMBER(SEARCH(SUBSTITUTE(AT$1,RIGHT(AT$1,2),""),VLOOKUP($D125,素材!$1:$1016,COLUMN($F$1),FALSE))),VLOOKUP($C125,装備品!$1:$998,COLUMN($O$1),FALSE)*VLOOKUP($D125,素材!$1:$1016,COLUMN($E$1),FALSE)/(LEN(VLOOKUP($D125,素材!$1:$1016,COLUMN($F$1),FALSE))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U125">
        <f>IF(ISNUMBER(SEARCH(SUBSTITUTE(AU$1,RIGHT(AU$1,2),""),VLOOKUP($D125,素材!$1:$1016,COLUMN($F$1),FALSE))),VLOOKUP($C125,装備品!$1:$998,COLUMN($O$1),FALSE)*VLOOKUP($D125,素材!$1:$1016,COLUMN($E$1),FALSE)/(LEN(VLOOKUP($D125,素材!$1:$1016,COLUMN($F$1),FALSE))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V125">
        <f>IF(ISNUMBER(SEARCH(SUBSTITUTE(AV$1,RIGHT(AV$1,2),""),VLOOKUP($D125,素材!$1:$1016,COLUMN($F$1),FALSE))),VLOOKUP($C125,装備品!$1:$998,COLUMN($O$1),FALSE)*VLOOKUP($D125,素材!$1:$1016,COLUMN($E$1),FALSE)/(LEN(VLOOKUP($D125,素材!$1:$1016,COLUMN($F$1),FALSE))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W125">
        <f>IF(ISNUMBER(SEARCH(SUBSTITUTE(AW$1,RIGHT(AW$1,2),""),VLOOKUP($D125,素材!$1:$1016,COLUMN($F$1),FALSE))),VLOOKUP($C125,装備品!$1:$998,COLUMN($O$1),FALSE)*VLOOKUP($D125,素材!$1:$1016,COLUMN($E$1),FALSE)/(LEN(VLOOKUP($D125,素材!$1:$1016,COLUMN($F$1),FALSE))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X125">
        <f>IF(ISNUMBER(SEARCH(SUBSTITUTE(AX$1,RIGHT(AX$1,2),""),VLOOKUP($D125,素材!$1:$1016,COLUMN($F$1),FALSE))),VLOOKUP($C125,装備品!$1:$998,COLUMN($O$1),FALSE)*VLOOKUP($D125,素材!$1:$1016,COLUMN($E$1),FALSE)/(LEN(VLOOKUP($D125,素材!$1:$1016,COLUMN($F$1),FALSE))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Y125">
        <f>IF(ISNUMBER(SEARCH(SUBSTITUTE(AY$1,RIGHT(AY$1,2),""),VLOOKUP($D125,素材!$1:$1016,COLUMN($F$1),FALSE))),VLOOKUP($C125,装備品!$1:$998,COLUMN($O$1),FALSE)*VLOOKUP($D125,素材!$1:$1016,COLUMN($E$1),FALSE)/(LEN(VLOOKUP($D125,素材!$1:$1016,COLUMN($F$1),FALSE))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Z125">
        <f>IF(ISNUMBER(SEARCH(SUBSTITUTE(AZ$1,RIGHT(AZ$1,2),""),VLOOKUP($D125,素材!$1:$1016,COLUMN($F$1),FALSE))),VLOOKUP($C125,装備品!$1:$998,COLUMN($O$1),FALSE)*VLOOKUP($D125,素材!$1:$1016,COLUMN($E$1),FALSE)/(LEN(VLOOKUP($D125,素材!$1:$1016,COLUMN($F$1),FALSE))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BA125">
        <f>IF(ISNUMBER(SEARCH(SUBSTITUTE(BA$1,RIGHT(BA$1,2),""),VLOOKUP($D125,素材!$1:$1016,COLUMN($F$1),FALSE))),VLOOKUP($C125,装備品!$1:$998,COLUMN($O$1),FALSE)*VLOOKUP($D125,素材!$1:$1016,COLUMN($E$1),FALSE)/(LEN(VLOOKUP($D125,素材!$1:$1016,COLUMN($F$1),FALSE))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BB125">
        <f>IF(ISNUMBER(SEARCH(SUBSTITUTE(BB$1,RIGHT(BB$1,2),""),VLOOKUP($D125,素材!$1:$1016,COLUMN($F$1),FALSE))),VLOOKUP($C125,装備品!$1:$998,COLUMN($O$1),FALSE)*VLOOKUP($D125,素材!$1:$1016,COLUMN($E$1),FALSE)/(LEN(VLOOKUP($D125,素材!$1:$1016,COLUMN($F$1),FALSE))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BC125">
        <f>IF(ISNUMBER(SEARCH(SUBSTITUTE(BC$1,RIGHT(BC$1,2),""),VLOOKUP($D125,素材!$1:$1016,COLUMN($F$1),FALSE))),VLOOKUP($C125,装備品!$1:$998,COLUMN($O$1),FALSE)*VLOOKUP($D125,素材!$1:$1016,COLUMN($E$1),FALSE)/(LEN(VLOOKUP($D125,素材!$1:$1016,COLUMN($F$1),FALSE))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BD125">
        <f>IF(ISNUMBER(SEARCH(SUBSTITUTE(BD$1,RIGHT(BD$1,2),""),VLOOKUP($D125,素材!$1:$1016,COLUMN($F$1),FALSE))),VLOOKUP($C125,装備品!$1:$998,COLUMN($O$1),FALSE)*VLOOKUP($D125,素材!$1:$1016,COLUMN($E$1),FALSE)/(LEN(VLOOKUP($D125,素材!$1:$1016,COLUMN($F$1),FALSE))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BE125">
        <f>IF(ISNUMBER(SEARCH(SUBSTITUTE(BE$1,RIGHT(BE$1,2),""),VLOOKUP($D125,素材!$1:$1016,COLUMN($F$1),FALSE))),VLOOKUP($C125,装備品!$1:$998,COLUMN($O$1),FALSE)*VLOOKUP($D125,素材!$1:$1016,COLUMN($E$1),FALSE)/(LEN(VLOOKUP($D125,素材!$1:$1016,COLUMN($F$1),FALSE))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CL125">
        <f t="shared" si="7"/>
        <v>0</v>
      </c>
      <c r="CM125" s="22" t="str">
        <f t="shared" si="8"/>
        <v>体.webp</v>
      </c>
      <c r="CN125">
        <f>IFERROR(VLOOKUP($C125,装備品!$1:$998,COLUMN(V$1),FALSE)*VLOOKUP($D125,素材!$1:$1016,COLUMN(N$1),FALSE)+IF(CI125="",0,VLOOKUP($CI125,付与!$1:$1176,COLUMN($CK$1),FALSE)),"")</f>
        <v>0</v>
      </c>
      <c r="CO125" t="str">
        <f>VLOOKUP(D125,素材!$A:$O,COLUMN(素材!O$1),FALSE)</f>
        <v>野生動物から得られる丈夫な皮素材。皮装備の性能を向上させ、基本的な防護性能を備えています。</v>
      </c>
      <c r="CP125" t="str">
        <f>VLOOKUP(C125,装備品!$A:$AB,COLUMN(装備品!AB$1),FALSE)</f>
        <v>HP 物理 魔法 体幹 出血 疲労 Cr</v>
      </c>
      <c r="CR125" t="str">
        <f t="shared" si="9"/>
        <v>e_125</v>
      </c>
      <c r="CS125">
        <f t="shared" si="10"/>
        <v>0</v>
      </c>
    </row>
    <row r="126" spans="1:97" outlineLevel="1" x14ac:dyDescent="0.4">
      <c r="A126" t="str">
        <f t="shared" si="11"/>
        <v>獣皮の胴衣</v>
      </c>
      <c r="B126" t="str">
        <f>IFERROR(VLOOKUP($D126,素材!$1:$1016,COLUMN($B$1),FALSE)&amp;"・"&amp;VLOOKUP($C126,装備品!$1:$998,COLUMN(B$1),FALSE),"")</f>
        <v>ビーストレザー・ベスト</v>
      </c>
      <c r="C126" t="s">
        <v>206</v>
      </c>
      <c r="D126" s="24" t="s">
        <v>250</v>
      </c>
      <c r="E126" t="str">
        <f>IFERROR(VLOOKUP(C126,装備品!$1:$998,COLUMN(C$1),FALSE),"")</f>
        <v>体</v>
      </c>
      <c r="F126">
        <f>IFERROR(ROUNDDOWN((VLOOKUP($C126,装備品!$1:$998,COLUMN(D$1),FALSE)+IFERROR(VLOOKUP($CI126,付与!$1:$1167,COLUMN(F$1),FALSE),0))*VLOOKUP($D126,素材!$1:$1016,COLUMN(D$1),FALSE),0),"")</f>
        <v>0</v>
      </c>
      <c r="G126">
        <f>IFERROR(ROUNDDOWN((VLOOKUP($C126,装備品!$1:$998,COLUMN(E$1),FALSE)+IFERROR(VLOOKUP($CI126,付与!$1:$1167,COLUMN(G$1),FALSE),0))*VLOOKUP($D126,素材!$1:$1016,COLUMN($E$1),FALSE),0),"")</f>
        <v>0</v>
      </c>
      <c r="H126">
        <f>IFERROR(ROUNDDOWN((VLOOKUP($C126,装備品!$1:$998,COLUMN(F$1),FALSE)+IFERROR(VLOOKUP($CI126,付与!$1:$1167,COLUMN(H$1),FALSE),0))*VLOOKUP($D126,素材!$1:$1016,COLUMN($E$1),FALSE),0),"")</f>
        <v>0</v>
      </c>
      <c r="I126">
        <f>IFERROR(ROUNDDOWN((VLOOKUP($C126,装備品!$1:$998,COLUMN(G$1),FALSE)+IFERROR(VLOOKUP($CI126,付与!$1:$1167,COLUMN(I$1),FALSE),0))*VLOOKUP($D126,素材!$1:$1016,COLUMN($E$1),FALSE),0),"")</f>
        <v>0</v>
      </c>
      <c r="J126">
        <f>IFERROR(ROUNDDOWN((VLOOKUP($C126,装備品!$1:$998,COLUMN(H$1),FALSE)+IFERROR(VLOOKUP($CI126,付与!$1:$1167,COLUMN(J$1),FALSE),0))*VLOOKUP($D126,素材!$1:$1016,COLUMN($E$1),FALSE),0),"")</f>
        <v>0</v>
      </c>
      <c r="K126">
        <f>IFERROR(ROUNDDOWN((VLOOKUP($C126,装備品!$1:$998,COLUMN(I$1),FALSE)+IFERROR(VLOOKUP($CI126,付与!$1:$1167,COLUMN(K$1),FALSE),0))*VLOOKUP($D126,素材!$1:$1016,COLUMN($E$1),FALSE),0),"")</f>
        <v>0</v>
      </c>
      <c r="L126" t="str">
        <f>IFERROR(VLOOKUP($D126,素材!$1:$1016,COLUMN($F$1),FALSE),"")</f>
        <v>-</v>
      </c>
      <c r="M126" t="str">
        <f>IFERROR(VLOOKUP($C126,装備品!$1:$998,COLUMN(AA$1),FALSE)*VLOOKUP($D126,素材!$1:$1016,COLUMN($G$1),FALSE),"")</f>
        <v/>
      </c>
      <c r="N126">
        <f>IFERROR(VLOOKUP($C126,装備品!$1:$998,COLUMN(I$1),FALSE),"")</f>
        <v>0</v>
      </c>
      <c r="O126" s="23" t="str">
        <f>IFERROR((VLOOKUP($C126,装備品!$1:$998,COLUMN(K$1),FALSE)+VLOOKUP($D126,素材!$1:$1016,COLUMN(H$1),FALSE))*100+IFERROR(VLOOKUP($CI126,付与!$1:$1167,COLUMN(O$1),FALSE),0),"")</f>
        <v/>
      </c>
      <c r="P126" s="23" t="str">
        <f>IFERROR((VLOOKUP($C126,装備品!$1:$998,COLUMN(L$1),FALSE)+VLOOKUP($D126,素材!$1:$1016,COLUMN(I$1),FALSE))*100+IFERROR(VLOOKUP($CI126,付与!$1:$1167,COLUMN(P$1),FALSE),0),"")</f>
        <v/>
      </c>
      <c r="Q126">
        <f>IFERROR(ROUNDUP(VLOOKUP($C126,装備品!$1:$998,COLUMN(M$1),FALSE)*(VLOOKUP($D126,素材!$1:$1002,COLUMN(D$1),FALSE)/100),1),"")</f>
        <v>-3</v>
      </c>
      <c r="R126">
        <f>IFERROR(ROUNDUP(VLOOKUP($C126,装備品!$1:$998,COLUMN(N$1),FALSE)*(VLOOKUP($D126,素材!$1:$1002,COLUMN(D$1),FALSE)/100),1),"")</f>
        <v>0</v>
      </c>
      <c r="S126">
        <f>IFERROR(VLOOKUP($C126,装備品!$1:$998,COLUMN(P$1),FALSE),"")</f>
        <v>-15</v>
      </c>
      <c r="T126">
        <f>IFERROR(VLOOKUP($C126,装備品!$1:$998,COLUMN(Q$1),FALSE),"")</f>
        <v>0</v>
      </c>
      <c r="U126">
        <f>IFERROR(VLOOKUP($C126,装備品!$1:$998,COLUMN(R$1),FALSE),"")</f>
        <v>0</v>
      </c>
      <c r="V126">
        <f>IFERROR(VLOOKUP($C126,装備品!$1:$998,COLUMN(Q$1),FALSE),"")</f>
        <v>0</v>
      </c>
      <c r="W126">
        <f>IFERROR(VLOOKUP($C126,装備品!$1:$998,COLUMN(T$1),FALSE),"")</f>
        <v>0.5</v>
      </c>
      <c r="Y126">
        <f>IFERROR(VLOOKUP($C126,装備品!$1:$998,COLUMN(U$1),FALSE),"")</f>
        <v>0</v>
      </c>
      <c r="Z126">
        <f>IFERROR(ROUNDUP(VLOOKUP($C126,装備品!$1:$998,COLUMN(O$1),FALSE)*VLOOKUP($D126,素材!$1:$1016,COLUMN(E$1),FALSE),1),"")</f>
        <v>0</v>
      </c>
      <c r="AA126">
        <f>IF(ISNUMBER(SEARCH(SUBSTITUTE(AA$1,RIGHT(AA$1,2),""),VLOOKUP($D126,素材!$1:$1016,COLUMN($F$1),FALSE))),VLOOKUP($C126,装備品!$1:$998,COLUMN($O$1),FALSE)*VLOOKUP($D126,素材!$1:$1016,COLUMN($E$1),FALSE)/(LEN(VLOOKUP($D126,素材!$1:$1016,COLUMN($F$1),FALSE))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B126">
        <f>IF(ISNUMBER(SEARCH(SUBSTITUTE(AB$1,RIGHT(AB$1,2),""),VLOOKUP($D126,素材!$1:$1016,COLUMN($F$1),FALSE))),VLOOKUP($C126,装備品!$1:$998,COLUMN($O$1),FALSE)*VLOOKUP($D126,素材!$1:$1016,COLUMN($E$1),FALSE)/(LEN(VLOOKUP($D126,素材!$1:$1016,COLUMN($F$1),FALSE))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C126">
        <f>IF(ISNUMBER(SEARCH(SUBSTITUTE(AC$1,RIGHT(AC$1,2),""),VLOOKUP($D126,素材!$1:$1016,COLUMN($F$1),FALSE))),VLOOKUP($C126,装備品!$1:$998,COLUMN($O$1),FALSE)*VLOOKUP($D126,素材!$1:$1016,COLUMN($E$1),FALSE)/(LEN(VLOOKUP($D126,素材!$1:$1016,COLUMN($F$1),FALSE))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D126">
        <f>IF(ISNUMBER(SEARCH(SUBSTITUTE(AD$1,RIGHT(AD$1,2),""),VLOOKUP($D126,素材!$1:$1016,COLUMN($F$1),FALSE))),VLOOKUP($C126,装備品!$1:$998,COLUMN($O$1),FALSE)*VLOOKUP($D126,素材!$1:$1016,COLUMN($E$1),FALSE)/(LEN(VLOOKUP($D126,素材!$1:$1016,COLUMN($F$1),FALSE))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E126">
        <f>IF(ISNUMBER(SEARCH(SUBSTITUTE(AE$1,RIGHT(AE$1,2),""),VLOOKUP($D126,素材!$1:$1016,COLUMN($F$1),FALSE))),VLOOKUP($C126,装備品!$1:$998,COLUMN($O$1),FALSE)*VLOOKUP($D126,素材!$1:$1016,COLUMN($E$1),FALSE)/(LEN(VLOOKUP($D126,素材!$1:$1016,COLUMN($F$1),FALSE))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F126">
        <f>IF(ISNUMBER(SEARCH(SUBSTITUTE(AF$1,RIGHT(AF$1,2),""),VLOOKUP($D126,素材!$1:$1016,COLUMN($F$1),FALSE))),VLOOKUP($C126,装備品!$1:$998,COLUMN($O$1),FALSE)*VLOOKUP($D126,素材!$1:$1016,COLUMN($E$1),FALSE)/(LEN(VLOOKUP($D126,素材!$1:$1016,COLUMN($F$1),FALSE))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G126">
        <f>IF(ISNUMBER(SEARCH(SUBSTITUTE(AG$1,RIGHT(AG$1,2),""),VLOOKUP($D126,素材!$1:$1016,COLUMN($F$1),FALSE))),VLOOKUP($C126,装備品!$1:$998,COLUMN($O$1),FALSE)*VLOOKUP($D126,素材!$1:$1016,COLUMN($E$1),FALSE)/(LEN(VLOOKUP($D126,素材!$1:$1016,COLUMN($F$1),FALSE))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H126">
        <f>IF(ISNUMBER(SEARCH(SUBSTITUTE(AH$1,RIGHT(AH$1,2),""),VLOOKUP($D126,素材!$1:$1016,COLUMN($F$1),FALSE))),VLOOKUP($C126,装備品!$1:$998,COLUMN($O$1),FALSE)*VLOOKUP($D126,素材!$1:$1016,COLUMN($E$1),FALSE)/(LEN(VLOOKUP($D126,素材!$1:$1016,COLUMN($F$1),FALSE))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I126">
        <f>IF(ISNUMBER(SEARCH(SUBSTITUTE(AI$1,RIGHT(AI$1,2),""),VLOOKUP($D126,素材!$1:$1016,COLUMN($F$1),FALSE))),VLOOKUP($C126,装備品!$1:$998,COLUMN($O$1),FALSE)*VLOOKUP($D126,素材!$1:$1016,COLUMN($E$1),FALSE)/(LEN(VLOOKUP($D126,素材!$1:$1016,COLUMN($F$1),FALSE))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J126">
        <f>IF(ISNUMBER(SEARCH(SUBSTITUTE(AJ$1,RIGHT(AJ$1,2),""),VLOOKUP($D126,素材!$1:$1016,COLUMN($F$1),FALSE))),VLOOKUP($C126,装備品!$1:$998,COLUMN($O$1),FALSE)*VLOOKUP($D126,素材!$1:$1016,COLUMN($E$1),FALSE)/(LEN(VLOOKUP($D126,素材!$1:$1016,COLUMN($F$1),FALSE))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K126">
        <f>IF(ISNUMBER(SEARCH(SUBSTITUTE(AK$1,RIGHT(AK$1,2),""),VLOOKUP($D126,素材!$1:$1016,COLUMN($F$1),FALSE))),VLOOKUP($C126,装備品!$1:$998,COLUMN($O$1),FALSE)*VLOOKUP($D126,素材!$1:$1016,COLUMN($E$1),FALSE)/(LEN(VLOOKUP($D126,素材!$1:$1016,COLUMN($F$1),FALSE))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L126">
        <f>IF(ISNUMBER(SEARCH(SUBSTITUTE(AL$1,RIGHT(AL$1,2),""),VLOOKUP($D126,素材!$1:$1016,COLUMN($F$1),FALSE))),VLOOKUP($C126,装備品!$1:$998,COLUMN($O$1),FALSE)*VLOOKUP($D126,素材!$1:$1016,COLUMN($E$1),FALSE)/(LEN(VLOOKUP($D126,素材!$1:$1016,COLUMN($F$1),FALSE))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M126">
        <f>IF(ISNUMBER(SEARCH(SUBSTITUTE(AM$1,RIGHT(AM$1,2),""),VLOOKUP($D126,素材!$1:$1016,COLUMN($F$1),FALSE))),VLOOKUP($C126,装備品!$1:$998,COLUMN($O$1),FALSE)*VLOOKUP($D126,素材!$1:$1016,COLUMN($E$1),FALSE)/(LEN(VLOOKUP($D126,素材!$1:$1016,COLUMN($F$1),FALSE))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N126">
        <f>IF(ISNUMBER(SEARCH(SUBSTITUTE(AN$1,RIGHT(AN$1,2),""),VLOOKUP($D126,素材!$1:$1016,COLUMN($F$1),FALSE))),VLOOKUP($C126,装備品!$1:$998,COLUMN($O$1),FALSE)*VLOOKUP($D126,素材!$1:$1016,COLUMN($E$1),FALSE)/(LEN(VLOOKUP($D126,素材!$1:$1016,COLUMN($F$1),FALSE))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O126">
        <f>IF(ISNUMBER(SEARCH(SUBSTITUTE(AO$1,RIGHT(AO$1,2),""),VLOOKUP($D126,素材!$1:$1016,COLUMN($F$1),FALSE))),VLOOKUP($C126,装備品!$1:$998,COLUMN($O$1),FALSE)*VLOOKUP($D126,素材!$1:$1016,COLUMN($E$1),FALSE)/(LEN(VLOOKUP($D126,素材!$1:$1016,COLUMN($F$1),FALSE))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P126">
        <f>IF(ISNUMBER(SEARCH(SUBSTITUTE(AP$1,RIGHT(AP$1,2),""),VLOOKUP($D126,素材!$1:$1016,COLUMN($F$1),FALSE))),VLOOKUP($C126,装備品!$1:$998,COLUMN($O$1),FALSE)*VLOOKUP($D126,素材!$1:$1016,COLUMN($E$1),FALSE)/(LEN(VLOOKUP($D126,素材!$1:$1016,COLUMN($F$1),FALSE))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Q126">
        <f>IF(ISNUMBER(SEARCH(SUBSTITUTE(AQ$1,RIGHT(AQ$1,2),""),VLOOKUP($D126,素材!$1:$1016,COLUMN($F$1),FALSE))),VLOOKUP($C126,装備品!$1:$998,COLUMN($O$1),FALSE)*VLOOKUP($D126,素材!$1:$1016,COLUMN($E$1),FALSE)/(LEN(VLOOKUP($D126,素材!$1:$1016,COLUMN($F$1),FALSE))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R126">
        <f>IF(ISNUMBER(SEARCH(SUBSTITUTE(AR$1,RIGHT(AR$1,2),""),VLOOKUP($D126,素材!$1:$1016,COLUMN($F$1),FALSE))),VLOOKUP($C126,装備品!$1:$998,COLUMN($O$1),FALSE)*VLOOKUP($D126,素材!$1:$1016,COLUMN($E$1),FALSE)/(LEN(VLOOKUP($D126,素材!$1:$1016,COLUMN($F$1),FALSE))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S126">
        <f>IF(ISNUMBER(SEARCH(SUBSTITUTE(AS$1,RIGHT(AS$1,2),""),VLOOKUP($D126,素材!$1:$1016,COLUMN($F$1),FALSE))),VLOOKUP($C126,装備品!$1:$998,COLUMN($O$1),FALSE)*VLOOKUP($D126,素材!$1:$1016,COLUMN($E$1),FALSE)/(LEN(VLOOKUP($D126,素材!$1:$1016,COLUMN($F$1),FALSE))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T126">
        <f>IF(ISNUMBER(SEARCH(SUBSTITUTE(AT$1,RIGHT(AT$1,2),""),VLOOKUP($D126,素材!$1:$1016,COLUMN($F$1),FALSE))),VLOOKUP($C126,装備品!$1:$998,COLUMN($O$1),FALSE)*VLOOKUP($D126,素材!$1:$1016,COLUMN($E$1),FALSE)/(LEN(VLOOKUP($D126,素材!$1:$1016,COLUMN($F$1),FALSE))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U126">
        <f>IF(ISNUMBER(SEARCH(SUBSTITUTE(AU$1,RIGHT(AU$1,2),""),VLOOKUP($D126,素材!$1:$1016,COLUMN($F$1),FALSE))),VLOOKUP($C126,装備品!$1:$998,COLUMN($O$1),FALSE)*VLOOKUP($D126,素材!$1:$1016,COLUMN($E$1),FALSE)/(LEN(VLOOKUP($D126,素材!$1:$1016,COLUMN($F$1),FALSE))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V126">
        <f>IF(ISNUMBER(SEARCH(SUBSTITUTE(AV$1,RIGHT(AV$1,2),""),VLOOKUP($D126,素材!$1:$1016,COLUMN($F$1),FALSE))),VLOOKUP($C126,装備品!$1:$998,COLUMN($O$1),FALSE)*VLOOKUP($D126,素材!$1:$1016,COLUMN($E$1),FALSE)/(LEN(VLOOKUP($D126,素材!$1:$1016,COLUMN($F$1),FALSE))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W126">
        <f>IF(ISNUMBER(SEARCH(SUBSTITUTE(AW$1,RIGHT(AW$1,2),""),VLOOKUP($D126,素材!$1:$1016,COLUMN($F$1),FALSE))),VLOOKUP($C126,装備品!$1:$998,COLUMN($O$1),FALSE)*VLOOKUP($D126,素材!$1:$1016,COLUMN($E$1),FALSE)/(LEN(VLOOKUP($D126,素材!$1:$1016,COLUMN($F$1),FALSE))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X126">
        <f>IF(ISNUMBER(SEARCH(SUBSTITUTE(AX$1,RIGHT(AX$1,2),""),VLOOKUP($D126,素材!$1:$1016,COLUMN($F$1),FALSE))),VLOOKUP($C126,装備品!$1:$998,COLUMN($O$1),FALSE)*VLOOKUP($D126,素材!$1:$1016,COLUMN($E$1),FALSE)/(LEN(VLOOKUP($D126,素材!$1:$1016,COLUMN($F$1),FALSE))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Y126">
        <f>IF(ISNUMBER(SEARCH(SUBSTITUTE(AY$1,RIGHT(AY$1,2),""),VLOOKUP($D126,素材!$1:$1016,COLUMN($F$1),FALSE))),VLOOKUP($C126,装備品!$1:$998,COLUMN($O$1),FALSE)*VLOOKUP($D126,素材!$1:$1016,COLUMN($E$1),FALSE)/(LEN(VLOOKUP($D126,素材!$1:$1016,COLUMN($F$1),FALSE))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Z126">
        <f>IF(ISNUMBER(SEARCH(SUBSTITUTE(AZ$1,RIGHT(AZ$1,2),""),VLOOKUP($D126,素材!$1:$1016,COLUMN($F$1),FALSE))),VLOOKUP($C126,装備品!$1:$998,COLUMN($O$1),FALSE)*VLOOKUP($D126,素材!$1:$1016,COLUMN($E$1),FALSE)/(LEN(VLOOKUP($D126,素材!$1:$1016,COLUMN($F$1),FALSE))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BA126">
        <f>IF(ISNUMBER(SEARCH(SUBSTITUTE(BA$1,RIGHT(BA$1,2),""),VLOOKUP($D126,素材!$1:$1016,COLUMN($F$1),FALSE))),VLOOKUP($C126,装備品!$1:$998,COLUMN($O$1),FALSE)*VLOOKUP($D126,素材!$1:$1016,COLUMN($E$1),FALSE)/(LEN(VLOOKUP($D126,素材!$1:$1016,COLUMN($F$1),FALSE))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BB126">
        <f>IF(ISNUMBER(SEARCH(SUBSTITUTE(BB$1,RIGHT(BB$1,2),""),VLOOKUP($D126,素材!$1:$1016,COLUMN($F$1),FALSE))),VLOOKUP($C126,装備品!$1:$998,COLUMN($O$1),FALSE)*VLOOKUP($D126,素材!$1:$1016,COLUMN($E$1),FALSE)/(LEN(VLOOKUP($D126,素材!$1:$1016,COLUMN($F$1),FALSE))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BC126">
        <f>IF(ISNUMBER(SEARCH(SUBSTITUTE(BC$1,RIGHT(BC$1,2),""),VLOOKUP($D126,素材!$1:$1016,COLUMN($F$1),FALSE))),VLOOKUP($C126,装備品!$1:$998,COLUMN($O$1),FALSE)*VLOOKUP($D126,素材!$1:$1016,COLUMN($E$1),FALSE)/(LEN(VLOOKUP($D126,素材!$1:$1016,COLUMN($F$1),FALSE))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BD126">
        <f>IF(ISNUMBER(SEARCH(SUBSTITUTE(BD$1,RIGHT(BD$1,2),""),VLOOKUP($D126,素材!$1:$1016,COLUMN($F$1),FALSE))),VLOOKUP($C126,装備品!$1:$998,COLUMN($O$1),FALSE)*VLOOKUP($D126,素材!$1:$1016,COLUMN($E$1),FALSE)/(LEN(VLOOKUP($D126,素材!$1:$1016,COLUMN($F$1),FALSE))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BE126">
        <f>IF(ISNUMBER(SEARCH(SUBSTITUTE(BE$1,RIGHT(BE$1,2),""),VLOOKUP($D126,素材!$1:$1016,COLUMN($F$1),FALSE))),VLOOKUP($C126,装備品!$1:$998,COLUMN($O$1),FALSE)*VLOOKUP($D126,素材!$1:$1016,COLUMN($E$1),FALSE)/(LEN(VLOOKUP($D126,素材!$1:$1016,COLUMN($F$1),FALSE))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CL126">
        <f t="shared" si="7"/>
        <v>0</v>
      </c>
      <c r="CM126" s="22" t="str">
        <f t="shared" si="8"/>
        <v>体.webp</v>
      </c>
      <c r="CN126">
        <f>IFERROR(VLOOKUP($C126,装備品!$1:$998,COLUMN(V$1),FALSE)*VLOOKUP($D126,素材!$1:$1016,COLUMN(N$1),FALSE)+IF(CI126="",0,VLOOKUP($CI126,付与!$1:$1176,COLUMN($CK$1),FALSE)),"")</f>
        <v>0</v>
      </c>
      <c r="CO126" t="str">
        <f>VLOOKUP(D126,素材!$A:$O,COLUMN(素材!O$1),FALSE)</f>
        <v>野生動物から得られる丈夫な皮素材。皮装備の性能を向上させ、基本的な防護性能を備えています。</v>
      </c>
      <c r="CP126" t="str">
        <f>VLOOKUP(C126,装備品!$A:$AB,COLUMN(装備品!AB$1),FALSE)</f>
        <v>HP 物理 魔法 体幹 出血 疲労 Cr</v>
      </c>
      <c r="CR126" t="str">
        <f t="shared" si="9"/>
        <v>e_126</v>
      </c>
      <c r="CS126">
        <f t="shared" si="10"/>
        <v>0</v>
      </c>
    </row>
    <row r="127" spans="1:97" outlineLevel="1" x14ac:dyDescent="0.4">
      <c r="A127" t="str">
        <f>D127&amp;"の"&amp;C127</f>
        <v>獣皮の靴</v>
      </c>
      <c r="B127" t="str">
        <f>IFERROR(VLOOKUP($D127,素材!$1:$1016,COLUMN($B$1),FALSE)&amp;"・"&amp;VLOOKUP($C127,装備品!$1:$998,COLUMN(B$1),FALSE),"")</f>
        <v>ビーストレザー・ブーツ</v>
      </c>
      <c r="C127" t="s">
        <v>1280</v>
      </c>
      <c r="D127" s="24" t="s">
        <v>250</v>
      </c>
      <c r="E127" t="str">
        <f>IFERROR(VLOOKUP(C127,装備品!$1:$998,COLUMN(C$1),FALSE),"")</f>
        <v>足</v>
      </c>
      <c r="F127">
        <f>IFERROR(ROUNDDOWN((VLOOKUP($C127,装備品!$1:$998,COLUMN(D$1),FALSE)+IFERROR(VLOOKUP($CI127,付与!$1:$1167,COLUMN(F$1),FALSE),0))*VLOOKUP($D127,素材!$1:$1016,COLUMN(D$1),FALSE),0),"")</f>
        <v>0</v>
      </c>
      <c r="G127">
        <f>IFERROR(ROUNDDOWN((VLOOKUP($C127,装備品!$1:$998,COLUMN(E$1),FALSE)+IFERROR(VLOOKUP($CI127,付与!$1:$1167,COLUMN(G$1),FALSE),0))*VLOOKUP($D127,素材!$1:$1016,COLUMN($E$1),FALSE),0),"")</f>
        <v>0</v>
      </c>
      <c r="H127">
        <f>IFERROR(ROUNDDOWN((VLOOKUP($C127,装備品!$1:$998,COLUMN(F$1),FALSE)+IFERROR(VLOOKUP($CI127,付与!$1:$1167,COLUMN(H$1),FALSE),0))*VLOOKUP($D127,素材!$1:$1016,COLUMN($E$1),FALSE),0),"")</f>
        <v>0</v>
      </c>
      <c r="I127">
        <f>IFERROR(ROUNDDOWN((VLOOKUP($C127,装備品!$1:$998,COLUMN(G$1),FALSE)+IFERROR(VLOOKUP($CI127,付与!$1:$1167,COLUMN(I$1),FALSE),0))*VLOOKUP($D127,素材!$1:$1016,COLUMN($E$1),FALSE),0),"")</f>
        <v>15</v>
      </c>
      <c r="J127">
        <f>IFERROR(ROUNDDOWN((VLOOKUP($C127,装備品!$1:$998,COLUMN(H$1),FALSE)+IFERROR(VLOOKUP($CI127,付与!$1:$1167,COLUMN(J$1),FALSE),0))*VLOOKUP($D127,素材!$1:$1016,COLUMN($E$1),FALSE),0),"")</f>
        <v>0</v>
      </c>
      <c r="K127">
        <f>IFERROR(ROUNDDOWN((VLOOKUP($C127,装備品!$1:$998,COLUMN(I$1),FALSE)+IFERROR(VLOOKUP($CI127,付与!$1:$1167,COLUMN(K$1),FALSE),0))*VLOOKUP($D127,素材!$1:$1016,COLUMN($E$1),FALSE),0),"")</f>
        <v>0</v>
      </c>
      <c r="L127" t="str">
        <f>IFERROR(VLOOKUP($D127,素材!$1:$1016,COLUMN($F$1),FALSE),"")</f>
        <v>-</v>
      </c>
      <c r="M127" t="str">
        <f>IFERROR(VLOOKUP($C127,装備品!$1:$998,COLUMN(AA$1),FALSE)*VLOOKUP($D127,素材!$1:$1016,COLUMN($G$1),FALSE),"")</f>
        <v/>
      </c>
      <c r="N127">
        <f>IFERROR(VLOOKUP($C127,装備品!$1:$998,COLUMN(I$1),FALSE),"")</f>
        <v>0</v>
      </c>
      <c r="O127" s="23" t="str">
        <f>IFERROR((VLOOKUP($C127,装備品!$1:$998,COLUMN(K$1),FALSE)+VLOOKUP($D127,素材!$1:$1016,COLUMN(H$1),FALSE))*100+IFERROR(VLOOKUP($CI127,付与!$1:$1167,COLUMN(O$1),FALSE),0),"")</f>
        <v/>
      </c>
      <c r="P127" s="23" t="str">
        <f>IFERROR((VLOOKUP($C127,装備品!$1:$998,COLUMN(L$1),FALSE)+VLOOKUP($D127,素材!$1:$1016,COLUMN(I$1),FALSE))*100+IFERROR(VLOOKUP($CI127,付与!$1:$1167,COLUMN(P$1),FALSE),0),"")</f>
        <v/>
      </c>
      <c r="Q127">
        <f>IFERROR(ROUNDUP(VLOOKUP($C127,装備品!$1:$998,COLUMN(M$1),FALSE)*(VLOOKUP($D127,素材!$1:$1002,COLUMN(D$1),FALSE)/100),1),"")</f>
        <v>0</v>
      </c>
      <c r="R127">
        <f>IFERROR(ROUNDUP(VLOOKUP($C127,装備品!$1:$998,COLUMN(N$1),FALSE)*(VLOOKUP($D127,素材!$1:$1002,COLUMN(D$1),FALSE)/100),1),"")</f>
        <v>0</v>
      </c>
      <c r="S127">
        <f>IFERROR(VLOOKUP($C127,装備品!$1:$998,COLUMN(P$1),FALSE),"")</f>
        <v>0</v>
      </c>
      <c r="T127">
        <f>IFERROR(VLOOKUP($C127,装備品!$1:$998,COLUMN(Q$1),FALSE),"")</f>
        <v>0</v>
      </c>
      <c r="U127">
        <f>IFERROR(VLOOKUP($C127,装備品!$1:$998,COLUMN(R$1),FALSE),"")</f>
        <v>0</v>
      </c>
      <c r="V127">
        <f>IFERROR(VLOOKUP($C127,装備品!$1:$998,COLUMN(Q$1),FALSE),"")</f>
        <v>0</v>
      </c>
      <c r="W127">
        <f>IFERROR(VLOOKUP($C127,装備品!$1:$998,COLUMN(T$1),FALSE),"")</f>
        <v>0.15</v>
      </c>
      <c r="Y127">
        <f>IFERROR(VLOOKUP($C127,装備品!$1:$998,COLUMN(U$1),FALSE),"")</f>
        <v>0</v>
      </c>
      <c r="Z127">
        <f>IFERROR(ROUNDUP(VLOOKUP($C127,装備品!$1:$998,COLUMN(O$1),FALSE)*VLOOKUP($D127,素材!$1:$1016,COLUMN(E$1),FALSE),1),"")</f>
        <v>0</v>
      </c>
      <c r="AA127">
        <f>IF(ISNUMBER(SEARCH(SUBSTITUTE(AA$1,RIGHT(AA$1,2),""),VLOOKUP($D127,素材!$1:$1016,COLUMN($F$1),FALSE))),VLOOKUP($C127,装備品!$1:$998,COLUMN($O$1),FALSE)*VLOOKUP($D127,素材!$1:$1016,COLUMN($E$1),FALSE)/(LEN(VLOOKUP($D127,素材!$1:$1016,COLUMN($F$1),FALSE))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B127">
        <f>IF(ISNUMBER(SEARCH(SUBSTITUTE(AB$1,RIGHT(AB$1,2),""),VLOOKUP($D127,素材!$1:$1016,COLUMN($F$1),FALSE))),VLOOKUP($C127,装備品!$1:$998,COLUMN($O$1),FALSE)*VLOOKUP($D127,素材!$1:$1016,COLUMN($E$1),FALSE)/(LEN(VLOOKUP($D127,素材!$1:$1016,COLUMN($F$1),FALSE))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C127">
        <f>IF(ISNUMBER(SEARCH(SUBSTITUTE(AC$1,RIGHT(AC$1,2),""),VLOOKUP($D127,素材!$1:$1016,COLUMN($F$1),FALSE))),VLOOKUP($C127,装備品!$1:$998,COLUMN($O$1),FALSE)*VLOOKUP($D127,素材!$1:$1016,COLUMN($E$1),FALSE)/(LEN(VLOOKUP($D127,素材!$1:$1016,COLUMN($F$1),FALSE))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D127">
        <f>IF(ISNUMBER(SEARCH(SUBSTITUTE(AD$1,RIGHT(AD$1,2),""),VLOOKUP($D127,素材!$1:$1016,COLUMN($F$1),FALSE))),VLOOKUP($C127,装備品!$1:$998,COLUMN($O$1),FALSE)*VLOOKUP($D127,素材!$1:$1016,COLUMN($E$1),FALSE)/(LEN(VLOOKUP($D127,素材!$1:$1016,COLUMN($F$1),FALSE))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E127">
        <f>IF(ISNUMBER(SEARCH(SUBSTITUTE(AE$1,RIGHT(AE$1,2),""),VLOOKUP($D127,素材!$1:$1016,COLUMN($F$1),FALSE))),VLOOKUP($C127,装備品!$1:$998,COLUMN($O$1),FALSE)*VLOOKUP($D127,素材!$1:$1016,COLUMN($E$1),FALSE)/(LEN(VLOOKUP($D127,素材!$1:$1016,COLUMN($F$1),FALSE))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F127">
        <f>IF(ISNUMBER(SEARCH(SUBSTITUTE(AF$1,RIGHT(AF$1,2),""),VLOOKUP($D127,素材!$1:$1016,COLUMN($F$1),FALSE))),VLOOKUP($C127,装備品!$1:$998,COLUMN($O$1),FALSE)*VLOOKUP($D127,素材!$1:$1016,COLUMN($E$1),FALSE)/(LEN(VLOOKUP($D127,素材!$1:$1016,COLUMN($F$1),FALSE))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G127">
        <f>IF(ISNUMBER(SEARCH(SUBSTITUTE(AG$1,RIGHT(AG$1,2),""),VLOOKUP($D127,素材!$1:$1016,COLUMN($F$1),FALSE))),VLOOKUP($C127,装備品!$1:$998,COLUMN($O$1),FALSE)*VLOOKUP($D127,素材!$1:$1016,COLUMN($E$1),FALSE)/(LEN(VLOOKUP($D127,素材!$1:$1016,COLUMN($F$1),FALSE))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H127">
        <f>IF(ISNUMBER(SEARCH(SUBSTITUTE(AH$1,RIGHT(AH$1,2),""),VLOOKUP($D127,素材!$1:$1016,COLUMN($F$1),FALSE))),VLOOKUP($C127,装備品!$1:$998,COLUMN($O$1),FALSE)*VLOOKUP($D127,素材!$1:$1016,COLUMN($E$1),FALSE)/(LEN(VLOOKUP($D127,素材!$1:$1016,COLUMN($F$1),FALSE))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I127">
        <f>IF(ISNUMBER(SEARCH(SUBSTITUTE(AI$1,RIGHT(AI$1,2),""),VLOOKUP($D127,素材!$1:$1016,COLUMN($F$1),FALSE))),VLOOKUP($C127,装備品!$1:$998,COLUMN($O$1),FALSE)*VLOOKUP($D127,素材!$1:$1016,COLUMN($E$1),FALSE)/(LEN(VLOOKUP($D127,素材!$1:$1016,COLUMN($F$1),FALSE))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J127">
        <f>IF(ISNUMBER(SEARCH(SUBSTITUTE(AJ$1,RIGHT(AJ$1,2),""),VLOOKUP($D127,素材!$1:$1016,COLUMN($F$1),FALSE))),VLOOKUP($C127,装備品!$1:$998,COLUMN($O$1),FALSE)*VLOOKUP($D127,素材!$1:$1016,COLUMN($E$1),FALSE)/(LEN(VLOOKUP($D127,素材!$1:$1016,COLUMN($F$1),FALSE))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K127">
        <f>IF(ISNUMBER(SEARCH(SUBSTITUTE(AK$1,RIGHT(AK$1,2),""),VLOOKUP($D127,素材!$1:$1016,COLUMN($F$1),FALSE))),VLOOKUP($C127,装備品!$1:$998,COLUMN($O$1),FALSE)*VLOOKUP($D127,素材!$1:$1016,COLUMN($E$1),FALSE)/(LEN(VLOOKUP($D127,素材!$1:$1016,COLUMN($F$1),FALSE))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L127">
        <f>IF(ISNUMBER(SEARCH(SUBSTITUTE(AL$1,RIGHT(AL$1,2),""),VLOOKUP($D127,素材!$1:$1016,COLUMN($F$1),FALSE))),VLOOKUP($C127,装備品!$1:$998,COLUMN($O$1),FALSE)*VLOOKUP($D127,素材!$1:$1016,COLUMN($E$1),FALSE)/(LEN(VLOOKUP($D127,素材!$1:$1016,COLUMN($F$1),FALSE))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M127">
        <f>IF(ISNUMBER(SEARCH(SUBSTITUTE(AM$1,RIGHT(AM$1,2),""),VLOOKUP($D127,素材!$1:$1016,COLUMN($F$1),FALSE))),VLOOKUP($C127,装備品!$1:$998,COLUMN($O$1),FALSE)*VLOOKUP($D127,素材!$1:$1016,COLUMN($E$1),FALSE)/(LEN(VLOOKUP($D127,素材!$1:$1016,COLUMN($F$1),FALSE))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N127">
        <f>IF(ISNUMBER(SEARCH(SUBSTITUTE(AN$1,RIGHT(AN$1,2),""),VLOOKUP($D127,素材!$1:$1016,COLUMN($F$1),FALSE))),VLOOKUP($C127,装備品!$1:$998,COLUMN($O$1),FALSE)*VLOOKUP($D127,素材!$1:$1016,COLUMN($E$1),FALSE)/(LEN(VLOOKUP($D127,素材!$1:$1016,COLUMN($F$1),FALSE))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O127">
        <f>IF(ISNUMBER(SEARCH(SUBSTITUTE(AO$1,RIGHT(AO$1,2),""),VLOOKUP($D127,素材!$1:$1016,COLUMN($F$1),FALSE))),VLOOKUP($C127,装備品!$1:$998,COLUMN($O$1),FALSE)*VLOOKUP($D127,素材!$1:$1016,COLUMN($E$1),FALSE)/(LEN(VLOOKUP($D127,素材!$1:$1016,COLUMN($F$1),FALSE))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P127">
        <f>IF(ISNUMBER(SEARCH(SUBSTITUTE(AP$1,RIGHT(AP$1,2),""),VLOOKUP($D127,素材!$1:$1016,COLUMN($F$1),FALSE))),VLOOKUP($C127,装備品!$1:$998,COLUMN($O$1),FALSE)*VLOOKUP($D127,素材!$1:$1016,COLUMN($E$1),FALSE)/(LEN(VLOOKUP($D127,素材!$1:$1016,COLUMN($F$1),FALSE))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Q127">
        <f>IF(ISNUMBER(SEARCH(SUBSTITUTE(AQ$1,RIGHT(AQ$1,2),""),VLOOKUP($D127,素材!$1:$1016,COLUMN($F$1),FALSE))),VLOOKUP($C127,装備品!$1:$998,COLUMN($O$1),FALSE)*VLOOKUP($D127,素材!$1:$1016,COLUMN($E$1),FALSE)/(LEN(VLOOKUP($D127,素材!$1:$1016,COLUMN($F$1),FALSE))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R127">
        <f>IF(ISNUMBER(SEARCH(SUBSTITUTE(AR$1,RIGHT(AR$1,2),""),VLOOKUP($D127,素材!$1:$1016,COLUMN($F$1),FALSE))),VLOOKUP($C127,装備品!$1:$998,COLUMN($O$1),FALSE)*VLOOKUP($D127,素材!$1:$1016,COLUMN($E$1),FALSE)/(LEN(VLOOKUP($D127,素材!$1:$1016,COLUMN($F$1),FALSE))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S127">
        <f>IF(ISNUMBER(SEARCH(SUBSTITUTE(AS$1,RIGHT(AS$1,2),""),VLOOKUP($D127,素材!$1:$1016,COLUMN($F$1),FALSE))),VLOOKUP($C127,装備品!$1:$998,COLUMN($O$1),FALSE)*VLOOKUP($D127,素材!$1:$1016,COLUMN($E$1),FALSE)/(LEN(VLOOKUP($D127,素材!$1:$1016,COLUMN($F$1),FALSE))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T127">
        <f>IF(ISNUMBER(SEARCH(SUBSTITUTE(AT$1,RIGHT(AT$1,2),""),VLOOKUP($D127,素材!$1:$1016,COLUMN($F$1),FALSE))),VLOOKUP($C127,装備品!$1:$998,COLUMN($O$1),FALSE)*VLOOKUP($D127,素材!$1:$1016,COLUMN($E$1),FALSE)/(LEN(VLOOKUP($D127,素材!$1:$1016,COLUMN($F$1),FALSE))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U127">
        <f>IF(ISNUMBER(SEARCH(SUBSTITUTE(AU$1,RIGHT(AU$1,2),""),VLOOKUP($D127,素材!$1:$1016,COLUMN($F$1),FALSE))),VLOOKUP($C127,装備品!$1:$998,COLUMN($O$1),FALSE)*VLOOKUP($D127,素材!$1:$1016,COLUMN($E$1),FALSE)/(LEN(VLOOKUP($D127,素材!$1:$1016,COLUMN($F$1),FALSE))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V127">
        <f>IF(ISNUMBER(SEARCH(SUBSTITUTE(AV$1,RIGHT(AV$1,2),""),VLOOKUP($D127,素材!$1:$1016,COLUMN($F$1),FALSE))),VLOOKUP($C127,装備品!$1:$998,COLUMN($O$1),FALSE)*VLOOKUP($D127,素材!$1:$1016,COLUMN($E$1),FALSE)/(LEN(VLOOKUP($D127,素材!$1:$1016,COLUMN($F$1),FALSE))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W127">
        <f>IF(ISNUMBER(SEARCH(SUBSTITUTE(AW$1,RIGHT(AW$1,2),""),VLOOKUP($D127,素材!$1:$1016,COLUMN($F$1),FALSE))),VLOOKUP($C127,装備品!$1:$998,COLUMN($O$1),FALSE)*VLOOKUP($D127,素材!$1:$1016,COLUMN($E$1),FALSE)/(LEN(VLOOKUP($D127,素材!$1:$1016,COLUMN($F$1),FALSE))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X127">
        <f>IF(ISNUMBER(SEARCH(SUBSTITUTE(AX$1,RIGHT(AX$1,2),""),VLOOKUP($D127,素材!$1:$1016,COLUMN($F$1),FALSE))),VLOOKUP($C127,装備品!$1:$998,COLUMN($O$1),FALSE)*VLOOKUP($D127,素材!$1:$1016,COLUMN($E$1),FALSE)/(LEN(VLOOKUP($D127,素材!$1:$1016,COLUMN($F$1),FALSE))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Y127">
        <f>IF(ISNUMBER(SEARCH(SUBSTITUTE(AY$1,RIGHT(AY$1,2),""),VLOOKUP($D127,素材!$1:$1016,COLUMN($F$1),FALSE))),VLOOKUP($C127,装備品!$1:$998,COLUMN($O$1),FALSE)*VLOOKUP($D127,素材!$1:$1016,COLUMN($E$1),FALSE)/(LEN(VLOOKUP($D127,素材!$1:$1016,COLUMN($F$1),FALSE))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Z127">
        <f>IF(ISNUMBER(SEARCH(SUBSTITUTE(AZ$1,RIGHT(AZ$1,2),""),VLOOKUP($D127,素材!$1:$1016,COLUMN($F$1),FALSE))),VLOOKUP($C127,装備品!$1:$998,COLUMN($O$1),FALSE)*VLOOKUP($D127,素材!$1:$1016,COLUMN($E$1),FALSE)/(LEN(VLOOKUP($D127,素材!$1:$1016,COLUMN($F$1),FALSE))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BA127">
        <f>IF(ISNUMBER(SEARCH(SUBSTITUTE(BA$1,RIGHT(BA$1,2),""),VLOOKUP($D127,素材!$1:$1016,COLUMN($F$1),FALSE))),VLOOKUP($C127,装備品!$1:$998,COLUMN($O$1),FALSE)*VLOOKUP($D127,素材!$1:$1016,COLUMN($E$1),FALSE)/(LEN(VLOOKUP($D127,素材!$1:$1016,COLUMN($F$1),FALSE))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BB127">
        <f>IF(ISNUMBER(SEARCH(SUBSTITUTE(BB$1,RIGHT(BB$1,2),""),VLOOKUP($D127,素材!$1:$1016,COLUMN($F$1),FALSE))),VLOOKUP($C127,装備品!$1:$998,COLUMN($O$1),FALSE)*VLOOKUP($D127,素材!$1:$1016,COLUMN($E$1),FALSE)/(LEN(VLOOKUP($D127,素材!$1:$1016,COLUMN($F$1),FALSE))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BC127">
        <f>IF(ISNUMBER(SEARCH(SUBSTITUTE(BC$1,RIGHT(BC$1,2),""),VLOOKUP($D127,素材!$1:$1016,COLUMN($F$1),FALSE))),VLOOKUP($C127,装備品!$1:$998,COLUMN($O$1),FALSE)*VLOOKUP($D127,素材!$1:$1016,COLUMN($E$1),FALSE)/(LEN(VLOOKUP($D127,素材!$1:$1016,COLUMN($F$1),FALSE))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BD127">
        <f>IF(ISNUMBER(SEARCH(SUBSTITUTE(BD$1,RIGHT(BD$1,2),""),VLOOKUP($D127,素材!$1:$1016,COLUMN($F$1),FALSE))),VLOOKUP($C127,装備品!$1:$998,COLUMN($O$1),FALSE)*VLOOKUP($D127,素材!$1:$1016,COLUMN($E$1),FALSE)/(LEN(VLOOKUP($D127,素材!$1:$1016,COLUMN($F$1),FALSE))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BE127">
        <f>IF(ISNUMBER(SEARCH(SUBSTITUTE(BE$1,RIGHT(BE$1,2),""),VLOOKUP($D127,素材!$1:$1016,COLUMN($F$1),FALSE))),VLOOKUP($C127,装備品!$1:$998,COLUMN($O$1),FALSE)*VLOOKUP($D127,素材!$1:$1016,COLUMN($E$1),FALSE)/(LEN(VLOOKUP($D127,素材!$1:$1016,COLUMN($F$1),FALSE))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CL127">
        <f t="shared" si="7"/>
        <v>15</v>
      </c>
      <c r="CM127" s="22" t="str">
        <f t="shared" si="8"/>
        <v>足.webp</v>
      </c>
      <c r="CN127">
        <f>IFERROR(VLOOKUP($C127,装備品!$1:$998,COLUMN(V$1),FALSE)*VLOOKUP($D127,素材!$1:$1016,COLUMN(N$1),FALSE)+IF(CI127="",0,VLOOKUP($CI127,付与!$1:$1176,COLUMN($CK$1),FALSE)),"")</f>
        <v>0</v>
      </c>
      <c r="CO127" t="str">
        <f>VLOOKUP(D127,素材!$A:$O,COLUMN(素材!O$1),FALSE)</f>
        <v>野生動物から得られる丈夫な皮素材。皮装備の性能を向上させ、基本的な防護性能を備えています。</v>
      </c>
      <c r="CP127" t="str">
        <f>VLOOKUP(C127,装備品!$A:$AB,COLUMN(装備品!AB$1),FALSE)</f>
        <v>速度 隠密 軽業 体幹</v>
      </c>
      <c r="CR127" t="str">
        <f t="shared" si="9"/>
        <v>e_127</v>
      </c>
      <c r="CS127">
        <f t="shared" si="10"/>
        <v>0</v>
      </c>
    </row>
    <row r="128" spans="1:97" outlineLevel="1" x14ac:dyDescent="0.4">
      <c r="A128" t="str">
        <f t="shared" ref="A128" si="17">D128&amp;"の"&amp;C128</f>
        <v>軽皮の帽子</v>
      </c>
      <c r="B128" t="str">
        <f>IFERROR(VLOOKUP($D128,素材!$1:$1016,COLUMN($B$1),FALSE)&amp;"・"&amp;VLOOKUP($C128,装備品!$1:$998,COLUMN(B$1),FALSE),"")</f>
        <v>ライトレザー・ハット</v>
      </c>
      <c r="C128" t="s">
        <v>1182</v>
      </c>
      <c r="D128" s="24" t="s">
        <v>249</v>
      </c>
      <c r="E128" t="str">
        <f>IFERROR(VLOOKUP(C128,装備品!$1:$998,COLUMN(C$1),FALSE),"")</f>
        <v>頭</v>
      </c>
      <c r="F128">
        <f>IFERROR(ROUNDDOWN((VLOOKUP($C128,装備品!$1:$998,COLUMN(D$1),FALSE)+IFERROR(VLOOKUP($CI128,付与!$1:$1167,COLUMN(F$1),FALSE),0))*VLOOKUP($D128,素材!$1:$1016,COLUMN(D$1),FALSE),0),"")</f>
        <v>0</v>
      </c>
      <c r="G128">
        <f>IFERROR(ROUNDDOWN((VLOOKUP($C128,装備品!$1:$998,COLUMN(E$1),FALSE)+IFERROR(VLOOKUP($CI128,付与!$1:$1167,COLUMN(G$1),FALSE),0))*VLOOKUP($D128,素材!$1:$1016,COLUMN($E$1),FALSE),0),"")</f>
        <v>0</v>
      </c>
      <c r="H128">
        <f>IFERROR(ROUNDDOWN((VLOOKUP($C128,装備品!$1:$998,COLUMN(F$1),FALSE)+IFERROR(VLOOKUP($CI128,付与!$1:$1167,COLUMN(H$1),FALSE),0))*VLOOKUP($D128,素材!$1:$1016,COLUMN($E$1),FALSE),0),"")</f>
        <v>0</v>
      </c>
      <c r="I128">
        <f>IFERROR(ROUNDDOWN((VLOOKUP($C128,装備品!$1:$998,COLUMN(G$1),FALSE)+IFERROR(VLOOKUP($CI128,付与!$1:$1167,COLUMN(I$1),FALSE),0))*VLOOKUP($D128,素材!$1:$1016,COLUMN($E$1),FALSE),0),"")</f>
        <v>0</v>
      </c>
      <c r="J128">
        <f>IFERROR(ROUNDDOWN((VLOOKUP($C128,装備品!$1:$998,COLUMN(H$1),FALSE)+IFERROR(VLOOKUP($CI128,付与!$1:$1167,COLUMN(J$1),FALSE),0))*VLOOKUP($D128,素材!$1:$1016,COLUMN($E$1),FALSE),0),"")</f>
        <v>0</v>
      </c>
      <c r="K128">
        <f>IFERROR(ROUNDDOWN((VLOOKUP($C128,装備品!$1:$998,COLUMN(I$1),FALSE)+IFERROR(VLOOKUP($CI128,付与!$1:$1167,COLUMN(K$1),FALSE),0))*VLOOKUP($D128,素材!$1:$1016,COLUMN($E$1),FALSE),0),"")</f>
        <v>0</v>
      </c>
      <c r="L128" t="str">
        <f>IFERROR(VLOOKUP($D128,素材!$1:$1016,COLUMN($F$1),FALSE),"")</f>
        <v>-</v>
      </c>
      <c r="M128" t="str">
        <f>IFERROR(VLOOKUP($C128,装備品!$1:$998,COLUMN(AA$1),FALSE)*VLOOKUP($D128,素材!$1:$1016,COLUMN($G$1),FALSE),"")</f>
        <v/>
      </c>
      <c r="N128">
        <f>IFERROR(VLOOKUP($C128,装備品!$1:$998,COLUMN(I$1),FALSE),"")</f>
        <v>0</v>
      </c>
      <c r="O128" s="23" t="str">
        <f>IFERROR((VLOOKUP($C128,装備品!$1:$998,COLUMN(K$1),FALSE)+VLOOKUP($D128,素材!$1:$1016,COLUMN(H$1),FALSE))*100+IFERROR(VLOOKUP($CI128,付与!$1:$1167,COLUMN(O$1),FALSE),0),"")</f>
        <v/>
      </c>
      <c r="P128" s="23" t="str">
        <f>IFERROR((VLOOKUP($C128,装備品!$1:$998,COLUMN(L$1),FALSE)+VLOOKUP($D128,素材!$1:$1016,COLUMN(I$1),FALSE))*100+IFERROR(VLOOKUP($CI128,付与!$1:$1167,COLUMN(P$1),FALSE),0),"")</f>
        <v/>
      </c>
      <c r="Q128">
        <f>IFERROR(ROUNDUP(VLOOKUP($C128,装備品!$1:$998,COLUMN(M$1),FALSE)*(VLOOKUP($D128,素材!$1:$1002,COLUMN(D$1),FALSE)/100),1),"")</f>
        <v>0</v>
      </c>
      <c r="R128">
        <f>IFERROR(ROUNDUP(VLOOKUP($C128,装備品!$1:$998,COLUMN(N$1),FALSE)*(VLOOKUP($D128,素材!$1:$1002,COLUMN(D$1),FALSE)/100),1),"")</f>
        <v>0</v>
      </c>
      <c r="S128">
        <f>IFERROR(VLOOKUP($C128,装備品!$1:$998,COLUMN(P$1),FALSE),"")</f>
        <v>0</v>
      </c>
      <c r="T128">
        <f>IFERROR(VLOOKUP($C128,装備品!$1:$998,COLUMN(Q$1),FALSE),"")</f>
        <v>0</v>
      </c>
      <c r="U128">
        <f>IFERROR(VLOOKUP($C128,装備品!$1:$998,COLUMN(R$1),FALSE),"")</f>
        <v>0</v>
      </c>
      <c r="V128">
        <f>IFERROR(VLOOKUP($C128,装備品!$1:$998,COLUMN(Q$1),FALSE),"")</f>
        <v>0</v>
      </c>
      <c r="W128">
        <f>IFERROR(VLOOKUP($C128,装備品!$1:$998,COLUMN(T$1),FALSE),"")</f>
        <v>0.1</v>
      </c>
      <c r="Y128">
        <f>IFERROR(VLOOKUP($C128,装備品!$1:$998,COLUMN(U$1),FALSE),"")</f>
        <v>0</v>
      </c>
      <c r="Z128">
        <f>IFERROR(ROUNDUP(VLOOKUP($C128,装備品!$1:$998,COLUMN(O$1),FALSE)*VLOOKUP($D128,素材!$1:$1016,COLUMN(E$1),FALSE),1),"")</f>
        <v>0</v>
      </c>
      <c r="AA128">
        <f>IF(ISNUMBER(SEARCH(SUBSTITUTE(AA$1,RIGHT(AA$1,2),""),VLOOKUP($D128,素材!$1:$1016,COLUMN($F$1),FALSE))),VLOOKUP($C128,装備品!$1:$998,COLUMN($O$1),FALSE)*VLOOKUP($D128,素材!$1:$1016,COLUMN($E$1),FALSE)/(LEN(VLOOKUP($D128,素材!$1:$1016,COLUMN($F$1),FALSE))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B128">
        <f>IF(ISNUMBER(SEARCH(SUBSTITUTE(AB$1,RIGHT(AB$1,2),""),VLOOKUP($D128,素材!$1:$1016,COLUMN($F$1),FALSE))),VLOOKUP($C128,装備品!$1:$998,COLUMN($O$1),FALSE)*VLOOKUP($D128,素材!$1:$1016,COLUMN($E$1),FALSE)/(LEN(VLOOKUP($D128,素材!$1:$1016,COLUMN($F$1),FALSE))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C128">
        <f>IF(ISNUMBER(SEARCH(SUBSTITUTE(AC$1,RIGHT(AC$1,2),""),VLOOKUP($D128,素材!$1:$1016,COLUMN($F$1),FALSE))),VLOOKUP($C128,装備品!$1:$998,COLUMN($O$1),FALSE)*VLOOKUP($D128,素材!$1:$1016,COLUMN($E$1),FALSE)/(LEN(VLOOKUP($D128,素材!$1:$1016,COLUMN($F$1),FALSE))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D128">
        <f>IF(ISNUMBER(SEARCH(SUBSTITUTE(AD$1,RIGHT(AD$1,2),""),VLOOKUP($D128,素材!$1:$1016,COLUMN($F$1),FALSE))),VLOOKUP($C128,装備品!$1:$998,COLUMN($O$1),FALSE)*VLOOKUP($D128,素材!$1:$1016,COLUMN($E$1),FALSE)/(LEN(VLOOKUP($D128,素材!$1:$1016,COLUMN($F$1),FALSE))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E128">
        <f>IF(ISNUMBER(SEARCH(SUBSTITUTE(AE$1,RIGHT(AE$1,2),""),VLOOKUP($D128,素材!$1:$1016,COLUMN($F$1),FALSE))),VLOOKUP($C128,装備品!$1:$998,COLUMN($O$1),FALSE)*VLOOKUP($D128,素材!$1:$1016,COLUMN($E$1),FALSE)/(LEN(VLOOKUP($D128,素材!$1:$1016,COLUMN($F$1),FALSE))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F128">
        <f>IF(ISNUMBER(SEARCH(SUBSTITUTE(AF$1,RIGHT(AF$1,2),""),VLOOKUP($D128,素材!$1:$1016,COLUMN($F$1),FALSE))),VLOOKUP($C128,装備品!$1:$998,COLUMN($O$1),FALSE)*VLOOKUP($D128,素材!$1:$1016,COLUMN($E$1),FALSE)/(LEN(VLOOKUP($D128,素材!$1:$1016,COLUMN($F$1),FALSE))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G128">
        <f>IF(ISNUMBER(SEARCH(SUBSTITUTE(AG$1,RIGHT(AG$1,2),""),VLOOKUP($D128,素材!$1:$1016,COLUMN($F$1),FALSE))),VLOOKUP($C128,装備品!$1:$998,COLUMN($O$1),FALSE)*VLOOKUP($D128,素材!$1:$1016,COLUMN($E$1),FALSE)/(LEN(VLOOKUP($D128,素材!$1:$1016,COLUMN($F$1),FALSE))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H128">
        <f>IF(ISNUMBER(SEARCH(SUBSTITUTE(AH$1,RIGHT(AH$1,2),""),VLOOKUP($D128,素材!$1:$1016,COLUMN($F$1),FALSE))),VLOOKUP($C128,装備品!$1:$998,COLUMN($O$1),FALSE)*VLOOKUP($D128,素材!$1:$1016,COLUMN($E$1),FALSE)/(LEN(VLOOKUP($D128,素材!$1:$1016,COLUMN($F$1),FALSE))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I128">
        <f>IF(ISNUMBER(SEARCH(SUBSTITUTE(AI$1,RIGHT(AI$1,2),""),VLOOKUP($D128,素材!$1:$1016,COLUMN($F$1),FALSE))),VLOOKUP($C128,装備品!$1:$998,COLUMN($O$1),FALSE)*VLOOKUP($D128,素材!$1:$1016,COLUMN($E$1),FALSE)/(LEN(VLOOKUP($D128,素材!$1:$1016,COLUMN($F$1),FALSE))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J128">
        <f>IF(ISNUMBER(SEARCH(SUBSTITUTE(AJ$1,RIGHT(AJ$1,2),""),VLOOKUP($D128,素材!$1:$1016,COLUMN($F$1),FALSE))),VLOOKUP($C128,装備品!$1:$998,COLUMN($O$1),FALSE)*VLOOKUP($D128,素材!$1:$1016,COLUMN($E$1),FALSE)/(LEN(VLOOKUP($D128,素材!$1:$1016,COLUMN($F$1),FALSE))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K128">
        <f>IF(ISNUMBER(SEARCH(SUBSTITUTE(AK$1,RIGHT(AK$1,2),""),VLOOKUP($D128,素材!$1:$1016,COLUMN($F$1),FALSE))),VLOOKUP($C128,装備品!$1:$998,COLUMN($O$1),FALSE)*VLOOKUP($D128,素材!$1:$1016,COLUMN($E$1),FALSE)/(LEN(VLOOKUP($D128,素材!$1:$1016,COLUMN($F$1),FALSE))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L128">
        <f>IF(ISNUMBER(SEARCH(SUBSTITUTE(AL$1,RIGHT(AL$1,2),""),VLOOKUP($D128,素材!$1:$1016,COLUMN($F$1),FALSE))),VLOOKUP($C128,装備品!$1:$998,COLUMN($O$1),FALSE)*VLOOKUP($D128,素材!$1:$1016,COLUMN($E$1),FALSE)/(LEN(VLOOKUP($D128,素材!$1:$1016,COLUMN($F$1),FALSE))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M128">
        <f>IF(ISNUMBER(SEARCH(SUBSTITUTE(AM$1,RIGHT(AM$1,2),""),VLOOKUP($D128,素材!$1:$1016,COLUMN($F$1),FALSE))),VLOOKUP($C128,装備品!$1:$998,COLUMN($O$1),FALSE)*VLOOKUP($D128,素材!$1:$1016,COLUMN($E$1),FALSE)/(LEN(VLOOKUP($D128,素材!$1:$1016,COLUMN($F$1),FALSE))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N128">
        <f>IF(ISNUMBER(SEARCH(SUBSTITUTE(AN$1,RIGHT(AN$1,2),""),VLOOKUP($D128,素材!$1:$1016,COLUMN($F$1),FALSE))),VLOOKUP($C128,装備品!$1:$998,COLUMN($O$1),FALSE)*VLOOKUP($D128,素材!$1:$1016,COLUMN($E$1),FALSE)/(LEN(VLOOKUP($D128,素材!$1:$1016,COLUMN($F$1),FALSE))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O128">
        <f>IF(ISNUMBER(SEARCH(SUBSTITUTE(AO$1,RIGHT(AO$1,2),""),VLOOKUP($D128,素材!$1:$1016,COLUMN($F$1),FALSE))),VLOOKUP($C128,装備品!$1:$998,COLUMN($O$1),FALSE)*VLOOKUP($D128,素材!$1:$1016,COLUMN($E$1),FALSE)/(LEN(VLOOKUP($D128,素材!$1:$1016,COLUMN($F$1),FALSE))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P128">
        <f>IF(ISNUMBER(SEARCH(SUBSTITUTE(AP$1,RIGHT(AP$1,2),""),VLOOKUP($D128,素材!$1:$1016,COLUMN($F$1),FALSE))),VLOOKUP($C128,装備品!$1:$998,COLUMN($O$1),FALSE)*VLOOKUP($D128,素材!$1:$1016,COLUMN($E$1),FALSE)/(LEN(VLOOKUP($D128,素材!$1:$1016,COLUMN($F$1),FALSE))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Q128">
        <f>IF(ISNUMBER(SEARCH(SUBSTITUTE(AQ$1,RIGHT(AQ$1,2),""),VLOOKUP($D128,素材!$1:$1016,COLUMN($F$1),FALSE))),VLOOKUP($C128,装備品!$1:$998,COLUMN($O$1),FALSE)*VLOOKUP($D128,素材!$1:$1016,COLUMN($E$1),FALSE)/(LEN(VLOOKUP($D128,素材!$1:$1016,COLUMN($F$1),FALSE))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R128">
        <f>IF(ISNUMBER(SEARCH(SUBSTITUTE(AR$1,RIGHT(AR$1,2),""),VLOOKUP($D128,素材!$1:$1016,COLUMN($F$1),FALSE))),VLOOKUP($C128,装備品!$1:$998,COLUMN($O$1),FALSE)*VLOOKUP($D128,素材!$1:$1016,COLUMN($E$1),FALSE)/(LEN(VLOOKUP($D128,素材!$1:$1016,COLUMN($F$1),FALSE))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S128">
        <f>IF(ISNUMBER(SEARCH(SUBSTITUTE(AS$1,RIGHT(AS$1,2),""),VLOOKUP($D128,素材!$1:$1016,COLUMN($F$1),FALSE))),VLOOKUP($C128,装備品!$1:$998,COLUMN($O$1),FALSE)*VLOOKUP($D128,素材!$1:$1016,COLUMN($E$1),FALSE)/(LEN(VLOOKUP($D128,素材!$1:$1016,COLUMN($F$1),FALSE))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T128">
        <f>IF(ISNUMBER(SEARCH(SUBSTITUTE(AT$1,RIGHT(AT$1,2),""),VLOOKUP($D128,素材!$1:$1016,COLUMN($F$1),FALSE))),VLOOKUP($C128,装備品!$1:$998,COLUMN($O$1),FALSE)*VLOOKUP($D128,素材!$1:$1016,COLUMN($E$1),FALSE)/(LEN(VLOOKUP($D128,素材!$1:$1016,COLUMN($F$1),FALSE))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U128">
        <f>IF(ISNUMBER(SEARCH(SUBSTITUTE(AU$1,RIGHT(AU$1,2),""),VLOOKUP($D128,素材!$1:$1016,COLUMN($F$1),FALSE))),VLOOKUP($C128,装備品!$1:$998,COLUMN($O$1),FALSE)*VLOOKUP($D128,素材!$1:$1016,COLUMN($E$1),FALSE)/(LEN(VLOOKUP($D128,素材!$1:$1016,COLUMN($F$1),FALSE))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V128">
        <f>IF(ISNUMBER(SEARCH(SUBSTITUTE(AV$1,RIGHT(AV$1,2),""),VLOOKUP($D128,素材!$1:$1016,COLUMN($F$1),FALSE))),VLOOKUP($C128,装備品!$1:$998,COLUMN($O$1),FALSE)*VLOOKUP($D128,素材!$1:$1016,COLUMN($E$1),FALSE)/(LEN(VLOOKUP($D128,素材!$1:$1016,COLUMN($F$1),FALSE))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W128">
        <f>IF(ISNUMBER(SEARCH(SUBSTITUTE(AW$1,RIGHT(AW$1,2),""),VLOOKUP($D128,素材!$1:$1016,COLUMN($F$1),FALSE))),VLOOKUP($C128,装備品!$1:$998,COLUMN($O$1),FALSE)*VLOOKUP($D128,素材!$1:$1016,COLUMN($E$1),FALSE)/(LEN(VLOOKUP($D128,素材!$1:$1016,COLUMN($F$1),FALSE))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X128">
        <f>IF(ISNUMBER(SEARCH(SUBSTITUTE(AX$1,RIGHT(AX$1,2),""),VLOOKUP($D128,素材!$1:$1016,COLUMN($F$1),FALSE))),VLOOKUP($C128,装備品!$1:$998,COLUMN($O$1),FALSE)*VLOOKUP($D128,素材!$1:$1016,COLUMN($E$1),FALSE)/(LEN(VLOOKUP($D128,素材!$1:$1016,COLUMN($F$1),FALSE))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Y128">
        <f>IF(ISNUMBER(SEARCH(SUBSTITUTE(AY$1,RIGHT(AY$1,2),""),VLOOKUP($D128,素材!$1:$1016,COLUMN($F$1),FALSE))),VLOOKUP($C128,装備品!$1:$998,COLUMN($O$1),FALSE)*VLOOKUP($D128,素材!$1:$1016,COLUMN($E$1),FALSE)/(LEN(VLOOKUP($D128,素材!$1:$1016,COLUMN($F$1),FALSE))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Z128">
        <f>IF(ISNUMBER(SEARCH(SUBSTITUTE(AZ$1,RIGHT(AZ$1,2),""),VLOOKUP($D128,素材!$1:$1016,COLUMN($F$1),FALSE))),VLOOKUP($C128,装備品!$1:$998,COLUMN($O$1),FALSE)*VLOOKUP($D128,素材!$1:$1016,COLUMN($E$1),FALSE)/(LEN(VLOOKUP($D128,素材!$1:$1016,COLUMN($F$1),FALSE))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BA128">
        <f>IF(ISNUMBER(SEARCH(SUBSTITUTE(BA$1,RIGHT(BA$1,2),""),VLOOKUP($D128,素材!$1:$1016,COLUMN($F$1),FALSE))),VLOOKUP($C128,装備品!$1:$998,COLUMN($O$1),FALSE)*VLOOKUP($D128,素材!$1:$1016,COLUMN($E$1),FALSE)/(LEN(VLOOKUP($D128,素材!$1:$1016,COLUMN($F$1),FALSE))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BB128">
        <f>IF(ISNUMBER(SEARCH(SUBSTITUTE(BB$1,RIGHT(BB$1,2),""),VLOOKUP($D128,素材!$1:$1016,COLUMN($F$1),FALSE))),VLOOKUP($C128,装備品!$1:$998,COLUMN($O$1),FALSE)*VLOOKUP($D128,素材!$1:$1016,COLUMN($E$1),FALSE)/(LEN(VLOOKUP($D128,素材!$1:$1016,COLUMN($F$1),FALSE))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BC128">
        <f>IF(ISNUMBER(SEARCH(SUBSTITUTE(BC$1,RIGHT(BC$1,2),""),VLOOKUP($D128,素材!$1:$1016,COLUMN($F$1),FALSE))),VLOOKUP($C128,装備品!$1:$998,COLUMN($O$1),FALSE)*VLOOKUP($D128,素材!$1:$1016,COLUMN($E$1),FALSE)/(LEN(VLOOKUP($D128,素材!$1:$1016,COLUMN($F$1),FALSE))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BD128">
        <f>IF(ISNUMBER(SEARCH(SUBSTITUTE(BD$1,RIGHT(BD$1,2),""),VLOOKUP($D128,素材!$1:$1016,COLUMN($F$1),FALSE))),VLOOKUP($C128,装備品!$1:$998,COLUMN($O$1),FALSE)*VLOOKUP($D128,素材!$1:$1016,COLUMN($E$1),FALSE)/(LEN(VLOOKUP($D128,素材!$1:$1016,COLUMN($F$1),FALSE))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BE128">
        <f>IF(ISNUMBER(SEARCH(SUBSTITUTE(BE$1,RIGHT(BE$1,2),""),VLOOKUP($D128,素材!$1:$1016,COLUMN($F$1),FALSE))),VLOOKUP($C128,装備品!$1:$998,COLUMN($O$1),FALSE)*VLOOKUP($D128,素材!$1:$1016,COLUMN($E$1),FALSE)/(LEN(VLOOKUP($D128,素材!$1:$1016,COLUMN($F$1),FALSE))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CL128">
        <f t="shared" si="7"/>
        <v>0</v>
      </c>
      <c r="CM128" s="22" t="str">
        <f t="shared" si="8"/>
        <v>頭.webp</v>
      </c>
      <c r="CN128">
        <f>IFERROR(VLOOKUP($C128,装備品!$1:$998,COLUMN(V$1),FALSE)*VLOOKUP($D128,素材!$1:$1016,COLUMN(N$1),FALSE)+IF(CI128="",0,VLOOKUP($CI128,付与!$1:$1176,COLUMN($CK$1),FALSE)),"")</f>
        <v>0</v>
      </c>
      <c r="CO128" t="str">
        <f>VLOOKUP(D128,素材!$A:$O,COLUMN(素材!O$1),FALSE)</f>
        <v>高品質な加工を施した軽量の皮素材。軽量化により動きやすさを確保しつつ、適度な防御力を提供します。</v>
      </c>
      <c r="CP128" t="str">
        <f>VLOOKUP(C128,装備品!$A:$AB,COLUMN(装備品!AB$1),FALSE)</f>
        <v>命中 魔防 Cr</v>
      </c>
      <c r="CR128" t="str">
        <f t="shared" si="9"/>
        <v>e_128</v>
      </c>
      <c r="CS128">
        <f t="shared" ref="CS128" si="18">CN128*100</f>
        <v>0</v>
      </c>
    </row>
    <row r="129" spans="1:97" outlineLevel="1" x14ac:dyDescent="0.4">
      <c r="A129" t="str">
        <f t="shared" si="11"/>
        <v>軽皮の衣布</v>
      </c>
      <c r="B129" t="str">
        <f>IFERROR(VLOOKUP($D129,素材!$1:$1016,COLUMN($B$1),FALSE)&amp;"・"&amp;VLOOKUP($C129,装備品!$1:$998,COLUMN(B$1),FALSE),"")</f>
        <v>ライトレザー・クロース</v>
      </c>
      <c r="C129" t="s">
        <v>246</v>
      </c>
      <c r="D129" s="24" t="s">
        <v>249</v>
      </c>
      <c r="E129" t="str">
        <f>IFERROR(VLOOKUP(C129,装備品!$1:$998,COLUMN(C$1),FALSE),"")</f>
        <v>体</v>
      </c>
      <c r="F129">
        <f>IFERROR(ROUNDDOWN((VLOOKUP($C129,装備品!$1:$998,COLUMN(D$1),FALSE)+IFERROR(VLOOKUP($CI129,付与!$1:$1167,COLUMN(F$1),FALSE),0))*VLOOKUP($D129,素材!$1:$1016,COLUMN(D$1),FALSE),0),"")</f>
        <v>0</v>
      </c>
      <c r="G129">
        <f>IFERROR(ROUNDDOWN((VLOOKUP($C129,装備品!$1:$998,COLUMN(E$1),FALSE)+IFERROR(VLOOKUP($CI129,付与!$1:$1167,COLUMN(G$1),FALSE),0))*VLOOKUP($D129,素材!$1:$1016,COLUMN($E$1),FALSE),0),"")</f>
        <v>0</v>
      </c>
      <c r="H129">
        <f>IFERROR(ROUNDDOWN((VLOOKUP($C129,装備品!$1:$998,COLUMN(F$1),FALSE)+IFERROR(VLOOKUP($CI129,付与!$1:$1167,COLUMN(H$1),FALSE),0))*VLOOKUP($D129,素材!$1:$1016,COLUMN($E$1),FALSE),0),"")</f>
        <v>0</v>
      </c>
      <c r="I129">
        <f>IFERROR(ROUNDDOWN((VLOOKUP($C129,装備品!$1:$998,COLUMN(G$1),FALSE)+IFERROR(VLOOKUP($CI129,付与!$1:$1167,COLUMN(I$1),FALSE),0))*VLOOKUP($D129,素材!$1:$1016,COLUMN($E$1),FALSE),0),"")</f>
        <v>0</v>
      </c>
      <c r="J129">
        <f>IFERROR(ROUNDDOWN((VLOOKUP($C129,装備品!$1:$998,COLUMN(H$1),FALSE)+IFERROR(VLOOKUP($CI129,付与!$1:$1167,COLUMN(J$1),FALSE),0))*VLOOKUP($D129,素材!$1:$1016,COLUMN($E$1),FALSE),0),"")</f>
        <v>0</v>
      </c>
      <c r="K129">
        <f>IFERROR(ROUNDDOWN((VLOOKUP($C129,装備品!$1:$998,COLUMN(I$1),FALSE)+IFERROR(VLOOKUP($CI129,付与!$1:$1167,COLUMN(K$1),FALSE),0))*VLOOKUP($D129,素材!$1:$1016,COLUMN($E$1),FALSE),0),"")</f>
        <v>0</v>
      </c>
      <c r="L129" t="str">
        <f>IFERROR(VLOOKUP($D129,素材!$1:$1016,COLUMN($F$1),FALSE),"")</f>
        <v>-</v>
      </c>
      <c r="M129" t="str">
        <f>IFERROR(VLOOKUP($C129,装備品!$1:$998,COLUMN(AA$1),FALSE)*VLOOKUP($D129,素材!$1:$1016,COLUMN($G$1),FALSE),"")</f>
        <v/>
      </c>
      <c r="N129">
        <f>IFERROR(VLOOKUP($C129,装備品!$1:$998,COLUMN(I$1),FALSE),"")</f>
        <v>0</v>
      </c>
      <c r="O129" s="23" t="str">
        <f>IFERROR((VLOOKUP($C129,装備品!$1:$998,COLUMN(K$1),FALSE)+VLOOKUP($D129,素材!$1:$1016,COLUMN(H$1),FALSE))*100+IFERROR(VLOOKUP($CI129,付与!$1:$1167,COLUMN(O$1),FALSE),0),"")</f>
        <v/>
      </c>
      <c r="P129" s="23" t="str">
        <f>IFERROR((VLOOKUP($C129,装備品!$1:$998,COLUMN(L$1),FALSE)+VLOOKUP($D129,素材!$1:$1016,COLUMN(I$1),FALSE))*100+IFERROR(VLOOKUP($CI129,付与!$1:$1167,COLUMN(P$1),FALSE),0),"")</f>
        <v/>
      </c>
      <c r="Q129">
        <f>IFERROR(ROUNDUP(VLOOKUP($C129,装備品!$1:$998,COLUMN(M$1),FALSE)*(VLOOKUP($D129,素材!$1:$1002,COLUMN(D$1),FALSE)/100),1),"")</f>
        <v>0</v>
      </c>
      <c r="R129">
        <f>IFERROR(ROUNDUP(VLOOKUP($C129,装備品!$1:$998,COLUMN(N$1),FALSE)*(VLOOKUP($D129,素材!$1:$1002,COLUMN(D$1),FALSE)/100),1),"")</f>
        <v>0</v>
      </c>
      <c r="S129">
        <f>IFERROR(VLOOKUP($C129,装備品!$1:$998,COLUMN(P$1),FALSE),"")</f>
        <v>0</v>
      </c>
      <c r="T129">
        <f>IFERROR(VLOOKUP($C129,装備品!$1:$998,COLUMN(Q$1),FALSE),"")</f>
        <v>0</v>
      </c>
      <c r="U129">
        <f>IFERROR(VLOOKUP($C129,装備品!$1:$998,COLUMN(R$1),FALSE),"")</f>
        <v>0</v>
      </c>
      <c r="V129">
        <f>IFERROR(VLOOKUP($C129,装備品!$1:$998,COLUMN(Q$1),FALSE),"")</f>
        <v>0</v>
      </c>
      <c r="W129">
        <f>IFERROR(VLOOKUP($C129,装備品!$1:$998,COLUMN(T$1),FALSE),"")</f>
        <v>0.3</v>
      </c>
      <c r="Y129">
        <f>IFERROR(VLOOKUP($C129,装備品!$1:$998,COLUMN(U$1),FALSE),"")</f>
        <v>0</v>
      </c>
      <c r="Z129">
        <f>IFERROR(ROUNDUP(VLOOKUP($C129,装備品!$1:$998,COLUMN(O$1),FALSE)*VLOOKUP($D129,素材!$1:$1016,COLUMN(E$1),FALSE),1),"")</f>
        <v>0</v>
      </c>
      <c r="AA129">
        <f>IF(ISNUMBER(SEARCH(SUBSTITUTE(AA$1,RIGHT(AA$1,2),""),VLOOKUP($D129,素材!$1:$1016,COLUMN($F$1),FALSE))),VLOOKUP($C129,装備品!$1:$998,COLUMN($O$1),FALSE)*VLOOKUP($D129,素材!$1:$1016,COLUMN($E$1),FALSE)/(LEN(VLOOKUP($D129,素材!$1:$1016,COLUMN($F$1),FALSE))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B129">
        <f>IF(ISNUMBER(SEARCH(SUBSTITUTE(AB$1,RIGHT(AB$1,2),""),VLOOKUP($D129,素材!$1:$1016,COLUMN($F$1),FALSE))),VLOOKUP($C129,装備品!$1:$998,COLUMN($O$1),FALSE)*VLOOKUP($D129,素材!$1:$1016,COLUMN($E$1),FALSE)/(LEN(VLOOKUP($D129,素材!$1:$1016,COLUMN($F$1),FALSE))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C129">
        <f>IF(ISNUMBER(SEARCH(SUBSTITUTE(AC$1,RIGHT(AC$1,2),""),VLOOKUP($D129,素材!$1:$1016,COLUMN($F$1),FALSE))),VLOOKUP($C129,装備品!$1:$998,COLUMN($O$1),FALSE)*VLOOKUP($D129,素材!$1:$1016,COLUMN($E$1),FALSE)/(LEN(VLOOKUP($D129,素材!$1:$1016,COLUMN($F$1),FALSE))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D129">
        <f>IF(ISNUMBER(SEARCH(SUBSTITUTE(AD$1,RIGHT(AD$1,2),""),VLOOKUP($D129,素材!$1:$1016,COLUMN($F$1),FALSE))),VLOOKUP($C129,装備品!$1:$998,COLUMN($O$1),FALSE)*VLOOKUP($D129,素材!$1:$1016,COLUMN($E$1),FALSE)/(LEN(VLOOKUP($D129,素材!$1:$1016,COLUMN($F$1),FALSE))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E129">
        <f>IF(ISNUMBER(SEARCH(SUBSTITUTE(AE$1,RIGHT(AE$1,2),""),VLOOKUP($D129,素材!$1:$1016,COLUMN($F$1),FALSE))),VLOOKUP($C129,装備品!$1:$998,COLUMN($O$1),FALSE)*VLOOKUP($D129,素材!$1:$1016,COLUMN($E$1),FALSE)/(LEN(VLOOKUP($D129,素材!$1:$1016,COLUMN($F$1),FALSE))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F129">
        <f>IF(ISNUMBER(SEARCH(SUBSTITUTE(AF$1,RIGHT(AF$1,2),""),VLOOKUP($D129,素材!$1:$1016,COLUMN($F$1),FALSE))),VLOOKUP($C129,装備品!$1:$998,COLUMN($O$1),FALSE)*VLOOKUP($D129,素材!$1:$1016,COLUMN($E$1),FALSE)/(LEN(VLOOKUP($D129,素材!$1:$1016,COLUMN($F$1),FALSE))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G129">
        <f>IF(ISNUMBER(SEARCH(SUBSTITUTE(AG$1,RIGHT(AG$1,2),""),VLOOKUP($D129,素材!$1:$1016,COLUMN($F$1),FALSE))),VLOOKUP($C129,装備品!$1:$998,COLUMN($O$1),FALSE)*VLOOKUP($D129,素材!$1:$1016,COLUMN($E$1),FALSE)/(LEN(VLOOKUP($D129,素材!$1:$1016,COLUMN($F$1),FALSE))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H129">
        <f>IF(ISNUMBER(SEARCH(SUBSTITUTE(AH$1,RIGHT(AH$1,2),""),VLOOKUP($D129,素材!$1:$1016,COLUMN($F$1),FALSE))),VLOOKUP($C129,装備品!$1:$998,COLUMN($O$1),FALSE)*VLOOKUP($D129,素材!$1:$1016,COLUMN($E$1),FALSE)/(LEN(VLOOKUP($D129,素材!$1:$1016,COLUMN($F$1),FALSE))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I129">
        <f>IF(ISNUMBER(SEARCH(SUBSTITUTE(AI$1,RIGHT(AI$1,2),""),VLOOKUP($D129,素材!$1:$1016,COLUMN($F$1),FALSE))),VLOOKUP($C129,装備品!$1:$998,COLUMN($O$1),FALSE)*VLOOKUP($D129,素材!$1:$1016,COLUMN($E$1),FALSE)/(LEN(VLOOKUP($D129,素材!$1:$1016,COLUMN($F$1),FALSE))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J129">
        <f>IF(ISNUMBER(SEARCH(SUBSTITUTE(AJ$1,RIGHT(AJ$1,2),""),VLOOKUP($D129,素材!$1:$1016,COLUMN($F$1),FALSE))),VLOOKUP($C129,装備品!$1:$998,COLUMN($O$1),FALSE)*VLOOKUP($D129,素材!$1:$1016,COLUMN($E$1),FALSE)/(LEN(VLOOKUP($D129,素材!$1:$1016,COLUMN($F$1),FALSE))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K129">
        <f>IF(ISNUMBER(SEARCH(SUBSTITUTE(AK$1,RIGHT(AK$1,2),""),VLOOKUP($D129,素材!$1:$1016,COLUMN($F$1),FALSE))),VLOOKUP($C129,装備品!$1:$998,COLUMN($O$1),FALSE)*VLOOKUP($D129,素材!$1:$1016,COLUMN($E$1),FALSE)/(LEN(VLOOKUP($D129,素材!$1:$1016,COLUMN($F$1),FALSE))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L129">
        <f>IF(ISNUMBER(SEARCH(SUBSTITUTE(AL$1,RIGHT(AL$1,2),""),VLOOKUP($D129,素材!$1:$1016,COLUMN($F$1),FALSE))),VLOOKUP($C129,装備品!$1:$998,COLUMN($O$1),FALSE)*VLOOKUP($D129,素材!$1:$1016,COLUMN($E$1),FALSE)/(LEN(VLOOKUP($D129,素材!$1:$1016,COLUMN($F$1),FALSE))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M129">
        <f>IF(ISNUMBER(SEARCH(SUBSTITUTE(AM$1,RIGHT(AM$1,2),""),VLOOKUP($D129,素材!$1:$1016,COLUMN($F$1),FALSE))),VLOOKUP($C129,装備品!$1:$998,COLUMN($O$1),FALSE)*VLOOKUP($D129,素材!$1:$1016,COLUMN($E$1),FALSE)/(LEN(VLOOKUP($D129,素材!$1:$1016,COLUMN($F$1),FALSE))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N129">
        <f>IF(ISNUMBER(SEARCH(SUBSTITUTE(AN$1,RIGHT(AN$1,2),""),VLOOKUP($D129,素材!$1:$1016,COLUMN($F$1),FALSE))),VLOOKUP($C129,装備品!$1:$998,COLUMN($O$1),FALSE)*VLOOKUP($D129,素材!$1:$1016,COLUMN($E$1),FALSE)/(LEN(VLOOKUP($D129,素材!$1:$1016,COLUMN($F$1),FALSE))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O129">
        <f>IF(ISNUMBER(SEARCH(SUBSTITUTE(AO$1,RIGHT(AO$1,2),""),VLOOKUP($D129,素材!$1:$1016,COLUMN($F$1),FALSE))),VLOOKUP($C129,装備品!$1:$998,COLUMN($O$1),FALSE)*VLOOKUP($D129,素材!$1:$1016,COLUMN($E$1),FALSE)/(LEN(VLOOKUP($D129,素材!$1:$1016,COLUMN($F$1),FALSE))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P129">
        <f>IF(ISNUMBER(SEARCH(SUBSTITUTE(AP$1,RIGHT(AP$1,2),""),VLOOKUP($D129,素材!$1:$1016,COLUMN($F$1),FALSE))),VLOOKUP($C129,装備品!$1:$998,COLUMN($O$1),FALSE)*VLOOKUP($D129,素材!$1:$1016,COLUMN($E$1),FALSE)/(LEN(VLOOKUP($D129,素材!$1:$1016,COLUMN($F$1),FALSE))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Q129">
        <f>IF(ISNUMBER(SEARCH(SUBSTITUTE(AQ$1,RIGHT(AQ$1,2),""),VLOOKUP($D129,素材!$1:$1016,COLUMN($F$1),FALSE))),VLOOKUP($C129,装備品!$1:$998,COLUMN($O$1),FALSE)*VLOOKUP($D129,素材!$1:$1016,COLUMN($E$1),FALSE)/(LEN(VLOOKUP($D129,素材!$1:$1016,COLUMN($F$1),FALSE))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R129">
        <f>IF(ISNUMBER(SEARCH(SUBSTITUTE(AR$1,RIGHT(AR$1,2),""),VLOOKUP($D129,素材!$1:$1016,COLUMN($F$1),FALSE))),VLOOKUP($C129,装備品!$1:$998,COLUMN($O$1),FALSE)*VLOOKUP($D129,素材!$1:$1016,COLUMN($E$1),FALSE)/(LEN(VLOOKUP($D129,素材!$1:$1016,COLUMN($F$1),FALSE))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S129">
        <f>IF(ISNUMBER(SEARCH(SUBSTITUTE(AS$1,RIGHT(AS$1,2),""),VLOOKUP($D129,素材!$1:$1016,COLUMN($F$1),FALSE))),VLOOKUP($C129,装備品!$1:$998,COLUMN($O$1),FALSE)*VLOOKUP($D129,素材!$1:$1016,COLUMN($E$1),FALSE)/(LEN(VLOOKUP($D129,素材!$1:$1016,COLUMN($F$1),FALSE))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T129">
        <f>IF(ISNUMBER(SEARCH(SUBSTITUTE(AT$1,RIGHT(AT$1,2),""),VLOOKUP($D129,素材!$1:$1016,COLUMN($F$1),FALSE))),VLOOKUP($C129,装備品!$1:$998,COLUMN($O$1),FALSE)*VLOOKUP($D129,素材!$1:$1016,COLUMN($E$1),FALSE)/(LEN(VLOOKUP($D129,素材!$1:$1016,COLUMN($F$1),FALSE))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U129">
        <f>IF(ISNUMBER(SEARCH(SUBSTITUTE(AU$1,RIGHT(AU$1,2),""),VLOOKUP($D129,素材!$1:$1016,COLUMN($F$1),FALSE))),VLOOKUP($C129,装備品!$1:$998,COLUMN($O$1),FALSE)*VLOOKUP($D129,素材!$1:$1016,COLUMN($E$1),FALSE)/(LEN(VLOOKUP($D129,素材!$1:$1016,COLUMN($F$1),FALSE))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V129">
        <f>IF(ISNUMBER(SEARCH(SUBSTITUTE(AV$1,RIGHT(AV$1,2),""),VLOOKUP($D129,素材!$1:$1016,COLUMN($F$1),FALSE))),VLOOKUP($C129,装備品!$1:$998,COLUMN($O$1),FALSE)*VLOOKUP($D129,素材!$1:$1016,COLUMN($E$1),FALSE)/(LEN(VLOOKUP($D129,素材!$1:$1016,COLUMN($F$1),FALSE))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W129">
        <f>IF(ISNUMBER(SEARCH(SUBSTITUTE(AW$1,RIGHT(AW$1,2),""),VLOOKUP($D129,素材!$1:$1016,COLUMN($F$1),FALSE))),VLOOKUP($C129,装備品!$1:$998,COLUMN($O$1),FALSE)*VLOOKUP($D129,素材!$1:$1016,COLUMN($E$1),FALSE)/(LEN(VLOOKUP($D129,素材!$1:$1016,COLUMN($F$1),FALSE))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X129">
        <f>IF(ISNUMBER(SEARCH(SUBSTITUTE(AX$1,RIGHT(AX$1,2),""),VLOOKUP($D129,素材!$1:$1016,COLUMN($F$1),FALSE))),VLOOKUP($C129,装備品!$1:$998,COLUMN($O$1),FALSE)*VLOOKUP($D129,素材!$1:$1016,COLUMN($E$1),FALSE)/(LEN(VLOOKUP($D129,素材!$1:$1016,COLUMN($F$1),FALSE))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Y129">
        <f>IF(ISNUMBER(SEARCH(SUBSTITUTE(AY$1,RIGHT(AY$1,2),""),VLOOKUP($D129,素材!$1:$1016,COLUMN($F$1),FALSE))),VLOOKUP($C129,装備品!$1:$998,COLUMN($O$1),FALSE)*VLOOKUP($D129,素材!$1:$1016,COLUMN($E$1),FALSE)/(LEN(VLOOKUP($D129,素材!$1:$1016,COLUMN($F$1),FALSE))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Z129">
        <f>IF(ISNUMBER(SEARCH(SUBSTITUTE(AZ$1,RIGHT(AZ$1,2),""),VLOOKUP($D129,素材!$1:$1016,COLUMN($F$1),FALSE))),VLOOKUP($C129,装備品!$1:$998,COLUMN($O$1),FALSE)*VLOOKUP($D129,素材!$1:$1016,COLUMN($E$1),FALSE)/(LEN(VLOOKUP($D129,素材!$1:$1016,COLUMN($F$1),FALSE))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BA129">
        <f>IF(ISNUMBER(SEARCH(SUBSTITUTE(BA$1,RIGHT(BA$1,2),""),VLOOKUP($D129,素材!$1:$1016,COLUMN($F$1),FALSE))),VLOOKUP($C129,装備品!$1:$998,COLUMN($O$1),FALSE)*VLOOKUP($D129,素材!$1:$1016,COLUMN($E$1),FALSE)/(LEN(VLOOKUP($D129,素材!$1:$1016,COLUMN($F$1),FALSE))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BB129">
        <f>IF(ISNUMBER(SEARCH(SUBSTITUTE(BB$1,RIGHT(BB$1,2),""),VLOOKUP($D129,素材!$1:$1016,COLUMN($F$1),FALSE))),VLOOKUP($C129,装備品!$1:$998,COLUMN($O$1),FALSE)*VLOOKUP($D129,素材!$1:$1016,COLUMN($E$1),FALSE)/(LEN(VLOOKUP($D129,素材!$1:$1016,COLUMN($F$1),FALSE))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BC129">
        <f>IF(ISNUMBER(SEARCH(SUBSTITUTE(BC$1,RIGHT(BC$1,2),""),VLOOKUP($D129,素材!$1:$1016,COLUMN($F$1),FALSE))),VLOOKUP($C129,装備品!$1:$998,COLUMN($O$1),FALSE)*VLOOKUP($D129,素材!$1:$1016,COLUMN($E$1),FALSE)/(LEN(VLOOKUP($D129,素材!$1:$1016,COLUMN($F$1),FALSE))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BD129">
        <f>IF(ISNUMBER(SEARCH(SUBSTITUTE(BD$1,RIGHT(BD$1,2),""),VLOOKUP($D129,素材!$1:$1016,COLUMN($F$1),FALSE))),VLOOKUP($C129,装備品!$1:$998,COLUMN($O$1),FALSE)*VLOOKUP($D129,素材!$1:$1016,COLUMN($E$1),FALSE)/(LEN(VLOOKUP($D129,素材!$1:$1016,COLUMN($F$1),FALSE))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BE129">
        <f>IF(ISNUMBER(SEARCH(SUBSTITUTE(BE$1,RIGHT(BE$1,2),""),VLOOKUP($D129,素材!$1:$1016,COLUMN($F$1),FALSE))),VLOOKUP($C129,装備品!$1:$998,COLUMN($O$1),FALSE)*VLOOKUP($D129,素材!$1:$1016,COLUMN($E$1),FALSE)/(LEN(VLOOKUP($D129,素材!$1:$1016,COLUMN($F$1),FALSE))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CL129">
        <f t="shared" si="7"/>
        <v>0</v>
      </c>
      <c r="CM129" s="22" t="str">
        <f t="shared" si="8"/>
        <v>体.webp</v>
      </c>
      <c r="CN129">
        <f>IFERROR(VLOOKUP($C129,装備品!$1:$998,COLUMN(V$1),FALSE)*VLOOKUP($D129,素材!$1:$1016,COLUMN(N$1),FALSE)+IF(CI129="",0,VLOOKUP($CI129,付与!$1:$1176,COLUMN($CK$1),FALSE)),"")</f>
        <v>0</v>
      </c>
      <c r="CO129" t="str">
        <f>VLOOKUP(D129,素材!$A:$O,COLUMN(素材!O$1),FALSE)</f>
        <v>高品質な加工を施した軽量の皮素材。軽量化により動きやすさを確保しつつ、適度な防御力を提供します。</v>
      </c>
      <c r="CP129" t="str">
        <f>VLOOKUP(C129,装備品!$A:$AB,COLUMN(装備品!AB$1),FALSE)</f>
        <v>HP 物理 魔法 体幹 出血 疲労 Cr</v>
      </c>
      <c r="CR129" t="str">
        <f t="shared" si="9"/>
        <v>e_129</v>
      </c>
      <c r="CS129">
        <f t="shared" si="10"/>
        <v>0</v>
      </c>
    </row>
    <row r="130" spans="1:97" outlineLevel="1" x14ac:dyDescent="0.4">
      <c r="A130" t="str">
        <f t="shared" si="11"/>
        <v>軽皮の法衣</v>
      </c>
      <c r="B130" t="str">
        <f>IFERROR(VLOOKUP($D130,素材!$1:$1016,COLUMN($B$1),FALSE)&amp;"・"&amp;VLOOKUP($C130,装備品!$1:$998,COLUMN(B$1),FALSE),"")</f>
        <v>ライトレザー・ローブ</v>
      </c>
      <c r="C130" t="s">
        <v>245</v>
      </c>
      <c r="D130" s="24" t="s">
        <v>249</v>
      </c>
      <c r="E130" t="str">
        <f>IFERROR(VLOOKUP(C130,装備品!$1:$998,COLUMN(C$1),FALSE),"")</f>
        <v>体</v>
      </c>
      <c r="F130">
        <f>IFERROR(ROUNDDOWN((VLOOKUP($C130,装備品!$1:$998,COLUMN(D$1),FALSE)+IFERROR(VLOOKUP($CI130,付与!$1:$1167,COLUMN(F$1),FALSE),0))*VLOOKUP($D130,素材!$1:$1016,COLUMN(D$1),FALSE),0),"")</f>
        <v>0</v>
      </c>
      <c r="G130">
        <f>IFERROR(ROUNDDOWN((VLOOKUP($C130,装備品!$1:$998,COLUMN(E$1),FALSE)+IFERROR(VLOOKUP($CI130,付与!$1:$1167,COLUMN(G$1),FALSE),0))*VLOOKUP($D130,素材!$1:$1016,COLUMN($E$1),FALSE),0),"")</f>
        <v>0</v>
      </c>
      <c r="H130">
        <f>IFERROR(ROUNDDOWN((VLOOKUP($C130,装備品!$1:$998,COLUMN(F$1),FALSE)+IFERROR(VLOOKUP($CI130,付与!$1:$1167,COLUMN(H$1),FALSE),0))*VLOOKUP($D130,素材!$1:$1016,COLUMN($E$1),FALSE),0),"")</f>
        <v>0</v>
      </c>
      <c r="I130">
        <f>IFERROR(ROUNDDOWN((VLOOKUP($C130,装備品!$1:$998,COLUMN(G$1),FALSE)+IFERROR(VLOOKUP($CI130,付与!$1:$1167,COLUMN(I$1),FALSE),0))*VLOOKUP($D130,素材!$1:$1016,COLUMN($E$1),FALSE),0),"")</f>
        <v>0</v>
      </c>
      <c r="J130">
        <f>IFERROR(ROUNDDOWN((VLOOKUP($C130,装備品!$1:$998,COLUMN(H$1),FALSE)+IFERROR(VLOOKUP($CI130,付与!$1:$1167,COLUMN(J$1),FALSE),0))*VLOOKUP($D130,素材!$1:$1016,COLUMN($E$1),FALSE),0),"")</f>
        <v>0</v>
      </c>
      <c r="K130">
        <f>IFERROR(ROUNDDOWN((VLOOKUP($C130,装備品!$1:$998,COLUMN(I$1),FALSE)+IFERROR(VLOOKUP($CI130,付与!$1:$1167,COLUMN(K$1),FALSE),0))*VLOOKUP($D130,素材!$1:$1016,COLUMN($E$1),FALSE),0),"")</f>
        <v>0</v>
      </c>
      <c r="L130" t="str">
        <f>IFERROR(VLOOKUP($D130,素材!$1:$1016,COLUMN($F$1),FALSE),"")</f>
        <v>-</v>
      </c>
      <c r="M130" t="str">
        <f>IFERROR(VLOOKUP($C130,装備品!$1:$998,COLUMN(AA$1),FALSE)*VLOOKUP($D130,素材!$1:$1016,COLUMN($G$1),FALSE),"")</f>
        <v/>
      </c>
      <c r="N130">
        <f>IFERROR(VLOOKUP($C130,装備品!$1:$998,COLUMN(I$1),FALSE),"")</f>
        <v>0</v>
      </c>
      <c r="O130" s="23" t="str">
        <f>IFERROR((VLOOKUP($C130,装備品!$1:$998,COLUMN(K$1),FALSE)+VLOOKUP($D130,素材!$1:$1016,COLUMN(H$1),FALSE))*100+IFERROR(VLOOKUP($CI130,付与!$1:$1167,COLUMN(O$1),FALSE),0),"")</f>
        <v/>
      </c>
      <c r="P130" s="23" t="str">
        <f>IFERROR((VLOOKUP($C130,装備品!$1:$998,COLUMN(L$1),FALSE)+VLOOKUP($D130,素材!$1:$1016,COLUMN(I$1),FALSE))*100+IFERROR(VLOOKUP($CI130,付与!$1:$1167,COLUMN(P$1),FALSE),0),"")</f>
        <v/>
      </c>
      <c r="Q130">
        <f>IFERROR(ROUNDUP(VLOOKUP($C130,装備品!$1:$998,COLUMN(M$1),FALSE)*(VLOOKUP($D130,素材!$1:$1002,COLUMN(D$1),FALSE)/100),1),"")</f>
        <v>0</v>
      </c>
      <c r="R130">
        <f>IFERROR(ROUNDUP(VLOOKUP($C130,装備品!$1:$998,COLUMN(N$1),FALSE)*(VLOOKUP($D130,素材!$1:$1002,COLUMN(D$1),FALSE)/100),1),"")</f>
        <v>0</v>
      </c>
      <c r="S130">
        <f>IFERROR(VLOOKUP($C130,装備品!$1:$998,COLUMN(P$1),FALSE),"")</f>
        <v>0</v>
      </c>
      <c r="T130">
        <f>IFERROR(VLOOKUP($C130,装備品!$1:$998,COLUMN(Q$1),FALSE),"")</f>
        <v>0</v>
      </c>
      <c r="U130">
        <f>IFERROR(VLOOKUP($C130,装備品!$1:$998,COLUMN(R$1),FALSE),"")</f>
        <v>0</v>
      </c>
      <c r="V130">
        <f>IFERROR(VLOOKUP($C130,装備品!$1:$998,COLUMN(Q$1),FALSE),"")</f>
        <v>0</v>
      </c>
      <c r="W130">
        <f>IFERROR(VLOOKUP($C130,装備品!$1:$998,COLUMN(T$1),FALSE),"")</f>
        <v>0.2</v>
      </c>
      <c r="Y130">
        <f>IFERROR(VLOOKUP($C130,装備品!$1:$998,COLUMN(U$1),FALSE),"")</f>
        <v>0</v>
      </c>
      <c r="Z130">
        <f>IFERROR(ROUNDUP(VLOOKUP($C130,装備品!$1:$998,COLUMN(O$1),FALSE)*VLOOKUP($D130,素材!$1:$1016,COLUMN(E$1),FALSE),1),"")</f>
        <v>0</v>
      </c>
      <c r="AA130">
        <f>IF(ISNUMBER(SEARCH(SUBSTITUTE(AA$1,RIGHT(AA$1,2),""),VLOOKUP($D130,素材!$1:$1016,COLUMN($F$1),FALSE))),VLOOKUP($C130,装備品!$1:$998,COLUMN($O$1),FALSE)*VLOOKUP($D130,素材!$1:$1016,COLUMN($E$1),FALSE)/(LEN(VLOOKUP($D130,素材!$1:$1016,COLUMN($F$1),FALSE))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B130">
        <f>IF(ISNUMBER(SEARCH(SUBSTITUTE(AB$1,RIGHT(AB$1,2),""),VLOOKUP($D130,素材!$1:$1016,COLUMN($F$1),FALSE))),VLOOKUP($C130,装備品!$1:$998,COLUMN($O$1),FALSE)*VLOOKUP($D130,素材!$1:$1016,COLUMN($E$1),FALSE)/(LEN(VLOOKUP($D130,素材!$1:$1016,COLUMN($F$1),FALSE))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C130">
        <f>IF(ISNUMBER(SEARCH(SUBSTITUTE(AC$1,RIGHT(AC$1,2),""),VLOOKUP($D130,素材!$1:$1016,COLUMN($F$1),FALSE))),VLOOKUP($C130,装備品!$1:$998,COLUMN($O$1),FALSE)*VLOOKUP($D130,素材!$1:$1016,COLUMN($E$1),FALSE)/(LEN(VLOOKUP($D130,素材!$1:$1016,COLUMN($F$1),FALSE))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D130">
        <f>IF(ISNUMBER(SEARCH(SUBSTITUTE(AD$1,RIGHT(AD$1,2),""),VLOOKUP($D130,素材!$1:$1016,COLUMN($F$1),FALSE))),VLOOKUP($C130,装備品!$1:$998,COLUMN($O$1),FALSE)*VLOOKUP($D130,素材!$1:$1016,COLUMN($E$1),FALSE)/(LEN(VLOOKUP($D130,素材!$1:$1016,COLUMN($F$1),FALSE))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E130">
        <f>IF(ISNUMBER(SEARCH(SUBSTITUTE(AE$1,RIGHT(AE$1,2),""),VLOOKUP($D130,素材!$1:$1016,COLUMN($F$1),FALSE))),VLOOKUP($C130,装備品!$1:$998,COLUMN($O$1),FALSE)*VLOOKUP($D130,素材!$1:$1016,COLUMN($E$1),FALSE)/(LEN(VLOOKUP($D130,素材!$1:$1016,COLUMN($F$1),FALSE))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F130">
        <f>IF(ISNUMBER(SEARCH(SUBSTITUTE(AF$1,RIGHT(AF$1,2),""),VLOOKUP($D130,素材!$1:$1016,COLUMN($F$1),FALSE))),VLOOKUP($C130,装備品!$1:$998,COLUMN($O$1),FALSE)*VLOOKUP($D130,素材!$1:$1016,COLUMN($E$1),FALSE)/(LEN(VLOOKUP($D130,素材!$1:$1016,COLUMN($F$1),FALSE))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G130">
        <f>IF(ISNUMBER(SEARCH(SUBSTITUTE(AG$1,RIGHT(AG$1,2),""),VLOOKUP($D130,素材!$1:$1016,COLUMN($F$1),FALSE))),VLOOKUP($C130,装備品!$1:$998,COLUMN($O$1),FALSE)*VLOOKUP($D130,素材!$1:$1016,COLUMN($E$1),FALSE)/(LEN(VLOOKUP($D130,素材!$1:$1016,COLUMN($F$1),FALSE))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H130">
        <f>IF(ISNUMBER(SEARCH(SUBSTITUTE(AH$1,RIGHT(AH$1,2),""),VLOOKUP($D130,素材!$1:$1016,COLUMN($F$1),FALSE))),VLOOKUP($C130,装備品!$1:$998,COLUMN($O$1),FALSE)*VLOOKUP($D130,素材!$1:$1016,COLUMN($E$1),FALSE)/(LEN(VLOOKUP($D130,素材!$1:$1016,COLUMN($F$1),FALSE))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I130">
        <f>IF(ISNUMBER(SEARCH(SUBSTITUTE(AI$1,RIGHT(AI$1,2),""),VLOOKUP($D130,素材!$1:$1016,COLUMN($F$1),FALSE))),VLOOKUP($C130,装備品!$1:$998,COLUMN($O$1),FALSE)*VLOOKUP($D130,素材!$1:$1016,COLUMN($E$1),FALSE)/(LEN(VLOOKUP($D130,素材!$1:$1016,COLUMN($F$1),FALSE))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J130">
        <f>IF(ISNUMBER(SEARCH(SUBSTITUTE(AJ$1,RIGHT(AJ$1,2),""),VLOOKUP($D130,素材!$1:$1016,COLUMN($F$1),FALSE))),VLOOKUP($C130,装備品!$1:$998,COLUMN($O$1),FALSE)*VLOOKUP($D130,素材!$1:$1016,COLUMN($E$1),FALSE)/(LEN(VLOOKUP($D130,素材!$1:$1016,COLUMN($F$1),FALSE))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K130">
        <f>IF(ISNUMBER(SEARCH(SUBSTITUTE(AK$1,RIGHT(AK$1,2),""),VLOOKUP($D130,素材!$1:$1016,COLUMN($F$1),FALSE))),VLOOKUP($C130,装備品!$1:$998,COLUMN($O$1),FALSE)*VLOOKUP($D130,素材!$1:$1016,COLUMN($E$1),FALSE)/(LEN(VLOOKUP($D130,素材!$1:$1016,COLUMN($F$1),FALSE))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L130">
        <f>IF(ISNUMBER(SEARCH(SUBSTITUTE(AL$1,RIGHT(AL$1,2),""),VLOOKUP($D130,素材!$1:$1016,COLUMN($F$1),FALSE))),VLOOKUP($C130,装備品!$1:$998,COLUMN($O$1),FALSE)*VLOOKUP($D130,素材!$1:$1016,COLUMN($E$1),FALSE)/(LEN(VLOOKUP($D130,素材!$1:$1016,COLUMN($F$1),FALSE))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M130">
        <f>IF(ISNUMBER(SEARCH(SUBSTITUTE(AM$1,RIGHT(AM$1,2),""),VLOOKUP($D130,素材!$1:$1016,COLUMN($F$1),FALSE))),VLOOKUP($C130,装備品!$1:$998,COLUMN($O$1),FALSE)*VLOOKUP($D130,素材!$1:$1016,COLUMN($E$1),FALSE)/(LEN(VLOOKUP($D130,素材!$1:$1016,COLUMN($F$1),FALSE))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N130">
        <f>IF(ISNUMBER(SEARCH(SUBSTITUTE(AN$1,RIGHT(AN$1,2),""),VLOOKUP($D130,素材!$1:$1016,COLUMN($F$1),FALSE))),VLOOKUP($C130,装備品!$1:$998,COLUMN($O$1),FALSE)*VLOOKUP($D130,素材!$1:$1016,COLUMN($E$1),FALSE)/(LEN(VLOOKUP($D130,素材!$1:$1016,COLUMN($F$1),FALSE))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O130">
        <f>IF(ISNUMBER(SEARCH(SUBSTITUTE(AO$1,RIGHT(AO$1,2),""),VLOOKUP($D130,素材!$1:$1016,COLUMN($F$1),FALSE))),VLOOKUP($C130,装備品!$1:$998,COLUMN($O$1),FALSE)*VLOOKUP($D130,素材!$1:$1016,COLUMN($E$1),FALSE)/(LEN(VLOOKUP($D130,素材!$1:$1016,COLUMN($F$1),FALSE))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P130">
        <f>IF(ISNUMBER(SEARCH(SUBSTITUTE(AP$1,RIGHT(AP$1,2),""),VLOOKUP($D130,素材!$1:$1016,COLUMN($F$1),FALSE))),VLOOKUP($C130,装備品!$1:$998,COLUMN($O$1),FALSE)*VLOOKUP($D130,素材!$1:$1016,COLUMN($E$1),FALSE)/(LEN(VLOOKUP($D130,素材!$1:$1016,COLUMN($F$1),FALSE))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Q130">
        <f>IF(ISNUMBER(SEARCH(SUBSTITUTE(AQ$1,RIGHT(AQ$1,2),""),VLOOKUP($D130,素材!$1:$1016,COLUMN($F$1),FALSE))),VLOOKUP($C130,装備品!$1:$998,COLUMN($O$1),FALSE)*VLOOKUP($D130,素材!$1:$1016,COLUMN($E$1),FALSE)/(LEN(VLOOKUP($D130,素材!$1:$1016,COLUMN($F$1),FALSE))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R130">
        <f>IF(ISNUMBER(SEARCH(SUBSTITUTE(AR$1,RIGHT(AR$1,2),""),VLOOKUP($D130,素材!$1:$1016,COLUMN($F$1),FALSE))),VLOOKUP($C130,装備品!$1:$998,COLUMN($O$1),FALSE)*VLOOKUP($D130,素材!$1:$1016,COLUMN($E$1),FALSE)/(LEN(VLOOKUP($D130,素材!$1:$1016,COLUMN($F$1),FALSE))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S130">
        <f>IF(ISNUMBER(SEARCH(SUBSTITUTE(AS$1,RIGHT(AS$1,2),""),VLOOKUP($D130,素材!$1:$1016,COLUMN($F$1),FALSE))),VLOOKUP($C130,装備品!$1:$998,COLUMN($O$1),FALSE)*VLOOKUP($D130,素材!$1:$1016,COLUMN($E$1),FALSE)/(LEN(VLOOKUP($D130,素材!$1:$1016,COLUMN($F$1),FALSE))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T130">
        <f>IF(ISNUMBER(SEARCH(SUBSTITUTE(AT$1,RIGHT(AT$1,2),""),VLOOKUP($D130,素材!$1:$1016,COLUMN($F$1),FALSE))),VLOOKUP($C130,装備品!$1:$998,COLUMN($O$1),FALSE)*VLOOKUP($D130,素材!$1:$1016,COLUMN($E$1),FALSE)/(LEN(VLOOKUP($D130,素材!$1:$1016,COLUMN($F$1),FALSE))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U130">
        <f>IF(ISNUMBER(SEARCH(SUBSTITUTE(AU$1,RIGHT(AU$1,2),""),VLOOKUP($D130,素材!$1:$1016,COLUMN($F$1),FALSE))),VLOOKUP($C130,装備品!$1:$998,COLUMN($O$1),FALSE)*VLOOKUP($D130,素材!$1:$1016,COLUMN($E$1),FALSE)/(LEN(VLOOKUP($D130,素材!$1:$1016,COLUMN($F$1),FALSE))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V130">
        <f>IF(ISNUMBER(SEARCH(SUBSTITUTE(AV$1,RIGHT(AV$1,2),""),VLOOKUP($D130,素材!$1:$1016,COLUMN($F$1),FALSE))),VLOOKUP($C130,装備品!$1:$998,COLUMN($O$1),FALSE)*VLOOKUP($D130,素材!$1:$1016,COLUMN($E$1),FALSE)/(LEN(VLOOKUP($D130,素材!$1:$1016,COLUMN($F$1),FALSE))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W130">
        <f>IF(ISNUMBER(SEARCH(SUBSTITUTE(AW$1,RIGHT(AW$1,2),""),VLOOKUP($D130,素材!$1:$1016,COLUMN($F$1),FALSE))),VLOOKUP($C130,装備品!$1:$998,COLUMN($O$1),FALSE)*VLOOKUP($D130,素材!$1:$1016,COLUMN($E$1),FALSE)/(LEN(VLOOKUP($D130,素材!$1:$1016,COLUMN($F$1),FALSE))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X130">
        <f>IF(ISNUMBER(SEARCH(SUBSTITUTE(AX$1,RIGHT(AX$1,2),""),VLOOKUP($D130,素材!$1:$1016,COLUMN($F$1),FALSE))),VLOOKUP($C130,装備品!$1:$998,COLUMN($O$1),FALSE)*VLOOKUP($D130,素材!$1:$1016,COLUMN($E$1),FALSE)/(LEN(VLOOKUP($D130,素材!$1:$1016,COLUMN($F$1),FALSE))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Y130">
        <f>IF(ISNUMBER(SEARCH(SUBSTITUTE(AY$1,RIGHT(AY$1,2),""),VLOOKUP($D130,素材!$1:$1016,COLUMN($F$1),FALSE))),VLOOKUP($C130,装備品!$1:$998,COLUMN($O$1),FALSE)*VLOOKUP($D130,素材!$1:$1016,COLUMN($E$1),FALSE)/(LEN(VLOOKUP($D130,素材!$1:$1016,COLUMN($F$1),FALSE))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Z130">
        <f>IF(ISNUMBER(SEARCH(SUBSTITUTE(AZ$1,RIGHT(AZ$1,2),""),VLOOKUP($D130,素材!$1:$1016,COLUMN($F$1),FALSE))),VLOOKUP($C130,装備品!$1:$998,COLUMN($O$1),FALSE)*VLOOKUP($D130,素材!$1:$1016,COLUMN($E$1),FALSE)/(LEN(VLOOKUP($D130,素材!$1:$1016,COLUMN($F$1),FALSE))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BA130">
        <f>IF(ISNUMBER(SEARCH(SUBSTITUTE(BA$1,RIGHT(BA$1,2),""),VLOOKUP($D130,素材!$1:$1016,COLUMN($F$1),FALSE))),VLOOKUP($C130,装備品!$1:$998,COLUMN($O$1),FALSE)*VLOOKUP($D130,素材!$1:$1016,COLUMN($E$1),FALSE)/(LEN(VLOOKUP($D130,素材!$1:$1016,COLUMN($F$1),FALSE))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BB130">
        <f>IF(ISNUMBER(SEARCH(SUBSTITUTE(BB$1,RIGHT(BB$1,2),""),VLOOKUP($D130,素材!$1:$1016,COLUMN($F$1),FALSE))),VLOOKUP($C130,装備品!$1:$998,COLUMN($O$1),FALSE)*VLOOKUP($D130,素材!$1:$1016,COLUMN($E$1),FALSE)/(LEN(VLOOKUP($D130,素材!$1:$1016,COLUMN($F$1),FALSE))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BC130">
        <f>IF(ISNUMBER(SEARCH(SUBSTITUTE(BC$1,RIGHT(BC$1,2),""),VLOOKUP($D130,素材!$1:$1016,COLUMN($F$1),FALSE))),VLOOKUP($C130,装備品!$1:$998,COLUMN($O$1),FALSE)*VLOOKUP($D130,素材!$1:$1016,COLUMN($E$1),FALSE)/(LEN(VLOOKUP($D130,素材!$1:$1016,COLUMN($F$1),FALSE))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BD130">
        <f>IF(ISNUMBER(SEARCH(SUBSTITUTE(BD$1,RIGHT(BD$1,2),""),VLOOKUP($D130,素材!$1:$1016,COLUMN($F$1),FALSE))),VLOOKUP($C130,装備品!$1:$998,COLUMN($O$1),FALSE)*VLOOKUP($D130,素材!$1:$1016,COLUMN($E$1),FALSE)/(LEN(VLOOKUP($D130,素材!$1:$1016,COLUMN($F$1),FALSE))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BE130">
        <f>IF(ISNUMBER(SEARCH(SUBSTITUTE(BE$1,RIGHT(BE$1,2),""),VLOOKUP($D130,素材!$1:$1016,COLUMN($F$1),FALSE))),VLOOKUP($C130,装備品!$1:$998,COLUMN($O$1),FALSE)*VLOOKUP($D130,素材!$1:$1016,COLUMN($E$1),FALSE)/(LEN(VLOOKUP($D130,素材!$1:$1016,COLUMN($F$1),FALSE))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CL130">
        <f t="shared" si="7"/>
        <v>0</v>
      </c>
      <c r="CM130" s="22" t="str">
        <f t="shared" si="8"/>
        <v>体.webp</v>
      </c>
      <c r="CN130">
        <f>IFERROR(VLOOKUP($C130,装備品!$1:$998,COLUMN(V$1),FALSE)*VLOOKUP($D130,素材!$1:$1016,COLUMN(N$1),FALSE)+IF(CI130="",0,VLOOKUP($CI130,付与!$1:$1176,COLUMN($CK$1),FALSE)),"")</f>
        <v>0</v>
      </c>
      <c r="CO130" t="str">
        <f>VLOOKUP(D130,素材!$A:$O,COLUMN(素材!O$1),FALSE)</f>
        <v>高品質な加工を施した軽量の皮素材。軽量化により動きやすさを確保しつつ、適度な防御力を提供します。</v>
      </c>
      <c r="CP130" t="str">
        <f>VLOOKUP(C130,装備品!$A:$AB,COLUMN(装備品!AB$1),FALSE)</f>
        <v>HP 物理 魔法 体幹 出血 疲労 Cr</v>
      </c>
      <c r="CR130" t="str">
        <f t="shared" si="9"/>
        <v>e_130</v>
      </c>
      <c r="CS130">
        <f t="shared" si="10"/>
        <v>0</v>
      </c>
    </row>
    <row r="131" spans="1:97" outlineLevel="1" x14ac:dyDescent="0.4">
      <c r="A131" t="str">
        <f t="shared" si="11"/>
        <v>軽皮の鎧</v>
      </c>
      <c r="B131" t="str">
        <f>IFERROR(VLOOKUP($D131,素材!$1:$1016,COLUMN($B$1),FALSE)&amp;"・"&amp;VLOOKUP($C131,装備品!$1:$998,COLUMN(B$1),FALSE),"")</f>
        <v>ライトレザー・アーマー</v>
      </c>
      <c r="C131" t="s">
        <v>207</v>
      </c>
      <c r="D131" s="24" t="s">
        <v>249</v>
      </c>
      <c r="E131" t="str">
        <f>IFERROR(VLOOKUP(C131,装備品!$1:$998,COLUMN(C$1),FALSE),"")</f>
        <v>体</v>
      </c>
      <c r="F131">
        <f>IFERROR(ROUNDDOWN((VLOOKUP($C131,装備品!$1:$998,COLUMN(D$1),FALSE)+IFERROR(VLOOKUP($CI131,付与!$1:$1167,COLUMN(F$1),FALSE),0))*VLOOKUP($D131,素材!$1:$1016,COLUMN(D$1),FALSE),0),"")</f>
        <v>0</v>
      </c>
      <c r="G131">
        <f>IFERROR(ROUNDDOWN((VLOOKUP($C131,装備品!$1:$998,COLUMN(E$1),FALSE)+IFERROR(VLOOKUP($CI131,付与!$1:$1167,COLUMN(G$1),FALSE),0))*VLOOKUP($D131,素材!$1:$1016,COLUMN($E$1),FALSE),0),"")</f>
        <v>0</v>
      </c>
      <c r="H131">
        <f>IFERROR(ROUNDDOWN((VLOOKUP($C131,装備品!$1:$998,COLUMN(F$1),FALSE)+IFERROR(VLOOKUP($CI131,付与!$1:$1167,COLUMN(H$1),FALSE),0))*VLOOKUP($D131,素材!$1:$1016,COLUMN($E$1),FALSE),0),"")</f>
        <v>0</v>
      </c>
      <c r="I131">
        <f>IFERROR(ROUNDDOWN((VLOOKUP($C131,装備品!$1:$998,COLUMN(G$1),FALSE)+IFERROR(VLOOKUP($CI131,付与!$1:$1167,COLUMN(I$1),FALSE),0))*VLOOKUP($D131,素材!$1:$1016,COLUMN($E$1),FALSE),0),"")</f>
        <v>0</v>
      </c>
      <c r="J131">
        <f>IFERROR(ROUNDDOWN((VLOOKUP($C131,装備品!$1:$998,COLUMN(H$1),FALSE)+IFERROR(VLOOKUP($CI131,付与!$1:$1167,COLUMN(J$1),FALSE),0))*VLOOKUP($D131,素材!$1:$1016,COLUMN($E$1),FALSE),0),"")</f>
        <v>0</v>
      </c>
      <c r="K131">
        <f>IFERROR(ROUNDDOWN((VLOOKUP($C131,装備品!$1:$998,COLUMN(I$1),FALSE)+IFERROR(VLOOKUP($CI131,付与!$1:$1167,COLUMN(K$1),FALSE),0))*VLOOKUP($D131,素材!$1:$1016,COLUMN($E$1),FALSE),0),"")</f>
        <v>0</v>
      </c>
      <c r="L131" t="str">
        <f>IFERROR(VLOOKUP($D131,素材!$1:$1016,COLUMN($F$1),FALSE),"")</f>
        <v>-</v>
      </c>
      <c r="M131" t="str">
        <f>IFERROR(VLOOKUP($C131,装備品!$1:$998,COLUMN(AA$1),FALSE)*VLOOKUP($D131,素材!$1:$1016,COLUMN($G$1),FALSE),"")</f>
        <v/>
      </c>
      <c r="N131">
        <f>IFERROR(VLOOKUP($C131,装備品!$1:$998,COLUMN(I$1),FALSE),"")</f>
        <v>0</v>
      </c>
      <c r="O131" s="23" t="str">
        <f>IFERROR((VLOOKUP($C131,装備品!$1:$998,COLUMN(K$1),FALSE)+VLOOKUP($D131,素材!$1:$1016,COLUMN(H$1),FALSE))*100+IFERROR(VLOOKUP($CI131,付与!$1:$1167,COLUMN(O$1),FALSE),0),"")</f>
        <v/>
      </c>
      <c r="P131" s="23" t="str">
        <f>IFERROR((VLOOKUP($C131,装備品!$1:$998,COLUMN(L$1),FALSE)+VLOOKUP($D131,素材!$1:$1016,COLUMN(I$1),FALSE))*100+IFERROR(VLOOKUP($CI131,付与!$1:$1167,COLUMN(P$1),FALSE),0),"")</f>
        <v/>
      </c>
      <c r="Q131">
        <f>IFERROR(ROUNDUP(VLOOKUP($C131,装備品!$1:$998,COLUMN(M$1),FALSE)*(VLOOKUP($D131,素材!$1:$1002,COLUMN(D$1),FALSE)/100),1),"")</f>
        <v>-3.8000000000000003</v>
      </c>
      <c r="R131">
        <f>IFERROR(ROUNDUP(VLOOKUP($C131,装備品!$1:$998,COLUMN(N$1),FALSE)*(VLOOKUP($D131,素材!$1:$1002,COLUMN(D$1),FALSE)/100),1),"")</f>
        <v>0</v>
      </c>
      <c r="S131">
        <f>IFERROR(VLOOKUP($C131,装備品!$1:$998,COLUMN(P$1),FALSE),"")</f>
        <v>-35</v>
      </c>
      <c r="T131">
        <f>IFERROR(VLOOKUP($C131,装備品!$1:$998,COLUMN(Q$1),FALSE),"")</f>
        <v>0</v>
      </c>
      <c r="U131">
        <f>IFERROR(VLOOKUP($C131,装備品!$1:$998,COLUMN(R$1),FALSE),"")</f>
        <v>0</v>
      </c>
      <c r="V131">
        <f>IFERROR(VLOOKUP($C131,装備品!$1:$998,COLUMN(Q$1),FALSE),"")</f>
        <v>0</v>
      </c>
      <c r="W131">
        <f>IFERROR(VLOOKUP($C131,装備品!$1:$998,COLUMN(T$1),FALSE),"")</f>
        <v>0.7</v>
      </c>
      <c r="Y131">
        <f>IFERROR(VLOOKUP($C131,装備品!$1:$998,COLUMN(U$1),FALSE),"")</f>
        <v>0</v>
      </c>
      <c r="Z131">
        <f>IFERROR(ROUNDUP(VLOOKUP($C131,装備品!$1:$998,COLUMN(O$1),FALSE)*VLOOKUP($D131,素材!$1:$1016,COLUMN(E$1),FALSE),1),"")</f>
        <v>0</v>
      </c>
      <c r="AA131">
        <f>IF(ISNUMBER(SEARCH(SUBSTITUTE(AA$1,RIGHT(AA$1,2),""),VLOOKUP($D131,素材!$1:$1016,COLUMN($F$1),FALSE))),VLOOKUP($C131,装備品!$1:$998,COLUMN($O$1),FALSE)*VLOOKUP($D131,素材!$1:$1016,COLUMN($E$1),FALSE)/(LEN(VLOOKUP($D131,素材!$1:$1016,COLUMN($F$1),FALSE))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B131">
        <f>IF(ISNUMBER(SEARCH(SUBSTITUTE(AB$1,RIGHT(AB$1,2),""),VLOOKUP($D131,素材!$1:$1016,COLUMN($F$1),FALSE))),VLOOKUP($C131,装備品!$1:$998,COLUMN($O$1),FALSE)*VLOOKUP($D131,素材!$1:$1016,COLUMN($E$1),FALSE)/(LEN(VLOOKUP($D131,素材!$1:$1016,COLUMN($F$1),FALSE))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C131">
        <f>IF(ISNUMBER(SEARCH(SUBSTITUTE(AC$1,RIGHT(AC$1,2),""),VLOOKUP($D131,素材!$1:$1016,COLUMN($F$1),FALSE))),VLOOKUP($C131,装備品!$1:$998,COLUMN($O$1),FALSE)*VLOOKUP($D131,素材!$1:$1016,COLUMN($E$1),FALSE)/(LEN(VLOOKUP($D131,素材!$1:$1016,COLUMN($F$1),FALSE))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D131">
        <f>IF(ISNUMBER(SEARCH(SUBSTITUTE(AD$1,RIGHT(AD$1,2),""),VLOOKUP($D131,素材!$1:$1016,COLUMN($F$1),FALSE))),VLOOKUP($C131,装備品!$1:$998,COLUMN($O$1),FALSE)*VLOOKUP($D131,素材!$1:$1016,COLUMN($E$1),FALSE)/(LEN(VLOOKUP($D131,素材!$1:$1016,COLUMN($F$1),FALSE))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E131">
        <f>IF(ISNUMBER(SEARCH(SUBSTITUTE(AE$1,RIGHT(AE$1,2),""),VLOOKUP($D131,素材!$1:$1016,COLUMN($F$1),FALSE))),VLOOKUP($C131,装備品!$1:$998,COLUMN($O$1),FALSE)*VLOOKUP($D131,素材!$1:$1016,COLUMN($E$1),FALSE)/(LEN(VLOOKUP($D131,素材!$1:$1016,COLUMN($F$1),FALSE))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F131">
        <f>IF(ISNUMBER(SEARCH(SUBSTITUTE(AF$1,RIGHT(AF$1,2),""),VLOOKUP($D131,素材!$1:$1016,COLUMN($F$1),FALSE))),VLOOKUP($C131,装備品!$1:$998,COLUMN($O$1),FALSE)*VLOOKUP($D131,素材!$1:$1016,COLUMN($E$1),FALSE)/(LEN(VLOOKUP($D131,素材!$1:$1016,COLUMN($F$1),FALSE))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G131">
        <f>IF(ISNUMBER(SEARCH(SUBSTITUTE(AG$1,RIGHT(AG$1,2),""),VLOOKUP($D131,素材!$1:$1016,COLUMN($F$1),FALSE))),VLOOKUP($C131,装備品!$1:$998,COLUMN($O$1),FALSE)*VLOOKUP($D131,素材!$1:$1016,COLUMN($E$1),FALSE)/(LEN(VLOOKUP($D131,素材!$1:$1016,COLUMN($F$1),FALSE))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H131">
        <f>IF(ISNUMBER(SEARCH(SUBSTITUTE(AH$1,RIGHT(AH$1,2),""),VLOOKUP($D131,素材!$1:$1016,COLUMN($F$1),FALSE))),VLOOKUP($C131,装備品!$1:$998,COLUMN($O$1),FALSE)*VLOOKUP($D131,素材!$1:$1016,COLUMN($E$1),FALSE)/(LEN(VLOOKUP($D131,素材!$1:$1016,COLUMN($F$1),FALSE))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I131">
        <f>IF(ISNUMBER(SEARCH(SUBSTITUTE(AI$1,RIGHT(AI$1,2),""),VLOOKUP($D131,素材!$1:$1016,COLUMN($F$1),FALSE))),VLOOKUP($C131,装備品!$1:$998,COLUMN($O$1),FALSE)*VLOOKUP($D131,素材!$1:$1016,COLUMN($E$1),FALSE)/(LEN(VLOOKUP($D131,素材!$1:$1016,COLUMN($F$1),FALSE))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J131">
        <f>IF(ISNUMBER(SEARCH(SUBSTITUTE(AJ$1,RIGHT(AJ$1,2),""),VLOOKUP($D131,素材!$1:$1016,COLUMN($F$1),FALSE))),VLOOKUP($C131,装備品!$1:$998,COLUMN($O$1),FALSE)*VLOOKUP($D131,素材!$1:$1016,COLUMN($E$1),FALSE)/(LEN(VLOOKUP($D131,素材!$1:$1016,COLUMN($F$1),FALSE))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K131">
        <f>IF(ISNUMBER(SEARCH(SUBSTITUTE(AK$1,RIGHT(AK$1,2),""),VLOOKUP($D131,素材!$1:$1016,COLUMN($F$1),FALSE))),VLOOKUP($C131,装備品!$1:$998,COLUMN($O$1),FALSE)*VLOOKUP($D131,素材!$1:$1016,COLUMN($E$1),FALSE)/(LEN(VLOOKUP($D131,素材!$1:$1016,COLUMN($F$1),FALSE))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L131">
        <f>IF(ISNUMBER(SEARCH(SUBSTITUTE(AL$1,RIGHT(AL$1,2),""),VLOOKUP($D131,素材!$1:$1016,COLUMN($F$1),FALSE))),VLOOKUP($C131,装備品!$1:$998,COLUMN($O$1),FALSE)*VLOOKUP($D131,素材!$1:$1016,COLUMN($E$1),FALSE)/(LEN(VLOOKUP($D131,素材!$1:$1016,COLUMN($F$1),FALSE))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M131">
        <f>IF(ISNUMBER(SEARCH(SUBSTITUTE(AM$1,RIGHT(AM$1,2),""),VLOOKUP($D131,素材!$1:$1016,COLUMN($F$1),FALSE))),VLOOKUP($C131,装備品!$1:$998,COLUMN($O$1),FALSE)*VLOOKUP($D131,素材!$1:$1016,COLUMN($E$1),FALSE)/(LEN(VLOOKUP($D131,素材!$1:$1016,COLUMN($F$1),FALSE))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N131">
        <f>IF(ISNUMBER(SEARCH(SUBSTITUTE(AN$1,RIGHT(AN$1,2),""),VLOOKUP($D131,素材!$1:$1016,COLUMN($F$1),FALSE))),VLOOKUP($C131,装備品!$1:$998,COLUMN($O$1),FALSE)*VLOOKUP($D131,素材!$1:$1016,COLUMN($E$1),FALSE)/(LEN(VLOOKUP($D131,素材!$1:$1016,COLUMN($F$1),FALSE))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O131">
        <f>IF(ISNUMBER(SEARCH(SUBSTITUTE(AO$1,RIGHT(AO$1,2),""),VLOOKUP($D131,素材!$1:$1016,COLUMN($F$1),FALSE))),VLOOKUP($C131,装備品!$1:$998,COLUMN($O$1),FALSE)*VLOOKUP($D131,素材!$1:$1016,COLUMN($E$1),FALSE)/(LEN(VLOOKUP($D131,素材!$1:$1016,COLUMN($F$1),FALSE))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P131">
        <f>IF(ISNUMBER(SEARCH(SUBSTITUTE(AP$1,RIGHT(AP$1,2),""),VLOOKUP($D131,素材!$1:$1016,COLUMN($F$1),FALSE))),VLOOKUP($C131,装備品!$1:$998,COLUMN($O$1),FALSE)*VLOOKUP($D131,素材!$1:$1016,COLUMN($E$1),FALSE)/(LEN(VLOOKUP($D131,素材!$1:$1016,COLUMN($F$1),FALSE))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Q131">
        <f>IF(ISNUMBER(SEARCH(SUBSTITUTE(AQ$1,RIGHT(AQ$1,2),""),VLOOKUP($D131,素材!$1:$1016,COLUMN($F$1),FALSE))),VLOOKUP($C131,装備品!$1:$998,COLUMN($O$1),FALSE)*VLOOKUP($D131,素材!$1:$1016,COLUMN($E$1),FALSE)/(LEN(VLOOKUP($D131,素材!$1:$1016,COLUMN($F$1),FALSE))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R131">
        <f>IF(ISNUMBER(SEARCH(SUBSTITUTE(AR$1,RIGHT(AR$1,2),""),VLOOKUP($D131,素材!$1:$1016,COLUMN($F$1),FALSE))),VLOOKUP($C131,装備品!$1:$998,COLUMN($O$1),FALSE)*VLOOKUP($D131,素材!$1:$1016,COLUMN($E$1),FALSE)/(LEN(VLOOKUP($D131,素材!$1:$1016,COLUMN($F$1),FALSE))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S131">
        <f>IF(ISNUMBER(SEARCH(SUBSTITUTE(AS$1,RIGHT(AS$1,2),""),VLOOKUP($D131,素材!$1:$1016,COLUMN($F$1),FALSE))),VLOOKUP($C131,装備品!$1:$998,COLUMN($O$1),FALSE)*VLOOKUP($D131,素材!$1:$1016,COLUMN($E$1),FALSE)/(LEN(VLOOKUP($D131,素材!$1:$1016,COLUMN($F$1),FALSE))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T131">
        <f>IF(ISNUMBER(SEARCH(SUBSTITUTE(AT$1,RIGHT(AT$1,2),""),VLOOKUP($D131,素材!$1:$1016,COLUMN($F$1),FALSE))),VLOOKUP($C131,装備品!$1:$998,COLUMN($O$1),FALSE)*VLOOKUP($D131,素材!$1:$1016,COLUMN($E$1),FALSE)/(LEN(VLOOKUP($D131,素材!$1:$1016,COLUMN($F$1),FALSE))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U131">
        <f>IF(ISNUMBER(SEARCH(SUBSTITUTE(AU$1,RIGHT(AU$1,2),""),VLOOKUP($D131,素材!$1:$1016,COLUMN($F$1),FALSE))),VLOOKUP($C131,装備品!$1:$998,COLUMN($O$1),FALSE)*VLOOKUP($D131,素材!$1:$1016,COLUMN($E$1),FALSE)/(LEN(VLOOKUP($D131,素材!$1:$1016,COLUMN($F$1),FALSE))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V131">
        <f>IF(ISNUMBER(SEARCH(SUBSTITUTE(AV$1,RIGHT(AV$1,2),""),VLOOKUP($D131,素材!$1:$1016,COLUMN($F$1),FALSE))),VLOOKUP($C131,装備品!$1:$998,COLUMN($O$1),FALSE)*VLOOKUP($D131,素材!$1:$1016,COLUMN($E$1),FALSE)/(LEN(VLOOKUP($D131,素材!$1:$1016,COLUMN($F$1),FALSE))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W131">
        <f>IF(ISNUMBER(SEARCH(SUBSTITUTE(AW$1,RIGHT(AW$1,2),""),VLOOKUP($D131,素材!$1:$1016,COLUMN($F$1),FALSE))),VLOOKUP($C131,装備品!$1:$998,COLUMN($O$1),FALSE)*VLOOKUP($D131,素材!$1:$1016,COLUMN($E$1),FALSE)/(LEN(VLOOKUP($D131,素材!$1:$1016,COLUMN($F$1),FALSE))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X131">
        <f>IF(ISNUMBER(SEARCH(SUBSTITUTE(AX$1,RIGHT(AX$1,2),""),VLOOKUP($D131,素材!$1:$1016,COLUMN($F$1),FALSE))),VLOOKUP($C131,装備品!$1:$998,COLUMN($O$1),FALSE)*VLOOKUP($D131,素材!$1:$1016,COLUMN($E$1),FALSE)/(LEN(VLOOKUP($D131,素材!$1:$1016,COLUMN($F$1),FALSE))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Y131">
        <f>IF(ISNUMBER(SEARCH(SUBSTITUTE(AY$1,RIGHT(AY$1,2),""),VLOOKUP($D131,素材!$1:$1016,COLUMN($F$1),FALSE))),VLOOKUP($C131,装備品!$1:$998,COLUMN($O$1),FALSE)*VLOOKUP($D131,素材!$1:$1016,COLUMN($E$1),FALSE)/(LEN(VLOOKUP($D131,素材!$1:$1016,COLUMN($F$1),FALSE))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Z131">
        <f>IF(ISNUMBER(SEARCH(SUBSTITUTE(AZ$1,RIGHT(AZ$1,2),""),VLOOKUP($D131,素材!$1:$1016,COLUMN($F$1),FALSE))),VLOOKUP($C131,装備品!$1:$998,COLUMN($O$1),FALSE)*VLOOKUP($D131,素材!$1:$1016,COLUMN($E$1),FALSE)/(LEN(VLOOKUP($D131,素材!$1:$1016,COLUMN($F$1),FALSE))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BA131">
        <f>IF(ISNUMBER(SEARCH(SUBSTITUTE(BA$1,RIGHT(BA$1,2),""),VLOOKUP($D131,素材!$1:$1016,COLUMN($F$1),FALSE))),VLOOKUP($C131,装備品!$1:$998,COLUMN($O$1),FALSE)*VLOOKUP($D131,素材!$1:$1016,COLUMN($E$1),FALSE)/(LEN(VLOOKUP($D131,素材!$1:$1016,COLUMN($F$1),FALSE))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BB131">
        <f>IF(ISNUMBER(SEARCH(SUBSTITUTE(BB$1,RIGHT(BB$1,2),""),VLOOKUP($D131,素材!$1:$1016,COLUMN($F$1),FALSE))),VLOOKUP($C131,装備品!$1:$998,COLUMN($O$1),FALSE)*VLOOKUP($D131,素材!$1:$1016,COLUMN($E$1),FALSE)/(LEN(VLOOKUP($D131,素材!$1:$1016,COLUMN($F$1),FALSE))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BC131">
        <f>IF(ISNUMBER(SEARCH(SUBSTITUTE(BC$1,RIGHT(BC$1,2),""),VLOOKUP($D131,素材!$1:$1016,COLUMN($F$1),FALSE))),VLOOKUP($C131,装備品!$1:$998,COLUMN($O$1),FALSE)*VLOOKUP($D131,素材!$1:$1016,COLUMN($E$1),FALSE)/(LEN(VLOOKUP($D131,素材!$1:$1016,COLUMN($F$1),FALSE))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BD131">
        <f>IF(ISNUMBER(SEARCH(SUBSTITUTE(BD$1,RIGHT(BD$1,2),""),VLOOKUP($D131,素材!$1:$1016,COLUMN($F$1),FALSE))),VLOOKUP($C131,装備品!$1:$998,COLUMN($O$1),FALSE)*VLOOKUP($D131,素材!$1:$1016,COLUMN($E$1),FALSE)/(LEN(VLOOKUP($D131,素材!$1:$1016,COLUMN($F$1),FALSE))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BE131">
        <f>IF(ISNUMBER(SEARCH(SUBSTITUTE(BE$1,RIGHT(BE$1,2),""),VLOOKUP($D131,素材!$1:$1016,COLUMN($F$1),FALSE))),VLOOKUP($C131,装備品!$1:$998,COLUMN($O$1),FALSE)*VLOOKUP($D131,素材!$1:$1016,COLUMN($E$1),FALSE)/(LEN(VLOOKUP($D131,素材!$1:$1016,COLUMN($F$1),FALSE))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CL131">
        <f t="shared" ref="CL131:CL194" si="19">SUM(G131:I131)</f>
        <v>0</v>
      </c>
      <c r="CM131" s="22" t="str">
        <f t="shared" ref="CM131:CM194" si="20">IF(E131="武器",IF(J131-1&gt;SUM(G131:I131),"盾",IF(MAX(G131:I131)=G131,"切断",IF(MAX(G131:I131)=H131,"貫通",IF(MAX(G131:I131)=I131,"打撃","射撃")))),E131)&amp;".webp"</f>
        <v>体.webp</v>
      </c>
      <c r="CN131">
        <f>IFERROR(VLOOKUP($C131,装備品!$1:$998,COLUMN(V$1),FALSE)*VLOOKUP($D131,素材!$1:$1016,COLUMN(N$1),FALSE)+IF(CI131="",0,VLOOKUP($CI131,付与!$1:$1176,COLUMN($CK$1),FALSE)),"")</f>
        <v>0</v>
      </c>
      <c r="CO131" t="str">
        <f>VLOOKUP(D131,素材!$A:$O,COLUMN(素材!O$1),FALSE)</f>
        <v>高品質な加工を施した軽量の皮素材。軽量化により動きやすさを確保しつつ、適度な防御力を提供します。</v>
      </c>
      <c r="CP131" t="str">
        <f>VLOOKUP(C131,装備品!$A:$AB,COLUMN(装備品!AB$1),FALSE)</f>
        <v>HP 物理 魔法 体幹 出血 疲労 Cr</v>
      </c>
      <c r="CR131" t="str">
        <f t="shared" si="9"/>
        <v>e_131</v>
      </c>
      <c r="CS131">
        <f t="shared" si="10"/>
        <v>0</v>
      </c>
    </row>
    <row r="132" spans="1:97" outlineLevel="1" x14ac:dyDescent="0.4">
      <c r="A132" t="str">
        <f t="shared" si="11"/>
        <v>軽皮の胴衣</v>
      </c>
      <c r="B132" t="str">
        <f>IFERROR(VLOOKUP($D132,素材!$1:$1016,COLUMN($B$1),FALSE)&amp;"・"&amp;VLOOKUP($C132,装備品!$1:$998,COLUMN(B$1),FALSE),"")</f>
        <v>ライトレザー・ベスト</v>
      </c>
      <c r="C132" t="s">
        <v>206</v>
      </c>
      <c r="D132" s="24" t="s">
        <v>249</v>
      </c>
      <c r="E132" t="str">
        <f>IFERROR(VLOOKUP(C132,装備品!$1:$998,COLUMN(C$1),FALSE),"")</f>
        <v>体</v>
      </c>
      <c r="F132">
        <f>IFERROR(ROUNDDOWN((VLOOKUP($C132,装備品!$1:$998,COLUMN(D$1),FALSE)+IFERROR(VLOOKUP($CI132,付与!$1:$1167,COLUMN(F$1),FALSE),0))*VLOOKUP($D132,素材!$1:$1016,COLUMN(D$1),FALSE),0),"")</f>
        <v>0</v>
      </c>
      <c r="G132">
        <f>IFERROR(ROUNDDOWN((VLOOKUP($C132,装備品!$1:$998,COLUMN(E$1),FALSE)+IFERROR(VLOOKUP($CI132,付与!$1:$1167,COLUMN(G$1),FALSE),0))*VLOOKUP($D132,素材!$1:$1016,COLUMN($E$1),FALSE),0),"")</f>
        <v>0</v>
      </c>
      <c r="H132">
        <f>IFERROR(ROUNDDOWN((VLOOKUP($C132,装備品!$1:$998,COLUMN(F$1),FALSE)+IFERROR(VLOOKUP($CI132,付与!$1:$1167,COLUMN(H$1),FALSE),0))*VLOOKUP($D132,素材!$1:$1016,COLUMN($E$1),FALSE),0),"")</f>
        <v>0</v>
      </c>
      <c r="I132">
        <f>IFERROR(ROUNDDOWN((VLOOKUP($C132,装備品!$1:$998,COLUMN(G$1),FALSE)+IFERROR(VLOOKUP($CI132,付与!$1:$1167,COLUMN(I$1),FALSE),0))*VLOOKUP($D132,素材!$1:$1016,COLUMN($E$1),FALSE),0),"")</f>
        <v>0</v>
      </c>
      <c r="J132">
        <f>IFERROR(ROUNDDOWN((VLOOKUP($C132,装備品!$1:$998,COLUMN(H$1),FALSE)+IFERROR(VLOOKUP($CI132,付与!$1:$1167,COLUMN(J$1),FALSE),0))*VLOOKUP($D132,素材!$1:$1016,COLUMN($E$1),FALSE),0),"")</f>
        <v>0</v>
      </c>
      <c r="K132">
        <f>IFERROR(ROUNDDOWN((VLOOKUP($C132,装備品!$1:$998,COLUMN(I$1),FALSE)+IFERROR(VLOOKUP($CI132,付与!$1:$1167,COLUMN(K$1),FALSE),0))*VLOOKUP($D132,素材!$1:$1016,COLUMN($E$1),FALSE),0),"")</f>
        <v>0</v>
      </c>
      <c r="L132" t="str">
        <f>IFERROR(VLOOKUP($D132,素材!$1:$1016,COLUMN($F$1),FALSE),"")</f>
        <v>-</v>
      </c>
      <c r="M132" t="str">
        <f>IFERROR(VLOOKUP($C132,装備品!$1:$998,COLUMN(AA$1),FALSE)*VLOOKUP($D132,素材!$1:$1016,COLUMN($G$1),FALSE),"")</f>
        <v/>
      </c>
      <c r="N132">
        <f>IFERROR(VLOOKUP($C132,装備品!$1:$998,COLUMN(I$1),FALSE),"")</f>
        <v>0</v>
      </c>
      <c r="O132" s="23" t="str">
        <f>IFERROR((VLOOKUP($C132,装備品!$1:$998,COLUMN(K$1),FALSE)+VLOOKUP($D132,素材!$1:$1016,COLUMN(H$1),FALSE))*100+IFERROR(VLOOKUP($CI132,付与!$1:$1167,COLUMN(O$1),FALSE),0),"")</f>
        <v/>
      </c>
      <c r="P132" s="23" t="str">
        <f>IFERROR((VLOOKUP($C132,装備品!$1:$998,COLUMN(L$1),FALSE)+VLOOKUP($D132,素材!$1:$1016,COLUMN(I$1),FALSE))*100+IFERROR(VLOOKUP($CI132,付与!$1:$1167,COLUMN(P$1),FALSE),0),"")</f>
        <v/>
      </c>
      <c r="Q132">
        <f>IFERROR(ROUNDUP(VLOOKUP($C132,装備品!$1:$998,COLUMN(M$1),FALSE)*(VLOOKUP($D132,素材!$1:$1002,COLUMN(D$1),FALSE)/100),1),"")</f>
        <v>-1.9000000000000001</v>
      </c>
      <c r="R132">
        <f>IFERROR(ROUNDUP(VLOOKUP($C132,装備品!$1:$998,COLUMN(N$1),FALSE)*(VLOOKUP($D132,素材!$1:$1002,COLUMN(D$1),FALSE)/100),1),"")</f>
        <v>0</v>
      </c>
      <c r="S132">
        <f>IFERROR(VLOOKUP($C132,装備品!$1:$998,COLUMN(P$1),FALSE),"")</f>
        <v>-15</v>
      </c>
      <c r="T132">
        <f>IFERROR(VLOOKUP($C132,装備品!$1:$998,COLUMN(Q$1),FALSE),"")</f>
        <v>0</v>
      </c>
      <c r="U132">
        <f>IFERROR(VLOOKUP($C132,装備品!$1:$998,COLUMN(R$1),FALSE),"")</f>
        <v>0</v>
      </c>
      <c r="V132">
        <f>IFERROR(VLOOKUP($C132,装備品!$1:$998,COLUMN(Q$1),FALSE),"")</f>
        <v>0</v>
      </c>
      <c r="W132">
        <f>IFERROR(VLOOKUP($C132,装備品!$1:$998,COLUMN(T$1),FALSE),"")</f>
        <v>0.5</v>
      </c>
      <c r="Y132">
        <f>IFERROR(VLOOKUP($C132,装備品!$1:$998,COLUMN(U$1),FALSE),"")</f>
        <v>0</v>
      </c>
      <c r="Z132">
        <f>IFERROR(ROUNDUP(VLOOKUP($C132,装備品!$1:$998,COLUMN(O$1),FALSE)*VLOOKUP($D132,素材!$1:$1016,COLUMN(E$1),FALSE),1),"")</f>
        <v>0</v>
      </c>
      <c r="AA132">
        <f>IF(ISNUMBER(SEARCH(SUBSTITUTE(AA$1,RIGHT(AA$1,2),""),VLOOKUP($D132,素材!$1:$1016,COLUMN($F$1),FALSE))),VLOOKUP($C132,装備品!$1:$998,COLUMN($O$1),FALSE)*VLOOKUP($D132,素材!$1:$1016,COLUMN($E$1),FALSE)/(LEN(VLOOKUP($D132,素材!$1:$1016,COLUMN($F$1),FALSE))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B132">
        <f>IF(ISNUMBER(SEARCH(SUBSTITUTE(AB$1,RIGHT(AB$1,2),""),VLOOKUP($D132,素材!$1:$1016,COLUMN($F$1),FALSE))),VLOOKUP($C132,装備品!$1:$998,COLUMN($O$1),FALSE)*VLOOKUP($D132,素材!$1:$1016,COLUMN($E$1),FALSE)/(LEN(VLOOKUP($D132,素材!$1:$1016,COLUMN($F$1),FALSE))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C132">
        <f>IF(ISNUMBER(SEARCH(SUBSTITUTE(AC$1,RIGHT(AC$1,2),""),VLOOKUP($D132,素材!$1:$1016,COLUMN($F$1),FALSE))),VLOOKUP($C132,装備品!$1:$998,COLUMN($O$1),FALSE)*VLOOKUP($D132,素材!$1:$1016,COLUMN($E$1),FALSE)/(LEN(VLOOKUP($D132,素材!$1:$1016,COLUMN($F$1),FALSE))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D132">
        <f>IF(ISNUMBER(SEARCH(SUBSTITUTE(AD$1,RIGHT(AD$1,2),""),VLOOKUP($D132,素材!$1:$1016,COLUMN($F$1),FALSE))),VLOOKUP($C132,装備品!$1:$998,COLUMN($O$1),FALSE)*VLOOKUP($D132,素材!$1:$1016,COLUMN($E$1),FALSE)/(LEN(VLOOKUP($D132,素材!$1:$1016,COLUMN($F$1),FALSE))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E132">
        <f>IF(ISNUMBER(SEARCH(SUBSTITUTE(AE$1,RIGHT(AE$1,2),""),VLOOKUP($D132,素材!$1:$1016,COLUMN($F$1),FALSE))),VLOOKUP($C132,装備品!$1:$998,COLUMN($O$1),FALSE)*VLOOKUP($D132,素材!$1:$1016,COLUMN($E$1),FALSE)/(LEN(VLOOKUP($D132,素材!$1:$1016,COLUMN($F$1),FALSE))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F132">
        <f>IF(ISNUMBER(SEARCH(SUBSTITUTE(AF$1,RIGHT(AF$1,2),""),VLOOKUP($D132,素材!$1:$1016,COLUMN($F$1),FALSE))),VLOOKUP($C132,装備品!$1:$998,COLUMN($O$1),FALSE)*VLOOKUP($D132,素材!$1:$1016,COLUMN($E$1),FALSE)/(LEN(VLOOKUP($D132,素材!$1:$1016,COLUMN($F$1),FALSE))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G132">
        <f>IF(ISNUMBER(SEARCH(SUBSTITUTE(AG$1,RIGHT(AG$1,2),""),VLOOKUP($D132,素材!$1:$1016,COLUMN($F$1),FALSE))),VLOOKUP($C132,装備品!$1:$998,COLUMN($O$1),FALSE)*VLOOKUP($D132,素材!$1:$1016,COLUMN($E$1),FALSE)/(LEN(VLOOKUP($D132,素材!$1:$1016,COLUMN($F$1),FALSE))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H132">
        <f>IF(ISNUMBER(SEARCH(SUBSTITUTE(AH$1,RIGHT(AH$1,2),""),VLOOKUP($D132,素材!$1:$1016,COLUMN($F$1),FALSE))),VLOOKUP($C132,装備品!$1:$998,COLUMN($O$1),FALSE)*VLOOKUP($D132,素材!$1:$1016,COLUMN($E$1),FALSE)/(LEN(VLOOKUP($D132,素材!$1:$1016,COLUMN($F$1),FALSE))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I132">
        <f>IF(ISNUMBER(SEARCH(SUBSTITUTE(AI$1,RIGHT(AI$1,2),""),VLOOKUP($D132,素材!$1:$1016,COLUMN($F$1),FALSE))),VLOOKUP($C132,装備品!$1:$998,COLUMN($O$1),FALSE)*VLOOKUP($D132,素材!$1:$1016,COLUMN($E$1),FALSE)/(LEN(VLOOKUP($D132,素材!$1:$1016,COLUMN($F$1),FALSE))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J132">
        <f>IF(ISNUMBER(SEARCH(SUBSTITUTE(AJ$1,RIGHT(AJ$1,2),""),VLOOKUP($D132,素材!$1:$1016,COLUMN($F$1),FALSE))),VLOOKUP($C132,装備品!$1:$998,COLUMN($O$1),FALSE)*VLOOKUP($D132,素材!$1:$1016,COLUMN($E$1),FALSE)/(LEN(VLOOKUP($D132,素材!$1:$1016,COLUMN($F$1),FALSE))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K132">
        <f>IF(ISNUMBER(SEARCH(SUBSTITUTE(AK$1,RIGHT(AK$1,2),""),VLOOKUP($D132,素材!$1:$1016,COLUMN($F$1),FALSE))),VLOOKUP($C132,装備品!$1:$998,COLUMN($O$1),FALSE)*VLOOKUP($D132,素材!$1:$1016,COLUMN($E$1),FALSE)/(LEN(VLOOKUP($D132,素材!$1:$1016,COLUMN($F$1),FALSE))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L132">
        <f>IF(ISNUMBER(SEARCH(SUBSTITUTE(AL$1,RIGHT(AL$1,2),""),VLOOKUP($D132,素材!$1:$1016,COLUMN($F$1),FALSE))),VLOOKUP($C132,装備品!$1:$998,COLUMN($O$1),FALSE)*VLOOKUP($D132,素材!$1:$1016,COLUMN($E$1),FALSE)/(LEN(VLOOKUP($D132,素材!$1:$1016,COLUMN($F$1),FALSE))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M132">
        <f>IF(ISNUMBER(SEARCH(SUBSTITUTE(AM$1,RIGHT(AM$1,2),""),VLOOKUP($D132,素材!$1:$1016,COLUMN($F$1),FALSE))),VLOOKUP($C132,装備品!$1:$998,COLUMN($O$1),FALSE)*VLOOKUP($D132,素材!$1:$1016,COLUMN($E$1),FALSE)/(LEN(VLOOKUP($D132,素材!$1:$1016,COLUMN($F$1),FALSE))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N132">
        <f>IF(ISNUMBER(SEARCH(SUBSTITUTE(AN$1,RIGHT(AN$1,2),""),VLOOKUP($D132,素材!$1:$1016,COLUMN($F$1),FALSE))),VLOOKUP($C132,装備品!$1:$998,COLUMN($O$1),FALSE)*VLOOKUP($D132,素材!$1:$1016,COLUMN($E$1),FALSE)/(LEN(VLOOKUP($D132,素材!$1:$1016,COLUMN($F$1),FALSE))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O132">
        <f>IF(ISNUMBER(SEARCH(SUBSTITUTE(AO$1,RIGHT(AO$1,2),""),VLOOKUP($D132,素材!$1:$1016,COLUMN($F$1),FALSE))),VLOOKUP($C132,装備品!$1:$998,COLUMN($O$1),FALSE)*VLOOKUP($D132,素材!$1:$1016,COLUMN($E$1),FALSE)/(LEN(VLOOKUP($D132,素材!$1:$1016,COLUMN($F$1),FALSE))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P132">
        <f>IF(ISNUMBER(SEARCH(SUBSTITUTE(AP$1,RIGHT(AP$1,2),""),VLOOKUP($D132,素材!$1:$1016,COLUMN($F$1),FALSE))),VLOOKUP($C132,装備品!$1:$998,COLUMN($O$1),FALSE)*VLOOKUP($D132,素材!$1:$1016,COLUMN($E$1),FALSE)/(LEN(VLOOKUP($D132,素材!$1:$1016,COLUMN($F$1),FALSE))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Q132">
        <f>IF(ISNUMBER(SEARCH(SUBSTITUTE(AQ$1,RIGHT(AQ$1,2),""),VLOOKUP($D132,素材!$1:$1016,COLUMN($F$1),FALSE))),VLOOKUP($C132,装備品!$1:$998,COLUMN($O$1),FALSE)*VLOOKUP($D132,素材!$1:$1016,COLUMN($E$1),FALSE)/(LEN(VLOOKUP($D132,素材!$1:$1016,COLUMN($F$1),FALSE))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R132">
        <f>IF(ISNUMBER(SEARCH(SUBSTITUTE(AR$1,RIGHT(AR$1,2),""),VLOOKUP($D132,素材!$1:$1016,COLUMN($F$1),FALSE))),VLOOKUP($C132,装備品!$1:$998,COLUMN($O$1),FALSE)*VLOOKUP($D132,素材!$1:$1016,COLUMN($E$1),FALSE)/(LEN(VLOOKUP($D132,素材!$1:$1016,COLUMN($F$1),FALSE))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S132">
        <f>IF(ISNUMBER(SEARCH(SUBSTITUTE(AS$1,RIGHT(AS$1,2),""),VLOOKUP($D132,素材!$1:$1016,COLUMN($F$1),FALSE))),VLOOKUP($C132,装備品!$1:$998,COLUMN($O$1),FALSE)*VLOOKUP($D132,素材!$1:$1016,COLUMN($E$1),FALSE)/(LEN(VLOOKUP($D132,素材!$1:$1016,COLUMN($F$1),FALSE))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T132">
        <f>IF(ISNUMBER(SEARCH(SUBSTITUTE(AT$1,RIGHT(AT$1,2),""),VLOOKUP($D132,素材!$1:$1016,COLUMN($F$1),FALSE))),VLOOKUP($C132,装備品!$1:$998,COLUMN($O$1),FALSE)*VLOOKUP($D132,素材!$1:$1016,COLUMN($E$1),FALSE)/(LEN(VLOOKUP($D132,素材!$1:$1016,COLUMN($F$1),FALSE))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U132">
        <f>IF(ISNUMBER(SEARCH(SUBSTITUTE(AU$1,RIGHT(AU$1,2),""),VLOOKUP($D132,素材!$1:$1016,COLUMN($F$1),FALSE))),VLOOKUP($C132,装備品!$1:$998,COLUMN($O$1),FALSE)*VLOOKUP($D132,素材!$1:$1016,COLUMN($E$1),FALSE)/(LEN(VLOOKUP($D132,素材!$1:$1016,COLUMN($F$1),FALSE))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V132">
        <f>IF(ISNUMBER(SEARCH(SUBSTITUTE(AV$1,RIGHT(AV$1,2),""),VLOOKUP($D132,素材!$1:$1016,COLUMN($F$1),FALSE))),VLOOKUP($C132,装備品!$1:$998,COLUMN($O$1),FALSE)*VLOOKUP($D132,素材!$1:$1016,COLUMN($E$1),FALSE)/(LEN(VLOOKUP($D132,素材!$1:$1016,COLUMN($F$1),FALSE))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W132">
        <f>IF(ISNUMBER(SEARCH(SUBSTITUTE(AW$1,RIGHT(AW$1,2),""),VLOOKUP($D132,素材!$1:$1016,COLUMN($F$1),FALSE))),VLOOKUP($C132,装備品!$1:$998,COLUMN($O$1),FALSE)*VLOOKUP($D132,素材!$1:$1016,COLUMN($E$1),FALSE)/(LEN(VLOOKUP($D132,素材!$1:$1016,COLUMN($F$1),FALSE))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X132">
        <f>IF(ISNUMBER(SEARCH(SUBSTITUTE(AX$1,RIGHT(AX$1,2),""),VLOOKUP($D132,素材!$1:$1016,COLUMN($F$1),FALSE))),VLOOKUP($C132,装備品!$1:$998,COLUMN($O$1),FALSE)*VLOOKUP($D132,素材!$1:$1016,COLUMN($E$1),FALSE)/(LEN(VLOOKUP($D132,素材!$1:$1016,COLUMN($F$1),FALSE))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Y132">
        <f>IF(ISNUMBER(SEARCH(SUBSTITUTE(AY$1,RIGHT(AY$1,2),""),VLOOKUP($D132,素材!$1:$1016,COLUMN($F$1),FALSE))),VLOOKUP($C132,装備品!$1:$998,COLUMN($O$1),FALSE)*VLOOKUP($D132,素材!$1:$1016,COLUMN($E$1),FALSE)/(LEN(VLOOKUP($D132,素材!$1:$1016,COLUMN($F$1),FALSE))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Z132">
        <f>IF(ISNUMBER(SEARCH(SUBSTITUTE(AZ$1,RIGHT(AZ$1,2),""),VLOOKUP($D132,素材!$1:$1016,COLUMN($F$1),FALSE))),VLOOKUP($C132,装備品!$1:$998,COLUMN($O$1),FALSE)*VLOOKUP($D132,素材!$1:$1016,COLUMN($E$1),FALSE)/(LEN(VLOOKUP($D132,素材!$1:$1016,COLUMN($F$1),FALSE))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BA132">
        <f>IF(ISNUMBER(SEARCH(SUBSTITUTE(BA$1,RIGHT(BA$1,2),""),VLOOKUP($D132,素材!$1:$1016,COLUMN($F$1),FALSE))),VLOOKUP($C132,装備品!$1:$998,COLUMN($O$1),FALSE)*VLOOKUP($D132,素材!$1:$1016,COLUMN($E$1),FALSE)/(LEN(VLOOKUP($D132,素材!$1:$1016,COLUMN($F$1),FALSE))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BB132">
        <f>IF(ISNUMBER(SEARCH(SUBSTITUTE(BB$1,RIGHT(BB$1,2),""),VLOOKUP($D132,素材!$1:$1016,COLUMN($F$1),FALSE))),VLOOKUP($C132,装備品!$1:$998,COLUMN($O$1),FALSE)*VLOOKUP($D132,素材!$1:$1016,COLUMN($E$1),FALSE)/(LEN(VLOOKUP($D132,素材!$1:$1016,COLUMN($F$1),FALSE))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BC132">
        <f>IF(ISNUMBER(SEARCH(SUBSTITUTE(BC$1,RIGHT(BC$1,2),""),VLOOKUP($D132,素材!$1:$1016,COLUMN($F$1),FALSE))),VLOOKUP($C132,装備品!$1:$998,COLUMN($O$1),FALSE)*VLOOKUP($D132,素材!$1:$1016,COLUMN($E$1),FALSE)/(LEN(VLOOKUP($D132,素材!$1:$1016,COLUMN($F$1),FALSE))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BD132">
        <f>IF(ISNUMBER(SEARCH(SUBSTITUTE(BD$1,RIGHT(BD$1,2),""),VLOOKUP($D132,素材!$1:$1016,COLUMN($F$1),FALSE))),VLOOKUP($C132,装備品!$1:$998,COLUMN($O$1),FALSE)*VLOOKUP($D132,素材!$1:$1016,COLUMN($E$1),FALSE)/(LEN(VLOOKUP($D132,素材!$1:$1016,COLUMN($F$1),FALSE))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BE132">
        <f>IF(ISNUMBER(SEARCH(SUBSTITUTE(BE$1,RIGHT(BE$1,2),""),VLOOKUP($D132,素材!$1:$1016,COLUMN($F$1),FALSE))),VLOOKUP($C132,装備品!$1:$998,COLUMN($O$1),FALSE)*VLOOKUP($D132,素材!$1:$1016,COLUMN($E$1),FALSE)/(LEN(VLOOKUP($D132,素材!$1:$1016,COLUMN($F$1),FALSE))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CL132">
        <f t="shared" si="19"/>
        <v>0</v>
      </c>
      <c r="CM132" s="22" t="str">
        <f t="shared" si="20"/>
        <v>体.webp</v>
      </c>
      <c r="CN132">
        <f>IFERROR(VLOOKUP($C132,装備品!$1:$998,COLUMN(V$1),FALSE)*VLOOKUP($D132,素材!$1:$1016,COLUMN(N$1),FALSE)+IF(CI132="",0,VLOOKUP($CI132,付与!$1:$1176,COLUMN($CK$1),FALSE)),"")</f>
        <v>0</v>
      </c>
      <c r="CO132" t="str">
        <f>VLOOKUP(D132,素材!$A:$O,COLUMN(素材!O$1),FALSE)</f>
        <v>高品質な加工を施した軽量の皮素材。軽量化により動きやすさを確保しつつ、適度な防御力を提供します。</v>
      </c>
      <c r="CP132" t="str">
        <f>VLOOKUP(C132,装備品!$A:$AB,COLUMN(装備品!AB$1),FALSE)</f>
        <v>HP 物理 魔法 体幹 出血 疲労 Cr</v>
      </c>
      <c r="CR132" t="str">
        <f t="shared" si="9"/>
        <v>e_132</v>
      </c>
      <c r="CS132">
        <f t="shared" si="10"/>
        <v>0</v>
      </c>
    </row>
    <row r="133" spans="1:97" outlineLevel="1" x14ac:dyDescent="0.4">
      <c r="A133" t="str">
        <f>D133&amp;"の"&amp;C133</f>
        <v>軽皮の靴</v>
      </c>
      <c r="B133" t="str">
        <f>IFERROR(VLOOKUP($D133,素材!$1:$1016,COLUMN($B$1),FALSE)&amp;"・"&amp;VLOOKUP($C133,装備品!$1:$998,COLUMN(B$1),FALSE),"")</f>
        <v>ライトレザー・ブーツ</v>
      </c>
      <c r="C133" t="s">
        <v>1280</v>
      </c>
      <c r="D133" s="24" t="s">
        <v>249</v>
      </c>
      <c r="E133" t="str">
        <f>IFERROR(VLOOKUP(C133,装備品!$1:$998,COLUMN(C$1),FALSE),"")</f>
        <v>足</v>
      </c>
      <c r="F133">
        <f>IFERROR(ROUNDDOWN((VLOOKUP($C133,装備品!$1:$998,COLUMN(D$1),FALSE)+IFERROR(VLOOKUP($CI133,付与!$1:$1167,COLUMN(F$1),FALSE),0))*VLOOKUP($D133,素材!$1:$1016,COLUMN(D$1),FALSE),0),"")</f>
        <v>0</v>
      </c>
      <c r="G133">
        <f>IFERROR(ROUNDDOWN((VLOOKUP($C133,装備品!$1:$998,COLUMN(E$1),FALSE)+IFERROR(VLOOKUP($CI133,付与!$1:$1167,COLUMN(G$1),FALSE),0))*VLOOKUP($D133,素材!$1:$1016,COLUMN($E$1),FALSE),0),"")</f>
        <v>0</v>
      </c>
      <c r="H133">
        <f>IFERROR(ROUNDDOWN((VLOOKUP($C133,装備品!$1:$998,COLUMN(F$1),FALSE)+IFERROR(VLOOKUP($CI133,付与!$1:$1167,COLUMN(H$1),FALSE),0))*VLOOKUP($D133,素材!$1:$1016,COLUMN($E$1),FALSE),0),"")</f>
        <v>0</v>
      </c>
      <c r="I133">
        <f>IFERROR(ROUNDDOWN((VLOOKUP($C133,装備品!$1:$998,COLUMN(G$1),FALSE)+IFERROR(VLOOKUP($CI133,付与!$1:$1167,COLUMN(I$1),FALSE),0))*VLOOKUP($D133,素材!$1:$1016,COLUMN($E$1),FALSE),0),"")</f>
        <v>15</v>
      </c>
      <c r="J133">
        <f>IFERROR(ROUNDDOWN((VLOOKUP($C133,装備品!$1:$998,COLUMN(H$1),FALSE)+IFERROR(VLOOKUP($CI133,付与!$1:$1167,COLUMN(J$1),FALSE),0))*VLOOKUP($D133,素材!$1:$1016,COLUMN($E$1),FALSE),0),"")</f>
        <v>0</v>
      </c>
      <c r="K133">
        <f>IFERROR(ROUNDDOWN((VLOOKUP($C133,装備品!$1:$998,COLUMN(I$1),FALSE)+IFERROR(VLOOKUP($CI133,付与!$1:$1167,COLUMN(K$1),FALSE),0))*VLOOKUP($D133,素材!$1:$1016,COLUMN($E$1),FALSE),0),"")</f>
        <v>0</v>
      </c>
      <c r="L133" t="str">
        <f>IFERROR(VLOOKUP($D133,素材!$1:$1016,COLUMN($F$1),FALSE),"")</f>
        <v>-</v>
      </c>
      <c r="M133" t="str">
        <f>IFERROR(VLOOKUP($C133,装備品!$1:$998,COLUMN(AA$1),FALSE)*VLOOKUP($D133,素材!$1:$1016,COLUMN($G$1),FALSE),"")</f>
        <v/>
      </c>
      <c r="N133">
        <f>IFERROR(VLOOKUP($C133,装備品!$1:$998,COLUMN(I$1),FALSE),"")</f>
        <v>0</v>
      </c>
      <c r="O133" s="23" t="str">
        <f>IFERROR((VLOOKUP($C133,装備品!$1:$998,COLUMN(K$1),FALSE)+VLOOKUP($D133,素材!$1:$1016,COLUMN(H$1),FALSE))*100+IFERROR(VLOOKUP($CI133,付与!$1:$1167,COLUMN(O$1),FALSE),0),"")</f>
        <v/>
      </c>
      <c r="P133" s="23" t="str">
        <f>IFERROR((VLOOKUP($C133,装備品!$1:$998,COLUMN(L$1),FALSE)+VLOOKUP($D133,素材!$1:$1016,COLUMN(I$1),FALSE))*100+IFERROR(VLOOKUP($CI133,付与!$1:$1167,COLUMN(P$1),FALSE),0),"")</f>
        <v/>
      </c>
      <c r="Q133">
        <f>IFERROR(ROUNDUP(VLOOKUP($C133,装備品!$1:$998,COLUMN(M$1),FALSE)*(VLOOKUP($D133,素材!$1:$1002,COLUMN(D$1),FALSE)/100),1),"")</f>
        <v>0</v>
      </c>
      <c r="R133">
        <f>IFERROR(ROUNDUP(VLOOKUP($C133,装備品!$1:$998,COLUMN(N$1),FALSE)*(VLOOKUP($D133,素材!$1:$1002,COLUMN(D$1),FALSE)/100),1),"")</f>
        <v>0</v>
      </c>
      <c r="S133">
        <f>IFERROR(VLOOKUP($C133,装備品!$1:$998,COLUMN(P$1),FALSE),"")</f>
        <v>0</v>
      </c>
      <c r="T133">
        <f>IFERROR(VLOOKUP($C133,装備品!$1:$998,COLUMN(Q$1),FALSE),"")</f>
        <v>0</v>
      </c>
      <c r="U133">
        <f>IFERROR(VLOOKUP($C133,装備品!$1:$998,COLUMN(R$1),FALSE),"")</f>
        <v>0</v>
      </c>
      <c r="V133">
        <f>IFERROR(VLOOKUP($C133,装備品!$1:$998,COLUMN(Q$1),FALSE),"")</f>
        <v>0</v>
      </c>
      <c r="W133">
        <f>IFERROR(VLOOKUP($C133,装備品!$1:$998,COLUMN(T$1),FALSE),"")</f>
        <v>0.15</v>
      </c>
      <c r="Y133">
        <f>IFERROR(VLOOKUP($C133,装備品!$1:$998,COLUMN(U$1),FALSE),"")</f>
        <v>0</v>
      </c>
      <c r="Z133">
        <f>IFERROR(ROUNDUP(VLOOKUP($C133,装備品!$1:$998,COLUMN(O$1),FALSE)*VLOOKUP($D133,素材!$1:$1016,COLUMN(E$1),FALSE),1),"")</f>
        <v>0</v>
      </c>
      <c r="AA133">
        <f>IF(ISNUMBER(SEARCH(SUBSTITUTE(AA$1,RIGHT(AA$1,2),""),VLOOKUP($D133,素材!$1:$1016,COLUMN($F$1),FALSE))),VLOOKUP($C133,装備品!$1:$998,COLUMN($O$1),FALSE)*VLOOKUP($D133,素材!$1:$1016,COLUMN($E$1),FALSE)/(LEN(VLOOKUP($D133,素材!$1:$1016,COLUMN($F$1),FALSE))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B133">
        <f>IF(ISNUMBER(SEARCH(SUBSTITUTE(AB$1,RIGHT(AB$1,2),""),VLOOKUP($D133,素材!$1:$1016,COLUMN($F$1),FALSE))),VLOOKUP($C133,装備品!$1:$998,COLUMN($O$1),FALSE)*VLOOKUP($D133,素材!$1:$1016,COLUMN($E$1),FALSE)/(LEN(VLOOKUP($D133,素材!$1:$1016,COLUMN($F$1),FALSE))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C133">
        <f>IF(ISNUMBER(SEARCH(SUBSTITUTE(AC$1,RIGHT(AC$1,2),""),VLOOKUP($D133,素材!$1:$1016,COLUMN($F$1),FALSE))),VLOOKUP($C133,装備品!$1:$998,COLUMN($O$1),FALSE)*VLOOKUP($D133,素材!$1:$1016,COLUMN($E$1),FALSE)/(LEN(VLOOKUP($D133,素材!$1:$1016,COLUMN($F$1),FALSE))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D133">
        <f>IF(ISNUMBER(SEARCH(SUBSTITUTE(AD$1,RIGHT(AD$1,2),""),VLOOKUP($D133,素材!$1:$1016,COLUMN($F$1),FALSE))),VLOOKUP($C133,装備品!$1:$998,COLUMN($O$1),FALSE)*VLOOKUP($D133,素材!$1:$1016,COLUMN($E$1),FALSE)/(LEN(VLOOKUP($D133,素材!$1:$1016,COLUMN($F$1),FALSE))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E133">
        <f>IF(ISNUMBER(SEARCH(SUBSTITUTE(AE$1,RIGHT(AE$1,2),""),VLOOKUP($D133,素材!$1:$1016,COLUMN($F$1),FALSE))),VLOOKUP($C133,装備品!$1:$998,COLUMN($O$1),FALSE)*VLOOKUP($D133,素材!$1:$1016,COLUMN($E$1),FALSE)/(LEN(VLOOKUP($D133,素材!$1:$1016,COLUMN($F$1),FALSE))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F133">
        <f>IF(ISNUMBER(SEARCH(SUBSTITUTE(AF$1,RIGHT(AF$1,2),""),VLOOKUP($D133,素材!$1:$1016,COLUMN($F$1),FALSE))),VLOOKUP($C133,装備品!$1:$998,COLUMN($O$1),FALSE)*VLOOKUP($D133,素材!$1:$1016,COLUMN($E$1),FALSE)/(LEN(VLOOKUP($D133,素材!$1:$1016,COLUMN($F$1),FALSE))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G133">
        <f>IF(ISNUMBER(SEARCH(SUBSTITUTE(AG$1,RIGHT(AG$1,2),""),VLOOKUP($D133,素材!$1:$1016,COLUMN($F$1),FALSE))),VLOOKUP($C133,装備品!$1:$998,COLUMN($O$1),FALSE)*VLOOKUP($D133,素材!$1:$1016,COLUMN($E$1),FALSE)/(LEN(VLOOKUP($D133,素材!$1:$1016,COLUMN($F$1),FALSE))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H133">
        <f>IF(ISNUMBER(SEARCH(SUBSTITUTE(AH$1,RIGHT(AH$1,2),""),VLOOKUP($D133,素材!$1:$1016,COLUMN($F$1),FALSE))),VLOOKUP($C133,装備品!$1:$998,COLUMN($O$1),FALSE)*VLOOKUP($D133,素材!$1:$1016,COLUMN($E$1),FALSE)/(LEN(VLOOKUP($D133,素材!$1:$1016,COLUMN($F$1),FALSE))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I133">
        <f>IF(ISNUMBER(SEARCH(SUBSTITUTE(AI$1,RIGHT(AI$1,2),""),VLOOKUP($D133,素材!$1:$1016,COLUMN($F$1),FALSE))),VLOOKUP($C133,装備品!$1:$998,COLUMN($O$1),FALSE)*VLOOKUP($D133,素材!$1:$1016,COLUMN($E$1),FALSE)/(LEN(VLOOKUP($D133,素材!$1:$1016,COLUMN($F$1),FALSE))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J133">
        <f>IF(ISNUMBER(SEARCH(SUBSTITUTE(AJ$1,RIGHT(AJ$1,2),""),VLOOKUP($D133,素材!$1:$1016,COLUMN($F$1),FALSE))),VLOOKUP($C133,装備品!$1:$998,COLUMN($O$1),FALSE)*VLOOKUP($D133,素材!$1:$1016,COLUMN($E$1),FALSE)/(LEN(VLOOKUP($D133,素材!$1:$1016,COLUMN($F$1),FALSE))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K133">
        <f>IF(ISNUMBER(SEARCH(SUBSTITUTE(AK$1,RIGHT(AK$1,2),""),VLOOKUP($D133,素材!$1:$1016,COLUMN($F$1),FALSE))),VLOOKUP($C133,装備品!$1:$998,COLUMN($O$1),FALSE)*VLOOKUP($D133,素材!$1:$1016,COLUMN($E$1),FALSE)/(LEN(VLOOKUP($D133,素材!$1:$1016,COLUMN($F$1),FALSE))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L133">
        <f>IF(ISNUMBER(SEARCH(SUBSTITUTE(AL$1,RIGHT(AL$1,2),""),VLOOKUP($D133,素材!$1:$1016,COLUMN($F$1),FALSE))),VLOOKUP($C133,装備品!$1:$998,COLUMN($O$1),FALSE)*VLOOKUP($D133,素材!$1:$1016,COLUMN($E$1),FALSE)/(LEN(VLOOKUP($D133,素材!$1:$1016,COLUMN($F$1),FALSE))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M133">
        <f>IF(ISNUMBER(SEARCH(SUBSTITUTE(AM$1,RIGHT(AM$1,2),""),VLOOKUP($D133,素材!$1:$1016,COLUMN($F$1),FALSE))),VLOOKUP($C133,装備品!$1:$998,COLUMN($O$1),FALSE)*VLOOKUP($D133,素材!$1:$1016,COLUMN($E$1),FALSE)/(LEN(VLOOKUP($D133,素材!$1:$1016,COLUMN($F$1),FALSE))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N133">
        <f>IF(ISNUMBER(SEARCH(SUBSTITUTE(AN$1,RIGHT(AN$1,2),""),VLOOKUP($D133,素材!$1:$1016,COLUMN($F$1),FALSE))),VLOOKUP($C133,装備品!$1:$998,COLUMN($O$1),FALSE)*VLOOKUP($D133,素材!$1:$1016,COLUMN($E$1),FALSE)/(LEN(VLOOKUP($D133,素材!$1:$1016,COLUMN($F$1),FALSE))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O133">
        <f>IF(ISNUMBER(SEARCH(SUBSTITUTE(AO$1,RIGHT(AO$1,2),""),VLOOKUP($D133,素材!$1:$1016,COLUMN($F$1),FALSE))),VLOOKUP($C133,装備品!$1:$998,COLUMN($O$1),FALSE)*VLOOKUP($D133,素材!$1:$1016,COLUMN($E$1),FALSE)/(LEN(VLOOKUP($D133,素材!$1:$1016,COLUMN($F$1),FALSE))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P133">
        <f>IF(ISNUMBER(SEARCH(SUBSTITUTE(AP$1,RIGHT(AP$1,2),""),VLOOKUP($D133,素材!$1:$1016,COLUMN($F$1),FALSE))),VLOOKUP($C133,装備品!$1:$998,COLUMN($O$1),FALSE)*VLOOKUP($D133,素材!$1:$1016,COLUMN($E$1),FALSE)/(LEN(VLOOKUP($D133,素材!$1:$1016,COLUMN($F$1),FALSE))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Q133">
        <f>IF(ISNUMBER(SEARCH(SUBSTITUTE(AQ$1,RIGHT(AQ$1,2),""),VLOOKUP($D133,素材!$1:$1016,COLUMN($F$1),FALSE))),VLOOKUP($C133,装備品!$1:$998,COLUMN($O$1),FALSE)*VLOOKUP($D133,素材!$1:$1016,COLUMN($E$1),FALSE)/(LEN(VLOOKUP($D133,素材!$1:$1016,COLUMN($F$1),FALSE))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R133">
        <f>IF(ISNUMBER(SEARCH(SUBSTITUTE(AR$1,RIGHT(AR$1,2),""),VLOOKUP($D133,素材!$1:$1016,COLUMN($F$1),FALSE))),VLOOKUP($C133,装備品!$1:$998,COLUMN($O$1),FALSE)*VLOOKUP($D133,素材!$1:$1016,COLUMN($E$1),FALSE)/(LEN(VLOOKUP($D133,素材!$1:$1016,COLUMN($F$1),FALSE))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S133">
        <f>IF(ISNUMBER(SEARCH(SUBSTITUTE(AS$1,RIGHT(AS$1,2),""),VLOOKUP($D133,素材!$1:$1016,COLUMN($F$1),FALSE))),VLOOKUP($C133,装備品!$1:$998,COLUMN($O$1),FALSE)*VLOOKUP($D133,素材!$1:$1016,COLUMN($E$1),FALSE)/(LEN(VLOOKUP($D133,素材!$1:$1016,COLUMN($F$1),FALSE))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T133">
        <f>IF(ISNUMBER(SEARCH(SUBSTITUTE(AT$1,RIGHT(AT$1,2),""),VLOOKUP($D133,素材!$1:$1016,COLUMN($F$1),FALSE))),VLOOKUP($C133,装備品!$1:$998,COLUMN($O$1),FALSE)*VLOOKUP($D133,素材!$1:$1016,COLUMN($E$1),FALSE)/(LEN(VLOOKUP($D133,素材!$1:$1016,COLUMN($F$1),FALSE))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U133">
        <f>IF(ISNUMBER(SEARCH(SUBSTITUTE(AU$1,RIGHT(AU$1,2),""),VLOOKUP($D133,素材!$1:$1016,COLUMN($F$1),FALSE))),VLOOKUP($C133,装備品!$1:$998,COLUMN($O$1),FALSE)*VLOOKUP($D133,素材!$1:$1016,COLUMN($E$1),FALSE)/(LEN(VLOOKUP($D133,素材!$1:$1016,COLUMN($F$1),FALSE))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V133">
        <f>IF(ISNUMBER(SEARCH(SUBSTITUTE(AV$1,RIGHT(AV$1,2),""),VLOOKUP($D133,素材!$1:$1016,COLUMN($F$1),FALSE))),VLOOKUP($C133,装備品!$1:$998,COLUMN($O$1),FALSE)*VLOOKUP($D133,素材!$1:$1016,COLUMN($E$1),FALSE)/(LEN(VLOOKUP($D133,素材!$1:$1016,COLUMN($F$1),FALSE))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W133">
        <f>IF(ISNUMBER(SEARCH(SUBSTITUTE(AW$1,RIGHT(AW$1,2),""),VLOOKUP($D133,素材!$1:$1016,COLUMN($F$1),FALSE))),VLOOKUP($C133,装備品!$1:$998,COLUMN($O$1),FALSE)*VLOOKUP($D133,素材!$1:$1016,COLUMN($E$1),FALSE)/(LEN(VLOOKUP($D133,素材!$1:$1016,COLUMN($F$1),FALSE))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X133">
        <f>IF(ISNUMBER(SEARCH(SUBSTITUTE(AX$1,RIGHT(AX$1,2),""),VLOOKUP($D133,素材!$1:$1016,COLUMN($F$1),FALSE))),VLOOKUP($C133,装備品!$1:$998,COLUMN($O$1),FALSE)*VLOOKUP($D133,素材!$1:$1016,COLUMN($E$1),FALSE)/(LEN(VLOOKUP($D133,素材!$1:$1016,COLUMN($F$1),FALSE))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Y133">
        <f>IF(ISNUMBER(SEARCH(SUBSTITUTE(AY$1,RIGHT(AY$1,2),""),VLOOKUP($D133,素材!$1:$1016,COLUMN($F$1),FALSE))),VLOOKUP($C133,装備品!$1:$998,COLUMN($O$1),FALSE)*VLOOKUP($D133,素材!$1:$1016,COLUMN($E$1),FALSE)/(LEN(VLOOKUP($D133,素材!$1:$1016,COLUMN($F$1),FALSE))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Z133">
        <f>IF(ISNUMBER(SEARCH(SUBSTITUTE(AZ$1,RIGHT(AZ$1,2),""),VLOOKUP($D133,素材!$1:$1016,COLUMN($F$1),FALSE))),VLOOKUP($C133,装備品!$1:$998,COLUMN($O$1),FALSE)*VLOOKUP($D133,素材!$1:$1016,COLUMN($E$1),FALSE)/(LEN(VLOOKUP($D133,素材!$1:$1016,COLUMN($F$1),FALSE))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BA133">
        <f>IF(ISNUMBER(SEARCH(SUBSTITUTE(BA$1,RIGHT(BA$1,2),""),VLOOKUP($D133,素材!$1:$1016,COLUMN($F$1),FALSE))),VLOOKUP($C133,装備品!$1:$998,COLUMN($O$1),FALSE)*VLOOKUP($D133,素材!$1:$1016,COLUMN($E$1),FALSE)/(LEN(VLOOKUP($D133,素材!$1:$1016,COLUMN($F$1),FALSE))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BB133">
        <f>IF(ISNUMBER(SEARCH(SUBSTITUTE(BB$1,RIGHT(BB$1,2),""),VLOOKUP($D133,素材!$1:$1016,COLUMN($F$1),FALSE))),VLOOKUP($C133,装備品!$1:$998,COLUMN($O$1),FALSE)*VLOOKUP($D133,素材!$1:$1016,COLUMN($E$1),FALSE)/(LEN(VLOOKUP($D133,素材!$1:$1016,COLUMN($F$1),FALSE))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BC133">
        <f>IF(ISNUMBER(SEARCH(SUBSTITUTE(BC$1,RIGHT(BC$1,2),""),VLOOKUP($D133,素材!$1:$1016,COLUMN($F$1),FALSE))),VLOOKUP($C133,装備品!$1:$998,COLUMN($O$1),FALSE)*VLOOKUP($D133,素材!$1:$1016,COLUMN($E$1),FALSE)/(LEN(VLOOKUP($D133,素材!$1:$1016,COLUMN($F$1),FALSE))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BD133">
        <f>IF(ISNUMBER(SEARCH(SUBSTITUTE(BD$1,RIGHT(BD$1,2),""),VLOOKUP($D133,素材!$1:$1016,COLUMN($F$1),FALSE))),VLOOKUP($C133,装備品!$1:$998,COLUMN($O$1),FALSE)*VLOOKUP($D133,素材!$1:$1016,COLUMN($E$1),FALSE)/(LEN(VLOOKUP($D133,素材!$1:$1016,COLUMN($F$1),FALSE))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BE133">
        <f>IF(ISNUMBER(SEARCH(SUBSTITUTE(BE$1,RIGHT(BE$1,2),""),VLOOKUP($D133,素材!$1:$1016,COLUMN($F$1),FALSE))),VLOOKUP($C133,装備品!$1:$998,COLUMN($O$1),FALSE)*VLOOKUP($D133,素材!$1:$1016,COLUMN($E$1),FALSE)/(LEN(VLOOKUP($D133,素材!$1:$1016,COLUMN($F$1),FALSE))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CL133">
        <f t="shared" si="19"/>
        <v>15</v>
      </c>
      <c r="CM133" s="22" t="str">
        <f t="shared" si="20"/>
        <v>足.webp</v>
      </c>
      <c r="CN133">
        <f>IFERROR(VLOOKUP($C133,装備品!$1:$998,COLUMN(V$1),FALSE)*VLOOKUP($D133,素材!$1:$1016,COLUMN(N$1),FALSE)+IF(CI133="",0,VLOOKUP($CI133,付与!$1:$1176,COLUMN($CK$1),FALSE)),"")</f>
        <v>0</v>
      </c>
      <c r="CO133" t="str">
        <f>VLOOKUP(D133,素材!$A:$O,COLUMN(素材!O$1),FALSE)</f>
        <v>高品質な加工を施した軽量の皮素材。軽量化により動きやすさを確保しつつ、適度な防御力を提供します。</v>
      </c>
      <c r="CP133" t="str">
        <f>VLOOKUP(C133,装備品!$A:$AB,COLUMN(装備品!AB$1),FALSE)</f>
        <v>速度 隠密 軽業 体幹</v>
      </c>
      <c r="CR133" t="str">
        <f t="shared" si="9"/>
        <v>e_133</v>
      </c>
      <c r="CS133">
        <f t="shared" si="10"/>
        <v>0</v>
      </c>
    </row>
    <row r="134" spans="1:97" outlineLevel="1" x14ac:dyDescent="0.4">
      <c r="A134" t="str">
        <f t="shared" ref="A134" si="21">D134&amp;"の"&amp;C134</f>
        <v>魔獣皮の帽子</v>
      </c>
      <c r="B134" t="str">
        <f>IFERROR(VLOOKUP($D134,素材!$1:$1016,COLUMN($B$1),FALSE)&amp;"・"&amp;VLOOKUP($C134,装備品!$1:$998,COLUMN(B$1),FALSE),"")</f>
        <v>マジックレザー・ハット</v>
      </c>
      <c r="C134" t="s">
        <v>1182</v>
      </c>
      <c r="D134" s="24" t="s">
        <v>201</v>
      </c>
      <c r="E134" t="str">
        <f>IFERROR(VLOOKUP(C134,装備品!$1:$998,COLUMN(C$1),FALSE),"")</f>
        <v>頭</v>
      </c>
      <c r="F134">
        <f>IFERROR(ROUNDDOWN((VLOOKUP($C134,装備品!$1:$998,COLUMN(D$1),FALSE)+IFERROR(VLOOKUP($CI134,付与!$1:$1167,COLUMN(F$1),FALSE),0))*VLOOKUP($D134,素材!$1:$1016,COLUMN(D$1),FALSE),0),"")</f>
        <v>0</v>
      </c>
      <c r="G134">
        <f>IFERROR(ROUNDDOWN((VLOOKUP($C134,装備品!$1:$998,COLUMN(E$1),FALSE)+IFERROR(VLOOKUP($CI134,付与!$1:$1167,COLUMN(G$1),FALSE),0))*VLOOKUP($D134,素材!$1:$1016,COLUMN($E$1),FALSE),0),"")</f>
        <v>0</v>
      </c>
      <c r="H134">
        <f>IFERROR(ROUNDDOWN((VLOOKUP($C134,装備品!$1:$998,COLUMN(F$1),FALSE)+IFERROR(VLOOKUP($CI134,付与!$1:$1167,COLUMN(H$1),FALSE),0))*VLOOKUP($D134,素材!$1:$1016,COLUMN($E$1),FALSE),0),"")</f>
        <v>0</v>
      </c>
      <c r="I134">
        <f>IFERROR(ROUNDDOWN((VLOOKUP($C134,装備品!$1:$998,COLUMN(G$1),FALSE)+IFERROR(VLOOKUP($CI134,付与!$1:$1167,COLUMN(I$1),FALSE),0))*VLOOKUP($D134,素材!$1:$1016,COLUMN($E$1),FALSE),0),"")</f>
        <v>0</v>
      </c>
      <c r="J134">
        <f>IFERROR(ROUNDDOWN((VLOOKUP($C134,装備品!$1:$998,COLUMN(H$1),FALSE)+IFERROR(VLOOKUP($CI134,付与!$1:$1167,COLUMN(J$1),FALSE),0))*VLOOKUP($D134,素材!$1:$1016,COLUMN($E$1),FALSE),0),"")</f>
        <v>0</v>
      </c>
      <c r="K134">
        <f>IFERROR(ROUNDDOWN((VLOOKUP($C134,装備品!$1:$998,COLUMN(I$1),FALSE)+IFERROR(VLOOKUP($CI134,付与!$1:$1167,COLUMN(K$1),FALSE),0))*VLOOKUP($D134,素材!$1:$1016,COLUMN($E$1),FALSE),0),"")</f>
        <v>0</v>
      </c>
      <c r="L134" t="str">
        <f>IFERROR(VLOOKUP($D134,素材!$1:$1016,COLUMN($F$1),FALSE),"")</f>
        <v>魔法</v>
      </c>
      <c r="M134" t="str">
        <f>IFERROR(VLOOKUP($C134,装備品!$1:$998,COLUMN(AA$1),FALSE)*VLOOKUP($D134,素材!$1:$1016,COLUMN($G$1),FALSE),"")</f>
        <v/>
      </c>
      <c r="N134">
        <f>IFERROR(VLOOKUP($C134,装備品!$1:$998,COLUMN(I$1),FALSE),"")</f>
        <v>0</v>
      </c>
      <c r="O134" s="23" t="str">
        <f>IFERROR((VLOOKUP($C134,装備品!$1:$998,COLUMN(K$1),FALSE)+VLOOKUP($D134,素材!$1:$1016,COLUMN(H$1),FALSE))*100+IFERROR(VLOOKUP($CI134,付与!$1:$1167,COLUMN(O$1),FALSE),0),"")</f>
        <v/>
      </c>
      <c r="P134" s="23" t="str">
        <f>IFERROR((VLOOKUP($C134,装備品!$1:$998,COLUMN(L$1),FALSE)+VLOOKUP($D134,素材!$1:$1016,COLUMN(I$1),FALSE))*100+IFERROR(VLOOKUP($CI134,付与!$1:$1167,COLUMN(P$1),FALSE),0),"")</f>
        <v/>
      </c>
      <c r="Q134">
        <f>IFERROR(ROUNDUP(VLOOKUP($C134,装備品!$1:$998,COLUMN(M$1),FALSE)*(VLOOKUP($D134,素材!$1:$1002,COLUMN(D$1),FALSE)/100),1),"")</f>
        <v>0</v>
      </c>
      <c r="R134">
        <f>IFERROR(ROUNDUP(VLOOKUP($C134,装備品!$1:$998,COLUMN(N$1),FALSE)*(VLOOKUP($D134,素材!$1:$1002,COLUMN(D$1),FALSE)/100),1),"")</f>
        <v>0</v>
      </c>
      <c r="S134">
        <f>IFERROR(VLOOKUP($C134,装備品!$1:$998,COLUMN(P$1),FALSE),"")</f>
        <v>0</v>
      </c>
      <c r="T134">
        <f>IFERROR(VLOOKUP($C134,装備品!$1:$998,COLUMN(Q$1),FALSE),"")</f>
        <v>0</v>
      </c>
      <c r="U134">
        <f>IFERROR(VLOOKUP($C134,装備品!$1:$998,COLUMN(R$1),FALSE),"")</f>
        <v>0</v>
      </c>
      <c r="V134">
        <f>IFERROR(VLOOKUP($C134,装備品!$1:$998,COLUMN(Q$1),FALSE),"")</f>
        <v>0</v>
      </c>
      <c r="W134">
        <f>IFERROR(VLOOKUP($C134,装備品!$1:$998,COLUMN(T$1),FALSE),"")</f>
        <v>0.1</v>
      </c>
      <c r="Y134">
        <f>IFERROR(VLOOKUP($C134,装備品!$1:$998,COLUMN(U$1),FALSE),"")</f>
        <v>0</v>
      </c>
      <c r="Z134">
        <f>IFERROR(ROUNDUP(VLOOKUP($C134,装備品!$1:$998,COLUMN(O$1),FALSE)*VLOOKUP($D134,素材!$1:$1016,COLUMN(E$1),FALSE),1),"")</f>
        <v>0</v>
      </c>
      <c r="AA134">
        <f>IF(ISNUMBER(SEARCH(SUBSTITUTE(AA$1,RIGHT(AA$1,2),""),VLOOKUP($D134,素材!$1:$1016,COLUMN($F$1),FALSE))),VLOOKUP($C134,装備品!$1:$998,COLUMN($O$1),FALSE)*VLOOKUP($D134,素材!$1:$1016,COLUMN($E$1),FALSE)/(LEN(VLOOKUP($D134,素材!$1:$1016,COLUMN($F$1),FALSE))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B134">
        <f>IF(ISNUMBER(SEARCH(SUBSTITUTE(AB$1,RIGHT(AB$1,2),""),VLOOKUP($D134,素材!$1:$1016,COLUMN($F$1),FALSE))),VLOOKUP($C134,装備品!$1:$998,COLUMN($O$1),FALSE)*VLOOKUP($D134,素材!$1:$1016,COLUMN($E$1),FALSE)/(LEN(VLOOKUP($D134,素材!$1:$1016,COLUMN($F$1),FALSE))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C134">
        <f>IF(ISNUMBER(SEARCH(SUBSTITUTE(AC$1,RIGHT(AC$1,2),""),VLOOKUP($D134,素材!$1:$1016,COLUMN($F$1),FALSE))),VLOOKUP($C134,装備品!$1:$998,COLUMN($O$1),FALSE)*VLOOKUP($D134,素材!$1:$1016,COLUMN($E$1),FALSE)/(LEN(VLOOKUP($D134,素材!$1:$1016,COLUMN($F$1),FALSE))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D134">
        <f>IF(ISNUMBER(SEARCH(SUBSTITUTE(AD$1,RIGHT(AD$1,2),""),VLOOKUP($D134,素材!$1:$1016,COLUMN($F$1),FALSE))),VLOOKUP($C134,装備品!$1:$998,COLUMN($O$1),FALSE)*VLOOKUP($D134,素材!$1:$1016,COLUMN($E$1),FALSE)/(LEN(VLOOKUP($D134,素材!$1:$1016,COLUMN($F$1),FALSE))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E134">
        <f>IF(ISNUMBER(SEARCH(SUBSTITUTE(AE$1,RIGHT(AE$1,2),""),VLOOKUP($D134,素材!$1:$1016,COLUMN($F$1),FALSE))),VLOOKUP($C134,装備品!$1:$998,COLUMN($O$1),FALSE)*VLOOKUP($D134,素材!$1:$1016,COLUMN($E$1),FALSE)/(LEN(VLOOKUP($D134,素材!$1:$1016,COLUMN($F$1),FALSE))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F134">
        <f>IF(ISNUMBER(SEARCH(SUBSTITUTE(AF$1,RIGHT(AF$1,2),""),VLOOKUP($D134,素材!$1:$1016,COLUMN($F$1),FALSE))),VLOOKUP($C134,装備品!$1:$998,COLUMN($O$1),FALSE)*VLOOKUP($D134,素材!$1:$1016,COLUMN($E$1),FALSE)/(LEN(VLOOKUP($D134,素材!$1:$1016,COLUMN($F$1),FALSE))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G134">
        <f>IF(ISNUMBER(SEARCH(SUBSTITUTE(AG$1,RIGHT(AG$1,2),""),VLOOKUP($D134,素材!$1:$1016,COLUMN($F$1),FALSE))),VLOOKUP($C134,装備品!$1:$998,COLUMN($O$1),FALSE)*VLOOKUP($D134,素材!$1:$1016,COLUMN($E$1),FALSE)/(LEN(VLOOKUP($D134,素材!$1:$1016,COLUMN($F$1),FALSE))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H134">
        <f>IF(ISNUMBER(SEARCH(SUBSTITUTE(AH$1,RIGHT(AH$1,2),""),VLOOKUP($D134,素材!$1:$1016,COLUMN($F$1),FALSE))),VLOOKUP($C134,装備品!$1:$998,COLUMN($O$1),FALSE)*VLOOKUP($D134,素材!$1:$1016,COLUMN($E$1),FALSE)/(LEN(VLOOKUP($D134,素材!$1:$1016,COLUMN($F$1),FALSE))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I134">
        <f>IF(ISNUMBER(SEARCH(SUBSTITUTE(AI$1,RIGHT(AI$1,2),""),VLOOKUP($D134,素材!$1:$1016,COLUMN($F$1),FALSE))),VLOOKUP($C134,装備品!$1:$998,COLUMN($O$1),FALSE)*VLOOKUP($D134,素材!$1:$1016,COLUMN($E$1),FALSE)/(LEN(VLOOKUP($D134,素材!$1:$1016,COLUMN($F$1),FALSE))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J134">
        <f>IF(ISNUMBER(SEARCH(SUBSTITUTE(AJ$1,RIGHT(AJ$1,2),""),VLOOKUP($D134,素材!$1:$1016,COLUMN($F$1),FALSE))),VLOOKUP($C134,装備品!$1:$998,COLUMN($O$1),FALSE)*VLOOKUP($D134,素材!$1:$1016,COLUMN($E$1),FALSE)/(LEN(VLOOKUP($D134,素材!$1:$1016,COLUMN($F$1),FALSE))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K134">
        <f>IF(ISNUMBER(SEARCH(SUBSTITUTE(AK$1,RIGHT(AK$1,2),""),VLOOKUP($D134,素材!$1:$1016,COLUMN($F$1),FALSE))),VLOOKUP($C134,装備品!$1:$998,COLUMN($O$1),FALSE)*VLOOKUP($D134,素材!$1:$1016,COLUMN($E$1),FALSE)/(LEN(VLOOKUP($D134,素材!$1:$1016,COLUMN($F$1),FALSE))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L134">
        <f>IF(ISNUMBER(SEARCH(SUBSTITUTE(AL$1,RIGHT(AL$1,2),""),VLOOKUP($D134,素材!$1:$1016,COLUMN($F$1),FALSE))),VLOOKUP($C134,装備品!$1:$998,COLUMN($O$1),FALSE)*VLOOKUP($D134,素材!$1:$1016,COLUMN($E$1),FALSE)/(LEN(VLOOKUP($D134,素材!$1:$1016,COLUMN($F$1),FALSE))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M134">
        <f>IF(ISNUMBER(SEARCH(SUBSTITUTE(AM$1,RIGHT(AM$1,2),""),VLOOKUP($D134,素材!$1:$1016,COLUMN($F$1),FALSE))),VLOOKUP($C134,装備品!$1:$998,COLUMN($O$1),FALSE)*VLOOKUP($D134,素材!$1:$1016,COLUMN($E$1),FALSE)/(LEN(VLOOKUP($D134,素材!$1:$1016,COLUMN($F$1),FALSE))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N134">
        <f>IF(ISNUMBER(SEARCH(SUBSTITUTE(AN$1,RIGHT(AN$1,2),""),VLOOKUP($D134,素材!$1:$1016,COLUMN($F$1),FALSE))),VLOOKUP($C134,装備品!$1:$998,COLUMN($O$1),FALSE)*VLOOKUP($D134,素材!$1:$1016,COLUMN($E$1),FALSE)/(LEN(VLOOKUP($D134,素材!$1:$1016,COLUMN($F$1),FALSE))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O134">
        <f>IF(ISNUMBER(SEARCH(SUBSTITUTE(AO$1,RIGHT(AO$1,2),""),VLOOKUP($D134,素材!$1:$1016,COLUMN($F$1),FALSE))),VLOOKUP($C134,装備品!$1:$998,COLUMN($O$1),FALSE)*VLOOKUP($D134,素材!$1:$1016,COLUMN($E$1),FALSE)/(LEN(VLOOKUP($D134,素材!$1:$1016,COLUMN($F$1),FALSE))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P134">
        <f>IF(ISNUMBER(SEARCH(SUBSTITUTE(AP$1,RIGHT(AP$1,2),""),VLOOKUP($D134,素材!$1:$1016,COLUMN($F$1),FALSE))),VLOOKUP($C134,装備品!$1:$998,COLUMN($O$1),FALSE)*VLOOKUP($D134,素材!$1:$1016,COLUMN($E$1),FALSE)/(LEN(VLOOKUP($D134,素材!$1:$1016,COLUMN($F$1),FALSE))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Q134">
        <f>IF(ISNUMBER(SEARCH(SUBSTITUTE(AQ$1,RIGHT(AQ$1,2),""),VLOOKUP($D134,素材!$1:$1016,COLUMN($F$1),FALSE))),VLOOKUP($C134,装備品!$1:$998,COLUMN($O$1),FALSE)*VLOOKUP($D134,素材!$1:$1016,COLUMN($E$1),FALSE)/(LEN(VLOOKUP($D134,素材!$1:$1016,COLUMN($F$1),FALSE))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R134">
        <f>IF(ISNUMBER(SEARCH(SUBSTITUTE(AR$1,RIGHT(AR$1,2),""),VLOOKUP($D134,素材!$1:$1016,COLUMN($F$1),FALSE))),VLOOKUP($C134,装備品!$1:$998,COLUMN($O$1),FALSE)*VLOOKUP($D134,素材!$1:$1016,COLUMN($E$1),FALSE)/(LEN(VLOOKUP($D134,素材!$1:$1016,COLUMN($F$1),FALSE))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S134">
        <f>IF(ISNUMBER(SEARCH(SUBSTITUTE(AS$1,RIGHT(AS$1,2),""),VLOOKUP($D134,素材!$1:$1016,COLUMN($F$1),FALSE))),VLOOKUP($C134,装備品!$1:$998,COLUMN($O$1),FALSE)*VLOOKUP($D134,素材!$1:$1016,COLUMN($E$1),FALSE)/(LEN(VLOOKUP($D134,素材!$1:$1016,COLUMN($F$1),FALSE))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T134">
        <f>IF(ISNUMBER(SEARCH(SUBSTITUTE(AT$1,RIGHT(AT$1,2),""),VLOOKUP($D134,素材!$1:$1016,COLUMN($F$1),FALSE))),VLOOKUP($C134,装備品!$1:$998,COLUMN($O$1),FALSE)*VLOOKUP($D134,素材!$1:$1016,COLUMN($E$1),FALSE)/(LEN(VLOOKUP($D134,素材!$1:$1016,COLUMN($F$1),FALSE))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U134">
        <f>IF(ISNUMBER(SEARCH(SUBSTITUTE(AU$1,RIGHT(AU$1,2),""),VLOOKUP($D134,素材!$1:$1016,COLUMN($F$1),FALSE))),VLOOKUP($C134,装備品!$1:$998,COLUMN($O$1),FALSE)*VLOOKUP($D134,素材!$1:$1016,COLUMN($E$1),FALSE)/(LEN(VLOOKUP($D134,素材!$1:$1016,COLUMN($F$1),FALSE))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V134">
        <f>IF(ISNUMBER(SEARCH(SUBSTITUTE(AV$1,RIGHT(AV$1,2),""),VLOOKUP($D134,素材!$1:$1016,COLUMN($F$1),FALSE))),VLOOKUP($C134,装備品!$1:$998,COLUMN($O$1),FALSE)*VLOOKUP($D134,素材!$1:$1016,COLUMN($E$1),FALSE)/(LEN(VLOOKUP($D134,素材!$1:$1016,COLUMN($F$1),FALSE))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W134">
        <f>IF(ISNUMBER(SEARCH(SUBSTITUTE(AW$1,RIGHT(AW$1,2),""),VLOOKUP($D134,素材!$1:$1016,COLUMN($F$1),FALSE))),VLOOKUP($C134,装備品!$1:$998,COLUMN($O$1),FALSE)*VLOOKUP($D134,素材!$1:$1016,COLUMN($E$1),FALSE)/(LEN(VLOOKUP($D134,素材!$1:$1016,COLUMN($F$1),FALSE))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X134">
        <f>IF(ISNUMBER(SEARCH(SUBSTITUTE(AX$1,RIGHT(AX$1,2),""),VLOOKUP($D134,素材!$1:$1016,COLUMN($F$1),FALSE))),VLOOKUP($C134,装備品!$1:$998,COLUMN($O$1),FALSE)*VLOOKUP($D134,素材!$1:$1016,COLUMN($E$1),FALSE)/(LEN(VLOOKUP($D134,素材!$1:$1016,COLUMN($F$1),FALSE))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Y134">
        <f>IF(ISNUMBER(SEARCH(SUBSTITUTE(AY$1,RIGHT(AY$1,2),""),VLOOKUP($D134,素材!$1:$1016,COLUMN($F$1),FALSE))),VLOOKUP($C134,装備品!$1:$998,COLUMN($O$1),FALSE)*VLOOKUP($D134,素材!$1:$1016,COLUMN($E$1),FALSE)/(LEN(VLOOKUP($D134,素材!$1:$1016,COLUMN($F$1),FALSE))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Z134">
        <f>IF(ISNUMBER(SEARCH(SUBSTITUTE(AZ$1,RIGHT(AZ$1,2),""),VLOOKUP($D134,素材!$1:$1016,COLUMN($F$1),FALSE))),VLOOKUP($C134,装備品!$1:$998,COLUMN($O$1),FALSE)*VLOOKUP($D134,素材!$1:$1016,COLUMN($E$1),FALSE)/(LEN(VLOOKUP($D134,素材!$1:$1016,COLUMN($F$1),FALSE))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BA134">
        <f>IF(ISNUMBER(SEARCH(SUBSTITUTE(BA$1,RIGHT(BA$1,2),""),VLOOKUP($D134,素材!$1:$1016,COLUMN($F$1),FALSE))),VLOOKUP($C134,装備品!$1:$998,COLUMN($O$1),FALSE)*VLOOKUP($D134,素材!$1:$1016,COLUMN($E$1),FALSE)/(LEN(VLOOKUP($D134,素材!$1:$1016,COLUMN($F$1),FALSE))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BB134">
        <f>IF(ISNUMBER(SEARCH(SUBSTITUTE(BB$1,RIGHT(BB$1,2),""),VLOOKUP($D134,素材!$1:$1016,COLUMN($F$1),FALSE))),VLOOKUP($C134,装備品!$1:$998,COLUMN($O$1),FALSE)*VLOOKUP($D134,素材!$1:$1016,COLUMN($E$1),FALSE)/(LEN(VLOOKUP($D134,素材!$1:$1016,COLUMN($F$1),FALSE))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BC134">
        <f>IF(ISNUMBER(SEARCH(SUBSTITUTE(BC$1,RIGHT(BC$1,2),""),VLOOKUP($D134,素材!$1:$1016,COLUMN($F$1),FALSE))),VLOOKUP($C134,装備品!$1:$998,COLUMN($O$1),FALSE)*VLOOKUP($D134,素材!$1:$1016,COLUMN($E$1),FALSE)/(LEN(VLOOKUP($D134,素材!$1:$1016,COLUMN($F$1),FALSE))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BD134">
        <f>IF(ISNUMBER(SEARCH(SUBSTITUTE(BD$1,RIGHT(BD$1,2),""),VLOOKUP($D134,素材!$1:$1016,COLUMN($F$1),FALSE))),VLOOKUP($C134,装備品!$1:$998,COLUMN($O$1),FALSE)*VLOOKUP($D134,素材!$1:$1016,COLUMN($E$1),FALSE)/(LEN(VLOOKUP($D134,素材!$1:$1016,COLUMN($F$1),FALSE))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BE134">
        <f>IF(ISNUMBER(SEARCH(SUBSTITUTE(BE$1,RIGHT(BE$1,2),""),VLOOKUP($D134,素材!$1:$1016,COLUMN($F$1),FALSE))),VLOOKUP($C134,装備品!$1:$998,COLUMN($O$1),FALSE)*VLOOKUP($D134,素材!$1:$1016,COLUMN($E$1),FALSE)/(LEN(VLOOKUP($D134,素材!$1:$1016,COLUMN($F$1),FALSE))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CL134">
        <f t="shared" si="19"/>
        <v>0</v>
      </c>
      <c r="CM134" s="22" t="str">
        <f t="shared" si="20"/>
        <v>頭.webp</v>
      </c>
      <c r="CN134">
        <f>IFERROR(VLOOKUP($C134,装備品!$1:$998,COLUMN(V$1),FALSE)*VLOOKUP($D134,素材!$1:$1016,COLUMN(N$1),FALSE)+IF(CI134="",0,VLOOKUP($CI134,付与!$1:$1176,COLUMN($CK$1),FALSE)),"")</f>
        <v>0</v>
      </c>
      <c r="CO134" t="str">
        <f>VLOOKUP(D134,素材!$A:$O,COLUMN(素材!O$1),FALSE)</f>
        <v>魔力を帯びた特殊な皮素材。魔法防御や属性耐性を強化する効果があり、高レベルの冒険者に重宝されます。</v>
      </c>
      <c r="CP134" t="str">
        <f>VLOOKUP(C134,装備品!$A:$AB,COLUMN(装備品!AB$1),FALSE)</f>
        <v>命中 魔防 Cr</v>
      </c>
      <c r="CR134" t="str">
        <f t="shared" si="9"/>
        <v>e_134</v>
      </c>
      <c r="CS134">
        <f t="shared" ref="CS134" si="22">CN134*100</f>
        <v>0</v>
      </c>
    </row>
    <row r="135" spans="1:97" outlineLevel="1" x14ac:dyDescent="0.4">
      <c r="A135" t="str">
        <f t="shared" si="11"/>
        <v>魔獣皮の衣布</v>
      </c>
      <c r="B135" t="str">
        <f>IFERROR(VLOOKUP($D135,素材!$1:$1016,COLUMN($B$1),FALSE)&amp;"・"&amp;VLOOKUP($C135,装備品!$1:$998,COLUMN(B$1),FALSE),"")</f>
        <v>マジックレザー・クロース</v>
      </c>
      <c r="C135" t="s">
        <v>246</v>
      </c>
      <c r="D135" s="24" t="s">
        <v>201</v>
      </c>
      <c r="E135" t="str">
        <f>IFERROR(VLOOKUP(C135,装備品!$1:$998,COLUMN(C$1),FALSE),"")</f>
        <v>体</v>
      </c>
      <c r="F135">
        <f>IFERROR(ROUNDDOWN((VLOOKUP($C135,装備品!$1:$998,COLUMN(D$1),FALSE)+IFERROR(VLOOKUP($CI135,付与!$1:$1167,COLUMN(F$1),FALSE),0))*VLOOKUP($D135,素材!$1:$1016,COLUMN(D$1),FALSE),0),"")</f>
        <v>0</v>
      </c>
      <c r="G135">
        <f>IFERROR(ROUNDDOWN((VLOOKUP($C135,装備品!$1:$998,COLUMN(E$1),FALSE)+IFERROR(VLOOKUP($CI135,付与!$1:$1167,COLUMN(G$1),FALSE),0))*VLOOKUP($D135,素材!$1:$1016,COLUMN($E$1),FALSE),0),"")</f>
        <v>0</v>
      </c>
      <c r="H135">
        <f>IFERROR(ROUNDDOWN((VLOOKUP($C135,装備品!$1:$998,COLUMN(F$1),FALSE)+IFERROR(VLOOKUP($CI135,付与!$1:$1167,COLUMN(H$1),FALSE),0))*VLOOKUP($D135,素材!$1:$1016,COLUMN($E$1),FALSE),0),"")</f>
        <v>0</v>
      </c>
      <c r="I135">
        <f>IFERROR(ROUNDDOWN((VLOOKUP($C135,装備品!$1:$998,COLUMN(G$1),FALSE)+IFERROR(VLOOKUP($CI135,付与!$1:$1167,COLUMN(I$1),FALSE),0))*VLOOKUP($D135,素材!$1:$1016,COLUMN($E$1),FALSE),0),"")</f>
        <v>0</v>
      </c>
      <c r="J135">
        <f>IFERROR(ROUNDDOWN((VLOOKUP($C135,装備品!$1:$998,COLUMN(H$1),FALSE)+IFERROR(VLOOKUP($CI135,付与!$1:$1167,COLUMN(J$1),FALSE),0))*VLOOKUP($D135,素材!$1:$1016,COLUMN($E$1),FALSE),0),"")</f>
        <v>0</v>
      </c>
      <c r="K135">
        <f>IFERROR(ROUNDDOWN((VLOOKUP($C135,装備品!$1:$998,COLUMN(I$1),FALSE)+IFERROR(VLOOKUP($CI135,付与!$1:$1167,COLUMN(K$1),FALSE),0))*VLOOKUP($D135,素材!$1:$1016,COLUMN($E$1),FALSE),0),"")</f>
        <v>0</v>
      </c>
      <c r="L135" t="str">
        <f>IFERROR(VLOOKUP($D135,素材!$1:$1016,COLUMN($F$1),FALSE),"")</f>
        <v>魔法</v>
      </c>
      <c r="M135" t="str">
        <f>IFERROR(VLOOKUP($C135,装備品!$1:$998,COLUMN(AA$1),FALSE)*VLOOKUP($D135,素材!$1:$1016,COLUMN($G$1),FALSE),"")</f>
        <v/>
      </c>
      <c r="N135">
        <f>IFERROR(VLOOKUP($C135,装備品!$1:$998,COLUMN(I$1),FALSE),"")</f>
        <v>0</v>
      </c>
      <c r="O135" s="23" t="str">
        <f>IFERROR((VLOOKUP($C135,装備品!$1:$998,COLUMN(K$1),FALSE)+VLOOKUP($D135,素材!$1:$1016,COLUMN(H$1),FALSE))*100+IFERROR(VLOOKUP($CI135,付与!$1:$1167,COLUMN(O$1),FALSE),0),"")</f>
        <v/>
      </c>
      <c r="P135" s="23" t="str">
        <f>IFERROR((VLOOKUP($C135,装備品!$1:$998,COLUMN(L$1),FALSE)+VLOOKUP($D135,素材!$1:$1016,COLUMN(I$1),FALSE))*100+IFERROR(VLOOKUP($CI135,付与!$1:$1167,COLUMN(P$1),FALSE),0),"")</f>
        <v/>
      </c>
      <c r="Q135">
        <f>IFERROR(ROUNDUP(VLOOKUP($C135,装備品!$1:$998,COLUMN(M$1),FALSE)*(VLOOKUP($D135,素材!$1:$1002,COLUMN(D$1),FALSE)/100),1),"")</f>
        <v>0</v>
      </c>
      <c r="R135">
        <f>IFERROR(ROUNDUP(VLOOKUP($C135,装備品!$1:$998,COLUMN(N$1),FALSE)*(VLOOKUP($D135,素材!$1:$1002,COLUMN(D$1),FALSE)/100),1),"")</f>
        <v>0</v>
      </c>
      <c r="S135">
        <f>IFERROR(VLOOKUP($C135,装備品!$1:$998,COLUMN(P$1),FALSE),"")</f>
        <v>0</v>
      </c>
      <c r="T135">
        <f>IFERROR(VLOOKUP($C135,装備品!$1:$998,COLUMN(Q$1),FALSE),"")</f>
        <v>0</v>
      </c>
      <c r="U135">
        <f>IFERROR(VLOOKUP($C135,装備品!$1:$998,COLUMN(R$1),FALSE),"")</f>
        <v>0</v>
      </c>
      <c r="V135">
        <f>IFERROR(VLOOKUP($C135,装備品!$1:$998,COLUMN(Q$1),FALSE),"")</f>
        <v>0</v>
      </c>
      <c r="W135">
        <f>IFERROR(VLOOKUP($C135,装備品!$1:$998,COLUMN(T$1),FALSE),"")</f>
        <v>0.3</v>
      </c>
      <c r="Y135">
        <f>IFERROR(VLOOKUP($C135,装備品!$1:$998,COLUMN(U$1),FALSE),"")</f>
        <v>0</v>
      </c>
      <c r="Z135">
        <f>IFERROR(ROUNDUP(VLOOKUP($C135,装備品!$1:$998,COLUMN(O$1),FALSE)*VLOOKUP($D135,素材!$1:$1016,COLUMN(E$1),FALSE),1),"")</f>
        <v>0</v>
      </c>
      <c r="AA135">
        <f>IF(ISNUMBER(SEARCH(SUBSTITUTE(AA$1,RIGHT(AA$1,2),""),VLOOKUP($D135,素材!$1:$1016,COLUMN($F$1),FALSE))),VLOOKUP($C135,装備品!$1:$998,COLUMN($O$1),FALSE)*VLOOKUP($D135,素材!$1:$1016,COLUMN($E$1),FALSE)/(LEN(VLOOKUP($D135,素材!$1:$1016,COLUMN($F$1),FALSE))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B135">
        <f>IF(ISNUMBER(SEARCH(SUBSTITUTE(AB$1,RIGHT(AB$1,2),""),VLOOKUP($D135,素材!$1:$1016,COLUMN($F$1),FALSE))),VLOOKUP($C135,装備品!$1:$998,COLUMN($O$1),FALSE)*VLOOKUP($D135,素材!$1:$1016,COLUMN($E$1),FALSE)/(LEN(VLOOKUP($D135,素材!$1:$1016,COLUMN($F$1),FALSE))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C135">
        <f>IF(ISNUMBER(SEARCH(SUBSTITUTE(AC$1,RIGHT(AC$1,2),""),VLOOKUP($D135,素材!$1:$1016,COLUMN($F$1),FALSE))),VLOOKUP($C135,装備品!$1:$998,COLUMN($O$1),FALSE)*VLOOKUP($D135,素材!$1:$1016,COLUMN($E$1),FALSE)/(LEN(VLOOKUP($D135,素材!$1:$1016,COLUMN($F$1),FALSE))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D135">
        <f>IF(ISNUMBER(SEARCH(SUBSTITUTE(AD$1,RIGHT(AD$1,2),""),VLOOKUP($D135,素材!$1:$1016,COLUMN($F$1),FALSE))),VLOOKUP($C135,装備品!$1:$998,COLUMN($O$1),FALSE)*VLOOKUP($D135,素材!$1:$1016,COLUMN($E$1),FALSE)/(LEN(VLOOKUP($D135,素材!$1:$1016,COLUMN($F$1),FALSE))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E135">
        <f>IF(ISNUMBER(SEARCH(SUBSTITUTE(AE$1,RIGHT(AE$1,2),""),VLOOKUP($D135,素材!$1:$1016,COLUMN($F$1),FALSE))),VLOOKUP($C135,装備品!$1:$998,COLUMN($O$1),FALSE)*VLOOKUP($D135,素材!$1:$1016,COLUMN($E$1),FALSE)/(LEN(VLOOKUP($D135,素材!$1:$1016,COLUMN($F$1),FALSE))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F135">
        <f>IF(ISNUMBER(SEARCH(SUBSTITUTE(AF$1,RIGHT(AF$1,2),""),VLOOKUP($D135,素材!$1:$1016,COLUMN($F$1),FALSE))),VLOOKUP($C135,装備品!$1:$998,COLUMN($O$1),FALSE)*VLOOKUP($D135,素材!$1:$1016,COLUMN($E$1),FALSE)/(LEN(VLOOKUP($D135,素材!$1:$1016,COLUMN($F$1),FALSE))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G135">
        <f>IF(ISNUMBER(SEARCH(SUBSTITUTE(AG$1,RIGHT(AG$1,2),""),VLOOKUP($D135,素材!$1:$1016,COLUMN($F$1),FALSE))),VLOOKUP($C135,装備品!$1:$998,COLUMN($O$1),FALSE)*VLOOKUP($D135,素材!$1:$1016,COLUMN($E$1),FALSE)/(LEN(VLOOKUP($D135,素材!$1:$1016,COLUMN($F$1),FALSE))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H135">
        <f>IF(ISNUMBER(SEARCH(SUBSTITUTE(AH$1,RIGHT(AH$1,2),""),VLOOKUP($D135,素材!$1:$1016,COLUMN($F$1),FALSE))),VLOOKUP($C135,装備品!$1:$998,COLUMN($O$1),FALSE)*VLOOKUP($D135,素材!$1:$1016,COLUMN($E$1),FALSE)/(LEN(VLOOKUP($D135,素材!$1:$1016,COLUMN($F$1),FALSE))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I135">
        <f>IF(ISNUMBER(SEARCH(SUBSTITUTE(AI$1,RIGHT(AI$1,2),""),VLOOKUP($D135,素材!$1:$1016,COLUMN($F$1),FALSE))),VLOOKUP($C135,装備品!$1:$998,COLUMN($O$1),FALSE)*VLOOKUP($D135,素材!$1:$1016,COLUMN($E$1),FALSE)/(LEN(VLOOKUP($D135,素材!$1:$1016,COLUMN($F$1),FALSE))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J135">
        <f>IF(ISNUMBER(SEARCH(SUBSTITUTE(AJ$1,RIGHT(AJ$1,2),""),VLOOKUP($D135,素材!$1:$1016,COLUMN($F$1),FALSE))),VLOOKUP($C135,装備品!$1:$998,COLUMN($O$1),FALSE)*VLOOKUP($D135,素材!$1:$1016,COLUMN($E$1),FALSE)/(LEN(VLOOKUP($D135,素材!$1:$1016,COLUMN($F$1),FALSE))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K135">
        <f>IF(ISNUMBER(SEARCH(SUBSTITUTE(AK$1,RIGHT(AK$1,2),""),VLOOKUP($D135,素材!$1:$1016,COLUMN($F$1),FALSE))),VLOOKUP($C135,装備品!$1:$998,COLUMN($O$1),FALSE)*VLOOKUP($D135,素材!$1:$1016,COLUMN($E$1),FALSE)/(LEN(VLOOKUP($D135,素材!$1:$1016,COLUMN($F$1),FALSE))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L135">
        <f>IF(ISNUMBER(SEARCH(SUBSTITUTE(AL$1,RIGHT(AL$1,2),""),VLOOKUP($D135,素材!$1:$1016,COLUMN($F$1),FALSE))),VLOOKUP($C135,装備品!$1:$998,COLUMN($O$1),FALSE)*VLOOKUP($D135,素材!$1:$1016,COLUMN($E$1),FALSE)/(LEN(VLOOKUP($D135,素材!$1:$1016,COLUMN($F$1),FALSE))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M135">
        <f>IF(ISNUMBER(SEARCH(SUBSTITUTE(AM$1,RIGHT(AM$1,2),""),VLOOKUP($D135,素材!$1:$1016,COLUMN($F$1),FALSE))),VLOOKUP($C135,装備品!$1:$998,COLUMN($O$1),FALSE)*VLOOKUP($D135,素材!$1:$1016,COLUMN($E$1),FALSE)/(LEN(VLOOKUP($D135,素材!$1:$1016,COLUMN($F$1),FALSE))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N135">
        <f>IF(ISNUMBER(SEARCH(SUBSTITUTE(AN$1,RIGHT(AN$1,2),""),VLOOKUP($D135,素材!$1:$1016,COLUMN($F$1),FALSE))),VLOOKUP($C135,装備品!$1:$998,COLUMN($O$1),FALSE)*VLOOKUP($D135,素材!$1:$1016,COLUMN($E$1),FALSE)/(LEN(VLOOKUP($D135,素材!$1:$1016,COLUMN($F$1),FALSE))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O135">
        <f>IF(ISNUMBER(SEARCH(SUBSTITUTE(AO$1,RIGHT(AO$1,2),""),VLOOKUP($D135,素材!$1:$1016,COLUMN($F$1),FALSE))),VLOOKUP($C135,装備品!$1:$998,COLUMN($O$1),FALSE)*VLOOKUP($D135,素材!$1:$1016,COLUMN($E$1),FALSE)/(LEN(VLOOKUP($D135,素材!$1:$1016,COLUMN($F$1),FALSE))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P135">
        <f>IF(ISNUMBER(SEARCH(SUBSTITUTE(AP$1,RIGHT(AP$1,2),""),VLOOKUP($D135,素材!$1:$1016,COLUMN($F$1),FALSE))),VLOOKUP($C135,装備品!$1:$998,COLUMN($O$1),FALSE)*VLOOKUP($D135,素材!$1:$1016,COLUMN($E$1),FALSE)/(LEN(VLOOKUP($D135,素材!$1:$1016,COLUMN($F$1),FALSE))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Q135">
        <f>IF(ISNUMBER(SEARCH(SUBSTITUTE(AQ$1,RIGHT(AQ$1,2),""),VLOOKUP($D135,素材!$1:$1016,COLUMN($F$1),FALSE))),VLOOKUP($C135,装備品!$1:$998,COLUMN($O$1),FALSE)*VLOOKUP($D135,素材!$1:$1016,COLUMN($E$1),FALSE)/(LEN(VLOOKUP($D135,素材!$1:$1016,COLUMN($F$1),FALSE))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R135">
        <f>IF(ISNUMBER(SEARCH(SUBSTITUTE(AR$1,RIGHT(AR$1,2),""),VLOOKUP($D135,素材!$1:$1016,COLUMN($F$1),FALSE))),VLOOKUP($C135,装備品!$1:$998,COLUMN($O$1),FALSE)*VLOOKUP($D135,素材!$1:$1016,COLUMN($E$1),FALSE)/(LEN(VLOOKUP($D135,素材!$1:$1016,COLUMN($F$1),FALSE))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S135">
        <f>IF(ISNUMBER(SEARCH(SUBSTITUTE(AS$1,RIGHT(AS$1,2),""),VLOOKUP($D135,素材!$1:$1016,COLUMN($F$1),FALSE))),VLOOKUP($C135,装備品!$1:$998,COLUMN($O$1),FALSE)*VLOOKUP($D135,素材!$1:$1016,COLUMN($E$1),FALSE)/(LEN(VLOOKUP($D135,素材!$1:$1016,COLUMN($F$1),FALSE))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T135">
        <f>IF(ISNUMBER(SEARCH(SUBSTITUTE(AT$1,RIGHT(AT$1,2),""),VLOOKUP($D135,素材!$1:$1016,COLUMN($F$1),FALSE))),VLOOKUP($C135,装備品!$1:$998,COLUMN($O$1),FALSE)*VLOOKUP($D135,素材!$1:$1016,COLUMN($E$1),FALSE)/(LEN(VLOOKUP($D135,素材!$1:$1016,COLUMN($F$1),FALSE))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U135">
        <f>IF(ISNUMBER(SEARCH(SUBSTITUTE(AU$1,RIGHT(AU$1,2),""),VLOOKUP($D135,素材!$1:$1016,COLUMN($F$1),FALSE))),VLOOKUP($C135,装備品!$1:$998,COLUMN($O$1),FALSE)*VLOOKUP($D135,素材!$1:$1016,COLUMN($E$1),FALSE)/(LEN(VLOOKUP($D135,素材!$1:$1016,COLUMN($F$1),FALSE))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V135">
        <f>IF(ISNUMBER(SEARCH(SUBSTITUTE(AV$1,RIGHT(AV$1,2),""),VLOOKUP($D135,素材!$1:$1016,COLUMN($F$1),FALSE))),VLOOKUP($C135,装備品!$1:$998,COLUMN($O$1),FALSE)*VLOOKUP($D135,素材!$1:$1016,COLUMN($E$1),FALSE)/(LEN(VLOOKUP($D135,素材!$1:$1016,COLUMN($F$1),FALSE))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W135">
        <f>IF(ISNUMBER(SEARCH(SUBSTITUTE(AW$1,RIGHT(AW$1,2),""),VLOOKUP($D135,素材!$1:$1016,COLUMN($F$1),FALSE))),VLOOKUP($C135,装備品!$1:$998,COLUMN($O$1),FALSE)*VLOOKUP($D135,素材!$1:$1016,COLUMN($E$1),FALSE)/(LEN(VLOOKUP($D135,素材!$1:$1016,COLUMN($F$1),FALSE))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X135">
        <f>IF(ISNUMBER(SEARCH(SUBSTITUTE(AX$1,RIGHT(AX$1,2),""),VLOOKUP($D135,素材!$1:$1016,COLUMN($F$1),FALSE))),VLOOKUP($C135,装備品!$1:$998,COLUMN($O$1),FALSE)*VLOOKUP($D135,素材!$1:$1016,COLUMN($E$1),FALSE)/(LEN(VLOOKUP($D135,素材!$1:$1016,COLUMN($F$1),FALSE))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Y135">
        <f>IF(ISNUMBER(SEARCH(SUBSTITUTE(AY$1,RIGHT(AY$1,2),""),VLOOKUP($D135,素材!$1:$1016,COLUMN($F$1),FALSE))),VLOOKUP($C135,装備品!$1:$998,COLUMN($O$1),FALSE)*VLOOKUP($D135,素材!$1:$1016,COLUMN($E$1),FALSE)/(LEN(VLOOKUP($D135,素材!$1:$1016,COLUMN($F$1),FALSE))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Z135">
        <f>IF(ISNUMBER(SEARCH(SUBSTITUTE(AZ$1,RIGHT(AZ$1,2),""),VLOOKUP($D135,素材!$1:$1016,COLUMN($F$1),FALSE))),VLOOKUP($C135,装備品!$1:$998,COLUMN($O$1),FALSE)*VLOOKUP($D135,素材!$1:$1016,COLUMN($E$1),FALSE)/(LEN(VLOOKUP($D135,素材!$1:$1016,COLUMN($F$1),FALSE))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BA135">
        <f>IF(ISNUMBER(SEARCH(SUBSTITUTE(BA$1,RIGHT(BA$1,2),""),VLOOKUP($D135,素材!$1:$1016,COLUMN($F$1),FALSE))),VLOOKUP($C135,装備品!$1:$998,COLUMN($O$1),FALSE)*VLOOKUP($D135,素材!$1:$1016,COLUMN($E$1),FALSE)/(LEN(VLOOKUP($D135,素材!$1:$1016,COLUMN($F$1),FALSE))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BB135">
        <f>IF(ISNUMBER(SEARCH(SUBSTITUTE(BB$1,RIGHT(BB$1,2),""),VLOOKUP($D135,素材!$1:$1016,COLUMN($F$1),FALSE))),VLOOKUP($C135,装備品!$1:$998,COLUMN($O$1),FALSE)*VLOOKUP($D135,素材!$1:$1016,COLUMN($E$1),FALSE)/(LEN(VLOOKUP($D135,素材!$1:$1016,COLUMN($F$1),FALSE))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BC135">
        <f>IF(ISNUMBER(SEARCH(SUBSTITUTE(BC$1,RIGHT(BC$1,2),""),VLOOKUP($D135,素材!$1:$1016,COLUMN($F$1),FALSE))),VLOOKUP($C135,装備品!$1:$998,COLUMN($O$1),FALSE)*VLOOKUP($D135,素材!$1:$1016,COLUMN($E$1),FALSE)/(LEN(VLOOKUP($D135,素材!$1:$1016,COLUMN($F$1),FALSE))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BD135">
        <f>IF(ISNUMBER(SEARCH(SUBSTITUTE(BD$1,RIGHT(BD$1,2),""),VLOOKUP($D135,素材!$1:$1016,COLUMN($F$1),FALSE))),VLOOKUP($C135,装備品!$1:$998,COLUMN($O$1),FALSE)*VLOOKUP($D135,素材!$1:$1016,COLUMN($E$1),FALSE)/(LEN(VLOOKUP($D135,素材!$1:$1016,COLUMN($F$1),FALSE))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BE135">
        <f>IF(ISNUMBER(SEARCH(SUBSTITUTE(BE$1,RIGHT(BE$1,2),""),VLOOKUP($D135,素材!$1:$1016,COLUMN($F$1),FALSE))),VLOOKUP($C135,装備品!$1:$998,COLUMN($O$1),FALSE)*VLOOKUP($D135,素材!$1:$1016,COLUMN($E$1),FALSE)/(LEN(VLOOKUP($D135,素材!$1:$1016,COLUMN($F$1),FALSE))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CL135">
        <f t="shared" si="19"/>
        <v>0</v>
      </c>
      <c r="CM135" s="22" t="str">
        <f t="shared" si="20"/>
        <v>体.webp</v>
      </c>
      <c r="CN135">
        <f>IFERROR(VLOOKUP($C135,装備品!$1:$998,COLUMN(V$1),FALSE)*VLOOKUP($D135,素材!$1:$1016,COLUMN(N$1),FALSE)+IF(CI135="",0,VLOOKUP($CI135,付与!$1:$1176,COLUMN($CK$1),FALSE)),"")</f>
        <v>0</v>
      </c>
      <c r="CO135" t="str">
        <f>VLOOKUP(D135,素材!$A:$O,COLUMN(素材!O$1),FALSE)</f>
        <v>魔力を帯びた特殊な皮素材。魔法防御や属性耐性を強化する効果があり、高レベルの冒険者に重宝されます。</v>
      </c>
      <c r="CP135" t="str">
        <f>VLOOKUP(C135,装備品!$A:$AB,COLUMN(装備品!AB$1),FALSE)</f>
        <v>HP 物理 魔法 体幹 出血 疲労 Cr</v>
      </c>
      <c r="CR135" t="str">
        <f t="shared" si="9"/>
        <v>e_135</v>
      </c>
      <c r="CS135">
        <f t="shared" si="10"/>
        <v>0</v>
      </c>
    </row>
    <row r="136" spans="1:97" outlineLevel="1" x14ac:dyDescent="0.4">
      <c r="A136" t="str">
        <f t="shared" si="11"/>
        <v>魔獣皮の法衣</v>
      </c>
      <c r="B136" t="str">
        <f>IFERROR(VLOOKUP($D136,素材!$1:$1016,COLUMN($B$1),FALSE)&amp;"・"&amp;VLOOKUP($C136,装備品!$1:$998,COLUMN(B$1),FALSE),"")</f>
        <v>マジックレザー・ローブ</v>
      </c>
      <c r="C136" t="s">
        <v>245</v>
      </c>
      <c r="D136" s="24" t="s">
        <v>201</v>
      </c>
      <c r="E136" t="str">
        <f>IFERROR(VLOOKUP(C136,装備品!$1:$998,COLUMN(C$1),FALSE),"")</f>
        <v>体</v>
      </c>
      <c r="F136">
        <f>IFERROR(ROUNDDOWN((VLOOKUP($C136,装備品!$1:$998,COLUMN(D$1),FALSE)+IFERROR(VLOOKUP($CI136,付与!$1:$1167,COLUMN(F$1),FALSE),0))*VLOOKUP($D136,素材!$1:$1016,COLUMN(D$1),FALSE),0),"")</f>
        <v>0</v>
      </c>
      <c r="G136">
        <f>IFERROR(ROUNDDOWN((VLOOKUP($C136,装備品!$1:$998,COLUMN(E$1),FALSE)+IFERROR(VLOOKUP($CI136,付与!$1:$1167,COLUMN(G$1),FALSE),0))*VLOOKUP($D136,素材!$1:$1016,COLUMN($E$1),FALSE),0),"")</f>
        <v>0</v>
      </c>
      <c r="H136">
        <f>IFERROR(ROUNDDOWN((VLOOKUP($C136,装備品!$1:$998,COLUMN(F$1),FALSE)+IFERROR(VLOOKUP($CI136,付与!$1:$1167,COLUMN(H$1),FALSE),0))*VLOOKUP($D136,素材!$1:$1016,COLUMN($E$1),FALSE),0),"")</f>
        <v>0</v>
      </c>
      <c r="I136">
        <f>IFERROR(ROUNDDOWN((VLOOKUP($C136,装備品!$1:$998,COLUMN(G$1),FALSE)+IFERROR(VLOOKUP($CI136,付与!$1:$1167,COLUMN(I$1),FALSE),0))*VLOOKUP($D136,素材!$1:$1016,COLUMN($E$1),FALSE),0),"")</f>
        <v>0</v>
      </c>
      <c r="J136">
        <f>IFERROR(ROUNDDOWN((VLOOKUP($C136,装備品!$1:$998,COLUMN(H$1),FALSE)+IFERROR(VLOOKUP($CI136,付与!$1:$1167,COLUMN(J$1),FALSE),0))*VLOOKUP($D136,素材!$1:$1016,COLUMN($E$1),FALSE),0),"")</f>
        <v>0</v>
      </c>
      <c r="K136">
        <f>IFERROR(ROUNDDOWN((VLOOKUP($C136,装備品!$1:$998,COLUMN(I$1),FALSE)+IFERROR(VLOOKUP($CI136,付与!$1:$1167,COLUMN(K$1),FALSE),0))*VLOOKUP($D136,素材!$1:$1016,COLUMN($E$1),FALSE),0),"")</f>
        <v>0</v>
      </c>
      <c r="L136" t="str">
        <f>IFERROR(VLOOKUP($D136,素材!$1:$1016,COLUMN($F$1),FALSE),"")</f>
        <v>魔法</v>
      </c>
      <c r="M136" t="str">
        <f>IFERROR(VLOOKUP($C136,装備品!$1:$998,COLUMN(AA$1),FALSE)*VLOOKUP($D136,素材!$1:$1016,COLUMN($G$1),FALSE),"")</f>
        <v/>
      </c>
      <c r="N136">
        <f>IFERROR(VLOOKUP($C136,装備品!$1:$998,COLUMN(I$1),FALSE),"")</f>
        <v>0</v>
      </c>
      <c r="O136" s="23" t="str">
        <f>IFERROR((VLOOKUP($C136,装備品!$1:$998,COLUMN(K$1),FALSE)+VLOOKUP($D136,素材!$1:$1016,COLUMN(H$1),FALSE))*100+IFERROR(VLOOKUP($CI136,付与!$1:$1167,COLUMN(O$1),FALSE),0),"")</f>
        <v/>
      </c>
      <c r="P136" s="23" t="str">
        <f>IFERROR((VLOOKUP($C136,装備品!$1:$998,COLUMN(L$1),FALSE)+VLOOKUP($D136,素材!$1:$1016,COLUMN(I$1),FALSE))*100+IFERROR(VLOOKUP($CI136,付与!$1:$1167,COLUMN(P$1),FALSE),0),"")</f>
        <v/>
      </c>
      <c r="Q136">
        <f>IFERROR(ROUNDUP(VLOOKUP($C136,装備品!$1:$998,COLUMN(M$1),FALSE)*(VLOOKUP($D136,素材!$1:$1002,COLUMN(D$1),FALSE)/100),1),"")</f>
        <v>0</v>
      </c>
      <c r="R136">
        <f>IFERROR(ROUNDUP(VLOOKUP($C136,装備品!$1:$998,COLUMN(N$1),FALSE)*(VLOOKUP($D136,素材!$1:$1002,COLUMN(D$1),FALSE)/100),1),"")</f>
        <v>0</v>
      </c>
      <c r="S136">
        <f>IFERROR(VLOOKUP($C136,装備品!$1:$998,COLUMN(P$1),FALSE),"")</f>
        <v>0</v>
      </c>
      <c r="T136">
        <f>IFERROR(VLOOKUP($C136,装備品!$1:$998,COLUMN(Q$1),FALSE),"")</f>
        <v>0</v>
      </c>
      <c r="U136">
        <f>IFERROR(VLOOKUP($C136,装備品!$1:$998,COLUMN(R$1),FALSE),"")</f>
        <v>0</v>
      </c>
      <c r="V136">
        <f>IFERROR(VLOOKUP($C136,装備品!$1:$998,COLUMN(Q$1),FALSE),"")</f>
        <v>0</v>
      </c>
      <c r="W136">
        <f>IFERROR(VLOOKUP($C136,装備品!$1:$998,COLUMN(T$1),FALSE),"")</f>
        <v>0.2</v>
      </c>
      <c r="Y136">
        <f>IFERROR(VLOOKUP($C136,装備品!$1:$998,COLUMN(U$1),FALSE),"")</f>
        <v>0</v>
      </c>
      <c r="Z136">
        <f>IFERROR(ROUNDUP(VLOOKUP($C136,装備品!$1:$998,COLUMN(O$1),FALSE)*VLOOKUP($D136,素材!$1:$1016,COLUMN(E$1),FALSE),1),"")</f>
        <v>0</v>
      </c>
      <c r="AA136">
        <f>IF(ISNUMBER(SEARCH(SUBSTITUTE(AA$1,RIGHT(AA$1,2),""),VLOOKUP($D136,素材!$1:$1016,COLUMN($F$1),FALSE))),VLOOKUP($C136,装備品!$1:$998,COLUMN($O$1),FALSE)*VLOOKUP($D136,素材!$1:$1016,COLUMN($E$1),FALSE)/(LEN(VLOOKUP($D136,素材!$1:$1016,COLUMN($F$1),FALSE))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B136">
        <f>IF(ISNUMBER(SEARCH(SUBSTITUTE(AB$1,RIGHT(AB$1,2),""),VLOOKUP($D136,素材!$1:$1016,COLUMN($F$1),FALSE))),VLOOKUP($C136,装備品!$1:$998,COLUMN($O$1),FALSE)*VLOOKUP($D136,素材!$1:$1016,COLUMN($E$1),FALSE)/(LEN(VLOOKUP($D136,素材!$1:$1016,COLUMN($F$1),FALSE))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C136">
        <f>IF(ISNUMBER(SEARCH(SUBSTITUTE(AC$1,RIGHT(AC$1,2),""),VLOOKUP($D136,素材!$1:$1016,COLUMN($F$1),FALSE))),VLOOKUP($C136,装備品!$1:$998,COLUMN($O$1),FALSE)*VLOOKUP($D136,素材!$1:$1016,COLUMN($E$1),FALSE)/(LEN(VLOOKUP($D136,素材!$1:$1016,COLUMN($F$1),FALSE))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D136">
        <f>IF(ISNUMBER(SEARCH(SUBSTITUTE(AD$1,RIGHT(AD$1,2),""),VLOOKUP($D136,素材!$1:$1016,COLUMN($F$1),FALSE))),VLOOKUP($C136,装備品!$1:$998,COLUMN($O$1),FALSE)*VLOOKUP($D136,素材!$1:$1016,COLUMN($E$1),FALSE)/(LEN(VLOOKUP($D136,素材!$1:$1016,COLUMN($F$1),FALSE))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E136">
        <f>IF(ISNUMBER(SEARCH(SUBSTITUTE(AE$1,RIGHT(AE$1,2),""),VLOOKUP($D136,素材!$1:$1016,COLUMN($F$1),FALSE))),VLOOKUP($C136,装備品!$1:$998,COLUMN($O$1),FALSE)*VLOOKUP($D136,素材!$1:$1016,COLUMN($E$1),FALSE)/(LEN(VLOOKUP($D136,素材!$1:$1016,COLUMN($F$1),FALSE))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F136">
        <f>IF(ISNUMBER(SEARCH(SUBSTITUTE(AF$1,RIGHT(AF$1,2),""),VLOOKUP($D136,素材!$1:$1016,COLUMN($F$1),FALSE))),VLOOKUP($C136,装備品!$1:$998,COLUMN($O$1),FALSE)*VLOOKUP($D136,素材!$1:$1016,COLUMN($E$1),FALSE)/(LEN(VLOOKUP($D136,素材!$1:$1016,COLUMN($F$1),FALSE))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G136">
        <f>IF(ISNUMBER(SEARCH(SUBSTITUTE(AG$1,RIGHT(AG$1,2),""),VLOOKUP($D136,素材!$1:$1016,COLUMN($F$1),FALSE))),VLOOKUP($C136,装備品!$1:$998,COLUMN($O$1),FALSE)*VLOOKUP($D136,素材!$1:$1016,COLUMN($E$1),FALSE)/(LEN(VLOOKUP($D136,素材!$1:$1016,COLUMN($F$1),FALSE))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H136">
        <f>IF(ISNUMBER(SEARCH(SUBSTITUTE(AH$1,RIGHT(AH$1,2),""),VLOOKUP($D136,素材!$1:$1016,COLUMN($F$1),FALSE))),VLOOKUP($C136,装備品!$1:$998,COLUMN($O$1),FALSE)*VLOOKUP($D136,素材!$1:$1016,COLUMN($E$1),FALSE)/(LEN(VLOOKUP($D136,素材!$1:$1016,COLUMN($F$1),FALSE))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I136">
        <f>IF(ISNUMBER(SEARCH(SUBSTITUTE(AI$1,RIGHT(AI$1,2),""),VLOOKUP($D136,素材!$1:$1016,COLUMN($F$1),FALSE))),VLOOKUP($C136,装備品!$1:$998,COLUMN($O$1),FALSE)*VLOOKUP($D136,素材!$1:$1016,COLUMN($E$1),FALSE)/(LEN(VLOOKUP($D136,素材!$1:$1016,COLUMN($F$1),FALSE))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J136">
        <f>IF(ISNUMBER(SEARCH(SUBSTITUTE(AJ$1,RIGHT(AJ$1,2),""),VLOOKUP($D136,素材!$1:$1016,COLUMN($F$1),FALSE))),VLOOKUP($C136,装備品!$1:$998,COLUMN($O$1),FALSE)*VLOOKUP($D136,素材!$1:$1016,COLUMN($E$1),FALSE)/(LEN(VLOOKUP($D136,素材!$1:$1016,COLUMN($F$1),FALSE))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K136">
        <f>IF(ISNUMBER(SEARCH(SUBSTITUTE(AK$1,RIGHT(AK$1,2),""),VLOOKUP($D136,素材!$1:$1016,COLUMN($F$1),FALSE))),VLOOKUP($C136,装備品!$1:$998,COLUMN($O$1),FALSE)*VLOOKUP($D136,素材!$1:$1016,COLUMN($E$1),FALSE)/(LEN(VLOOKUP($D136,素材!$1:$1016,COLUMN($F$1),FALSE))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L136">
        <f>IF(ISNUMBER(SEARCH(SUBSTITUTE(AL$1,RIGHT(AL$1,2),""),VLOOKUP($D136,素材!$1:$1016,COLUMN($F$1),FALSE))),VLOOKUP($C136,装備品!$1:$998,COLUMN($O$1),FALSE)*VLOOKUP($D136,素材!$1:$1016,COLUMN($E$1),FALSE)/(LEN(VLOOKUP($D136,素材!$1:$1016,COLUMN($F$1),FALSE))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M136">
        <f>IF(ISNUMBER(SEARCH(SUBSTITUTE(AM$1,RIGHT(AM$1,2),""),VLOOKUP($D136,素材!$1:$1016,COLUMN($F$1),FALSE))),VLOOKUP($C136,装備品!$1:$998,COLUMN($O$1),FALSE)*VLOOKUP($D136,素材!$1:$1016,COLUMN($E$1),FALSE)/(LEN(VLOOKUP($D136,素材!$1:$1016,COLUMN($F$1),FALSE))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N136">
        <f>IF(ISNUMBER(SEARCH(SUBSTITUTE(AN$1,RIGHT(AN$1,2),""),VLOOKUP($D136,素材!$1:$1016,COLUMN($F$1),FALSE))),VLOOKUP($C136,装備品!$1:$998,COLUMN($O$1),FALSE)*VLOOKUP($D136,素材!$1:$1016,COLUMN($E$1),FALSE)/(LEN(VLOOKUP($D136,素材!$1:$1016,COLUMN($F$1),FALSE))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O136">
        <f>IF(ISNUMBER(SEARCH(SUBSTITUTE(AO$1,RIGHT(AO$1,2),""),VLOOKUP($D136,素材!$1:$1016,COLUMN($F$1),FALSE))),VLOOKUP($C136,装備品!$1:$998,COLUMN($O$1),FALSE)*VLOOKUP($D136,素材!$1:$1016,COLUMN($E$1),FALSE)/(LEN(VLOOKUP($D136,素材!$1:$1016,COLUMN($F$1),FALSE))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P136">
        <f>IF(ISNUMBER(SEARCH(SUBSTITUTE(AP$1,RIGHT(AP$1,2),""),VLOOKUP($D136,素材!$1:$1016,COLUMN($F$1),FALSE))),VLOOKUP($C136,装備品!$1:$998,COLUMN($O$1),FALSE)*VLOOKUP($D136,素材!$1:$1016,COLUMN($E$1),FALSE)/(LEN(VLOOKUP($D136,素材!$1:$1016,COLUMN($F$1),FALSE))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Q136">
        <f>IF(ISNUMBER(SEARCH(SUBSTITUTE(AQ$1,RIGHT(AQ$1,2),""),VLOOKUP($D136,素材!$1:$1016,COLUMN($F$1),FALSE))),VLOOKUP($C136,装備品!$1:$998,COLUMN($O$1),FALSE)*VLOOKUP($D136,素材!$1:$1016,COLUMN($E$1),FALSE)/(LEN(VLOOKUP($D136,素材!$1:$1016,COLUMN($F$1),FALSE))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R136">
        <f>IF(ISNUMBER(SEARCH(SUBSTITUTE(AR$1,RIGHT(AR$1,2),""),VLOOKUP($D136,素材!$1:$1016,COLUMN($F$1),FALSE))),VLOOKUP($C136,装備品!$1:$998,COLUMN($O$1),FALSE)*VLOOKUP($D136,素材!$1:$1016,COLUMN($E$1),FALSE)/(LEN(VLOOKUP($D136,素材!$1:$1016,COLUMN($F$1),FALSE))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S136">
        <f>IF(ISNUMBER(SEARCH(SUBSTITUTE(AS$1,RIGHT(AS$1,2),""),VLOOKUP($D136,素材!$1:$1016,COLUMN($F$1),FALSE))),VLOOKUP($C136,装備品!$1:$998,COLUMN($O$1),FALSE)*VLOOKUP($D136,素材!$1:$1016,COLUMN($E$1),FALSE)/(LEN(VLOOKUP($D136,素材!$1:$1016,COLUMN($F$1),FALSE))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T136">
        <f>IF(ISNUMBER(SEARCH(SUBSTITUTE(AT$1,RIGHT(AT$1,2),""),VLOOKUP($D136,素材!$1:$1016,COLUMN($F$1),FALSE))),VLOOKUP($C136,装備品!$1:$998,COLUMN($O$1),FALSE)*VLOOKUP($D136,素材!$1:$1016,COLUMN($E$1),FALSE)/(LEN(VLOOKUP($D136,素材!$1:$1016,COLUMN($F$1),FALSE))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U136">
        <f>IF(ISNUMBER(SEARCH(SUBSTITUTE(AU$1,RIGHT(AU$1,2),""),VLOOKUP($D136,素材!$1:$1016,COLUMN($F$1),FALSE))),VLOOKUP($C136,装備品!$1:$998,COLUMN($O$1),FALSE)*VLOOKUP($D136,素材!$1:$1016,COLUMN($E$1),FALSE)/(LEN(VLOOKUP($D136,素材!$1:$1016,COLUMN($F$1),FALSE))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V136">
        <f>IF(ISNUMBER(SEARCH(SUBSTITUTE(AV$1,RIGHT(AV$1,2),""),VLOOKUP($D136,素材!$1:$1016,COLUMN($F$1),FALSE))),VLOOKUP($C136,装備品!$1:$998,COLUMN($O$1),FALSE)*VLOOKUP($D136,素材!$1:$1016,COLUMN($E$1),FALSE)/(LEN(VLOOKUP($D136,素材!$1:$1016,COLUMN($F$1),FALSE))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W136">
        <f>IF(ISNUMBER(SEARCH(SUBSTITUTE(AW$1,RIGHT(AW$1,2),""),VLOOKUP($D136,素材!$1:$1016,COLUMN($F$1),FALSE))),VLOOKUP($C136,装備品!$1:$998,COLUMN($O$1),FALSE)*VLOOKUP($D136,素材!$1:$1016,COLUMN($E$1),FALSE)/(LEN(VLOOKUP($D136,素材!$1:$1016,COLUMN($F$1),FALSE))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X136">
        <f>IF(ISNUMBER(SEARCH(SUBSTITUTE(AX$1,RIGHT(AX$1,2),""),VLOOKUP($D136,素材!$1:$1016,COLUMN($F$1),FALSE))),VLOOKUP($C136,装備品!$1:$998,COLUMN($O$1),FALSE)*VLOOKUP($D136,素材!$1:$1016,COLUMN($E$1),FALSE)/(LEN(VLOOKUP($D136,素材!$1:$1016,COLUMN($F$1),FALSE))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Y136">
        <f>IF(ISNUMBER(SEARCH(SUBSTITUTE(AY$1,RIGHT(AY$1,2),""),VLOOKUP($D136,素材!$1:$1016,COLUMN($F$1),FALSE))),VLOOKUP($C136,装備品!$1:$998,COLUMN($O$1),FALSE)*VLOOKUP($D136,素材!$1:$1016,COLUMN($E$1),FALSE)/(LEN(VLOOKUP($D136,素材!$1:$1016,COLUMN($F$1),FALSE))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Z136">
        <f>IF(ISNUMBER(SEARCH(SUBSTITUTE(AZ$1,RIGHT(AZ$1,2),""),VLOOKUP($D136,素材!$1:$1016,COLUMN($F$1),FALSE))),VLOOKUP($C136,装備品!$1:$998,COLUMN($O$1),FALSE)*VLOOKUP($D136,素材!$1:$1016,COLUMN($E$1),FALSE)/(LEN(VLOOKUP($D136,素材!$1:$1016,COLUMN($F$1),FALSE))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BA136">
        <f>IF(ISNUMBER(SEARCH(SUBSTITUTE(BA$1,RIGHT(BA$1,2),""),VLOOKUP($D136,素材!$1:$1016,COLUMN($F$1),FALSE))),VLOOKUP($C136,装備品!$1:$998,COLUMN($O$1),FALSE)*VLOOKUP($D136,素材!$1:$1016,COLUMN($E$1),FALSE)/(LEN(VLOOKUP($D136,素材!$1:$1016,COLUMN($F$1),FALSE))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BB136">
        <f>IF(ISNUMBER(SEARCH(SUBSTITUTE(BB$1,RIGHT(BB$1,2),""),VLOOKUP($D136,素材!$1:$1016,COLUMN($F$1),FALSE))),VLOOKUP($C136,装備品!$1:$998,COLUMN($O$1),FALSE)*VLOOKUP($D136,素材!$1:$1016,COLUMN($E$1),FALSE)/(LEN(VLOOKUP($D136,素材!$1:$1016,COLUMN($F$1),FALSE))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BC136">
        <f>IF(ISNUMBER(SEARCH(SUBSTITUTE(BC$1,RIGHT(BC$1,2),""),VLOOKUP($D136,素材!$1:$1016,COLUMN($F$1),FALSE))),VLOOKUP($C136,装備品!$1:$998,COLUMN($O$1),FALSE)*VLOOKUP($D136,素材!$1:$1016,COLUMN($E$1),FALSE)/(LEN(VLOOKUP($D136,素材!$1:$1016,COLUMN($F$1),FALSE))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BD136">
        <f>IF(ISNUMBER(SEARCH(SUBSTITUTE(BD$1,RIGHT(BD$1,2),""),VLOOKUP($D136,素材!$1:$1016,COLUMN($F$1),FALSE))),VLOOKUP($C136,装備品!$1:$998,COLUMN($O$1),FALSE)*VLOOKUP($D136,素材!$1:$1016,COLUMN($E$1),FALSE)/(LEN(VLOOKUP($D136,素材!$1:$1016,COLUMN($F$1),FALSE))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BE136">
        <f>IF(ISNUMBER(SEARCH(SUBSTITUTE(BE$1,RIGHT(BE$1,2),""),VLOOKUP($D136,素材!$1:$1016,COLUMN($F$1),FALSE))),VLOOKUP($C136,装備品!$1:$998,COLUMN($O$1),FALSE)*VLOOKUP($D136,素材!$1:$1016,COLUMN($E$1),FALSE)/(LEN(VLOOKUP($D136,素材!$1:$1016,COLUMN($F$1),FALSE))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CL136">
        <f t="shared" si="19"/>
        <v>0</v>
      </c>
      <c r="CM136" s="22" t="str">
        <f t="shared" si="20"/>
        <v>体.webp</v>
      </c>
      <c r="CN136">
        <f>IFERROR(VLOOKUP($C136,装備品!$1:$998,COLUMN(V$1),FALSE)*VLOOKUP($D136,素材!$1:$1016,COLUMN(N$1),FALSE)+IF(CI136="",0,VLOOKUP($CI136,付与!$1:$1176,COLUMN($CK$1),FALSE)),"")</f>
        <v>0</v>
      </c>
      <c r="CO136" t="str">
        <f>VLOOKUP(D136,素材!$A:$O,COLUMN(素材!O$1),FALSE)</f>
        <v>魔力を帯びた特殊な皮素材。魔法防御や属性耐性を強化する効果があり、高レベルの冒険者に重宝されます。</v>
      </c>
      <c r="CP136" t="str">
        <f>VLOOKUP(C136,装備品!$A:$AB,COLUMN(装備品!AB$1),FALSE)</f>
        <v>HP 物理 魔法 体幹 出血 疲労 Cr</v>
      </c>
      <c r="CR136" t="str">
        <f t="shared" si="9"/>
        <v>e_136</v>
      </c>
      <c r="CS136">
        <f t="shared" si="10"/>
        <v>0</v>
      </c>
    </row>
    <row r="137" spans="1:97" outlineLevel="1" x14ac:dyDescent="0.4">
      <c r="A137" t="str">
        <f t="shared" si="11"/>
        <v>魔獣皮の鎧</v>
      </c>
      <c r="B137" t="str">
        <f>IFERROR(VLOOKUP($D137,素材!$1:$1016,COLUMN($B$1),FALSE)&amp;"・"&amp;VLOOKUP($C137,装備品!$1:$998,COLUMN(B$1),FALSE),"")</f>
        <v>マジックレザー・アーマー</v>
      </c>
      <c r="C137" t="s">
        <v>207</v>
      </c>
      <c r="D137" s="24" t="s">
        <v>201</v>
      </c>
      <c r="E137" t="str">
        <f>IFERROR(VLOOKUP(C137,装備品!$1:$998,COLUMN(C$1),FALSE),"")</f>
        <v>体</v>
      </c>
      <c r="F137">
        <f>IFERROR(ROUNDDOWN((VLOOKUP($C137,装備品!$1:$998,COLUMN(D$1),FALSE)+IFERROR(VLOOKUP($CI137,付与!$1:$1167,COLUMN(F$1),FALSE),0))*VLOOKUP($D137,素材!$1:$1016,COLUMN(D$1),FALSE),0),"")</f>
        <v>0</v>
      </c>
      <c r="G137">
        <f>IFERROR(ROUNDDOWN((VLOOKUP($C137,装備品!$1:$998,COLUMN(E$1),FALSE)+IFERROR(VLOOKUP($CI137,付与!$1:$1167,COLUMN(G$1),FALSE),0))*VLOOKUP($D137,素材!$1:$1016,COLUMN($E$1),FALSE),0),"")</f>
        <v>0</v>
      </c>
      <c r="H137">
        <f>IFERROR(ROUNDDOWN((VLOOKUP($C137,装備品!$1:$998,COLUMN(F$1),FALSE)+IFERROR(VLOOKUP($CI137,付与!$1:$1167,COLUMN(H$1),FALSE),0))*VLOOKUP($D137,素材!$1:$1016,COLUMN($E$1),FALSE),0),"")</f>
        <v>0</v>
      </c>
      <c r="I137">
        <f>IFERROR(ROUNDDOWN((VLOOKUP($C137,装備品!$1:$998,COLUMN(G$1),FALSE)+IFERROR(VLOOKUP($CI137,付与!$1:$1167,COLUMN(I$1),FALSE),0))*VLOOKUP($D137,素材!$1:$1016,COLUMN($E$1),FALSE),0),"")</f>
        <v>0</v>
      </c>
      <c r="J137">
        <f>IFERROR(ROUNDDOWN((VLOOKUP($C137,装備品!$1:$998,COLUMN(H$1),FALSE)+IFERROR(VLOOKUP($CI137,付与!$1:$1167,COLUMN(J$1),FALSE),0))*VLOOKUP($D137,素材!$1:$1016,COLUMN($E$1),FALSE),0),"")</f>
        <v>0</v>
      </c>
      <c r="K137">
        <f>IFERROR(ROUNDDOWN((VLOOKUP($C137,装備品!$1:$998,COLUMN(I$1),FALSE)+IFERROR(VLOOKUP($CI137,付与!$1:$1167,COLUMN(K$1),FALSE),0))*VLOOKUP($D137,素材!$1:$1016,COLUMN($E$1),FALSE),0),"")</f>
        <v>0</v>
      </c>
      <c r="L137" t="str">
        <f>IFERROR(VLOOKUP($D137,素材!$1:$1016,COLUMN($F$1),FALSE),"")</f>
        <v>魔法</v>
      </c>
      <c r="M137" t="str">
        <f>IFERROR(VLOOKUP($C137,装備品!$1:$998,COLUMN(AA$1),FALSE)*VLOOKUP($D137,素材!$1:$1016,COLUMN($G$1),FALSE),"")</f>
        <v/>
      </c>
      <c r="N137">
        <f>IFERROR(VLOOKUP($C137,装備品!$1:$998,COLUMN(I$1),FALSE),"")</f>
        <v>0</v>
      </c>
      <c r="O137" s="23" t="str">
        <f>IFERROR((VLOOKUP($C137,装備品!$1:$998,COLUMN(K$1),FALSE)+VLOOKUP($D137,素材!$1:$1016,COLUMN(H$1),FALSE))*100+IFERROR(VLOOKUP($CI137,付与!$1:$1167,COLUMN(O$1),FALSE),0),"")</f>
        <v/>
      </c>
      <c r="P137" s="23" t="str">
        <f>IFERROR((VLOOKUP($C137,装備品!$1:$998,COLUMN(L$1),FALSE)+VLOOKUP($D137,素材!$1:$1016,COLUMN(I$1),FALSE))*100+IFERROR(VLOOKUP($CI137,付与!$1:$1167,COLUMN(P$1),FALSE),0),"")</f>
        <v/>
      </c>
      <c r="Q137">
        <f>IFERROR(ROUNDUP(VLOOKUP($C137,装備品!$1:$998,COLUMN(M$1),FALSE)*(VLOOKUP($D137,素材!$1:$1002,COLUMN(D$1),FALSE)/100),1),"")</f>
        <v>-11.299999999999999</v>
      </c>
      <c r="R137">
        <f>IFERROR(ROUNDUP(VLOOKUP($C137,装備品!$1:$998,COLUMN(N$1),FALSE)*(VLOOKUP($D137,素材!$1:$1002,COLUMN(D$1),FALSE)/100),1),"")</f>
        <v>0</v>
      </c>
      <c r="S137">
        <f>IFERROR(VLOOKUP($C137,装備品!$1:$998,COLUMN(P$1),FALSE),"")</f>
        <v>-35</v>
      </c>
      <c r="T137">
        <f>IFERROR(VLOOKUP($C137,装備品!$1:$998,COLUMN(Q$1),FALSE),"")</f>
        <v>0</v>
      </c>
      <c r="U137">
        <f>IFERROR(VLOOKUP($C137,装備品!$1:$998,COLUMN(R$1),FALSE),"")</f>
        <v>0</v>
      </c>
      <c r="V137">
        <f>IFERROR(VLOOKUP($C137,装備品!$1:$998,COLUMN(Q$1),FALSE),"")</f>
        <v>0</v>
      </c>
      <c r="W137">
        <f>IFERROR(VLOOKUP($C137,装備品!$1:$998,COLUMN(T$1),FALSE),"")</f>
        <v>0.7</v>
      </c>
      <c r="Y137">
        <f>IFERROR(VLOOKUP($C137,装備品!$1:$998,COLUMN(U$1),FALSE),"")</f>
        <v>0</v>
      </c>
      <c r="Z137">
        <f>IFERROR(ROUNDUP(VLOOKUP($C137,装備品!$1:$998,COLUMN(O$1),FALSE)*VLOOKUP($D137,素材!$1:$1016,COLUMN(E$1),FALSE),1),"")</f>
        <v>0</v>
      </c>
      <c r="AA137">
        <f>IF(ISNUMBER(SEARCH(SUBSTITUTE(AA$1,RIGHT(AA$1,2),""),VLOOKUP($D137,素材!$1:$1016,COLUMN($F$1),FALSE))),VLOOKUP($C137,装備品!$1:$998,COLUMN($O$1),FALSE)*VLOOKUP($D137,素材!$1:$1016,COLUMN($E$1),FALSE)/(LEN(VLOOKUP($D137,素材!$1:$1016,COLUMN($F$1),FALSE))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B137">
        <f>IF(ISNUMBER(SEARCH(SUBSTITUTE(AB$1,RIGHT(AB$1,2),""),VLOOKUP($D137,素材!$1:$1016,COLUMN($F$1),FALSE))),VLOOKUP($C137,装備品!$1:$998,COLUMN($O$1),FALSE)*VLOOKUP($D137,素材!$1:$1016,COLUMN($E$1),FALSE)/(LEN(VLOOKUP($D137,素材!$1:$1016,COLUMN($F$1),FALSE))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C137">
        <f>IF(ISNUMBER(SEARCH(SUBSTITUTE(AC$1,RIGHT(AC$1,2),""),VLOOKUP($D137,素材!$1:$1016,COLUMN($F$1),FALSE))),VLOOKUP($C137,装備品!$1:$998,COLUMN($O$1),FALSE)*VLOOKUP($D137,素材!$1:$1016,COLUMN($E$1),FALSE)/(LEN(VLOOKUP($D137,素材!$1:$1016,COLUMN($F$1),FALSE))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D137">
        <f>IF(ISNUMBER(SEARCH(SUBSTITUTE(AD$1,RIGHT(AD$1,2),""),VLOOKUP($D137,素材!$1:$1016,COLUMN($F$1),FALSE))),VLOOKUP($C137,装備品!$1:$998,COLUMN($O$1),FALSE)*VLOOKUP($D137,素材!$1:$1016,COLUMN($E$1),FALSE)/(LEN(VLOOKUP($D137,素材!$1:$1016,COLUMN($F$1),FALSE))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E137">
        <f>IF(ISNUMBER(SEARCH(SUBSTITUTE(AE$1,RIGHT(AE$1,2),""),VLOOKUP($D137,素材!$1:$1016,COLUMN($F$1),FALSE))),VLOOKUP($C137,装備品!$1:$998,COLUMN($O$1),FALSE)*VLOOKUP($D137,素材!$1:$1016,COLUMN($E$1),FALSE)/(LEN(VLOOKUP($D137,素材!$1:$1016,COLUMN($F$1),FALSE))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F137">
        <f>IF(ISNUMBER(SEARCH(SUBSTITUTE(AF$1,RIGHT(AF$1,2),""),VLOOKUP($D137,素材!$1:$1016,COLUMN($F$1),FALSE))),VLOOKUP($C137,装備品!$1:$998,COLUMN($O$1),FALSE)*VLOOKUP($D137,素材!$1:$1016,COLUMN($E$1),FALSE)/(LEN(VLOOKUP($D137,素材!$1:$1016,COLUMN($F$1),FALSE))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G137">
        <f>IF(ISNUMBER(SEARCH(SUBSTITUTE(AG$1,RIGHT(AG$1,2),""),VLOOKUP($D137,素材!$1:$1016,COLUMN($F$1),FALSE))),VLOOKUP($C137,装備品!$1:$998,COLUMN($O$1),FALSE)*VLOOKUP($D137,素材!$1:$1016,COLUMN($E$1),FALSE)/(LEN(VLOOKUP($D137,素材!$1:$1016,COLUMN($F$1),FALSE))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H137">
        <f>IF(ISNUMBER(SEARCH(SUBSTITUTE(AH$1,RIGHT(AH$1,2),""),VLOOKUP($D137,素材!$1:$1016,COLUMN($F$1),FALSE))),VLOOKUP($C137,装備品!$1:$998,COLUMN($O$1),FALSE)*VLOOKUP($D137,素材!$1:$1016,COLUMN($E$1),FALSE)/(LEN(VLOOKUP($D137,素材!$1:$1016,COLUMN($F$1),FALSE))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I137">
        <f>IF(ISNUMBER(SEARCH(SUBSTITUTE(AI$1,RIGHT(AI$1,2),""),VLOOKUP($D137,素材!$1:$1016,COLUMN($F$1),FALSE))),VLOOKUP($C137,装備品!$1:$998,COLUMN($O$1),FALSE)*VLOOKUP($D137,素材!$1:$1016,COLUMN($E$1),FALSE)/(LEN(VLOOKUP($D137,素材!$1:$1016,COLUMN($F$1),FALSE))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J137">
        <f>IF(ISNUMBER(SEARCH(SUBSTITUTE(AJ$1,RIGHT(AJ$1,2),""),VLOOKUP($D137,素材!$1:$1016,COLUMN($F$1),FALSE))),VLOOKUP($C137,装備品!$1:$998,COLUMN($O$1),FALSE)*VLOOKUP($D137,素材!$1:$1016,COLUMN($E$1),FALSE)/(LEN(VLOOKUP($D137,素材!$1:$1016,COLUMN($F$1),FALSE))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K137">
        <f>IF(ISNUMBER(SEARCH(SUBSTITUTE(AK$1,RIGHT(AK$1,2),""),VLOOKUP($D137,素材!$1:$1016,COLUMN($F$1),FALSE))),VLOOKUP($C137,装備品!$1:$998,COLUMN($O$1),FALSE)*VLOOKUP($D137,素材!$1:$1016,COLUMN($E$1),FALSE)/(LEN(VLOOKUP($D137,素材!$1:$1016,COLUMN($F$1),FALSE))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L137">
        <f>IF(ISNUMBER(SEARCH(SUBSTITUTE(AL$1,RIGHT(AL$1,2),""),VLOOKUP($D137,素材!$1:$1016,COLUMN($F$1),FALSE))),VLOOKUP($C137,装備品!$1:$998,COLUMN($O$1),FALSE)*VLOOKUP($D137,素材!$1:$1016,COLUMN($E$1),FALSE)/(LEN(VLOOKUP($D137,素材!$1:$1016,COLUMN($F$1),FALSE))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M137">
        <f>IF(ISNUMBER(SEARCH(SUBSTITUTE(AM$1,RIGHT(AM$1,2),""),VLOOKUP($D137,素材!$1:$1016,COLUMN($F$1),FALSE))),VLOOKUP($C137,装備品!$1:$998,COLUMN($O$1),FALSE)*VLOOKUP($D137,素材!$1:$1016,COLUMN($E$1),FALSE)/(LEN(VLOOKUP($D137,素材!$1:$1016,COLUMN($F$1),FALSE))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N137">
        <f>IF(ISNUMBER(SEARCH(SUBSTITUTE(AN$1,RIGHT(AN$1,2),""),VLOOKUP($D137,素材!$1:$1016,COLUMN($F$1),FALSE))),VLOOKUP($C137,装備品!$1:$998,COLUMN($O$1),FALSE)*VLOOKUP($D137,素材!$1:$1016,COLUMN($E$1),FALSE)/(LEN(VLOOKUP($D137,素材!$1:$1016,COLUMN($F$1),FALSE))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O137">
        <f>IF(ISNUMBER(SEARCH(SUBSTITUTE(AO$1,RIGHT(AO$1,2),""),VLOOKUP($D137,素材!$1:$1016,COLUMN($F$1),FALSE))),VLOOKUP($C137,装備品!$1:$998,COLUMN($O$1),FALSE)*VLOOKUP($D137,素材!$1:$1016,COLUMN($E$1),FALSE)/(LEN(VLOOKUP($D137,素材!$1:$1016,COLUMN($F$1),FALSE))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P137">
        <f>IF(ISNUMBER(SEARCH(SUBSTITUTE(AP$1,RIGHT(AP$1,2),""),VLOOKUP($D137,素材!$1:$1016,COLUMN($F$1),FALSE))),VLOOKUP($C137,装備品!$1:$998,COLUMN($O$1),FALSE)*VLOOKUP($D137,素材!$1:$1016,COLUMN($E$1),FALSE)/(LEN(VLOOKUP($D137,素材!$1:$1016,COLUMN($F$1),FALSE))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Q137">
        <f>IF(ISNUMBER(SEARCH(SUBSTITUTE(AQ$1,RIGHT(AQ$1,2),""),VLOOKUP($D137,素材!$1:$1016,COLUMN($F$1),FALSE))),VLOOKUP($C137,装備品!$1:$998,COLUMN($O$1),FALSE)*VLOOKUP($D137,素材!$1:$1016,COLUMN($E$1),FALSE)/(LEN(VLOOKUP($D137,素材!$1:$1016,COLUMN($F$1),FALSE))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R137">
        <f>IF(ISNUMBER(SEARCH(SUBSTITUTE(AR$1,RIGHT(AR$1,2),""),VLOOKUP($D137,素材!$1:$1016,COLUMN($F$1),FALSE))),VLOOKUP($C137,装備品!$1:$998,COLUMN($O$1),FALSE)*VLOOKUP($D137,素材!$1:$1016,COLUMN($E$1),FALSE)/(LEN(VLOOKUP($D137,素材!$1:$1016,COLUMN($F$1),FALSE))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S137">
        <f>IF(ISNUMBER(SEARCH(SUBSTITUTE(AS$1,RIGHT(AS$1,2),""),VLOOKUP($D137,素材!$1:$1016,COLUMN($F$1),FALSE))),VLOOKUP($C137,装備品!$1:$998,COLUMN($O$1),FALSE)*VLOOKUP($D137,素材!$1:$1016,COLUMN($E$1),FALSE)/(LEN(VLOOKUP($D137,素材!$1:$1016,COLUMN($F$1),FALSE))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T137">
        <f>IF(ISNUMBER(SEARCH(SUBSTITUTE(AT$1,RIGHT(AT$1,2),""),VLOOKUP($D137,素材!$1:$1016,COLUMN($F$1),FALSE))),VLOOKUP($C137,装備品!$1:$998,COLUMN($O$1),FALSE)*VLOOKUP($D137,素材!$1:$1016,COLUMN($E$1),FALSE)/(LEN(VLOOKUP($D137,素材!$1:$1016,COLUMN($F$1),FALSE))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U137">
        <f>IF(ISNUMBER(SEARCH(SUBSTITUTE(AU$1,RIGHT(AU$1,2),""),VLOOKUP($D137,素材!$1:$1016,COLUMN($F$1),FALSE))),VLOOKUP($C137,装備品!$1:$998,COLUMN($O$1),FALSE)*VLOOKUP($D137,素材!$1:$1016,COLUMN($E$1),FALSE)/(LEN(VLOOKUP($D137,素材!$1:$1016,COLUMN($F$1),FALSE))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V137">
        <f>IF(ISNUMBER(SEARCH(SUBSTITUTE(AV$1,RIGHT(AV$1,2),""),VLOOKUP($D137,素材!$1:$1016,COLUMN($F$1),FALSE))),VLOOKUP($C137,装備品!$1:$998,COLUMN($O$1),FALSE)*VLOOKUP($D137,素材!$1:$1016,COLUMN($E$1),FALSE)/(LEN(VLOOKUP($D137,素材!$1:$1016,COLUMN($F$1),FALSE))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W137">
        <f>IF(ISNUMBER(SEARCH(SUBSTITUTE(AW$1,RIGHT(AW$1,2),""),VLOOKUP($D137,素材!$1:$1016,COLUMN($F$1),FALSE))),VLOOKUP($C137,装備品!$1:$998,COLUMN($O$1),FALSE)*VLOOKUP($D137,素材!$1:$1016,COLUMN($E$1),FALSE)/(LEN(VLOOKUP($D137,素材!$1:$1016,COLUMN($F$1),FALSE))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X137">
        <f>IF(ISNUMBER(SEARCH(SUBSTITUTE(AX$1,RIGHT(AX$1,2),""),VLOOKUP($D137,素材!$1:$1016,COLUMN($F$1),FALSE))),VLOOKUP($C137,装備品!$1:$998,COLUMN($O$1),FALSE)*VLOOKUP($D137,素材!$1:$1016,COLUMN($E$1),FALSE)/(LEN(VLOOKUP($D137,素材!$1:$1016,COLUMN($F$1),FALSE))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Y137">
        <f>IF(ISNUMBER(SEARCH(SUBSTITUTE(AY$1,RIGHT(AY$1,2),""),VLOOKUP($D137,素材!$1:$1016,COLUMN($F$1),FALSE))),VLOOKUP($C137,装備品!$1:$998,COLUMN($O$1),FALSE)*VLOOKUP($D137,素材!$1:$1016,COLUMN($E$1),FALSE)/(LEN(VLOOKUP($D137,素材!$1:$1016,COLUMN($F$1),FALSE))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Z137">
        <f>IF(ISNUMBER(SEARCH(SUBSTITUTE(AZ$1,RIGHT(AZ$1,2),""),VLOOKUP($D137,素材!$1:$1016,COLUMN($F$1),FALSE))),VLOOKUP($C137,装備品!$1:$998,COLUMN($O$1),FALSE)*VLOOKUP($D137,素材!$1:$1016,COLUMN($E$1),FALSE)/(LEN(VLOOKUP($D137,素材!$1:$1016,COLUMN($F$1),FALSE))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BA137">
        <f>IF(ISNUMBER(SEARCH(SUBSTITUTE(BA$1,RIGHT(BA$1,2),""),VLOOKUP($D137,素材!$1:$1016,COLUMN($F$1),FALSE))),VLOOKUP($C137,装備品!$1:$998,COLUMN($O$1),FALSE)*VLOOKUP($D137,素材!$1:$1016,COLUMN($E$1),FALSE)/(LEN(VLOOKUP($D137,素材!$1:$1016,COLUMN($F$1),FALSE))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BB137">
        <f>IF(ISNUMBER(SEARCH(SUBSTITUTE(BB$1,RIGHT(BB$1,2),""),VLOOKUP($D137,素材!$1:$1016,COLUMN($F$1),FALSE))),VLOOKUP($C137,装備品!$1:$998,COLUMN($O$1),FALSE)*VLOOKUP($D137,素材!$1:$1016,COLUMN($E$1),FALSE)/(LEN(VLOOKUP($D137,素材!$1:$1016,COLUMN($F$1),FALSE))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BC137">
        <f>IF(ISNUMBER(SEARCH(SUBSTITUTE(BC$1,RIGHT(BC$1,2),""),VLOOKUP($D137,素材!$1:$1016,COLUMN($F$1),FALSE))),VLOOKUP($C137,装備品!$1:$998,COLUMN($O$1),FALSE)*VLOOKUP($D137,素材!$1:$1016,COLUMN($E$1),FALSE)/(LEN(VLOOKUP($D137,素材!$1:$1016,COLUMN($F$1),FALSE))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BD137">
        <f>IF(ISNUMBER(SEARCH(SUBSTITUTE(BD$1,RIGHT(BD$1,2),""),VLOOKUP($D137,素材!$1:$1016,COLUMN($F$1),FALSE))),VLOOKUP($C137,装備品!$1:$998,COLUMN($O$1),FALSE)*VLOOKUP($D137,素材!$1:$1016,COLUMN($E$1),FALSE)/(LEN(VLOOKUP($D137,素材!$1:$1016,COLUMN($F$1),FALSE))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BE137">
        <f>IF(ISNUMBER(SEARCH(SUBSTITUTE(BE$1,RIGHT(BE$1,2),""),VLOOKUP($D137,素材!$1:$1016,COLUMN($F$1),FALSE))),VLOOKUP($C137,装備品!$1:$998,COLUMN($O$1),FALSE)*VLOOKUP($D137,素材!$1:$1016,COLUMN($E$1),FALSE)/(LEN(VLOOKUP($D137,素材!$1:$1016,COLUMN($F$1),FALSE))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CL137">
        <f t="shared" si="19"/>
        <v>0</v>
      </c>
      <c r="CM137" s="22" t="str">
        <f t="shared" si="20"/>
        <v>体.webp</v>
      </c>
      <c r="CN137">
        <f>IFERROR(VLOOKUP($C137,装備品!$1:$998,COLUMN(V$1),FALSE)*VLOOKUP($D137,素材!$1:$1016,COLUMN(N$1),FALSE)+IF(CI137="",0,VLOOKUP($CI137,付与!$1:$1176,COLUMN($CK$1),FALSE)),"")</f>
        <v>0</v>
      </c>
      <c r="CO137" t="str">
        <f>VLOOKUP(D137,素材!$A:$O,COLUMN(素材!O$1),FALSE)</f>
        <v>魔力を帯びた特殊な皮素材。魔法防御や属性耐性を強化する効果があり、高レベルの冒険者に重宝されます。</v>
      </c>
      <c r="CP137" t="str">
        <f>VLOOKUP(C137,装備品!$A:$AB,COLUMN(装備品!AB$1),FALSE)</f>
        <v>HP 物理 魔法 体幹 出血 疲労 Cr</v>
      </c>
      <c r="CR137" t="str">
        <f t="shared" si="9"/>
        <v>e_137</v>
      </c>
      <c r="CS137">
        <f t="shared" si="10"/>
        <v>0</v>
      </c>
    </row>
    <row r="138" spans="1:97" outlineLevel="1" x14ac:dyDescent="0.4">
      <c r="A138" t="str">
        <f t="shared" ref="A138:A154" si="23">D138&amp;"の"&amp;C138</f>
        <v>魔獣皮の胴衣</v>
      </c>
      <c r="B138" t="str">
        <f>IFERROR(VLOOKUP($D138,素材!$1:$1016,COLUMN($B$1),FALSE)&amp;"・"&amp;VLOOKUP($C138,装備品!$1:$998,COLUMN(B$1),FALSE),"")</f>
        <v>マジックレザー・ベスト</v>
      </c>
      <c r="C138" t="s">
        <v>206</v>
      </c>
      <c r="D138" s="24" t="s">
        <v>201</v>
      </c>
      <c r="E138" t="str">
        <f>IFERROR(VLOOKUP(C138,装備品!$1:$998,COLUMN(C$1),FALSE),"")</f>
        <v>体</v>
      </c>
      <c r="F138">
        <f>IFERROR(ROUNDDOWN((VLOOKUP($C138,装備品!$1:$998,COLUMN(D$1),FALSE)+IFERROR(VLOOKUP($CI138,付与!$1:$1167,COLUMN(F$1),FALSE),0))*VLOOKUP($D138,素材!$1:$1016,COLUMN(D$1),FALSE),0),"")</f>
        <v>0</v>
      </c>
      <c r="G138">
        <f>IFERROR(ROUNDDOWN((VLOOKUP($C138,装備品!$1:$998,COLUMN(E$1),FALSE)+IFERROR(VLOOKUP($CI138,付与!$1:$1167,COLUMN(G$1),FALSE),0))*VLOOKUP($D138,素材!$1:$1016,COLUMN($E$1),FALSE),0),"")</f>
        <v>0</v>
      </c>
      <c r="H138">
        <f>IFERROR(ROUNDDOWN((VLOOKUP($C138,装備品!$1:$998,COLUMN(F$1),FALSE)+IFERROR(VLOOKUP($CI138,付与!$1:$1167,COLUMN(H$1),FALSE),0))*VLOOKUP($D138,素材!$1:$1016,COLUMN($E$1),FALSE),0),"")</f>
        <v>0</v>
      </c>
      <c r="I138">
        <f>IFERROR(ROUNDDOWN((VLOOKUP($C138,装備品!$1:$998,COLUMN(G$1),FALSE)+IFERROR(VLOOKUP($CI138,付与!$1:$1167,COLUMN(I$1),FALSE),0))*VLOOKUP($D138,素材!$1:$1016,COLUMN($E$1),FALSE),0),"")</f>
        <v>0</v>
      </c>
      <c r="J138">
        <f>IFERROR(ROUNDDOWN((VLOOKUP($C138,装備品!$1:$998,COLUMN(H$1),FALSE)+IFERROR(VLOOKUP($CI138,付与!$1:$1167,COLUMN(J$1),FALSE),0))*VLOOKUP($D138,素材!$1:$1016,COLUMN($E$1),FALSE),0),"")</f>
        <v>0</v>
      </c>
      <c r="K138">
        <f>IFERROR(ROUNDDOWN((VLOOKUP($C138,装備品!$1:$998,COLUMN(I$1),FALSE)+IFERROR(VLOOKUP($CI138,付与!$1:$1167,COLUMN(K$1),FALSE),0))*VLOOKUP($D138,素材!$1:$1016,COLUMN($E$1),FALSE),0),"")</f>
        <v>0</v>
      </c>
      <c r="L138" t="str">
        <f>IFERROR(VLOOKUP($D138,素材!$1:$1016,COLUMN($F$1),FALSE),"")</f>
        <v>魔法</v>
      </c>
      <c r="M138" t="str">
        <f>IFERROR(VLOOKUP($C138,装備品!$1:$998,COLUMN(AA$1),FALSE)*VLOOKUP($D138,素材!$1:$1016,COLUMN($G$1),FALSE),"")</f>
        <v/>
      </c>
      <c r="N138">
        <f>IFERROR(VLOOKUP($C138,装備品!$1:$998,COLUMN(I$1),FALSE),"")</f>
        <v>0</v>
      </c>
      <c r="O138" s="23" t="str">
        <f>IFERROR((VLOOKUP($C138,装備品!$1:$998,COLUMN(K$1),FALSE)+VLOOKUP($D138,素材!$1:$1016,COLUMN(H$1),FALSE))*100+IFERROR(VLOOKUP($CI138,付与!$1:$1167,COLUMN(O$1),FALSE),0),"")</f>
        <v/>
      </c>
      <c r="P138" s="23" t="str">
        <f>IFERROR((VLOOKUP($C138,装備品!$1:$998,COLUMN(L$1),FALSE)+VLOOKUP($D138,素材!$1:$1016,COLUMN(I$1),FALSE))*100+IFERROR(VLOOKUP($CI138,付与!$1:$1167,COLUMN(P$1),FALSE),0),"")</f>
        <v/>
      </c>
      <c r="Q138">
        <f>IFERROR(ROUNDUP(VLOOKUP($C138,装備品!$1:$998,COLUMN(M$1),FALSE)*(VLOOKUP($D138,素材!$1:$1002,COLUMN(D$1),FALSE)/100),1),"")</f>
        <v>-5.6999999999999993</v>
      </c>
      <c r="R138">
        <f>IFERROR(ROUNDUP(VLOOKUP($C138,装備品!$1:$998,COLUMN(N$1),FALSE)*(VLOOKUP($D138,素材!$1:$1002,COLUMN(D$1),FALSE)/100),1),"")</f>
        <v>0</v>
      </c>
      <c r="S138">
        <f>IFERROR(VLOOKUP($C138,装備品!$1:$998,COLUMN(P$1),FALSE),"")</f>
        <v>-15</v>
      </c>
      <c r="T138">
        <f>IFERROR(VLOOKUP($C138,装備品!$1:$998,COLUMN(Q$1),FALSE),"")</f>
        <v>0</v>
      </c>
      <c r="U138">
        <f>IFERROR(VLOOKUP($C138,装備品!$1:$998,COLUMN(R$1),FALSE),"")</f>
        <v>0</v>
      </c>
      <c r="V138">
        <f>IFERROR(VLOOKUP($C138,装備品!$1:$998,COLUMN(Q$1),FALSE),"")</f>
        <v>0</v>
      </c>
      <c r="W138">
        <f>IFERROR(VLOOKUP($C138,装備品!$1:$998,COLUMN(T$1),FALSE),"")</f>
        <v>0.5</v>
      </c>
      <c r="Y138">
        <f>IFERROR(VLOOKUP($C138,装備品!$1:$998,COLUMN(U$1),FALSE),"")</f>
        <v>0</v>
      </c>
      <c r="Z138">
        <f>IFERROR(ROUNDUP(VLOOKUP($C138,装備品!$1:$998,COLUMN(O$1),FALSE)*VLOOKUP($D138,素材!$1:$1016,COLUMN(E$1),FALSE),1),"")</f>
        <v>0</v>
      </c>
      <c r="AA138">
        <f>IF(ISNUMBER(SEARCH(SUBSTITUTE(AA$1,RIGHT(AA$1,2),""),VLOOKUP($D138,素材!$1:$1016,COLUMN($F$1),FALSE))),VLOOKUP($C138,装備品!$1:$998,COLUMN($O$1),FALSE)*VLOOKUP($D138,素材!$1:$1016,COLUMN($E$1),FALSE)/(LEN(VLOOKUP($D138,素材!$1:$1016,COLUMN($F$1),FALSE))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B138">
        <f>IF(ISNUMBER(SEARCH(SUBSTITUTE(AB$1,RIGHT(AB$1,2),""),VLOOKUP($D138,素材!$1:$1016,COLUMN($F$1),FALSE))),VLOOKUP($C138,装備品!$1:$998,COLUMN($O$1),FALSE)*VLOOKUP($D138,素材!$1:$1016,COLUMN($E$1),FALSE)/(LEN(VLOOKUP($D138,素材!$1:$1016,COLUMN($F$1),FALSE))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C138">
        <f>IF(ISNUMBER(SEARCH(SUBSTITUTE(AC$1,RIGHT(AC$1,2),""),VLOOKUP($D138,素材!$1:$1016,COLUMN($F$1),FALSE))),VLOOKUP($C138,装備品!$1:$998,COLUMN($O$1),FALSE)*VLOOKUP($D138,素材!$1:$1016,COLUMN($E$1),FALSE)/(LEN(VLOOKUP($D138,素材!$1:$1016,COLUMN($F$1),FALSE))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D138">
        <f>IF(ISNUMBER(SEARCH(SUBSTITUTE(AD$1,RIGHT(AD$1,2),""),VLOOKUP($D138,素材!$1:$1016,COLUMN($F$1),FALSE))),VLOOKUP($C138,装備品!$1:$998,COLUMN($O$1),FALSE)*VLOOKUP($D138,素材!$1:$1016,COLUMN($E$1),FALSE)/(LEN(VLOOKUP($D138,素材!$1:$1016,COLUMN($F$1),FALSE))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E138">
        <f>IF(ISNUMBER(SEARCH(SUBSTITUTE(AE$1,RIGHT(AE$1,2),""),VLOOKUP($D138,素材!$1:$1016,COLUMN($F$1),FALSE))),VLOOKUP($C138,装備品!$1:$998,COLUMN($O$1),FALSE)*VLOOKUP($D138,素材!$1:$1016,COLUMN($E$1),FALSE)/(LEN(VLOOKUP($D138,素材!$1:$1016,COLUMN($F$1),FALSE))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F138">
        <f>IF(ISNUMBER(SEARCH(SUBSTITUTE(AF$1,RIGHT(AF$1,2),""),VLOOKUP($D138,素材!$1:$1016,COLUMN($F$1),FALSE))),VLOOKUP($C138,装備品!$1:$998,COLUMN($O$1),FALSE)*VLOOKUP($D138,素材!$1:$1016,COLUMN($E$1),FALSE)/(LEN(VLOOKUP($D138,素材!$1:$1016,COLUMN($F$1),FALSE))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G138">
        <f>IF(ISNUMBER(SEARCH(SUBSTITUTE(AG$1,RIGHT(AG$1,2),""),VLOOKUP($D138,素材!$1:$1016,COLUMN($F$1),FALSE))),VLOOKUP($C138,装備品!$1:$998,COLUMN($O$1),FALSE)*VLOOKUP($D138,素材!$1:$1016,COLUMN($E$1),FALSE)/(LEN(VLOOKUP($D138,素材!$1:$1016,COLUMN($F$1),FALSE))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H138">
        <f>IF(ISNUMBER(SEARCH(SUBSTITUTE(AH$1,RIGHT(AH$1,2),""),VLOOKUP($D138,素材!$1:$1016,COLUMN($F$1),FALSE))),VLOOKUP($C138,装備品!$1:$998,COLUMN($O$1),FALSE)*VLOOKUP($D138,素材!$1:$1016,COLUMN($E$1),FALSE)/(LEN(VLOOKUP($D138,素材!$1:$1016,COLUMN($F$1),FALSE))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I138">
        <f>IF(ISNUMBER(SEARCH(SUBSTITUTE(AI$1,RIGHT(AI$1,2),""),VLOOKUP($D138,素材!$1:$1016,COLUMN($F$1),FALSE))),VLOOKUP($C138,装備品!$1:$998,COLUMN($O$1),FALSE)*VLOOKUP($D138,素材!$1:$1016,COLUMN($E$1),FALSE)/(LEN(VLOOKUP($D138,素材!$1:$1016,COLUMN($F$1),FALSE))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J138">
        <f>IF(ISNUMBER(SEARCH(SUBSTITUTE(AJ$1,RIGHT(AJ$1,2),""),VLOOKUP($D138,素材!$1:$1016,COLUMN($F$1),FALSE))),VLOOKUP($C138,装備品!$1:$998,COLUMN($O$1),FALSE)*VLOOKUP($D138,素材!$1:$1016,COLUMN($E$1),FALSE)/(LEN(VLOOKUP($D138,素材!$1:$1016,COLUMN($F$1),FALSE))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K138">
        <f>IF(ISNUMBER(SEARCH(SUBSTITUTE(AK$1,RIGHT(AK$1,2),""),VLOOKUP($D138,素材!$1:$1016,COLUMN($F$1),FALSE))),VLOOKUP($C138,装備品!$1:$998,COLUMN($O$1),FALSE)*VLOOKUP($D138,素材!$1:$1016,COLUMN($E$1),FALSE)/(LEN(VLOOKUP($D138,素材!$1:$1016,COLUMN($F$1),FALSE))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L138">
        <f>IF(ISNUMBER(SEARCH(SUBSTITUTE(AL$1,RIGHT(AL$1,2),""),VLOOKUP($D138,素材!$1:$1016,COLUMN($F$1),FALSE))),VLOOKUP($C138,装備品!$1:$998,COLUMN($O$1),FALSE)*VLOOKUP($D138,素材!$1:$1016,COLUMN($E$1),FALSE)/(LEN(VLOOKUP($D138,素材!$1:$1016,COLUMN($F$1),FALSE))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M138">
        <f>IF(ISNUMBER(SEARCH(SUBSTITUTE(AM$1,RIGHT(AM$1,2),""),VLOOKUP($D138,素材!$1:$1016,COLUMN($F$1),FALSE))),VLOOKUP($C138,装備品!$1:$998,COLUMN($O$1),FALSE)*VLOOKUP($D138,素材!$1:$1016,COLUMN($E$1),FALSE)/(LEN(VLOOKUP($D138,素材!$1:$1016,COLUMN($F$1),FALSE))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N138">
        <f>IF(ISNUMBER(SEARCH(SUBSTITUTE(AN$1,RIGHT(AN$1,2),""),VLOOKUP($D138,素材!$1:$1016,COLUMN($F$1),FALSE))),VLOOKUP($C138,装備品!$1:$998,COLUMN($O$1),FALSE)*VLOOKUP($D138,素材!$1:$1016,COLUMN($E$1),FALSE)/(LEN(VLOOKUP($D138,素材!$1:$1016,COLUMN($F$1),FALSE))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O138">
        <f>IF(ISNUMBER(SEARCH(SUBSTITUTE(AO$1,RIGHT(AO$1,2),""),VLOOKUP($D138,素材!$1:$1016,COLUMN($F$1),FALSE))),VLOOKUP($C138,装備品!$1:$998,COLUMN($O$1),FALSE)*VLOOKUP($D138,素材!$1:$1016,COLUMN($E$1),FALSE)/(LEN(VLOOKUP($D138,素材!$1:$1016,COLUMN($F$1),FALSE))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P138">
        <f>IF(ISNUMBER(SEARCH(SUBSTITUTE(AP$1,RIGHT(AP$1,2),""),VLOOKUP($D138,素材!$1:$1016,COLUMN($F$1),FALSE))),VLOOKUP($C138,装備品!$1:$998,COLUMN($O$1),FALSE)*VLOOKUP($D138,素材!$1:$1016,COLUMN($E$1),FALSE)/(LEN(VLOOKUP($D138,素材!$1:$1016,COLUMN($F$1),FALSE))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Q138">
        <f>IF(ISNUMBER(SEARCH(SUBSTITUTE(AQ$1,RIGHT(AQ$1,2),""),VLOOKUP($D138,素材!$1:$1016,COLUMN($F$1),FALSE))),VLOOKUP($C138,装備品!$1:$998,COLUMN($O$1),FALSE)*VLOOKUP($D138,素材!$1:$1016,COLUMN($E$1),FALSE)/(LEN(VLOOKUP($D138,素材!$1:$1016,COLUMN($F$1),FALSE))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R138">
        <f>IF(ISNUMBER(SEARCH(SUBSTITUTE(AR$1,RIGHT(AR$1,2),""),VLOOKUP($D138,素材!$1:$1016,COLUMN($F$1),FALSE))),VLOOKUP($C138,装備品!$1:$998,COLUMN($O$1),FALSE)*VLOOKUP($D138,素材!$1:$1016,COLUMN($E$1),FALSE)/(LEN(VLOOKUP($D138,素材!$1:$1016,COLUMN($F$1),FALSE))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S138">
        <f>IF(ISNUMBER(SEARCH(SUBSTITUTE(AS$1,RIGHT(AS$1,2),""),VLOOKUP($D138,素材!$1:$1016,COLUMN($F$1),FALSE))),VLOOKUP($C138,装備品!$1:$998,COLUMN($O$1),FALSE)*VLOOKUP($D138,素材!$1:$1016,COLUMN($E$1),FALSE)/(LEN(VLOOKUP($D138,素材!$1:$1016,COLUMN($F$1),FALSE))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T138">
        <f>IF(ISNUMBER(SEARCH(SUBSTITUTE(AT$1,RIGHT(AT$1,2),""),VLOOKUP($D138,素材!$1:$1016,COLUMN($F$1),FALSE))),VLOOKUP($C138,装備品!$1:$998,COLUMN($O$1),FALSE)*VLOOKUP($D138,素材!$1:$1016,COLUMN($E$1),FALSE)/(LEN(VLOOKUP($D138,素材!$1:$1016,COLUMN($F$1),FALSE))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U138">
        <f>IF(ISNUMBER(SEARCH(SUBSTITUTE(AU$1,RIGHT(AU$1,2),""),VLOOKUP($D138,素材!$1:$1016,COLUMN($F$1),FALSE))),VLOOKUP($C138,装備品!$1:$998,COLUMN($O$1),FALSE)*VLOOKUP($D138,素材!$1:$1016,COLUMN($E$1),FALSE)/(LEN(VLOOKUP($D138,素材!$1:$1016,COLUMN($F$1),FALSE))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V138">
        <f>IF(ISNUMBER(SEARCH(SUBSTITUTE(AV$1,RIGHT(AV$1,2),""),VLOOKUP($D138,素材!$1:$1016,COLUMN($F$1),FALSE))),VLOOKUP($C138,装備品!$1:$998,COLUMN($O$1),FALSE)*VLOOKUP($D138,素材!$1:$1016,COLUMN($E$1),FALSE)/(LEN(VLOOKUP($D138,素材!$1:$1016,COLUMN($F$1),FALSE))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W138">
        <f>IF(ISNUMBER(SEARCH(SUBSTITUTE(AW$1,RIGHT(AW$1,2),""),VLOOKUP($D138,素材!$1:$1016,COLUMN($F$1),FALSE))),VLOOKUP($C138,装備品!$1:$998,COLUMN($O$1),FALSE)*VLOOKUP($D138,素材!$1:$1016,COLUMN($E$1),FALSE)/(LEN(VLOOKUP($D138,素材!$1:$1016,COLUMN($F$1),FALSE))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X138">
        <f>IF(ISNUMBER(SEARCH(SUBSTITUTE(AX$1,RIGHT(AX$1,2),""),VLOOKUP($D138,素材!$1:$1016,COLUMN($F$1),FALSE))),VLOOKUP($C138,装備品!$1:$998,COLUMN($O$1),FALSE)*VLOOKUP($D138,素材!$1:$1016,COLUMN($E$1),FALSE)/(LEN(VLOOKUP($D138,素材!$1:$1016,COLUMN($F$1),FALSE))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Y138">
        <f>IF(ISNUMBER(SEARCH(SUBSTITUTE(AY$1,RIGHT(AY$1,2),""),VLOOKUP($D138,素材!$1:$1016,COLUMN($F$1),FALSE))),VLOOKUP($C138,装備品!$1:$998,COLUMN($O$1),FALSE)*VLOOKUP($D138,素材!$1:$1016,COLUMN($E$1),FALSE)/(LEN(VLOOKUP($D138,素材!$1:$1016,COLUMN($F$1),FALSE))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Z138">
        <f>IF(ISNUMBER(SEARCH(SUBSTITUTE(AZ$1,RIGHT(AZ$1,2),""),VLOOKUP($D138,素材!$1:$1016,COLUMN($F$1),FALSE))),VLOOKUP($C138,装備品!$1:$998,COLUMN($O$1),FALSE)*VLOOKUP($D138,素材!$1:$1016,COLUMN($E$1),FALSE)/(LEN(VLOOKUP($D138,素材!$1:$1016,COLUMN($F$1),FALSE))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BA138">
        <f>IF(ISNUMBER(SEARCH(SUBSTITUTE(BA$1,RIGHT(BA$1,2),""),VLOOKUP($D138,素材!$1:$1016,COLUMN($F$1),FALSE))),VLOOKUP($C138,装備品!$1:$998,COLUMN($O$1),FALSE)*VLOOKUP($D138,素材!$1:$1016,COLUMN($E$1),FALSE)/(LEN(VLOOKUP($D138,素材!$1:$1016,COLUMN($F$1),FALSE))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BB138">
        <f>IF(ISNUMBER(SEARCH(SUBSTITUTE(BB$1,RIGHT(BB$1,2),""),VLOOKUP($D138,素材!$1:$1016,COLUMN($F$1),FALSE))),VLOOKUP($C138,装備品!$1:$998,COLUMN($O$1),FALSE)*VLOOKUP($D138,素材!$1:$1016,COLUMN($E$1),FALSE)/(LEN(VLOOKUP($D138,素材!$1:$1016,COLUMN($F$1),FALSE))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BC138">
        <f>IF(ISNUMBER(SEARCH(SUBSTITUTE(BC$1,RIGHT(BC$1,2),""),VLOOKUP($D138,素材!$1:$1016,COLUMN($F$1),FALSE))),VLOOKUP($C138,装備品!$1:$998,COLUMN($O$1),FALSE)*VLOOKUP($D138,素材!$1:$1016,COLUMN($E$1),FALSE)/(LEN(VLOOKUP($D138,素材!$1:$1016,COLUMN($F$1),FALSE))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BD138">
        <f>IF(ISNUMBER(SEARCH(SUBSTITUTE(BD$1,RIGHT(BD$1,2),""),VLOOKUP($D138,素材!$1:$1016,COLUMN($F$1),FALSE))),VLOOKUP($C138,装備品!$1:$998,COLUMN($O$1),FALSE)*VLOOKUP($D138,素材!$1:$1016,COLUMN($E$1),FALSE)/(LEN(VLOOKUP($D138,素材!$1:$1016,COLUMN($F$1),FALSE))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BE138">
        <f>IF(ISNUMBER(SEARCH(SUBSTITUTE(BE$1,RIGHT(BE$1,2),""),VLOOKUP($D138,素材!$1:$1016,COLUMN($F$1),FALSE))),VLOOKUP($C138,装備品!$1:$998,COLUMN($O$1),FALSE)*VLOOKUP($D138,素材!$1:$1016,COLUMN($E$1),FALSE)/(LEN(VLOOKUP($D138,素材!$1:$1016,COLUMN($F$1),FALSE))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CL138">
        <f t="shared" si="19"/>
        <v>0</v>
      </c>
      <c r="CM138" s="22" t="str">
        <f t="shared" si="20"/>
        <v>体.webp</v>
      </c>
      <c r="CN138">
        <f>IFERROR(VLOOKUP($C138,装備品!$1:$998,COLUMN(V$1),FALSE)*VLOOKUP($D138,素材!$1:$1016,COLUMN(N$1),FALSE)+IF(CI138="",0,VLOOKUP($CI138,付与!$1:$1176,COLUMN($CK$1),FALSE)),"")</f>
        <v>0</v>
      </c>
      <c r="CO138" t="str">
        <f>VLOOKUP(D138,素材!$A:$O,COLUMN(素材!O$1),FALSE)</f>
        <v>魔力を帯びた特殊な皮素材。魔法防御や属性耐性を強化する効果があり、高レベルの冒険者に重宝されます。</v>
      </c>
      <c r="CP138" t="str">
        <f>VLOOKUP(C138,装備品!$A:$AB,COLUMN(装備品!AB$1),FALSE)</f>
        <v>HP 物理 魔法 体幹 出血 疲労 Cr</v>
      </c>
      <c r="CR138" t="str">
        <f t="shared" ref="CR138:CR205" si="24">"e_"&amp;ROW(CR138)</f>
        <v>e_138</v>
      </c>
      <c r="CS138">
        <f t="shared" si="10"/>
        <v>0</v>
      </c>
    </row>
    <row r="139" spans="1:97" outlineLevel="1" x14ac:dyDescent="0.4">
      <c r="A139" t="str">
        <f>D139&amp;"の"&amp;C139</f>
        <v>魔獣皮の靴</v>
      </c>
      <c r="B139" t="str">
        <f>IFERROR(VLOOKUP($D139,素材!$1:$1016,COLUMN($B$1),FALSE)&amp;"・"&amp;VLOOKUP($C139,装備品!$1:$998,COLUMN(B$1),FALSE),"")</f>
        <v>マジックレザー・ブーツ</v>
      </c>
      <c r="C139" t="s">
        <v>1280</v>
      </c>
      <c r="D139" s="24" t="s">
        <v>201</v>
      </c>
      <c r="E139" t="str">
        <f>IFERROR(VLOOKUP(C139,装備品!$1:$998,COLUMN(C$1),FALSE),"")</f>
        <v>足</v>
      </c>
      <c r="F139">
        <f>IFERROR(ROUNDDOWN((VLOOKUP($C139,装備品!$1:$998,COLUMN(D$1),FALSE)+IFERROR(VLOOKUP($CI139,付与!$1:$1167,COLUMN(F$1),FALSE),0))*VLOOKUP($D139,素材!$1:$1016,COLUMN(D$1),FALSE),0),"")</f>
        <v>0</v>
      </c>
      <c r="G139">
        <f>IFERROR(ROUNDDOWN((VLOOKUP($C139,装備品!$1:$998,COLUMN(E$1),FALSE)+IFERROR(VLOOKUP($CI139,付与!$1:$1167,COLUMN(G$1),FALSE),0))*VLOOKUP($D139,素材!$1:$1016,COLUMN($E$1),FALSE),0),"")</f>
        <v>0</v>
      </c>
      <c r="H139">
        <f>IFERROR(ROUNDDOWN((VLOOKUP($C139,装備品!$1:$998,COLUMN(F$1),FALSE)+IFERROR(VLOOKUP($CI139,付与!$1:$1167,COLUMN(H$1),FALSE),0))*VLOOKUP($D139,素材!$1:$1016,COLUMN($E$1),FALSE),0),"")</f>
        <v>0</v>
      </c>
      <c r="I139">
        <f>IFERROR(ROUNDDOWN((VLOOKUP($C139,装備品!$1:$998,COLUMN(G$1),FALSE)+IFERROR(VLOOKUP($CI139,付与!$1:$1167,COLUMN(I$1),FALSE),0))*VLOOKUP($D139,素材!$1:$1016,COLUMN($E$1),FALSE),0),"")</f>
        <v>15</v>
      </c>
      <c r="J139">
        <f>IFERROR(ROUNDDOWN((VLOOKUP($C139,装備品!$1:$998,COLUMN(H$1),FALSE)+IFERROR(VLOOKUP($CI139,付与!$1:$1167,COLUMN(J$1),FALSE),0))*VLOOKUP($D139,素材!$1:$1016,COLUMN($E$1),FALSE),0),"")</f>
        <v>0</v>
      </c>
      <c r="K139">
        <f>IFERROR(ROUNDDOWN((VLOOKUP($C139,装備品!$1:$998,COLUMN(I$1),FALSE)+IFERROR(VLOOKUP($CI139,付与!$1:$1167,COLUMN(K$1),FALSE),0))*VLOOKUP($D139,素材!$1:$1016,COLUMN($E$1),FALSE),0),"")</f>
        <v>0</v>
      </c>
      <c r="L139" t="str">
        <f>IFERROR(VLOOKUP($D139,素材!$1:$1016,COLUMN($F$1),FALSE),"")</f>
        <v>魔法</v>
      </c>
      <c r="M139" t="str">
        <f>IFERROR(VLOOKUP($C139,装備品!$1:$998,COLUMN(AA$1),FALSE)*VLOOKUP($D139,素材!$1:$1016,COLUMN($G$1),FALSE),"")</f>
        <v/>
      </c>
      <c r="N139">
        <f>IFERROR(VLOOKUP($C139,装備品!$1:$998,COLUMN(I$1),FALSE),"")</f>
        <v>0</v>
      </c>
      <c r="O139" s="23" t="str">
        <f>IFERROR((VLOOKUP($C139,装備品!$1:$998,COLUMN(K$1),FALSE)+VLOOKUP($D139,素材!$1:$1016,COLUMN(H$1),FALSE))*100+IFERROR(VLOOKUP($CI139,付与!$1:$1167,COLUMN(O$1),FALSE),0),"")</f>
        <v/>
      </c>
      <c r="P139" s="23" t="str">
        <f>IFERROR((VLOOKUP($C139,装備品!$1:$998,COLUMN(L$1),FALSE)+VLOOKUP($D139,素材!$1:$1016,COLUMN(I$1),FALSE))*100+IFERROR(VLOOKUP($CI139,付与!$1:$1167,COLUMN(P$1),FALSE),0),"")</f>
        <v/>
      </c>
      <c r="Q139">
        <f>IFERROR(ROUNDUP(VLOOKUP($C139,装備品!$1:$998,COLUMN(M$1),FALSE)*(VLOOKUP($D139,素材!$1:$1002,COLUMN(D$1),FALSE)/100),1),"")</f>
        <v>0</v>
      </c>
      <c r="R139">
        <f>IFERROR(ROUNDUP(VLOOKUP($C139,装備品!$1:$998,COLUMN(N$1),FALSE)*(VLOOKUP($D139,素材!$1:$1002,COLUMN(D$1),FALSE)/100),1),"")</f>
        <v>0</v>
      </c>
      <c r="S139">
        <f>IFERROR(VLOOKUP($C139,装備品!$1:$998,COLUMN(P$1),FALSE),"")</f>
        <v>0</v>
      </c>
      <c r="T139">
        <f>IFERROR(VLOOKUP($C139,装備品!$1:$998,COLUMN(Q$1),FALSE),"")</f>
        <v>0</v>
      </c>
      <c r="U139">
        <f>IFERROR(VLOOKUP($C139,装備品!$1:$998,COLUMN(R$1),FALSE),"")</f>
        <v>0</v>
      </c>
      <c r="V139">
        <f>IFERROR(VLOOKUP($C139,装備品!$1:$998,COLUMN(Q$1),FALSE),"")</f>
        <v>0</v>
      </c>
      <c r="W139">
        <f>IFERROR(VLOOKUP($C139,装備品!$1:$998,COLUMN(T$1),FALSE),"")</f>
        <v>0.15</v>
      </c>
      <c r="Y139">
        <f>IFERROR(VLOOKUP($C139,装備品!$1:$998,COLUMN(U$1),FALSE),"")</f>
        <v>0</v>
      </c>
      <c r="Z139">
        <f>IFERROR(ROUNDUP(VLOOKUP($C139,装備品!$1:$998,COLUMN(O$1),FALSE)*VLOOKUP($D139,素材!$1:$1016,COLUMN(E$1),FALSE),1),"")</f>
        <v>0</v>
      </c>
      <c r="AA139">
        <f>IF(ISNUMBER(SEARCH(SUBSTITUTE(AA$1,RIGHT(AA$1,2),""),VLOOKUP($D139,素材!$1:$1016,COLUMN($F$1),FALSE))),VLOOKUP($C139,装備品!$1:$998,COLUMN($O$1),FALSE)*VLOOKUP($D139,素材!$1:$1016,COLUMN($E$1),FALSE)/(LEN(VLOOKUP($D139,素材!$1:$1016,COLUMN($F$1),FALSE))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B139">
        <f>IF(ISNUMBER(SEARCH(SUBSTITUTE(AB$1,RIGHT(AB$1,2),""),VLOOKUP($D139,素材!$1:$1016,COLUMN($F$1),FALSE))),VLOOKUP($C139,装備品!$1:$998,COLUMN($O$1),FALSE)*VLOOKUP($D139,素材!$1:$1016,COLUMN($E$1),FALSE)/(LEN(VLOOKUP($D139,素材!$1:$1016,COLUMN($F$1),FALSE))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C139">
        <f>IF(ISNUMBER(SEARCH(SUBSTITUTE(AC$1,RIGHT(AC$1,2),""),VLOOKUP($D139,素材!$1:$1016,COLUMN($F$1),FALSE))),VLOOKUP($C139,装備品!$1:$998,COLUMN($O$1),FALSE)*VLOOKUP($D139,素材!$1:$1016,COLUMN($E$1),FALSE)/(LEN(VLOOKUP($D139,素材!$1:$1016,COLUMN($F$1),FALSE))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D139">
        <f>IF(ISNUMBER(SEARCH(SUBSTITUTE(AD$1,RIGHT(AD$1,2),""),VLOOKUP($D139,素材!$1:$1016,COLUMN($F$1),FALSE))),VLOOKUP($C139,装備品!$1:$998,COLUMN($O$1),FALSE)*VLOOKUP($D139,素材!$1:$1016,COLUMN($E$1),FALSE)/(LEN(VLOOKUP($D139,素材!$1:$1016,COLUMN($F$1),FALSE))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E139">
        <f>IF(ISNUMBER(SEARCH(SUBSTITUTE(AE$1,RIGHT(AE$1,2),""),VLOOKUP($D139,素材!$1:$1016,COLUMN($F$1),FALSE))),VLOOKUP($C139,装備品!$1:$998,COLUMN($O$1),FALSE)*VLOOKUP($D139,素材!$1:$1016,COLUMN($E$1),FALSE)/(LEN(VLOOKUP($D139,素材!$1:$1016,COLUMN($F$1),FALSE))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F139">
        <f>IF(ISNUMBER(SEARCH(SUBSTITUTE(AF$1,RIGHT(AF$1,2),""),VLOOKUP($D139,素材!$1:$1016,COLUMN($F$1),FALSE))),VLOOKUP($C139,装備品!$1:$998,COLUMN($O$1),FALSE)*VLOOKUP($D139,素材!$1:$1016,COLUMN($E$1),FALSE)/(LEN(VLOOKUP($D139,素材!$1:$1016,COLUMN($F$1),FALSE))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G139">
        <f>IF(ISNUMBER(SEARCH(SUBSTITUTE(AG$1,RIGHT(AG$1,2),""),VLOOKUP($D139,素材!$1:$1016,COLUMN($F$1),FALSE))),VLOOKUP($C139,装備品!$1:$998,COLUMN($O$1),FALSE)*VLOOKUP($D139,素材!$1:$1016,COLUMN($E$1),FALSE)/(LEN(VLOOKUP($D139,素材!$1:$1016,COLUMN($F$1),FALSE))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H139">
        <f>IF(ISNUMBER(SEARCH(SUBSTITUTE(AH$1,RIGHT(AH$1,2),""),VLOOKUP($D139,素材!$1:$1016,COLUMN($F$1),FALSE))),VLOOKUP($C139,装備品!$1:$998,COLUMN($O$1),FALSE)*VLOOKUP($D139,素材!$1:$1016,COLUMN($E$1),FALSE)/(LEN(VLOOKUP($D139,素材!$1:$1016,COLUMN($F$1),FALSE))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I139">
        <f>IF(ISNUMBER(SEARCH(SUBSTITUTE(AI$1,RIGHT(AI$1,2),""),VLOOKUP($D139,素材!$1:$1016,COLUMN($F$1),FALSE))),VLOOKUP($C139,装備品!$1:$998,COLUMN($O$1),FALSE)*VLOOKUP($D139,素材!$1:$1016,COLUMN($E$1),FALSE)/(LEN(VLOOKUP($D139,素材!$1:$1016,COLUMN($F$1),FALSE))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J139">
        <f>IF(ISNUMBER(SEARCH(SUBSTITUTE(AJ$1,RIGHT(AJ$1,2),""),VLOOKUP($D139,素材!$1:$1016,COLUMN($F$1),FALSE))),VLOOKUP($C139,装備品!$1:$998,COLUMN($O$1),FALSE)*VLOOKUP($D139,素材!$1:$1016,COLUMN($E$1),FALSE)/(LEN(VLOOKUP($D139,素材!$1:$1016,COLUMN($F$1),FALSE))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K139">
        <f>IF(ISNUMBER(SEARCH(SUBSTITUTE(AK$1,RIGHT(AK$1,2),""),VLOOKUP($D139,素材!$1:$1016,COLUMN($F$1),FALSE))),VLOOKUP($C139,装備品!$1:$998,COLUMN($O$1),FALSE)*VLOOKUP($D139,素材!$1:$1016,COLUMN($E$1),FALSE)/(LEN(VLOOKUP($D139,素材!$1:$1016,COLUMN($F$1),FALSE))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L139">
        <f>IF(ISNUMBER(SEARCH(SUBSTITUTE(AL$1,RIGHT(AL$1,2),""),VLOOKUP($D139,素材!$1:$1016,COLUMN($F$1),FALSE))),VLOOKUP($C139,装備品!$1:$998,COLUMN($O$1),FALSE)*VLOOKUP($D139,素材!$1:$1016,COLUMN($E$1),FALSE)/(LEN(VLOOKUP($D139,素材!$1:$1016,COLUMN($F$1),FALSE))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M139">
        <f>IF(ISNUMBER(SEARCH(SUBSTITUTE(AM$1,RIGHT(AM$1,2),""),VLOOKUP($D139,素材!$1:$1016,COLUMN($F$1),FALSE))),VLOOKUP($C139,装備品!$1:$998,COLUMN($O$1),FALSE)*VLOOKUP($D139,素材!$1:$1016,COLUMN($E$1),FALSE)/(LEN(VLOOKUP($D139,素材!$1:$1016,COLUMN($F$1),FALSE))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N139">
        <f>IF(ISNUMBER(SEARCH(SUBSTITUTE(AN$1,RIGHT(AN$1,2),""),VLOOKUP($D139,素材!$1:$1016,COLUMN($F$1),FALSE))),VLOOKUP($C139,装備品!$1:$998,COLUMN($O$1),FALSE)*VLOOKUP($D139,素材!$1:$1016,COLUMN($E$1),FALSE)/(LEN(VLOOKUP($D139,素材!$1:$1016,COLUMN($F$1),FALSE))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O139">
        <f>IF(ISNUMBER(SEARCH(SUBSTITUTE(AO$1,RIGHT(AO$1,2),""),VLOOKUP($D139,素材!$1:$1016,COLUMN($F$1),FALSE))),VLOOKUP($C139,装備品!$1:$998,COLUMN($O$1),FALSE)*VLOOKUP($D139,素材!$1:$1016,COLUMN($E$1),FALSE)/(LEN(VLOOKUP($D139,素材!$1:$1016,COLUMN($F$1),FALSE))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P139">
        <f>IF(ISNUMBER(SEARCH(SUBSTITUTE(AP$1,RIGHT(AP$1,2),""),VLOOKUP($D139,素材!$1:$1016,COLUMN($F$1),FALSE))),VLOOKUP($C139,装備品!$1:$998,COLUMN($O$1),FALSE)*VLOOKUP($D139,素材!$1:$1016,COLUMN($E$1),FALSE)/(LEN(VLOOKUP($D139,素材!$1:$1016,COLUMN($F$1),FALSE))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Q139">
        <f>IF(ISNUMBER(SEARCH(SUBSTITUTE(AQ$1,RIGHT(AQ$1,2),""),VLOOKUP($D139,素材!$1:$1016,COLUMN($F$1),FALSE))),VLOOKUP($C139,装備品!$1:$998,COLUMN($O$1),FALSE)*VLOOKUP($D139,素材!$1:$1016,COLUMN($E$1),FALSE)/(LEN(VLOOKUP($D139,素材!$1:$1016,COLUMN($F$1),FALSE))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R139">
        <f>IF(ISNUMBER(SEARCH(SUBSTITUTE(AR$1,RIGHT(AR$1,2),""),VLOOKUP($D139,素材!$1:$1016,COLUMN($F$1),FALSE))),VLOOKUP($C139,装備品!$1:$998,COLUMN($O$1),FALSE)*VLOOKUP($D139,素材!$1:$1016,COLUMN($E$1),FALSE)/(LEN(VLOOKUP($D139,素材!$1:$1016,COLUMN($F$1),FALSE))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S139">
        <f>IF(ISNUMBER(SEARCH(SUBSTITUTE(AS$1,RIGHT(AS$1,2),""),VLOOKUP($D139,素材!$1:$1016,COLUMN($F$1),FALSE))),VLOOKUP($C139,装備品!$1:$998,COLUMN($O$1),FALSE)*VLOOKUP($D139,素材!$1:$1016,COLUMN($E$1),FALSE)/(LEN(VLOOKUP($D139,素材!$1:$1016,COLUMN($F$1),FALSE))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T139">
        <f>IF(ISNUMBER(SEARCH(SUBSTITUTE(AT$1,RIGHT(AT$1,2),""),VLOOKUP($D139,素材!$1:$1016,COLUMN($F$1),FALSE))),VLOOKUP($C139,装備品!$1:$998,COLUMN($O$1),FALSE)*VLOOKUP($D139,素材!$1:$1016,COLUMN($E$1),FALSE)/(LEN(VLOOKUP($D139,素材!$1:$1016,COLUMN($F$1),FALSE))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U139">
        <f>IF(ISNUMBER(SEARCH(SUBSTITUTE(AU$1,RIGHT(AU$1,2),""),VLOOKUP($D139,素材!$1:$1016,COLUMN($F$1),FALSE))),VLOOKUP($C139,装備品!$1:$998,COLUMN($O$1),FALSE)*VLOOKUP($D139,素材!$1:$1016,COLUMN($E$1),FALSE)/(LEN(VLOOKUP($D139,素材!$1:$1016,COLUMN($F$1),FALSE))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V139">
        <f>IF(ISNUMBER(SEARCH(SUBSTITUTE(AV$1,RIGHT(AV$1,2),""),VLOOKUP($D139,素材!$1:$1016,COLUMN($F$1),FALSE))),VLOOKUP($C139,装備品!$1:$998,COLUMN($O$1),FALSE)*VLOOKUP($D139,素材!$1:$1016,COLUMN($E$1),FALSE)/(LEN(VLOOKUP($D139,素材!$1:$1016,COLUMN($F$1),FALSE))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W139">
        <f>IF(ISNUMBER(SEARCH(SUBSTITUTE(AW$1,RIGHT(AW$1,2),""),VLOOKUP($D139,素材!$1:$1016,COLUMN($F$1),FALSE))),VLOOKUP($C139,装備品!$1:$998,COLUMN($O$1),FALSE)*VLOOKUP($D139,素材!$1:$1016,COLUMN($E$1),FALSE)/(LEN(VLOOKUP($D139,素材!$1:$1016,COLUMN($F$1),FALSE))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X139">
        <f>IF(ISNUMBER(SEARCH(SUBSTITUTE(AX$1,RIGHT(AX$1,2),""),VLOOKUP($D139,素材!$1:$1016,COLUMN($F$1),FALSE))),VLOOKUP($C139,装備品!$1:$998,COLUMN($O$1),FALSE)*VLOOKUP($D139,素材!$1:$1016,COLUMN($E$1),FALSE)/(LEN(VLOOKUP($D139,素材!$1:$1016,COLUMN($F$1),FALSE))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Y139">
        <f>IF(ISNUMBER(SEARCH(SUBSTITUTE(AY$1,RIGHT(AY$1,2),""),VLOOKUP($D139,素材!$1:$1016,COLUMN($F$1),FALSE))),VLOOKUP($C139,装備品!$1:$998,COLUMN($O$1),FALSE)*VLOOKUP($D139,素材!$1:$1016,COLUMN($E$1),FALSE)/(LEN(VLOOKUP($D139,素材!$1:$1016,COLUMN($F$1),FALSE))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Z139">
        <f>IF(ISNUMBER(SEARCH(SUBSTITUTE(AZ$1,RIGHT(AZ$1,2),""),VLOOKUP($D139,素材!$1:$1016,COLUMN($F$1),FALSE))),VLOOKUP($C139,装備品!$1:$998,COLUMN($O$1),FALSE)*VLOOKUP($D139,素材!$1:$1016,COLUMN($E$1),FALSE)/(LEN(VLOOKUP($D139,素材!$1:$1016,COLUMN($F$1),FALSE))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BA139">
        <f>IF(ISNUMBER(SEARCH(SUBSTITUTE(BA$1,RIGHT(BA$1,2),""),VLOOKUP($D139,素材!$1:$1016,COLUMN($F$1),FALSE))),VLOOKUP($C139,装備品!$1:$998,COLUMN($O$1),FALSE)*VLOOKUP($D139,素材!$1:$1016,COLUMN($E$1),FALSE)/(LEN(VLOOKUP($D139,素材!$1:$1016,COLUMN($F$1),FALSE))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BB139">
        <f>IF(ISNUMBER(SEARCH(SUBSTITUTE(BB$1,RIGHT(BB$1,2),""),VLOOKUP($D139,素材!$1:$1016,COLUMN($F$1),FALSE))),VLOOKUP($C139,装備品!$1:$998,COLUMN($O$1),FALSE)*VLOOKUP($D139,素材!$1:$1016,COLUMN($E$1),FALSE)/(LEN(VLOOKUP($D139,素材!$1:$1016,COLUMN($F$1),FALSE))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BC139">
        <f>IF(ISNUMBER(SEARCH(SUBSTITUTE(BC$1,RIGHT(BC$1,2),""),VLOOKUP($D139,素材!$1:$1016,COLUMN($F$1),FALSE))),VLOOKUP($C139,装備品!$1:$998,COLUMN($O$1),FALSE)*VLOOKUP($D139,素材!$1:$1016,COLUMN($E$1),FALSE)/(LEN(VLOOKUP($D139,素材!$1:$1016,COLUMN($F$1),FALSE))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BD139">
        <f>IF(ISNUMBER(SEARCH(SUBSTITUTE(BD$1,RIGHT(BD$1,2),""),VLOOKUP($D139,素材!$1:$1016,COLUMN($F$1),FALSE))),VLOOKUP($C139,装備品!$1:$998,COLUMN($O$1),FALSE)*VLOOKUP($D139,素材!$1:$1016,COLUMN($E$1),FALSE)/(LEN(VLOOKUP($D139,素材!$1:$1016,COLUMN($F$1),FALSE))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BE139">
        <f>IF(ISNUMBER(SEARCH(SUBSTITUTE(BE$1,RIGHT(BE$1,2),""),VLOOKUP($D139,素材!$1:$1016,COLUMN($F$1),FALSE))),VLOOKUP($C139,装備品!$1:$998,COLUMN($O$1),FALSE)*VLOOKUP($D139,素材!$1:$1016,COLUMN($E$1),FALSE)/(LEN(VLOOKUP($D139,素材!$1:$1016,COLUMN($F$1),FALSE))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CL139">
        <f t="shared" si="19"/>
        <v>15</v>
      </c>
      <c r="CM139" s="22" t="str">
        <f t="shared" si="20"/>
        <v>足.webp</v>
      </c>
      <c r="CN139">
        <f>IFERROR(VLOOKUP($C139,装備品!$1:$998,COLUMN(V$1),FALSE)*VLOOKUP($D139,素材!$1:$1016,COLUMN(N$1),FALSE)+IF(CI139="",0,VLOOKUP($CI139,付与!$1:$1176,COLUMN($CK$1),FALSE)),"")</f>
        <v>0</v>
      </c>
      <c r="CO139" t="str">
        <f>VLOOKUP(D139,素材!$A:$O,COLUMN(素材!O$1),FALSE)</f>
        <v>魔力を帯びた特殊な皮素材。魔法防御や属性耐性を強化する効果があり、高レベルの冒険者に重宝されます。</v>
      </c>
      <c r="CP139" t="str">
        <f>VLOOKUP(C139,装備品!$A:$AB,COLUMN(装備品!AB$1),FALSE)</f>
        <v>速度 隠密 軽業 体幹</v>
      </c>
      <c r="CR139" t="str">
        <f t="shared" si="9"/>
        <v>e_139</v>
      </c>
      <c r="CS139">
        <f t="shared" ref="CS139" si="25">CN139*100</f>
        <v>0</v>
      </c>
    </row>
    <row r="140" spans="1:97" outlineLevel="1" x14ac:dyDescent="0.4">
      <c r="A140" t="str">
        <f t="shared" ref="A140" si="26">D140&amp;"の"&amp;C140</f>
        <v>雷蜥蜴の鱗の帽子</v>
      </c>
      <c r="B140" t="str">
        <f>IFERROR(VLOOKUP($D140,素材!$1:$1016,COLUMN($B$1),FALSE)&amp;"・"&amp;VLOOKUP($C140,装備品!$1:$998,COLUMN(B$1),FALSE),"")</f>
        <v>サンダードレイクスケール・ハット</v>
      </c>
      <c r="C140" t="s">
        <v>1182</v>
      </c>
      <c r="D140" s="24" t="s">
        <v>248</v>
      </c>
      <c r="E140" t="str">
        <f>IFERROR(VLOOKUP(C140,装備品!$1:$998,COLUMN(C$1),FALSE),"")</f>
        <v>頭</v>
      </c>
      <c r="F140">
        <f>IFERROR(ROUNDDOWN((VLOOKUP($C140,装備品!$1:$998,COLUMN(D$1),FALSE)+IFERROR(VLOOKUP($CI140,付与!$1:$1167,COLUMN(F$1),FALSE),0))*VLOOKUP($D140,素材!$1:$1016,COLUMN(D$1),FALSE),0),"")</f>
        <v>0</v>
      </c>
      <c r="G140">
        <f>IFERROR(ROUNDDOWN((VLOOKUP($C140,装備品!$1:$998,COLUMN(E$1),FALSE)+IFERROR(VLOOKUP($CI140,付与!$1:$1167,COLUMN(G$1),FALSE),0))*VLOOKUP($D140,素材!$1:$1016,COLUMN($E$1),FALSE),0),"")</f>
        <v>0</v>
      </c>
      <c r="H140">
        <f>IFERROR(ROUNDDOWN((VLOOKUP($C140,装備品!$1:$998,COLUMN(F$1),FALSE)+IFERROR(VLOOKUP($CI140,付与!$1:$1167,COLUMN(H$1),FALSE),0))*VLOOKUP($D140,素材!$1:$1016,COLUMN($E$1),FALSE),0),"")</f>
        <v>0</v>
      </c>
      <c r="I140">
        <f>IFERROR(ROUNDDOWN((VLOOKUP($C140,装備品!$1:$998,COLUMN(G$1),FALSE)+IFERROR(VLOOKUP($CI140,付与!$1:$1167,COLUMN(I$1),FALSE),0))*VLOOKUP($D140,素材!$1:$1016,COLUMN($E$1),FALSE),0),"")</f>
        <v>0</v>
      </c>
      <c r="J140">
        <f>IFERROR(ROUNDDOWN((VLOOKUP($C140,装備品!$1:$998,COLUMN(H$1),FALSE)+IFERROR(VLOOKUP($CI140,付与!$1:$1167,COLUMN(J$1),FALSE),0))*VLOOKUP($D140,素材!$1:$1016,COLUMN($E$1),FALSE),0),"")</f>
        <v>0</v>
      </c>
      <c r="K140">
        <f>IFERROR(ROUNDDOWN((VLOOKUP($C140,装備品!$1:$998,COLUMN(I$1),FALSE)+IFERROR(VLOOKUP($CI140,付与!$1:$1167,COLUMN(K$1),FALSE),0))*VLOOKUP($D140,素材!$1:$1016,COLUMN($E$1),FALSE),0),"")</f>
        <v>0</v>
      </c>
      <c r="L140" t="str">
        <f>IFERROR(VLOOKUP($D140,素材!$1:$1016,COLUMN($F$1),FALSE),"")</f>
        <v>雷</v>
      </c>
      <c r="M140">
        <f>IFERROR(VLOOKUP($C140,装備品!$1:$998,COLUMN(AA$1),FALSE)*VLOOKUP($D140,素材!$1:$1016,COLUMN($G$1),FALSE),"")</f>
        <v>25</v>
      </c>
      <c r="N140">
        <f>IFERROR(VLOOKUP($C140,装備品!$1:$998,COLUMN(I$1),FALSE),"")</f>
        <v>0</v>
      </c>
      <c r="O140" s="23" t="str">
        <f>IFERROR((VLOOKUP($C140,装備品!$1:$998,COLUMN(K$1),FALSE)+VLOOKUP($D140,素材!$1:$1016,COLUMN(H$1),FALSE))*100+IFERROR(VLOOKUP($CI140,付与!$1:$1167,COLUMN(O$1),FALSE),0),"")</f>
        <v/>
      </c>
      <c r="P140" s="23" t="str">
        <f>IFERROR((VLOOKUP($C140,装備品!$1:$998,COLUMN(L$1),FALSE)+VLOOKUP($D140,素材!$1:$1016,COLUMN(I$1),FALSE))*100+IFERROR(VLOOKUP($CI140,付与!$1:$1167,COLUMN(P$1),FALSE),0),"")</f>
        <v/>
      </c>
      <c r="Q140">
        <f>IFERROR(ROUNDUP(VLOOKUP($C140,装備品!$1:$998,COLUMN(M$1),FALSE)*(VLOOKUP($D140,素材!$1:$1002,COLUMN(D$1),FALSE)/100),1),"")</f>
        <v>0</v>
      </c>
      <c r="R140">
        <f>IFERROR(ROUNDUP(VLOOKUP($C140,装備品!$1:$998,COLUMN(N$1),FALSE)*(VLOOKUP($D140,素材!$1:$1002,COLUMN(D$1),FALSE)/100),1),"")</f>
        <v>0</v>
      </c>
      <c r="S140">
        <f>IFERROR(VLOOKUP($C140,装備品!$1:$998,COLUMN(P$1),FALSE),"")</f>
        <v>0</v>
      </c>
      <c r="T140">
        <f>IFERROR(VLOOKUP($C140,装備品!$1:$998,COLUMN(Q$1),FALSE),"")</f>
        <v>0</v>
      </c>
      <c r="U140">
        <f>IFERROR(VLOOKUP($C140,装備品!$1:$998,COLUMN(R$1),FALSE),"")</f>
        <v>0</v>
      </c>
      <c r="V140">
        <f>IFERROR(VLOOKUP($C140,装備品!$1:$998,COLUMN(Q$1),FALSE),"")</f>
        <v>0</v>
      </c>
      <c r="W140">
        <f>IFERROR(VLOOKUP($C140,装備品!$1:$998,COLUMN(T$1),FALSE),"")</f>
        <v>0.1</v>
      </c>
      <c r="Y140">
        <f>IFERROR(VLOOKUP($C140,装備品!$1:$998,COLUMN(U$1),FALSE),"")</f>
        <v>0</v>
      </c>
      <c r="Z140">
        <f>IFERROR(ROUNDUP(VLOOKUP($C140,装備品!$1:$998,COLUMN(O$1),FALSE)*VLOOKUP($D140,素材!$1:$1016,COLUMN(E$1),FALSE),1),"")</f>
        <v>0</v>
      </c>
      <c r="AA140">
        <f>IF(ISNUMBER(SEARCH(SUBSTITUTE(AA$1,RIGHT(AA$1,2),""),VLOOKUP($D140,素材!$1:$1016,COLUMN($F$1),FALSE))),VLOOKUP($C140,装備品!$1:$998,COLUMN($O$1),FALSE)*VLOOKUP($D140,素材!$1:$1016,COLUMN($E$1),FALSE)/(LEN(VLOOKUP($D140,素材!$1:$1016,COLUMN($F$1),FALSE))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B140">
        <f>IF(ISNUMBER(SEARCH(SUBSTITUTE(AB$1,RIGHT(AB$1,2),""),VLOOKUP($D140,素材!$1:$1016,COLUMN($F$1),FALSE))),VLOOKUP($C140,装備品!$1:$998,COLUMN($O$1),FALSE)*VLOOKUP($D140,素材!$1:$1016,COLUMN($E$1),FALSE)/(LEN(VLOOKUP($D140,素材!$1:$1016,COLUMN($F$1),FALSE))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C140">
        <f>IF(ISNUMBER(SEARCH(SUBSTITUTE(AC$1,RIGHT(AC$1,2),""),VLOOKUP($D140,素材!$1:$1016,COLUMN($F$1),FALSE))),VLOOKUP($C140,装備品!$1:$998,COLUMN($O$1),FALSE)*VLOOKUP($D140,素材!$1:$1016,COLUMN($E$1),FALSE)/(LEN(VLOOKUP($D140,素材!$1:$1016,COLUMN($F$1),FALSE))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D140">
        <f>IF(ISNUMBER(SEARCH(SUBSTITUTE(AD$1,RIGHT(AD$1,2),""),VLOOKUP($D140,素材!$1:$1016,COLUMN($F$1),FALSE))),VLOOKUP($C140,装備品!$1:$998,COLUMN($O$1),FALSE)*VLOOKUP($D140,素材!$1:$1016,COLUMN($E$1),FALSE)/(LEN(VLOOKUP($D140,素材!$1:$1016,COLUMN($F$1),FALSE))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E140">
        <f>IF(ISNUMBER(SEARCH(SUBSTITUTE(AE$1,RIGHT(AE$1,2),""),VLOOKUP($D140,素材!$1:$1016,COLUMN($F$1),FALSE))),VLOOKUP($C140,装備品!$1:$998,COLUMN($O$1),FALSE)*VLOOKUP($D140,素材!$1:$1016,COLUMN($E$1),FALSE)/(LEN(VLOOKUP($D140,素材!$1:$1016,COLUMN($F$1),FALSE))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F140">
        <f>IF(ISNUMBER(SEARCH(SUBSTITUTE(AF$1,RIGHT(AF$1,2),""),VLOOKUP($D140,素材!$1:$1016,COLUMN($F$1),FALSE))),VLOOKUP($C140,装備品!$1:$998,COLUMN($O$1),FALSE)*VLOOKUP($D140,素材!$1:$1016,COLUMN($E$1),FALSE)/(LEN(VLOOKUP($D140,素材!$1:$1016,COLUMN($F$1),FALSE))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G140">
        <f>IF(ISNUMBER(SEARCH(SUBSTITUTE(AG$1,RIGHT(AG$1,2),""),VLOOKUP($D140,素材!$1:$1016,COLUMN($F$1),FALSE))),VLOOKUP($C140,装備品!$1:$998,COLUMN($O$1),FALSE)*VLOOKUP($D140,素材!$1:$1016,COLUMN($E$1),FALSE)/(LEN(VLOOKUP($D140,素材!$1:$1016,COLUMN($F$1),FALSE))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H140">
        <f>IF(ISNUMBER(SEARCH(SUBSTITUTE(AH$1,RIGHT(AH$1,2),""),VLOOKUP($D140,素材!$1:$1016,COLUMN($F$1),FALSE))),VLOOKUP($C140,装備品!$1:$998,COLUMN($O$1),FALSE)*VLOOKUP($D140,素材!$1:$1016,COLUMN($E$1),FALSE)/(LEN(VLOOKUP($D140,素材!$1:$1016,COLUMN($F$1),FALSE))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I140">
        <f>IF(ISNUMBER(SEARCH(SUBSTITUTE(AI$1,RIGHT(AI$1,2),""),VLOOKUP($D140,素材!$1:$1016,COLUMN($F$1),FALSE))),VLOOKUP($C140,装備品!$1:$998,COLUMN($O$1),FALSE)*VLOOKUP($D140,素材!$1:$1016,COLUMN($E$1),FALSE)/(LEN(VLOOKUP($D140,素材!$1:$1016,COLUMN($F$1),FALSE))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J140">
        <f>IF(ISNUMBER(SEARCH(SUBSTITUTE(AJ$1,RIGHT(AJ$1,2),""),VLOOKUP($D140,素材!$1:$1016,COLUMN($F$1),FALSE))),VLOOKUP($C140,装備品!$1:$998,COLUMN($O$1),FALSE)*VLOOKUP($D140,素材!$1:$1016,COLUMN($E$1),FALSE)/(LEN(VLOOKUP($D140,素材!$1:$1016,COLUMN($F$1),FALSE))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K140">
        <f>IF(ISNUMBER(SEARCH(SUBSTITUTE(AK$1,RIGHT(AK$1,2),""),VLOOKUP($D140,素材!$1:$1016,COLUMN($F$1),FALSE))),VLOOKUP($C140,装備品!$1:$998,COLUMN($O$1),FALSE)*VLOOKUP($D140,素材!$1:$1016,COLUMN($E$1),FALSE)/(LEN(VLOOKUP($D140,素材!$1:$1016,COLUMN($F$1),FALSE))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L140">
        <f>IF(ISNUMBER(SEARCH(SUBSTITUTE(AL$1,RIGHT(AL$1,2),""),VLOOKUP($D140,素材!$1:$1016,COLUMN($F$1),FALSE))),VLOOKUP($C140,装備品!$1:$998,COLUMN($O$1),FALSE)*VLOOKUP($D140,素材!$1:$1016,COLUMN($E$1),FALSE)/(LEN(VLOOKUP($D140,素材!$1:$1016,COLUMN($F$1),FALSE))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M140">
        <f>IF(ISNUMBER(SEARCH(SUBSTITUTE(AM$1,RIGHT(AM$1,2),""),VLOOKUP($D140,素材!$1:$1016,COLUMN($F$1),FALSE))),VLOOKUP($C140,装備品!$1:$998,COLUMN($O$1),FALSE)*VLOOKUP($D140,素材!$1:$1016,COLUMN($E$1),FALSE)/(LEN(VLOOKUP($D140,素材!$1:$1016,COLUMN($F$1),FALSE))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N140">
        <f>IF(ISNUMBER(SEARCH(SUBSTITUTE(AN$1,RIGHT(AN$1,2),""),VLOOKUP($D140,素材!$1:$1016,COLUMN($F$1),FALSE))),VLOOKUP($C140,装備品!$1:$998,COLUMN($O$1),FALSE)*VLOOKUP($D140,素材!$1:$1016,COLUMN($E$1),FALSE)/(LEN(VLOOKUP($D140,素材!$1:$1016,COLUMN($F$1),FALSE))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O140">
        <f>IF(ISNUMBER(SEARCH(SUBSTITUTE(AO$1,RIGHT(AO$1,2),""),VLOOKUP($D140,素材!$1:$1016,COLUMN($F$1),FALSE))),VLOOKUP($C140,装備品!$1:$998,COLUMN($O$1),FALSE)*VLOOKUP($D140,素材!$1:$1016,COLUMN($E$1),FALSE)/(LEN(VLOOKUP($D140,素材!$1:$1016,COLUMN($F$1),FALSE))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P140">
        <f>IF(ISNUMBER(SEARCH(SUBSTITUTE(AP$1,RIGHT(AP$1,2),""),VLOOKUP($D140,素材!$1:$1016,COLUMN($F$1),FALSE))),VLOOKUP($C140,装備品!$1:$998,COLUMN($O$1),FALSE)*VLOOKUP($D140,素材!$1:$1016,COLUMN($E$1),FALSE)/(LEN(VLOOKUP($D140,素材!$1:$1016,COLUMN($F$1),FALSE))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Q140">
        <f>IF(ISNUMBER(SEARCH(SUBSTITUTE(AQ$1,RIGHT(AQ$1,2),""),VLOOKUP($D140,素材!$1:$1016,COLUMN($F$1),FALSE))),VLOOKUP($C140,装備品!$1:$998,COLUMN($O$1),FALSE)*VLOOKUP($D140,素材!$1:$1016,COLUMN($E$1),FALSE)/(LEN(VLOOKUP($D140,素材!$1:$1016,COLUMN($F$1),FALSE))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R140">
        <f>IF(ISNUMBER(SEARCH(SUBSTITUTE(AR$1,RIGHT(AR$1,2),""),VLOOKUP($D140,素材!$1:$1016,COLUMN($F$1),FALSE))),VLOOKUP($C140,装備品!$1:$998,COLUMN($O$1),FALSE)*VLOOKUP($D140,素材!$1:$1016,COLUMN($E$1),FALSE)/(LEN(VLOOKUP($D140,素材!$1:$1016,COLUMN($F$1),FALSE))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S140">
        <f>IF(ISNUMBER(SEARCH(SUBSTITUTE(AS$1,RIGHT(AS$1,2),""),VLOOKUP($D140,素材!$1:$1016,COLUMN($F$1),FALSE))),VLOOKUP($C140,装備品!$1:$998,COLUMN($O$1),FALSE)*VLOOKUP($D140,素材!$1:$1016,COLUMN($E$1),FALSE)/(LEN(VLOOKUP($D140,素材!$1:$1016,COLUMN($F$1),FALSE))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T140">
        <f>IF(ISNUMBER(SEARCH(SUBSTITUTE(AT$1,RIGHT(AT$1,2),""),VLOOKUP($D140,素材!$1:$1016,COLUMN($F$1),FALSE))),VLOOKUP($C140,装備品!$1:$998,COLUMN($O$1),FALSE)*VLOOKUP($D140,素材!$1:$1016,COLUMN($E$1),FALSE)/(LEN(VLOOKUP($D140,素材!$1:$1016,COLUMN($F$1),FALSE))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U140">
        <f>IF(ISNUMBER(SEARCH(SUBSTITUTE(AU$1,RIGHT(AU$1,2),""),VLOOKUP($D140,素材!$1:$1016,COLUMN($F$1),FALSE))),VLOOKUP($C140,装備品!$1:$998,COLUMN($O$1),FALSE)*VLOOKUP($D140,素材!$1:$1016,COLUMN($E$1),FALSE)/(LEN(VLOOKUP($D140,素材!$1:$1016,COLUMN($F$1),FALSE))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V140">
        <f>IF(ISNUMBER(SEARCH(SUBSTITUTE(AV$1,RIGHT(AV$1,2),""),VLOOKUP($D140,素材!$1:$1016,COLUMN($F$1),FALSE))),VLOOKUP($C140,装備品!$1:$998,COLUMN($O$1),FALSE)*VLOOKUP($D140,素材!$1:$1016,COLUMN($E$1),FALSE)/(LEN(VLOOKUP($D140,素材!$1:$1016,COLUMN($F$1),FALSE))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W140">
        <f>IF(ISNUMBER(SEARCH(SUBSTITUTE(AW$1,RIGHT(AW$1,2),""),VLOOKUP($D140,素材!$1:$1016,COLUMN($F$1),FALSE))),VLOOKUP($C140,装備品!$1:$998,COLUMN($O$1),FALSE)*VLOOKUP($D140,素材!$1:$1016,COLUMN($E$1),FALSE)/(LEN(VLOOKUP($D140,素材!$1:$1016,COLUMN($F$1),FALSE))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X140">
        <f>IF(ISNUMBER(SEARCH(SUBSTITUTE(AX$1,RIGHT(AX$1,2),""),VLOOKUP($D140,素材!$1:$1016,COLUMN($F$1),FALSE))),VLOOKUP($C140,装備品!$1:$998,COLUMN($O$1),FALSE)*VLOOKUP($D140,素材!$1:$1016,COLUMN($E$1),FALSE)/(LEN(VLOOKUP($D140,素材!$1:$1016,COLUMN($F$1),FALSE))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Y140">
        <f>IF(ISNUMBER(SEARCH(SUBSTITUTE(AY$1,RIGHT(AY$1,2),""),VLOOKUP($D140,素材!$1:$1016,COLUMN($F$1),FALSE))),VLOOKUP($C140,装備品!$1:$998,COLUMN($O$1),FALSE)*VLOOKUP($D140,素材!$1:$1016,COLUMN($E$1),FALSE)/(LEN(VLOOKUP($D140,素材!$1:$1016,COLUMN($F$1),FALSE))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Z140">
        <f>IF(ISNUMBER(SEARCH(SUBSTITUTE(AZ$1,RIGHT(AZ$1,2),""),VLOOKUP($D140,素材!$1:$1016,COLUMN($F$1),FALSE))),VLOOKUP($C140,装備品!$1:$998,COLUMN($O$1),FALSE)*VLOOKUP($D140,素材!$1:$1016,COLUMN($E$1),FALSE)/(LEN(VLOOKUP($D140,素材!$1:$1016,COLUMN($F$1),FALSE))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BA140">
        <f>IF(ISNUMBER(SEARCH(SUBSTITUTE(BA$1,RIGHT(BA$1,2),""),VLOOKUP($D140,素材!$1:$1016,COLUMN($F$1),FALSE))),VLOOKUP($C140,装備品!$1:$998,COLUMN($O$1),FALSE)*VLOOKUP($D140,素材!$1:$1016,COLUMN($E$1),FALSE)/(LEN(VLOOKUP($D140,素材!$1:$1016,COLUMN($F$1),FALSE))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BB140">
        <f>IF(ISNUMBER(SEARCH(SUBSTITUTE(BB$1,RIGHT(BB$1,2),""),VLOOKUP($D140,素材!$1:$1016,COLUMN($F$1),FALSE))),VLOOKUP($C140,装備品!$1:$998,COLUMN($O$1),FALSE)*VLOOKUP($D140,素材!$1:$1016,COLUMN($E$1),FALSE)/(LEN(VLOOKUP($D140,素材!$1:$1016,COLUMN($F$1),FALSE))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BC140">
        <f>IF(ISNUMBER(SEARCH(SUBSTITUTE(BC$1,RIGHT(BC$1,2),""),VLOOKUP($D140,素材!$1:$1016,COLUMN($F$1),FALSE))),VLOOKUP($C140,装備品!$1:$998,COLUMN($O$1),FALSE)*VLOOKUP($D140,素材!$1:$1016,COLUMN($E$1),FALSE)/(LEN(VLOOKUP($D140,素材!$1:$1016,COLUMN($F$1),FALSE))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BD140">
        <f>IF(ISNUMBER(SEARCH(SUBSTITUTE(BD$1,RIGHT(BD$1,2),""),VLOOKUP($D140,素材!$1:$1016,COLUMN($F$1),FALSE))),VLOOKUP($C140,装備品!$1:$998,COLUMN($O$1),FALSE)*VLOOKUP($D140,素材!$1:$1016,COLUMN($E$1),FALSE)/(LEN(VLOOKUP($D140,素材!$1:$1016,COLUMN($F$1),FALSE))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BE140">
        <f>IF(ISNUMBER(SEARCH(SUBSTITUTE(BE$1,RIGHT(BE$1,2),""),VLOOKUP($D140,素材!$1:$1016,COLUMN($F$1),FALSE))),VLOOKUP($C140,装備品!$1:$998,COLUMN($O$1),FALSE)*VLOOKUP($D140,素材!$1:$1016,COLUMN($E$1),FALSE)/(LEN(VLOOKUP($D140,素材!$1:$1016,COLUMN($F$1),FALSE))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CL140">
        <f t="shared" si="19"/>
        <v>0</v>
      </c>
      <c r="CM140" s="22" t="str">
        <f t="shared" si="20"/>
        <v>頭.webp</v>
      </c>
      <c r="CN140">
        <f>IFERROR(VLOOKUP($C140,装備品!$1:$998,COLUMN(V$1),FALSE)*VLOOKUP($D140,素材!$1:$1016,COLUMN(N$1),FALSE)+IF(CI140="",0,VLOOKUP($CI140,付与!$1:$1176,COLUMN($CK$1),FALSE)),"")</f>
        <v>0</v>
      </c>
      <c r="CO140" t="str">
        <f>VLOOKUP(D140,素材!$A:$O,COLUMN(素材!O$1),FALSE)</f>
        <v>雷属性を持つドラゴン型生物から採取される鱗素材。雷属性攻撃への耐性を強化し、武器の電撃効果を高めることも可能です。</v>
      </c>
      <c r="CP140" t="str">
        <f>VLOOKUP(C140,装備品!$A:$AB,COLUMN(装備品!AB$1),FALSE)</f>
        <v>命中 魔防 Cr</v>
      </c>
      <c r="CR140" t="str">
        <f t="shared" si="24"/>
        <v>e_140</v>
      </c>
      <c r="CS140">
        <f t="shared" ref="CS140" si="27">CN140*100</f>
        <v>0</v>
      </c>
    </row>
    <row r="141" spans="1:97" outlineLevel="1" x14ac:dyDescent="0.4">
      <c r="A141" t="str">
        <f t="shared" si="23"/>
        <v>雷蜥蜴の鱗の衣布</v>
      </c>
      <c r="B141" t="str">
        <f>IFERROR(VLOOKUP($D141,素材!$1:$1016,COLUMN($B$1),FALSE)&amp;"・"&amp;VLOOKUP($C141,装備品!$1:$998,COLUMN(B$1),FALSE),"")</f>
        <v>サンダードレイクスケール・クロース</v>
      </c>
      <c r="C141" t="s">
        <v>246</v>
      </c>
      <c r="D141" s="24" t="s">
        <v>248</v>
      </c>
      <c r="E141" t="str">
        <f>IFERROR(VLOOKUP(C141,装備品!$1:$998,COLUMN(C$1),FALSE),"")</f>
        <v>体</v>
      </c>
      <c r="F141">
        <f>IFERROR(ROUNDDOWN((VLOOKUP($C141,装備品!$1:$998,COLUMN(D$1),FALSE)+IFERROR(VLOOKUP($CI141,付与!$1:$1167,COLUMN(F$1),FALSE),0))*VLOOKUP($D141,素材!$1:$1016,COLUMN(D$1),FALSE),0),"")</f>
        <v>0</v>
      </c>
      <c r="G141">
        <f>IFERROR(ROUNDDOWN((VLOOKUP($C141,装備品!$1:$998,COLUMN(E$1),FALSE)+IFERROR(VLOOKUP($CI141,付与!$1:$1167,COLUMN(G$1),FALSE),0))*VLOOKUP($D141,素材!$1:$1016,COLUMN($E$1),FALSE),0),"")</f>
        <v>0</v>
      </c>
      <c r="H141">
        <f>IFERROR(ROUNDDOWN((VLOOKUP($C141,装備品!$1:$998,COLUMN(F$1),FALSE)+IFERROR(VLOOKUP($CI141,付与!$1:$1167,COLUMN(H$1),FALSE),0))*VLOOKUP($D141,素材!$1:$1016,COLUMN($E$1),FALSE),0),"")</f>
        <v>0</v>
      </c>
      <c r="I141">
        <f>IFERROR(ROUNDDOWN((VLOOKUP($C141,装備品!$1:$998,COLUMN(G$1),FALSE)+IFERROR(VLOOKUP($CI141,付与!$1:$1167,COLUMN(I$1),FALSE),0))*VLOOKUP($D141,素材!$1:$1016,COLUMN($E$1),FALSE),0),"")</f>
        <v>0</v>
      </c>
      <c r="J141">
        <f>IFERROR(ROUNDDOWN((VLOOKUP($C141,装備品!$1:$998,COLUMN(H$1),FALSE)+IFERROR(VLOOKUP($CI141,付与!$1:$1167,COLUMN(J$1),FALSE),0))*VLOOKUP($D141,素材!$1:$1016,COLUMN($E$1),FALSE),0),"")</f>
        <v>0</v>
      </c>
      <c r="K141">
        <f>IFERROR(ROUNDDOWN((VLOOKUP($C141,装備品!$1:$998,COLUMN(I$1),FALSE)+IFERROR(VLOOKUP($CI141,付与!$1:$1167,COLUMN(K$1),FALSE),0))*VLOOKUP($D141,素材!$1:$1016,COLUMN($E$1),FALSE),0),"")</f>
        <v>0</v>
      </c>
      <c r="L141" t="str">
        <f>IFERROR(VLOOKUP($D141,素材!$1:$1016,COLUMN($F$1),FALSE),"")</f>
        <v>雷</v>
      </c>
      <c r="M141">
        <f>IFERROR(VLOOKUP($C141,装備品!$1:$998,COLUMN(AA$1),FALSE)*VLOOKUP($D141,素材!$1:$1016,COLUMN($G$1),FALSE),"")</f>
        <v>50</v>
      </c>
      <c r="N141">
        <f>IFERROR(VLOOKUP($C141,装備品!$1:$998,COLUMN(I$1),FALSE),"")</f>
        <v>0</v>
      </c>
      <c r="O141" s="23" t="str">
        <f>IFERROR((VLOOKUP($C141,装備品!$1:$998,COLUMN(K$1),FALSE)+VLOOKUP($D141,素材!$1:$1016,COLUMN(H$1),FALSE))*100+IFERROR(VLOOKUP($CI141,付与!$1:$1167,COLUMN(O$1),FALSE),0),"")</f>
        <v/>
      </c>
      <c r="P141" s="23" t="str">
        <f>IFERROR((VLOOKUP($C141,装備品!$1:$998,COLUMN(L$1),FALSE)+VLOOKUP($D141,素材!$1:$1016,COLUMN(I$1),FALSE))*100+IFERROR(VLOOKUP($CI141,付与!$1:$1167,COLUMN(P$1),FALSE),0),"")</f>
        <v/>
      </c>
      <c r="Q141">
        <f>IFERROR(ROUNDUP(VLOOKUP($C141,装備品!$1:$998,COLUMN(M$1),FALSE)*(VLOOKUP($D141,素材!$1:$1002,COLUMN(D$1),FALSE)/100),1),"")</f>
        <v>0</v>
      </c>
      <c r="R141">
        <f>IFERROR(ROUNDUP(VLOOKUP($C141,装備品!$1:$998,COLUMN(N$1),FALSE)*(VLOOKUP($D141,素材!$1:$1002,COLUMN(D$1),FALSE)/100),1),"")</f>
        <v>0</v>
      </c>
      <c r="S141">
        <f>IFERROR(VLOOKUP($C141,装備品!$1:$998,COLUMN(P$1),FALSE),"")</f>
        <v>0</v>
      </c>
      <c r="T141">
        <f>IFERROR(VLOOKUP($C141,装備品!$1:$998,COLUMN(Q$1),FALSE),"")</f>
        <v>0</v>
      </c>
      <c r="U141">
        <f>IFERROR(VLOOKUP($C141,装備品!$1:$998,COLUMN(R$1),FALSE),"")</f>
        <v>0</v>
      </c>
      <c r="V141">
        <f>IFERROR(VLOOKUP($C141,装備品!$1:$998,COLUMN(Q$1),FALSE),"")</f>
        <v>0</v>
      </c>
      <c r="W141">
        <f>IFERROR(VLOOKUP($C141,装備品!$1:$998,COLUMN(T$1),FALSE),"")</f>
        <v>0.3</v>
      </c>
      <c r="Y141">
        <f>IFERROR(VLOOKUP($C141,装備品!$1:$998,COLUMN(U$1),FALSE),"")</f>
        <v>0</v>
      </c>
      <c r="Z141">
        <f>IFERROR(ROUNDUP(VLOOKUP($C141,装備品!$1:$998,COLUMN(O$1),FALSE)*VLOOKUP($D141,素材!$1:$1016,COLUMN(E$1),FALSE),1),"")</f>
        <v>0</v>
      </c>
      <c r="AA141">
        <f>IF(ISNUMBER(SEARCH(SUBSTITUTE(AA$1,RIGHT(AA$1,2),""),VLOOKUP($D141,素材!$1:$1016,COLUMN($F$1),FALSE))),VLOOKUP($C141,装備品!$1:$998,COLUMN($O$1),FALSE)*VLOOKUP($D141,素材!$1:$1016,COLUMN($E$1),FALSE)/(LEN(VLOOKUP($D141,素材!$1:$1016,COLUMN($F$1),FALSE))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B141">
        <f>IF(ISNUMBER(SEARCH(SUBSTITUTE(AB$1,RIGHT(AB$1,2),""),VLOOKUP($D141,素材!$1:$1016,COLUMN($F$1),FALSE))),VLOOKUP($C141,装備品!$1:$998,COLUMN($O$1),FALSE)*VLOOKUP($D141,素材!$1:$1016,COLUMN($E$1),FALSE)/(LEN(VLOOKUP($D141,素材!$1:$1016,COLUMN($F$1),FALSE))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C141">
        <f>IF(ISNUMBER(SEARCH(SUBSTITUTE(AC$1,RIGHT(AC$1,2),""),VLOOKUP($D141,素材!$1:$1016,COLUMN($F$1),FALSE))),VLOOKUP($C141,装備品!$1:$998,COLUMN($O$1),FALSE)*VLOOKUP($D141,素材!$1:$1016,COLUMN($E$1),FALSE)/(LEN(VLOOKUP($D141,素材!$1:$1016,COLUMN($F$1),FALSE))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D141">
        <f>IF(ISNUMBER(SEARCH(SUBSTITUTE(AD$1,RIGHT(AD$1,2),""),VLOOKUP($D141,素材!$1:$1016,COLUMN($F$1),FALSE))),VLOOKUP($C141,装備品!$1:$998,COLUMN($O$1),FALSE)*VLOOKUP($D141,素材!$1:$1016,COLUMN($E$1),FALSE)/(LEN(VLOOKUP($D141,素材!$1:$1016,COLUMN($F$1),FALSE))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E141">
        <f>IF(ISNUMBER(SEARCH(SUBSTITUTE(AE$1,RIGHT(AE$1,2),""),VLOOKUP($D141,素材!$1:$1016,COLUMN($F$1),FALSE))),VLOOKUP($C141,装備品!$1:$998,COLUMN($O$1),FALSE)*VLOOKUP($D141,素材!$1:$1016,COLUMN($E$1),FALSE)/(LEN(VLOOKUP($D141,素材!$1:$1016,COLUMN($F$1),FALSE))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F141">
        <f>IF(ISNUMBER(SEARCH(SUBSTITUTE(AF$1,RIGHT(AF$1,2),""),VLOOKUP($D141,素材!$1:$1016,COLUMN($F$1),FALSE))),VLOOKUP($C141,装備品!$1:$998,COLUMN($O$1),FALSE)*VLOOKUP($D141,素材!$1:$1016,COLUMN($E$1),FALSE)/(LEN(VLOOKUP($D141,素材!$1:$1016,COLUMN($F$1),FALSE))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G141">
        <f>IF(ISNUMBER(SEARCH(SUBSTITUTE(AG$1,RIGHT(AG$1,2),""),VLOOKUP($D141,素材!$1:$1016,COLUMN($F$1),FALSE))),VLOOKUP($C141,装備品!$1:$998,COLUMN($O$1),FALSE)*VLOOKUP($D141,素材!$1:$1016,COLUMN($E$1),FALSE)/(LEN(VLOOKUP($D141,素材!$1:$1016,COLUMN($F$1),FALSE))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H141">
        <f>IF(ISNUMBER(SEARCH(SUBSTITUTE(AH$1,RIGHT(AH$1,2),""),VLOOKUP($D141,素材!$1:$1016,COLUMN($F$1),FALSE))),VLOOKUP($C141,装備品!$1:$998,COLUMN($O$1),FALSE)*VLOOKUP($D141,素材!$1:$1016,COLUMN($E$1),FALSE)/(LEN(VLOOKUP($D141,素材!$1:$1016,COLUMN($F$1),FALSE))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I141">
        <f>IF(ISNUMBER(SEARCH(SUBSTITUTE(AI$1,RIGHT(AI$1,2),""),VLOOKUP($D141,素材!$1:$1016,COLUMN($F$1),FALSE))),VLOOKUP($C141,装備品!$1:$998,COLUMN($O$1),FALSE)*VLOOKUP($D141,素材!$1:$1016,COLUMN($E$1),FALSE)/(LEN(VLOOKUP($D141,素材!$1:$1016,COLUMN($F$1),FALSE))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J141">
        <f>IF(ISNUMBER(SEARCH(SUBSTITUTE(AJ$1,RIGHT(AJ$1,2),""),VLOOKUP($D141,素材!$1:$1016,COLUMN($F$1),FALSE))),VLOOKUP($C141,装備品!$1:$998,COLUMN($O$1),FALSE)*VLOOKUP($D141,素材!$1:$1016,COLUMN($E$1),FALSE)/(LEN(VLOOKUP($D141,素材!$1:$1016,COLUMN($F$1),FALSE))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K141">
        <f>IF(ISNUMBER(SEARCH(SUBSTITUTE(AK$1,RIGHT(AK$1,2),""),VLOOKUP($D141,素材!$1:$1016,COLUMN($F$1),FALSE))),VLOOKUP($C141,装備品!$1:$998,COLUMN($O$1),FALSE)*VLOOKUP($D141,素材!$1:$1016,COLUMN($E$1),FALSE)/(LEN(VLOOKUP($D141,素材!$1:$1016,COLUMN($F$1),FALSE))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L141">
        <f>IF(ISNUMBER(SEARCH(SUBSTITUTE(AL$1,RIGHT(AL$1,2),""),VLOOKUP($D141,素材!$1:$1016,COLUMN($F$1),FALSE))),VLOOKUP($C141,装備品!$1:$998,COLUMN($O$1),FALSE)*VLOOKUP($D141,素材!$1:$1016,COLUMN($E$1),FALSE)/(LEN(VLOOKUP($D141,素材!$1:$1016,COLUMN($F$1),FALSE))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M141">
        <f>IF(ISNUMBER(SEARCH(SUBSTITUTE(AM$1,RIGHT(AM$1,2),""),VLOOKUP($D141,素材!$1:$1016,COLUMN($F$1),FALSE))),VLOOKUP($C141,装備品!$1:$998,COLUMN($O$1),FALSE)*VLOOKUP($D141,素材!$1:$1016,COLUMN($E$1),FALSE)/(LEN(VLOOKUP($D141,素材!$1:$1016,COLUMN($F$1),FALSE))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N141">
        <f>IF(ISNUMBER(SEARCH(SUBSTITUTE(AN$1,RIGHT(AN$1,2),""),VLOOKUP($D141,素材!$1:$1016,COLUMN($F$1),FALSE))),VLOOKUP($C141,装備品!$1:$998,COLUMN($O$1),FALSE)*VLOOKUP($D141,素材!$1:$1016,COLUMN($E$1),FALSE)/(LEN(VLOOKUP($D141,素材!$1:$1016,COLUMN($F$1),FALSE))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O141">
        <f>IF(ISNUMBER(SEARCH(SUBSTITUTE(AO$1,RIGHT(AO$1,2),""),VLOOKUP($D141,素材!$1:$1016,COLUMN($F$1),FALSE))),VLOOKUP($C141,装備品!$1:$998,COLUMN($O$1),FALSE)*VLOOKUP($D141,素材!$1:$1016,COLUMN($E$1),FALSE)/(LEN(VLOOKUP($D141,素材!$1:$1016,COLUMN($F$1),FALSE))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P141">
        <f>IF(ISNUMBER(SEARCH(SUBSTITUTE(AP$1,RIGHT(AP$1,2),""),VLOOKUP($D141,素材!$1:$1016,COLUMN($F$1),FALSE))),VLOOKUP($C141,装備品!$1:$998,COLUMN($O$1),FALSE)*VLOOKUP($D141,素材!$1:$1016,COLUMN($E$1),FALSE)/(LEN(VLOOKUP($D141,素材!$1:$1016,COLUMN($F$1),FALSE))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Q141">
        <f>IF(ISNUMBER(SEARCH(SUBSTITUTE(AQ$1,RIGHT(AQ$1,2),""),VLOOKUP($D141,素材!$1:$1016,COLUMN($F$1),FALSE))),VLOOKUP($C141,装備品!$1:$998,COLUMN($O$1),FALSE)*VLOOKUP($D141,素材!$1:$1016,COLUMN($E$1),FALSE)/(LEN(VLOOKUP($D141,素材!$1:$1016,COLUMN($F$1),FALSE))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R141">
        <f>IF(ISNUMBER(SEARCH(SUBSTITUTE(AR$1,RIGHT(AR$1,2),""),VLOOKUP($D141,素材!$1:$1016,COLUMN($F$1),FALSE))),VLOOKUP($C141,装備品!$1:$998,COLUMN($O$1),FALSE)*VLOOKUP($D141,素材!$1:$1016,COLUMN($E$1),FALSE)/(LEN(VLOOKUP($D141,素材!$1:$1016,COLUMN($F$1),FALSE))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S141">
        <f>IF(ISNUMBER(SEARCH(SUBSTITUTE(AS$1,RIGHT(AS$1,2),""),VLOOKUP($D141,素材!$1:$1016,COLUMN($F$1),FALSE))),VLOOKUP($C141,装備品!$1:$998,COLUMN($O$1),FALSE)*VLOOKUP($D141,素材!$1:$1016,COLUMN($E$1),FALSE)/(LEN(VLOOKUP($D141,素材!$1:$1016,COLUMN($F$1),FALSE))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T141">
        <f>IF(ISNUMBER(SEARCH(SUBSTITUTE(AT$1,RIGHT(AT$1,2),""),VLOOKUP($D141,素材!$1:$1016,COLUMN($F$1),FALSE))),VLOOKUP($C141,装備品!$1:$998,COLUMN($O$1),FALSE)*VLOOKUP($D141,素材!$1:$1016,COLUMN($E$1),FALSE)/(LEN(VLOOKUP($D141,素材!$1:$1016,COLUMN($F$1),FALSE))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U141">
        <f>IF(ISNUMBER(SEARCH(SUBSTITUTE(AU$1,RIGHT(AU$1,2),""),VLOOKUP($D141,素材!$1:$1016,COLUMN($F$1),FALSE))),VLOOKUP($C141,装備品!$1:$998,COLUMN($O$1),FALSE)*VLOOKUP($D141,素材!$1:$1016,COLUMN($E$1),FALSE)/(LEN(VLOOKUP($D141,素材!$1:$1016,COLUMN($F$1),FALSE))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V141">
        <f>IF(ISNUMBER(SEARCH(SUBSTITUTE(AV$1,RIGHT(AV$1,2),""),VLOOKUP($D141,素材!$1:$1016,COLUMN($F$1),FALSE))),VLOOKUP($C141,装備品!$1:$998,COLUMN($O$1),FALSE)*VLOOKUP($D141,素材!$1:$1016,COLUMN($E$1),FALSE)/(LEN(VLOOKUP($D141,素材!$1:$1016,COLUMN($F$1),FALSE))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W141">
        <f>IF(ISNUMBER(SEARCH(SUBSTITUTE(AW$1,RIGHT(AW$1,2),""),VLOOKUP($D141,素材!$1:$1016,COLUMN($F$1),FALSE))),VLOOKUP($C141,装備品!$1:$998,COLUMN($O$1),FALSE)*VLOOKUP($D141,素材!$1:$1016,COLUMN($E$1),FALSE)/(LEN(VLOOKUP($D141,素材!$1:$1016,COLUMN($F$1),FALSE))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X141">
        <f>IF(ISNUMBER(SEARCH(SUBSTITUTE(AX$1,RIGHT(AX$1,2),""),VLOOKUP($D141,素材!$1:$1016,COLUMN($F$1),FALSE))),VLOOKUP($C141,装備品!$1:$998,COLUMN($O$1),FALSE)*VLOOKUP($D141,素材!$1:$1016,COLUMN($E$1),FALSE)/(LEN(VLOOKUP($D141,素材!$1:$1016,COLUMN($F$1),FALSE))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Y141">
        <f>IF(ISNUMBER(SEARCH(SUBSTITUTE(AY$1,RIGHT(AY$1,2),""),VLOOKUP($D141,素材!$1:$1016,COLUMN($F$1),FALSE))),VLOOKUP($C141,装備品!$1:$998,COLUMN($O$1),FALSE)*VLOOKUP($D141,素材!$1:$1016,COLUMN($E$1),FALSE)/(LEN(VLOOKUP($D141,素材!$1:$1016,COLUMN($F$1),FALSE))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Z141">
        <f>IF(ISNUMBER(SEARCH(SUBSTITUTE(AZ$1,RIGHT(AZ$1,2),""),VLOOKUP($D141,素材!$1:$1016,COLUMN($F$1),FALSE))),VLOOKUP($C141,装備品!$1:$998,COLUMN($O$1),FALSE)*VLOOKUP($D141,素材!$1:$1016,COLUMN($E$1),FALSE)/(LEN(VLOOKUP($D141,素材!$1:$1016,COLUMN($F$1),FALSE))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BA141">
        <f>IF(ISNUMBER(SEARCH(SUBSTITUTE(BA$1,RIGHT(BA$1,2),""),VLOOKUP($D141,素材!$1:$1016,COLUMN($F$1),FALSE))),VLOOKUP($C141,装備品!$1:$998,COLUMN($O$1),FALSE)*VLOOKUP($D141,素材!$1:$1016,COLUMN($E$1),FALSE)/(LEN(VLOOKUP($D141,素材!$1:$1016,COLUMN($F$1),FALSE))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BB141">
        <f>IF(ISNUMBER(SEARCH(SUBSTITUTE(BB$1,RIGHT(BB$1,2),""),VLOOKUP($D141,素材!$1:$1016,COLUMN($F$1),FALSE))),VLOOKUP($C141,装備品!$1:$998,COLUMN($O$1),FALSE)*VLOOKUP($D141,素材!$1:$1016,COLUMN($E$1),FALSE)/(LEN(VLOOKUP($D141,素材!$1:$1016,COLUMN($F$1),FALSE))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BC141">
        <f>IF(ISNUMBER(SEARCH(SUBSTITUTE(BC$1,RIGHT(BC$1,2),""),VLOOKUP($D141,素材!$1:$1016,COLUMN($F$1),FALSE))),VLOOKUP($C141,装備品!$1:$998,COLUMN($O$1),FALSE)*VLOOKUP($D141,素材!$1:$1016,COLUMN($E$1),FALSE)/(LEN(VLOOKUP($D141,素材!$1:$1016,COLUMN($F$1),FALSE))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BD141">
        <f>IF(ISNUMBER(SEARCH(SUBSTITUTE(BD$1,RIGHT(BD$1,2),""),VLOOKUP($D141,素材!$1:$1016,COLUMN($F$1),FALSE))),VLOOKUP($C141,装備品!$1:$998,COLUMN($O$1),FALSE)*VLOOKUP($D141,素材!$1:$1016,COLUMN($E$1),FALSE)/(LEN(VLOOKUP($D141,素材!$1:$1016,COLUMN($F$1),FALSE))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BE141">
        <f>IF(ISNUMBER(SEARCH(SUBSTITUTE(BE$1,RIGHT(BE$1,2),""),VLOOKUP($D141,素材!$1:$1016,COLUMN($F$1),FALSE))),VLOOKUP($C141,装備品!$1:$998,COLUMN($O$1),FALSE)*VLOOKUP($D141,素材!$1:$1016,COLUMN($E$1),FALSE)/(LEN(VLOOKUP($D141,素材!$1:$1016,COLUMN($F$1),FALSE))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CL141">
        <f t="shared" si="19"/>
        <v>0</v>
      </c>
      <c r="CM141" s="22" t="str">
        <f t="shared" si="20"/>
        <v>体.webp</v>
      </c>
      <c r="CN141">
        <f>IFERROR(VLOOKUP($C141,装備品!$1:$998,COLUMN(V$1),FALSE)*VLOOKUP($D141,素材!$1:$1016,COLUMN(N$1),FALSE)+IF(CI141="",0,VLOOKUP($CI141,付与!$1:$1176,COLUMN($CK$1),FALSE)),"")</f>
        <v>0</v>
      </c>
      <c r="CO141" t="str">
        <f>VLOOKUP(D141,素材!$A:$O,COLUMN(素材!O$1),FALSE)</f>
        <v>雷属性を持つドラゴン型生物から採取される鱗素材。雷属性攻撃への耐性を強化し、武器の電撃効果を高めることも可能です。</v>
      </c>
      <c r="CP141" t="str">
        <f>VLOOKUP(C141,装備品!$A:$AB,COLUMN(装備品!AB$1),FALSE)</f>
        <v>HP 物理 魔法 体幹 出血 疲労 Cr</v>
      </c>
      <c r="CR141" t="str">
        <f t="shared" si="24"/>
        <v>e_141</v>
      </c>
      <c r="CS141">
        <f t="shared" ref="CS141:CS206" si="28">CN141*100</f>
        <v>0</v>
      </c>
    </row>
    <row r="142" spans="1:97" outlineLevel="1" x14ac:dyDescent="0.4">
      <c r="A142" t="str">
        <f t="shared" si="23"/>
        <v>雷蜥蜴の鱗の法衣</v>
      </c>
      <c r="B142" t="str">
        <f>IFERROR(VLOOKUP($D142,素材!$1:$1016,COLUMN($B$1),FALSE)&amp;"・"&amp;VLOOKUP($C142,装備品!$1:$998,COLUMN(B$1),FALSE),"")</f>
        <v>サンダードレイクスケール・ローブ</v>
      </c>
      <c r="C142" t="s">
        <v>245</v>
      </c>
      <c r="D142" s="24" t="s">
        <v>248</v>
      </c>
      <c r="E142" t="str">
        <f>IFERROR(VLOOKUP(C142,装備品!$1:$998,COLUMN(C$1),FALSE),"")</f>
        <v>体</v>
      </c>
      <c r="F142">
        <f>IFERROR(ROUNDDOWN((VLOOKUP($C142,装備品!$1:$998,COLUMN(D$1),FALSE)+IFERROR(VLOOKUP($CI142,付与!$1:$1167,COLUMN(F$1),FALSE),0))*VLOOKUP($D142,素材!$1:$1016,COLUMN(D$1),FALSE),0),"")</f>
        <v>0</v>
      </c>
      <c r="G142">
        <f>IFERROR(ROUNDDOWN((VLOOKUP($C142,装備品!$1:$998,COLUMN(E$1),FALSE)+IFERROR(VLOOKUP($CI142,付与!$1:$1167,COLUMN(G$1),FALSE),0))*VLOOKUP($D142,素材!$1:$1016,COLUMN($E$1),FALSE),0),"")</f>
        <v>0</v>
      </c>
      <c r="H142">
        <f>IFERROR(ROUNDDOWN((VLOOKUP($C142,装備品!$1:$998,COLUMN(F$1),FALSE)+IFERROR(VLOOKUP($CI142,付与!$1:$1167,COLUMN(H$1),FALSE),0))*VLOOKUP($D142,素材!$1:$1016,COLUMN($E$1),FALSE),0),"")</f>
        <v>0</v>
      </c>
      <c r="I142">
        <f>IFERROR(ROUNDDOWN((VLOOKUP($C142,装備品!$1:$998,COLUMN(G$1),FALSE)+IFERROR(VLOOKUP($CI142,付与!$1:$1167,COLUMN(I$1),FALSE),0))*VLOOKUP($D142,素材!$1:$1016,COLUMN($E$1),FALSE),0),"")</f>
        <v>0</v>
      </c>
      <c r="J142">
        <f>IFERROR(ROUNDDOWN((VLOOKUP($C142,装備品!$1:$998,COLUMN(H$1),FALSE)+IFERROR(VLOOKUP($CI142,付与!$1:$1167,COLUMN(J$1),FALSE),0))*VLOOKUP($D142,素材!$1:$1016,COLUMN($E$1),FALSE),0),"")</f>
        <v>0</v>
      </c>
      <c r="K142">
        <f>IFERROR(ROUNDDOWN((VLOOKUP($C142,装備品!$1:$998,COLUMN(I$1),FALSE)+IFERROR(VLOOKUP($CI142,付与!$1:$1167,COLUMN(K$1),FALSE),0))*VLOOKUP($D142,素材!$1:$1016,COLUMN($E$1),FALSE),0),"")</f>
        <v>0</v>
      </c>
      <c r="L142" t="str">
        <f>IFERROR(VLOOKUP($D142,素材!$1:$1016,COLUMN($F$1),FALSE),"")</f>
        <v>雷</v>
      </c>
      <c r="M142">
        <f>IFERROR(VLOOKUP($C142,装備品!$1:$998,COLUMN(AA$1),FALSE)*VLOOKUP($D142,素材!$1:$1016,COLUMN($G$1),FALSE),"")</f>
        <v>50</v>
      </c>
      <c r="N142">
        <f>IFERROR(VLOOKUP($C142,装備品!$1:$998,COLUMN(I$1),FALSE),"")</f>
        <v>0</v>
      </c>
      <c r="O142" s="23" t="str">
        <f>IFERROR((VLOOKUP($C142,装備品!$1:$998,COLUMN(K$1),FALSE)+VLOOKUP($D142,素材!$1:$1016,COLUMN(H$1),FALSE))*100+IFERROR(VLOOKUP($CI142,付与!$1:$1167,COLUMN(O$1),FALSE),0),"")</f>
        <v/>
      </c>
      <c r="P142" s="23" t="str">
        <f>IFERROR((VLOOKUP($C142,装備品!$1:$998,COLUMN(L$1),FALSE)+VLOOKUP($D142,素材!$1:$1016,COLUMN(I$1),FALSE))*100+IFERROR(VLOOKUP($CI142,付与!$1:$1167,COLUMN(P$1),FALSE),0),"")</f>
        <v/>
      </c>
      <c r="Q142">
        <f>IFERROR(ROUNDUP(VLOOKUP($C142,装備品!$1:$998,COLUMN(M$1),FALSE)*(VLOOKUP($D142,素材!$1:$1002,COLUMN(D$1),FALSE)/100),1),"")</f>
        <v>0</v>
      </c>
      <c r="R142">
        <f>IFERROR(ROUNDUP(VLOOKUP($C142,装備品!$1:$998,COLUMN(N$1),FALSE)*(VLOOKUP($D142,素材!$1:$1002,COLUMN(D$1),FALSE)/100),1),"")</f>
        <v>0</v>
      </c>
      <c r="S142">
        <f>IFERROR(VLOOKUP($C142,装備品!$1:$998,COLUMN(P$1),FALSE),"")</f>
        <v>0</v>
      </c>
      <c r="T142">
        <f>IFERROR(VLOOKUP($C142,装備品!$1:$998,COLUMN(Q$1),FALSE),"")</f>
        <v>0</v>
      </c>
      <c r="U142">
        <f>IFERROR(VLOOKUP($C142,装備品!$1:$998,COLUMN(R$1),FALSE),"")</f>
        <v>0</v>
      </c>
      <c r="V142">
        <f>IFERROR(VLOOKUP($C142,装備品!$1:$998,COLUMN(Q$1),FALSE),"")</f>
        <v>0</v>
      </c>
      <c r="W142">
        <f>IFERROR(VLOOKUP($C142,装備品!$1:$998,COLUMN(T$1),FALSE),"")</f>
        <v>0.2</v>
      </c>
      <c r="Y142">
        <f>IFERROR(VLOOKUP($C142,装備品!$1:$998,COLUMN(U$1),FALSE),"")</f>
        <v>0</v>
      </c>
      <c r="Z142">
        <f>IFERROR(ROUNDUP(VLOOKUP($C142,装備品!$1:$998,COLUMN(O$1),FALSE)*VLOOKUP($D142,素材!$1:$1016,COLUMN(E$1),FALSE),1),"")</f>
        <v>0</v>
      </c>
      <c r="AA142">
        <f>IF(ISNUMBER(SEARCH(SUBSTITUTE(AA$1,RIGHT(AA$1,2),""),VLOOKUP($D142,素材!$1:$1016,COLUMN($F$1),FALSE))),VLOOKUP($C142,装備品!$1:$998,COLUMN($O$1),FALSE)*VLOOKUP($D142,素材!$1:$1016,COLUMN($E$1),FALSE)/(LEN(VLOOKUP($D142,素材!$1:$1016,COLUMN($F$1),FALSE))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B142">
        <f>IF(ISNUMBER(SEARCH(SUBSTITUTE(AB$1,RIGHT(AB$1,2),""),VLOOKUP($D142,素材!$1:$1016,COLUMN($F$1),FALSE))),VLOOKUP($C142,装備品!$1:$998,COLUMN($O$1),FALSE)*VLOOKUP($D142,素材!$1:$1016,COLUMN($E$1),FALSE)/(LEN(VLOOKUP($D142,素材!$1:$1016,COLUMN($F$1),FALSE))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C142">
        <f>IF(ISNUMBER(SEARCH(SUBSTITUTE(AC$1,RIGHT(AC$1,2),""),VLOOKUP($D142,素材!$1:$1016,COLUMN($F$1),FALSE))),VLOOKUP($C142,装備品!$1:$998,COLUMN($O$1),FALSE)*VLOOKUP($D142,素材!$1:$1016,COLUMN($E$1),FALSE)/(LEN(VLOOKUP($D142,素材!$1:$1016,COLUMN($F$1),FALSE))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D142">
        <f>IF(ISNUMBER(SEARCH(SUBSTITUTE(AD$1,RIGHT(AD$1,2),""),VLOOKUP($D142,素材!$1:$1016,COLUMN($F$1),FALSE))),VLOOKUP($C142,装備品!$1:$998,COLUMN($O$1),FALSE)*VLOOKUP($D142,素材!$1:$1016,COLUMN($E$1),FALSE)/(LEN(VLOOKUP($D142,素材!$1:$1016,COLUMN($F$1),FALSE))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E142">
        <f>IF(ISNUMBER(SEARCH(SUBSTITUTE(AE$1,RIGHT(AE$1,2),""),VLOOKUP($D142,素材!$1:$1016,COLUMN($F$1),FALSE))),VLOOKUP($C142,装備品!$1:$998,COLUMN($O$1),FALSE)*VLOOKUP($D142,素材!$1:$1016,COLUMN($E$1),FALSE)/(LEN(VLOOKUP($D142,素材!$1:$1016,COLUMN($F$1),FALSE))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F142">
        <f>IF(ISNUMBER(SEARCH(SUBSTITUTE(AF$1,RIGHT(AF$1,2),""),VLOOKUP($D142,素材!$1:$1016,COLUMN($F$1),FALSE))),VLOOKUP($C142,装備品!$1:$998,COLUMN($O$1),FALSE)*VLOOKUP($D142,素材!$1:$1016,COLUMN($E$1),FALSE)/(LEN(VLOOKUP($D142,素材!$1:$1016,COLUMN($F$1),FALSE))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G142">
        <f>IF(ISNUMBER(SEARCH(SUBSTITUTE(AG$1,RIGHT(AG$1,2),""),VLOOKUP($D142,素材!$1:$1016,COLUMN($F$1),FALSE))),VLOOKUP($C142,装備品!$1:$998,COLUMN($O$1),FALSE)*VLOOKUP($D142,素材!$1:$1016,COLUMN($E$1),FALSE)/(LEN(VLOOKUP($D142,素材!$1:$1016,COLUMN($F$1),FALSE))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H142">
        <f>IF(ISNUMBER(SEARCH(SUBSTITUTE(AH$1,RIGHT(AH$1,2),""),VLOOKUP($D142,素材!$1:$1016,COLUMN($F$1),FALSE))),VLOOKUP($C142,装備品!$1:$998,COLUMN($O$1),FALSE)*VLOOKUP($D142,素材!$1:$1016,COLUMN($E$1),FALSE)/(LEN(VLOOKUP($D142,素材!$1:$1016,COLUMN($F$1),FALSE))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I142">
        <f>IF(ISNUMBER(SEARCH(SUBSTITUTE(AI$1,RIGHT(AI$1,2),""),VLOOKUP($D142,素材!$1:$1016,COLUMN($F$1),FALSE))),VLOOKUP($C142,装備品!$1:$998,COLUMN($O$1),FALSE)*VLOOKUP($D142,素材!$1:$1016,COLUMN($E$1),FALSE)/(LEN(VLOOKUP($D142,素材!$1:$1016,COLUMN($F$1),FALSE))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J142">
        <f>IF(ISNUMBER(SEARCH(SUBSTITUTE(AJ$1,RIGHT(AJ$1,2),""),VLOOKUP($D142,素材!$1:$1016,COLUMN($F$1),FALSE))),VLOOKUP($C142,装備品!$1:$998,COLUMN($O$1),FALSE)*VLOOKUP($D142,素材!$1:$1016,COLUMN($E$1),FALSE)/(LEN(VLOOKUP($D142,素材!$1:$1016,COLUMN($F$1),FALSE))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K142">
        <f>IF(ISNUMBER(SEARCH(SUBSTITUTE(AK$1,RIGHT(AK$1,2),""),VLOOKUP($D142,素材!$1:$1016,COLUMN($F$1),FALSE))),VLOOKUP($C142,装備品!$1:$998,COLUMN($O$1),FALSE)*VLOOKUP($D142,素材!$1:$1016,COLUMN($E$1),FALSE)/(LEN(VLOOKUP($D142,素材!$1:$1016,COLUMN($F$1),FALSE))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L142">
        <f>IF(ISNUMBER(SEARCH(SUBSTITUTE(AL$1,RIGHT(AL$1,2),""),VLOOKUP($D142,素材!$1:$1016,COLUMN($F$1),FALSE))),VLOOKUP($C142,装備品!$1:$998,COLUMN($O$1),FALSE)*VLOOKUP($D142,素材!$1:$1016,COLUMN($E$1),FALSE)/(LEN(VLOOKUP($D142,素材!$1:$1016,COLUMN($F$1),FALSE))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M142">
        <f>IF(ISNUMBER(SEARCH(SUBSTITUTE(AM$1,RIGHT(AM$1,2),""),VLOOKUP($D142,素材!$1:$1016,COLUMN($F$1),FALSE))),VLOOKUP($C142,装備品!$1:$998,COLUMN($O$1),FALSE)*VLOOKUP($D142,素材!$1:$1016,COLUMN($E$1),FALSE)/(LEN(VLOOKUP($D142,素材!$1:$1016,COLUMN($F$1),FALSE))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N142">
        <f>IF(ISNUMBER(SEARCH(SUBSTITUTE(AN$1,RIGHT(AN$1,2),""),VLOOKUP($D142,素材!$1:$1016,COLUMN($F$1),FALSE))),VLOOKUP($C142,装備品!$1:$998,COLUMN($O$1),FALSE)*VLOOKUP($D142,素材!$1:$1016,COLUMN($E$1),FALSE)/(LEN(VLOOKUP($D142,素材!$1:$1016,COLUMN($F$1),FALSE))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O142">
        <f>IF(ISNUMBER(SEARCH(SUBSTITUTE(AO$1,RIGHT(AO$1,2),""),VLOOKUP($D142,素材!$1:$1016,COLUMN($F$1),FALSE))),VLOOKUP($C142,装備品!$1:$998,COLUMN($O$1),FALSE)*VLOOKUP($D142,素材!$1:$1016,COLUMN($E$1),FALSE)/(LEN(VLOOKUP($D142,素材!$1:$1016,COLUMN($F$1),FALSE))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P142">
        <f>IF(ISNUMBER(SEARCH(SUBSTITUTE(AP$1,RIGHT(AP$1,2),""),VLOOKUP($D142,素材!$1:$1016,COLUMN($F$1),FALSE))),VLOOKUP($C142,装備品!$1:$998,COLUMN($O$1),FALSE)*VLOOKUP($D142,素材!$1:$1016,COLUMN($E$1),FALSE)/(LEN(VLOOKUP($D142,素材!$1:$1016,COLUMN($F$1),FALSE))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Q142">
        <f>IF(ISNUMBER(SEARCH(SUBSTITUTE(AQ$1,RIGHT(AQ$1,2),""),VLOOKUP($D142,素材!$1:$1016,COLUMN($F$1),FALSE))),VLOOKUP($C142,装備品!$1:$998,COLUMN($O$1),FALSE)*VLOOKUP($D142,素材!$1:$1016,COLUMN($E$1),FALSE)/(LEN(VLOOKUP($D142,素材!$1:$1016,COLUMN($F$1),FALSE))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R142">
        <f>IF(ISNUMBER(SEARCH(SUBSTITUTE(AR$1,RIGHT(AR$1,2),""),VLOOKUP($D142,素材!$1:$1016,COLUMN($F$1),FALSE))),VLOOKUP($C142,装備品!$1:$998,COLUMN($O$1),FALSE)*VLOOKUP($D142,素材!$1:$1016,COLUMN($E$1),FALSE)/(LEN(VLOOKUP($D142,素材!$1:$1016,COLUMN($F$1),FALSE))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S142">
        <f>IF(ISNUMBER(SEARCH(SUBSTITUTE(AS$1,RIGHT(AS$1,2),""),VLOOKUP($D142,素材!$1:$1016,COLUMN($F$1),FALSE))),VLOOKUP($C142,装備品!$1:$998,COLUMN($O$1),FALSE)*VLOOKUP($D142,素材!$1:$1016,COLUMN($E$1),FALSE)/(LEN(VLOOKUP($D142,素材!$1:$1016,COLUMN($F$1),FALSE))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T142">
        <f>IF(ISNUMBER(SEARCH(SUBSTITUTE(AT$1,RIGHT(AT$1,2),""),VLOOKUP($D142,素材!$1:$1016,COLUMN($F$1),FALSE))),VLOOKUP($C142,装備品!$1:$998,COLUMN($O$1),FALSE)*VLOOKUP($D142,素材!$1:$1016,COLUMN($E$1),FALSE)/(LEN(VLOOKUP($D142,素材!$1:$1016,COLUMN($F$1),FALSE))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U142">
        <f>IF(ISNUMBER(SEARCH(SUBSTITUTE(AU$1,RIGHT(AU$1,2),""),VLOOKUP($D142,素材!$1:$1016,COLUMN($F$1),FALSE))),VLOOKUP($C142,装備品!$1:$998,COLUMN($O$1),FALSE)*VLOOKUP($D142,素材!$1:$1016,COLUMN($E$1),FALSE)/(LEN(VLOOKUP($D142,素材!$1:$1016,COLUMN($F$1),FALSE))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V142">
        <f>IF(ISNUMBER(SEARCH(SUBSTITUTE(AV$1,RIGHT(AV$1,2),""),VLOOKUP($D142,素材!$1:$1016,COLUMN($F$1),FALSE))),VLOOKUP($C142,装備品!$1:$998,COLUMN($O$1),FALSE)*VLOOKUP($D142,素材!$1:$1016,COLUMN($E$1),FALSE)/(LEN(VLOOKUP($D142,素材!$1:$1016,COLUMN($F$1),FALSE))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W142">
        <f>IF(ISNUMBER(SEARCH(SUBSTITUTE(AW$1,RIGHT(AW$1,2),""),VLOOKUP($D142,素材!$1:$1016,COLUMN($F$1),FALSE))),VLOOKUP($C142,装備品!$1:$998,COLUMN($O$1),FALSE)*VLOOKUP($D142,素材!$1:$1016,COLUMN($E$1),FALSE)/(LEN(VLOOKUP($D142,素材!$1:$1016,COLUMN($F$1),FALSE))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X142">
        <f>IF(ISNUMBER(SEARCH(SUBSTITUTE(AX$1,RIGHT(AX$1,2),""),VLOOKUP($D142,素材!$1:$1016,COLUMN($F$1),FALSE))),VLOOKUP($C142,装備品!$1:$998,COLUMN($O$1),FALSE)*VLOOKUP($D142,素材!$1:$1016,COLUMN($E$1),FALSE)/(LEN(VLOOKUP($D142,素材!$1:$1016,COLUMN($F$1),FALSE))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Y142">
        <f>IF(ISNUMBER(SEARCH(SUBSTITUTE(AY$1,RIGHT(AY$1,2),""),VLOOKUP($D142,素材!$1:$1016,COLUMN($F$1),FALSE))),VLOOKUP($C142,装備品!$1:$998,COLUMN($O$1),FALSE)*VLOOKUP($D142,素材!$1:$1016,COLUMN($E$1),FALSE)/(LEN(VLOOKUP($D142,素材!$1:$1016,COLUMN($F$1),FALSE))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Z142">
        <f>IF(ISNUMBER(SEARCH(SUBSTITUTE(AZ$1,RIGHT(AZ$1,2),""),VLOOKUP($D142,素材!$1:$1016,COLUMN($F$1),FALSE))),VLOOKUP($C142,装備品!$1:$998,COLUMN($O$1),FALSE)*VLOOKUP($D142,素材!$1:$1016,COLUMN($E$1),FALSE)/(LEN(VLOOKUP($D142,素材!$1:$1016,COLUMN($F$1),FALSE))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BA142">
        <f>IF(ISNUMBER(SEARCH(SUBSTITUTE(BA$1,RIGHT(BA$1,2),""),VLOOKUP($D142,素材!$1:$1016,COLUMN($F$1),FALSE))),VLOOKUP($C142,装備品!$1:$998,COLUMN($O$1),FALSE)*VLOOKUP($D142,素材!$1:$1016,COLUMN($E$1),FALSE)/(LEN(VLOOKUP($D142,素材!$1:$1016,COLUMN($F$1),FALSE))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BB142">
        <f>IF(ISNUMBER(SEARCH(SUBSTITUTE(BB$1,RIGHT(BB$1,2),""),VLOOKUP($D142,素材!$1:$1016,COLUMN($F$1),FALSE))),VLOOKUP($C142,装備品!$1:$998,COLUMN($O$1),FALSE)*VLOOKUP($D142,素材!$1:$1016,COLUMN($E$1),FALSE)/(LEN(VLOOKUP($D142,素材!$1:$1016,COLUMN($F$1),FALSE))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BC142">
        <f>IF(ISNUMBER(SEARCH(SUBSTITUTE(BC$1,RIGHT(BC$1,2),""),VLOOKUP($D142,素材!$1:$1016,COLUMN($F$1),FALSE))),VLOOKUP($C142,装備品!$1:$998,COLUMN($O$1),FALSE)*VLOOKUP($D142,素材!$1:$1016,COLUMN($E$1),FALSE)/(LEN(VLOOKUP($D142,素材!$1:$1016,COLUMN($F$1),FALSE))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BD142">
        <f>IF(ISNUMBER(SEARCH(SUBSTITUTE(BD$1,RIGHT(BD$1,2),""),VLOOKUP($D142,素材!$1:$1016,COLUMN($F$1),FALSE))),VLOOKUP($C142,装備品!$1:$998,COLUMN($O$1),FALSE)*VLOOKUP($D142,素材!$1:$1016,COLUMN($E$1),FALSE)/(LEN(VLOOKUP($D142,素材!$1:$1016,COLUMN($F$1),FALSE))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BE142">
        <f>IF(ISNUMBER(SEARCH(SUBSTITUTE(BE$1,RIGHT(BE$1,2),""),VLOOKUP($D142,素材!$1:$1016,COLUMN($F$1),FALSE))),VLOOKUP($C142,装備品!$1:$998,COLUMN($O$1),FALSE)*VLOOKUP($D142,素材!$1:$1016,COLUMN($E$1),FALSE)/(LEN(VLOOKUP($D142,素材!$1:$1016,COLUMN($F$1),FALSE))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CL142">
        <f t="shared" si="19"/>
        <v>0</v>
      </c>
      <c r="CM142" s="22" t="str">
        <f t="shared" si="20"/>
        <v>体.webp</v>
      </c>
      <c r="CN142">
        <f>IFERROR(VLOOKUP($C142,装備品!$1:$998,COLUMN(V$1),FALSE)*VLOOKUP($D142,素材!$1:$1016,COLUMN(N$1),FALSE)+IF(CI142="",0,VLOOKUP($CI142,付与!$1:$1176,COLUMN($CK$1),FALSE)),"")</f>
        <v>0</v>
      </c>
      <c r="CO142" t="str">
        <f>VLOOKUP(D142,素材!$A:$O,COLUMN(素材!O$1),FALSE)</f>
        <v>雷属性を持つドラゴン型生物から採取される鱗素材。雷属性攻撃への耐性を強化し、武器の電撃効果を高めることも可能です。</v>
      </c>
      <c r="CP142" t="str">
        <f>VLOOKUP(C142,装備品!$A:$AB,COLUMN(装備品!AB$1),FALSE)</f>
        <v>HP 物理 魔法 体幹 出血 疲労 Cr</v>
      </c>
      <c r="CR142" t="str">
        <f t="shared" si="24"/>
        <v>e_142</v>
      </c>
      <c r="CS142">
        <f t="shared" si="28"/>
        <v>0</v>
      </c>
    </row>
    <row r="143" spans="1:97" outlineLevel="1" x14ac:dyDescent="0.4">
      <c r="A143" t="str">
        <f t="shared" si="23"/>
        <v>雷蜥蜴の鱗の鎧</v>
      </c>
      <c r="B143" t="str">
        <f>IFERROR(VLOOKUP($D143,素材!$1:$1016,COLUMN($B$1),FALSE)&amp;"・"&amp;VLOOKUP($C143,装備品!$1:$998,COLUMN(B$1),FALSE),"")</f>
        <v>サンダードレイクスケール・アーマー</v>
      </c>
      <c r="C143" t="s">
        <v>207</v>
      </c>
      <c r="D143" s="24" t="s">
        <v>248</v>
      </c>
      <c r="E143" t="str">
        <f>IFERROR(VLOOKUP(C143,装備品!$1:$998,COLUMN(C$1),FALSE),"")</f>
        <v>体</v>
      </c>
      <c r="F143">
        <f>IFERROR(ROUNDDOWN((VLOOKUP($C143,装備品!$1:$998,COLUMN(D$1),FALSE)+IFERROR(VLOOKUP($CI143,付与!$1:$1167,COLUMN(F$1),FALSE),0))*VLOOKUP($D143,素材!$1:$1016,COLUMN(D$1),FALSE),0),"")</f>
        <v>0</v>
      </c>
      <c r="G143">
        <f>IFERROR(ROUNDDOWN((VLOOKUP($C143,装備品!$1:$998,COLUMN(E$1),FALSE)+IFERROR(VLOOKUP($CI143,付与!$1:$1167,COLUMN(G$1),FALSE),0))*VLOOKUP($D143,素材!$1:$1016,COLUMN($E$1),FALSE),0),"")</f>
        <v>0</v>
      </c>
      <c r="H143">
        <f>IFERROR(ROUNDDOWN((VLOOKUP($C143,装備品!$1:$998,COLUMN(F$1),FALSE)+IFERROR(VLOOKUP($CI143,付与!$1:$1167,COLUMN(H$1),FALSE),0))*VLOOKUP($D143,素材!$1:$1016,COLUMN($E$1),FALSE),0),"")</f>
        <v>0</v>
      </c>
      <c r="I143">
        <f>IFERROR(ROUNDDOWN((VLOOKUP($C143,装備品!$1:$998,COLUMN(G$1),FALSE)+IFERROR(VLOOKUP($CI143,付与!$1:$1167,COLUMN(I$1),FALSE),0))*VLOOKUP($D143,素材!$1:$1016,COLUMN($E$1),FALSE),0),"")</f>
        <v>0</v>
      </c>
      <c r="J143">
        <f>IFERROR(ROUNDDOWN((VLOOKUP($C143,装備品!$1:$998,COLUMN(H$1),FALSE)+IFERROR(VLOOKUP($CI143,付与!$1:$1167,COLUMN(J$1),FALSE),0))*VLOOKUP($D143,素材!$1:$1016,COLUMN($E$1),FALSE),0),"")</f>
        <v>0</v>
      </c>
      <c r="K143">
        <f>IFERROR(ROUNDDOWN((VLOOKUP($C143,装備品!$1:$998,COLUMN(I$1),FALSE)+IFERROR(VLOOKUP($CI143,付与!$1:$1167,COLUMN(K$1),FALSE),0))*VLOOKUP($D143,素材!$1:$1016,COLUMN($E$1),FALSE),0),"")</f>
        <v>0</v>
      </c>
      <c r="L143" t="str">
        <f>IFERROR(VLOOKUP($D143,素材!$1:$1016,COLUMN($F$1),FALSE),"")</f>
        <v>雷</v>
      </c>
      <c r="M143">
        <f>IFERROR(VLOOKUP($C143,装備品!$1:$998,COLUMN(AA$1),FALSE)*VLOOKUP($D143,素材!$1:$1016,COLUMN($G$1),FALSE),"")</f>
        <v>75</v>
      </c>
      <c r="N143">
        <f>IFERROR(VLOOKUP($C143,装備品!$1:$998,COLUMN(I$1),FALSE),"")</f>
        <v>0</v>
      </c>
      <c r="O143" s="23" t="str">
        <f>IFERROR((VLOOKUP($C143,装備品!$1:$998,COLUMN(K$1),FALSE)+VLOOKUP($D143,素材!$1:$1016,COLUMN(H$1),FALSE))*100+IFERROR(VLOOKUP($CI143,付与!$1:$1167,COLUMN(O$1),FALSE),0),"")</f>
        <v/>
      </c>
      <c r="P143" s="23" t="str">
        <f>IFERROR((VLOOKUP($C143,装備品!$1:$998,COLUMN(L$1),FALSE)+VLOOKUP($D143,素材!$1:$1016,COLUMN(I$1),FALSE))*100+IFERROR(VLOOKUP($CI143,付与!$1:$1167,COLUMN(P$1),FALSE),0),"")</f>
        <v/>
      </c>
      <c r="Q143">
        <f>IFERROR(ROUNDUP(VLOOKUP($C143,装備品!$1:$998,COLUMN(M$1),FALSE)*(VLOOKUP($D143,素材!$1:$1002,COLUMN(D$1),FALSE)/100),1),"")</f>
        <v>-12</v>
      </c>
      <c r="R143">
        <f>IFERROR(ROUNDUP(VLOOKUP($C143,装備品!$1:$998,COLUMN(N$1),FALSE)*(VLOOKUP($D143,素材!$1:$1002,COLUMN(D$1),FALSE)/100),1),"")</f>
        <v>0</v>
      </c>
      <c r="S143">
        <f>IFERROR(VLOOKUP($C143,装備品!$1:$998,COLUMN(P$1),FALSE),"")</f>
        <v>-35</v>
      </c>
      <c r="T143">
        <f>IFERROR(VLOOKUP($C143,装備品!$1:$998,COLUMN(Q$1),FALSE),"")</f>
        <v>0</v>
      </c>
      <c r="U143">
        <f>IFERROR(VLOOKUP($C143,装備品!$1:$998,COLUMN(R$1),FALSE),"")</f>
        <v>0</v>
      </c>
      <c r="V143">
        <f>IFERROR(VLOOKUP($C143,装備品!$1:$998,COLUMN(Q$1),FALSE),"")</f>
        <v>0</v>
      </c>
      <c r="W143">
        <f>IFERROR(VLOOKUP($C143,装備品!$1:$998,COLUMN(T$1),FALSE),"")</f>
        <v>0.7</v>
      </c>
      <c r="Y143">
        <f>IFERROR(VLOOKUP($C143,装備品!$1:$998,COLUMN(U$1),FALSE),"")</f>
        <v>0</v>
      </c>
      <c r="Z143">
        <f>IFERROR(ROUNDUP(VLOOKUP($C143,装備品!$1:$998,COLUMN(O$1),FALSE)*VLOOKUP($D143,素材!$1:$1016,COLUMN(E$1),FALSE),1),"")</f>
        <v>0</v>
      </c>
      <c r="AA143">
        <f>IF(ISNUMBER(SEARCH(SUBSTITUTE(AA$1,RIGHT(AA$1,2),""),VLOOKUP($D143,素材!$1:$1016,COLUMN($F$1),FALSE))),VLOOKUP($C143,装備品!$1:$998,COLUMN($O$1),FALSE)*VLOOKUP($D143,素材!$1:$1016,COLUMN($E$1),FALSE)/(LEN(VLOOKUP($D143,素材!$1:$1016,COLUMN($F$1),FALSE))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B143">
        <f>IF(ISNUMBER(SEARCH(SUBSTITUTE(AB$1,RIGHT(AB$1,2),""),VLOOKUP($D143,素材!$1:$1016,COLUMN($F$1),FALSE))),VLOOKUP($C143,装備品!$1:$998,COLUMN($O$1),FALSE)*VLOOKUP($D143,素材!$1:$1016,COLUMN($E$1),FALSE)/(LEN(VLOOKUP($D143,素材!$1:$1016,COLUMN($F$1),FALSE))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C143">
        <f>IF(ISNUMBER(SEARCH(SUBSTITUTE(AC$1,RIGHT(AC$1,2),""),VLOOKUP($D143,素材!$1:$1016,COLUMN($F$1),FALSE))),VLOOKUP($C143,装備品!$1:$998,COLUMN($O$1),FALSE)*VLOOKUP($D143,素材!$1:$1016,COLUMN($E$1),FALSE)/(LEN(VLOOKUP($D143,素材!$1:$1016,COLUMN($F$1),FALSE))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D143">
        <f>IF(ISNUMBER(SEARCH(SUBSTITUTE(AD$1,RIGHT(AD$1,2),""),VLOOKUP($D143,素材!$1:$1016,COLUMN($F$1),FALSE))),VLOOKUP($C143,装備品!$1:$998,COLUMN($O$1),FALSE)*VLOOKUP($D143,素材!$1:$1016,COLUMN($E$1),FALSE)/(LEN(VLOOKUP($D143,素材!$1:$1016,COLUMN($F$1),FALSE))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E143">
        <f>IF(ISNUMBER(SEARCH(SUBSTITUTE(AE$1,RIGHT(AE$1,2),""),VLOOKUP($D143,素材!$1:$1016,COLUMN($F$1),FALSE))),VLOOKUP($C143,装備品!$1:$998,COLUMN($O$1),FALSE)*VLOOKUP($D143,素材!$1:$1016,COLUMN($E$1),FALSE)/(LEN(VLOOKUP($D143,素材!$1:$1016,COLUMN($F$1),FALSE))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F143">
        <f>IF(ISNUMBER(SEARCH(SUBSTITUTE(AF$1,RIGHT(AF$1,2),""),VLOOKUP($D143,素材!$1:$1016,COLUMN($F$1),FALSE))),VLOOKUP($C143,装備品!$1:$998,COLUMN($O$1),FALSE)*VLOOKUP($D143,素材!$1:$1016,COLUMN($E$1),FALSE)/(LEN(VLOOKUP($D143,素材!$1:$1016,COLUMN($F$1),FALSE))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G143">
        <f>IF(ISNUMBER(SEARCH(SUBSTITUTE(AG$1,RIGHT(AG$1,2),""),VLOOKUP($D143,素材!$1:$1016,COLUMN($F$1),FALSE))),VLOOKUP($C143,装備品!$1:$998,COLUMN($O$1),FALSE)*VLOOKUP($D143,素材!$1:$1016,COLUMN($E$1),FALSE)/(LEN(VLOOKUP($D143,素材!$1:$1016,COLUMN($F$1),FALSE))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H143">
        <f>IF(ISNUMBER(SEARCH(SUBSTITUTE(AH$1,RIGHT(AH$1,2),""),VLOOKUP($D143,素材!$1:$1016,COLUMN($F$1),FALSE))),VLOOKUP($C143,装備品!$1:$998,COLUMN($O$1),FALSE)*VLOOKUP($D143,素材!$1:$1016,COLUMN($E$1),FALSE)/(LEN(VLOOKUP($D143,素材!$1:$1016,COLUMN($F$1),FALSE))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I143">
        <f>IF(ISNUMBER(SEARCH(SUBSTITUTE(AI$1,RIGHT(AI$1,2),""),VLOOKUP($D143,素材!$1:$1016,COLUMN($F$1),FALSE))),VLOOKUP($C143,装備品!$1:$998,COLUMN($O$1),FALSE)*VLOOKUP($D143,素材!$1:$1016,COLUMN($E$1),FALSE)/(LEN(VLOOKUP($D143,素材!$1:$1016,COLUMN($F$1),FALSE))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J143">
        <f>IF(ISNUMBER(SEARCH(SUBSTITUTE(AJ$1,RIGHT(AJ$1,2),""),VLOOKUP($D143,素材!$1:$1016,COLUMN($F$1),FALSE))),VLOOKUP($C143,装備品!$1:$998,COLUMN($O$1),FALSE)*VLOOKUP($D143,素材!$1:$1016,COLUMN($E$1),FALSE)/(LEN(VLOOKUP($D143,素材!$1:$1016,COLUMN($F$1),FALSE))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K143">
        <f>IF(ISNUMBER(SEARCH(SUBSTITUTE(AK$1,RIGHT(AK$1,2),""),VLOOKUP($D143,素材!$1:$1016,COLUMN($F$1),FALSE))),VLOOKUP($C143,装備品!$1:$998,COLUMN($O$1),FALSE)*VLOOKUP($D143,素材!$1:$1016,COLUMN($E$1),FALSE)/(LEN(VLOOKUP($D143,素材!$1:$1016,COLUMN($F$1),FALSE))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L143">
        <f>IF(ISNUMBER(SEARCH(SUBSTITUTE(AL$1,RIGHT(AL$1,2),""),VLOOKUP($D143,素材!$1:$1016,COLUMN($F$1),FALSE))),VLOOKUP($C143,装備品!$1:$998,COLUMN($O$1),FALSE)*VLOOKUP($D143,素材!$1:$1016,COLUMN($E$1),FALSE)/(LEN(VLOOKUP($D143,素材!$1:$1016,COLUMN($F$1),FALSE))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M143">
        <f>IF(ISNUMBER(SEARCH(SUBSTITUTE(AM$1,RIGHT(AM$1,2),""),VLOOKUP($D143,素材!$1:$1016,COLUMN($F$1),FALSE))),VLOOKUP($C143,装備品!$1:$998,COLUMN($O$1),FALSE)*VLOOKUP($D143,素材!$1:$1016,COLUMN($E$1),FALSE)/(LEN(VLOOKUP($D143,素材!$1:$1016,COLUMN($F$1),FALSE))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N143">
        <f>IF(ISNUMBER(SEARCH(SUBSTITUTE(AN$1,RIGHT(AN$1,2),""),VLOOKUP($D143,素材!$1:$1016,COLUMN($F$1),FALSE))),VLOOKUP($C143,装備品!$1:$998,COLUMN($O$1),FALSE)*VLOOKUP($D143,素材!$1:$1016,COLUMN($E$1),FALSE)/(LEN(VLOOKUP($D143,素材!$1:$1016,COLUMN($F$1),FALSE))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O143">
        <f>IF(ISNUMBER(SEARCH(SUBSTITUTE(AO$1,RIGHT(AO$1,2),""),VLOOKUP($D143,素材!$1:$1016,COLUMN($F$1),FALSE))),VLOOKUP($C143,装備品!$1:$998,COLUMN($O$1),FALSE)*VLOOKUP($D143,素材!$1:$1016,COLUMN($E$1),FALSE)/(LEN(VLOOKUP($D143,素材!$1:$1016,COLUMN($F$1),FALSE))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P143">
        <f>IF(ISNUMBER(SEARCH(SUBSTITUTE(AP$1,RIGHT(AP$1,2),""),VLOOKUP($D143,素材!$1:$1016,COLUMN($F$1),FALSE))),VLOOKUP($C143,装備品!$1:$998,COLUMN($O$1),FALSE)*VLOOKUP($D143,素材!$1:$1016,COLUMN($E$1),FALSE)/(LEN(VLOOKUP($D143,素材!$1:$1016,COLUMN($F$1),FALSE))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Q143">
        <f>IF(ISNUMBER(SEARCH(SUBSTITUTE(AQ$1,RIGHT(AQ$1,2),""),VLOOKUP($D143,素材!$1:$1016,COLUMN($F$1),FALSE))),VLOOKUP($C143,装備品!$1:$998,COLUMN($O$1),FALSE)*VLOOKUP($D143,素材!$1:$1016,COLUMN($E$1),FALSE)/(LEN(VLOOKUP($D143,素材!$1:$1016,COLUMN($F$1),FALSE))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R143">
        <f>IF(ISNUMBER(SEARCH(SUBSTITUTE(AR$1,RIGHT(AR$1,2),""),VLOOKUP($D143,素材!$1:$1016,COLUMN($F$1),FALSE))),VLOOKUP($C143,装備品!$1:$998,COLUMN($O$1),FALSE)*VLOOKUP($D143,素材!$1:$1016,COLUMN($E$1),FALSE)/(LEN(VLOOKUP($D143,素材!$1:$1016,COLUMN($F$1),FALSE))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S143">
        <f>IF(ISNUMBER(SEARCH(SUBSTITUTE(AS$1,RIGHT(AS$1,2),""),VLOOKUP($D143,素材!$1:$1016,COLUMN($F$1),FALSE))),VLOOKUP($C143,装備品!$1:$998,COLUMN($O$1),FALSE)*VLOOKUP($D143,素材!$1:$1016,COLUMN($E$1),FALSE)/(LEN(VLOOKUP($D143,素材!$1:$1016,COLUMN($F$1),FALSE))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T143">
        <f>IF(ISNUMBER(SEARCH(SUBSTITUTE(AT$1,RIGHT(AT$1,2),""),VLOOKUP($D143,素材!$1:$1016,COLUMN($F$1),FALSE))),VLOOKUP($C143,装備品!$1:$998,COLUMN($O$1),FALSE)*VLOOKUP($D143,素材!$1:$1016,COLUMN($E$1),FALSE)/(LEN(VLOOKUP($D143,素材!$1:$1016,COLUMN($F$1),FALSE))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U143">
        <f>IF(ISNUMBER(SEARCH(SUBSTITUTE(AU$1,RIGHT(AU$1,2),""),VLOOKUP($D143,素材!$1:$1016,COLUMN($F$1),FALSE))),VLOOKUP($C143,装備品!$1:$998,COLUMN($O$1),FALSE)*VLOOKUP($D143,素材!$1:$1016,COLUMN($E$1),FALSE)/(LEN(VLOOKUP($D143,素材!$1:$1016,COLUMN($F$1),FALSE))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V143">
        <f>IF(ISNUMBER(SEARCH(SUBSTITUTE(AV$1,RIGHT(AV$1,2),""),VLOOKUP($D143,素材!$1:$1016,COLUMN($F$1),FALSE))),VLOOKUP($C143,装備品!$1:$998,COLUMN($O$1),FALSE)*VLOOKUP($D143,素材!$1:$1016,COLUMN($E$1),FALSE)/(LEN(VLOOKUP($D143,素材!$1:$1016,COLUMN($F$1),FALSE))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W143">
        <f>IF(ISNUMBER(SEARCH(SUBSTITUTE(AW$1,RIGHT(AW$1,2),""),VLOOKUP($D143,素材!$1:$1016,COLUMN($F$1),FALSE))),VLOOKUP($C143,装備品!$1:$998,COLUMN($O$1),FALSE)*VLOOKUP($D143,素材!$1:$1016,COLUMN($E$1),FALSE)/(LEN(VLOOKUP($D143,素材!$1:$1016,COLUMN($F$1),FALSE))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X143">
        <f>IF(ISNUMBER(SEARCH(SUBSTITUTE(AX$1,RIGHT(AX$1,2),""),VLOOKUP($D143,素材!$1:$1016,COLUMN($F$1),FALSE))),VLOOKUP($C143,装備品!$1:$998,COLUMN($O$1),FALSE)*VLOOKUP($D143,素材!$1:$1016,COLUMN($E$1),FALSE)/(LEN(VLOOKUP($D143,素材!$1:$1016,COLUMN($F$1),FALSE))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Y143">
        <f>IF(ISNUMBER(SEARCH(SUBSTITUTE(AY$1,RIGHT(AY$1,2),""),VLOOKUP($D143,素材!$1:$1016,COLUMN($F$1),FALSE))),VLOOKUP($C143,装備品!$1:$998,COLUMN($O$1),FALSE)*VLOOKUP($D143,素材!$1:$1016,COLUMN($E$1),FALSE)/(LEN(VLOOKUP($D143,素材!$1:$1016,COLUMN($F$1),FALSE))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Z143">
        <f>IF(ISNUMBER(SEARCH(SUBSTITUTE(AZ$1,RIGHT(AZ$1,2),""),VLOOKUP($D143,素材!$1:$1016,COLUMN($F$1),FALSE))),VLOOKUP($C143,装備品!$1:$998,COLUMN($O$1),FALSE)*VLOOKUP($D143,素材!$1:$1016,COLUMN($E$1),FALSE)/(LEN(VLOOKUP($D143,素材!$1:$1016,COLUMN($F$1),FALSE))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BA143">
        <f>IF(ISNUMBER(SEARCH(SUBSTITUTE(BA$1,RIGHT(BA$1,2),""),VLOOKUP($D143,素材!$1:$1016,COLUMN($F$1),FALSE))),VLOOKUP($C143,装備品!$1:$998,COLUMN($O$1),FALSE)*VLOOKUP($D143,素材!$1:$1016,COLUMN($E$1),FALSE)/(LEN(VLOOKUP($D143,素材!$1:$1016,COLUMN($F$1),FALSE))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BB143">
        <f>IF(ISNUMBER(SEARCH(SUBSTITUTE(BB$1,RIGHT(BB$1,2),""),VLOOKUP($D143,素材!$1:$1016,COLUMN($F$1),FALSE))),VLOOKUP($C143,装備品!$1:$998,COLUMN($O$1),FALSE)*VLOOKUP($D143,素材!$1:$1016,COLUMN($E$1),FALSE)/(LEN(VLOOKUP($D143,素材!$1:$1016,COLUMN($F$1),FALSE))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BC143">
        <f>IF(ISNUMBER(SEARCH(SUBSTITUTE(BC$1,RIGHT(BC$1,2),""),VLOOKUP($D143,素材!$1:$1016,COLUMN($F$1),FALSE))),VLOOKUP($C143,装備品!$1:$998,COLUMN($O$1),FALSE)*VLOOKUP($D143,素材!$1:$1016,COLUMN($E$1),FALSE)/(LEN(VLOOKUP($D143,素材!$1:$1016,COLUMN($F$1),FALSE))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BD143">
        <f>IF(ISNUMBER(SEARCH(SUBSTITUTE(BD$1,RIGHT(BD$1,2),""),VLOOKUP($D143,素材!$1:$1016,COLUMN($F$1),FALSE))),VLOOKUP($C143,装備品!$1:$998,COLUMN($O$1),FALSE)*VLOOKUP($D143,素材!$1:$1016,COLUMN($E$1),FALSE)/(LEN(VLOOKUP($D143,素材!$1:$1016,COLUMN($F$1),FALSE))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BE143">
        <f>IF(ISNUMBER(SEARCH(SUBSTITUTE(BE$1,RIGHT(BE$1,2),""),VLOOKUP($D143,素材!$1:$1016,COLUMN($F$1),FALSE))),VLOOKUP($C143,装備品!$1:$998,COLUMN($O$1),FALSE)*VLOOKUP($D143,素材!$1:$1016,COLUMN($E$1),FALSE)/(LEN(VLOOKUP($D143,素材!$1:$1016,COLUMN($F$1),FALSE))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CL143">
        <f t="shared" si="19"/>
        <v>0</v>
      </c>
      <c r="CM143" s="22" t="str">
        <f t="shared" si="20"/>
        <v>体.webp</v>
      </c>
      <c r="CN143">
        <f>IFERROR(VLOOKUP($C143,装備品!$1:$998,COLUMN(V$1),FALSE)*VLOOKUP($D143,素材!$1:$1016,COLUMN(N$1),FALSE)+IF(CI143="",0,VLOOKUP($CI143,付与!$1:$1176,COLUMN($CK$1),FALSE)),"")</f>
        <v>0</v>
      </c>
      <c r="CO143" t="str">
        <f>VLOOKUP(D143,素材!$A:$O,COLUMN(素材!O$1),FALSE)</f>
        <v>雷属性を持つドラゴン型生物から採取される鱗素材。雷属性攻撃への耐性を強化し、武器の電撃効果を高めることも可能です。</v>
      </c>
      <c r="CP143" t="str">
        <f>VLOOKUP(C143,装備品!$A:$AB,COLUMN(装備品!AB$1),FALSE)</f>
        <v>HP 物理 魔法 体幹 出血 疲労 Cr</v>
      </c>
      <c r="CR143" t="str">
        <f t="shared" si="24"/>
        <v>e_143</v>
      </c>
      <c r="CS143">
        <f t="shared" si="28"/>
        <v>0</v>
      </c>
    </row>
    <row r="144" spans="1:97" outlineLevel="1" x14ac:dyDescent="0.4">
      <c r="A144" t="str">
        <f t="shared" si="23"/>
        <v>雷蜥蜴の鱗の胴衣</v>
      </c>
      <c r="B144" t="str">
        <f>IFERROR(VLOOKUP($D144,素材!$1:$1016,COLUMN($B$1),FALSE)&amp;"・"&amp;VLOOKUP($C144,装備品!$1:$998,COLUMN(B$1),FALSE),"")</f>
        <v>サンダードレイクスケール・ベスト</v>
      </c>
      <c r="C144" t="s">
        <v>206</v>
      </c>
      <c r="D144" s="24" t="s">
        <v>248</v>
      </c>
      <c r="E144" t="str">
        <f>IFERROR(VLOOKUP(C144,装備品!$1:$998,COLUMN(C$1),FALSE),"")</f>
        <v>体</v>
      </c>
      <c r="F144">
        <f>IFERROR(ROUNDDOWN((VLOOKUP($C144,装備品!$1:$998,COLUMN(D$1),FALSE)+IFERROR(VLOOKUP($CI144,付与!$1:$1167,COLUMN(F$1),FALSE),0))*VLOOKUP($D144,素材!$1:$1016,COLUMN(D$1),FALSE),0),"")</f>
        <v>0</v>
      </c>
      <c r="G144">
        <f>IFERROR(ROUNDDOWN((VLOOKUP($C144,装備品!$1:$998,COLUMN(E$1),FALSE)+IFERROR(VLOOKUP($CI144,付与!$1:$1167,COLUMN(G$1),FALSE),0))*VLOOKUP($D144,素材!$1:$1016,COLUMN($E$1),FALSE),0),"")</f>
        <v>0</v>
      </c>
      <c r="H144">
        <f>IFERROR(ROUNDDOWN((VLOOKUP($C144,装備品!$1:$998,COLUMN(F$1),FALSE)+IFERROR(VLOOKUP($CI144,付与!$1:$1167,COLUMN(H$1),FALSE),0))*VLOOKUP($D144,素材!$1:$1016,COLUMN($E$1),FALSE),0),"")</f>
        <v>0</v>
      </c>
      <c r="I144">
        <f>IFERROR(ROUNDDOWN((VLOOKUP($C144,装備品!$1:$998,COLUMN(G$1),FALSE)+IFERROR(VLOOKUP($CI144,付与!$1:$1167,COLUMN(I$1),FALSE),0))*VLOOKUP($D144,素材!$1:$1016,COLUMN($E$1),FALSE),0),"")</f>
        <v>0</v>
      </c>
      <c r="J144">
        <f>IFERROR(ROUNDDOWN((VLOOKUP($C144,装備品!$1:$998,COLUMN(H$1),FALSE)+IFERROR(VLOOKUP($CI144,付与!$1:$1167,COLUMN(J$1),FALSE),0))*VLOOKUP($D144,素材!$1:$1016,COLUMN($E$1),FALSE),0),"")</f>
        <v>0</v>
      </c>
      <c r="K144">
        <f>IFERROR(ROUNDDOWN((VLOOKUP($C144,装備品!$1:$998,COLUMN(I$1),FALSE)+IFERROR(VLOOKUP($CI144,付与!$1:$1167,COLUMN(K$1),FALSE),0))*VLOOKUP($D144,素材!$1:$1016,COLUMN($E$1),FALSE),0),"")</f>
        <v>0</v>
      </c>
      <c r="L144" t="str">
        <f>IFERROR(VLOOKUP($D144,素材!$1:$1016,COLUMN($F$1),FALSE),"")</f>
        <v>雷</v>
      </c>
      <c r="M144">
        <f>IFERROR(VLOOKUP($C144,装備品!$1:$998,COLUMN(AA$1),FALSE)*VLOOKUP($D144,素材!$1:$1016,COLUMN($G$1),FALSE),"")</f>
        <v>62.5</v>
      </c>
      <c r="N144">
        <f>IFERROR(VLOOKUP($C144,装備品!$1:$998,COLUMN(I$1),FALSE),"")</f>
        <v>0</v>
      </c>
      <c r="O144" s="23" t="str">
        <f>IFERROR((VLOOKUP($C144,装備品!$1:$998,COLUMN(K$1),FALSE)+VLOOKUP($D144,素材!$1:$1016,COLUMN(H$1),FALSE))*100+IFERROR(VLOOKUP($CI144,付与!$1:$1167,COLUMN(O$1),FALSE),0),"")</f>
        <v/>
      </c>
      <c r="P144" s="23" t="str">
        <f>IFERROR((VLOOKUP($C144,装備品!$1:$998,COLUMN(L$1),FALSE)+VLOOKUP($D144,素材!$1:$1016,COLUMN(I$1),FALSE))*100+IFERROR(VLOOKUP($CI144,付与!$1:$1167,COLUMN(P$1),FALSE),0),"")</f>
        <v/>
      </c>
      <c r="Q144">
        <f>IFERROR(ROUNDUP(VLOOKUP($C144,装備品!$1:$998,COLUMN(M$1),FALSE)*(VLOOKUP($D144,素材!$1:$1002,COLUMN(D$1),FALSE)/100),1),"")</f>
        <v>-6</v>
      </c>
      <c r="R144">
        <f>IFERROR(ROUNDUP(VLOOKUP($C144,装備品!$1:$998,COLUMN(N$1),FALSE)*(VLOOKUP($D144,素材!$1:$1002,COLUMN(D$1),FALSE)/100),1),"")</f>
        <v>0</v>
      </c>
      <c r="S144">
        <f>IFERROR(VLOOKUP($C144,装備品!$1:$998,COLUMN(P$1),FALSE),"")</f>
        <v>-15</v>
      </c>
      <c r="T144">
        <f>IFERROR(VLOOKUP($C144,装備品!$1:$998,COLUMN(Q$1),FALSE),"")</f>
        <v>0</v>
      </c>
      <c r="U144">
        <f>IFERROR(VLOOKUP($C144,装備品!$1:$998,COLUMN(R$1),FALSE),"")</f>
        <v>0</v>
      </c>
      <c r="V144">
        <f>IFERROR(VLOOKUP($C144,装備品!$1:$998,COLUMN(Q$1),FALSE),"")</f>
        <v>0</v>
      </c>
      <c r="W144">
        <f>IFERROR(VLOOKUP($C144,装備品!$1:$998,COLUMN(T$1),FALSE),"")</f>
        <v>0.5</v>
      </c>
      <c r="Y144">
        <f>IFERROR(VLOOKUP($C144,装備品!$1:$998,COLUMN(U$1),FALSE),"")</f>
        <v>0</v>
      </c>
      <c r="Z144">
        <f>IFERROR(ROUNDUP(VLOOKUP($C144,装備品!$1:$998,COLUMN(O$1),FALSE)*VLOOKUP($D144,素材!$1:$1016,COLUMN(E$1),FALSE),1),"")</f>
        <v>0</v>
      </c>
      <c r="AA144">
        <f>IF(ISNUMBER(SEARCH(SUBSTITUTE(AA$1,RIGHT(AA$1,2),""),VLOOKUP($D144,素材!$1:$1016,COLUMN($F$1),FALSE))),VLOOKUP($C144,装備品!$1:$998,COLUMN($O$1),FALSE)*VLOOKUP($D144,素材!$1:$1016,COLUMN($E$1),FALSE)/(LEN(VLOOKUP($D144,素材!$1:$1016,COLUMN($F$1),FALSE))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B144">
        <f>IF(ISNUMBER(SEARCH(SUBSTITUTE(AB$1,RIGHT(AB$1,2),""),VLOOKUP($D144,素材!$1:$1016,COLUMN($F$1),FALSE))),VLOOKUP($C144,装備品!$1:$998,COLUMN($O$1),FALSE)*VLOOKUP($D144,素材!$1:$1016,COLUMN($E$1),FALSE)/(LEN(VLOOKUP($D144,素材!$1:$1016,COLUMN($F$1),FALSE))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C144">
        <f>IF(ISNUMBER(SEARCH(SUBSTITUTE(AC$1,RIGHT(AC$1,2),""),VLOOKUP($D144,素材!$1:$1016,COLUMN($F$1),FALSE))),VLOOKUP($C144,装備品!$1:$998,COLUMN($O$1),FALSE)*VLOOKUP($D144,素材!$1:$1016,COLUMN($E$1),FALSE)/(LEN(VLOOKUP($D144,素材!$1:$1016,COLUMN($F$1),FALSE))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D144">
        <f>IF(ISNUMBER(SEARCH(SUBSTITUTE(AD$1,RIGHT(AD$1,2),""),VLOOKUP($D144,素材!$1:$1016,COLUMN($F$1),FALSE))),VLOOKUP($C144,装備品!$1:$998,COLUMN($O$1),FALSE)*VLOOKUP($D144,素材!$1:$1016,COLUMN($E$1),FALSE)/(LEN(VLOOKUP($D144,素材!$1:$1016,COLUMN($F$1),FALSE))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E144">
        <f>IF(ISNUMBER(SEARCH(SUBSTITUTE(AE$1,RIGHT(AE$1,2),""),VLOOKUP($D144,素材!$1:$1016,COLUMN($F$1),FALSE))),VLOOKUP($C144,装備品!$1:$998,COLUMN($O$1),FALSE)*VLOOKUP($D144,素材!$1:$1016,COLUMN($E$1),FALSE)/(LEN(VLOOKUP($D144,素材!$1:$1016,COLUMN($F$1),FALSE))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F144">
        <f>IF(ISNUMBER(SEARCH(SUBSTITUTE(AF$1,RIGHT(AF$1,2),""),VLOOKUP($D144,素材!$1:$1016,COLUMN($F$1),FALSE))),VLOOKUP($C144,装備品!$1:$998,COLUMN($O$1),FALSE)*VLOOKUP($D144,素材!$1:$1016,COLUMN($E$1),FALSE)/(LEN(VLOOKUP($D144,素材!$1:$1016,COLUMN($F$1),FALSE))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G144">
        <f>IF(ISNUMBER(SEARCH(SUBSTITUTE(AG$1,RIGHT(AG$1,2),""),VLOOKUP($D144,素材!$1:$1016,COLUMN($F$1),FALSE))),VLOOKUP($C144,装備品!$1:$998,COLUMN($O$1),FALSE)*VLOOKUP($D144,素材!$1:$1016,COLUMN($E$1),FALSE)/(LEN(VLOOKUP($D144,素材!$1:$1016,COLUMN($F$1),FALSE))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H144">
        <f>IF(ISNUMBER(SEARCH(SUBSTITUTE(AH$1,RIGHT(AH$1,2),""),VLOOKUP($D144,素材!$1:$1016,COLUMN($F$1),FALSE))),VLOOKUP($C144,装備品!$1:$998,COLUMN($O$1),FALSE)*VLOOKUP($D144,素材!$1:$1016,COLUMN($E$1),FALSE)/(LEN(VLOOKUP($D144,素材!$1:$1016,COLUMN($F$1),FALSE))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I144">
        <f>IF(ISNUMBER(SEARCH(SUBSTITUTE(AI$1,RIGHT(AI$1,2),""),VLOOKUP($D144,素材!$1:$1016,COLUMN($F$1),FALSE))),VLOOKUP($C144,装備品!$1:$998,COLUMN($O$1),FALSE)*VLOOKUP($D144,素材!$1:$1016,COLUMN($E$1),FALSE)/(LEN(VLOOKUP($D144,素材!$1:$1016,COLUMN($F$1),FALSE))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J144">
        <f>IF(ISNUMBER(SEARCH(SUBSTITUTE(AJ$1,RIGHT(AJ$1,2),""),VLOOKUP($D144,素材!$1:$1016,COLUMN($F$1),FALSE))),VLOOKUP($C144,装備品!$1:$998,COLUMN($O$1),FALSE)*VLOOKUP($D144,素材!$1:$1016,COLUMN($E$1),FALSE)/(LEN(VLOOKUP($D144,素材!$1:$1016,COLUMN($F$1),FALSE))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K144">
        <f>IF(ISNUMBER(SEARCH(SUBSTITUTE(AK$1,RIGHT(AK$1,2),""),VLOOKUP($D144,素材!$1:$1016,COLUMN($F$1),FALSE))),VLOOKUP($C144,装備品!$1:$998,COLUMN($O$1),FALSE)*VLOOKUP($D144,素材!$1:$1016,COLUMN($E$1),FALSE)/(LEN(VLOOKUP($D144,素材!$1:$1016,COLUMN($F$1),FALSE))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L144">
        <f>IF(ISNUMBER(SEARCH(SUBSTITUTE(AL$1,RIGHT(AL$1,2),""),VLOOKUP($D144,素材!$1:$1016,COLUMN($F$1),FALSE))),VLOOKUP($C144,装備品!$1:$998,COLUMN($O$1),FALSE)*VLOOKUP($D144,素材!$1:$1016,COLUMN($E$1),FALSE)/(LEN(VLOOKUP($D144,素材!$1:$1016,COLUMN($F$1),FALSE))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M144">
        <f>IF(ISNUMBER(SEARCH(SUBSTITUTE(AM$1,RIGHT(AM$1,2),""),VLOOKUP($D144,素材!$1:$1016,COLUMN($F$1),FALSE))),VLOOKUP($C144,装備品!$1:$998,COLUMN($O$1),FALSE)*VLOOKUP($D144,素材!$1:$1016,COLUMN($E$1),FALSE)/(LEN(VLOOKUP($D144,素材!$1:$1016,COLUMN($F$1),FALSE))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N144">
        <f>IF(ISNUMBER(SEARCH(SUBSTITUTE(AN$1,RIGHT(AN$1,2),""),VLOOKUP($D144,素材!$1:$1016,COLUMN($F$1),FALSE))),VLOOKUP($C144,装備品!$1:$998,COLUMN($O$1),FALSE)*VLOOKUP($D144,素材!$1:$1016,COLUMN($E$1),FALSE)/(LEN(VLOOKUP($D144,素材!$1:$1016,COLUMN($F$1),FALSE))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O144">
        <f>IF(ISNUMBER(SEARCH(SUBSTITUTE(AO$1,RIGHT(AO$1,2),""),VLOOKUP($D144,素材!$1:$1016,COLUMN($F$1),FALSE))),VLOOKUP($C144,装備品!$1:$998,COLUMN($O$1),FALSE)*VLOOKUP($D144,素材!$1:$1016,COLUMN($E$1),FALSE)/(LEN(VLOOKUP($D144,素材!$1:$1016,COLUMN($F$1),FALSE))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P144">
        <f>IF(ISNUMBER(SEARCH(SUBSTITUTE(AP$1,RIGHT(AP$1,2),""),VLOOKUP($D144,素材!$1:$1016,COLUMN($F$1),FALSE))),VLOOKUP($C144,装備品!$1:$998,COLUMN($O$1),FALSE)*VLOOKUP($D144,素材!$1:$1016,COLUMN($E$1),FALSE)/(LEN(VLOOKUP($D144,素材!$1:$1016,COLUMN($F$1),FALSE))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Q144">
        <f>IF(ISNUMBER(SEARCH(SUBSTITUTE(AQ$1,RIGHT(AQ$1,2),""),VLOOKUP($D144,素材!$1:$1016,COLUMN($F$1),FALSE))),VLOOKUP($C144,装備品!$1:$998,COLUMN($O$1),FALSE)*VLOOKUP($D144,素材!$1:$1016,COLUMN($E$1),FALSE)/(LEN(VLOOKUP($D144,素材!$1:$1016,COLUMN($F$1),FALSE))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R144">
        <f>IF(ISNUMBER(SEARCH(SUBSTITUTE(AR$1,RIGHT(AR$1,2),""),VLOOKUP($D144,素材!$1:$1016,COLUMN($F$1),FALSE))),VLOOKUP($C144,装備品!$1:$998,COLUMN($O$1),FALSE)*VLOOKUP($D144,素材!$1:$1016,COLUMN($E$1),FALSE)/(LEN(VLOOKUP($D144,素材!$1:$1016,COLUMN($F$1),FALSE))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S144">
        <f>IF(ISNUMBER(SEARCH(SUBSTITUTE(AS$1,RIGHT(AS$1,2),""),VLOOKUP($D144,素材!$1:$1016,COLUMN($F$1),FALSE))),VLOOKUP($C144,装備品!$1:$998,COLUMN($O$1),FALSE)*VLOOKUP($D144,素材!$1:$1016,COLUMN($E$1),FALSE)/(LEN(VLOOKUP($D144,素材!$1:$1016,COLUMN($F$1),FALSE))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T144">
        <f>IF(ISNUMBER(SEARCH(SUBSTITUTE(AT$1,RIGHT(AT$1,2),""),VLOOKUP($D144,素材!$1:$1016,COLUMN($F$1),FALSE))),VLOOKUP($C144,装備品!$1:$998,COLUMN($O$1),FALSE)*VLOOKUP($D144,素材!$1:$1016,COLUMN($E$1),FALSE)/(LEN(VLOOKUP($D144,素材!$1:$1016,COLUMN($F$1),FALSE))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U144">
        <f>IF(ISNUMBER(SEARCH(SUBSTITUTE(AU$1,RIGHT(AU$1,2),""),VLOOKUP($D144,素材!$1:$1016,COLUMN($F$1),FALSE))),VLOOKUP($C144,装備品!$1:$998,COLUMN($O$1),FALSE)*VLOOKUP($D144,素材!$1:$1016,COLUMN($E$1),FALSE)/(LEN(VLOOKUP($D144,素材!$1:$1016,COLUMN($F$1),FALSE))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V144">
        <f>IF(ISNUMBER(SEARCH(SUBSTITUTE(AV$1,RIGHT(AV$1,2),""),VLOOKUP($D144,素材!$1:$1016,COLUMN($F$1),FALSE))),VLOOKUP($C144,装備品!$1:$998,COLUMN($O$1),FALSE)*VLOOKUP($D144,素材!$1:$1016,COLUMN($E$1),FALSE)/(LEN(VLOOKUP($D144,素材!$1:$1016,COLUMN($F$1),FALSE))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W144">
        <f>IF(ISNUMBER(SEARCH(SUBSTITUTE(AW$1,RIGHT(AW$1,2),""),VLOOKUP($D144,素材!$1:$1016,COLUMN($F$1),FALSE))),VLOOKUP($C144,装備品!$1:$998,COLUMN($O$1),FALSE)*VLOOKUP($D144,素材!$1:$1016,COLUMN($E$1),FALSE)/(LEN(VLOOKUP($D144,素材!$1:$1016,COLUMN($F$1),FALSE))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X144">
        <f>IF(ISNUMBER(SEARCH(SUBSTITUTE(AX$1,RIGHT(AX$1,2),""),VLOOKUP($D144,素材!$1:$1016,COLUMN($F$1),FALSE))),VLOOKUP($C144,装備品!$1:$998,COLUMN($O$1),FALSE)*VLOOKUP($D144,素材!$1:$1016,COLUMN($E$1),FALSE)/(LEN(VLOOKUP($D144,素材!$1:$1016,COLUMN($F$1),FALSE))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Y144">
        <f>IF(ISNUMBER(SEARCH(SUBSTITUTE(AY$1,RIGHT(AY$1,2),""),VLOOKUP($D144,素材!$1:$1016,COLUMN($F$1),FALSE))),VLOOKUP($C144,装備品!$1:$998,COLUMN($O$1),FALSE)*VLOOKUP($D144,素材!$1:$1016,COLUMN($E$1),FALSE)/(LEN(VLOOKUP($D144,素材!$1:$1016,COLUMN($F$1),FALSE))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Z144">
        <f>IF(ISNUMBER(SEARCH(SUBSTITUTE(AZ$1,RIGHT(AZ$1,2),""),VLOOKUP($D144,素材!$1:$1016,COLUMN($F$1),FALSE))),VLOOKUP($C144,装備品!$1:$998,COLUMN($O$1),FALSE)*VLOOKUP($D144,素材!$1:$1016,COLUMN($E$1),FALSE)/(LEN(VLOOKUP($D144,素材!$1:$1016,COLUMN($F$1),FALSE))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BA144">
        <f>IF(ISNUMBER(SEARCH(SUBSTITUTE(BA$1,RIGHT(BA$1,2),""),VLOOKUP($D144,素材!$1:$1016,COLUMN($F$1),FALSE))),VLOOKUP($C144,装備品!$1:$998,COLUMN($O$1),FALSE)*VLOOKUP($D144,素材!$1:$1016,COLUMN($E$1),FALSE)/(LEN(VLOOKUP($D144,素材!$1:$1016,COLUMN($F$1),FALSE))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BB144">
        <f>IF(ISNUMBER(SEARCH(SUBSTITUTE(BB$1,RIGHT(BB$1,2),""),VLOOKUP($D144,素材!$1:$1016,COLUMN($F$1),FALSE))),VLOOKUP($C144,装備品!$1:$998,COLUMN($O$1),FALSE)*VLOOKUP($D144,素材!$1:$1016,COLUMN($E$1),FALSE)/(LEN(VLOOKUP($D144,素材!$1:$1016,COLUMN($F$1),FALSE))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BC144">
        <f>IF(ISNUMBER(SEARCH(SUBSTITUTE(BC$1,RIGHT(BC$1,2),""),VLOOKUP($D144,素材!$1:$1016,COLUMN($F$1),FALSE))),VLOOKUP($C144,装備品!$1:$998,COLUMN($O$1),FALSE)*VLOOKUP($D144,素材!$1:$1016,COLUMN($E$1),FALSE)/(LEN(VLOOKUP($D144,素材!$1:$1016,COLUMN($F$1),FALSE))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BD144">
        <f>IF(ISNUMBER(SEARCH(SUBSTITUTE(BD$1,RIGHT(BD$1,2),""),VLOOKUP($D144,素材!$1:$1016,COLUMN($F$1),FALSE))),VLOOKUP($C144,装備品!$1:$998,COLUMN($O$1),FALSE)*VLOOKUP($D144,素材!$1:$1016,COLUMN($E$1),FALSE)/(LEN(VLOOKUP($D144,素材!$1:$1016,COLUMN($F$1),FALSE))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BE144">
        <f>IF(ISNUMBER(SEARCH(SUBSTITUTE(BE$1,RIGHT(BE$1,2),""),VLOOKUP($D144,素材!$1:$1016,COLUMN($F$1),FALSE))),VLOOKUP($C144,装備品!$1:$998,COLUMN($O$1),FALSE)*VLOOKUP($D144,素材!$1:$1016,COLUMN($E$1),FALSE)/(LEN(VLOOKUP($D144,素材!$1:$1016,COLUMN($F$1),FALSE))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CL144">
        <f t="shared" si="19"/>
        <v>0</v>
      </c>
      <c r="CM144" s="22" t="str">
        <f t="shared" si="20"/>
        <v>体.webp</v>
      </c>
      <c r="CN144">
        <f>IFERROR(VLOOKUP($C144,装備品!$1:$998,COLUMN(V$1),FALSE)*VLOOKUP($D144,素材!$1:$1016,COLUMN(N$1),FALSE)+IF(CI144="",0,VLOOKUP($CI144,付与!$1:$1176,COLUMN($CK$1),FALSE)),"")</f>
        <v>0</v>
      </c>
      <c r="CO144" t="str">
        <f>VLOOKUP(D144,素材!$A:$O,COLUMN(素材!O$1),FALSE)</f>
        <v>雷属性を持つドラゴン型生物から採取される鱗素材。雷属性攻撃への耐性を強化し、武器の電撃効果を高めることも可能です。</v>
      </c>
      <c r="CP144" t="str">
        <f>VLOOKUP(C144,装備品!$A:$AB,COLUMN(装備品!AB$1),FALSE)</f>
        <v>HP 物理 魔法 体幹 出血 疲労 Cr</v>
      </c>
      <c r="CR144" t="str">
        <f t="shared" si="24"/>
        <v>e_144</v>
      </c>
      <c r="CS144">
        <f t="shared" si="28"/>
        <v>0</v>
      </c>
    </row>
    <row r="145" spans="1:97" outlineLevel="1" x14ac:dyDescent="0.4">
      <c r="A145" t="str">
        <f t="shared" ref="A145" si="29">D145&amp;"の"&amp;C145</f>
        <v>氷蜥蜴の鱗の帽子</v>
      </c>
      <c r="B145" t="str">
        <f>IFERROR(VLOOKUP($D145,素材!$1:$1016,COLUMN($B$1),FALSE)&amp;"・"&amp;VLOOKUP($C145,装備品!$1:$998,COLUMN(B$1),FALSE),"")</f>
        <v>アイスドレイクスケール・ハット</v>
      </c>
      <c r="C145" t="s">
        <v>1182</v>
      </c>
      <c r="D145" s="24" t="s">
        <v>247</v>
      </c>
      <c r="E145" t="str">
        <f>IFERROR(VLOOKUP(C145,装備品!$1:$998,COLUMN(C$1),FALSE),"")</f>
        <v>頭</v>
      </c>
      <c r="F145">
        <f>IFERROR(ROUNDDOWN((VLOOKUP($C145,装備品!$1:$998,COLUMN(D$1),FALSE)+IFERROR(VLOOKUP($CI145,付与!$1:$1167,COLUMN(F$1),FALSE),0))*VLOOKUP($D145,素材!$1:$1016,COLUMN(D$1),FALSE),0),"")</f>
        <v>0</v>
      </c>
      <c r="G145">
        <f>IFERROR(ROUNDDOWN((VLOOKUP($C145,装備品!$1:$998,COLUMN(E$1),FALSE)+IFERROR(VLOOKUP($CI145,付与!$1:$1167,COLUMN(G$1),FALSE),0))*VLOOKUP($D145,素材!$1:$1016,COLUMN($E$1),FALSE),0),"")</f>
        <v>0</v>
      </c>
      <c r="H145">
        <f>IFERROR(ROUNDDOWN((VLOOKUP($C145,装備品!$1:$998,COLUMN(F$1),FALSE)+IFERROR(VLOOKUP($CI145,付与!$1:$1167,COLUMN(H$1),FALSE),0))*VLOOKUP($D145,素材!$1:$1016,COLUMN($E$1),FALSE),0),"")</f>
        <v>0</v>
      </c>
      <c r="I145">
        <f>IFERROR(ROUNDDOWN((VLOOKUP($C145,装備品!$1:$998,COLUMN(G$1),FALSE)+IFERROR(VLOOKUP($CI145,付与!$1:$1167,COLUMN(I$1),FALSE),0))*VLOOKUP($D145,素材!$1:$1016,COLUMN($E$1),FALSE),0),"")</f>
        <v>0</v>
      </c>
      <c r="J145">
        <f>IFERROR(ROUNDDOWN((VLOOKUP($C145,装備品!$1:$998,COLUMN(H$1),FALSE)+IFERROR(VLOOKUP($CI145,付与!$1:$1167,COLUMN(J$1),FALSE),0))*VLOOKUP($D145,素材!$1:$1016,COLUMN($E$1),FALSE),0),"")</f>
        <v>0</v>
      </c>
      <c r="K145">
        <f>IFERROR(ROUNDDOWN((VLOOKUP($C145,装備品!$1:$998,COLUMN(I$1),FALSE)+IFERROR(VLOOKUP($CI145,付与!$1:$1167,COLUMN(K$1),FALSE),0))*VLOOKUP($D145,素材!$1:$1016,COLUMN($E$1),FALSE),0),"")</f>
        <v>0</v>
      </c>
      <c r="L145" t="str">
        <f>IFERROR(VLOOKUP($D145,素材!$1:$1016,COLUMN($F$1),FALSE),"")</f>
        <v>氷</v>
      </c>
      <c r="M145">
        <f>IFERROR(VLOOKUP($C145,装備品!$1:$998,COLUMN(AA$1),FALSE)*VLOOKUP($D145,素材!$1:$1016,COLUMN($G$1),FALSE),"")</f>
        <v>25</v>
      </c>
      <c r="N145">
        <f>IFERROR(VLOOKUP($C145,装備品!$1:$998,COLUMN(I$1),FALSE),"")</f>
        <v>0</v>
      </c>
      <c r="O145" s="23" t="str">
        <f>IFERROR((VLOOKUP($C145,装備品!$1:$998,COLUMN(K$1),FALSE)+VLOOKUP($D145,素材!$1:$1016,COLUMN(H$1),FALSE))*100+IFERROR(VLOOKUP($CI145,付与!$1:$1167,COLUMN(O$1),FALSE),0),"")</f>
        <v/>
      </c>
      <c r="P145" s="23" t="str">
        <f>IFERROR((VLOOKUP($C145,装備品!$1:$998,COLUMN(L$1),FALSE)+VLOOKUP($D145,素材!$1:$1016,COLUMN(I$1),FALSE))*100+IFERROR(VLOOKUP($CI145,付与!$1:$1167,COLUMN(P$1),FALSE),0),"")</f>
        <v/>
      </c>
      <c r="Q145">
        <f>IFERROR(ROUNDUP(VLOOKUP($C145,装備品!$1:$998,COLUMN(M$1),FALSE)*(VLOOKUP($D145,素材!$1:$1002,COLUMN(D$1),FALSE)/100),1),"")</f>
        <v>0</v>
      </c>
      <c r="R145">
        <f>IFERROR(ROUNDUP(VLOOKUP($C145,装備品!$1:$998,COLUMN(N$1),FALSE)*(VLOOKUP($D145,素材!$1:$1002,COLUMN(D$1),FALSE)/100),1),"")</f>
        <v>0</v>
      </c>
      <c r="S145">
        <f>IFERROR(VLOOKUP($C145,装備品!$1:$998,COLUMN(P$1),FALSE),"")</f>
        <v>0</v>
      </c>
      <c r="T145">
        <f>IFERROR(VLOOKUP($C145,装備品!$1:$998,COLUMN(Q$1),FALSE),"")</f>
        <v>0</v>
      </c>
      <c r="U145">
        <f>IFERROR(VLOOKUP($C145,装備品!$1:$998,COLUMN(R$1),FALSE),"")</f>
        <v>0</v>
      </c>
      <c r="V145">
        <f>IFERROR(VLOOKUP($C145,装備品!$1:$998,COLUMN(Q$1),FALSE),"")</f>
        <v>0</v>
      </c>
      <c r="W145">
        <f>IFERROR(VLOOKUP($C145,装備品!$1:$998,COLUMN(T$1),FALSE),"")</f>
        <v>0.1</v>
      </c>
      <c r="Y145">
        <f>IFERROR(VLOOKUP($C145,装備品!$1:$998,COLUMN(U$1),FALSE),"")</f>
        <v>0</v>
      </c>
      <c r="Z145">
        <f>IFERROR(ROUNDUP(VLOOKUP($C145,装備品!$1:$998,COLUMN(O$1),FALSE)*VLOOKUP($D145,素材!$1:$1016,COLUMN(E$1),FALSE),1),"")</f>
        <v>0</v>
      </c>
      <c r="AA145">
        <f>IF(ISNUMBER(SEARCH(SUBSTITUTE(AA$1,RIGHT(AA$1,2),""),VLOOKUP($D145,素材!$1:$1016,COLUMN($F$1),FALSE))),VLOOKUP($C145,装備品!$1:$998,COLUMN($O$1),FALSE)*VLOOKUP($D145,素材!$1:$1016,COLUMN($E$1),FALSE)/(LEN(VLOOKUP($D145,素材!$1:$1016,COLUMN($F$1),FALSE))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B145">
        <f>IF(ISNUMBER(SEARCH(SUBSTITUTE(AB$1,RIGHT(AB$1,2),""),VLOOKUP($D145,素材!$1:$1016,COLUMN($F$1),FALSE))),VLOOKUP($C145,装備品!$1:$998,COLUMN($O$1),FALSE)*VLOOKUP($D145,素材!$1:$1016,COLUMN($E$1),FALSE)/(LEN(VLOOKUP($D145,素材!$1:$1016,COLUMN($F$1),FALSE))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C145">
        <f>IF(ISNUMBER(SEARCH(SUBSTITUTE(AC$1,RIGHT(AC$1,2),""),VLOOKUP($D145,素材!$1:$1016,COLUMN($F$1),FALSE))),VLOOKUP($C145,装備品!$1:$998,COLUMN($O$1),FALSE)*VLOOKUP($D145,素材!$1:$1016,COLUMN($E$1),FALSE)/(LEN(VLOOKUP($D145,素材!$1:$1016,COLUMN($F$1),FALSE))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D145">
        <f>IF(ISNUMBER(SEARCH(SUBSTITUTE(AD$1,RIGHT(AD$1,2),""),VLOOKUP($D145,素材!$1:$1016,COLUMN($F$1),FALSE))),VLOOKUP($C145,装備品!$1:$998,COLUMN($O$1),FALSE)*VLOOKUP($D145,素材!$1:$1016,COLUMN($E$1),FALSE)/(LEN(VLOOKUP($D145,素材!$1:$1016,COLUMN($F$1),FALSE))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E145">
        <f>IF(ISNUMBER(SEARCH(SUBSTITUTE(AE$1,RIGHT(AE$1,2),""),VLOOKUP($D145,素材!$1:$1016,COLUMN($F$1),FALSE))),VLOOKUP($C145,装備品!$1:$998,COLUMN($O$1),FALSE)*VLOOKUP($D145,素材!$1:$1016,COLUMN($E$1),FALSE)/(LEN(VLOOKUP($D145,素材!$1:$1016,COLUMN($F$1),FALSE))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F145">
        <f>IF(ISNUMBER(SEARCH(SUBSTITUTE(AF$1,RIGHT(AF$1,2),""),VLOOKUP($D145,素材!$1:$1016,COLUMN($F$1),FALSE))),VLOOKUP($C145,装備品!$1:$998,COLUMN($O$1),FALSE)*VLOOKUP($D145,素材!$1:$1016,COLUMN($E$1),FALSE)/(LEN(VLOOKUP($D145,素材!$1:$1016,COLUMN($F$1),FALSE))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G145">
        <f>IF(ISNUMBER(SEARCH(SUBSTITUTE(AG$1,RIGHT(AG$1,2),""),VLOOKUP($D145,素材!$1:$1016,COLUMN($F$1),FALSE))),VLOOKUP($C145,装備品!$1:$998,COLUMN($O$1),FALSE)*VLOOKUP($D145,素材!$1:$1016,COLUMN($E$1),FALSE)/(LEN(VLOOKUP($D145,素材!$1:$1016,COLUMN($F$1),FALSE))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H145">
        <f>IF(ISNUMBER(SEARCH(SUBSTITUTE(AH$1,RIGHT(AH$1,2),""),VLOOKUP($D145,素材!$1:$1016,COLUMN($F$1),FALSE))),VLOOKUP($C145,装備品!$1:$998,COLUMN($O$1),FALSE)*VLOOKUP($D145,素材!$1:$1016,COLUMN($E$1),FALSE)/(LEN(VLOOKUP($D145,素材!$1:$1016,COLUMN($F$1),FALSE))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I145">
        <f>IF(ISNUMBER(SEARCH(SUBSTITUTE(AI$1,RIGHT(AI$1,2),""),VLOOKUP($D145,素材!$1:$1016,COLUMN($F$1),FALSE))),VLOOKUP($C145,装備品!$1:$998,COLUMN($O$1),FALSE)*VLOOKUP($D145,素材!$1:$1016,COLUMN($E$1),FALSE)/(LEN(VLOOKUP($D145,素材!$1:$1016,COLUMN($F$1),FALSE))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J145">
        <f>IF(ISNUMBER(SEARCH(SUBSTITUTE(AJ$1,RIGHT(AJ$1,2),""),VLOOKUP($D145,素材!$1:$1016,COLUMN($F$1),FALSE))),VLOOKUP($C145,装備品!$1:$998,COLUMN($O$1),FALSE)*VLOOKUP($D145,素材!$1:$1016,COLUMN($E$1),FALSE)/(LEN(VLOOKUP($D145,素材!$1:$1016,COLUMN($F$1),FALSE))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K145">
        <f>IF(ISNUMBER(SEARCH(SUBSTITUTE(AK$1,RIGHT(AK$1,2),""),VLOOKUP($D145,素材!$1:$1016,COLUMN($F$1),FALSE))),VLOOKUP($C145,装備品!$1:$998,COLUMN($O$1),FALSE)*VLOOKUP($D145,素材!$1:$1016,COLUMN($E$1),FALSE)/(LEN(VLOOKUP($D145,素材!$1:$1016,COLUMN($F$1),FALSE))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L145">
        <f>IF(ISNUMBER(SEARCH(SUBSTITUTE(AL$1,RIGHT(AL$1,2),""),VLOOKUP($D145,素材!$1:$1016,COLUMN($F$1),FALSE))),VLOOKUP($C145,装備品!$1:$998,COLUMN($O$1),FALSE)*VLOOKUP($D145,素材!$1:$1016,COLUMN($E$1),FALSE)/(LEN(VLOOKUP($D145,素材!$1:$1016,COLUMN($F$1),FALSE))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M145">
        <f>IF(ISNUMBER(SEARCH(SUBSTITUTE(AM$1,RIGHT(AM$1,2),""),VLOOKUP($D145,素材!$1:$1016,COLUMN($F$1),FALSE))),VLOOKUP($C145,装備品!$1:$998,COLUMN($O$1),FALSE)*VLOOKUP($D145,素材!$1:$1016,COLUMN($E$1),FALSE)/(LEN(VLOOKUP($D145,素材!$1:$1016,COLUMN($F$1),FALSE))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N145">
        <f>IF(ISNUMBER(SEARCH(SUBSTITUTE(AN$1,RIGHT(AN$1,2),""),VLOOKUP($D145,素材!$1:$1016,COLUMN($F$1),FALSE))),VLOOKUP($C145,装備品!$1:$998,COLUMN($O$1),FALSE)*VLOOKUP($D145,素材!$1:$1016,COLUMN($E$1),FALSE)/(LEN(VLOOKUP($D145,素材!$1:$1016,COLUMN($F$1),FALSE))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O145">
        <f>IF(ISNUMBER(SEARCH(SUBSTITUTE(AO$1,RIGHT(AO$1,2),""),VLOOKUP($D145,素材!$1:$1016,COLUMN($F$1),FALSE))),VLOOKUP($C145,装備品!$1:$998,COLUMN($O$1),FALSE)*VLOOKUP($D145,素材!$1:$1016,COLUMN($E$1),FALSE)/(LEN(VLOOKUP($D145,素材!$1:$1016,COLUMN($F$1),FALSE))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P145">
        <f>IF(ISNUMBER(SEARCH(SUBSTITUTE(AP$1,RIGHT(AP$1,2),""),VLOOKUP($D145,素材!$1:$1016,COLUMN($F$1),FALSE))),VLOOKUP($C145,装備品!$1:$998,COLUMN($O$1),FALSE)*VLOOKUP($D145,素材!$1:$1016,COLUMN($E$1),FALSE)/(LEN(VLOOKUP($D145,素材!$1:$1016,COLUMN($F$1),FALSE))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Q145">
        <f>IF(ISNUMBER(SEARCH(SUBSTITUTE(AQ$1,RIGHT(AQ$1,2),""),VLOOKUP($D145,素材!$1:$1016,COLUMN($F$1),FALSE))),VLOOKUP($C145,装備品!$1:$998,COLUMN($O$1),FALSE)*VLOOKUP($D145,素材!$1:$1016,COLUMN($E$1),FALSE)/(LEN(VLOOKUP($D145,素材!$1:$1016,COLUMN($F$1),FALSE))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R145">
        <f>IF(ISNUMBER(SEARCH(SUBSTITUTE(AR$1,RIGHT(AR$1,2),""),VLOOKUP($D145,素材!$1:$1016,COLUMN($F$1),FALSE))),VLOOKUP($C145,装備品!$1:$998,COLUMN($O$1),FALSE)*VLOOKUP($D145,素材!$1:$1016,COLUMN($E$1),FALSE)/(LEN(VLOOKUP($D145,素材!$1:$1016,COLUMN($F$1),FALSE))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S145">
        <f>IF(ISNUMBER(SEARCH(SUBSTITUTE(AS$1,RIGHT(AS$1,2),""),VLOOKUP($D145,素材!$1:$1016,COLUMN($F$1),FALSE))),VLOOKUP($C145,装備品!$1:$998,COLUMN($O$1),FALSE)*VLOOKUP($D145,素材!$1:$1016,COLUMN($E$1),FALSE)/(LEN(VLOOKUP($D145,素材!$1:$1016,COLUMN($F$1),FALSE))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T145">
        <f>IF(ISNUMBER(SEARCH(SUBSTITUTE(AT$1,RIGHT(AT$1,2),""),VLOOKUP($D145,素材!$1:$1016,COLUMN($F$1),FALSE))),VLOOKUP($C145,装備品!$1:$998,COLUMN($O$1),FALSE)*VLOOKUP($D145,素材!$1:$1016,COLUMN($E$1),FALSE)/(LEN(VLOOKUP($D145,素材!$1:$1016,COLUMN($F$1),FALSE))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U145">
        <f>IF(ISNUMBER(SEARCH(SUBSTITUTE(AU$1,RIGHT(AU$1,2),""),VLOOKUP($D145,素材!$1:$1016,COLUMN($F$1),FALSE))),VLOOKUP($C145,装備品!$1:$998,COLUMN($O$1),FALSE)*VLOOKUP($D145,素材!$1:$1016,COLUMN($E$1),FALSE)/(LEN(VLOOKUP($D145,素材!$1:$1016,COLUMN($F$1),FALSE))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V145">
        <f>IF(ISNUMBER(SEARCH(SUBSTITUTE(AV$1,RIGHT(AV$1,2),""),VLOOKUP($D145,素材!$1:$1016,COLUMN($F$1),FALSE))),VLOOKUP($C145,装備品!$1:$998,COLUMN($O$1),FALSE)*VLOOKUP($D145,素材!$1:$1016,COLUMN($E$1),FALSE)/(LEN(VLOOKUP($D145,素材!$1:$1016,COLUMN($F$1),FALSE))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W145">
        <f>IF(ISNUMBER(SEARCH(SUBSTITUTE(AW$1,RIGHT(AW$1,2),""),VLOOKUP($D145,素材!$1:$1016,COLUMN($F$1),FALSE))),VLOOKUP($C145,装備品!$1:$998,COLUMN($O$1),FALSE)*VLOOKUP($D145,素材!$1:$1016,COLUMN($E$1),FALSE)/(LEN(VLOOKUP($D145,素材!$1:$1016,COLUMN($F$1),FALSE))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X145">
        <f>IF(ISNUMBER(SEARCH(SUBSTITUTE(AX$1,RIGHT(AX$1,2),""),VLOOKUP($D145,素材!$1:$1016,COLUMN($F$1),FALSE))),VLOOKUP($C145,装備品!$1:$998,COLUMN($O$1),FALSE)*VLOOKUP($D145,素材!$1:$1016,COLUMN($E$1),FALSE)/(LEN(VLOOKUP($D145,素材!$1:$1016,COLUMN($F$1),FALSE))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Y145">
        <f>IF(ISNUMBER(SEARCH(SUBSTITUTE(AY$1,RIGHT(AY$1,2),""),VLOOKUP($D145,素材!$1:$1016,COLUMN($F$1),FALSE))),VLOOKUP($C145,装備品!$1:$998,COLUMN($O$1),FALSE)*VLOOKUP($D145,素材!$1:$1016,COLUMN($E$1),FALSE)/(LEN(VLOOKUP($D145,素材!$1:$1016,COLUMN($F$1),FALSE))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Z145">
        <f>IF(ISNUMBER(SEARCH(SUBSTITUTE(AZ$1,RIGHT(AZ$1,2),""),VLOOKUP($D145,素材!$1:$1016,COLUMN($F$1),FALSE))),VLOOKUP($C145,装備品!$1:$998,COLUMN($O$1),FALSE)*VLOOKUP($D145,素材!$1:$1016,COLUMN($E$1),FALSE)/(LEN(VLOOKUP($D145,素材!$1:$1016,COLUMN($F$1),FALSE))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BA145">
        <f>IF(ISNUMBER(SEARCH(SUBSTITUTE(BA$1,RIGHT(BA$1,2),""),VLOOKUP($D145,素材!$1:$1016,COLUMN($F$1),FALSE))),VLOOKUP($C145,装備品!$1:$998,COLUMN($O$1),FALSE)*VLOOKUP($D145,素材!$1:$1016,COLUMN($E$1),FALSE)/(LEN(VLOOKUP($D145,素材!$1:$1016,COLUMN($F$1),FALSE))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BB145">
        <f>IF(ISNUMBER(SEARCH(SUBSTITUTE(BB$1,RIGHT(BB$1,2),""),VLOOKUP($D145,素材!$1:$1016,COLUMN($F$1),FALSE))),VLOOKUP($C145,装備品!$1:$998,COLUMN($O$1),FALSE)*VLOOKUP($D145,素材!$1:$1016,COLUMN($E$1),FALSE)/(LEN(VLOOKUP($D145,素材!$1:$1016,COLUMN($F$1),FALSE))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BC145">
        <f>IF(ISNUMBER(SEARCH(SUBSTITUTE(BC$1,RIGHT(BC$1,2),""),VLOOKUP($D145,素材!$1:$1016,COLUMN($F$1),FALSE))),VLOOKUP($C145,装備品!$1:$998,COLUMN($O$1),FALSE)*VLOOKUP($D145,素材!$1:$1016,COLUMN($E$1),FALSE)/(LEN(VLOOKUP($D145,素材!$1:$1016,COLUMN($F$1),FALSE))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BD145">
        <f>IF(ISNUMBER(SEARCH(SUBSTITUTE(BD$1,RIGHT(BD$1,2),""),VLOOKUP($D145,素材!$1:$1016,COLUMN($F$1),FALSE))),VLOOKUP($C145,装備品!$1:$998,COLUMN($O$1),FALSE)*VLOOKUP($D145,素材!$1:$1016,COLUMN($E$1),FALSE)/(LEN(VLOOKUP($D145,素材!$1:$1016,COLUMN($F$1),FALSE))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BE145">
        <f>IF(ISNUMBER(SEARCH(SUBSTITUTE(BE$1,RIGHT(BE$1,2),""),VLOOKUP($D145,素材!$1:$1016,COLUMN($F$1),FALSE))),VLOOKUP($C145,装備品!$1:$998,COLUMN($O$1),FALSE)*VLOOKUP($D145,素材!$1:$1016,COLUMN($E$1),FALSE)/(LEN(VLOOKUP($D145,素材!$1:$1016,COLUMN($F$1),FALSE))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CL145">
        <f t="shared" si="19"/>
        <v>0</v>
      </c>
      <c r="CM145" s="22" t="str">
        <f t="shared" si="20"/>
        <v>頭.webp</v>
      </c>
      <c r="CN145">
        <f>IFERROR(VLOOKUP($C145,装備品!$1:$998,COLUMN(V$1),FALSE)*VLOOKUP($D145,素材!$1:$1016,COLUMN(N$1),FALSE)+IF(CI145="",0,VLOOKUP($CI145,付与!$1:$1176,COLUMN($CK$1),FALSE)),"")</f>
        <v>0</v>
      </c>
      <c r="CO145" t="str">
        <f>VLOOKUP(D145,素材!$A:$O,COLUMN(素材!O$1),FALSE)</f>
        <v>氷属性を持つドラゴン型生物から採取される鱗素材。極寒の環境や冷気攻撃への対策として優れた性能を発揮します。</v>
      </c>
      <c r="CP145" t="str">
        <f>VLOOKUP(C145,装備品!$A:$AB,COLUMN(装備品!AB$1),FALSE)</f>
        <v>命中 魔防 Cr</v>
      </c>
      <c r="CR145" t="str">
        <f t="shared" si="24"/>
        <v>e_145</v>
      </c>
      <c r="CS145">
        <f t="shared" ref="CS145" si="30">CN145*100</f>
        <v>0</v>
      </c>
    </row>
    <row r="146" spans="1:97" outlineLevel="1" x14ac:dyDescent="0.4">
      <c r="A146" t="str">
        <f t="shared" si="23"/>
        <v>氷蜥蜴の鱗の衣布</v>
      </c>
      <c r="B146" t="str">
        <f>IFERROR(VLOOKUP($D146,素材!$1:$1016,COLUMN($B$1),FALSE)&amp;"・"&amp;VLOOKUP($C146,装備品!$1:$998,COLUMN(B$1),FALSE),"")</f>
        <v>アイスドレイクスケール・クロース</v>
      </c>
      <c r="C146" t="s">
        <v>246</v>
      </c>
      <c r="D146" s="24" t="s">
        <v>247</v>
      </c>
      <c r="E146" t="str">
        <f>IFERROR(VLOOKUP(C146,装備品!$1:$998,COLUMN(C$1),FALSE),"")</f>
        <v>体</v>
      </c>
      <c r="F146">
        <f>IFERROR(ROUNDDOWN((VLOOKUP($C146,装備品!$1:$998,COLUMN(D$1),FALSE)+IFERROR(VLOOKUP($CI146,付与!$1:$1167,COLUMN(F$1),FALSE),0))*VLOOKUP($D146,素材!$1:$1016,COLUMN(D$1),FALSE),0),"")</f>
        <v>0</v>
      </c>
      <c r="G146">
        <f>IFERROR(ROUNDDOWN((VLOOKUP($C146,装備品!$1:$998,COLUMN(E$1),FALSE)+IFERROR(VLOOKUP($CI146,付与!$1:$1167,COLUMN(G$1),FALSE),0))*VLOOKUP($D146,素材!$1:$1016,COLUMN($E$1),FALSE),0),"")</f>
        <v>0</v>
      </c>
      <c r="H146">
        <f>IFERROR(ROUNDDOWN((VLOOKUP($C146,装備品!$1:$998,COLUMN(F$1),FALSE)+IFERROR(VLOOKUP($CI146,付与!$1:$1167,COLUMN(H$1),FALSE),0))*VLOOKUP($D146,素材!$1:$1016,COLUMN($E$1),FALSE),0),"")</f>
        <v>0</v>
      </c>
      <c r="I146">
        <f>IFERROR(ROUNDDOWN((VLOOKUP($C146,装備品!$1:$998,COLUMN(G$1),FALSE)+IFERROR(VLOOKUP($CI146,付与!$1:$1167,COLUMN(I$1),FALSE),0))*VLOOKUP($D146,素材!$1:$1016,COLUMN($E$1),FALSE),0),"")</f>
        <v>0</v>
      </c>
      <c r="J146">
        <f>IFERROR(ROUNDDOWN((VLOOKUP($C146,装備品!$1:$998,COLUMN(H$1),FALSE)+IFERROR(VLOOKUP($CI146,付与!$1:$1167,COLUMN(J$1),FALSE),0))*VLOOKUP($D146,素材!$1:$1016,COLUMN($E$1),FALSE),0),"")</f>
        <v>0</v>
      </c>
      <c r="K146">
        <f>IFERROR(ROUNDDOWN((VLOOKUP($C146,装備品!$1:$998,COLUMN(I$1),FALSE)+IFERROR(VLOOKUP($CI146,付与!$1:$1167,COLUMN(K$1),FALSE),0))*VLOOKUP($D146,素材!$1:$1016,COLUMN($E$1),FALSE),0),"")</f>
        <v>0</v>
      </c>
      <c r="L146" t="str">
        <f>IFERROR(VLOOKUP($D146,素材!$1:$1016,COLUMN($F$1),FALSE),"")</f>
        <v>氷</v>
      </c>
      <c r="M146">
        <f>IFERROR(VLOOKUP($C146,装備品!$1:$998,COLUMN(AA$1),FALSE)*VLOOKUP($D146,素材!$1:$1016,COLUMN($G$1),FALSE),"")</f>
        <v>50</v>
      </c>
      <c r="N146">
        <f>IFERROR(VLOOKUP($C146,装備品!$1:$998,COLUMN(I$1),FALSE),"")</f>
        <v>0</v>
      </c>
      <c r="O146" s="23" t="str">
        <f>IFERROR((VLOOKUP($C146,装備品!$1:$998,COLUMN(K$1),FALSE)+VLOOKUP($D146,素材!$1:$1016,COLUMN(H$1),FALSE))*100+IFERROR(VLOOKUP($CI146,付与!$1:$1167,COLUMN(O$1),FALSE),0),"")</f>
        <v/>
      </c>
      <c r="P146" s="23" t="str">
        <f>IFERROR((VLOOKUP($C146,装備品!$1:$998,COLUMN(L$1),FALSE)+VLOOKUP($D146,素材!$1:$1016,COLUMN(I$1),FALSE))*100+IFERROR(VLOOKUP($CI146,付与!$1:$1167,COLUMN(P$1),FALSE),0),"")</f>
        <v/>
      </c>
      <c r="Q146">
        <f>IFERROR(ROUNDUP(VLOOKUP($C146,装備品!$1:$998,COLUMN(M$1),FALSE)*(VLOOKUP($D146,素材!$1:$1002,COLUMN(D$1),FALSE)/100),1),"")</f>
        <v>0</v>
      </c>
      <c r="R146">
        <f>IFERROR(ROUNDUP(VLOOKUP($C146,装備品!$1:$998,COLUMN(N$1),FALSE)*(VLOOKUP($D146,素材!$1:$1002,COLUMN(D$1),FALSE)/100),1),"")</f>
        <v>0</v>
      </c>
      <c r="S146">
        <f>IFERROR(VLOOKUP($C146,装備品!$1:$998,COLUMN(P$1),FALSE),"")</f>
        <v>0</v>
      </c>
      <c r="T146">
        <f>IFERROR(VLOOKUP($C146,装備品!$1:$998,COLUMN(Q$1),FALSE),"")</f>
        <v>0</v>
      </c>
      <c r="U146">
        <f>IFERROR(VLOOKUP($C146,装備品!$1:$998,COLUMN(R$1),FALSE),"")</f>
        <v>0</v>
      </c>
      <c r="V146">
        <f>IFERROR(VLOOKUP($C146,装備品!$1:$998,COLUMN(Q$1),FALSE),"")</f>
        <v>0</v>
      </c>
      <c r="W146">
        <f>IFERROR(VLOOKUP($C146,装備品!$1:$998,COLUMN(T$1),FALSE),"")</f>
        <v>0.3</v>
      </c>
      <c r="Y146">
        <f>IFERROR(VLOOKUP($C146,装備品!$1:$998,COLUMN(U$1),FALSE),"")</f>
        <v>0</v>
      </c>
      <c r="Z146">
        <f>IFERROR(ROUNDUP(VLOOKUP($C146,装備品!$1:$998,COLUMN(O$1),FALSE)*VLOOKUP($D146,素材!$1:$1016,COLUMN(E$1),FALSE),1),"")</f>
        <v>0</v>
      </c>
      <c r="AA146">
        <f>IF(ISNUMBER(SEARCH(SUBSTITUTE(AA$1,RIGHT(AA$1,2),""),VLOOKUP($D146,素材!$1:$1016,COLUMN($F$1),FALSE))),VLOOKUP($C146,装備品!$1:$998,COLUMN($O$1),FALSE)*VLOOKUP($D146,素材!$1:$1016,COLUMN($E$1),FALSE)/(LEN(VLOOKUP($D146,素材!$1:$1016,COLUMN($F$1),FALSE))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B146">
        <f>IF(ISNUMBER(SEARCH(SUBSTITUTE(AB$1,RIGHT(AB$1,2),""),VLOOKUP($D146,素材!$1:$1016,COLUMN($F$1),FALSE))),VLOOKUP($C146,装備品!$1:$998,COLUMN($O$1),FALSE)*VLOOKUP($D146,素材!$1:$1016,COLUMN($E$1),FALSE)/(LEN(VLOOKUP($D146,素材!$1:$1016,COLUMN($F$1),FALSE))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C146">
        <f>IF(ISNUMBER(SEARCH(SUBSTITUTE(AC$1,RIGHT(AC$1,2),""),VLOOKUP($D146,素材!$1:$1016,COLUMN($F$1),FALSE))),VLOOKUP($C146,装備品!$1:$998,COLUMN($O$1),FALSE)*VLOOKUP($D146,素材!$1:$1016,COLUMN($E$1),FALSE)/(LEN(VLOOKUP($D146,素材!$1:$1016,COLUMN($F$1),FALSE))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D146">
        <f>IF(ISNUMBER(SEARCH(SUBSTITUTE(AD$1,RIGHT(AD$1,2),""),VLOOKUP($D146,素材!$1:$1016,COLUMN($F$1),FALSE))),VLOOKUP($C146,装備品!$1:$998,COLUMN($O$1),FALSE)*VLOOKUP($D146,素材!$1:$1016,COLUMN($E$1),FALSE)/(LEN(VLOOKUP($D146,素材!$1:$1016,COLUMN($F$1),FALSE))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E146">
        <f>IF(ISNUMBER(SEARCH(SUBSTITUTE(AE$1,RIGHT(AE$1,2),""),VLOOKUP($D146,素材!$1:$1016,COLUMN($F$1),FALSE))),VLOOKUP($C146,装備品!$1:$998,COLUMN($O$1),FALSE)*VLOOKUP($D146,素材!$1:$1016,COLUMN($E$1),FALSE)/(LEN(VLOOKUP($D146,素材!$1:$1016,COLUMN($F$1),FALSE))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F146">
        <f>IF(ISNUMBER(SEARCH(SUBSTITUTE(AF$1,RIGHT(AF$1,2),""),VLOOKUP($D146,素材!$1:$1016,COLUMN($F$1),FALSE))),VLOOKUP($C146,装備品!$1:$998,COLUMN($O$1),FALSE)*VLOOKUP($D146,素材!$1:$1016,COLUMN($E$1),FALSE)/(LEN(VLOOKUP($D146,素材!$1:$1016,COLUMN($F$1),FALSE))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G146">
        <f>IF(ISNUMBER(SEARCH(SUBSTITUTE(AG$1,RIGHT(AG$1,2),""),VLOOKUP($D146,素材!$1:$1016,COLUMN($F$1),FALSE))),VLOOKUP($C146,装備品!$1:$998,COLUMN($O$1),FALSE)*VLOOKUP($D146,素材!$1:$1016,COLUMN($E$1),FALSE)/(LEN(VLOOKUP($D146,素材!$1:$1016,COLUMN($F$1),FALSE))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H146">
        <f>IF(ISNUMBER(SEARCH(SUBSTITUTE(AH$1,RIGHT(AH$1,2),""),VLOOKUP($D146,素材!$1:$1016,COLUMN($F$1),FALSE))),VLOOKUP($C146,装備品!$1:$998,COLUMN($O$1),FALSE)*VLOOKUP($D146,素材!$1:$1016,COLUMN($E$1),FALSE)/(LEN(VLOOKUP($D146,素材!$1:$1016,COLUMN($F$1),FALSE))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I146">
        <f>IF(ISNUMBER(SEARCH(SUBSTITUTE(AI$1,RIGHT(AI$1,2),""),VLOOKUP($D146,素材!$1:$1016,COLUMN($F$1),FALSE))),VLOOKUP($C146,装備品!$1:$998,COLUMN($O$1),FALSE)*VLOOKUP($D146,素材!$1:$1016,COLUMN($E$1),FALSE)/(LEN(VLOOKUP($D146,素材!$1:$1016,COLUMN($F$1),FALSE))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J146">
        <f>IF(ISNUMBER(SEARCH(SUBSTITUTE(AJ$1,RIGHT(AJ$1,2),""),VLOOKUP($D146,素材!$1:$1016,COLUMN($F$1),FALSE))),VLOOKUP($C146,装備品!$1:$998,COLUMN($O$1),FALSE)*VLOOKUP($D146,素材!$1:$1016,COLUMN($E$1),FALSE)/(LEN(VLOOKUP($D146,素材!$1:$1016,COLUMN($F$1),FALSE))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K146">
        <f>IF(ISNUMBER(SEARCH(SUBSTITUTE(AK$1,RIGHT(AK$1,2),""),VLOOKUP($D146,素材!$1:$1016,COLUMN($F$1),FALSE))),VLOOKUP($C146,装備品!$1:$998,COLUMN($O$1),FALSE)*VLOOKUP($D146,素材!$1:$1016,COLUMN($E$1),FALSE)/(LEN(VLOOKUP($D146,素材!$1:$1016,COLUMN($F$1),FALSE))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L146">
        <f>IF(ISNUMBER(SEARCH(SUBSTITUTE(AL$1,RIGHT(AL$1,2),""),VLOOKUP($D146,素材!$1:$1016,COLUMN($F$1),FALSE))),VLOOKUP($C146,装備品!$1:$998,COLUMN($O$1),FALSE)*VLOOKUP($D146,素材!$1:$1016,COLUMN($E$1),FALSE)/(LEN(VLOOKUP($D146,素材!$1:$1016,COLUMN($F$1),FALSE))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M146">
        <f>IF(ISNUMBER(SEARCH(SUBSTITUTE(AM$1,RIGHT(AM$1,2),""),VLOOKUP($D146,素材!$1:$1016,COLUMN($F$1),FALSE))),VLOOKUP($C146,装備品!$1:$998,COLUMN($O$1),FALSE)*VLOOKUP($D146,素材!$1:$1016,COLUMN($E$1),FALSE)/(LEN(VLOOKUP($D146,素材!$1:$1016,COLUMN($F$1),FALSE))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N146">
        <f>IF(ISNUMBER(SEARCH(SUBSTITUTE(AN$1,RIGHT(AN$1,2),""),VLOOKUP($D146,素材!$1:$1016,COLUMN($F$1),FALSE))),VLOOKUP($C146,装備品!$1:$998,COLUMN($O$1),FALSE)*VLOOKUP($D146,素材!$1:$1016,COLUMN($E$1),FALSE)/(LEN(VLOOKUP($D146,素材!$1:$1016,COLUMN($F$1),FALSE))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O146">
        <f>IF(ISNUMBER(SEARCH(SUBSTITUTE(AO$1,RIGHT(AO$1,2),""),VLOOKUP($D146,素材!$1:$1016,COLUMN($F$1),FALSE))),VLOOKUP($C146,装備品!$1:$998,COLUMN($O$1),FALSE)*VLOOKUP($D146,素材!$1:$1016,COLUMN($E$1),FALSE)/(LEN(VLOOKUP($D146,素材!$1:$1016,COLUMN($F$1),FALSE))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P146">
        <f>IF(ISNUMBER(SEARCH(SUBSTITUTE(AP$1,RIGHT(AP$1,2),""),VLOOKUP($D146,素材!$1:$1016,COLUMN($F$1),FALSE))),VLOOKUP($C146,装備品!$1:$998,COLUMN($O$1),FALSE)*VLOOKUP($D146,素材!$1:$1016,COLUMN($E$1),FALSE)/(LEN(VLOOKUP($D146,素材!$1:$1016,COLUMN($F$1),FALSE))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Q146">
        <f>IF(ISNUMBER(SEARCH(SUBSTITUTE(AQ$1,RIGHT(AQ$1,2),""),VLOOKUP($D146,素材!$1:$1016,COLUMN($F$1),FALSE))),VLOOKUP($C146,装備品!$1:$998,COLUMN($O$1),FALSE)*VLOOKUP($D146,素材!$1:$1016,COLUMN($E$1),FALSE)/(LEN(VLOOKUP($D146,素材!$1:$1016,COLUMN($F$1),FALSE))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R146">
        <f>IF(ISNUMBER(SEARCH(SUBSTITUTE(AR$1,RIGHT(AR$1,2),""),VLOOKUP($D146,素材!$1:$1016,COLUMN($F$1),FALSE))),VLOOKUP($C146,装備品!$1:$998,COLUMN($O$1),FALSE)*VLOOKUP($D146,素材!$1:$1016,COLUMN($E$1),FALSE)/(LEN(VLOOKUP($D146,素材!$1:$1016,COLUMN($F$1),FALSE))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S146">
        <f>IF(ISNUMBER(SEARCH(SUBSTITUTE(AS$1,RIGHT(AS$1,2),""),VLOOKUP($D146,素材!$1:$1016,COLUMN($F$1),FALSE))),VLOOKUP($C146,装備品!$1:$998,COLUMN($O$1),FALSE)*VLOOKUP($D146,素材!$1:$1016,COLUMN($E$1),FALSE)/(LEN(VLOOKUP($D146,素材!$1:$1016,COLUMN($F$1),FALSE))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T146">
        <f>IF(ISNUMBER(SEARCH(SUBSTITUTE(AT$1,RIGHT(AT$1,2),""),VLOOKUP($D146,素材!$1:$1016,COLUMN($F$1),FALSE))),VLOOKUP($C146,装備品!$1:$998,COLUMN($O$1),FALSE)*VLOOKUP($D146,素材!$1:$1016,COLUMN($E$1),FALSE)/(LEN(VLOOKUP($D146,素材!$1:$1016,COLUMN($F$1),FALSE))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U146">
        <f>IF(ISNUMBER(SEARCH(SUBSTITUTE(AU$1,RIGHT(AU$1,2),""),VLOOKUP($D146,素材!$1:$1016,COLUMN($F$1),FALSE))),VLOOKUP($C146,装備品!$1:$998,COLUMN($O$1),FALSE)*VLOOKUP($D146,素材!$1:$1016,COLUMN($E$1),FALSE)/(LEN(VLOOKUP($D146,素材!$1:$1016,COLUMN($F$1),FALSE))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V146">
        <f>IF(ISNUMBER(SEARCH(SUBSTITUTE(AV$1,RIGHT(AV$1,2),""),VLOOKUP($D146,素材!$1:$1016,COLUMN($F$1),FALSE))),VLOOKUP($C146,装備品!$1:$998,COLUMN($O$1),FALSE)*VLOOKUP($D146,素材!$1:$1016,COLUMN($E$1),FALSE)/(LEN(VLOOKUP($D146,素材!$1:$1016,COLUMN($F$1),FALSE))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W146">
        <f>IF(ISNUMBER(SEARCH(SUBSTITUTE(AW$1,RIGHT(AW$1,2),""),VLOOKUP($D146,素材!$1:$1016,COLUMN($F$1),FALSE))),VLOOKUP($C146,装備品!$1:$998,COLUMN($O$1),FALSE)*VLOOKUP($D146,素材!$1:$1016,COLUMN($E$1),FALSE)/(LEN(VLOOKUP($D146,素材!$1:$1016,COLUMN($F$1),FALSE))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X146">
        <f>IF(ISNUMBER(SEARCH(SUBSTITUTE(AX$1,RIGHT(AX$1,2),""),VLOOKUP($D146,素材!$1:$1016,COLUMN($F$1),FALSE))),VLOOKUP($C146,装備品!$1:$998,COLUMN($O$1),FALSE)*VLOOKUP($D146,素材!$1:$1016,COLUMN($E$1),FALSE)/(LEN(VLOOKUP($D146,素材!$1:$1016,COLUMN($F$1),FALSE))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Y146">
        <f>IF(ISNUMBER(SEARCH(SUBSTITUTE(AY$1,RIGHT(AY$1,2),""),VLOOKUP($D146,素材!$1:$1016,COLUMN($F$1),FALSE))),VLOOKUP($C146,装備品!$1:$998,COLUMN($O$1),FALSE)*VLOOKUP($D146,素材!$1:$1016,COLUMN($E$1),FALSE)/(LEN(VLOOKUP($D146,素材!$1:$1016,COLUMN($F$1),FALSE))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Z146">
        <f>IF(ISNUMBER(SEARCH(SUBSTITUTE(AZ$1,RIGHT(AZ$1,2),""),VLOOKUP($D146,素材!$1:$1016,COLUMN($F$1),FALSE))),VLOOKUP($C146,装備品!$1:$998,COLUMN($O$1),FALSE)*VLOOKUP($D146,素材!$1:$1016,COLUMN($E$1),FALSE)/(LEN(VLOOKUP($D146,素材!$1:$1016,COLUMN($F$1),FALSE))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BA146">
        <f>IF(ISNUMBER(SEARCH(SUBSTITUTE(BA$1,RIGHT(BA$1,2),""),VLOOKUP($D146,素材!$1:$1016,COLUMN($F$1),FALSE))),VLOOKUP($C146,装備品!$1:$998,COLUMN($O$1),FALSE)*VLOOKUP($D146,素材!$1:$1016,COLUMN($E$1),FALSE)/(LEN(VLOOKUP($D146,素材!$1:$1016,COLUMN($F$1),FALSE))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BB146">
        <f>IF(ISNUMBER(SEARCH(SUBSTITUTE(BB$1,RIGHT(BB$1,2),""),VLOOKUP($D146,素材!$1:$1016,COLUMN($F$1),FALSE))),VLOOKUP($C146,装備品!$1:$998,COLUMN($O$1),FALSE)*VLOOKUP($D146,素材!$1:$1016,COLUMN($E$1),FALSE)/(LEN(VLOOKUP($D146,素材!$1:$1016,COLUMN($F$1),FALSE))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BC146">
        <f>IF(ISNUMBER(SEARCH(SUBSTITUTE(BC$1,RIGHT(BC$1,2),""),VLOOKUP($D146,素材!$1:$1016,COLUMN($F$1),FALSE))),VLOOKUP($C146,装備品!$1:$998,COLUMN($O$1),FALSE)*VLOOKUP($D146,素材!$1:$1016,COLUMN($E$1),FALSE)/(LEN(VLOOKUP($D146,素材!$1:$1016,COLUMN($F$1),FALSE))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BD146">
        <f>IF(ISNUMBER(SEARCH(SUBSTITUTE(BD$1,RIGHT(BD$1,2),""),VLOOKUP($D146,素材!$1:$1016,COLUMN($F$1),FALSE))),VLOOKUP($C146,装備品!$1:$998,COLUMN($O$1),FALSE)*VLOOKUP($D146,素材!$1:$1016,COLUMN($E$1),FALSE)/(LEN(VLOOKUP($D146,素材!$1:$1016,COLUMN($F$1),FALSE))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BE146">
        <f>IF(ISNUMBER(SEARCH(SUBSTITUTE(BE$1,RIGHT(BE$1,2),""),VLOOKUP($D146,素材!$1:$1016,COLUMN($F$1),FALSE))),VLOOKUP($C146,装備品!$1:$998,COLUMN($O$1),FALSE)*VLOOKUP($D146,素材!$1:$1016,COLUMN($E$1),FALSE)/(LEN(VLOOKUP($D146,素材!$1:$1016,COLUMN($F$1),FALSE))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CL146">
        <f t="shared" si="19"/>
        <v>0</v>
      </c>
      <c r="CM146" s="22" t="str">
        <f t="shared" si="20"/>
        <v>体.webp</v>
      </c>
      <c r="CN146">
        <f>IFERROR(VLOOKUP($C146,装備品!$1:$998,COLUMN(V$1),FALSE)*VLOOKUP($D146,素材!$1:$1016,COLUMN(N$1),FALSE)+IF(CI146="",0,VLOOKUP($CI146,付与!$1:$1176,COLUMN($CK$1),FALSE)),"")</f>
        <v>0</v>
      </c>
      <c r="CO146" t="str">
        <f>VLOOKUP(D146,素材!$A:$O,COLUMN(素材!O$1),FALSE)</f>
        <v>氷属性を持つドラゴン型生物から採取される鱗素材。極寒の環境や冷気攻撃への対策として優れた性能を発揮します。</v>
      </c>
      <c r="CP146" t="str">
        <f>VLOOKUP(C146,装備品!$A:$AB,COLUMN(装備品!AB$1),FALSE)</f>
        <v>HP 物理 魔法 体幹 出血 疲労 Cr</v>
      </c>
      <c r="CR146" t="str">
        <f t="shared" si="24"/>
        <v>e_146</v>
      </c>
      <c r="CS146">
        <f t="shared" si="28"/>
        <v>0</v>
      </c>
    </row>
    <row r="147" spans="1:97" outlineLevel="1" x14ac:dyDescent="0.4">
      <c r="A147" t="str">
        <f t="shared" si="23"/>
        <v>氷蜥蜴の鱗の法衣</v>
      </c>
      <c r="B147" t="str">
        <f>IFERROR(VLOOKUP($D147,素材!$1:$1016,COLUMN($B$1),FALSE)&amp;"・"&amp;VLOOKUP($C147,装備品!$1:$998,COLUMN(B$1),FALSE),"")</f>
        <v>アイスドレイクスケール・ローブ</v>
      </c>
      <c r="C147" t="s">
        <v>245</v>
      </c>
      <c r="D147" s="24" t="s">
        <v>247</v>
      </c>
      <c r="E147" t="str">
        <f>IFERROR(VLOOKUP(C147,装備品!$1:$998,COLUMN(C$1),FALSE),"")</f>
        <v>体</v>
      </c>
      <c r="F147">
        <f>IFERROR(ROUNDDOWN((VLOOKUP($C147,装備品!$1:$998,COLUMN(D$1),FALSE)+IFERROR(VLOOKUP($CI147,付与!$1:$1167,COLUMN(F$1),FALSE),0))*VLOOKUP($D147,素材!$1:$1016,COLUMN(D$1),FALSE),0),"")</f>
        <v>0</v>
      </c>
      <c r="G147">
        <f>IFERROR(ROUNDDOWN((VLOOKUP($C147,装備品!$1:$998,COLUMN(E$1),FALSE)+IFERROR(VLOOKUP($CI147,付与!$1:$1167,COLUMN(G$1),FALSE),0))*VLOOKUP($D147,素材!$1:$1016,COLUMN($E$1),FALSE),0),"")</f>
        <v>0</v>
      </c>
      <c r="H147">
        <f>IFERROR(ROUNDDOWN((VLOOKUP($C147,装備品!$1:$998,COLUMN(F$1),FALSE)+IFERROR(VLOOKUP($CI147,付与!$1:$1167,COLUMN(H$1),FALSE),0))*VLOOKUP($D147,素材!$1:$1016,COLUMN($E$1),FALSE),0),"")</f>
        <v>0</v>
      </c>
      <c r="I147">
        <f>IFERROR(ROUNDDOWN((VLOOKUP($C147,装備品!$1:$998,COLUMN(G$1),FALSE)+IFERROR(VLOOKUP($CI147,付与!$1:$1167,COLUMN(I$1),FALSE),0))*VLOOKUP($D147,素材!$1:$1016,COLUMN($E$1),FALSE),0),"")</f>
        <v>0</v>
      </c>
      <c r="J147">
        <f>IFERROR(ROUNDDOWN((VLOOKUP($C147,装備品!$1:$998,COLUMN(H$1),FALSE)+IFERROR(VLOOKUP($CI147,付与!$1:$1167,COLUMN(J$1),FALSE),0))*VLOOKUP($D147,素材!$1:$1016,COLUMN($E$1),FALSE),0),"")</f>
        <v>0</v>
      </c>
      <c r="K147">
        <f>IFERROR(ROUNDDOWN((VLOOKUP($C147,装備品!$1:$998,COLUMN(I$1),FALSE)+IFERROR(VLOOKUP($CI147,付与!$1:$1167,COLUMN(K$1),FALSE),0))*VLOOKUP($D147,素材!$1:$1016,COLUMN($E$1),FALSE),0),"")</f>
        <v>0</v>
      </c>
      <c r="L147" t="str">
        <f>IFERROR(VLOOKUP($D147,素材!$1:$1016,COLUMN($F$1),FALSE),"")</f>
        <v>氷</v>
      </c>
      <c r="M147">
        <f>IFERROR(VLOOKUP($C147,装備品!$1:$998,COLUMN(AA$1),FALSE)*VLOOKUP($D147,素材!$1:$1016,COLUMN($G$1),FALSE),"")</f>
        <v>50</v>
      </c>
      <c r="N147">
        <f>IFERROR(VLOOKUP($C147,装備品!$1:$998,COLUMN(I$1),FALSE),"")</f>
        <v>0</v>
      </c>
      <c r="O147" s="23" t="str">
        <f>IFERROR((VLOOKUP($C147,装備品!$1:$998,COLUMN(K$1),FALSE)+VLOOKUP($D147,素材!$1:$1016,COLUMN(H$1),FALSE))*100+IFERROR(VLOOKUP($CI147,付与!$1:$1167,COLUMN(O$1),FALSE),0),"")</f>
        <v/>
      </c>
      <c r="P147" s="23" t="str">
        <f>IFERROR((VLOOKUP($C147,装備品!$1:$998,COLUMN(L$1),FALSE)+VLOOKUP($D147,素材!$1:$1016,COLUMN(I$1),FALSE))*100+IFERROR(VLOOKUP($CI147,付与!$1:$1167,COLUMN(P$1),FALSE),0),"")</f>
        <v/>
      </c>
      <c r="Q147">
        <f>IFERROR(ROUNDUP(VLOOKUP($C147,装備品!$1:$998,COLUMN(M$1),FALSE)*(VLOOKUP($D147,素材!$1:$1002,COLUMN(D$1),FALSE)/100),1),"")</f>
        <v>0</v>
      </c>
      <c r="R147">
        <f>IFERROR(ROUNDUP(VLOOKUP($C147,装備品!$1:$998,COLUMN(N$1),FALSE)*(VLOOKUP($D147,素材!$1:$1002,COLUMN(D$1),FALSE)/100),1),"")</f>
        <v>0</v>
      </c>
      <c r="S147">
        <f>IFERROR(VLOOKUP($C147,装備品!$1:$998,COLUMN(P$1),FALSE),"")</f>
        <v>0</v>
      </c>
      <c r="T147">
        <f>IFERROR(VLOOKUP($C147,装備品!$1:$998,COLUMN(Q$1),FALSE),"")</f>
        <v>0</v>
      </c>
      <c r="U147">
        <f>IFERROR(VLOOKUP($C147,装備品!$1:$998,COLUMN(R$1),FALSE),"")</f>
        <v>0</v>
      </c>
      <c r="V147">
        <f>IFERROR(VLOOKUP($C147,装備品!$1:$998,COLUMN(Q$1),FALSE),"")</f>
        <v>0</v>
      </c>
      <c r="W147">
        <f>IFERROR(VLOOKUP($C147,装備品!$1:$998,COLUMN(T$1),FALSE),"")</f>
        <v>0.2</v>
      </c>
      <c r="Y147">
        <f>IFERROR(VLOOKUP($C147,装備品!$1:$998,COLUMN(U$1),FALSE),"")</f>
        <v>0</v>
      </c>
      <c r="Z147">
        <f>IFERROR(ROUNDUP(VLOOKUP($C147,装備品!$1:$998,COLUMN(O$1),FALSE)*VLOOKUP($D147,素材!$1:$1016,COLUMN(E$1),FALSE),1),"")</f>
        <v>0</v>
      </c>
      <c r="AA147">
        <f>IF(ISNUMBER(SEARCH(SUBSTITUTE(AA$1,RIGHT(AA$1,2),""),VLOOKUP($D147,素材!$1:$1016,COLUMN($F$1),FALSE))),VLOOKUP($C147,装備品!$1:$998,COLUMN($O$1),FALSE)*VLOOKUP($D147,素材!$1:$1016,COLUMN($E$1),FALSE)/(LEN(VLOOKUP($D147,素材!$1:$1016,COLUMN($F$1),FALSE))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B147">
        <f>IF(ISNUMBER(SEARCH(SUBSTITUTE(AB$1,RIGHT(AB$1,2),""),VLOOKUP($D147,素材!$1:$1016,COLUMN($F$1),FALSE))),VLOOKUP($C147,装備品!$1:$998,COLUMN($O$1),FALSE)*VLOOKUP($D147,素材!$1:$1016,COLUMN($E$1),FALSE)/(LEN(VLOOKUP($D147,素材!$1:$1016,COLUMN($F$1),FALSE))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C147">
        <f>IF(ISNUMBER(SEARCH(SUBSTITUTE(AC$1,RIGHT(AC$1,2),""),VLOOKUP($D147,素材!$1:$1016,COLUMN($F$1),FALSE))),VLOOKUP($C147,装備品!$1:$998,COLUMN($O$1),FALSE)*VLOOKUP($D147,素材!$1:$1016,COLUMN($E$1),FALSE)/(LEN(VLOOKUP($D147,素材!$1:$1016,COLUMN($F$1),FALSE))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D147">
        <f>IF(ISNUMBER(SEARCH(SUBSTITUTE(AD$1,RIGHT(AD$1,2),""),VLOOKUP($D147,素材!$1:$1016,COLUMN($F$1),FALSE))),VLOOKUP($C147,装備品!$1:$998,COLUMN($O$1),FALSE)*VLOOKUP($D147,素材!$1:$1016,COLUMN($E$1),FALSE)/(LEN(VLOOKUP($D147,素材!$1:$1016,COLUMN($F$1),FALSE))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E147">
        <f>IF(ISNUMBER(SEARCH(SUBSTITUTE(AE$1,RIGHT(AE$1,2),""),VLOOKUP($D147,素材!$1:$1016,COLUMN($F$1),FALSE))),VLOOKUP($C147,装備品!$1:$998,COLUMN($O$1),FALSE)*VLOOKUP($D147,素材!$1:$1016,COLUMN($E$1),FALSE)/(LEN(VLOOKUP($D147,素材!$1:$1016,COLUMN($F$1),FALSE))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F147">
        <f>IF(ISNUMBER(SEARCH(SUBSTITUTE(AF$1,RIGHT(AF$1,2),""),VLOOKUP($D147,素材!$1:$1016,COLUMN($F$1),FALSE))),VLOOKUP($C147,装備品!$1:$998,COLUMN($O$1),FALSE)*VLOOKUP($D147,素材!$1:$1016,COLUMN($E$1),FALSE)/(LEN(VLOOKUP($D147,素材!$1:$1016,COLUMN($F$1),FALSE))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G147">
        <f>IF(ISNUMBER(SEARCH(SUBSTITUTE(AG$1,RIGHT(AG$1,2),""),VLOOKUP($D147,素材!$1:$1016,COLUMN($F$1),FALSE))),VLOOKUP($C147,装備品!$1:$998,COLUMN($O$1),FALSE)*VLOOKUP($D147,素材!$1:$1016,COLUMN($E$1),FALSE)/(LEN(VLOOKUP($D147,素材!$1:$1016,COLUMN($F$1),FALSE))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H147">
        <f>IF(ISNUMBER(SEARCH(SUBSTITUTE(AH$1,RIGHT(AH$1,2),""),VLOOKUP($D147,素材!$1:$1016,COLUMN($F$1),FALSE))),VLOOKUP($C147,装備品!$1:$998,COLUMN($O$1),FALSE)*VLOOKUP($D147,素材!$1:$1016,COLUMN($E$1),FALSE)/(LEN(VLOOKUP($D147,素材!$1:$1016,COLUMN($F$1),FALSE))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I147">
        <f>IF(ISNUMBER(SEARCH(SUBSTITUTE(AI$1,RIGHT(AI$1,2),""),VLOOKUP($D147,素材!$1:$1016,COLUMN($F$1),FALSE))),VLOOKUP($C147,装備品!$1:$998,COLUMN($O$1),FALSE)*VLOOKUP($D147,素材!$1:$1016,COLUMN($E$1),FALSE)/(LEN(VLOOKUP($D147,素材!$1:$1016,COLUMN($F$1),FALSE))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J147">
        <f>IF(ISNUMBER(SEARCH(SUBSTITUTE(AJ$1,RIGHT(AJ$1,2),""),VLOOKUP($D147,素材!$1:$1016,COLUMN($F$1),FALSE))),VLOOKUP($C147,装備品!$1:$998,COLUMN($O$1),FALSE)*VLOOKUP($D147,素材!$1:$1016,COLUMN($E$1),FALSE)/(LEN(VLOOKUP($D147,素材!$1:$1016,COLUMN($F$1),FALSE))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K147">
        <f>IF(ISNUMBER(SEARCH(SUBSTITUTE(AK$1,RIGHT(AK$1,2),""),VLOOKUP($D147,素材!$1:$1016,COLUMN($F$1),FALSE))),VLOOKUP($C147,装備品!$1:$998,COLUMN($O$1),FALSE)*VLOOKUP($D147,素材!$1:$1016,COLUMN($E$1),FALSE)/(LEN(VLOOKUP($D147,素材!$1:$1016,COLUMN($F$1),FALSE))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L147">
        <f>IF(ISNUMBER(SEARCH(SUBSTITUTE(AL$1,RIGHT(AL$1,2),""),VLOOKUP($D147,素材!$1:$1016,COLUMN($F$1),FALSE))),VLOOKUP($C147,装備品!$1:$998,COLUMN($O$1),FALSE)*VLOOKUP($D147,素材!$1:$1016,COLUMN($E$1),FALSE)/(LEN(VLOOKUP($D147,素材!$1:$1016,COLUMN($F$1),FALSE))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M147">
        <f>IF(ISNUMBER(SEARCH(SUBSTITUTE(AM$1,RIGHT(AM$1,2),""),VLOOKUP($D147,素材!$1:$1016,COLUMN($F$1),FALSE))),VLOOKUP($C147,装備品!$1:$998,COLUMN($O$1),FALSE)*VLOOKUP($D147,素材!$1:$1016,COLUMN($E$1),FALSE)/(LEN(VLOOKUP($D147,素材!$1:$1016,COLUMN($F$1),FALSE))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N147">
        <f>IF(ISNUMBER(SEARCH(SUBSTITUTE(AN$1,RIGHT(AN$1,2),""),VLOOKUP($D147,素材!$1:$1016,COLUMN($F$1),FALSE))),VLOOKUP($C147,装備品!$1:$998,COLUMN($O$1),FALSE)*VLOOKUP($D147,素材!$1:$1016,COLUMN($E$1),FALSE)/(LEN(VLOOKUP($D147,素材!$1:$1016,COLUMN($F$1),FALSE))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O147">
        <f>IF(ISNUMBER(SEARCH(SUBSTITUTE(AO$1,RIGHT(AO$1,2),""),VLOOKUP($D147,素材!$1:$1016,COLUMN($F$1),FALSE))),VLOOKUP($C147,装備品!$1:$998,COLUMN($O$1),FALSE)*VLOOKUP($D147,素材!$1:$1016,COLUMN($E$1),FALSE)/(LEN(VLOOKUP($D147,素材!$1:$1016,COLUMN($F$1),FALSE))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P147">
        <f>IF(ISNUMBER(SEARCH(SUBSTITUTE(AP$1,RIGHT(AP$1,2),""),VLOOKUP($D147,素材!$1:$1016,COLUMN($F$1),FALSE))),VLOOKUP($C147,装備品!$1:$998,COLUMN($O$1),FALSE)*VLOOKUP($D147,素材!$1:$1016,COLUMN($E$1),FALSE)/(LEN(VLOOKUP($D147,素材!$1:$1016,COLUMN($F$1),FALSE))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Q147">
        <f>IF(ISNUMBER(SEARCH(SUBSTITUTE(AQ$1,RIGHT(AQ$1,2),""),VLOOKUP($D147,素材!$1:$1016,COLUMN($F$1),FALSE))),VLOOKUP($C147,装備品!$1:$998,COLUMN($O$1),FALSE)*VLOOKUP($D147,素材!$1:$1016,COLUMN($E$1),FALSE)/(LEN(VLOOKUP($D147,素材!$1:$1016,COLUMN($F$1),FALSE))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R147">
        <f>IF(ISNUMBER(SEARCH(SUBSTITUTE(AR$1,RIGHT(AR$1,2),""),VLOOKUP($D147,素材!$1:$1016,COLUMN($F$1),FALSE))),VLOOKUP($C147,装備品!$1:$998,COLUMN($O$1),FALSE)*VLOOKUP($D147,素材!$1:$1016,COLUMN($E$1),FALSE)/(LEN(VLOOKUP($D147,素材!$1:$1016,COLUMN($F$1),FALSE))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S147">
        <f>IF(ISNUMBER(SEARCH(SUBSTITUTE(AS$1,RIGHT(AS$1,2),""),VLOOKUP($D147,素材!$1:$1016,COLUMN($F$1),FALSE))),VLOOKUP($C147,装備品!$1:$998,COLUMN($O$1),FALSE)*VLOOKUP($D147,素材!$1:$1016,COLUMN($E$1),FALSE)/(LEN(VLOOKUP($D147,素材!$1:$1016,COLUMN($F$1),FALSE))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T147">
        <f>IF(ISNUMBER(SEARCH(SUBSTITUTE(AT$1,RIGHT(AT$1,2),""),VLOOKUP($D147,素材!$1:$1016,COLUMN($F$1),FALSE))),VLOOKUP($C147,装備品!$1:$998,COLUMN($O$1),FALSE)*VLOOKUP($D147,素材!$1:$1016,COLUMN($E$1),FALSE)/(LEN(VLOOKUP($D147,素材!$1:$1016,COLUMN($F$1),FALSE))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U147">
        <f>IF(ISNUMBER(SEARCH(SUBSTITUTE(AU$1,RIGHT(AU$1,2),""),VLOOKUP($D147,素材!$1:$1016,COLUMN($F$1),FALSE))),VLOOKUP($C147,装備品!$1:$998,COLUMN($O$1),FALSE)*VLOOKUP($D147,素材!$1:$1016,COLUMN($E$1),FALSE)/(LEN(VLOOKUP($D147,素材!$1:$1016,COLUMN($F$1),FALSE))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V147">
        <f>IF(ISNUMBER(SEARCH(SUBSTITUTE(AV$1,RIGHT(AV$1,2),""),VLOOKUP($D147,素材!$1:$1016,COLUMN($F$1),FALSE))),VLOOKUP($C147,装備品!$1:$998,COLUMN($O$1),FALSE)*VLOOKUP($D147,素材!$1:$1016,COLUMN($E$1),FALSE)/(LEN(VLOOKUP($D147,素材!$1:$1016,COLUMN($F$1),FALSE))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W147">
        <f>IF(ISNUMBER(SEARCH(SUBSTITUTE(AW$1,RIGHT(AW$1,2),""),VLOOKUP($D147,素材!$1:$1016,COLUMN($F$1),FALSE))),VLOOKUP($C147,装備品!$1:$998,COLUMN($O$1),FALSE)*VLOOKUP($D147,素材!$1:$1016,COLUMN($E$1),FALSE)/(LEN(VLOOKUP($D147,素材!$1:$1016,COLUMN($F$1),FALSE))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X147">
        <f>IF(ISNUMBER(SEARCH(SUBSTITUTE(AX$1,RIGHT(AX$1,2),""),VLOOKUP($D147,素材!$1:$1016,COLUMN($F$1),FALSE))),VLOOKUP($C147,装備品!$1:$998,COLUMN($O$1),FALSE)*VLOOKUP($D147,素材!$1:$1016,COLUMN($E$1),FALSE)/(LEN(VLOOKUP($D147,素材!$1:$1016,COLUMN($F$1),FALSE))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Y147">
        <f>IF(ISNUMBER(SEARCH(SUBSTITUTE(AY$1,RIGHT(AY$1,2),""),VLOOKUP($D147,素材!$1:$1016,COLUMN($F$1),FALSE))),VLOOKUP($C147,装備品!$1:$998,COLUMN($O$1),FALSE)*VLOOKUP($D147,素材!$1:$1016,COLUMN($E$1),FALSE)/(LEN(VLOOKUP($D147,素材!$1:$1016,COLUMN($F$1),FALSE))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Z147">
        <f>IF(ISNUMBER(SEARCH(SUBSTITUTE(AZ$1,RIGHT(AZ$1,2),""),VLOOKUP($D147,素材!$1:$1016,COLUMN($F$1),FALSE))),VLOOKUP($C147,装備品!$1:$998,COLUMN($O$1),FALSE)*VLOOKUP($D147,素材!$1:$1016,COLUMN($E$1),FALSE)/(LEN(VLOOKUP($D147,素材!$1:$1016,COLUMN($F$1),FALSE))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BA147">
        <f>IF(ISNUMBER(SEARCH(SUBSTITUTE(BA$1,RIGHT(BA$1,2),""),VLOOKUP($D147,素材!$1:$1016,COLUMN($F$1),FALSE))),VLOOKUP($C147,装備品!$1:$998,COLUMN($O$1),FALSE)*VLOOKUP($D147,素材!$1:$1016,COLUMN($E$1),FALSE)/(LEN(VLOOKUP($D147,素材!$1:$1016,COLUMN($F$1),FALSE))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BB147">
        <f>IF(ISNUMBER(SEARCH(SUBSTITUTE(BB$1,RIGHT(BB$1,2),""),VLOOKUP($D147,素材!$1:$1016,COLUMN($F$1),FALSE))),VLOOKUP($C147,装備品!$1:$998,COLUMN($O$1),FALSE)*VLOOKUP($D147,素材!$1:$1016,COLUMN($E$1),FALSE)/(LEN(VLOOKUP($D147,素材!$1:$1016,COLUMN($F$1),FALSE))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BC147">
        <f>IF(ISNUMBER(SEARCH(SUBSTITUTE(BC$1,RIGHT(BC$1,2),""),VLOOKUP($D147,素材!$1:$1016,COLUMN($F$1),FALSE))),VLOOKUP($C147,装備品!$1:$998,COLUMN($O$1),FALSE)*VLOOKUP($D147,素材!$1:$1016,COLUMN($E$1),FALSE)/(LEN(VLOOKUP($D147,素材!$1:$1016,COLUMN($F$1),FALSE))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BD147">
        <f>IF(ISNUMBER(SEARCH(SUBSTITUTE(BD$1,RIGHT(BD$1,2),""),VLOOKUP($D147,素材!$1:$1016,COLUMN($F$1),FALSE))),VLOOKUP($C147,装備品!$1:$998,COLUMN($O$1),FALSE)*VLOOKUP($D147,素材!$1:$1016,COLUMN($E$1),FALSE)/(LEN(VLOOKUP($D147,素材!$1:$1016,COLUMN($F$1),FALSE))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BE147">
        <f>IF(ISNUMBER(SEARCH(SUBSTITUTE(BE$1,RIGHT(BE$1,2),""),VLOOKUP($D147,素材!$1:$1016,COLUMN($F$1),FALSE))),VLOOKUP($C147,装備品!$1:$998,COLUMN($O$1),FALSE)*VLOOKUP($D147,素材!$1:$1016,COLUMN($E$1),FALSE)/(LEN(VLOOKUP($D147,素材!$1:$1016,COLUMN($F$1),FALSE))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CL147">
        <f t="shared" si="19"/>
        <v>0</v>
      </c>
      <c r="CM147" s="22" t="str">
        <f t="shared" si="20"/>
        <v>体.webp</v>
      </c>
      <c r="CN147">
        <f>IFERROR(VLOOKUP($C147,装備品!$1:$998,COLUMN(V$1),FALSE)*VLOOKUP($D147,素材!$1:$1016,COLUMN(N$1),FALSE)+IF(CI147="",0,VLOOKUP($CI147,付与!$1:$1176,COLUMN($CK$1),FALSE)),"")</f>
        <v>0</v>
      </c>
      <c r="CO147" t="str">
        <f>VLOOKUP(D147,素材!$A:$O,COLUMN(素材!O$1),FALSE)</f>
        <v>氷属性を持つドラゴン型生物から採取される鱗素材。極寒の環境や冷気攻撃への対策として優れた性能を発揮します。</v>
      </c>
      <c r="CP147" t="str">
        <f>VLOOKUP(C147,装備品!$A:$AB,COLUMN(装備品!AB$1),FALSE)</f>
        <v>HP 物理 魔法 体幹 出血 疲労 Cr</v>
      </c>
      <c r="CR147" t="str">
        <f t="shared" si="24"/>
        <v>e_147</v>
      </c>
      <c r="CS147">
        <f t="shared" si="28"/>
        <v>0</v>
      </c>
    </row>
    <row r="148" spans="1:97" outlineLevel="1" x14ac:dyDescent="0.4">
      <c r="A148" t="str">
        <f t="shared" si="23"/>
        <v>氷蜥蜴の鱗の鎧</v>
      </c>
      <c r="B148" t="str">
        <f>IFERROR(VLOOKUP($D148,素材!$1:$1016,COLUMN($B$1),FALSE)&amp;"・"&amp;VLOOKUP($C148,装備品!$1:$998,COLUMN(B$1),FALSE),"")</f>
        <v>アイスドレイクスケール・アーマー</v>
      </c>
      <c r="C148" t="s">
        <v>207</v>
      </c>
      <c r="D148" s="24" t="s">
        <v>247</v>
      </c>
      <c r="E148" t="str">
        <f>IFERROR(VLOOKUP(C148,装備品!$1:$998,COLUMN(C$1),FALSE),"")</f>
        <v>体</v>
      </c>
      <c r="F148">
        <f>IFERROR(ROUNDDOWN((VLOOKUP($C148,装備品!$1:$998,COLUMN(D$1),FALSE)+IFERROR(VLOOKUP($CI148,付与!$1:$1167,COLUMN(F$1),FALSE),0))*VLOOKUP($D148,素材!$1:$1016,COLUMN(D$1),FALSE),0),"")</f>
        <v>0</v>
      </c>
      <c r="G148">
        <f>IFERROR(ROUNDDOWN((VLOOKUP($C148,装備品!$1:$998,COLUMN(E$1),FALSE)+IFERROR(VLOOKUP($CI148,付与!$1:$1167,COLUMN(G$1),FALSE),0))*VLOOKUP($D148,素材!$1:$1016,COLUMN($E$1),FALSE),0),"")</f>
        <v>0</v>
      </c>
      <c r="H148">
        <f>IFERROR(ROUNDDOWN((VLOOKUP($C148,装備品!$1:$998,COLUMN(F$1),FALSE)+IFERROR(VLOOKUP($CI148,付与!$1:$1167,COLUMN(H$1),FALSE),0))*VLOOKUP($D148,素材!$1:$1016,COLUMN($E$1),FALSE),0),"")</f>
        <v>0</v>
      </c>
      <c r="I148">
        <f>IFERROR(ROUNDDOWN((VLOOKUP($C148,装備品!$1:$998,COLUMN(G$1),FALSE)+IFERROR(VLOOKUP($CI148,付与!$1:$1167,COLUMN(I$1),FALSE),0))*VLOOKUP($D148,素材!$1:$1016,COLUMN($E$1),FALSE),0),"")</f>
        <v>0</v>
      </c>
      <c r="J148">
        <f>IFERROR(ROUNDDOWN((VLOOKUP($C148,装備品!$1:$998,COLUMN(H$1),FALSE)+IFERROR(VLOOKUP($CI148,付与!$1:$1167,COLUMN(J$1),FALSE),0))*VLOOKUP($D148,素材!$1:$1016,COLUMN($E$1),FALSE),0),"")</f>
        <v>0</v>
      </c>
      <c r="K148">
        <f>IFERROR(ROUNDDOWN((VLOOKUP($C148,装備品!$1:$998,COLUMN(I$1),FALSE)+IFERROR(VLOOKUP($CI148,付与!$1:$1167,COLUMN(K$1),FALSE),0))*VLOOKUP($D148,素材!$1:$1016,COLUMN($E$1),FALSE),0),"")</f>
        <v>0</v>
      </c>
      <c r="L148" t="str">
        <f>IFERROR(VLOOKUP($D148,素材!$1:$1016,COLUMN($F$1),FALSE),"")</f>
        <v>氷</v>
      </c>
      <c r="M148">
        <f>IFERROR(VLOOKUP($C148,装備品!$1:$998,COLUMN(AA$1),FALSE)*VLOOKUP($D148,素材!$1:$1016,COLUMN($G$1),FALSE),"")</f>
        <v>75</v>
      </c>
      <c r="N148">
        <f>IFERROR(VLOOKUP($C148,装備品!$1:$998,COLUMN(I$1),FALSE),"")</f>
        <v>0</v>
      </c>
      <c r="O148" s="23" t="str">
        <f>IFERROR((VLOOKUP($C148,装備品!$1:$998,COLUMN(K$1),FALSE)+VLOOKUP($D148,素材!$1:$1016,COLUMN(H$1),FALSE))*100+IFERROR(VLOOKUP($CI148,付与!$1:$1167,COLUMN(O$1),FALSE),0),"")</f>
        <v/>
      </c>
      <c r="P148" s="23" t="str">
        <f>IFERROR((VLOOKUP($C148,装備品!$1:$998,COLUMN(L$1),FALSE)+VLOOKUP($D148,素材!$1:$1016,COLUMN(I$1),FALSE))*100+IFERROR(VLOOKUP($CI148,付与!$1:$1167,COLUMN(P$1),FALSE),0),"")</f>
        <v/>
      </c>
      <c r="Q148">
        <f>IFERROR(ROUNDUP(VLOOKUP($C148,装備品!$1:$998,COLUMN(M$1),FALSE)*(VLOOKUP($D148,素材!$1:$1002,COLUMN(D$1),FALSE)/100),1),"")</f>
        <v>-12</v>
      </c>
      <c r="R148">
        <f>IFERROR(ROUNDUP(VLOOKUP($C148,装備品!$1:$998,COLUMN(N$1),FALSE)*(VLOOKUP($D148,素材!$1:$1002,COLUMN(D$1),FALSE)/100),1),"")</f>
        <v>0</v>
      </c>
      <c r="S148">
        <f>IFERROR(VLOOKUP($C148,装備品!$1:$998,COLUMN(P$1),FALSE),"")</f>
        <v>-35</v>
      </c>
      <c r="T148">
        <f>IFERROR(VLOOKUP($C148,装備品!$1:$998,COLUMN(Q$1),FALSE),"")</f>
        <v>0</v>
      </c>
      <c r="U148">
        <f>IFERROR(VLOOKUP($C148,装備品!$1:$998,COLUMN(R$1),FALSE),"")</f>
        <v>0</v>
      </c>
      <c r="V148">
        <f>IFERROR(VLOOKUP($C148,装備品!$1:$998,COLUMN(Q$1),FALSE),"")</f>
        <v>0</v>
      </c>
      <c r="W148">
        <f>IFERROR(VLOOKUP($C148,装備品!$1:$998,COLUMN(T$1),FALSE),"")</f>
        <v>0.7</v>
      </c>
      <c r="Y148">
        <f>IFERROR(VLOOKUP($C148,装備品!$1:$998,COLUMN(U$1),FALSE),"")</f>
        <v>0</v>
      </c>
      <c r="Z148">
        <f>IFERROR(ROUNDUP(VLOOKUP($C148,装備品!$1:$998,COLUMN(O$1),FALSE)*VLOOKUP($D148,素材!$1:$1016,COLUMN(E$1),FALSE),1),"")</f>
        <v>0</v>
      </c>
      <c r="AA148">
        <f>IF(ISNUMBER(SEARCH(SUBSTITUTE(AA$1,RIGHT(AA$1,2),""),VLOOKUP($D148,素材!$1:$1016,COLUMN($F$1),FALSE))),VLOOKUP($C148,装備品!$1:$998,COLUMN($O$1),FALSE)*VLOOKUP($D148,素材!$1:$1016,COLUMN($E$1),FALSE)/(LEN(VLOOKUP($D148,素材!$1:$1016,COLUMN($F$1),FALSE))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B148">
        <f>IF(ISNUMBER(SEARCH(SUBSTITUTE(AB$1,RIGHT(AB$1,2),""),VLOOKUP($D148,素材!$1:$1016,COLUMN($F$1),FALSE))),VLOOKUP($C148,装備品!$1:$998,COLUMN($O$1),FALSE)*VLOOKUP($D148,素材!$1:$1016,COLUMN($E$1),FALSE)/(LEN(VLOOKUP($D148,素材!$1:$1016,COLUMN($F$1),FALSE))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C148">
        <f>IF(ISNUMBER(SEARCH(SUBSTITUTE(AC$1,RIGHT(AC$1,2),""),VLOOKUP($D148,素材!$1:$1016,COLUMN($F$1),FALSE))),VLOOKUP($C148,装備品!$1:$998,COLUMN($O$1),FALSE)*VLOOKUP($D148,素材!$1:$1016,COLUMN($E$1),FALSE)/(LEN(VLOOKUP($D148,素材!$1:$1016,COLUMN($F$1),FALSE))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D148">
        <f>IF(ISNUMBER(SEARCH(SUBSTITUTE(AD$1,RIGHT(AD$1,2),""),VLOOKUP($D148,素材!$1:$1016,COLUMN($F$1),FALSE))),VLOOKUP($C148,装備品!$1:$998,COLUMN($O$1),FALSE)*VLOOKUP($D148,素材!$1:$1016,COLUMN($E$1),FALSE)/(LEN(VLOOKUP($D148,素材!$1:$1016,COLUMN($F$1),FALSE))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E148">
        <f>IF(ISNUMBER(SEARCH(SUBSTITUTE(AE$1,RIGHT(AE$1,2),""),VLOOKUP($D148,素材!$1:$1016,COLUMN($F$1),FALSE))),VLOOKUP($C148,装備品!$1:$998,COLUMN($O$1),FALSE)*VLOOKUP($D148,素材!$1:$1016,COLUMN($E$1),FALSE)/(LEN(VLOOKUP($D148,素材!$1:$1016,COLUMN($F$1),FALSE))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F148">
        <f>IF(ISNUMBER(SEARCH(SUBSTITUTE(AF$1,RIGHT(AF$1,2),""),VLOOKUP($D148,素材!$1:$1016,COLUMN($F$1),FALSE))),VLOOKUP($C148,装備品!$1:$998,COLUMN($O$1),FALSE)*VLOOKUP($D148,素材!$1:$1016,COLUMN($E$1),FALSE)/(LEN(VLOOKUP($D148,素材!$1:$1016,COLUMN($F$1),FALSE))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G148">
        <f>IF(ISNUMBER(SEARCH(SUBSTITUTE(AG$1,RIGHT(AG$1,2),""),VLOOKUP($D148,素材!$1:$1016,COLUMN($F$1),FALSE))),VLOOKUP($C148,装備品!$1:$998,COLUMN($O$1),FALSE)*VLOOKUP($D148,素材!$1:$1016,COLUMN($E$1),FALSE)/(LEN(VLOOKUP($D148,素材!$1:$1016,COLUMN($F$1),FALSE))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H148">
        <f>IF(ISNUMBER(SEARCH(SUBSTITUTE(AH$1,RIGHT(AH$1,2),""),VLOOKUP($D148,素材!$1:$1016,COLUMN($F$1),FALSE))),VLOOKUP($C148,装備品!$1:$998,COLUMN($O$1),FALSE)*VLOOKUP($D148,素材!$1:$1016,COLUMN($E$1),FALSE)/(LEN(VLOOKUP($D148,素材!$1:$1016,COLUMN($F$1),FALSE))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I148">
        <f>IF(ISNUMBER(SEARCH(SUBSTITUTE(AI$1,RIGHT(AI$1,2),""),VLOOKUP($D148,素材!$1:$1016,COLUMN($F$1),FALSE))),VLOOKUP($C148,装備品!$1:$998,COLUMN($O$1),FALSE)*VLOOKUP($D148,素材!$1:$1016,COLUMN($E$1),FALSE)/(LEN(VLOOKUP($D148,素材!$1:$1016,COLUMN($F$1),FALSE))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J148">
        <f>IF(ISNUMBER(SEARCH(SUBSTITUTE(AJ$1,RIGHT(AJ$1,2),""),VLOOKUP($D148,素材!$1:$1016,COLUMN($F$1),FALSE))),VLOOKUP($C148,装備品!$1:$998,COLUMN($O$1),FALSE)*VLOOKUP($D148,素材!$1:$1016,COLUMN($E$1),FALSE)/(LEN(VLOOKUP($D148,素材!$1:$1016,COLUMN($F$1),FALSE))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K148">
        <f>IF(ISNUMBER(SEARCH(SUBSTITUTE(AK$1,RIGHT(AK$1,2),""),VLOOKUP($D148,素材!$1:$1016,COLUMN($F$1),FALSE))),VLOOKUP($C148,装備品!$1:$998,COLUMN($O$1),FALSE)*VLOOKUP($D148,素材!$1:$1016,COLUMN($E$1),FALSE)/(LEN(VLOOKUP($D148,素材!$1:$1016,COLUMN($F$1),FALSE))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L148">
        <f>IF(ISNUMBER(SEARCH(SUBSTITUTE(AL$1,RIGHT(AL$1,2),""),VLOOKUP($D148,素材!$1:$1016,COLUMN($F$1),FALSE))),VLOOKUP($C148,装備品!$1:$998,COLUMN($O$1),FALSE)*VLOOKUP($D148,素材!$1:$1016,COLUMN($E$1),FALSE)/(LEN(VLOOKUP($D148,素材!$1:$1016,COLUMN($F$1),FALSE))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M148">
        <f>IF(ISNUMBER(SEARCH(SUBSTITUTE(AM$1,RIGHT(AM$1,2),""),VLOOKUP($D148,素材!$1:$1016,COLUMN($F$1),FALSE))),VLOOKUP($C148,装備品!$1:$998,COLUMN($O$1),FALSE)*VLOOKUP($D148,素材!$1:$1016,COLUMN($E$1),FALSE)/(LEN(VLOOKUP($D148,素材!$1:$1016,COLUMN($F$1),FALSE))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N148">
        <f>IF(ISNUMBER(SEARCH(SUBSTITUTE(AN$1,RIGHT(AN$1,2),""),VLOOKUP($D148,素材!$1:$1016,COLUMN($F$1),FALSE))),VLOOKUP($C148,装備品!$1:$998,COLUMN($O$1),FALSE)*VLOOKUP($D148,素材!$1:$1016,COLUMN($E$1),FALSE)/(LEN(VLOOKUP($D148,素材!$1:$1016,COLUMN($F$1),FALSE))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O148">
        <f>IF(ISNUMBER(SEARCH(SUBSTITUTE(AO$1,RIGHT(AO$1,2),""),VLOOKUP($D148,素材!$1:$1016,COLUMN($F$1),FALSE))),VLOOKUP($C148,装備品!$1:$998,COLUMN($O$1),FALSE)*VLOOKUP($D148,素材!$1:$1016,COLUMN($E$1),FALSE)/(LEN(VLOOKUP($D148,素材!$1:$1016,COLUMN($F$1),FALSE))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P148">
        <f>IF(ISNUMBER(SEARCH(SUBSTITUTE(AP$1,RIGHT(AP$1,2),""),VLOOKUP($D148,素材!$1:$1016,COLUMN($F$1),FALSE))),VLOOKUP($C148,装備品!$1:$998,COLUMN($O$1),FALSE)*VLOOKUP($D148,素材!$1:$1016,COLUMN($E$1),FALSE)/(LEN(VLOOKUP($D148,素材!$1:$1016,COLUMN($F$1),FALSE))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Q148">
        <f>IF(ISNUMBER(SEARCH(SUBSTITUTE(AQ$1,RIGHT(AQ$1,2),""),VLOOKUP($D148,素材!$1:$1016,COLUMN($F$1),FALSE))),VLOOKUP($C148,装備品!$1:$998,COLUMN($O$1),FALSE)*VLOOKUP($D148,素材!$1:$1016,COLUMN($E$1),FALSE)/(LEN(VLOOKUP($D148,素材!$1:$1016,COLUMN($F$1),FALSE))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R148">
        <f>IF(ISNUMBER(SEARCH(SUBSTITUTE(AR$1,RIGHT(AR$1,2),""),VLOOKUP($D148,素材!$1:$1016,COLUMN($F$1),FALSE))),VLOOKUP($C148,装備品!$1:$998,COLUMN($O$1),FALSE)*VLOOKUP($D148,素材!$1:$1016,COLUMN($E$1),FALSE)/(LEN(VLOOKUP($D148,素材!$1:$1016,COLUMN($F$1),FALSE))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S148">
        <f>IF(ISNUMBER(SEARCH(SUBSTITUTE(AS$1,RIGHT(AS$1,2),""),VLOOKUP($D148,素材!$1:$1016,COLUMN($F$1),FALSE))),VLOOKUP($C148,装備品!$1:$998,COLUMN($O$1),FALSE)*VLOOKUP($D148,素材!$1:$1016,COLUMN($E$1),FALSE)/(LEN(VLOOKUP($D148,素材!$1:$1016,COLUMN($F$1),FALSE))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T148">
        <f>IF(ISNUMBER(SEARCH(SUBSTITUTE(AT$1,RIGHT(AT$1,2),""),VLOOKUP($D148,素材!$1:$1016,COLUMN($F$1),FALSE))),VLOOKUP($C148,装備品!$1:$998,COLUMN($O$1),FALSE)*VLOOKUP($D148,素材!$1:$1016,COLUMN($E$1),FALSE)/(LEN(VLOOKUP($D148,素材!$1:$1016,COLUMN($F$1),FALSE))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U148">
        <f>IF(ISNUMBER(SEARCH(SUBSTITUTE(AU$1,RIGHT(AU$1,2),""),VLOOKUP($D148,素材!$1:$1016,COLUMN($F$1),FALSE))),VLOOKUP($C148,装備品!$1:$998,COLUMN($O$1),FALSE)*VLOOKUP($D148,素材!$1:$1016,COLUMN($E$1),FALSE)/(LEN(VLOOKUP($D148,素材!$1:$1016,COLUMN($F$1),FALSE))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V148">
        <f>IF(ISNUMBER(SEARCH(SUBSTITUTE(AV$1,RIGHT(AV$1,2),""),VLOOKUP($D148,素材!$1:$1016,COLUMN($F$1),FALSE))),VLOOKUP($C148,装備品!$1:$998,COLUMN($O$1),FALSE)*VLOOKUP($D148,素材!$1:$1016,COLUMN($E$1),FALSE)/(LEN(VLOOKUP($D148,素材!$1:$1016,COLUMN($F$1),FALSE))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W148">
        <f>IF(ISNUMBER(SEARCH(SUBSTITUTE(AW$1,RIGHT(AW$1,2),""),VLOOKUP($D148,素材!$1:$1016,COLUMN($F$1),FALSE))),VLOOKUP($C148,装備品!$1:$998,COLUMN($O$1),FALSE)*VLOOKUP($D148,素材!$1:$1016,COLUMN($E$1),FALSE)/(LEN(VLOOKUP($D148,素材!$1:$1016,COLUMN($F$1),FALSE))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X148">
        <f>IF(ISNUMBER(SEARCH(SUBSTITUTE(AX$1,RIGHT(AX$1,2),""),VLOOKUP($D148,素材!$1:$1016,COLUMN($F$1),FALSE))),VLOOKUP($C148,装備品!$1:$998,COLUMN($O$1),FALSE)*VLOOKUP($D148,素材!$1:$1016,COLUMN($E$1),FALSE)/(LEN(VLOOKUP($D148,素材!$1:$1016,COLUMN($F$1),FALSE))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Y148">
        <f>IF(ISNUMBER(SEARCH(SUBSTITUTE(AY$1,RIGHT(AY$1,2),""),VLOOKUP($D148,素材!$1:$1016,COLUMN($F$1),FALSE))),VLOOKUP($C148,装備品!$1:$998,COLUMN($O$1),FALSE)*VLOOKUP($D148,素材!$1:$1016,COLUMN($E$1),FALSE)/(LEN(VLOOKUP($D148,素材!$1:$1016,COLUMN($F$1),FALSE))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Z148">
        <f>IF(ISNUMBER(SEARCH(SUBSTITUTE(AZ$1,RIGHT(AZ$1,2),""),VLOOKUP($D148,素材!$1:$1016,COLUMN($F$1),FALSE))),VLOOKUP($C148,装備品!$1:$998,COLUMN($O$1),FALSE)*VLOOKUP($D148,素材!$1:$1016,COLUMN($E$1),FALSE)/(LEN(VLOOKUP($D148,素材!$1:$1016,COLUMN($F$1),FALSE))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BA148">
        <f>IF(ISNUMBER(SEARCH(SUBSTITUTE(BA$1,RIGHT(BA$1,2),""),VLOOKUP($D148,素材!$1:$1016,COLUMN($F$1),FALSE))),VLOOKUP($C148,装備品!$1:$998,COLUMN($O$1),FALSE)*VLOOKUP($D148,素材!$1:$1016,COLUMN($E$1),FALSE)/(LEN(VLOOKUP($D148,素材!$1:$1016,COLUMN($F$1),FALSE))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BB148">
        <f>IF(ISNUMBER(SEARCH(SUBSTITUTE(BB$1,RIGHT(BB$1,2),""),VLOOKUP($D148,素材!$1:$1016,COLUMN($F$1),FALSE))),VLOOKUP($C148,装備品!$1:$998,COLUMN($O$1),FALSE)*VLOOKUP($D148,素材!$1:$1016,COLUMN($E$1),FALSE)/(LEN(VLOOKUP($D148,素材!$1:$1016,COLUMN($F$1),FALSE))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BC148">
        <f>IF(ISNUMBER(SEARCH(SUBSTITUTE(BC$1,RIGHT(BC$1,2),""),VLOOKUP($D148,素材!$1:$1016,COLUMN($F$1),FALSE))),VLOOKUP($C148,装備品!$1:$998,COLUMN($O$1),FALSE)*VLOOKUP($D148,素材!$1:$1016,COLUMN($E$1),FALSE)/(LEN(VLOOKUP($D148,素材!$1:$1016,COLUMN($F$1),FALSE))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BD148">
        <f>IF(ISNUMBER(SEARCH(SUBSTITUTE(BD$1,RIGHT(BD$1,2),""),VLOOKUP($D148,素材!$1:$1016,COLUMN($F$1),FALSE))),VLOOKUP($C148,装備品!$1:$998,COLUMN($O$1),FALSE)*VLOOKUP($D148,素材!$1:$1016,COLUMN($E$1),FALSE)/(LEN(VLOOKUP($D148,素材!$1:$1016,COLUMN($F$1),FALSE))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BE148">
        <f>IF(ISNUMBER(SEARCH(SUBSTITUTE(BE$1,RIGHT(BE$1,2),""),VLOOKUP($D148,素材!$1:$1016,COLUMN($F$1),FALSE))),VLOOKUP($C148,装備品!$1:$998,COLUMN($O$1),FALSE)*VLOOKUP($D148,素材!$1:$1016,COLUMN($E$1),FALSE)/(LEN(VLOOKUP($D148,素材!$1:$1016,COLUMN($F$1),FALSE))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CL148">
        <f t="shared" si="19"/>
        <v>0</v>
      </c>
      <c r="CM148" s="22" t="str">
        <f t="shared" si="20"/>
        <v>体.webp</v>
      </c>
      <c r="CN148">
        <f>IFERROR(VLOOKUP($C148,装備品!$1:$998,COLUMN(V$1),FALSE)*VLOOKUP($D148,素材!$1:$1016,COLUMN(N$1),FALSE)+IF(CI148="",0,VLOOKUP($CI148,付与!$1:$1176,COLUMN($CK$1),FALSE)),"")</f>
        <v>0</v>
      </c>
      <c r="CO148" t="str">
        <f>VLOOKUP(D148,素材!$A:$O,COLUMN(素材!O$1),FALSE)</f>
        <v>氷属性を持つドラゴン型生物から採取される鱗素材。極寒の環境や冷気攻撃への対策として優れた性能を発揮します。</v>
      </c>
      <c r="CP148" t="str">
        <f>VLOOKUP(C148,装備品!$A:$AB,COLUMN(装備品!AB$1),FALSE)</f>
        <v>HP 物理 魔法 体幹 出血 疲労 Cr</v>
      </c>
      <c r="CR148" t="str">
        <f t="shared" si="24"/>
        <v>e_148</v>
      </c>
      <c r="CS148">
        <f t="shared" si="28"/>
        <v>0</v>
      </c>
    </row>
    <row r="149" spans="1:97" outlineLevel="1" x14ac:dyDescent="0.4">
      <c r="A149" t="str">
        <f t="shared" si="23"/>
        <v>氷蜥蜴の鱗の胴衣</v>
      </c>
      <c r="B149" t="str">
        <f>IFERROR(VLOOKUP($D149,素材!$1:$1016,COLUMN($B$1),FALSE)&amp;"・"&amp;VLOOKUP($C149,装備品!$1:$998,COLUMN(B$1),FALSE),"")</f>
        <v>アイスドレイクスケール・ベスト</v>
      </c>
      <c r="C149" t="s">
        <v>206</v>
      </c>
      <c r="D149" s="24" t="s">
        <v>247</v>
      </c>
      <c r="E149" t="str">
        <f>IFERROR(VLOOKUP(C149,装備品!$1:$998,COLUMN(C$1),FALSE),"")</f>
        <v>体</v>
      </c>
      <c r="F149">
        <f>IFERROR(ROUNDDOWN((VLOOKUP($C149,装備品!$1:$998,COLUMN(D$1),FALSE)+IFERROR(VLOOKUP($CI149,付与!$1:$1167,COLUMN(F$1),FALSE),0))*VLOOKUP($D149,素材!$1:$1016,COLUMN(D$1),FALSE),0),"")</f>
        <v>0</v>
      </c>
      <c r="G149">
        <f>IFERROR(ROUNDDOWN((VLOOKUP($C149,装備品!$1:$998,COLUMN(E$1),FALSE)+IFERROR(VLOOKUP($CI149,付与!$1:$1167,COLUMN(G$1),FALSE),0))*VLOOKUP($D149,素材!$1:$1016,COLUMN($E$1),FALSE),0),"")</f>
        <v>0</v>
      </c>
      <c r="H149">
        <f>IFERROR(ROUNDDOWN((VLOOKUP($C149,装備品!$1:$998,COLUMN(F$1),FALSE)+IFERROR(VLOOKUP($CI149,付与!$1:$1167,COLUMN(H$1),FALSE),0))*VLOOKUP($D149,素材!$1:$1016,COLUMN($E$1),FALSE),0),"")</f>
        <v>0</v>
      </c>
      <c r="I149">
        <f>IFERROR(ROUNDDOWN((VLOOKUP($C149,装備品!$1:$998,COLUMN(G$1),FALSE)+IFERROR(VLOOKUP($CI149,付与!$1:$1167,COLUMN(I$1),FALSE),0))*VLOOKUP($D149,素材!$1:$1016,COLUMN($E$1),FALSE),0),"")</f>
        <v>0</v>
      </c>
      <c r="J149">
        <f>IFERROR(ROUNDDOWN((VLOOKUP($C149,装備品!$1:$998,COLUMN(H$1),FALSE)+IFERROR(VLOOKUP($CI149,付与!$1:$1167,COLUMN(J$1),FALSE),0))*VLOOKUP($D149,素材!$1:$1016,COLUMN($E$1),FALSE),0),"")</f>
        <v>0</v>
      </c>
      <c r="K149">
        <f>IFERROR(ROUNDDOWN((VLOOKUP($C149,装備品!$1:$998,COLUMN(I$1),FALSE)+IFERROR(VLOOKUP($CI149,付与!$1:$1167,COLUMN(K$1),FALSE),0))*VLOOKUP($D149,素材!$1:$1016,COLUMN($E$1),FALSE),0),"")</f>
        <v>0</v>
      </c>
      <c r="L149" t="str">
        <f>IFERROR(VLOOKUP($D149,素材!$1:$1016,COLUMN($F$1),FALSE),"")</f>
        <v>氷</v>
      </c>
      <c r="M149">
        <f>IFERROR(VLOOKUP($C149,装備品!$1:$998,COLUMN(AA$1),FALSE)*VLOOKUP($D149,素材!$1:$1016,COLUMN($G$1),FALSE),"")</f>
        <v>62.5</v>
      </c>
      <c r="N149">
        <f>IFERROR(VLOOKUP($C149,装備品!$1:$998,COLUMN(I$1),FALSE),"")</f>
        <v>0</v>
      </c>
      <c r="O149" s="23" t="str">
        <f>IFERROR((VLOOKUP($C149,装備品!$1:$998,COLUMN(K$1),FALSE)+VLOOKUP($D149,素材!$1:$1016,COLUMN(H$1),FALSE))*100+IFERROR(VLOOKUP($CI149,付与!$1:$1167,COLUMN(O$1),FALSE),0),"")</f>
        <v/>
      </c>
      <c r="P149" s="23" t="str">
        <f>IFERROR((VLOOKUP($C149,装備品!$1:$998,COLUMN(L$1),FALSE)+VLOOKUP($D149,素材!$1:$1016,COLUMN(I$1),FALSE))*100+IFERROR(VLOOKUP($CI149,付与!$1:$1167,COLUMN(P$1),FALSE),0),"")</f>
        <v/>
      </c>
      <c r="Q149">
        <f>IFERROR(ROUNDUP(VLOOKUP($C149,装備品!$1:$998,COLUMN(M$1),FALSE)*(VLOOKUP($D149,素材!$1:$1002,COLUMN(D$1),FALSE)/100),1),"")</f>
        <v>-6</v>
      </c>
      <c r="R149">
        <f>IFERROR(ROUNDUP(VLOOKUP($C149,装備品!$1:$998,COLUMN(N$1),FALSE)*(VLOOKUP($D149,素材!$1:$1002,COLUMN(D$1),FALSE)/100),1),"")</f>
        <v>0</v>
      </c>
      <c r="S149">
        <f>IFERROR(VLOOKUP($C149,装備品!$1:$998,COLUMN(P$1),FALSE),"")</f>
        <v>-15</v>
      </c>
      <c r="T149">
        <f>IFERROR(VLOOKUP($C149,装備品!$1:$998,COLUMN(Q$1),FALSE),"")</f>
        <v>0</v>
      </c>
      <c r="U149">
        <f>IFERROR(VLOOKUP($C149,装備品!$1:$998,COLUMN(R$1),FALSE),"")</f>
        <v>0</v>
      </c>
      <c r="V149">
        <f>IFERROR(VLOOKUP($C149,装備品!$1:$998,COLUMN(Q$1),FALSE),"")</f>
        <v>0</v>
      </c>
      <c r="W149">
        <f>IFERROR(VLOOKUP($C149,装備品!$1:$998,COLUMN(T$1),FALSE),"")</f>
        <v>0.5</v>
      </c>
      <c r="Y149">
        <f>IFERROR(VLOOKUP($C149,装備品!$1:$998,COLUMN(U$1),FALSE),"")</f>
        <v>0</v>
      </c>
      <c r="Z149">
        <f>IFERROR(ROUNDUP(VLOOKUP($C149,装備品!$1:$998,COLUMN(O$1),FALSE)*VLOOKUP($D149,素材!$1:$1016,COLUMN(E$1),FALSE),1),"")</f>
        <v>0</v>
      </c>
      <c r="AA149">
        <f>IF(ISNUMBER(SEARCH(SUBSTITUTE(AA$1,RIGHT(AA$1,2),""),VLOOKUP($D149,素材!$1:$1016,COLUMN($F$1),FALSE))),VLOOKUP($C149,装備品!$1:$998,COLUMN($O$1),FALSE)*VLOOKUP($D149,素材!$1:$1016,COLUMN($E$1),FALSE)/(LEN(VLOOKUP($D149,素材!$1:$1016,COLUMN($F$1),FALSE))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B149">
        <f>IF(ISNUMBER(SEARCH(SUBSTITUTE(AB$1,RIGHT(AB$1,2),""),VLOOKUP($D149,素材!$1:$1016,COLUMN($F$1),FALSE))),VLOOKUP($C149,装備品!$1:$998,COLUMN($O$1),FALSE)*VLOOKUP($D149,素材!$1:$1016,COLUMN($E$1),FALSE)/(LEN(VLOOKUP($D149,素材!$1:$1016,COLUMN($F$1),FALSE))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C149">
        <f>IF(ISNUMBER(SEARCH(SUBSTITUTE(AC$1,RIGHT(AC$1,2),""),VLOOKUP($D149,素材!$1:$1016,COLUMN($F$1),FALSE))),VLOOKUP($C149,装備品!$1:$998,COLUMN($O$1),FALSE)*VLOOKUP($D149,素材!$1:$1016,COLUMN($E$1),FALSE)/(LEN(VLOOKUP($D149,素材!$1:$1016,COLUMN($F$1),FALSE))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D149">
        <f>IF(ISNUMBER(SEARCH(SUBSTITUTE(AD$1,RIGHT(AD$1,2),""),VLOOKUP($D149,素材!$1:$1016,COLUMN($F$1),FALSE))),VLOOKUP($C149,装備品!$1:$998,COLUMN($O$1),FALSE)*VLOOKUP($D149,素材!$1:$1016,COLUMN($E$1),FALSE)/(LEN(VLOOKUP($D149,素材!$1:$1016,COLUMN($F$1),FALSE))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E149">
        <f>IF(ISNUMBER(SEARCH(SUBSTITUTE(AE$1,RIGHT(AE$1,2),""),VLOOKUP($D149,素材!$1:$1016,COLUMN($F$1),FALSE))),VLOOKUP($C149,装備品!$1:$998,COLUMN($O$1),FALSE)*VLOOKUP($D149,素材!$1:$1016,COLUMN($E$1),FALSE)/(LEN(VLOOKUP($D149,素材!$1:$1016,COLUMN($F$1),FALSE))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F149">
        <f>IF(ISNUMBER(SEARCH(SUBSTITUTE(AF$1,RIGHT(AF$1,2),""),VLOOKUP($D149,素材!$1:$1016,COLUMN($F$1),FALSE))),VLOOKUP($C149,装備品!$1:$998,COLUMN($O$1),FALSE)*VLOOKUP($D149,素材!$1:$1016,COLUMN($E$1),FALSE)/(LEN(VLOOKUP($D149,素材!$1:$1016,COLUMN($F$1),FALSE))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G149">
        <f>IF(ISNUMBER(SEARCH(SUBSTITUTE(AG$1,RIGHT(AG$1,2),""),VLOOKUP($D149,素材!$1:$1016,COLUMN($F$1),FALSE))),VLOOKUP($C149,装備品!$1:$998,COLUMN($O$1),FALSE)*VLOOKUP($D149,素材!$1:$1016,COLUMN($E$1),FALSE)/(LEN(VLOOKUP($D149,素材!$1:$1016,COLUMN($F$1),FALSE))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H149">
        <f>IF(ISNUMBER(SEARCH(SUBSTITUTE(AH$1,RIGHT(AH$1,2),""),VLOOKUP($D149,素材!$1:$1016,COLUMN($F$1),FALSE))),VLOOKUP($C149,装備品!$1:$998,COLUMN($O$1),FALSE)*VLOOKUP($D149,素材!$1:$1016,COLUMN($E$1),FALSE)/(LEN(VLOOKUP($D149,素材!$1:$1016,COLUMN($F$1),FALSE))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I149">
        <f>IF(ISNUMBER(SEARCH(SUBSTITUTE(AI$1,RIGHT(AI$1,2),""),VLOOKUP($D149,素材!$1:$1016,COLUMN($F$1),FALSE))),VLOOKUP($C149,装備品!$1:$998,COLUMN($O$1),FALSE)*VLOOKUP($D149,素材!$1:$1016,COLUMN($E$1),FALSE)/(LEN(VLOOKUP($D149,素材!$1:$1016,COLUMN($F$1),FALSE))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J149">
        <f>IF(ISNUMBER(SEARCH(SUBSTITUTE(AJ$1,RIGHT(AJ$1,2),""),VLOOKUP($D149,素材!$1:$1016,COLUMN($F$1),FALSE))),VLOOKUP($C149,装備品!$1:$998,COLUMN($O$1),FALSE)*VLOOKUP($D149,素材!$1:$1016,COLUMN($E$1),FALSE)/(LEN(VLOOKUP($D149,素材!$1:$1016,COLUMN($F$1),FALSE))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K149">
        <f>IF(ISNUMBER(SEARCH(SUBSTITUTE(AK$1,RIGHT(AK$1,2),""),VLOOKUP($D149,素材!$1:$1016,COLUMN($F$1),FALSE))),VLOOKUP($C149,装備品!$1:$998,COLUMN($O$1),FALSE)*VLOOKUP($D149,素材!$1:$1016,COLUMN($E$1),FALSE)/(LEN(VLOOKUP($D149,素材!$1:$1016,COLUMN($F$1),FALSE))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L149">
        <f>IF(ISNUMBER(SEARCH(SUBSTITUTE(AL$1,RIGHT(AL$1,2),""),VLOOKUP($D149,素材!$1:$1016,COLUMN($F$1),FALSE))),VLOOKUP($C149,装備品!$1:$998,COLUMN($O$1),FALSE)*VLOOKUP($D149,素材!$1:$1016,COLUMN($E$1),FALSE)/(LEN(VLOOKUP($D149,素材!$1:$1016,COLUMN($F$1),FALSE))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M149">
        <f>IF(ISNUMBER(SEARCH(SUBSTITUTE(AM$1,RIGHT(AM$1,2),""),VLOOKUP($D149,素材!$1:$1016,COLUMN($F$1),FALSE))),VLOOKUP($C149,装備品!$1:$998,COLUMN($O$1),FALSE)*VLOOKUP($D149,素材!$1:$1016,COLUMN($E$1),FALSE)/(LEN(VLOOKUP($D149,素材!$1:$1016,COLUMN($F$1),FALSE))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N149">
        <f>IF(ISNUMBER(SEARCH(SUBSTITUTE(AN$1,RIGHT(AN$1,2),""),VLOOKUP($D149,素材!$1:$1016,COLUMN($F$1),FALSE))),VLOOKUP($C149,装備品!$1:$998,COLUMN($O$1),FALSE)*VLOOKUP($D149,素材!$1:$1016,COLUMN($E$1),FALSE)/(LEN(VLOOKUP($D149,素材!$1:$1016,COLUMN($F$1),FALSE))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O149">
        <f>IF(ISNUMBER(SEARCH(SUBSTITUTE(AO$1,RIGHT(AO$1,2),""),VLOOKUP($D149,素材!$1:$1016,COLUMN($F$1),FALSE))),VLOOKUP($C149,装備品!$1:$998,COLUMN($O$1),FALSE)*VLOOKUP($D149,素材!$1:$1016,COLUMN($E$1),FALSE)/(LEN(VLOOKUP($D149,素材!$1:$1016,COLUMN($F$1),FALSE))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P149">
        <f>IF(ISNUMBER(SEARCH(SUBSTITUTE(AP$1,RIGHT(AP$1,2),""),VLOOKUP($D149,素材!$1:$1016,COLUMN($F$1),FALSE))),VLOOKUP($C149,装備品!$1:$998,COLUMN($O$1),FALSE)*VLOOKUP($D149,素材!$1:$1016,COLUMN($E$1),FALSE)/(LEN(VLOOKUP($D149,素材!$1:$1016,COLUMN($F$1),FALSE))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Q149">
        <f>IF(ISNUMBER(SEARCH(SUBSTITUTE(AQ$1,RIGHT(AQ$1,2),""),VLOOKUP($D149,素材!$1:$1016,COLUMN($F$1),FALSE))),VLOOKUP($C149,装備品!$1:$998,COLUMN($O$1),FALSE)*VLOOKUP($D149,素材!$1:$1016,COLUMN($E$1),FALSE)/(LEN(VLOOKUP($D149,素材!$1:$1016,COLUMN($F$1),FALSE))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R149">
        <f>IF(ISNUMBER(SEARCH(SUBSTITUTE(AR$1,RIGHT(AR$1,2),""),VLOOKUP($D149,素材!$1:$1016,COLUMN($F$1),FALSE))),VLOOKUP($C149,装備品!$1:$998,COLUMN($O$1),FALSE)*VLOOKUP($D149,素材!$1:$1016,COLUMN($E$1),FALSE)/(LEN(VLOOKUP($D149,素材!$1:$1016,COLUMN($F$1),FALSE))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S149">
        <f>IF(ISNUMBER(SEARCH(SUBSTITUTE(AS$1,RIGHT(AS$1,2),""),VLOOKUP($D149,素材!$1:$1016,COLUMN($F$1),FALSE))),VLOOKUP($C149,装備品!$1:$998,COLUMN($O$1),FALSE)*VLOOKUP($D149,素材!$1:$1016,COLUMN($E$1),FALSE)/(LEN(VLOOKUP($D149,素材!$1:$1016,COLUMN($F$1),FALSE))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T149">
        <f>IF(ISNUMBER(SEARCH(SUBSTITUTE(AT$1,RIGHT(AT$1,2),""),VLOOKUP($D149,素材!$1:$1016,COLUMN($F$1),FALSE))),VLOOKUP($C149,装備品!$1:$998,COLUMN($O$1),FALSE)*VLOOKUP($D149,素材!$1:$1016,COLUMN($E$1),FALSE)/(LEN(VLOOKUP($D149,素材!$1:$1016,COLUMN($F$1),FALSE))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U149">
        <f>IF(ISNUMBER(SEARCH(SUBSTITUTE(AU$1,RIGHT(AU$1,2),""),VLOOKUP($D149,素材!$1:$1016,COLUMN($F$1),FALSE))),VLOOKUP($C149,装備品!$1:$998,COLUMN($O$1),FALSE)*VLOOKUP($D149,素材!$1:$1016,COLUMN($E$1),FALSE)/(LEN(VLOOKUP($D149,素材!$1:$1016,COLUMN($F$1),FALSE))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V149">
        <f>IF(ISNUMBER(SEARCH(SUBSTITUTE(AV$1,RIGHT(AV$1,2),""),VLOOKUP($D149,素材!$1:$1016,COLUMN($F$1),FALSE))),VLOOKUP($C149,装備品!$1:$998,COLUMN($O$1),FALSE)*VLOOKUP($D149,素材!$1:$1016,COLUMN($E$1),FALSE)/(LEN(VLOOKUP($D149,素材!$1:$1016,COLUMN($F$1),FALSE))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W149">
        <f>IF(ISNUMBER(SEARCH(SUBSTITUTE(AW$1,RIGHT(AW$1,2),""),VLOOKUP($D149,素材!$1:$1016,COLUMN($F$1),FALSE))),VLOOKUP($C149,装備品!$1:$998,COLUMN($O$1),FALSE)*VLOOKUP($D149,素材!$1:$1016,COLUMN($E$1),FALSE)/(LEN(VLOOKUP($D149,素材!$1:$1016,COLUMN($F$1),FALSE))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X149">
        <f>IF(ISNUMBER(SEARCH(SUBSTITUTE(AX$1,RIGHT(AX$1,2),""),VLOOKUP($D149,素材!$1:$1016,COLUMN($F$1),FALSE))),VLOOKUP($C149,装備品!$1:$998,COLUMN($O$1),FALSE)*VLOOKUP($D149,素材!$1:$1016,COLUMN($E$1),FALSE)/(LEN(VLOOKUP($D149,素材!$1:$1016,COLUMN($F$1),FALSE))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Y149">
        <f>IF(ISNUMBER(SEARCH(SUBSTITUTE(AY$1,RIGHT(AY$1,2),""),VLOOKUP($D149,素材!$1:$1016,COLUMN($F$1),FALSE))),VLOOKUP($C149,装備品!$1:$998,COLUMN($O$1),FALSE)*VLOOKUP($D149,素材!$1:$1016,COLUMN($E$1),FALSE)/(LEN(VLOOKUP($D149,素材!$1:$1016,COLUMN($F$1),FALSE))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Z149">
        <f>IF(ISNUMBER(SEARCH(SUBSTITUTE(AZ$1,RIGHT(AZ$1,2),""),VLOOKUP($D149,素材!$1:$1016,COLUMN($F$1),FALSE))),VLOOKUP($C149,装備品!$1:$998,COLUMN($O$1),FALSE)*VLOOKUP($D149,素材!$1:$1016,COLUMN($E$1),FALSE)/(LEN(VLOOKUP($D149,素材!$1:$1016,COLUMN($F$1),FALSE))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BA149">
        <f>IF(ISNUMBER(SEARCH(SUBSTITUTE(BA$1,RIGHT(BA$1,2),""),VLOOKUP($D149,素材!$1:$1016,COLUMN($F$1),FALSE))),VLOOKUP($C149,装備品!$1:$998,COLUMN($O$1),FALSE)*VLOOKUP($D149,素材!$1:$1016,COLUMN($E$1),FALSE)/(LEN(VLOOKUP($D149,素材!$1:$1016,COLUMN($F$1),FALSE))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BB149">
        <f>IF(ISNUMBER(SEARCH(SUBSTITUTE(BB$1,RIGHT(BB$1,2),""),VLOOKUP($D149,素材!$1:$1016,COLUMN($F$1),FALSE))),VLOOKUP($C149,装備品!$1:$998,COLUMN($O$1),FALSE)*VLOOKUP($D149,素材!$1:$1016,COLUMN($E$1),FALSE)/(LEN(VLOOKUP($D149,素材!$1:$1016,COLUMN($F$1),FALSE))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BC149">
        <f>IF(ISNUMBER(SEARCH(SUBSTITUTE(BC$1,RIGHT(BC$1,2),""),VLOOKUP($D149,素材!$1:$1016,COLUMN($F$1),FALSE))),VLOOKUP($C149,装備品!$1:$998,COLUMN($O$1),FALSE)*VLOOKUP($D149,素材!$1:$1016,COLUMN($E$1),FALSE)/(LEN(VLOOKUP($D149,素材!$1:$1016,COLUMN($F$1),FALSE))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BD149">
        <f>IF(ISNUMBER(SEARCH(SUBSTITUTE(BD$1,RIGHT(BD$1,2),""),VLOOKUP($D149,素材!$1:$1016,COLUMN($F$1),FALSE))),VLOOKUP($C149,装備品!$1:$998,COLUMN($O$1),FALSE)*VLOOKUP($D149,素材!$1:$1016,COLUMN($E$1),FALSE)/(LEN(VLOOKUP($D149,素材!$1:$1016,COLUMN($F$1),FALSE))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BE149">
        <f>IF(ISNUMBER(SEARCH(SUBSTITUTE(BE$1,RIGHT(BE$1,2),""),VLOOKUP($D149,素材!$1:$1016,COLUMN($F$1),FALSE))),VLOOKUP($C149,装備品!$1:$998,COLUMN($O$1),FALSE)*VLOOKUP($D149,素材!$1:$1016,COLUMN($E$1),FALSE)/(LEN(VLOOKUP($D149,素材!$1:$1016,COLUMN($F$1),FALSE))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CL149">
        <f t="shared" si="19"/>
        <v>0</v>
      </c>
      <c r="CM149" s="22" t="str">
        <f t="shared" si="20"/>
        <v>体.webp</v>
      </c>
      <c r="CN149">
        <f>IFERROR(VLOOKUP($C149,装備品!$1:$998,COLUMN(V$1),FALSE)*VLOOKUP($D149,素材!$1:$1016,COLUMN(N$1),FALSE)+IF(CI149="",0,VLOOKUP($CI149,付与!$1:$1176,COLUMN($CK$1),FALSE)),"")</f>
        <v>0</v>
      </c>
      <c r="CO149" t="str">
        <f>VLOOKUP(D149,素材!$A:$O,COLUMN(素材!O$1),FALSE)</f>
        <v>氷属性を持つドラゴン型生物から採取される鱗素材。極寒の環境や冷気攻撃への対策として優れた性能を発揮します。</v>
      </c>
      <c r="CP149" t="str">
        <f>VLOOKUP(C149,装備品!$A:$AB,COLUMN(装備品!AB$1),FALSE)</f>
        <v>HP 物理 魔法 体幹 出血 疲労 Cr</v>
      </c>
      <c r="CR149" t="str">
        <f t="shared" si="24"/>
        <v>e_149</v>
      </c>
      <c r="CS149">
        <f t="shared" si="28"/>
        <v>0</v>
      </c>
    </row>
    <row r="150" spans="1:97" outlineLevel="1" x14ac:dyDescent="0.4">
      <c r="A150" t="str">
        <f t="shared" ref="A150" si="31">D150&amp;"の"&amp;C150</f>
        <v>炎蜥蜴の鱗の帽子</v>
      </c>
      <c r="B150" t="str">
        <f>IFERROR(VLOOKUP($D150,素材!$1:$1016,COLUMN($B$1),FALSE)&amp;"・"&amp;VLOOKUP($C150,装備品!$1:$998,COLUMN(B$1),FALSE),"")</f>
        <v>ファイアドレイクスケール・ハット</v>
      </c>
      <c r="C150" t="s">
        <v>1182</v>
      </c>
      <c r="D150" s="24" t="s">
        <v>244</v>
      </c>
      <c r="E150" t="str">
        <f>IFERROR(VLOOKUP(C150,装備品!$1:$998,COLUMN(C$1),FALSE),"")</f>
        <v>頭</v>
      </c>
      <c r="F150">
        <f>IFERROR(ROUNDDOWN((VLOOKUP($C150,装備品!$1:$998,COLUMN(D$1),FALSE)+IFERROR(VLOOKUP($CI150,付与!$1:$1167,COLUMN(F$1),FALSE),0))*VLOOKUP($D150,素材!$1:$1016,COLUMN(D$1),FALSE),0),"")</f>
        <v>0</v>
      </c>
      <c r="G150">
        <f>IFERROR(ROUNDDOWN((VLOOKUP($C150,装備品!$1:$998,COLUMN(E$1),FALSE)+IFERROR(VLOOKUP($CI150,付与!$1:$1167,COLUMN(G$1),FALSE),0))*VLOOKUP($D150,素材!$1:$1016,COLUMN($E$1),FALSE),0),"")</f>
        <v>0</v>
      </c>
      <c r="H150">
        <f>IFERROR(ROUNDDOWN((VLOOKUP($C150,装備品!$1:$998,COLUMN(F$1),FALSE)+IFERROR(VLOOKUP($CI150,付与!$1:$1167,COLUMN(H$1),FALSE),0))*VLOOKUP($D150,素材!$1:$1016,COLUMN($E$1),FALSE),0),"")</f>
        <v>0</v>
      </c>
      <c r="I150">
        <f>IFERROR(ROUNDDOWN((VLOOKUP($C150,装備品!$1:$998,COLUMN(G$1),FALSE)+IFERROR(VLOOKUP($CI150,付与!$1:$1167,COLUMN(I$1),FALSE),0))*VLOOKUP($D150,素材!$1:$1016,COLUMN($E$1),FALSE),0),"")</f>
        <v>0</v>
      </c>
      <c r="J150">
        <f>IFERROR(ROUNDDOWN((VLOOKUP($C150,装備品!$1:$998,COLUMN(H$1),FALSE)+IFERROR(VLOOKUP($CI150,付与!$1:$1167,COLUMN(J$1),FALSE),0))*VLOOKUP($D150,素材!$1:$1016,COLUMN($E$1),FALSE),0),"")</f>
        <v>0</v>
      </c>
      <c r="K150">
        <f>IFERROR(ROUNDDOWN((VLOOKUP($C150,装備品!$1:$998,COLUMN(I$1),FALSE)+IFERROR(VLOOKUP($CI150,付与!$1:$1167,COLUMN(K$1),FALSE),0))*VLOOKUP($D150,素材!$1:$1016,COLUMN($E$1),FALSE),0),"")</f>
        <v>0</v>
      </c>
      <c r="L150" t="str">
        <f>IFERROR(VLOOKUP($D150,素材!$1:$1016,COLUMN($F$1),FALSE),"")</f>
        <v>炎</v>
      </c>
      <c r="M150">
        <f>IFERROR(VLOOKUP($C150,装備品!$1:$998,COLUMN(AA$1),FALSE)*VLOOKUP($D150,素材!$1:$1016,COLUMN($G$1),FALSE),"")</f>
        <v>25</v>
      </c>
      <c r="N150">
        <f>IFERROR(VLOOKUP($C150,装備品!$1:$998,COLUMN(I$1),FALSE),"")</f>
        <v>0</v>
      </c>
      <c r="O150" s="23" t="str">
        <f>IFERROR((VLOOKUP($C150,装備品!$1:$998,COLUMN(K$1),FALSE)+VLOOKUP($D150,素材!$1:$1016,COLUMN(H$1),FALSE))*100+IFERROR(VLOOKUP($CI150,付与!$1:$1167,COLUMN(O$1),FALSE),0),"")</f>
        <v/>
      </c>
      <c r="P150" s="23" t="str">
        <f>IFERROR((VLOOKUP($C150,装備品!$1:$998,COLUMN(L$1),FALSE)+VLOOKUP($D150,素材!$1:$1016,COLUMN(I$1),FALSE))*100+IFERROR(VLOOKUP($CI150,付与!$1:$1167,COLUMN(P$1),FALSE),0),"")</f>
        <v/>
      </c>
      <c r="Q150">
        <f>IFERROR(ROUNDUP(VLOOKUP($C150,装備品!$1:$998,COLUMN(M$1),FALSE)*(VLOOKUP($D150,素材!$1:$1002,COLUMN(D$1),FALSE)/100),1),"")</f>
        <v>0</v>
      </c>
      <c r="R150">
        <f>IFERROR(ROUNDUP(VLOOKUP($C150,装備品!$1:$998,COLUMN(N$1),FALSE)*(VLOOKUP($D150,素材!$1:$1002,COLUMN(D$1),FALSE)/100),1),"")</f>
        <v>0</v>
      </c>
      <c r="S150">
        <f>IFERROR(VLOOKUP($C150,装備品!$1:$998,COLUMN(P$1),FALSE),"")</f>
        <v>0</v>
      </c>
      <c r="T150">
        <f>IFERROR(VLOOKUP($C150,装備品!$1:$998,COLUMN(Q$1),FALSE),"")</f>
        <v>0</v>
      </c>
      <c r="U150">
        <f>IFERROR(VLOOKUP($C150,装備品!$1:$998,COLUMN(R$1),FALSE),"")</f>
        <v>0</v>
      </c>
      <c r="V150">
        <f>IFERROR(VLOOKUP($C150,装備品!$1:$998,COLUMN(Q$1),FALSE),"")</f>
        <v>0</v>
      </c>
      <c r="W150">
        <f>IFERROR(VLOOKUP($C150,装備品!$1:$998,COLUMN(T$1),FALSE),"")</f>
        <v>0.1</v>
      </c>
      <c r="Y150">
        <f>IFERROR(VLOOKUP($C150,装備品!$1:$998,COLUMN(U$1),FALSE),"")</f>
        <v>0</v>
      </c>
      <c r="Z150">
        <f>IFERROR(ROUNDUP(VLOOKUP($C150,装備品!$1:$998,COLUMN(O$1),FALSE)*VLOOKUP($D150,素材!$1:$1016,COLUMN(E$1),FALSE),1),"")</f>
        <v>0</v>
      </c>
      <c r="AA150">
        <f>IF(ISNUMBER(SEARCH(SUBSTITUTE(AA$1,RIGHT(AA$1,2),""),VLOOKUP($D150,素材!$1:$1016,COLUMN($F$1),FALSE))),VLOOKUP($C150,装備品!$1:$998,COLUMN($O$1),FALSE)*VLOOKUP($D150,素材!$1:$1016,COLUMN($E$1),FALSE)/(LEN(VLOOKUP($D150,素材!$1:$1016,COLUMN($F$1),FALSE))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B150">
        <f>IF(ISNUMBER(SEARCH(SUBSTITUTE(AB$1,RIGHT(AB$1,2),""),VLOOKUP($D150,素材!$1:$1016,COLUMN($F$1),FALSE))),VLOOKUP($C150,装備品!$1:$998,COLUMN($O$1),FALSE)*VLOOKUP($D150,素材!$1:$1016,COLUMN($E$1),FALSE)/(LEN(VLOOKUP($D150,素材!$1:$1016,COLUMN($F$1),FALSE))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C150">
        <f>IF(ISNUMBER(SEARCH(SUBSTITUTE(AC$1,RIGHT(AC$1,2),""),VLOOKUP($D150,素材!$1:$1016,COLUMN($F$1),FALSE))),VLOOKUP($C150,装備品!$1:$998,COLUMN($O$1),FALSE)*VLOOKUP($D150,素材!$1:$1016,COLUMN($E$1),FALSE)/(LEN(VLOOKUP($D150,素材!$1:$1016,COLUMN($F$1),FALSE))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D150">
        <f>IF(ISNUMBER(SEARCH(SUBSTITUTE(AD$1,RIGHT(AD$1,2),""),VLOOKUP($D150,素材!$1:$1016,COLUMN($F$1),FALSE))),VLOOKUP($C150,装備品!$1:$998,COLUMN($O$1),FALSE)*VLOOKUP($D150,素材!$1:$1016,COLUMN($E$1),FALSE)/(LEN(VLOOKUP($D150,素材!$1:$1016,COLUMN($F$1),FALSE))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E150">
        <f>IF(ISNUMBER(SEARCH(SUBSTITUTE(AE$1,RIGHT(AE$1,2),""),VLOOKUP($D150,素材!$1:$1016,COLUMN($F$1),FALSE))),VLOOKUP($C150,装備品!$1:$998,COLUMN($O$1),FALSE)*VLOOKUP($D150,素材!$1:$1016,COLUMN($E$1),FALSE)/(LEN(VLOOKUP($D150,素材!$1:$1016,COLUMN($F$1),FALSE))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F150">
        <f>IF(ISNUMBER(SEARCH(SUBSTITUTE(AF$1,RIGHT(AF$1,2),""),VLOOKUP($D150,素材!$1:$1016,COLUMN($F$1),FALSE))),VLOOKUP($C150,装備品!$1:$998,COLUMN($O$1),FALSE)*VLOOKUP($D150,素材!$1:$1016,COLUMN($E$1),FALSE)/(LEN(VLOOKUP($D150,素材!$1:$1016,COLUMN($F$1),FALSE))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G150">
        <f>IF(ISNUMBER(SEARCH(SUBSTITUTE(AG$1,RIGHT(AG$1,2),""),VLOOKUP($D150,素材!$1:$1016,COLUMN($F$1),FALSE))),VLOOKUP($C150,装備品!$1:$998,COLUMN($O$1),FALSE)*VLOOKUP($D150,素材!$1:$1016,COLUMN($E$1),FALSE)/(LEN(VLOOKUP($D150,素材!$1:$1016,COLUMN($F$1),FALSE))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H150">
        <f>IF(ISNUMBER(SEARCH(SUBSTITUTE(AH$1,RIGHT(AH$1,2),""),VLOOKUP($D150,素材!$1:$1016,COLUMN($F$1),FALSE))),VLOOKUP($C150,装備品!$1:$998,COLUMN($O$1),FALSE)*VLOOKUP($D150,素材!$1:$1016,COLUMN($E$1),FALSE)/(LEN(VLOOKUP($D150,素材!$1:$1016,COLUMN($F$1),FALSE))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I150">
        <f>IF(ISNUMBER(SEARCH(SUBSTITUTE(AI$1,RIGHT(AI$1,2),""),VLOOKUP($D150,素材!$1:$1016,COLUMN($F$1),FALSE))),VLOOKUP($C150,装備品!$1:$998,COLUMN($O$1),FALSE)*VLOOKUP($D150,素材!$1:$1016,COLUMN($E$1),FALSE)/(LEN(VLOOKUP($D150,素材!$1:$1016,COLUMN($F$1),FALSE))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J150">
        <f>IF(ISNUMBER(SEARCH(SUBSTITUTE(AJ$1,RIGHT(AJ$1,2),""),VLOOKUP($D150,素材!$1:$1016,COLUMN($F$1),FALSE))),VLOOKUP($C150,装備品!$1:$998,COLUMN($O$1),FALSE)*VLOOKUP($D150,素材!$1:$1016,COLUMN($E$1),FALSE)/(LEN(VLOOKUP($D150,素材!$1:$1016,COLUMN($F$1),FALSE))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K150">
        <f>IF(ISNUMBER(SEARCH(SUBSTITUTE(AK$1,RIGHT(AK$1,2),""),VLOOKUP($D150,素材!$1:$1016,COLUMN($F$1),FALSE))),VLOOKUP($C150,装備品!$1:$998,COLUMN($O$1),FALSE)*VLOOKUP($D150,素材!$1:$1016,COLUMN($E$1),FALSE)/(LEN(VLOOKUP($D150,素材!$1:$1016,COLUMN($F$1),FALSE))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L150">
        <f>IF(ISNUMBER(SEARCH(SUBSTITUTE(AL$1,RIGHT(AL$1,2),""),VLOOKUP($D150,素材!$1:$1016,COLUMN($F$1),FALSE))),VLOOKUP($C150,装備品!$1:$998,COLUMN($O$1),FALSE)*VLOOKUP($D150,素材!$1:$1016,COLUMN($E$1),FALSE)/(LEN(VLOOKUP($D150,素材!$1:$1016,COLUMN($F$1),FALSE))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M150">
        <f>IF(ISNUMBER(SEARCH(SUBSTITUTE(AM$1,RIGHT(AM$1,2),""),VLOOKUP($D150,素材!$1:$1016,COLUMN($F$1),FALSE))),VLOOKUP($C150,装備品!$1:$998,COLUMN($O$1),FALSE)*VLOOKUP($D150,素材!$1:$1016,COLUMN($E$1),FALSE)/(LEN(VLOOKUP($D150,素材!$1:$1016,COLUMN($F$1),FALSE))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N150">
        <f>IF(ISNUMBER(SEARCH(SUBSTITUTE(AN$1,RIGHT(AN$1,2),""),VLOOKUP($D150,素材!$1:$1016,COLUMN($F$1),FALSE))),VLOOKUP($C150,装備品!$1:$998,COLUMN($O$1),FALSE)*VLOOKUP($D150,素材!$1:$1016,COLUMN($E$1),FALSE)/(LEN(VLOOKUP($D150,素材!$1:$1016,COLUMN($F$1),FALSE))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O150">
        <f>IF(ISNUMBER(SEARCH(SUBSTITUTE(AO$1,RIGHT(AO$1,2),""),VLOOKUP($D150,素材!$1:$1016,COLUMN($F$1),FALSE))),VLOOKUP($C150,装備品!$1:$998,COLUMN($O$1),FALSE)*VLOOKUP($D150,素材!$1:$1016,COLUMN($E$1),FALSE)/(LEN(VLOOKUP($D150,素材!$1:$1016,COLUMN($F$1),FALSE))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P150">
        <f>IF(ISNUMBER(SEARCH(SUBSTITUTE(AP$1,RIGHT(AP$1,2),""),VLOOKUP($D150,素材!$1:$1016,COLUMN($F$1),FALSE))),VLOOKUP($C150,装備品!$1:$998,COLUMN($O$1),FALSE)*VLOOKUP($D150,素材!$1:$1016,COLUMN($E$1),FALSE)/(LEN(VLOOKUP($D150,素材!$1:$1016,COLUMN($F$1),FALSE))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Q150">
        <f>IF(ISNUMBER(SEARCH(SUBSTITUTE(AQ$1,RIGHT(AQ$1,2),""),VLOOKUP($D150,素材!$1:$1016,COLUMN($F$1),FALSE))),VLOOKUP($C150,装備品!$1:$998,COLUMN($O$1),FALSE)*VLOOKUP($D150,素材!$1:$1016,COLUMN($E$1),FALSE)/(LEN(VLOOKUP($D150,素材!$1:$1016,COLUMN($F$1),FALSE))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R150">
        <f>IF(ISNUMBER(SEARCH(SUBSTITUTE(AR$1,RIGHT(AR$1,2),""),VLOOKUP($D150,素材!$1:$1016,COLUMN($F$1),FALSE))),VLOOKUP($C150,装備品!$1:$998,COLUMN($O$1),FALSE)*VLOOKUP($D150,素材!$1:$1016,COLUMN($E$1),FALSE)/(LEN(VLOOKUP($D150,素材!$1:$1016,COLUMN($F$1),FALSE))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S150">
        <f>IF(ISNUMBER(SEARCH(SUBSTITUTE(AS$1,RIGHT(AS$1,2),""),VLOOKUP($D150,素材!$1:$1016,COLUMN($F$1),FALSE))),VLOOKUP($C150,装備品!$1:$998,COLUMN($O$1),FALSE)*VLOOKUP($D150,素材!$1:$1016,COLUMN($E$1),FALSE)/(LEN(VLOOKUP($D150,素材!$1:$1016,COLUMN($F$1),FALSE))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T150">
        <f>IF(ISNUMBER(SEARCH(SUBSTITUTE(AT$1,RIGHT(AT$1,2),""),VLOOKUP($D150,素材!$1:$1016,COLUMN($F$1),FALSE))),VLOOKUP($C150,装備品!$1:$998,COLUMN($O$1),FALSE)*VLOOKUP($D150,素材!$1:$1016,COLUMN($E$1),FALSE)/(LEN(VLOOKUP($D150,素材!$1:$1016,COLUMN($F$1),FALSE))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U150">
        <f>IF(ISNUMBER(SEARCH(SUBSTITUTE(AU$1,RIGHT(AU$1,2),""),VLOOKUP($D150,素材!$1:$1016,COLUMN($F$1),FALSE))),VLOOKUP($C150,装備品!$1:$998,COLUMN($O$1),FALSE)*VLOOKUP($D150,素材!$1:$1016,COLUMN($E$1),FALSE)/(LEN(VLOOKUP($D150,素材!$1:$1016,COLUMN($F$1),FALSE))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V150">
        <f>IF(ISNUMBER(SEARCH(SUBSTITUTE(AV$1,RIGHT(AV$1,2),""),VLOOKUP($D150,素材!$1:$1016,COLUMN($F$1),FALSE))),VLOOKUP($C150,装備品!$1:$998,COLUMN($O$1),FALSE)*VLOOKUP($D150,素材!$1:$1016,COLUMN($E$1),FALSE)/(LEN(VLOOKUP($D150,素材!$1:$1016,COLUMN($F$1),FALSE))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W150">
        <f>IF(ISNUMBER(SEARCH(SUBSTITUTE(AW$1,RIGHT(AW$1,2),""),VLOOKUP($D150,素材!$1:$1016,COLUMN($F$1),FALSE))),VLOOKUP($C150,装備品!$1:$998,COLUMN($O$1),FALSE)*VLOOKUP($D150,素材!$1:$1016,COLUMN($E$1),FALSE)/(LEN(VLOOKUP($D150,素材!$1:$1016,COLUMN($F$1),FALSE))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X150">
        <f>IF(ISNUMBER(SEARCH(SUBSTITUTE(AX$1,RIGHT(AX$1,2),""),VLOOKUP($D150,素材!$1:$1016,COLUMN($F$1),FALSE))),VLOOKUP($C150,装備品!$1:$998,COLUMN($O$1),FALSE)*VLOOKUP($D150,素材!$1:$1016,COLUMN($E$1),FALSE)/(LEN(VLOOKUP($D150,素材!$1:$1016,COLUMN($F$1),FALSE))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Y150">
        <f>IF(ISNUMBER(SEARCH(SUBSTITUTE(AY$1,RIGHT(AY$1,2),""),VLOOKUP($D150,素材!$1:$1016,COLUMN($F$1),FALSE))),VLOOKUP($C150,装備品!$1:$998,COLUMN($O$1),FALSE)*VLOOKUP($D150,素材!$1:$1016,COLUMN($E$1),FALSE)/(LEN(VLOOKUP($D150,素材!$1:$1016,COLUMN($F$1),FALSE))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Z150">
        <f>IF(ISNUMBER(SEARCH(SUBSTITUTE(AZ$1,RIGHT(AZ$1,2),""),VLOOKUP($D150,素材!$1:$1016,COLUMN($F$1),FALSE))),VLOOKUP($C150,装備品!$1:$998,COLUMN($O$1),FALSE)*VLOOKUP($D150,素材!$1:$1016,COLUMN($E$1),FALSE)/(LEN(VLOOKUP($D150,素材!$1:$1016,COLUMN($F$1),FALSE))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BA150">
        <f>IF(ISNUMBER(SEARCH(SUBSTITUTE(BA$1,RIGHT(BA$1,2),""),VLOOKUP($D150,素材!$1:$1016,COLUMN($F$1),FALSE))),VLOOKUP($C150,装備品!$1:$998,COLUMN($O$1),FALSE)*VLOOKUP($D150,素材!$1:$1016,COLUMN($E$1),FALSE)/(LEN(VLOOKUP($D150,素材!$1:$1016,COLUMN($F$1),FALSE))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BB150">
        <f>IF(ISNUMBER(SEARCH(SUBSTITUTE(BB$1,RIGHT(BB$1,2),""),VLOOKUP($D150,素材!$1:$1016,COLUMN($F$1),FALSE))),VLOOKUP($C150,装備品!$1:$998,COLUMN($O$1),FALSE)*VLOOKUP($D150,素材!$1:$1016,COLUMN($E$1),FALSE)/(LEN(VLOOKUP($D150,素材!$1:$1016,COLUMN($F$1),FALSE))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BC150">
        <f>IF(ISNUMBER(SEARCH(SUBSTITUTE(BC$1,RIGHT(BC$1,2),""),VLOOKUP($D150,素材!$1:$1016,COLUMN($F$1),FALSE))),VLOOKUP($C150,装備品!$1:$998,COLUMN($O$1),FALSE)*VLOOKUP($D150,素材!$1:$1016,COLUMN($E$1),FALSE)/(LEN(VLOOKUP($D150,素材!$1:$1016,COLUMN($F$1),FALSE))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BD150">
        <f>IF(ISNUMBER(SEARCH(SUBSTITUTE(BD$1,RIGHT(BD$1,2),""),VLOOKUP($D150,素材!$1:$1016,COLUMN($F$1),FALSE))),VLOOKUP($C150,装備品!$1:$998,COLUMN($O$1),FALSE)*VLOOKUP($D150,素材!$1:$1016,COLUMN($E$1),FALSE)/(LEN(VLOOKUP($D150,素材!$1:$1016,COLUMN($F$1),FALSE))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BE150">
        <f>IF(ISNUMBER(SEARCH(SUBSTITUTE(BE$1,RIGHT(BE$1,2),""),VLOOKUP($D150,素材!$1:$1016,COLUMN($F$1),FALSE))),VLOOKUP($C150,装備品!$1:$998,COLUMN($O$1),FALSE)*VLOOKUP($D150,素材!$1:$1016,COLUMN($E$1),FALSE)/(LEN(VLOOKUP($D150,素材!$1:$1016,COLUMN($F$1),FALSE))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CL150">
        <f t="shared" si="19"/>
        <v>0</v>
      </c>
      <c r="CM150" s="22" t="str">
        <f t="shared" si="20"/>
        <v>頭.webp</v>
      </c>
      <c r="CN150">
        <f>IFERROR(VLOOKUP($C150,装備品!$1:$998,COLUMN(V$1),FALSE)*VLOOKUP($D150,素材!$1:$1016,COLUMN(N$1),FALSE)+IF(CI150="",0,VLOOKUP($CI150,付与!$1:$1176,COLUMN($CK$1),FALSE)),"")</f>
        <v>0</v>
      </c>
      <c r="CO150" t="str">
        <f>VLOOKUP(D150,素材!$A:$O,COLUMN(素材!O$1),FALSE)</f>
        <v>炎属性を持つドラゴン型生物から採取される鱗素材。強力な炎属性防御を備えており、耐熱性が求められる場面で特に有用です。</v>
      </c>
      <c r="CP150" t="str">
        <f>VLOOKUP(C150,装備品!$A:$AB,COLUMN(装備品!AB$1),FALSE)</f>
        <v>命中 魔防 Cr</v>
      </c>
      <c r="CR150" t="str">
        <f t="shared" si="24"/>
        <v>e_150</v>
      </c>
      <c r="CS150">
        <f t="shared" ref="CS150" si="32">CN150*100</f>
        <v>0</v>
      </c>
    </row>
    <row r="151" spans="1:97" outlineLevel="1" x14ac:dyDescent="0.4">
      <c r="A151" t="str">
        <f t="shared" si="23"/>
        <v>炎蜥蜴の鱗の衣布</v>
      </c>
      <c r="B151" t="str">
        <f>IFERROR(VLOOKUP($D151,素材!$1:$1016,COLUMN($B$1),FALSE)&amp;"・"&amp;VLOOKUP($C151,装備品!$1:$998,COLUMN(B$1),FALSE),"")</f>
        <v>ファイアドレイクスケール・クロース</v>
      </c>
      <c r="C151" t="s">
        <v>246</v>
      </c>
      <c r="D151" s="24" t="s">
        <v>244</v>
      </c>
      <c r="E151" t="str">
        <f>IFERROR(VLOOKUP(C151,装備品!$1:$998,COLUMN(C$1),FALSE),"")</f>
        <v>体</v>
      </c>
      <c r="F151">
        <f>IFERROR(ROUNDDOWN((VLOOKUP($C151,装備品!$1:$998,COLUMN(D$1),FALSE)+IFERROR(VLOOKUP($CI151,付与!$1:$1167,COLUMN(F$1),FALSE),0))*VLOOKUP($D151,素材!$1:$1016,COLUMN(D$1),FALSE),0),"")</f>
        <v>0</v>
      </c>
      <c r="G151">
        <f>IFERROR(ROUNDDOWN((VLOOKUP($C151,装備品!$1:$998,COLUMN(E$1),FALSE)+IFERROR(VLOOKUP($CI151,付与!$1:$1167,COLUMN(G$1),FALSE),0))*VLOOKUP($D151,素材!$1:$1016,COLUMN($E$1),FALSE),0),"")</f>
        <v>0</v>
      </c>
      <c r="H151">
        <f>IFERROR(ROUNDDOWN((VLOOKUP($C151,装備品!$1:$998,COLUMN(F$1),FALSE)+IFERROR(VLOOKUP($CI151,付与!$1:$1167,COLUMN(H$1),FALSE),0))*VLOOKUP($D151,素材!$1:$1016,COLUMN($E$1),FALSE),0),"")</f>
        <v>0</v>
      </c>
      <c r="I151">
        <f>IFERROR(ROUNDDOWN((VLOOKUP($C151,装備品!$1:$998,COLUMN(G$1),FALSE)+IFERROR(VLOOKUP($CI151,付与!$1:$1167,COLUMN(I$1),FALSE),0))*VLOOKUP($D151,素材!$1:$1016,COLUMN($E$1),FALSE),0),"")</f>
        <v>0</v>
      </c>
      <c r="J151">
        <f>IFERROR(ROUNDDOWN((VLOOKUP($C151,装備品!$1:$998,COLUMN(H$1),FALSE)+IFERROR(VLOOKUP($CI151,付与!$1:$1167,COLUMN(J$1),FALSE),0))*VLOOKUP($D151,素材!$1:$1016,COLUMN($E$1),FALSE),0),"")</f>
        <v>0</v>
      </c>
      <c r="K151">
        <f>IFERROR(ROUNDDOWN((VLOOKUP($C151,装備品!$1:$998,COLUMN(I$1),FALSE)+IFERROR(VLOOKUP($CI151,付与!$1:$1167,COLUMN(K$1),FALSE),0))*VLOOKUP($D151,素材!$1:$1016,COLUMN($E$1),FALSE),0),"")</f>
        <v>0</v>
      </c>
      <c r="L151" t="str">
        <f>IFERROR(VLOOKUP($D151,素材!$1:$1016,COLUMN($F$1),FALSE),"")</f>
        <v>炎</v>
      </c>
      <c r="M151">
        <f>IFERROR(VLOOKUP($C151,装備品!$1:$998,COLUMN(AA$1),FALSE)*VLOOKUP($D151,素材!$1:$1016,COLUMN($G$1),FALSE),"")</f>
        <v>50</v>
      </c>
      <c r="N151">
        <f>IFERROR(VLOOKUP($C151,装備品!$1:$998,COLUMN(I$1),FALSE),"")</f>
        <v>0</v>
      </c>
      <c r="O151" s="23" t="str">
        <f>IFERROR((VLOOKUP($C151,装備品!$1:$998,COLUMN(K$1),FALSE)+VLOOKUP($D151,素材!$1:$1016,COLUMN(H$1),FALSE))*100+IFERROR(VLOOKUP($CI151,付与!$1:$1167,COLUMN(O$1),FALSE),0),"")</f>
        <v/>
      </c>
      <c r="P151" s="23" t="str">
        <f>IFERROR((VLOOKUP($C151,装備品!$1:$998,COLUMN(L$1),FALSE)+VLOOKUP($D151,素材!$1:$1016,COLUMN(I$1),FALSE))*100+IFERROR(VLOOKUP($CI151,付与!$1:$1167,COLUMN(P$1),FALSE),0),"")</f>
        <v/>
      </c>
      <c r="Q151">
        <f>IFERROR(ROUNDUP(VLOOKUP($C151,装備品!$1:$998,COLUMN(M$1),FALSE)*(VLOOKUP($D151,素材!$1:$1002,COLUMN(D$1),FALSE)/100),1),"")</f>
        <v>0</v>
      </c>
      <c r="R151">
        <f>IFERROR(ROUNDUP(VLOOKUP($C151,装備品!$1:$998,COLUMN(N$1),FALSE)*(VLOOKUP($D151,素材!$1:$1002,COLUMN(D$1),FALSE)/100),1),"")</f>
        <v>0</v>
      </c>
      <c r="S151">
        <f>IFERROR(VLOOKUP($C151,装備品!$1:$998,COLUMN(P$1),FALSE),"")</f>
        <v>0</v>
      </c>
      <c r="T151">
        <f>IFERROR(VLOOKUP($C151,装備品!$1:$998,COLUMN(Q$1),FALSE),"")</f>
        <v>0</v>
      </c>
      <c r="U151">
        <f>IFERROR(VLOOKUP($C151,装備品!$1:$998,COLUMN(R$1),FALSE),"")</f>
        <v>0</v>
      </c>
      <c r="V151">
        <f>IFERROR(VLOOKUP($C151,装備品!$1:$998,COLUMN(Q$1),FALSE),"")</f>
        <v>0</v>
      </c>
      <c r="W151">
        <f>IFERROR(VLOOKUP($C151,装備品!$1:$998,COLUMN(T$1),FALSE),"")</f>
        <v>0.3</v>
      </c>
      <c r="Y151">
        <f>IFERROR(VLOOKUP($C151,装備品!$1:$998,COLUMN(U$1),FALSE),"")</f>
        <v>0</v>
      </c>
      <c r="Z151">
        <f>IFERROR(ROUNDUP(VLOOKUP($C151,装備品!$1:$998,COLUMN(O$1),FALSE)*VLOOKUP($D151,素材!$1:$1016,COLUMN(E$1),FALSE),1),"")</f>
        <v>0</v>
      </c>
      <c r="AA151">
        <f>IF(ISNUMBER(SEARCH(SUBSTITUTE(AA$1,RIGHT(AA$1,2),""),VLOOKUP($D151,素材!$1:$1016,COLUMN($F$1),FALSE))),VLOOKUP($C151,装備品!$1:$998,COLUMN($O$1),FALSE)*VLOOKUP($D151,素材!$1:$1016,COLUMN($E$1),FALSE)/(LEN(VLOOKUP($D151,素材!$1:$1016,COLUMN($F$1),FALSE))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B151">
        <f>IF(ISNUMBER(SEARCH(SUBSTITUTE(AB$1,RIGHT(AB$1,2),""),VLOOKUP($D151,素材!$1:$1016,COLUMN($F$1),FALSE))),VLOOKUP($C151,装備品!$1:$998,COLUMN($O$1),FALSE)*VLOOKUP($D151,素材!$1:$1016,COLUMN($E$1),FALSE)/(LEN(VLOOKUP($D151,素材!$1:$1016,COLUMN($F$1),FALSE))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C151">
        <f>IF(ISNUMBER(SEARCH(SUBSTITUTE(AC$1,RIGHT(AC$1,2),""),VLOOKUP($D151,素材!$1:$1016,COLUMN($F$1),FALSE))),VLOOKUP($C151,装備品!$1:$998,COLUMN($O$1),FALSE)*VLOOKUP($D151,素材!$1:$1016,COLUMN($E$1),FALSE)/(LEN(VLOOKUP($D151,素材!$1:$1016,COLUMN($F$1),FALSE))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D151">
        <f>IF(ISNUMBER(SEARCH(SUBSTITUTE(AD$1,RIGHT(AD$1,2),""),VLOOKUP($D151,素材!$1:$1016,COLUMN($F$1),FALSE))),VLOOKUP($C151,装備品!$1:$998,COLUMN($O$1),FALSE)*VLOOKUP($D151,素材!$1:$1016,COLUMN($E$1),FALSE)/(LEN(VLOOKUP($D151,素材!$1:$1016,COLUMN($F$1),FALSE))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E151">
        <f>IF(ISNUMBER(SEARCH(SUBSTITUTE(AE$1,RIGHT(AE$1,2),""),VLOOKUP($D151,素材!$1:$1016,COLUMN($F$1),FALSE))),VLOOKUP($C151,装備品!$1:$998,COLUMN($O$1),FALSE)*VLOOKUP($D151,素材!$1:$1016,COLUMN($E$1),FALSE)/(LEN(VLOOKUP($D151,素材!$1:$1016,COLUMN($F$1),FALSE))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F151">
        <f>IF(ISNUMBER(SEARCH(SUBSTITUTE(AF$1,RIGHT(AF$1,2),""),VLOOKUP($D151,素材!$1:$1016,COLUMN($F$1),FALSE))),VLOOKUP($C151,装備品!$1:$998,COLUMN($O$1),FALSE)*VLOOKUP($D151,素材!$1:$1016,COLUMN($E$1),FALSE)/(LEN(VLOOKUP($D151,素材!$1:$1016,COLUMN($F$1),FALSE))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G151">
        <f>IF(ISNUMBER(SEARCH(SUBSTITUTE(AG$1,RIGHT(AG$1,2),""),VLOOKUP($D151,素材!$1:$1016,COLUMN($F$1),FALSE))),VLOOKUP($C151,装備品!$1:$998,COLUMN($O$1),FALSE)*VLOOKUP($D151,素材!$1:$1016,COLUMN($E$1),FALSE)/(LEN(VLOOKUP($D151,素材!$1:$1016,COLUMN($F$1),FALSE))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H151">
        <f>IF(ISNUMBER(SEARCH(SUBSTITUTE(AH$1,RIGHT(AH$1,2),""),VLOOKUP($D151,素材!$1:$1016,COLUMN($F$1),FALSE))),VLOOKUP($C151,装備品!$1:$998,COLUMN($O$1),FALSE)*VLOOKUP($D151,素材!$1:$1016,COLUMN($E$1),FALSE)/(LEN(VLOOKUP($D151,素材!$1:$1016,COLUMN($F$1),FALSE))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I151">
        <f>IF(ISNUMBER(SEARCH(SUBSTITUTE(AI$1,RIGHT(AI$1,2),""),VLOOKUP($D151,素材!$1:$1016,COLUMN($F$1),FALSE))),VLOOKUP($C151,装備品!$1:$998,COLUMN($O$1),FALSE)*VLOOKUP($D151,素材!$1:$1016,COLUMN($E$1),FALSE)/(LEN(VLOOKUP($D151,素材!$1:$1016,COLUMN($F$1),FALSE))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J151">
        <f>IF(ISNUMBER(SEARCH(SUBSTITUTE(AJ$1,RIGHT(AJ$1,2),""),VLOOKUP($D151,素材!$1:$1016,COLUMN($F$1),FALSE))),VLOOKUP($C151,装備品!$1:$998,COLUMN($O$1),FALSE)*VLOOKUP($D151,素材!$1:$1016,COLUMN($E$1),FALSE)/(LEN(VLOOKUP($D151,素材!$1:$1016,COLUMN($F$1),FALSE))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K151">
        <f>IF(ISNUMBER(SEARCH(SUBSTITUTE(AK$1,RIGHT(AK$1,2),""),VLOOKUP($D151,素材!$1:$1016,COLUMN($F$1),FALSE))),VLOOKUP($C151,装備品!$1:$998,COLUMN($O$1),FALSE)*VLOOKUP($D151,素材!$1:$1016,COLUMN($E$1),FALSE)/(LEN(VLOOKUP($D151,素材!$1:$1016,COLUMN($F$1),FALSE))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L151">
        <f>IF(ISNUMBER(SEARCH(SUBSTITUTE(AL$1,RIGHT(AL$1,2),""),VLOOKUP($D151,素材!$1:$1016,COLUMN($F$1),FALSE))),VLOOKUP($C151,装備品!$1:$998,COLUMN($O$1),FALSE)*VLOOKUP($D151,素材!$1:$1016,COLUMN($E$1),FALSE)/(LEN(VLOOKUP($D151,素材!$1:$1016,COLUMN($F$1),FALSE))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M151">
        <f>IF(ISNUMBER(SEARCH(SUBSTITUTE(AM$1,RIGHT(AM$1,2),""),VLOOKUP($D151,素材!$1:$1016,COLUMN($F$1),FALSE))),VLOOKUP($C151,装備品!$1:$998,COLUMN($O$1),FALSE)*VLOOKUP($D151,素材!$1:$1016,COLUMN($E$1),FALSE)/(LEN(VLOOKUP($D151,素材!$1:$1016,COLUMN($F$1),FALSE))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N151">
        <f>IF(ISNUMBER(SEARCH(SUBSTITUTE(AN$1,RIGHT(AN$1,2),""),VLOOKUP($D151,素材!$1:$1016,COLUMN($F$1),FALSE))),VLOOKUP($C151,装備品!$1:$998,COLUMN($O$1),FALSE)*VLOOKUP($D151,素材!$1:$1016,COLUMN($E$1),FALSE)/(LEN(VLOOKUP($D151,素材!$1:$1016,COLUMN($F$1),FALSE))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O151">
        <f>IF(ISNUMBER(SEARCH(SUBSTITUTE(AO$1,RIGHT(AO$1,2),""),VLOOKUP($D151,素材!$1:$1016,COLUMN($F$1),FALSE))),VLOOKUP($C151,装備品!$1:$998,COLUMN($O$1),FALSE)*VLOOKUP($D151,素材!$1:$1016,COLUMN($E$1),FALSE)/(LEN(VLOOKUP($D151,素材!$1:$1016,COLUMN($F$1),FALSE))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P151">
        <f>IF(ISNUMBER(SEARCH(SUBSTITUTE(AP$1,RIGHT(AP$1,2),""),VLOOKUP($D151,素材!$1:$1016,COLUMN($F$1),FALSE))),VLOOKUP($C151,装備品!$1:$998,COLUMN($O$1),FALSE)*VLOOKUP($D151,素材!$1:$1016,COLUMN($E$1),FALSE)/(LEN(VLOOKUP($D151,素材!$1:$1016,COLUMN($F$1),FALSE))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Q151">
        <f>IF(ISNUMBER(SEARCH(SUBSTITUTE(AQ$1,RIGHT(AQ$1,2),""),VLOOKUP($D151,素材!$1:$1016,COLUMN($F$1),FALSE))),VLOOKUP($C151,装備品!$1:$998,COLUMN($O$1),FALSE)*VLOOKUP($D151,素材!$1:$1016,COLUMN($E$1),FALSE)/(LEN(VLOOKUP($D151,素材!$1:$1016,COLUMN($F$1),FALSE))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R151">
        <f>IF(ISNUMBER(SEARCH(SUBSTITUTE(AR$1,RIGHT(AR$1,2),""),VLOOKUP($D151,素材!$1:$1016,COLUMN($F$1),FALSE))),VLOOKUP($C151,装備品!$1:$998,COLUMN($O$1),FALSE)*VLOOKUP($D151,素材!$1:$1016,COLUMN($E$1),FALSE)/(LEN(VLOOKUP($D151,素材!$1:$1016,COLUMN($F$1),FALSE))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S151">
        <f>IF(ISNUMBER(SEARCH(SUBSTITUTE(AS$1,RIGHT(AS$1,2),""),VLOOKUP($D151,素材!$1:$1016,COLUMN($F$1),FALSE))),VLOOKUP($C151,装備品!$1:$998,COLUMN($O$1),FALSE)*VLOOKUP($D151,素材!$1:$1016,COLUMN($E$1),FALSE)/(LEN(VLOOKUP($D151,素材!$1:$1016,COLUMN($F$1),FALSE))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T151">
        <f>IF(ISNUMBER(SEARCH(SUBSTITUTE(AT$1,RIGHT(AT$1,2),""),VLOOKUP($D151,素材!$1:$1016,COLUMN($F$1),FALSE))),VLOOKUP($C151,装備品!$1:$998,COLUMN($O$1),FALSE)*VLOOKUP($D151,素材!$1:$1016,COLUMN($E$1),FALSE)/(LEN(VLOOKUP($D151,素材!$1:$1016,COLUMN($F$1),FALSE))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U151">
        <f>IF(ISNUMBER(SEARCH(SUBSTITUTE(AU$1,RIGHT(AU$1,2),""),VLOOKUP($D151,素材!$1:$1016,COLUMN($F$1),FALSE))),VLOOKUP($C151,装備品!$1:$998,COLUMN($O$1),FALSE)*VLOOKUP($D151,素材!$1:$1016,COLUMN($E$1),FALSE)/(LEN(VLOOKUP($D151,素材!$1:$1016,COLUMN($F$1),FALSE))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V151">
        <f>IF(ISNUMBER(SEARCH(SUBSTITUTE(AV$1,RIGHT(AV$1,2),""),VLOOKUP($D151,素材!$1:$1016,COLUMN($F$1),FALSE))),VLOOKUP($C151,装備品!$1:$998,COLUMN($O$1),FALSE)*VLOOKUP($D151,素材!$1:$1016,COLUMN($E$1),FALSE)/(LEN(VLOOKUP($D151,素材!$1:$1016,COLUMN($F$1),FALSE))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W151">
        <f>IF(ISNUMBER(SEARCH(SUBSTITUTE(AW$1,RIGHT(AW$1,2),""),VLOOKUP($D151,素材!$1:$1016,COLUMN($F$1),FALSE))),VLOOKUP($C151,装備品!$1:$998,COLUMN($O$1),FALSE)*VLOOKUP($D151,素材!$1:$1016,COLUMN($E$1),FALSE)/(LEN(VLOOKUP($D151,素材!$1:$1016,COLUMN($F$1),FALSE))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X151">
        <f>IF(ISNUMBER(SEARCH(SUBSTITUTE(AX$1,RIGHT(AX$1,2),""),VLOOKUP($D151,素材!$1:$1016,COLUMN($F$1),FALSE))),VLOOKUP($C151,装備品!$1:$998,COLUMN($O$1),FALSE)*VLOOKUP($D151,素材!$1:$1016,COLUMN($E$1),FALSE)/(LEN(VLOOKUP($D151,素材!$1:$1016,COLUMN($F$1),FALSE))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Y151">
        <f>IF(ISNUMBER(SEARCH(SUBSTITUTE(AY$1,RIGHT(AY$1,2),""),VLOOKUP($D151,素材!$1:$1016,COLUMN($F$1),FALSE))),VLOOKUP($C151,装備品!$1:$998,COLUMN($O$1),FALSE)*VLOOKUP($D151,素材!$1:$1016,COLUMN($E$1),FALSE)/(LEN(VLOOKUP($D151,素材!$1:$1016,COLUMN($F$1),FALSE))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Z151">
        <f>IF(ISNUMBER(SEARCH(SUBSTITUTE(AZ$1,RIGHT(AZ$1,2),""),VLOOKUP($D151,素材!$1:$1016,COLUMN($F$1),FALSE))),VLOOKUP($C151,装備品!$1:$998,COLUMN($O$1),FALSE)*VLOOKUP($D151,素材!$1:$1016,COLUMN($E$1),FALSE)/(LEN(VLOOKUP($D151,素材!$1:$1016,COLUMN($F$1),FALSE))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BA151">
        <f>IF(ISNUMBER(SEARCH(SUBSTITUTE(BA$1,RIGHT(BA$1,2),""),VLOOKUP($D151,素材!$1:$1016,COLUMN($F$1),FALSE))),VLOOKUP($C151,装備品!$1:$998,COLUMN($O$1),FALSE)*VLOOKUP($D151,素材!$1:$1016,COLUMN($E$1),FALSE)/(LEN(VLOOKUP($D151,素材!$1:$1016,COLUMN($F$1),FALSE))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BB151">
        <f>IF(ISNUMBER(SEARCH(SUBSTITUTE(BB$1,RIGHT(BB$1,2),""),VLOOKUP($D151,素材!$1:$1016,COLUMN($F$1),FALSE))),VLOOKUP($C151,装備品!$1:$998,COLUMN($O$1),FALSE)*VLOOKUP($D151,素材!$1:$1016,COLUMN($E$1),FALSE)/(LEN(VLOOKUP($D151,素材!$1:$1016,COLUMN($F$1),FALSE))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BC151">
        <f>IF(ISNUMBER(SEARCH(SUBSTITUTE(BC$1,RIGHT(BC$1,2),""),VLOOKUP($D151,素材!$1:$1016,COLUMN($F$1),FALSE))),VLOOKUP($C151,装備品!$1:$998,COLUMN($O$1),FALSE)*VLOOKUP($D151,素材!$1:$1016,COLUMN($E$1),FALSE)/(LEN(VLOOKUP($D151,素材!$1:$1016,COLUMN($F$1),FALSE))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BD151">
        <f>IF(ISNUMBER(SEARCH(SUBSTITUTE(BD$1,RIGHT(BD$1,2),""),VLOOKUP($D151,素材!$1:$1016,COLUMN($F$1),FALSE))),VLOOKUP($C151,装備品!$1:$998,COLUMN($O$1),FALSE)*VLOOKUP($D151,素材!$1:$1016,COLUMN($E$1),FALSE)/(LEN(VLOOKUP($D151,素材!$1:$1016,COLUMN($F$1),FALSE))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BE151">
        <f>IF(ISNUMBER(SEARCH(SUBSTITUTE(BE$1,RIGHT(BE$1,2),""),VLOOKUP($D151,素材!$1:$1016,COLUMN($F$1),FALSE))),VLOOKUP($C151,装備品!$1:$998,COLUMN($O$1),FALSE)*VLOOKUP($D151,素材!$1:$1016,COLUMN($E$1),FALSE)/(LEN(VLOOKUP($D151,素材!$1:$1016,COLUMN($F$1),FALSE))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CL151">
        <f t="shared" si="19"/>
        <v>0</v>
      </c>
      <c r="CM151" s="22" t="str">
        <f t="shared" si="20"/>
        <v>体.webp</v>
      </c>
      <c r="CN151">
        <f>IFERROR(VLOOKUP($C151,装備品!$1:$998,COLUMN(V$1),FALSE)*VLOOKUP($D151,素材!$1:$1016,COLUMN(N$1),FALSE)+IF(CI151="",0,VLOOKUP($CI151,付与!$1:$1176,COLUMN($CK$1),FALSE)),"")</f>
        <v>0</v>
      </c>
      <c r="CO151" t="str">
        <f>VLOOKUP(D151,素材!$A:$O,COLUMN(素材!O$1),FALSE)</f>
        <v>炎属性を持つドラゴン型生物から採取される鱗素材。強力な炎属性防御を備えており、耐熱性が求められる場面で特に有用です。</v>
      </c>
      <c r="CP151" t="str">
        <f>VLOOKUP(C151,装備品!$A:$AB,COLUMN(装備品!AB$1),FALSE)</f>
        <v>HP 物理 魔法 体幹 出血 疲労 Cr</v>
      </c>
      <c r="CR151" t="str">
        <f t="shared" si="24"/>
        <v>e_151</v>
      </c>
      <c r="CS151">
        <f t="shared" si="28"/>
        <v>0</v>
      </c>
    </row>
    <row r="152" spans="1:97" outlineLevel="1" x14ac:dyDescent="0.4">
      <c r="A152" t="str">
        <f t="shared" si="23"/>
        <v>炎蜥蜴の鱗の法衣</v>
      </c>
      <c r="B152" t="str">
        <f>IFERROR(VLOOKUP($D152,素材!$1:$1016,COLUMN($B$1),FALSE)&amp;"・"&amp;VLOOKUP($C152,装備品!$1:$998,COLUMN(B$1),FALSE),"")</f>
        <v>ファイアドレイクスケール・ローブ</v>
      </c>
      <c r="C152" t="s">
        <v>245</v>
      </c>
      <c r="D152" s="24" t="s">
        <v>244</v>
      </c>
      <c r="E152" t="str">
        <f>IFERROR(VLOOKUP(C152,装備品!$1:$998,COLUMN(C$1),FALSE),"")</f>
        <v>体</v>
      </c>
      <c r="F152">
        <f>IFERROR(ROUNDDOWN((VLOOKUP($C152,装備品!$1:$998,COLUMN(D$1),FALSE)+IFERROR(VLOOKUP($CI152,付与!$1:$1167,COLUMN(F$1),FALSE),0))*VLOOKUP($D152,素材!$1:$1016,COLUMN(D$1),FALSE),0),"")</f>
        <v>0</v>
      </c>
      <c r="G152">
        <f>IFERROR(ROUNDDOWN((VLOOKUP($C152,装備品!$1:$998,COLUMN(E$1),FALSE)+IFERROR(VLOOKUP($CI152,付与!$1:$1167,COLUMN(G$1),FALSE),0))*VLOOKUP($D152,素材!$1:$1016,COLUMN($E$1),FALSE),0),"")</f>
        <v>0</v>
      </c>
      <c r="H152">
        <f>IFERROR(ROUNDDOWN((VLOOKUP($C152,装備品!$1:$998,COLUMN(F$1),FALSE)+IFERROR(VLOOKUP($CI152,付与!$1:$1167,COLUMN(H$1),FALSE),0))*VLOOKUP($D152,素材!$1:$1016,COLUMN($E$1),FALSE),0),"")</f>
        <v>0</v>
      </c>
      <c r="I152">
        <f>IFERROR(ROUNDDOWN((VLOOKUP($C152,装備品!$1:$998,COLUMN(G$1),FALSE)+IFERROR(VLOOKUP($CI152,付与!$1:$1167,COLUMN(I$1),FALSE),0))*VLOOKUP($D152,素材!$1:$1016,COLUMN($E$1),FALSE),0),"")</f>
        <v>0</v>
      </c>
      <c r="J152">
        <f>IFERROR(ROUNDDOWN((VLOOKUP($C152,装備品!$1:$998,COLUMN(H$1),FALSE)+IFERROR(VLOOKUP($CI152,付与!$1:$1167,COLUMN(J$1),FALSE),0))*VLOOKUP($D152,素材!$1:$1016,COLUMN($E$1),FALSE),0),"")</f>
        <v>0</v>
      </c>
      <c r="K152">
        <f>IFERROR(ROUNDDOWN((VLOOKUP($C152,装備品!$1:$998,COLUMN(I$1),FALSE)+IFERROR(VLOOKUP($CI152,付与!$1:$1167,COLUMN(K$1),FALSE),0))*VLOOKUP($D152,素材!$1:$1016,COLUMN($E$1),FALSE),0),"")</f>
        <v>0</v>
      </c>
      <c r="L152" t="str">
        <f>IFERROR(VLOOKUP($D152,素材!$1:$1016,COLUMN($F$1),FALSE),"")</f>
        <v>炎</v>
      </c>
      <c r="M152">
        <f>IFERROR(VLOOKUP($C152,装備品!$1:$998,COLUMN(AA$1),FALSE)*VLOOKUP($D152,素材!$1:$1016,COLUMN($G$1),FALSE),"")</f>
        <v>50</v>
      </c>
      <c r="N152">
        <f>IFERROR(VLOOKUP($C152,装備品!$1:$998,COLUMN(I$1),FALSE),"")</f>
        <v>0</v>
      </c>
      <c r="O152" s="23" t="str">
        <f>IFERROR((VLOOKUP($C152,装備品!$1:$998,COLUMN(K$1),FALSE)+VLOOKUP($D152,素材!$1:$1016,COLUMN(H$1),FALSE))*100+IFERROR(VLOOKUP($CI152,付与!$1:$1167,COLUMN(O$1),FALSE),0),"")</f>
        <v/>
      </c>
      <c r="P152" s="23" t="str">
        <f>IFERROR((VLOOKUP($C152,装備品!$1:$998,COLUMN(L$1),FALSE)+VLOOKUP($D152,素材!$1:$1016,COLUMN(I$1),FALSE))*100+IFERROR(VLOOKUP($CI152,付与!$1:$1167,COLUMN(P$1),FALSE),0),"")</f>
        <v/>
      </c>
      <c r="Q152">
        <f>IFERROR(ROUNDUP(VLOOKUP($C152,装備品!$1:$998,COLUMN(M$1),FALSE)*(VLOOKUP($D152,素材!$1:$1002,COLUMN(D$1),FALSE)/100),1),"")</f>
        <v>0</v>
      </c>
      <c r="R152">
        <f>IFERROR(ROUNDUP(VLOOKUP($C152,装備品!$1:$998,COLUMN(N$1),FALSE)*(VLOOKUP($D152,素材!$1:$1002,COLUMN(D$1),FALSE)/100),1),"")</f>
        <v>0</v>
      </c>
      <c r="S152">
        <f>IFERROR(VLOOKUP($C152,装備品!$1:$998,COLUMN(P$1),FALSE),"")</f>
        <v>0</v>
      </c>
      <c r="T152">
        <f>IFERROR(VLOOKUP($C152,装備品!$1:$998,COLUMN(Q$1),FALSE),"")</f>
        <v>0</v>
      </c>
      <c r="U152">
        <f>IFERROR(VLOOKUP($C152,装備品!$1:$998,COLUMN(R$1),FALSE),"")</f>
        <v>0</v>
      </c>
      <c r="V152">
        <f>IFERROR(VLOOKUP($C152,装備品!$1:$998,COLUMN(Q$1),FALSE),"")</f>
        <v>0</v>
      </c>
      <c r="W152">
        <f>IFERROR(VLOOKUP($C152,装備品!$1:$998,COLUMN(T$1),FALSE),"")</f>
        <v>0.2</v>
      </c>
      <c r="Y152">
        <f>IFERROR(VLOOKUP($C152,装備品!$1:$998,COLUMN(U$1),FALSE),"")</f>
        <v>0</v>
      </c>
      <c r="Z152">
        <f>IFERROR(ROUNDUP(VLOOKUP($C152,装備品!$1:$998,COLUMN(O$1),FALSE)*VLOOKUP($D152,素材!$1:$1016,COLUMN(E$1),FALSE),1),"")</f>
        <v>0</v>
      </c>
      <c r="AA152">
        <f>IF(ISNUMBER(SEARCH(SUBSTITUTE(AA$1,RIGHT(AA$1,2),""),VLOOKUP($D152,素材!$1:$1016,COLUMN($F$1),FALSE))),VLOOKUP($C152,装備品!$1:$998,COLUMN($O$1),FALSE)*VLOOKUP($D152,素材!$1:$1016,COLUMN($E$1),FALSE)/(LEN(VLOOKUP($D152,素材!$1:$1016,COLUMN($F$1),FALSE))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B152">
        <f>IF(ISNUMBER(SEARCH(SUBSTITUTE(AB$1,RIGHT(AB$1,2),""),VLOOKUP($D152,素材!$1:$1016,COLUMN($F$1),FALSE))),VLOOKUP($C152,装備品!$1:$998,COLUMN($O$1),FALSE)*VLOOKUP($D152,素材!$1:$1016,COLUMN($E$1),FALSE)/(LEN(VLOOKUP($D152,素材!$1:$1016,COLUMN($F$1),FALSE))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C152">
        <f>IF(ISNUMBER(SEARCH(SUBSTITUTE(AC$1,RIGHT(AC$1,2),""),VLOOKUP($D152,素材!$1:$1016,COLUMN($F$1),FALSE))),VLOOKUP($C152,装備品!$1:$998,COLUMN($O$1),FALSE)*VLOOKUP($D152,素材!$1:$1016,COLUMN($E$1),FALSE)/(LEN(VLOOKUP($D152,素材!$1:$1016,COLUMN($F$1),FALSE))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D152">
        <f>IF(ISNUMBER(SEARCH(SUBSTITUTE(AD$1,RIGHT(AD$1,2),""),VLOOKUP($D152,素材!$1:$1016,COLUMN($F$1),FALSE))),VLOOKUP($C152,装備品!$1:$998,COLUMN($O$1),FALSE)*VLOOKUP($D152,素材!$1:$1016,COLUMN($E$1),FALSE)/(LEN(VLOOKUP($D152,素材!$1:$1016,COLUMN($F$1),FALSE))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E152">
        <f>IF(ISNUMBER(SEARCH(SUBSTITUTE(AE$1,RIGHT(AE$1,2),""),VLOOKUP($D152,素材!$1:$1016,COLUMN($F$1),FALSE))),VLOOKUP($C152,装備品!$1:$998,COLUMN($O$1),FALSE)*VLOOKUP($D152,素材!$1:$1016,COLUMN($E$1),FALSE)/(LEN(VLOOKUP($D152,素材!$1:$1016,COLUMN($F$1),FALSE))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F152">
        <f>IF(ISNUMBER(SEARCH(SUBSTITUTE(AF$1,RIGHT(AF$1,2),""),VLOOKUP($D152,素材!$1:$1016,COLUMN($F$1),FALSE))),VLOOKUP($C152,装備品!$1:$998,COLUMN($O$1),FALSE)*VLOOKUP($D152,素材!$1:$1016,COLUMN($E$1),FALSE)/(LEN(VLOOKUP($D152,素材!$1:$1016,COLUMN($F$1),FALSE))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G152">
        <f>IF(ISNUMBER(SEARCH(SUBSTITUTE(AG$1,RIGHT(AG$1,2),""),VLOOKUP($D152,素材!$1:$1016,COLUMN($F$1),FALSE))),VLOOKUP($C152,装備品!$1:$998,COLUMN($O$1),FALSE)*VLOOKUP($D152,素材!$1:$1016,COLUMN($E$1),FALSE)/(LEN(VLOOKUP($D152,素材!$1:$1016,COLUMN($F$1),FALSE))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H152">
        <f>IF(ISNUMBER(SEARCH(SUBSTITUTE(AH$1,RIGHT(AH$1,2),""),VLOOKUP($D152,素材!$1:$1016,COLUMN($F$1),FALSE))),VLOOKUP($C152,装備品!$1:$998,COLUMN($O$1),FALSE)*VLOOKUP($D152,素材!$1:$1016,COLUMN($E$1),FALSE)/(LEN(VLOOKUP($D152,素材!$1:$1016,COLUMN($F$1),FALSE))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I152">
        <f>IF(ISNUMBER(SEARCH(SUBSTITUTE(AI$1,RIGHT(AI$1,2),""),VLOOKUP($D152,素材!$1:$1016,COLUMN($F$1),FALSE))),VLOOKUP($C152,装備品!$1:$998,COLUMN($O$1),FALSE)*VLOOKUP($D152,素材!$1:$1016,COLUMN($E$1),FALSE)/(LEN(VLOOKUP($D152,素材!$1:$1016,COLUMN($F$1),FALSE))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J152">
        <f>IF(ISNUMBER(SEARCH(SUBSTITUTE(AJ$1,RIGHT(AJ$1,2),""),VLOOKUP($D152,素材!$1:$1016,COLUMN($F$1),FALSE))),VLOOKUP($C152,装備品!$1:$998,COLUMN($O$1),FALSE)*VLOOKUP($D152,素材!$1:$1016,COLUMN($E$1),FALSE)/(LEN(VLOOKUP($D152,素材!$1:$1016,COLUMN($F$1),FALSE))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K152">
        <f>IF(ISNUMBER(SEARCH(SUBSTITUTE(AK$1,RIGHT(AK$1,2),""),VLOOKUP($D152,素材!$1:$1016,COLUMN($F$1),FALSE))),VLOOKUP($C152,装備品!$1:$998,COLUMN($O$1),FALSE)*VLOOKUP($D152,素材!$1:$1016,COLUMN($E$1),FALSE)/(LEN(VLOOKUP($D152,素材!$1:$1016,COLUMN($F$1),FALSE))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L152">
        <f>IF(ISNUMBER(SEARCH(SUBSTITUTE(AL$1,RIGHT(AL$1,2),""),VLOOKUP($D152,素材!$1:$1016,COLUMN($F$1),FALSE))),VLOOKUP($C152,装備品!$1:$998,COLUMN($O$1),FALSE)*VLOOKUP($D152,素材!$1:$1016,COLUMN($E$1),FALSE)/(LEN(VLOOKUP($D152,素材!$1:$1016,COLUMN($F$1),FALSE))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M152">
        <f>IF(ISNUMBER(SEARCH(SUBSTITUTE(AM$1,RIGHT(AM$1,2),""),VLOOKUP($D152,素材!$1:$1016,COLUMN($F$1),FALSE))),VLOOKUP($C152,装備品!$1:$998,COLUMN($O$1),FALSE)*VLOOKUP($D152,素材!$1:$1016,COLUMN($E$1),FALSE)/(LEN(VLOOKUP($D152,素材!$1:$1016,COLUMN($F$1),FALSE))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N152">
        <f>IF(ISNUMBER(SEARCH(SUBSTITUTE(AN$1,RIGHT(AN$1,2),""),VLOOKUP($D152,素材!$1:$1016,COLUMN($F$1),FALSE))),VLOOKUP($C152,装備品!$1:$998,COLUMN($O$1),FALSE)*VLOOKUP($D152,素材!$1:$1016,COLUMN($E$1),FALSE)/(LEN(VLOOKUP($D152,素材!$1:$1016,COLUMN($F$1),FALSE))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O152">
        <f>IF(ISNUMBER(SEARCH(SUBSTITUTE(AO$1,RIGHT(AO$1,2),""),VLOOKUP($D152,素材!$1:$1016,COLUMN($F$1),FALSE))),VLOOKUP($C152,装備品!$1:$998,COLUMN($O$1),FALSE)*VLOOKUP($D152,素材!$1:$1016,COLUMN($E$1),FALSE)/(LEN(VLOOKUP($D152,素材!$1:$1016,COLUMN($F$1),FALSE))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P152">
        <f>IF(ISNUMBER(SEARCH(SUBSTITUTE(AP$1,RIGHT(AP$1,2),""),VLOOKUP($D152,素材!$1:$1016,COLUMN($F$1),FALSE))),VLOOKUP($C152,装備品!$1:$998,COLUMN($O$1),FALSE)*VLOOKUP($D152,素材!$1:$1016,COLUMN($E$1),FALSE)/(LEN(VLOOKUP($D152,素材!$1:$1016,COLUMN($F$1),FALSE))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Q152">
        <f>IF(ISNUMBER(SEARCH(SUBSTITUTE(AQ$1,RIGHT(AQ$1,2),""),VLOOKUP($D152,素材!$1:$1016,COLUMN($F$1),FALSE))),VLOOKUP($C152,装備品!$1:$998,COLUMN($O$1),FALSE)*VLOOKUP($D152,素材!$1:$1016,COLUMN($E$1),FALSE)/(LEN(VLOOKUP($D152,素材!$1:$1016,COLUMN($F$1),FALSE))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R152">
        <f>IF(ISNUMBER(SEARCH(SUBSTITUTE(AR$1,RIGHT(AR$1,2),""),VLOOKUP($D152,素材!$1:$1016,COLUMN($F$1),FALSE))),VLOOKUP($C152,装備品!$1:$998,COLUMN($O$1),FALSE)*VLOOKUP($D152,素材!$1:$1016,COLUMN($E$1),FALSE)/(LEN(VLOOKUP($D152,素材!$1:$1016,COLUMN($F$1),FALSE))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S152">
        <f>IF(ISNUMBER(SEARCH(SUBSTITUTE(AS$1,RIGHT(AS$1,2),""),VLOOKUP($D152,素材!$1:$1016,COLUMN($F$1),FALSE))),VLOOKUP($C152,装備品!$1:$998,COLUMN($O$1),FALSE)*VLOOKUP($D152,素材!$1:$1016,COLUMN($E$1),FALSE)/(LEN(VLOOKUP($D152,素材!$1:$1016,COLUMN($F$1),FALSE))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T152">
        <f>IF(ISNUMBER(SEARCH(SUBSTITUTE(AT$1,RIGHT(AT$1,2),""),VLOOKUP($D152,素材!$1:$1016,COLUMN($F$1),FALSE))),VLOOKUP($C152,装備品!$1:$998,COLUMN($O$1),FALSE)*VLOOKUP($D152,素材!$1:$1016,COLUMN($E$1),FALSE)/(LEN(VLOOKUP($D152,素材!$1:$1016,COLUMN($F$1),FALSE))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U152">
        <f>IF(ISNUMBER(SEARCH(SUBSTITUTE(AU$1,RIGHT(AU$1,2),""),VLOOKUP($D152,素材!$1:$1016,COLUMN($F$1),FALSE))),VLOOKUP($C152,装備品!$1:$998,COLUMN($O$1),FALSE)*VLOOKUP($D152,素材!$1:$1016,COLUMN($E$1),FALSE)/(LEN(VLOOKUP($D152,素材!$1:$1016,COLUMN($F$1),FALSE))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V152">
        <f>IF(ISNUMBER(SEARCH(SUBSTITUTE(AV$1,RIGHT(AV$1,2),""),VLOOKUP($D152,素材!$1:$1016,COLUMN($F$1),FALSE))),VLOOKUP($C152,装備品!$1:$998,COLUMN($O$1),FALSE)*VLOOKUP($D152,素材!$1:$1016,COLUMN($E$1),FALSE)/(LEN(VLOOKUP($D152,素材!$1:$1016,COLUMN($F$1),FALSE))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W152">
        <f>IF(ISNUMBER(SEARCH(SUBSTITUTE(AW$1,RIGHT(AW$1,2),""),VLOOKUP($D152,素材!$1:$1016,COLUMN($F$1),FALSE))),VLOOKUP($C152,装備品!$1:$998,COLUMN($O$1),FALSE)*VLOOKUP($D152,素材!$1:$1016,COLUMN($E$1),FALSE)/(LEN(VLOOKUP($D152,素材!$1:$1016,COLUMN($F$1),FALSE))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X152">
        <f>IF(ISNUMBER(SEARCH(SUBSTITUTE(AX$1,RIGHT(AX$1,2),""),VLOOKUP($D152,素材!$1:$1016,COLUMN($F$1),FALSE))),VLOOKUP($C152,装備品!$1:$998,COLUMN($O$1),FALSE)*VLOOKUP($D152,素材!$1:$1016,COLUMN($E$1),FALSE)/(LEN(VLOOKUP($D152,素材!$1:$1016,COLUMN($F$1),FALSE))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Y152">
        <f>IF(ISNUMBER(SEARCH(SUBSTITUTE(AY$1,RIGHT(AY$1,2),""),VLOOKUP($D152,素材!$1:$1016,COLUMN($F$1),FALSE))),VLOOKUP($C152,装備品!$1:$998,COLUMN($O$1),FALSE)*VLOOKUP($D152,素材!$1:$1016,COLUMN($E$1),FALSE)/(LEN(VLOOKUP($D152,素材!$1:$1016,COLUMN($F$1),FALSE))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Z152">
        <f>IF(ISNUMBER(SEARCH(SUBSTITUTE(AZ$1,RIGHT(AZ$1,2),""),VLOOKUP($D152,素材!$1:$1016,COLUMN($F$1),FALSE))),VLOOKUP($C152,装備品!$1:$998,COLUMN($O$1),FALSE)*VLOOKUP($D152,素材!$1:$1016,COLUMN($E$1),FALSE)/(LEN(VLOOKUP($D152,素材!$1:$1016,COLUMN($F$1),FALSE))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BA152">
        <f>IF(ISNUMBER(SEARCH(SUBSTITUTE(BA$1,RIGHT(BA$1,2),""),VLOOKUP($D152,素材!$1:$1016,COLUMN($F$1),FALSE))),VLOOKUP($C152,装備品!$1:$998,COLUMN($O$1),FALSE)*VLOOKUP($D152,素材!$1:$1016,COLUMN($E$1),FALSE)/(LEN(VLOOKUP($D152,素材!$1:$1016,COLUMN($F$1),FALSE))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BB152">
        <f>IF(ISNUMBER(SEARCH(SUBSTITUTE(BB$1,RIGHT(BB$1,2),""),VLOOKUP($D152,素材!$1:$1016,COLUMN($F$1),FALSE))),VLOOKUP($C152,装備品!$1:$998,COLUMN($O$1),FALSE)*VLOOKUP($D152,素材!$1:$1016,COLUMN($E$1),FALSE)/(LEN(VLOOKUP($D152,素材!$1:$1016,COLUMN($F$1),FALSE))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BC152">
        <f>IF(ISNUMBER(SEARCH(SUBSTITUTE(BC$1,RIGHT(BC$1,2),""),VLOOKUP($D152,素材!$1:$1016,COLUMN($F$1),FALSE))),VLOOKUP($C152,装備品!$1:$998,COLUMN($O$1),FALSE)*VLOOKUP($D152,素材!$1:$1016,COLUMN($E$1),FALSE)/(LEN(VLOOKUP($D152,素材!$1:$1016,COLUMN($F$1),FALSE))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BD152">
        <f>IF(ISNUMBER(SEARCH(SUBSTITUTE(BD$1,RIGHT(BD$1,2),""),VLOOKUP($D152,素材!$1:$1016,COLUMN($F$1),FALSE))),VLOOKUP($C152,装備品!$1:$998,COLUMN($O$1),FALSE)*VLOOKUP($D152,素材!$1:$1016,COLUMN($E$1),FALSE)/(LEN(VLOOKUP($D152,素材!$1:$1016,COLUMN($F$1),FALSE))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BE152">
        <f>IF(ISNUMBER(SEARCH(SUBSTITUTE(BE$1,RIGHT(BE$1,2),""),VLOOKUP($D152,素材!$1:$1016,COLUMN($F$1),FALSE))),VLOOKUP($C152,装備品!$1:$998,COLUMN($O$1),FALSE)*VLOOKUP($D152,素材!$1:$1016,COLUMN($E$1),FALSE)/(LEN(VLOOKUP($D152,素材!$1:$1016,COLUMN($F$1),FALSE))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CL152">
        <f t="shared" si="19"/>
        <v>0</v>
      </c>
      <c r="CM152" s="22" t="str">
        <f t="shared" si="20"/>
        <v>体.webp</v>
      </c>
      <c r="CN152">
        <f>IFERROR(VLOOKUP($C152,装備品!$1:$998,COLUMN(V$1),FALSE)*VLOOKUP($D152,素材!$1:$1016,COLUMN(N$1),FALSE)+IF(CI152="",0,VLOOKUP($CI152,付与!$1:$1176,COLUMN($CK$1),FALSE)),"")</f>
        <v>0</v>
      </c>
      <c r="CO152" t="str">
        <f>VLOOKUP(D152,素材!$A:$O,COLUMN(素材!O$1),FALSE)</f>
        <v>炎属性を持つドラゴン型生物から採取される鱗素材。強力な炎属性防御を備えており、耐熱性が求められる場面で特に有用です。</v>
      </c>
      <c r="CP152" t="str">
        <f>VLOOKUP(C152,装備品!$A:$AB,COLUMN(装備品!AB$1),FALSE)</f>
        <v>HP 物理 魔法 体幹 出血 疲労 Cr</v>
      </c>
      <c r="CR152" t="str">
        <f t="shared" si="24"/>
        <v>e_152</v>
      </c>
      <c r="CS152">
        <f t="shared" si="28"/>
        <v>0</v>
      </c>
    </row>
    <row r="153" spans="1:97" outlineLevel="1" x14ac:dyDescent="0.4">
      <c r="A153" t="str">
        <f t="shared" si="23"/>
        <v>炎蜥蜴の鱗の鎧</v>
      </c>
      <c r="B153" t="str">
        <f>IFERROR(VLOOKUP($D153,素材!$1:$1016,COLUMN($B$1),FALSE)&amp;"・"&amp;VLOOKUP($C153,装備品!$1:$998,COLUMN(B$1),FALSE),"")</f>
        <v>ファイアドレイクスケール・アーマー</v>
      </c>
      <c r="C153" t="s">
        <v>207</v>
      </c>
      <c r="D153" s="24" t="s">
        <v>244</v>
      </c>
      <c r="E153" t="str">
        <f>IFERROR(VLOOKUP(C153,装備品!$1:$998,COLUMN(C$1),FALSE),"")</f>
        <v>体</v>
      </c>
      <c r="F153">
        <f>IFERROR(ROUNDDOWN((VLOOKUP($C153,装備品!$1:$998,COLUMN(D$1),FALSE)+IFERROR(VLOOKUP($CI153,付与!$1:$1167,COLUMN(F$1),FALSE),0))*VLOOKUP($D153,素材!$1:$1016,COLUMN(D$1),FALSE),0),"")</f>
        <v>0</v>
      </c>
      <c r="G153">
        <f>IFERROR(ROUNDDOWN((VLOOKUP($C153,装備品!$1:$998,COLUMN(E$1),FALSE)+IFERROR(VLOOKUP($CI153,付与!$1:$1167,COLUMN(G$1),FALSE),0))*VLOOKUP($D153,素材!$1:$1016,COLUMN($E$1),FALSE),0),"")</f>
        <v>0</v>
      </c>
      <c r="H153">
        <f>IFERROR(ROUNDDOWN((VLOOKUP($C153,装備品!$1:$998,COLUMN(F$1),FALSE)+IFERROR(VLOOKUP($CI153,付与!$1:$1167,COLUMN(H$1),FALSE),0))*VLOOKUP($D153,素材!$1:$1016,COLUMN($E$1),FALSE),0),"")</f>
        <v>0</v>
      </c>
      <c r="I153">
        <f>IFERROR(ROUNDDOWN((VLOOKUP($C153,装備品!$1:$998,COLUMN(G$1),FALSE)+IFERROR(VLOOKUP($CI153,付与!$1:$1167,COLUMN(I$1),FALSE),0))*VLOOKUP($D153,素材!$1:$1016,COLUMN($E$1),FALSE),0),"")</f>
        <v>0</v>
      </c>
      <c r="J153">
        <f>IFERROR(ROUNDDOWN((VLOOKUP($C153,装備品!$1:$998,COLUMN(H$1),FALSE)+IFERROR(VLOOKUP($CI153,付与!$1:$1167,COLUMN(J$1),FALSE),0))*VLOOKUP($D153,素材!$1:$1016,COLUMN($E$1),FALSE),0),"")</f>
        <v>0</v>
      </c>
      <c r="K153">
        <f>IFERROR(ROUNDDOWN((VLOOKUP($C153,装備品!$1:$998,COLUMN(I$1),FALSE)+IFERROR(VLOOKUP($CI153,付与!$1:$1167,COLUMN(K$1),FALSE),0))*VLOOKUP($D153,素材!$1:$1016,COLUMN($E$1),FALSE),0),"")</f>
        <v>0</v>
      </c>
      <c r="L153" t="str">
        <f>IFERROR(VLOOKUP($D153,素材!$1:$1016,COLUMN($F$1),FALSE),"")</f>
        <v>炎</v>
      </c>
      <c r="M153">
        <f>IFERROR(VLOOKUP($C153,装備品!$1:$998,COLUMN(AA$1),FALSE)*VLOOKUP($D153,素材!$1:$1016,COLUMN($G$1),FALSE),"")</f>
        <v>75</v>
      </c>
      <c r="N153">
        <f>IFERROR(VLOOKUP($C153,装備品!$1:$998,COLUMN(I$1),FALSE),"")</f>
        <v>0</v>
      </c>
      <c r="O153" s="23" t="str">
        <f>IFERROR((VLOOKUP($C153,装備品!$1:$998,COLUMN(K$1),FALSE)+VLOOKUP($D153,素材!$1:$1016,COLUMN(H$1),FALSE))*100+IFERROR(VLOOKUP($CI153,付与!$1:$1167,COLUMN(O$1),FALSE),0),"")</f>
        <v/>
      </c>
      <c r="P153" s="23" t="str">
        <f>IFERROR((VLOOKUP($C153,装備品!$1:$998,COLUMN(L$1),FALSE)+VLOOKUP($D153,素材!$1:$1016,COLUMN(I$1),FALSE))*100+IFERROR(VLOOKUP($CI153,付与!$1:$1167,COLUMN(P$1),FALSE),0),"")</f>
        <v/>
      </c>
      <c r="Q153">
        <f>IFERROR(ROUNDUP(VLOOKUP($C153,装備品!$1:$998,COLUMN(M$1),FALSE)*(VLOOKUP($D153,素材!$1:$1002,COLUMN(D$1),FALSE)/100),1),"")</f>
        <v>-12</v>
      </c>
      <c r="R153">
        <f>IFERROR(ROUNDUP(VLOOKUP($C153,装備品!$1:$998,COLUMN(N$1),FALSE)*(VLOOKUP($D153,素材!$1:$1002,COLUMN(D$1),FALSE)/100),1),"")</f>
        <v>0</v>
      </c>
      <c r="S153">
        <f>IFERROR(VLOOKUP($C153,装備品!$1:$998,COLUMN(P$1),FALSE),"")</f>
        <v>-35</v>
      </c>
      <c r="T153">
        <f>IFERROR(VLOOKUP($C153,装備品!$1:$998,COLUMN(Q$1),FALSE),"")</f>
        <v>0</v>
      </c>
      <c r="U153">
        <f>IFERROR(VLOOKUP($C153,装備品!$1:$998,COLUMN(R$1),FALSE),"")</f>
        <v>0</v>
      </c>
      <c r="V153">
        <f>IFERROR(VLOOKUP($C153,装備品!$1:$998,COLUMN(Q$1),FALSE),"")</f>
        <v>0</v>
      </c>
      <c r="W153">
        <f>IFERROR(VLOOKUP($C153,装備品!$1:$998,COLUMN(T$1),FALSE),"")</f>
        <v>0.7</v>
      </c>
      <c r="Y153">
        <f>IFERROR(VLOOKUP($C153,装備品!$1:$998,COLUMN(U$1),FALSE),"")</f>
        <v>0</v>
      </c>
      <c r="Z153">
        <f>IFERROR(ROUNDUP(VLOOKUP($C153,装備品!$1:$998,COLUMN(O$1),FALSE)*VLOOKUP($D153,素材!$1:$1016,COLUMN(E$1),FALSE),1),"")</f>
        <v>0</v>
      </c>
      <c r="AA153">
        <f>IF(ISNUMBER(SEARCH(SUBSTITUTE(AA$1,RIGHT(AA$1,2),""),VLOOKUP($D153,素材!$1:$1016,COLUMN($F$1),FALSE))),VLOOKUP($C153,装備品!$1:$998,COLUMN($O$1),FALSE)*VLOOKUP($D153,素材!$1:$1016,COLUMN($E$1),FALSE)/(LEN(VLOOKUP($D153,素材!$1:$1016,COLUMN($F$1),FALSE))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B153">
        <f>IF(ISNUMBER(SEARCH(SUBSTITUTE(AB$1,RIGHT(AB$1,2),""),VLOOKUP($D153,素材!$1:$1016,COLUMN($F$1),FALSE))),VLOOKUP($C153,装備品!$1:$998,COLUMN($O$1),FALSE)*VLOOKUP($D153,素材!$1:$1016,COLUMN($E$1),FALSE)/(LEN(VLOOKUP($D153,素材!$1:$1016,COLUMN($F$1),FALSE))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C153">
        <f>IF(ISNUMBER(SEARCH(SUBSTITUTE(AC$1,RIGHT(AC$1,2),""),VLOOKUP($D153,素材!$1:$1016,COLUMN($F$1),FALSE))),VLOOKUP($C153,装備品!$1:$998,COLUMN($O$1),FALSE)*VLOOKUP($D153,素材!$1:$1016,COLUMN($E$1),FALSE)/(LEN(VLOOKUP($D153,素材!$1:$1016,COLUMN($F$1),FALSE))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D153">
        <f>IF(ISNUMBER(SEARCH(SUBSTITUTE(AD$1,RIGHT(AD$1,2),""),VLOOKUP($D153,素材!$1:$1016,COLUMN($F$1),FALSE))),VLOOKUP($C153,装備品!$1:$998,COLUMN($O$1),FALSE)*VLOOKUP($D153,素材!$1:$1016,COLUMN($E$1),FALSE)/(LEN(VLOOKUP($D153,素材!$1:$1016,COLUMN($F$1),FALSE))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E153">
        <f>IF(ISNUMBER(SEARCH(SUBSTITUTE(AE$1,RIGHT(AE$1,2),""),VLOOKUP($D153,素材!$1:$1016,COLUMN($F$1),FALSE))),VLOOKUP($C153,装備品!$1:$998,COLUMN($O$1),FALSE)*VLOOKUP($D153,素材!$1:$1016,COLUMN($E$1),FALSE)/(LEN(VLOOKUP($D153,素材!$1:$1016,COLUMN($F$1),FALSE))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F153">
        <f>IF(ISNUMBER(SEARCH(SUBSTITUTE(AF$1,RIGHT(AF$1,2),""),VLOOKUP($D153,素材!$1:$1016,COLUMN($F$1),FALSE))),VLOOKUP($C153,装備品!$1:$998,COLUMN($O$1),FALSE)*VLOOKUP($D153,素材!$1:$1016,COLUMN($E$1),FALSE)/(LEN(VLOOKUP($D153,素材!$1:$1016,COLUMN($F$1),FALSE))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G153">
        <f>IF(ISNUMBER(SEARCH(SUBSTITUTE(AG$1,RIGHT(AG$1,2),""),VLOOKUP($D153,素材!$1:$1016,COLUMN($F$1),FALSE))),VLOOKUP($C153,装備品!$1:$998,COLUMN($O$1),FALSE)*VLOOKUP($D153,素材!$1:$1016,COLUMN($E$1),FALSE)/(LEN(VLOOKUP($D153,素材!$1:$1016,COLUMN($F$1),FALSE))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H153">
        <f>IF(ISNUMBER(SEARCH(SUBSTITUTE(AH$1,RIGHT(AH$1,2),""),VLOOKUP($D153,素材!$1:$1016,COLUMN($F$1),FALSE))),VLOOKUP($C153,装備品!$1:$998,COLUMN($O$1),FALSE)*VLOOKUP($D153,素材!$1:$1016,COLUMN($E$1),FALSE)/(LEN(VLOOKUP($D153,素材!$1:$1016,COLUMN($F$1),FALSE))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I153">
        <f>IF(ISNUMBER(SEARCH(SUBSTITUTE(AI$1,RIGHT(AI$1,2),""),VLOOKUP($D153,素材!$1:$1016,COLUMN($F$1),FALSE))),VLOOKUP($C153,装備品!$1:$998,COLUMN($O$1),FALSE)*VLOOKUP($D153,素材!$1:$1016,COLUMN($E$1),FALSE)/(LEN(VLOOKUP($D153,素材!$1:$1016,COLUMN($F$1),FALSE))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J153">
        <f>IF(ISNUMBER(SEARCH(SUBSTITUTE(AJ$1,RIGHT(AJ$1,2),""),VLOOKUP($D153,素材!$1:$1016,COLUMN($F$1),FALSE))),VLOOKUP($C153,装備品!$1:$998,COLUMN($O$1),FALSE)*VLOOKUP($D153,素材!$1:$1016,COLUMN($E$1),FALSE)/(LEN(VLOOKUP($D153,素材!$1:$1016,COLUMN($F$1),FALSE))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K153">
        <f>IF(ISNUMBER(SEARCH(SUBSTITUTE(AK$1,RIGHT(AK$1,2),""),VLOOKUP($D153,素材!$1:$1016,COLUMN($F$1),FALSE))),VLOOKUP($C153,装備品!$1:$998,COLUMN($O$1),FALSE)*VLOOKUP($D153,素材!$1:$1016,COLUMN($E$1),FALSE)/(LEN(VLOOKUP($D153,素材!$1:$1016,COLUMN($F$1),FALSE))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L153">
        <f>IF(ISNUMBER(SEARCH(SUBSTITUTE(AL$1,RIGHT(AL$1,2),""),VLOOKUP($D153,素材!$1:$1016,COLUMN($F$1),FALSE))),VLOOKUP($C153,装備品!$1:$998,COLUMN($O$1),FALSE)*VLOOKUP($D153,素材!$1:$1016,COLUMN($E$1),FALSE)/(LEN(VLOOKUP($D153,素材!$1:$1016,COLUMN($F$1),FALSE))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M153">
        <f>IF(ISNUMBER(SEARCH(SUBSTITUTE(AM$1,RIGHT(AM$1,2),""),VLOOKUP($D153,素材!$1:$1016,COLUMN($F$1),FALSE))),VLOOKUP($C153,装備品!$1:$998,COLUMN($O$1),FALSE)*VLOOKUP($D153,素材!$1:$1016,COLUMN($E$1),FALSE)/(LEN(VLOOKUP($D153,素材!$1:$1016,COLUMN($F$1),FALSE))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N153">
        <f>IF(ISNUMBER(SEARCH(SUBSTITUTE(AN$1,RIGHT(AN$1,2),""),VLOOKUP($D153,素材!$1:$1016,COLUMN($F$1),FALSE))),VLOOKUP($C153,装備品!$1:$998,COLUMN($O$1),FALSE)*VLOOKUP($D153,素材!$1:$1016,COLUMN($E$1),FALSE)/(LEN(VLOOKUP($D153,素材!$1:$1016,COLUMN($F$1),FALSE))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O153">
        <f>IF(ISNUMBER(SEARCH(SUBSTITUTE(AO$1,RIGHT(AO$1,2),""),VLOOKUP($D153,素材!$1:$1016,COLUMN($F$1),FALSE))),VLOOKUP($C153,装備品!$1:$998,COLUMN($O$1),FALSE)*VLOOKUP($D153,素材!$1:$1016,COLUMN($E$1),FALSE)/(LEN(VLOOKUP($D153,素材!$1:$1016,COLUMN($F$1),FALSE))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P153">
        <f>IF(ISNUMBER(SEARCH(SUBSTITUTE(AP$1,RIGHT(AP$1,2),""),VLOOKUP($D153,素材!$1:$1016,COLUMN($F$1),FALSE))),VLOOKUP($C153,装備品!$1:$998,COLUMN($O$1),FALSE)*VLOOKUP($D153,素材!$1:$1016,COLUMN($E$1),FALSE)/(LEN(VLOOKUP($D153,素材!$1:$1016,COLUMN($F$1),FALSE))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Q153">
        <f>IF(ISNUMBER(SEARCH(SUBSTITUTE(AQ$1,RIGHT(AQ$1,2),""),VLOOKUP($D153,素材!$1:$1016,COLUMN($F$1),FALSE))),VLOOKUP($C153,装備品!$1:$998,COLUMN($O$1),FALSE)*VLOOKUP($D153,素材!$1:$1016,COLUMN($E$1),FALSE)/(LEN(VLOOKUP($D153,素材!$1:$1016,COLUMN($F$1),FALSE))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R153">
        <f>IF(ISNUMBER(SEARCH(SUBSTITUTE(AR$1,RIGHT(AR$1,2),""),VLOOKUP($D153,素材!$1:$1016,COLUMN($F$1),FALSE))),VLOOKUP($C153,装備品!$1:$998,COLUMN($O$1),FALSE)*VLOOKUP($D153,素材!$1:$1016,COLUMN($E$1),FALSE)/(LEN(VLOOKUP($D153,素材!$1:$1016,COLUMN($F$1),FALSE))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S153">
        <f>IF(ISNUMBER(SEARCH(SUBSTITUTE(AS$1,RIGHT(AS$1,2),""),VLOOKUP($D153,素材!$1:$1016,COLUMN($F$1),FALSE))),VLOOKUP($C153,装備品!$1:$998,COLUMN($O$1),FALSE)*VLOOKUP($D153,素材!$1:$1016,COLUMN($E$1),FALSE)/(LEN(VLOOKUP($D153,素材!$1:$1016,COLUMN($F$1),FALSE))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T153">
        <f>IF(ISNUMBER(SEARCH(SUBSTITUTE(AT$1,RIGHT(AT$1,2),""),VLOOKUP($D153,素材!$1:$1016,COLUMN($F$1),FALSE))),VLOOKUP($C153,装備品!$1:$998,COLUMN($O$1),FALSE)*VLOOKUP($D153,素材!$1:$1016,COLUMN($E$1),FALSE)/(LEN(VLOOKUP($D153,素材!$1:$1016,COLUMN($F$1),FALSE))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U153">
        <f>IF(ISNUMBER(SEARCH(SUBSTITUTE(AU$1,RIGHT(AU$1,2),""),VLOOKUP($D153,素材!$1:$1016,COLUMN($F$1),FALSE))),VLOOKUP($C153,装備品!$1:$998,COLUMN($O$1),FALSE)*VLOOKUP($D153,素材!$1:$1016,COLUMN($E$1),FALSE)/(LEN(VLOOKUP($D153,素材!$1:$1016,COLUMN($F$1),FALSE))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V153">
        <f>IF(ISNUMBER(SEARCH(SUBSTITUTE(AV$1,RIGHT(AV$1,2),""),VLOOKUP($D153,素材!$1:$1016,COLUMN($F$1),FALSE))),VLOOKUP($C153,装備品!$1:$998,COLUMN($O$1),FALSE)*VLOOKUP($D153,素材!$1:$1016,COLUMN($E$1),FALSE)/(LEN(VLOOKUP($D153,素材!$1:$1016,COLUMN($F$1),FALSE))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W153">
        <f>IF(ISNUMBER(SEARCH(SUBSTITUTE(AW$1,RIGHT(AW$1,2),""),VLOOKUP($D153,素材!$1:$1016,COLUMN($F$1),FALSE))),VLOOKUP($C153,装備品!$1:$998,COLUMN($O$1),FALSE)*VLOOKUP($D153,素材!$1:$1016,COLUMN($E$1),FALSE)/(LEN(VLOOKUP($D153,素材!$1:$1016,COLUMN($F$1),FALSE))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X153">
        <f>IF(ISNUMBER(SEARCH(SUBSTITUTE(AX$1,RIGHT(AX$1,2),""),VLOOKUP($D153,素材!$1:$1016,COLUMN($F$1),FALSE))),VLOOKUP($C153,装備品!$1:$998,COLUMN($O$1),FALSE)*VLOOKUP($D153,素材!$1:$1016,COLUMN($E$1),FALSE)/(LEN(VLOOKUP($D153,素材!$1:$1016,COLUMN($F$1),FALSE))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Y153">
        <f>IF(ISNUMBER(SEARCH(SUBSTITUTE(AY$1,RIGHT(AY$1,2),""),VLOOKUP($D153,素材!$1:$1016,COLUMN($F$1),FALSE))),VLOOKUP($C153,装備品!$1:$998,COLUMN($O$1),FALSE)*VLOOKUP($D153,素材!$1:$1016,COLUMN($E$1),FALSE)/(LEN(VLOOKUP($D153,素材!$1:$1016,COLUMN($F$1),FALSE))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Z153">
        <f>IF(ISNUMBER(SEARCH(SUBSTITUTE(AZ$1,RIGHT(AZ$1,2),""),VLOOKUP($D153,素材!$1:$1016,COLUMN($F$1),FALSE))),VLOOKUP($C153,装備品!$1:$998,COLUMN($O$1),FALSE)*VLOOKUP($D153,素材!$1:$1016,COLUMN($E$1),FALSE)/(LEN(VLOOKUP($D153,素材!$1:$1016,COLUMN($F$1),FALSE))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BA153">
        <f>IF(ISNUMBER(SEARCH(SUBSTITUTE(BA$1,RIGHT(BA$1,2),""),VLOOKUP($D153,素材!$1:$1016,COLUMN($F$1),FALSE))),VLOOKUP($C153,装備品!$1:$998,COLUMN($O$1),FALSE)*VLOOKUP($D153,素材!$1:$1016,COLUMN($E$1),FALSE)/(LEN(VLOOKUP($D153,素材!$1:$1016,COLUMN($F$1),FALSE))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BB153">
        <f>IF(ISNUMBER(SEARCH(SUBSTITUTE(BB$1,RIGHT(BB$1,2),""),VLOOKUP($D153,素材!$1:$1016,COLUMN($F$1),FALSE))),VLOOKUP($C153,装備品!$1:$998,COLUMN($O$1),FALSE)*VLOOKUP($D153,素材!$1:$1016,COLUMN($E$1),FALSE)/(LEN(VLOOKUP($D153,素材!$1:$1016,COLUMN($F$1),FALSE))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BC153">
        <f>IF(ISNUMBER(SEARCH(SUBSTITUTE(BC$1,RIGHT(BC$1,2),""),VLOOKUP($D153,素材!$1:$1016,COLUMN($F$1),FALSE))),VLOOKUP($C153,装備品!$1:$998,COLUMN($O$1),FALSE)*VLOOKUP($D153,素材!$1:$1016,COLUMN($E$1),FALSE)/(LEN(VLOOKUP($D153,素材!$1:$1016,COLUMN($F$1),FALSE))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BD153">
        <f>IF(ISNUMBER(SEARCH(SUBSTITUTE(BD$1,RIGHT(BD$1,2),""),VLOOKUP($D153,素材!$1:$1016,COLUMN($F$1),FALSE))),VLOOKUP($C153,装備品!$1:$998,COLUMN($O$1),FALSE)*VLOOKUP($D153,素材!$1:$1016,COLUMN($E$1),FALSE)/(LEN(VLOOKUP($D153,素材!$1:$1016,COLUMN($F$1),FALSE))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BE153">
        <f>IF(ISNUMBER(SEARCH(SUBSTITUTE(BE$1,RIGHT(BE$1,2),""),VLOOKUP($D153,素材!$1:$1016,COLUMN($F$1),FALSE))),VLOOKUP($C153,装備品!$1:$998,COLUMN($O$1),FALSE)*VLOOKUP($D153,素材!$1:$1016,COLUMN($E$1),FALSE)/(LEN(VLOOKUP($D153,素材!$1:$1016,COLUMN($F$1),FALSE))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CL153">
        <f t="shared" si="19"/>
        <v>0</v>
      </c>
      <c r="CM153" s="22" t="str">
        <f t="shared" si="20"/>
        <v>体.webp</v>
      </c>
      <c r="CN153">
        <f>IFERROR(VLOOKUP($C153,装備品!$1:$998,COLUMN(V$1),FALSE)*VLOOKUP($D153,素材!$1:$1016,COLUMN(N$1),FALSE)+IF(CI153="",0,VLOOKUP($CI153,付与!$1:$1176,COLUMN($CK$1),FALSE)),"")</f>
        <v>0</v>
      </c>
      <c r="CO153" t="str">
        <f>VLOOKUP(D153,素材!$A:$O,COLUMN(素材!O$1),FALSE)</f>
        <v>炎属性を持つドラゴン型生物から採取される鱗素材。強力な炎属性防御を備えており、耐熱性が求められる場面で特に有用です。</v>
      </c>
      <c r="CP153" t="str">
        <f>VLOOKUP(C153,装備品!$A:$AB,COLUMN(装備品!AB$1),FALSE)</f>
        <v>HP 物理 魔法 体幹 出血 疲労 Cr</v>
      </c>
      <c r="CR153" t="str">
        <f t="shared" si="24"/>
        <v>e_153</v>
      </c>
      <c r="CS153">
        <f t="shared" si="28"/>
        <v>0</v>
      </c>
    </row>
    <row r="154" spans="1:97" outlineLevel="1" x14ac:dyDescent="0.4">
      <c r="A154" t="str">
        <f t="shared" si="23"/>
        <v>炎蜥蜴の鱗の胴衣</v>
      </c>
      <c r="B154" t="str">
        <f>IFERROR(VLOOKUP($D154,素材!$1:$1016,COLUMN($B$1),FALSE)&amp;"・"&amp;VLOOKUP($C154,装備品!$1:$998,COLUMN(B$1),FALSE),"")</f>
        <v>ファイアドレイクスケール・ベスト</v>
      </c>
      <c r="C154" t="s">
        <v>206</v>
      </c>
      <c r="D154" s="24" t="s">
        <v>244</v>
      </c>
      <c r="E154" t="str">
        <f>IFERROR(VLOOKUP(C154,装備品!$1:$998,COLUMN(C$1),FALSE),"")</f>
        <v>体</v>
      </c>
      <c r="F154">
        <f>IFERROR(ROUNDDOWN((VLOOKUP($C154,装備品!$1:$998,COLUMN(D$1),FALSE)+IFERROR(VLOOKUP($CI154,付与!$1:$1167,COLUMN(F$1),FALSE),0))*VLOOKUP($D154,素材!$1:$1016,COLUMN(D$1),FALSE),0),"")</f>
        <v>0</v>
      </c>
      <c r="G154">
        <f>IFERROR(ROUNDDOWN((VLOOKUP($C154,装備品!$1:$998,COLUMN(E$1),FALSE)+IFERROR(VLOOKUP($CI154,付与!$1:$1167,COLUMN(G$1),FALSE),0))*VLOOKUP($D154,素材!$1:$1016,COLUMN($E$1),FALSE),0),"")</f>
        <v>0</v>
      </c>
      <c r="H154">
        <f>IFERROR(ROUNDDOWN((VLOOKUP($C154,装備品!$1:$998,COLUMN(F$1),FALSE)+IFERROR(VLOOKUP($CI154,付与!$1:$1167,COLUMN(H$1),FALSE),0))*VLOOKUP($D154,素材!$1:$1016,COLUMN($E$1),FALSE),0),"")</f>
        <v>0</v>
      </c>
      <c r="I154">
        <f>IFERROR(ROUNDDOWN((VLOOKUP($C154,装備品!$1:$998,COLUMN(G$1),FALSE)+IFERROR(VLOOKUP($CI154,付与!$1:$1167,COLUMN(I$1),FALSE),0))*VLOOKUP($D154,素材!$1:$1016,COLUMN($E$1),FALSE),0),"")</f>
        <v>0</v>
      </c>
      <c r="J154">
        <f>IFERROR(ROUNDDOWN((VLOOKUP($C154,装備品!$1:$998,COLUMN(H$1),FALSE)+IFERROR(VLOOKUP($CI154,付与!$1:$1167,COLUMN(J$1),FALSE),0))*VLOOKUP($D154,素材!$1:$1016,COLUMN($E$1),FALSE),0),"")</f>
        <v>0</v>
      </c>
      <c r="K154">
        <f>IFERROR(ROUNDDOWN((VLOOKUP($C154,装備品!$1:$998,COLUMN(I$1),FALSE)+IFERROR(VLOOKUP($CI154,付与!$1:$1167,COLUMN(K$1),FALSE),0))*VLOOKUP($D154,素材!$1:$1016,COLUMN($E$1),FALSE),0),"")</f>
        <v>0</v>
      </c>
      <c r="L154" t="str">
        <f>IFERROR(VLOOKUP($D154,素材!$1:$1016,COLUMN($F$1),FALSE),"")</f>
        <v>炎</v>
      </c>
      <c r="M154">
        <f>IFERROR(VLOOKUP($C154,装備品!$1:$998,COLUMN(AA$1),FALSE)*VLOOKUP($D154,素材!$1:$1016,COLUMN($G$1),FALSE),"")</f>
        <v>62.5</v>
      </c>
      <c r="N154">
        <f>IFERROR(VLOOKUP($C154,装備品!$1:$998,COLUMN(I$1),FALSE),"")</f>
        <v>0</v>
      </c>
      <c r="O154" s="23" t="str">
        <f>IFERROR((VLOOKUP($C154,装備品!$1:$998,COLUMN(K$1),FALSE)+VLOOKUP($D154,素材!$1:$1016,COLUMN(H$1),FALSE))*100+IFERROR(VLOOKUP($CI154,付与!$1:$1167,COLUMN(O$1),FALSE),0),"")</f>
        <v/>
      </c>
      <c r="P154" s="23" t="str">
        <f>IFERROR((VLOOKUP($C154,装備品!$1:$998,COLUMN(L$1),FALSE)+VLOOKUP($D154,素材!$1:$1016,COLUMN(I$1),FALSE))*100+IFERROR(VLOOKUP($CI154,付与!$1:$1167,COLUMN(P$1),FALSE),0),"")</f>
        <v/>
      </c>
      <c r="Q154">
        <f>IFERROR(ROUNDUP(VLOOKUP($C154,装備品!$1:$998,COLUMN(M$1),FALSE)*(VLOOKUP($D154,素材!$1:$1002,COLUMN(D$1),FALSE)/100),1),"")</f>
        <v>-6</v>
      </c>
      <c r="R154">
        <f>IFERROR(ROUNDUP(VLOOKUP($C154,装備品!$1:$998,COLUMN(N$1),FALSE)*(VLOOKUP($D154,素材!$1:$1002,COLUMN(D$1),FALSE)/100),1),"")</f>
        <v>0</v>
      </c>
      <c r="S154">
        <f>IFERROR(VLOOKUP($C154,装備品!$1:$998,COLUMN(P$1),FALSE),"")</f>
        <v>-15</v>
      </c>
      <c r="T154">
        <f>IFERROR(VLOOKUP($C154,装備品!$1:$998,COLUMN(Q$1),FALSE),"")</f>
        <v>0</v>
      </c>
      <c r="U154">
        <f>IFERROR(VLOOKUP($C154,装備品!$1:$998,COLUMN(R$1),FALSE),"")</f>
        <v>0</v>
      </c>
      <c r="V154">
        <f>IFERROR(VLOOKUP($C154,装備品!$1:$998,COLUMN(Q$1),FALSE),"")</f>
        <v>0</v>
      </c>
      <c r="W154">
        <f>IFERROR(VLOOKUP($C154,装備品!$1:$998,COLUMN(T$1),FALSE),"")</f>
        <v>0.5</v>
      </c>
      <c r="Y154">
        <f>IFERROR(VLOOKUP($C154,装備品!$1:$998,COLUMN(U$1),FALSE),"")</f>
        <v>0</v>
      </c>
      <c r="Z154">
        <f>IFERROR(ROUNDUP(VLOOKUP($C154,装備品!$1:$998,COLUMN(O$1),FALSE)*VLOOKUP($D154,素材!$1:$1016,COLUMN(E$1),FALSE),1),"")</f>
        <v>0</v>
      </c>
      <c r="AA154">
        <f>IF(ISNUMBER(SEARCH(SUBSTITUTE(AA$1,RIGHT(AA$1,2),""),VLOOKUP($D154,素材!$1:$1016,COLUMN($F$1),FALSE))),VLOOKUP($C154,装備品!$1:$998,COLUMN($O$1),FALSE)*VLOOKUP($D154,素材!$1:$1016,COLUMN($E$1),FALSE)/(LEN(VLOOKUP($D154,素材!$1:$1016,COLUMN($F$1),FALSE))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B154">
        <f>IF(ISNUMBER(SEARCH(SUBSTITUTE(AB$1,RIGHT(AB$1,2),""),VLOOKUP($D154,素材!$1:$1016,COLUMN($F$1),FALSE))),VLOOKUP($C154,装備品!$1:$998,COLUMN($O$1),FALSE)*VLOOKUP($D154,素材!$1:$1016,COLUMN($E$1),FALSE)/(LEN(VLOOKUP($D154,素材!$1:$1016,COLUMN($F$1),FALSE))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C154">
        <f>IF(ISNUMBER(SEARCH(SUBSTITUTE(AC$1,RIGHT(AC$1,2),""),VLOOKUP($D154,素材!$1:$1016,COLUMN($F$1),FALSE))),VLOOKUP($C154,装備品!$1:$998,COLUMN($O$1),FALSE)*VLOOKUP($D154,素材!$1:$1016,COLUMN($E$1),FALSE)/(LEN(VLOOKUP($D154,素材!$1:$1016,COLUMN($F$1),FALSE))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D154">
        <f>IF(ISNUMBER(SEARCH(SUBSTITUTE(AD$1,RIGHT(AD$1,2),""),VLOOKUP($D154,素材!$1:$1016,COLUMN($F$1),FALSE))),VLOOKUP($C154,装備品!$1:$998,COLUMN($O$1),FALSE)*VLOOKUP($D154,素材!$1:$1016,COLUMN($E$1),FALSE)/(LEN(VLOOKUP($D154,素材!$1:$1016,COLUMN($F$1),FALSE))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E154">
        <f>IF(ISNUMBER(SEARCH(SUBSTITUTE(AE$1,RIGHT(AE$1,2),""),VLOOKUP($D154,素材!$1:$1016,COLUMN($F$1),FALSE))),VLOOKUP($C154,装備品!$1:$998,COLUMN($O$1),FALSE)*VLOOKUP($D154,素材!$1:$1016,COLUMN($E$1),FALSE)/(LEN(VLOOKUP($D154,素材!$1:$1016,COLUMN($F$1),FALSE))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F154">
        <f>IF(ISNUMBER(SEARCH(SUBSTITUTE(AF$1,RIGHT(AF$1,2),""),VLOOKUP($D154,素材!$1:$1016,COLUMN($F$1),FALSE))),VLOOKUP($C154,装備品!$1:$998,COLUMN($O$1),FALSE)*VLOOKUP($D154,素材!$1:$1016,COLUMN($E$1),FALSE)/(LEN(VLOOKUP($D154,素材!$1:$1016,COLUMN($F$1),FALSE))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G154">
        <f>IF(ISNUMBER(SEARCH(SUBSTITUTE(AG$1,RIGHT(AG$1,2),""),VLOOKUP($D154,素材!$1:$1016,COLUMN($F$1),FALSE))),VLOOKUP($C154,装備品!$1:$998,COLUMN($O$1),FALSE)*VLOOKUP($D154,素材!$1:$1016,COLUMN($E$1),FALSE)/(LEN(VLOOKUP($D154,素材!$1:$1016,COLUMN($F$1),FALSE))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H154">
        <f>IF(ISNUMBER(SEARCH(SUBSTITUTE(AH$1,RIGHT(AH$1,2),""),VLOOKUP($D154,素材!$1:$1016,COLUMN($F$1),FALSE))),VLOOKUP($C154,装備品!$1:$998,COLUMN($O$1),FALSE)*VLOOKUP($D154,素材!$1:$1016,COLUMN($E$1),FALSE)/(LEN(VLOOKUP($D154,素材!$1:$1016,COLUMN($F$1),FALSE))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I154">
        <f>IF(ISNUMBER(SEARCH(SUBSTITUTE(AI$1,RIGHT(AI$1,2),""),VLOOKUP($D154,素材!$1:$1016,COLUMN($F$1),FALSE))),VLOOKUP($C154,装備品!$1:$998,COLUMN($O$1),FALSE)*VLOOKUP($D154,素材!$1:$1016,COLUMN($E$1),FALSE)/(LEN(VLOOKUP($D154,素材!$1:$1016,COLUMN($F$1),FALSE))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J154">
        <f>IF(ISNUMBER(SEARCH(SUBSTITUTE(AJ$1,RIGHT(AJ$1,2),""),VLOOKUP($D154,素材!$1:$1016,COLUMN($F$1),FALSE))),VLOOKUP($C154,装備品!$1:$998,COLUMN($O$1),FALSE)*VLOOKUP($D154,素材!$1:$1016,COLUMN($E$1),FALSE)/(LEN(VLOOKUP($D154,素材!$1:$1016,COLUMN($F$1),FALSE))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K154">
        <f>IF(ISNUMBER(SEARCH(SUBSTITUTE(AK$1,RIGHT(AK$1,2),""),VLOOKUP($D154,素材!$1:$1016,COLUMN($F$1),FALSE))),VLOOKUP($C154,装備品!$1:$998,COLUMN($O$1),FALSE)*VLOOKUP($D154,素材!$1:$1016,COLUMN($E$1),FALSE)/(LEN(VLOOKUP($D154,素材!$1:$1016,COLUMN($F$1),FALSE))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L154">
        <f>IF(ISNUMBER(SEARCH(SUBSTITUTE(AL$1,RIGHT(AL$1,2),""),VLOOKUP($D154,素材!$1:$1016,COLUMN($F$1),FALSE))),VLOOKUP($C154,装備品!$1:$998,COLUMN($O$1),FALSE)*VLOOKUP($D154,素材!$1:$1016,COLUMN($E$1),FALSE)/(LEN(VLOOKUP($D154,素材!$1:$1016,COLUMN($F$1),FALSE))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M154">
        <f>IF(ISNUMBER(SEARCH(SUBSTITUTE(AM$1,RIGHT(AM$1,2),""),VLOOKUP($D154,素材!$1:$1016,COLUMN($F$1),FALSE))),VLOOKUP($C154,装備品!$1:$998,COLUMN($O$1),FALSE)*VLOOKUP($D154,素材!$1:$1016,COLUMN($E$1),FALSE)/(LEN(VLOOKUP($D154,素材!$1:$1016,COLUMN($F$1),FALSE))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N154">
        <f>IF(ISNUMBER(SEARCH(SUBSTITUTE(AN$1,RIGHT(AN$1,2),""),VLOOKUP($D154,素材!$1:$1016,COLUMN($F$1),FALSE))),VLOOKUP($C154,装備品!$1:$998,COLUMN($O$1),FALSE)*VLOOKUP($D154,素材!$1:$1016,COLUMN($E$1),FALSE)/(LEN(VLOOKUP($D154,素材!$1:$1016,COLUMN($F$1),FALSE))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O154">
        <f>IF(ISNUMBER(SEARCH(SUBSTITUTE(AO$1,RIGHT(AO$1,2),""),VLOOKUP($D154,素材!$1:$1016,COLUMN($F$1),FALSE))),VLOOKUP($C154,装備品!$1:$998,COLUMN($O$1),FALSE)*VLOOKUP($D154,素材!$1:$1016,COLUMN($E$1),FALSE)/(LEN(VLOOKUP($D154,素材!$1:$1016,COLUMN($F$1),FALSE))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P154">
        <f>IF(ISNUMBER(SEARCH(SUBSTITUTE(AP$1,RIGHT(AP$1,2),""),VLOOKUP($D154,素材!$1:$1016,COLUMN($F$1),FALSE))),VLOOKUP($C154,装備品!$1:$998,COLUMN($O$1),FALSE)*VLOOKUP($D154,素材!$1:$1016,COLUMN($E$1),FALSE)/(LEN(VLOOKUP($D154,素材!$1:$1016,COLUMN($F$1),FALSE))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Q154">
        <f>IF(ISNUMBER(SEARCH(SUBSTITUTE(AQ$1,RIGHT(AQ$1,2),""),VLOOKUP($D154,素材!$1:$1016,COLUMN($F$1),FALSE))),VLOOKUP($C154,装備品!$1:$998,COLUMN($O$1),FALSE)*VLOOKUP($D154,素材!$1:$1016,COLUMN($E$1),FALSE)/(LEN(VLOOKUP($D154,素材!$1:$1016,COLUMN($F$1),FALSE))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R154">
        <f>IF(ISNUMBER(SEARCH(SUBSTITUTE(AR$1,RIGHT(AR$1,2),""),VLOOKUP($D154,素材!$1:$1016,COLUMN($F$1),FALSE))),VLOOKUP($C154,装備品!$1:$998,COLUMN($O$1),FALSE)*VLOOKUP($D154,素材!$1:$1016,COLUMN($E$1),FALSE)/(LEN(VLOOKUP($D154,素材!$1:$1016,COLUMN($F$1),FALSE))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S154">
        <f>IF(ISNUMBER(SEARCH(SUBSTITUTE(AS$1,RIGHT(AS$1,2),""),VLOOKUP($D154,素材!$1:$1016,COLUMN($F$1),FALSE))),VLOOKUP($C154,装備品!$1:$998,COLUMN($O$1),FALSE)*VLOOKUP($D154,素材!$1:$1016,COLUMN($E$1),FALSE)/(LEN(VLOOKUP($D154,素材!$1:$1016,COLUMN($F$1),FALSE))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T154">
        <f>IF(ISNUMBER(SEARCH(SUBSTITUTE(AT$1,RIGHT(AT$1,2),""),VLOOKUP($D154,素材!$1:$1016,COLUMN($F$1),FALSE))),VLOOKUP($C154,装備品!$1:$998,COLUMN($O$1),FALSE)*VLOOKUP($D154,素材!$1:$1016,COLUMN($E$1),FALSE)/(LEN(VLOOKUP($D154,素材!$1:$1016,COLUMN($F$1),FALSE))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U154">
        <f>IF(ISNUMBER(SEARCH(SUBSTITUTE(AU$1,RIGHT(AU$1,2),""),VLOOKUP($D154,素材!$1:$1016,COLUMN($F$1),FALSE))),VLOOKUP($C154,装備品!$1:$998,COLUMN($O$1),FALSE)*VLOOKUP($D154,素材!$1:$1016,COLUMN($E$1),FALSE)/(LEN(VLOOKUP($D154,素材!$1:$1016,COLUMN($F$1),FALSE))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V154">
        <f>IF(ISNUMBER(SEARCH(SUBSTITUTE(AV$1,RIGHT(AV$1,2),""),VLOOKUP($D154,素材!$1:$1016,COLUMN($F$1),FALSE))),VLOOKUP($C154,装備品!$1:$998,COLUMN($O$1),FALSE)*VLOOKUP($D154,素材!$1:$1016,COLUMN($E$1),FALSE)/(LEN(VLOOKUP($D154,素材!$1:$1016,COLUMN($F$1),FALSE))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W154">
        <f>IF(ISNUMBER(SEARCH(SUBSTITUTE(AW$1,RIGHT(AW$1,2),""),VLOOKUP($D154,素材!$1:$1016,COLUMN($F$1),FALSE))),VLOOKUP($C154,装備品!$1:$998,COLUMN($O$1),FALSE)*VLOOKUP($D154,素材!$1:$1016,COLUMN($E$1),FALSE)/(LEN(VLOOKUP($D154,素材!$1:$1016,COLUMN($F$1),FALSE))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X154">
        <f>IF(ISNUMBER(SEARCH(SUBSTITUTE(AX$1,RIGHT(AX$1,2),""),VLOOKUP($D154,素材!$1:$1016,COLUMN($F$1),FALSE))),VLOOKUP($C154,装備品!$1:$998,COLUMN($O$1),FALSE)*VLOOKUP($D154,素材!$1:$1016,COLUMN($E$1),FALSE)/(LEN(VLOOKUP($D154,素材!$1:$1016,COLUMN($F$1),FALSE))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Y154">
        <f>IF(ISNUMBER(SEARCH(SUBSTITUTE(AY$1,RIGHT(AY$1,2),""),VLOOKUP($D154,素材!$1:$1016,COLUMN($F$1),FALSE))),VLOOKUP($C154,装備品!$1:$998,COLUMN($O$1),FALSE)*VLOOKUP($D154,素材!$1:$1016,COLUMN($E$1),FALSE)/(LEN(VLOOKUP($D154,素材!$1:$1016,COLUMN($F$1),FALSE))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Z154">
        <f>IF(ISNUMBER(SEARCH(SUBSTITUTE(AZ$1,RIGHT(AZ$1,2),""),VLOOKUP($D154,素材!$1:$1016,COLUMN($F$1),FALSE))),VLOOKUP($C154,装備品!$1:$998,COLUMN($O$1),FALSE)*VLOOKUP($D154,素材!$1:$1016,COLUMN($E$1),FALSE)/(LEN(VLOOKUP($D154,素材!$1:$1016,COLUMN($F$1),FALSE))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BA154">
        <f>IF(ISNUMBER(SEARCH(SUBSTITUTE(BA$1,RIGHT(BA$1,2),""),VLOOKUP($D154,素材!$1:$1016,COLUMN($F$1),FALSE))),VLOOKUP($C154,装備品!$1:$998,COLUMN($O$1),FALSE)*VLOOKUP($D154,素材!$1:$1016,COLUMN($E$1),FALSE)/(LEN(VLOOKUP($D154,素材!$1:$1016,COLUMN($F$1),FALSE))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BB154">
        <f>IF(ISNUMBER(SEARCH(SUBSTITUTE(BB$1,RIGHT(BB$1,2),""),VLOOKUP($D154,素材!$1:$1016,COLUMN($F$1),FALSE))),VLOOKUP($C154,装備品!$1:$998,COLUMN($O$1),FALSE)*VLOOKUP($D154,素材!$1:$1016,COLUMN($E$1),FALSE)/(LEN(VLOOKUP($D154,素材!$1:$1016,COLUMN($F$1),FALSE))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BC154">
        <f>IF(ISNUMBER(SEARCH(SUBSTITUTE(BC$1,RIGHT(BC$1,2),""),VLOOKUP($D154,素材!$1:$1016,COLUMN($F$1),FALSE))),VLOOKUP($C154,装備品!$1:$998,COLUMN($O$1),FALSE)*VLOOKUP($D154,素材!$1:$1016,COLUMN($E$1),FALSE)/(LEN(VLOOKUP($D154,素材!$1:$1016,COLUMN($F$1),FALSE))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BD154">
        <f>IF(ISNUMBER(SEARCH(SUBSTITUTE(BD$1,RIGHT(BD$1,2),""),VLOOKUP($D154,素材!$1:$1016,COLUMN($F$1),FALSE))),VLOOKUP($C154,装備品!$1:$998,COLUMN($O$1),FALSE)*VLOOKUP($D154,素材!$1:$1016,COLUMN($E$1),FALSE)/(LEN(VLOOKUP($D154,素材!$1:$1016,COLUMN($F$1),FALSE))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BE154">
        <f>IF(ISNUMBER(SEARCH(SUBSTITUTE(BE$1,RIGHT(BE$1,2),""),VLOOKUP($D154,素材!$1:$1016,COLUMN($F$1),FALSE))),VLOOKUP($C154,装備品!$1:$998,COLUMN($O$1),FALSE)*VLOOKUP($D154,素材!$1:$1016,COLUMN($E$1),FALSE)/(LEN(VLOOKUP($D154,素材!$1:$1016,COLUMN($F$1),FALSE))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CL154">
        <f t="shared" si="19"/>
        <v>0</v>
      </c>
      <c r="CM154" s="22" t="str">
        <f t="shared" si="20"/>
        <v>体.webp</v>
      </c>
      <c r="CN154">
        <f>IFERROR(VLOOKUP($C154,装備品!$1:$998,COLUMN(V$1),FALSE)*VLOOKUP($D154,素材!$1:$1016,COLUMN(N$1),FALSE)+IF(CI154="",0,VLOOKUP($CI154,付与!$1:$1176,COLUMN($CK$1),FALSE)),"")</f>
        <v>0</v>
      </c>
      <c r="CO154" t="str">
        <f>VLOOKUP(D154,素材!$A:$O,COLUMN(素材!O$1),FALSE)</f>
        <v>炎属性を持つドラゴン型生物から採取される鱗素材。強力な炎属性防御を備えており、耐熱性が求められる場面で特に有用です。</v>
      </c>
      <c r="CP154" t="str">
        <f>VLOOKUP(C154,装備品!$A:$AB,COLUMN(装備品!AB$1),FALSE)</f>
        <v>HP 物理 魔法 体幹 出血 疲労 Cr</v>
      </c>
      <c r="CR154" t="str">
        <f t="shared" si="24"/>
        <v>e_154</v>
      </c>
      <c r="CS154">
        <f t="shared" si="28"/>
        <v>0</v>
      </c>
    </row>
    <row r="155" spans="1:97" outlineLevel="1" x14ac:dyDescent="0.4">
      <c r="D155" s="24"/>
      <c r="E155" t="str">
        <f>IFERROR(VLOOKUP(C155,装備品!$1:$998,COLUMN(C$1),FALSE),"")</f>
        <v/>
      </c>
      <c r="F155" t="str">
        <f>IFERROR(ROUNDDOWN((VLOOKUP($C155,装備品!$1:$998,COLUMN(D$1),FALSE)+IFERROR(VLOOKUP($CI155,付与!$1:$1167,COLUMN(F$1),FALSE),0))*VLOOKUP($D155,素材!$1:$1016,COLUMN(D$1),FALSE),0),"")</f>
        <v/>
      </c>
      <c r="G155" t="str">
        <f>IFERROR(ROUNDDOWN((VLOOKUP($C155,装備品!$1:$998,COLUMN(E$1),FALSE)+IFERROR(VLOOKUP($CI155,付与!$1:$1167,COLUMN(G$1),FALSE),0))*VLOOKUP($D155,素材!$1:$1016,COLUMN($E$1),FALSE),0),"")</f>
        <v/>
      </c>
      <c r="H155" t="str">
        <f>IFERROR(ROUNDDOWN((VLOOKUP($C155,装備品!$1:$998,COLUMN(F$1),FALSE)+IFERROR(VLOOKUP($CI155,付与!$1:$1167,COLUMN(H$1),FALSE),0))*VLOOKUP($D155,素材!$1:$1016,COLUMN($E$1),FALSE),0),"")</f>
        <v/>
      </c>
      <c r="I155" t="str">
        <f>IFERROR(ROUNDDOWN((VLOOKUP($C155,装備品!$1:$998,COLUMN(G$1),FALSE)+IFERROR(VLOOKUP($CI155,付与!$1:$1167,COLUMN(I$1),FALSE),0))*VLOOKUP($D155,素材!$1:$1016,COLUMN($E$1),FALSE),0),"")</f>
        <v/>
      </c>
      <c r="J155" t="str">
        <f>IFERROR(ROUNDDOWN((VLOOKUP($C155,装備品!$1:$998,COLUMN(H$1),FALSE)+IFERROR(VLOOKUP($CI155,付与!$1:$1167,COLUMN(J$1),FALSE),0))*VLOOKUP($D155,素材!$1:$1016,COLUMN($E$1),FALSE),0),"")</f>
        <v/>
      </c>
      <c r="K155" t="str">
        <f>IFERROR(ROUNDDOWN((VLOOKUP($C155,装備品!$1:$998,COLUMN(I$1),FALSE)+IFERROR(VLOOKUP($CI155,付与!$1:$1167,COLUMN(K$1),FALSE),0))*VLOOKUP($D155,素材!$1:$1016,COLUMN($E$1),FALSE),0),"")</f>
        <v/>
      </c>
      <c r="L155" t="str">
        <f>IFERROR(VLOOKUP($D155,素材!$1:$1016,COLUMN($F$1),FALSE),"")</f>
        <v/>
      </c>
      <c r="M155" t="str">
        <f>IFERROR(VLOOKUP($C155,装備品!$1:$998,COLUMN(AA$1),FALSE)*VLOOKUP($D155,素材!$1:$1016,COLUMN($G$1),FALSE),"")</f>
        <v/>
      </c>
      <c r="N155" t="str">
        <f>IFERROR(VLOOKUP($C155,装備品!$1:$998,COLUMN(I$1),FALSE),"")</f>
        <v/>
      </c>
      <c r="O155" s="23" t="str">
        <f>IFERROR((VLOOKUP($C155,装備品!$1:$998,COLUMN(K$1),FALSE)+VLOOKUP($D155,素材!$1:$1016,COLUMN(H$1),FALSE))*100+IFERROR(VLOOKUP($CI155,付与!$1:$1167,COLUMN(O$1),FALSE),0),"")</f>
        <v/>
      </c>
      <c r="P155" s="23" t="str">
        <f>IFERROR((VLOOKUP($C155,装備品!$1:$998,COLUMN(L$1),FALSE)+VLOOKUP($D155,素材!$1:$1016,COLUMN(I$1),FALSE))*100+IFERROR(VLOOKUP($CI155,付与!$1:$1167,COLUMN(P$1),FALSE),0),"")</f>
        <v/>
      </c>
      <c r="Q155" t="str">
        <f>IFERROR(ROUNDUP(VLOOKUP($C155,装備品!$1:$998,COLUMN(M$1),FALSE)*(VLOOKUP($D155,素材!$1:$1002,COLUMN(D$1),FALSE)/100),1),"")</f>
        <v/>
      </c>
      <c r="R155" t="str">
        <f>IFERROR(ROUNDUP(VLOOKUP($C155,装備品!$1:$998,COLUMN(N$1),FALSE)*(VLOOKUP($D155,素材!$1:$1002,COLUMN(D$1),FALSE)/100),1),"")</f>
        <v/>
      </c>
      <c r="S155" t="str">
        <f>IFERROR(VLOOKUP($C155,装備品!$1:$998,COLUMN(P$1),FALSE),"")</f>
        <v/>
      </c>
      <c r="T155" t="str">
        <f>IFERROR(VLOOKUP($C155,装備品!$1:$998,COLUMN(Q$1),FALSE),"")</f>
        <v/>
      </c>
      <c r="U155" t="str">
        <f>IFERROR(VLOOKUP($C155,装備品!$1:$998,COLUMN(R$1),FALSE),"")</f>
        <v/>
      </c>
      <c r="V155" t="str">
        <f>IFERROR(VLOOKUP($C155,装備品!$1:$998,COLUMN(Q$1),FALSE),"")</f>
        <v/>
      </c>
      <c r="W155" t="str">
        <f>IFERROR(VLOOKUP($C155,装備品!$1:$998,COLUMN(T$1),FALSE),"")</f>
        <v/>
      </c>
      <c r="Y155" t="str">
        <f>IFERROR(VLOOKUP($C155,装備品!$1:$998,COLUMN(U$1),FALSE),"")</f>
        <v/>
      </c>
      <c r="Z155" t="str">
        <f>IFERROR(ROUNDUP(VLOOKUP($C155,装備品!$1:$998,COLUMN(O$1),FALSE)*VLOOKUP($D155,素材!$1:$1016,COLUMN(E$1),FALSE),1),"")</f>
        <v/>
      </c>
      <c r="AA155">
        <f>IF(ISNUMBER(SEARCH(SUBSTITUTE(AA$1,RIGHT(AA$1,2),""),VLOOKUP($D155,素材!$1:$1016,COLUMN($F$1),FALSE))),VLOOKUP($C155,装備品!$1:$998,COLUMN($O$1),FALSE)*VLOOKUP($D155,素材!$1:$1016,COLUMN($E$1),FALSE)/(LEN(VLOOKUP($D155,素材!$1:$1016,COLUMN($F$1),FALSE))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B155">
        <f>IF(ISNUMBER(SEARCH(SUBSTITUTE(AB$1,RIGHT(AB$1,2),""),VLOOKUP($D155,素材!$1:$1016,COLUMN($F$1),FALSE))),VLOOKUP($C155,装備品!$1:$998,COLUMN($O$1),FALSE)*VLOOKUP($D155,素材!$1:$1016,COLUMN($E$1),FALSE)/(LEN(VLOOKUP($D155,素材!$1:$1016,COLUMN($F$1),FALSE))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C155">
        <f>IF(ISNUMBER(SEARCH(SUBSTITUTE(AC$1,RIGHT(AC$1,2),""),VLOOKUP($D155,素材!$1:$1016,COLUMN($F$1),FALSE))),VLOOKUP($C155,装備品!$1:$998,COLUMN($O$1),FALSE)*VLOOKUP($D155,素材!$1:$1016,COLUMN($E$1),FALSE)/(LEN(VLOOKUP($D155,素材!$1:$1016,COLUMN($F$1),FALSE))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D155">
        <f>IF(ISNUMBER(SEARCH(SUBSTITUTE(AD$1,RIGHT(AD$1,2),""),VLOOKUP($D155,素材!$1:$1016,COLUMN($F$1),FALSE))),VLOOKUP($C155,装備品!$1:$998,COLUMN($O$1),FALSE)*VLOOKUP($D155,素材!$1:$1016,COLUMN($E$1),FALSE)/(LEN(VLOOKUP($D155,素材!$1:$1016,COLUMN($F$1),FALSE))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E155">
        <f>IF(ISNUMBER(SEARCH(SUBSTITUTE(AE$1,RIGHT(AE$1,2),""),VLOOKUP($D155,素材!$1:$1016,COLUMN($F$1),FALSE))),VLOOKUP($C155,装備品!$1:$998,COLUMN($O$1),FALSE)*VLOOKUP($D155,素材!$1:$1016,COLUMN($E$1),FALSE)/(LEN(VLOOKUP($D155,素材!$1:$1016,COLUMN($F$1),FALSE))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F155">
        <f>IF(ISNUMBER(SEARCH(SUBSTITUTE(AF$1,RIGHT(AF$1,2),""),VLOOKUP($D155,素材!$1:$1016,COLUMN($F$1),FALSE))),VLOOKUP($C155,装備品!$1:$998,COLUMN($O$1),FALSE)*VLOOKUP($D155,素材!$1:$1016,COLUMN($E$1),FALSE)/(LEN(VLOOKUP($D155,素材!$1:$1016,COLUMN($F$1),FALSE))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G155">
        <f>IF(ISNUMBER(SEARCH(SUBSTITUTE(AG$1,RIGHT(AG$1,2),""),VLOOKUP($D155,素材!$1:$1016,COLUMN($F$1),FALSE))),VLOOKUP($C155,装備品!$1:$998,COLUMN($O$1),FALSE)*VLOOKUP($D155,素材!$1:$1016,COLUMN($E$1),FALSE)/(LEN(VLOOKUP($D155,素材!$1:$1016,COLUMN($F$1),FALSE))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H155">
        <f>IF(ISNUMBER(SEARCH(SUBSTITUTE(AH$1,RIGHT(AH$1,2),""),VLOOKUP($D155,素材!$1:$1016,COLUMN($F$1),FALSE))),VLOOKUP($C155,装備品!$1:$998,COLUMN($O$1),FALSE)*VLOOKUP($D155,素材!$1:$1016,COLUMN($E$1),FALSE)/(LEN(VLOOKUP($D155,素材!$1:$1016,COLUMN($F$1),FALSE))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I155">
        <f>IF(ISNUMBER(SEARCH(SUBSTITUTE(AI$1,RIGHT(AI$1,2),""),VLOOKUP($D155,素材!$1:$1016,COLUMN($F$1),FALSE))),VLOOKUP($C155,装備品!$1:$998,COLUMN($O$1),FALSE)*VLOOKUP($D155,素材!$1:$1016,COLUMN($E$1),FALSE)/(LEN(VLOOKUP($D155,素材!$1:$1016,COLUMN($F$1),FALSE))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J155">
        <f>IF(ISNUMBER(SEARCH(SUBSTITUTE(AJ$1,RIGHT(AJ$1,2),""),VLOOKUP($D155,素材!$1:$1016,COLUMN($F$1),FALSE))),VLOOKUP($C155,装備品!$1:$998,COLUMN($O$1),FALSE)*VLOOKUP($D155,素材!$1:$1016,COLUMN($E$1),FALSE)/(LEN(VLOOKUP($D155,素材!$1:$1016,COLUMN($F$1),FALSE))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K155">
        <f>IF(ISNUMBER(SEARCH(SUBSTITUTE(AK$1,RIGHT(AK$1,2),""),VLOOKUP($D155,素材!$1:$1016,COLUMN($F$1),FALSE))),VLOOKUP($C155,装備品!$1:$998,COLUMN($O$1),FALSE)*VLOOKUP($D155,素材!$1:$1016,COLUMN($E$1),FALSE)/(LEN(VLOOKUP($D155,素材!$1:$1016,COLUMN($F$1),FALSE))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L155">
        <f>IF(ISNUMBER(SEARCH(SUBSTITUTE(AL$1,RIGHT(AL$1,2),""),VLOOKUP($D155,素材!$1:$1016,COLUMN($F$1),FALSE))),VLOOKUP($C155,装備品!$1:$998,COLUMN($O$1),FALSE)*VLOOKUP($D155,素材!$1:$1016,COLUMN($E$1),FALSE)/(LEN(VLOOKUP($D155,素材!$1:$1016,COLUMN($F$1),FALSE))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M155">
        <f>IF(ISNUMBER(SEARCH(SUBSTITUTE(AM$1,RIGHT(AM$1,2),""),VLOOKUP($D155,素材!$1:$1016,COLUMN($F$1),FALSE))),VLOOKUP($C155,装備品!$1:$998,COLUMN($O$1),FALSE)*VLOOKUP($D155,素材!$1:$1016,COLUMN($E$1),FALSE)/(LEN(VLOOKUP($D155,素材!$1:$1016,COLUMN($F$1),FALSE))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N155">
        <f>IF(ISNUMBER(SEARCH(SUBSTITUTE(AN$1,RIGHT(AN$1,2),""),VLOOKUP($D155,素材!$1:$1016,COLUMN($F$1),FALSE))),VLOOKUP($C155,装備品!$1:$998,COLUMN($O$1),FALSE)*VLOOKUP($D155,素材!$1:$1016,COLUMN($E$1),FALSE)/(LEN(VLOOKUP($D155,素材!$1:$1016,COLUMN($F$1),FALSE))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O155">
        <f>IF(ISNUMBER(SEARCH(SUBSTITUTE(AO$1,RIGHT(AO$1,2),""),VLOOKUP($D155,素材!$1:$1016,COLUMN($F$1),FALSE))),VLOOKUP($C155,装備品!$1:$998,COLUMN($O$1),FALSE)*VLOOKUP($D155,素材!$1:$1016,COLUMN($E$1),FALSE)/(LEN(VLOOKUP($D155,素材!$1:$1016,COLUMN($F$1),FALSE))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P155">
        <f>IF(ISNUMBER(SEARCH(SUBSTITUTE(AP$1,RIGHT(AP$1,2),""),VLOOKUP($D155,素材!$1:$1016,COLUMN($F$1),FALSE))),VLOOKUP($C155,装備品!$1:$998,COLUMN($O$1),FALSE)*VLOOKUP($D155,素材!$1:$1016,COLUMN($E$1),FALSE)/(LEN(VLOOKUP($D155,素材!$1:$1016,COLUMN($F$1),FALSE))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Q155">
        <f>IF(ISNUMBER(SEARCH(SUBSTITUTE(AQ$1,RIGHT(AQ$1,2),""),VLOOKUP($D155,素材!$1:$1016,COLUMN($F$1),FALSE))),VLOOKUP($C155,装備品!$1:$998,COLUMN($O$1),FALSE)*VLOOKUP($D155,素材!$1:$1016,COLUMN($E$1),FALSE)/(LEN(VLOOKUP($D155,素材!$1:$1016,COLUMN($F$1),FALSE))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R155">
        <f>IF(ISNUMBER(SEARCH(SUBSTITUTE(AR$1,RIGHT(AR$1,2),""),VLOOKUP($D155,素材!$1:$1016,COLUMN($F$1),FALSE))),VLOOKUP($C155,装備品!$1:$998,COLUMN($O$1),FALSE)*VLOOKUP($D155,素材!$1:$1016,COLUMN($E$1),FALSE)/(LEN(VLOOKUP($D155,素材!$1:$1016,COLUMN($F$1),FALSE))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S155">
        <f>IF(ISNUMBER(SEARCH(SUBSTITUTE(AS$1,RIGHT(AS$1,2),""),VLOOKUP($D155,素材!$1:$1016,COLUMN($F$1),FALSE))),VLOOKUP($C155,装備品!$1:$998,COLUMN($O$1),FALSE)*VLOOKUP($D155,素材!$1:$1016,COLUMN($E$1),FALSE)/(LEN(VLOOKUP($D155,素材!$1:$1016,COLUMN($F$1),FALSE))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T155">
        <f>IF(ISNUMBER(SEARCH(SUBSTITUTE(AT$1,RIGHT(AT$1,2),""),VLOOKUP($D155,素材!$1:$1016,COLUMN($F$1),FALSE))),VLOOKUP($C155,装備品!$1:$998,COLUMN($O$1),FALSE)*VLOOKUP($D155,素材!$1:$1016,COLUMN($E$1),FALSE)/(LEN(VLOOKUP($D155,素材!$1:$1016,COLUMN($F$1),FALSE))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U155">
        <f>IF(ISNUMBER(SEARCH(SUBSTITUTE(AU$1,RIGHT(AU$1,2),""),VLOOKUP($D155,素材!$1:$1016,COLUMN($F$1),FALSE))),VLOOKUP($C155,装備品!$1:$998,COLUMN($O$1),FALSE)*VLOOKUP($D155,素材!$1:$1016,COLUMN($E$1),FALSE)/(LEN(VLOOKUP($D155,素材!$1:$1016,COLUMN($F$1),FALSE))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V155">
        <f>IF(ISNUMBER(SEARCH(SUBSTITUTE(AV$1,RIGHT(AV$1,2),""),VLOOKUP($D155,素材!$1:$1016,COLUMN($F$1),FALSE))),VLOOKUP($C155,装備品!$1:$998,COLUMN($O$1),FALSE)*VLOOKUP($D155,素材!$1:$1016,COLUMN($E$1),FALSE)/(LEN(VLOOKUP($D155,素材!$1:$1016,COLUMN($F$1),FALSE))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W155">
        <f>IF(ISNUMBER(SEARCH(SUBSTITUTE(AW$1,RIGHT(AW$1,2),""),VLOOKUP($D155,素材!$1:$1016,COLUMN($F$1),FALSE))),VLOOKUP($C155,装備品!$1:$998,COLUMN($O$1),FALSE)*VLOOKUP($D155,素材!$1:$1016,COLUMN($E$1),FALSE)/(LEN(VLOOKUP($D155,素材!$1:$1016,COLUMN($F$1),FALSE))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X155">
        <f>IF(ISNUMBER(SEARCH(SUBSTITUTE(AX$1,RIGHT(AX$1,2),""),VLOOKUP($D155,素材!$1:$1016,COLUMN($F$1),FALSE))),VLOOKUP($C155,装備品!$1:$998,COLUMN($O$1),FALSE)*VLOOKUP($D155,素材!$1:$1016,COLUMN($E$1),FALSE)/(LEN(VLOOKUP($D155,素材!$1:$1016,COLUMN($F$1),FALSE))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Y155">
        <f>IF(ISNUMBER(SEARCH(SUBSTITUTE(AY$1,RIGHT(AY$1,2),""),VLOOKUP($D155,素材!$1:$1016,COLUMN($F$1),FALSE))),VLOOKUP($C155,装備品!$1:$998,COLUMN($O$1),FALSE)*VLOOKUP($D155,素材!$1:$1016,COLUMN($E$1),FALSE)/(LEN(VLOOKUP($D155,素材!$1:$1016,COLUMN($F$1),FALSE))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Z155">
        <f>IF(ISNUMBER(SEARCH(SUBSTITUTE(AZ$1,RIGHT(AZ$1,2),""),VLOOKUP($D155,素材!$1:$1016,COLUMN($F$1),FALSE))),VLOOKUP($C155,装備品!$1:$998,COLUMN($O$1),FALSE)*VLOOKUP($D155,素材!$1:$1016,COLUMN($E$1),FALSE)/(LEN(VLOOKUP($D155,素材!$1:$1016,COLUMN($F$1),FALSE))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BA155">
        <f>IF(ISNUMBER(SEARCH(SUBSTITUTE(BA$1,RIGHT(BA$1,2),""),VLOOKUP($D155,素材!$1:$1016,COLUMN($F$1),FALSE))),VLOOKUP($C155,装備品!$1:$998,COLUMN($O$1),FALSE)*VLOOKUP($D155,素材!$1:$1016,COLUMN($E$1),FALSE)/(LEN(VLOOKUP($D155,素材!$1:$1016,COLUMN($F$1),FALSE))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BB155">
        <f>IF(ISNUMBER(SEARCH(SUBSTITUTE(BB$1,RIGHT(BB$1,2),""),VLOOKUP($D155,素材!$1:$1016,COLUMN($F$1),FALSE))),VLOOKUP($C155,装備品!$1:$998,COLUMN($O$1),FALSE)*VLOOKUP($D155,素材!$1:$1016,COLUMN($E$1),FALSE)/(LEN(VLOOKUP($D155,素材!$1:$1016,COLUMN($F$1),FALSE))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BC155">
        <f>IF(ISNUMBER(SEARCH(SUBSTITUTE(BC$1,RIGHT(BC$1,2),""),VLOOKUP($D155,素材!$1:$1016,COLUMN($F$1),FALSE))),VLOOKUP($C155,装備品!$1:$998,COLUMN($O$1),FALSE)*VLOOKUP($D155,素材!$1:$1016,COLUMN($E$1),FALSE)/(LEN(VLOOKUP($D155,素材!$1:$1016,COLUMN($F$1),FALSE))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BD155">
        <f>IF(ISNUMBER(SEARCH(SUBSTITUTE(BD$1,RIGHT(BD$1,2),""),VLOOKUP($D155,素材!$1:$1016,COLUMN($F$1),FALSE))),VLOOKUP($C155,装備品!$1:$998,COLUMN($O$1),FALSE)*VLOOKUP($D155,素材!$1:$1016,COLUMN($E$1),FALSE)/(LEN(VLOOKUP($D155,素材!$1:$1016,COLUMN($F$1),FALSE))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BE155">
        <f>IF(ISNUMBER(SEARCH(SUBSTITUTE(BE$1,RIGHT(BE$1,2),""),VLOOKUP($D155,素材!$1:$1016,COLUMN($F$1),FALSE))),VLOOKUP($C155,装備品!$1:$998,COLUMN($O$1),FALSE)*VLOOKUP($D155,素材!$1:$1016,COLUMN($E$1),FALSE)/(LEN(VLOOKUP($D155,素材!$1:$1016,COLUMN($F$1),FALSE))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CL155">
        <f t="shared" si="19"/>
        <v>0</v>
      </c>
      <c r="CM155" s="22" t="str">
        <f t="shared" si="20"/>
        <v>.webp</v>
      </c>
      <c r="CN155" t="str">
        <f>IFERROR(VLOOKUP($C155,装備品!$1:$998,COLUMN(V$1),FALSE)*VLOOKUP($D155,素材!$1:$1016,COLUMN(N$1),FALSE)+IF(CI155="",0,VLOOKUP($CI155,付与!$1:$1176,COLUMN($CK$1),FALSE)),"")</f>
        <v/>
      </c>
      <c r="CO155" t="e">
        <f>VLOOKUP(D155,素材!$A:$O,COLUMN(素材!O$1),FALSE)</f>
        <v>#N/A</v>
      </c>
      <c r="CR155" t="str">
        <f t="shared" si="24"/>
        <v>e_155</v>
      </c>
      <c r="CS155" t="e">
        <f t="shared" si="28"/>
        <v>#VALUE!</v>
      </c>
    </row>
    <row r="156" spans="1:97" outlineLevel="1" x14ac:dyDescent="0.4">
      <c r="D156" s="24"/>
      <c r="E156" t="str">
        <f>IFERROR(VLOOKUP(C156,装備品!$1:$998,COLUMN(C$1),FALSE),"")</f>
        <v/>
      </c>
      <c r="F156" t="str">
        <f>IFERROR(ROUNDDOWN((VLOOKUP($C156,装備品!$1:$998,COLUMN(D$1),FALSE)+IFERROR(VLOOKUP($CI156,付与!$1:$1167,COLUMN(F$1),FALSE),0))*VLOOKUP($D156,素材!$1:$1016,COLUMN(D$1),FALSE),0),"")</f>
        <v/>
      </c>
      <c r="G156" t="str">
        <f>IFERROR(ROUNDDOWN((VLOOKUP($C156,装備品!$1:$998,COLUMN(E$1),FALSE)+IFERROR(VLOOKUP($CI156,付与!$1:$1167,COLUMN(G$1),FALSE),0))*VLOOKUP($D156,素材!$1:$1016,COLUMN($E$1),FALSE),0),"")</f>
        <v/>
      </c>
      <c r="H156" t="str">
        <f>IFERROR(ROUNDDOWN((VLOOKUP($C156,装備品!$1:$998,COLUMN(F$1),FALSE)+IFERROR(VLOOKUP($CI156,付与!$1:$1167,COLUMN(H$1),FALSE),0))*VLOOKUP($D156,素材!$1:$1016,COLUMN($E$1),FALSE),0),"")</f>
        <v/>
      </c>
      <c r="I156" t="str">
        <f>IFERROR(ROUNDDOWN((VLOOKUP($C156,装備品!$1:$998,COLUMN(G$1),FALSE)+IFERROR(VLOOKUP($CI156,付与!$1:$1167,COLUMN(I$1),FALSE),0))*VLOOKUP($D156,素材!$1:$1016,COLUMN($E$1),FALSE),0),"")</f>
        <v/>
      </c>
      <c r="J156" t="str">
        <f>IFERROR(ROUNDDOWN((VLOOKUP($C156,装備品!$1:$998,COLUMN(H$1),FALSE)+IFERROR(VLOOKUP($CI156,付与!$1:$1167,COLUMN(J$1),FALSE),0))*VLOOKUP($D156,素材!$1:$1016,COLUMN($E$1),FALSE),0),"")</f>
        <v/>
      </c>
      <c r="K156" t="str">
        <f>IFERROR(ROUNDDOWN((VLOOKUP($C156,装備品!$1:$998,COLUMN(I$1),FALSE)+IFERROR(VLOOKUP($CI156,付与!$1:$1167,COLUMN(K$1),FALSE),0))*VLOOKUP($D156,素材!$1:$1016,COLUMN($E$1),FALSE),0),"")</f>
        <v/>
      </c>
      <c r="L156" t="str">
        <f>IFERROR(VLOOKUP($D156,素材!$1:$1016,COLUMN($F$1),FALSE),"")</f>
        <v/>
      </c>
      <c r="M156" t="str">
        <f>IFERROR(VLOOKUP($C156,装備品!$1:$998,COLUMN(AA$1),FALSE)*VLOOKUP($D156,素材!$1:$1016,COLUMN($G$1),FALSE),"")</f>
        <v/>
      </c>
      <c r="N156" t="str">
        <f>IFERROR(VLOOKUP($C156,装備品!$1:$998,COLUMN(I$1),FALSE),"")</f>
        <v/>
      </c>
      <c r="O156" s="23" t="str">
        <f>IFERROR((VLOOKUP($C156,装備品!$1:$998,COLUMN(K$1),FALSE)+VLOOKUP($D156,素材!$1:$1016,COLUMN(H$1),FALSE))*100+IFERROR(VLOOKUP($CI156,付与!$1:$1167,COLUMN(O$1),FALSE),0),"")</f>
        <v/>
      </c>
      <c r="P156" s="23" t="str">
        <f>IFERROR((VLOOKUP($C156,装備品!$1:$998,COLUMN(L$1),FALSE)+VLOOKUP($D156,素材!$1:$1016,COLUMN(I$1),FALSE))*100+IFERROR(VLOOKUP($CI156,付与!$1:$1167,COLUMN(P$1),FALSE),0),"")</f>
        <v/>
      </c>
      <c r="Q156" t="str">
        <f>IFERROR(ROUNDUP(VLOOKUP($C156,装備品!$1:$998,COLUMN(M$1),FALSE)*(VLOOKUP($D156,素材!$1:$1002,COLUMN(D$1),FALSE)/100),1),"")</f>
        <v/>
      </c>
      <c r="R156" t="str">
        <f>IFERROR(ROUNDUP(VLOOKUP($C156,装備品!$1:$998,COLUMN(N$1),FALSE)*(VLOOKUP($D156,素材!$1:$1002,COLUMN(D$1),FALSE)/100),1),"")</f>
        <v/>
      </c>
      <c r="S156" t="str">
        <f>IFERROR(VLOOKUP($C156,装備品!$1:$998,COLUMN(P$1),FALSE),"")</f>
        <v/>
      </c>
      <c r="T156" t="str">
        <f>IFERROR(VLOOKUP($C156,装備品!$1:$998,COLUMN(Q$1),FALSE),"")</f>
        <v/>
      </c>
      <c r="U156" t="str">
        <f>IFERROR(VLOOKUP($C156,装備品!$1:$998,COLUMN(R$1),FALSE),"")</f>
        <v/>
      </c>
      <c r="V156" t="str">
        <f>IFERROR(VLOOKUP($C156,装備品!$1:$998,COLUMN(Q$1),FALSE),"")</f>
        <v/>
      </c>
      <c r="W156" t="str">
        <f>IFERROR(VLOOKUP($C156,装備品!$1:$998,COLUMN(T$1),FALSE),"")</f>
        <v/>
      </c>
      <c r="Y156" t="str">
        <f>IFERROR(VLOOKUP($C156,装備品!$1:$998,COLUMN(U$1),FALSE),"")</f>
        <v/>
      </c>
      <c r="Z156" t="str">
        <f>IFERROR(ROUNDUP(VLOOKUP($C156,装備品!$1:$998,COLUMN(O$1),FALSE)*VLOOKUP($D156,素材!$1:$1016,COLUMN(E$1),FALSE),1),"")</f>
        <v/>
      </c>
      <c r="AA156">
        <f>IF(ISNUMBER(SEARCH(SUBSTITUTE(AA$1,RIGHT(AA$1,2),""),VLOOKUP($D156,素材!$1:$1016,COLUMN($F$1),FALSE))),VLOOKUP($C156,装備品!$1:$998,COLUMN($O$1),FALSE)*VLOOKUP($D156,素材!$1:$1016,COLUMN($E$1),FALSE)/(LEN(VLOOKUP($D156,素材!$1:$1016,COLUMN($F$1),FALSE))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B156">
        <f>IF(ISNUMBER(SEARCH(SUBSTITUTE(AB$1,RIGHT(AB$1,2),""),VLOOKUP($D156,素材!$1:$1016,COLUMN($F$1),FALSE))),VLOOKUP($C156,装備品!$1:$998,COLUMN($O$1),FALSE)*VLOOKUP($D156,素材!$1:$1016,COLUMN($E$1),FALSE)/(LEN(VLOOKUP($D156,素材!$1:$1016,COLUMN($F$1),FALSE))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C156">
        <f>IF(ISNUMBER(SEARCH(SUBSTITUTE(AC$1,RIGHT(AC$1,2),""),VLOOKUP($D156,素材!$1:$1016,COLUMN($F$1),FALSE))),VLOOKUP($C156,装備品!$1:$998,COLUMN($O$1),FALSE)*VLOOKUP($D156,素材!$1:$1016,COLUMN($E$1),FALSE)/(LEN(VLOOKUP($D156,素材!$1:$1016,COLUMN($F$1),FALSE))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D156">
        <f>IF(ISNUMBER(SEARCH(SUBSTITUTE(AD$1,RIGHT(AD$1,2),""),VLOOKUP($D156,素材!$1:$1016,COLUMN($F$1),FALSE))),VLOOKUP($C156,装備品!$1:$998,COLUMN($O$1),FALSE)*VLOOKUP($D156,素材!$1:$1016,COLUMN($E$1),FALSE)/(LEN(VLOOKUP($D156,素材!$1:$1016,COLUMN($F$1),FALSE))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E156">
        <f>IF(ISNUMBER(SEARCH(SUBSTITUTE(AE$1,RIGHT(AE$1,2),""),VLOOKUP($D156,素材!$1:$1016,COLUMN($F$1),FALSE))),VLOOKUP($C156,装備品!$1:$998,COLUMN($O$1),FALSE)*VLOOKUP($D156,素材!$1:$1016,COLUMN($E$1),FALSE)/(LEN(VLOOKUP($D156,素材!$1:$1016,COLUMN($F$1),FALSE))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F156">
        <f>IF(ISNUMBER(SEARCH(SUBSTITUTE(AF$1,RIGHT(AF$1,2),""),VLOOKUP($D156,素材!$1:$1016,COLUMN($F$1),FALSE))),VLOOKUP($C156,装備品!$1:$998,COLUMN($O$1),FALSE)*VLOOKUP($D156,素材!$1:$1016,COLUMN($E$1),FALSE)/(LEN(VLOOKUP($D156,素材!$1:$1016,COLUMN($F$1),FALSE))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G156">
        <f>IF(ISNUMBER(SEARCH(SUBSTITUTE(AG$1,RIGHT(AG$1,2),""),VLOOKUP($D156,素材!$1:$1016,COLUMN($F$1),FALSE))),VLOOKUP($C156,装備品!$1:$998,COLUMN($O$1),FALSE)*VLOOKUP($D156,素材!$1:$1016,COLUMN($E$1),FALSE)/(LEN(VLOOKUP($D156,素材!$1:$1016,COLUMN($F$1),FALSE))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H156">
        <f>IF(ISNUMBER(SEARCH(SUBSTITUTE(AH$1,RIGHT(AH$1,2),""),VLOOKUP($D156,素材!$1:$1016,COLUMN($F$1),FALSE))),VLOOKUP($C156,装備品!$1:$998,COLUMN($O$1),FALSE)*VLOOKUP($D156,素材!$1:$1016,COLUMN($E$1),FALSE)/(LEN(VLOOKUP($D156,素材!$1:$1016,COLUMN($F$1),FALSE))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I156">
        <f>IF(ISNUMBER(SEARCH(SUBSTITUTE(AI$1,RIGHT(AI$1,2),""),VLOOKUP($D156,素材!$1:$1016,COLUMN($F$1),FALSE))),VLOOKUP($C156,装備品!$1:$998,COLUMN($O$1),FALSE)*VLOOKUP($D156,素材!$1:$1016,COLUMN($E$1),FALSE)/(LEN(VLOOKUP($D156,素材!$1:$1016,COLUMN($F$1),FALSE))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J156">
        <f>IF(ISNUMBER(SEARCH(SUBSTITUTE(AJ$1,RIGHT(AJ$1,2),""),VLOOKUP($D156,素材!$1:$1016,COLUMN($F$1),FALSE))),VLOOKUP($C156,装備品!$1:$998,COLUMN($O$1),FALSE)*VLOOKUP($D156,素材!$1:$1016,COLUMN($E$1),FALSE)/(LEN(VLOOKUP($D156,素材!$1:$1016,COLUMN($F$1),FALSE))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K156">
        <f>IF(ISNUMBER(SEARCH(SUBSTITUTE(AK$1,RIGHT(AK$1,2),""),VLOOKUP($D156,素材!$1:$1016,COLUMN($F$1),FALSE))),VLOOKUP($C156,装備品!$1:$998,COLUMN($O$1),FALSE)*VLOOKUP($D156,素材!$1:$1016,COLUMN($E$1),FALSE)/(LEN(VLOOKUP($D156,素材!$1:$1016,COLUMN($F$1),FALSE))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L156">
        <f>IF(ISNUMBER(SEARCH(SUBSTITUTE(AL$1,RIGHT(AL$1,2),""),VLOOKUP($D156,素材!$1:$1016,COLUMN($F$1),FALSE))),VLOOKUP($C156,装備品!$1:$998,COLUMN($O$1),FALSE)*VLOOKUP($D156,素材!$1:$1016,COLUMN($E$1),FALSE)/(LEN(VLOOKUP($D156,素材!$1:$1016,COLUMN($F$1),FALSE))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M156">
        <f>IF(ISNUMBER(SEARCH(SUBSTITUTE(AM$1,RIGHT(AM$1,2),""),VLOOKUP($D156,素材!$1:$1016,COLUMN($F$1),FALSE))),VLOOKUP($C156,装備品!$1:$998,COLUMN($O$1),FALSE)*VLOOKUP($D156,素材!$1:$1016,COLUMN($E$1),FALSE)/(LEN(VLOOKUP($D156,素材!$1:$1016,COLUMN($F$1),FALSE))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N156">
        <f>IF(ISNUMBER(SEARCH(SUBSTITUTE(AN$1,RIGHT(AN$1,2),""),VLOOKUP($D156,素材!$1:$1016,COLUMN($F$1),FALSE))),VLOOKUP($C156,装備品!$1:$998,COLUMN($O$1),FALSE)*VLOOKUP($D156,素材!$1:$1016,COLUMN($E$1),FALSE)/(LEN(VLOOKUP($D156,素材!$1:$1016,COLUMN($F$1),FALSE))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O156">
        <f>IF(ISNUMBER(SEARCH(SUBSTITUTE(AO$1,RIGHT(AO$1,2),""),VLOOKUP($D156,素材!$1:$1016,COLUMN($F$1),FALSE))),VLOOKUP($C156,装備品!$1:$998,COLUMN($O$1),FALSE)*VLOOKUP($D156,素材!$1:$1016,COLUMN($E$1),FALSE)/(LEN(VLOOKUP($D156,素材!$1:$1016,COLUMN($F$1),FALSE))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P156">
        <f>IF(ISNUMBER(SEARCH(SUBSTITUTE(AP$1,RIGHT(AP$1,2),""),VLOOKUP($D156,素材!$1:$1016,COLUMN($F$1),FALSE))),VLOOKUP($C156,装備品!$1:$998,COLUMN($O$1),FALSE)*VLOOKUP($D156,素材!$1:$1016,COLUMN($E$1),FALSE)/(LEN(VLOOKUP($D156,素材!$1:$1016,COLUMN($F$1),FALSE))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Q156">
        <f>IF(ISNUMBER(SEARCH(SUBSTITUTE(AQ$1,RIGHT(AQ$1,2),""),VLOOKUP($D156,素材!$1:$1016,COLUMN($F$1),FALSE))),VLOOKUP($C156,装備品!$1:$998,COLUMN($O$1),FALSE)*VLOOKUP($D156,素材!$1:$1016,COLUMN($E$1),FALSE)/(LEN(VLOOKUP($D156,素材!$1:$1016,COLUMN($F$1),FALSE))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R156">
        <f>IF(ISNUMBER(SEARCH(SUBSTITUTE(AR$1,RIGHT(AR$1,2),""),VLOOKUP($D156,素材!$1:$1016,COLUMN($F$1),FALSE))),VLOOKUP($C156,装備品!$1:$998,COLUMN($O$1),FALSE)*VLOOKUP($D156,素材!$1:$1016,COLUMN($E$1),FALSE)/(LEN(VLOOKUP($D156,素材!$1:$1016,COLUMN($F$1),FALSE))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S156">
        <f>IF(ISNUMBER(SEARCH(SUBSTITUTE(AS$1,RIGHT(AS$1,2),""),VLOOKUP($D156,素材!$1:$1016,COLUMN($F$1),FALSE))),VLOOKUP($C156,装備品!$1:$998,COLUMN($O$1),FALSE)*VLOOKUP($D156,素材!$1:$1016,COLUMN($E$1),FALSE)/(LEN(VLOOKUP($D156,素材!$1:$1016,COLUMN($F$1),FALSE))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T156">
        <f>IF(ISNUMBER(SEARCH(SUBSTITUTE(AT$1,RIGHT(AT$1,2),""),VLOOKUP($D156,素材!$1:$1016,COLUMN($F$1),FALSE))),VLOOKUP($C156,装備品!$1:$998,COLUMN($O$1),FALSE)*VLOOKUP($D156,素材!$1:$1016,COLUMN($E$1),FALSE)/(LEN(VLOOKUP($D156,素材!$1:$1016,COLUMN($F$1),FALSE))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U156">
        <f>IF(ISNUMBER(SEARCH(SUBSTITUTE(AU$1,RIGHT(AU$1,2),""),VLOOKUP($D156,素材!$1:$1016,COLUMN($F$1),FALSE))),VLOOKUP($C156,装備品!$1:$998,COLUMN($O$1),FALSE)*VLOOKUP($D156,素材!$1:$1016,COLUMN($E$1),FALSE)/(LEN(VLOOKUP($D156,素材!$1:$1016,COLUMN($F$1),FALSE))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V156">
        <f>IF(ISNUMBER(SEARCH(SUBSTITUTE(AV$1,RIGHT(AV$1,2),""),VLOOKUP($D156,素材!$1:$1016,COLUMN($F$1),FALSE))),VLOOKUP($C156,装備品!$1:$998,COLUMN($O$1),FALSE)*VLOOKUP($D156,素材!$1:$1016,COLUMN($E$1),FALSE)/(LEN(VLOOKUP($D156,素材!$1:$1016,COLUMN($F$1),FALSE))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W156">
        <f>IF(ISNUMBER(SEARCH(SUBSTITUTE(AW$1,RIGHT(AW$1,2),""),VLOOKUP($D156,素材!$1:$1016,COLUMN($F$1),FALSE))),VLOOKUP($C156,装備品!$1:$998,COLUMN($O$1),FALSE)*VLOOKUP($D156,素材!$1:$1016,COLUMN($E$1),FALSE)/(LEN(VLOOKUP($D156,素材!$1:$1016,COLUMN($F$1),FALSE))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X156">
        <f>IF(ISNUMBER(SEARCH(SUBSTITUTE(AX$1,RIGHT(AX$1,2),""),VLOOKUP($D156,素材!$1:$1016,COLUMN($F$1),FALSE))),VLOOKUP($C156,装備品!$1:$998,COLUMN($O$1),FALSE)*VLOOKUP($D156,素材!$1:$1016,COLUMN($E$1),FALSE)/(LEN(VLOOKUP($D156,素材!$1:$1016,COLUMN($F$1),FALSE))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Y156">
        <f>IF(ISNUMBER(SEARCH(SUBSTITUTE(AY$1,RIGHT(AY$1,2),""),VLOOKUP($D156,素材!$1:$1016,COLUMN($F$1),FALSE))),VLOOKUP($C156,装備品!$1:$998,COLUMN($O$1),FALSE)*VLOOKUP($D156,素材!$1:$1016,COLUMN($E$1),FALSE)/(LEN(VLOOKUP($D156,素材!$1:$1016,COLUMN($F$1),FALSE))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Z156">
        <f>IF(ISNUMBER(SEARCH(SUBSTITUTE(AZ$1,RIGHT(AZ$1,2),""),VLOOKUP($D156,素材!$1:$1016,COLUMN($F$1),FALSE))),VLOOKUP($C156,装備品!$1:$998,COLUMN($O$1),FALSE)*VLOOKUP($D156,素材!$1:$1016,COLUMN($E$1),FALSE)/(LEN(VLOOKUP($D156,素材!$1:$1016,COLUMN($F$1),FALSE))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BA156">
        <f>IF(ISNUMBER(SEARCH(SUBSTITUTE(BA$1,RIGHT(BA$1,2),""),VLOOKUP($D156,素材!$1:$1016,COLUMN($F$1),FALSE))),VLOOKUP($C156,装備品!$1:$998,COLUMN($O$1),FALSE)*VLOOKUP($D156,素材!$1:$1016,COLUMN($E$1),FALSE)/(LEN(VLOOKUP($D156,素材!$1:$1016,COLUMN($F$1),FALSE))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BB156">
        <f>IF(ISNUMBER(SEARCH(SUBSTITUTE(BB$1,RIGHT(BB$1,2),""),VLOOKUP($D156,素材!$1:$1016,COLUMN($F$1),FALSE))),VLOOKUP($C156,装備品!$1:$998,COLUMN($O$1),FALSE)*VLOOKUP($D156,素材!$1:$1016,COLUMN($E$1),FALSE)/(LEN(VLOOKUP($D156,素材!$1:$1016,COLUMN($F$1),FALSE))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BC156">
        <f>IF(ISNUMBER(SEARCH(SUBSTITUTE(BC$1,RIGHT(BC$1,2),""),VLOOKUP($D156,素材!$1:$1016,COLUMN($F$1),FALSE))),VLOOKUP($C156,装備品!$1:$998,COLUMN($O$1),FALSE)*VLOOKUP($D156,素材!$1:$1016,COLUMN($E$1),FALSE)/(LEN(VLOOKUP($D156,素材!$1:$1016,COLUMN($F$1),FALSE))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BD156">
        <f>IF(ISNUMBER(SEARCH(SUBSTITUTE(BD$1,RIGHT(BD$1,2),""),VLOOKUP($D156,素材!$1:$1016,COLUMN($F$1),FALSE))),VLOOKUP($C156,装備品!$1:$998,COLUMN($O$1),FALSE)*VLOOKUP($D156,素材!$1:$1016,COLUMN($E$1),FALSE)/(LEN(VLOOKUP($D156,素材!$1:$1016,COLUMN($F$1),FALSE))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BE156">
        <f>IF(ISNUMBER(SEARCH(SUBSTITUTE(BE$1,RIGHT(BE$1,2),""),VLOOKUP($D156,素材!$1:$1016,COLUMN($F$1),FALSE))),VLOOKUP($C156,装備品!$1:$998,COLUMN($O$1),FALSE)*VLOOKUP($D156,素材!$1:$1016,COLUMN($E$1),FALSE)/(LEN(VLOOKUP($D156,素材!$1:$1016,COLUMN($F$1),FALSE))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CL156">
        <f t="shared" si="19"/>
        <v>0</v>
      </c>
      <c r="CM156" s="22" t="str">
        <f t="shared" si="20"/>
        <v>.webp</v>
      </c>
      <c r="CN156" t="str">
        <f>IFERROR(VLOOKUP($C156,装備品!$1:$998,COLUMN(V$1),FALSE)*VLOOKUP($D156,素材!$1:$1016,COLUMN(N$1),FALSE)+IF(CI156="",0,VLOOKUP($CI156,付与!$1:$1176,COLUMN($CK$1),FALSE)),"")</f>
        <v/>
      </c>
      <c r="CO156" t="e">
        <f>VLOOKUP(D156,素材!$A:$O,COLUMN(素材!O$1),FALSE)</f>
        <v>#N/A</v>
      </c>
      <c r="CR156" t="str">
        <f t="shared" si="24"/>
        <v>e_156</v>
      </c>
      <c r="CS156" t="e">
        <f t="shared" si="28"/>
        <v>#VALUE!</v>
      </c>
    </row>
    <row r="157" spans="1:97" outlineLevel="1" x14ac:dyDescent="0.4">
      <c r="D157" s="24"/>
      <c r="E157" t="str">
        <f>IFERROR(VLOOKUP(C157,装備品!$1:$998,COLUMN(C$1),FALSE),"")</f>
        <v/>
      </c>
      <c r="F157" t="str">
        <f>IFERROR(ROUNDDOWN((VLOOKUP($C157,装備品!$1:$998,COLUMN(D$1),FALSE)+IFERROR(VLOOKUP($CI157,付与!$1:$1167,COLUMN(F$1),FALSE),0))*VLOOKUP($D157,素材!$1:$1016,COLUMN(D$1),FALSE),0),"")</f>
        <v/>
      </c>
      <c r="G157" t="str">
        <f>IFERROR(ROUNDDOWN((VLOOKUP($C157,装備品!$1:$998,COLUMN(E$1),FALSE)+IFERROR(VLOOKUP($CI157,付与!$1:$1167,COLUMN(G$1),FALSE),0))*VLOOKUP($D157,素材!$1:$1016,COLUMN($E$1),FALSE),0),"")</f>
        <v/>
      </c>
      <c r="H157" t="str">
        <f>IFERROR(ROUNDDOWN((VLOOKUP($C157,装備品!$1:$998,COLUMN(F$1),FALSE)+IFERROR(VLOOKUP($CI157,付与!$1:$1167,COLUMN(H$1),FALSE),0))*VLOOKUP($D157,素材!$1:$1016,COLUMN($E$1),FALSE),0),"")</f>
        <v/>
      </c>
      <c r="I157" t="str">
        <f>IFERROR(ROUNDDOWN((VLOOKUP($C157,装備品!$1:$998,COLUMN(G$1),FALSE)+IFERROR(VLOOKUP($CI157,付与!$1:$1167,COLUMN(I$1),FALSE),0))*VLOOKUP($D157,素材!$1:$1016,COLUMN($E$1),FALSE),0),"")</f>
        <v/>
      </c>
      <c r="J157" t="str">
        <f>IFERROR(ROUNDDOWN((VLOOKUP($C157,装備品!$1:$998,COLUMN(H$1),FALSE)+IFERROR(VLOOKUP($CI157,付与!$1:$1167,COLUMN(J$1),FALSE),0))*VLOOKUP($D157,素材!$1:$1016,COLUMN($E$1),FALSE),0),"")</f>
        <v/>
      </c>
      <c r="K157" t="str">
        <f>IFERROR(ROUNDDOWN((VLOOKUP($C157,装備品!$1:$998,COLUMN(I$1),FALSE)+IFERROR(VLOOKUP($CI157,付与!$1:$1167,COLUMN(K$1),FALSE),0))*VLOOKUP($D157,素材!$1:$1016,COLUMN($E$1),FALSE),0),"")</f>
        <v/>
      </c>
      <c r="L157" t="str">
        <f>IFERROR(VLOOKUP($D157,素材!$1:$1016,COLUMN($F$1),FALSE),"")</f>
        <v/>
      </c>
      <c r="M157" t="str">
        <f>IFERROR(VLOOKUP($C157,装備品!$1:$998,COLUMN(AA$1),FALSE)*VLOOKUP($D157,素材!$1:$1016,COLUMN($G$1),FALSE),"")</f>
        <v/>
      </c>
      <c r="N157" t="str">
        <f>IFERROR(VLOOKUP($C157,装備品!$1:$998,COLUMN(I$1),FALSE),"")</f>
        <v/>
      </c>
      <c r="O157" s="23" t="str">
        <f>IFERROR((VLOOKUP($C157,装備品!$1:$998,COLUMN(K$1),FALSE)+VLOOKUP($D157,素材!$1:$1016,COLUMN(H$1),FALSE))*100+IFERROR(VLOOKUP($CI157,付与!$1:$1167,COLUMN(O$1),FALSE),0),"")</f>
        <v/>
      </c>
      <c r="P157" s="23" t="str">
        <f>IFERROR((VLOOKUP($C157,装備品!$1:$998,COLUMN(L$1),FALSE)+VLOOKUP($D157,素材!$1:$1016,COLUMN(I$1),FALSE))*100+IFERROR(VLOOKUP($CI157,付与!$1:$1167,COLUMN(P$1),FALSE),0),"")</f>
        <v/>
      </c>
      <c r="Q157" t="str">
        <f>IFERROR(ROUNDUP(VLOOKUP($C157,装備品!$1:$998,COLUMN(M$1),FALSE)*(VLOOKUP($D157,素材!$1:$1002,COLUMN(D$1),FALSE)/100),1),"")</f>
        <v/>
      </c>
      <c r="R157" t="str">
        <f>IFERROR(ROUNDUP(VLOOKUP($C157,装備品!$1:$998,COLUMN(N$1),FALSE)*(VLOOKUP($D157,素材!$1:$1002,COLUMN(D$1),FALSE)/100),1),"")</f>
        <v/>
      </c>
      <c r="S157" t="str">
        <f>IFERROR(VLOOKUP($C157,装備品!$1:$998,COLUMN(P$1),FALSE),"")</f>
        <v/>
      </c>
      <c r="T157" t="str">
        <f>IFERROR(VLOOKUP($C157,装備品!$1:$998,COLUMN(Q$1),FALSE),"")</f>
        <v/>
      </c>
      <c r="U157" t="str">
        <f>IFERROR(VLOOKUP($C157,装備品!$1:$998,COLUMN(R$1),FALSE),"")</f>
        <v/>
      </c>
      <c r="V157" t="str">
        <f>IFERROR(VLOOKUP($C157,装備品!$1:$998,COLUMN(Q$1),FALSE),"")</f>
        <v/>
      </c>
      <c r="W157" t="str">
        <f>IFERROR(VLOOKUP($C157,装備品!$1:$998,COLUMN(T$1),FALSE),"")</f>
        <v/>
      </c>
      <c r="Y157" t="str">
        <f>IFERROR(VLOOKUP($C157,装備品!$1:$998,COLUMN(U$1),FALSE),"")</f>
        <v/>
      </c>
      <c r="Z157" t="str">
        <f>IFERROR(ROUNDUP(VLOOKUP($C157,装備品!$1:$998,COLUMN(O$1),FALSE)*VLOOKUP($D157,素材!$1:$1016,COLUMN(E$1),FALSE),1),"")</f>
        <v/>
      </c>
      <c r="AA157">
        <f>IF(ISNUMBER(SEARCH(SUBSTITUTE(AA$1,RIGHT(AA$1,2),""),VLOOKUP($D157,素材!$1:$1016,COLUMN($F$1),FALSE))),VLOOKUP($C157,装備品!$1:$998,COLUMN($O$1),FALSE)*VLOOKUP($D157,素材!$1:$1016,COLUMN($E$1),FALSE)/(LEN(VLOOKUP($D157,素材!$1:$1016,COLUMN($F$1),FALSE))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B157">
        <f>IF(ISNUMBER(SEARCH(SUBSTITUTE(AB$1,RIGHT(AB$1,2),""),VLOOKUP($D157,素材!$1:$1016,COLUMN($F$1),FALSE))),VLOOKUP($C157,装備品!$1:$998,COLUMN($O$1),FALSE)*VLOOKUP($D157,素材!$1:$1016,COLUMN($E$1),FALSE)/(LEN(VLOOKUP($D157,素材!$1:$1016,COLUMN($F$1),FALSE))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C157">
        <f>IF(ISNUMBER(SEARCH(SUBSTITUTE(AC$1,RIGHT(AC$1,2),""),VLOOKUP($D157,素材!$1:$1016,COLUMN($F$1),FALSE))),VLOOKUP($C157,装備品!$1:$998,COLUMN($O$1),FALSE)*VLOOKUP($D157,素材!$1:$1016,COLUMN($E$1),FALSE)/(LEN(VLOOKUP($D157,素材!$1:$1016,COLUMN($F$1),FALSE))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D157">
        <f>IF(ISNUMBER(SEARCH(SUBSTITUTE(AD$1,RIGHT(AD$1,2),""),VLOOKUP($D157,素材!$1:$1016,COLUMN($F$1),FALSE))),VLOOKUP($C157,装備品!$1:$998,COLUMN($O$1),FALSE)*VLOOKUP($D157,素材!$1:$1016,COLUMN($E$1),FALSE)/(LEN(VLOOKUP($D157,素材!$1:$1016,COLUMN($F$1),FALSE))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E157">
        <f>IF(ISNUMBER(SEARCH(SUBSTITUTE(AE$1,RIGHT(AE$1,2),""),VLOOKUP($D157,素材!$1:$1016,COLUMN($F$1),FALSE))),VLOOKUP($C157,装備品!$1:$998,COLUMN($O$1),FALSE)*VLOOKUP($D157,素材!$1:$1016,COLUMN($E$1),FALSE)/(LEN(VLOOKUP($D157,素材!$1:$1016,COLUMN($F$1),FALSE))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F157">
        <f>IF(ISNUMBER(SEARCH(SUBSTITUTE(AF$1,RIGHT(AF$1,2),""),VLOOKUP($D157,素材!$1:$1016,COLUMN($F$1),FALSE))),VLOOKUP($C157,装備品!$1:$998,COLUMN($O$1),FALSE)*VLOOKUP($D157,素材!$1:$1016,COLUMN($E$1),FALSE)/(LEN(VLOOKUP($D157,素材!$1:$1016,COLUMN($F$1),FALSE))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G157">
        <f>IF(ISNUMBER(SEARCH(SUBSTITUTE(AG$1,RIGHT(AG$1,2),""),VLOOKUP($D157,素材!$1:$1016,COLUMN($F$1),FALSE))),VLOOKUP($C157,装備品!$1:$998,COLUMN($O$1),FALSE)*VLOOKUP($D157,素材!$1:$1016,COLUMN($E$1),FALSE)/(LEN(VLOOKUP($D157,素材!$1:$1016,COLUMN($F$1),FALSE))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H157">
        <f>IF(ISNUMBER(SEARCH(SUBSTITUTE(AH$1,RIGHT(AH$1,2),""),VLOOKUP($D157,素材!$1:$1016,COLUMN($F$1),FALSE))),VLOOKUP($C157,装備品!$1:$998,COLUMN($O$1),FALSE)*VLOOKUP($D157,素材!$1:$1016,COLUMN($E$1),FALSE)/(LEN(VLOOKUP($D157,素材!$1:$1016,COLUMN($F$1),FALSE))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I157">
        <f>IF(ISNUMBER(SEARCH(SUBSTITUTE(AI$1,RIGHT(AI$1,2),""),VLOOKUP($D157,素材!$1:$1016,COLUMN($F$1),FALSE))),VLOOKUP($C157,装備品!$1:$998,COLUMN($O$1),FALSE)*VLOOKUP($D157,素材!$1:$1016,COLUMN($E$1),FALSE)/(LEN(VLOOKUP($D157,素材!$1:$1016,COLUMN($F$1),FALSE))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J157">
        <f>IF(ISNUMBER(SEARCH(SUBSTITUTE(AJ$1,RIGHT(AJ$1,2),""),VLOOKUP($D157,素材!$1:$1016,COLUMN($F$1),FALSE))),VLOOKUP($C157,装備品!$1:$998,COLUMN($O$1),FALSE)*VLOOKUP($D157,素材!$1:$1016,COLUMN($E$1),FALSE)/(LEN(VLOOKUP($D157,素材!$1:$1016,COLUMN($F$1),FALSE))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K157">
        <f>IF(ISNUMBER(SEARCH(SUBSTITUTE(AK$1,RIGHT(AK$1,2),""),VLOOKUP($D157,素材!$1:$1016,COLUMN($F$1),FALSE))),VLOOKUP($C157,装備品!$1:$998,COLUMN($O$1),FALSE)*VLOOKUP($D157,素材!$1:$1016,COLUMN($E$1),FALSE)/(LEN(VLOOKUP($D157,素材!$1:$1016,COLUMN($F$1),FALSE))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L157">
        <f>IF(ISNUMBER(SEARCH(SUBSTITUTE(AL$1,RIGHT(AL$1,2),""),VLOOKUP($D157,素材!$1:$1016,COLUMN($F$1),FALSE))),VLOOKUP($C157,装備品!$1:$998,COLUMN($O$1),FALSE)*VLOOKUP($D157,素材!$1:$1016,COLUMN($E$1),FALSE)/(LEN(VLOOKUP($D157,素材!$1:$1016,COLUMN($F$1),FALSE))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M157">
        <f>IF(ISNUMBER(SEARCH(SUBSTITUTE(AM$1,RIGHT(AM$1,2),""),VLOOKUP($D157,素材!$1:$1016,COLUMN($F$1),FALSE))),VLOOKUP($C157,装備品!$1:$998,COLUMN($O$1),FALSE)*VLOOKUP($D157,素材!$1:$1016,COLUMN($E$1),FALSE)/(LEN(VLOOKUP($D157,素材!$1:$1016,COLUMN($F$1),FALSE))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N157">
        <f>IF(ISNUMBER(SEARCH(SUBSTITUTE(AN$1,RIGHT(AN$1,2),""),VLOOKUP($D157,素材!$1:$1016,COLUMN($F$1),FALSE))),VLOOKUP($C157,装備品!$1:$998,COLUMN($O$1),FALSE)*VLOOKUP($D157,素材!$1:$1016,COLUMN($E$1),FALSE)/(LEN(VLOOKUP($D157,素材!$1:$1016,COLUMN($F$1),FALSE))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O157">
        <f>IF(ISNUMBER(SEARCH(SUBSTITUTE(AO$1,RIGHT(AO$1,2),""),VLOOKUP($D157,素材!$1:$1016,COLUMN($F$1),FALSE))),VLOOKUP($C157,装備品!$1:$998,COLUMN($O$1),FALSE)*VLOOKUP($D157,素材!$1:$1016,COLUMN($E$1),FALSE)/(LEN(VLOOKUP($D157,素材!$1:$1016,COLUMN($F$1),FALSE))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P157">
        <f>IF(ISNUMBER(SEARCH(SUBSTITUTE(AP$1,RIGHT(AP$1,2),""),VLOOKUP($D157,素材!$1:$1016,COLUMN($F$1),FALSE))),VLOOKUP($C157,装備品!$1:$998,COLUMN($O$1),FALSE)*VLOOKUP($D157,素材!$1:$1016,COLUMN($E$1),FALSE)/(LEN(VLOOKUP($D157,素材!$1:$1016,COLUMN($F$1),FALSE))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Q157">
        <f>IF(ISNUMBER(SEARCH(SUBSTITUTE(AQ$1,RIGHT(AQ$1,2),""),VLOOKUP($D157,素材!$1:$1016,COLUMN($F$1),FALSE))),VLOOKUP($C157,装備品!$1:$998,COLUMN($O$1),FALSE)*VLOOKUP($D157,素材!$1:$1016,COLUMN($E$1),FALSE)/(LEN(VLOOKUP($D157,素材!$1:$1016,COLUMN($F$1),FALSE))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R157">
        <f>IF(ISNUMBER(SEARCH(SUBSTITUTE(AR$1,RIGHT(AR$1,2),""),VLOOKUP($D157,素材!$1:$1016,COLUMN($F$1),FALSE))),VLOOKUP($C157,装備品!$1:$998,COLUMN($O$1),FALSE)*VLOOKUP($D157,素材!$1:$1016,COLUMN($E$1),FALSE)/(LEN(VLOOKUP($D157,素材!$1:$1016,COLUMN($F$1),FALSE))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S157">
        <f>IF(ISNUMBER(SEARCH(SUBSTITUTE(AS$1,RIGHT(AS$1,2),""),VLOOKUP($D157,素材!$1:$1016,COLUMN($F$1),FALSE))),VLOOKUP($C157,装備品!$1:$998,COLUMN($O$1),FALSE)*VLOOKUP($D157,素材!$1:$1016,COLUMN($E$1),FALSE)/(LEN(VLOOKUP($D157,素材!$1:$1016,COLUMN($F$1),FALSE))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T157">
        <f>IF(ISNUMBER(SEARCH(SUBSTITUTE(AT$1,RIGHT(AT$1,2),""),VLOOKUP($D157,素材!$1:$1016,COLUMN($F$1),FALSE))),VLOOKUP($C157,装備品!$1:$998,COLUMN($O$1),FALSE)*VLOOKUP($D157,素材!$1:$1016,COLUMN($E$1),FALSE)/(LEN(VLOOKUP($D157,素材!$1:$1016,COLUMN($F$1),FALSE))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U157">
        <f>IF(ISNUMBER(SEARCH(SUBSTITUTE(AU$1,RIGHT(AU$1,2),""),VLOOKUP($D157,素材!$1:$1016,COLUMN($F$1),FALSE))),VLOOKUP($C157,装備品!$1:$998,COLUMN($O$1),FALSE)*VLOOKUP($D157,素材!$1:$1016,COLUMN($E$1),FALSE)/(LEN(VLOOKUP($D157,素材!$1:$1016,COLUMN($F$1),FALSE))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V157">
        <f>IF(ISNUMBER(SEARCH(SUBSTITUTE(AV$1,RIGHT(AV$1,2),""),VLOOKUP($D157,素材!$1:$1016,COLUMN($F$1),FALSE))),VLOOKUP($C157,装備品!$1:$998,COLUMN($O$1),FALSE)*VLOOKUP($D157,素材!$1:$1016,COLUMN($E$1),FALSE)/(LEN(VLOOKUP($D157,素材!$1:$1016,COLUMN($F$1),FALSE))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W157">
        <f>IF(ISNUMBER(SEARCH(SUBSTITUTE(AW$1,RIGHT(AW$1,2),""),VLOOKUP($D157,素材!$1:$1016,COLUMN($F$1),FALSE))),VLOOKUP($C157,装備品!$1:$998,COLUMN($O$1),FALSE)*VLOOKUP($D157,素材!$1:$1016,COLUMN($E$1),FALSE)/(LEN(VLOOKUP($D157,素材!$1:$1016,COLUMN($F$1),FALSE))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X157">
        <f>IF(ISNUMBER(SEARCH(SUBSTITUTE(AX$1,RIGHT(AX$1,2),""),VLOOKUP($D157,素材!$1:$1016,COLUMN($F$1),FALSE))),VLOOKUP($C157,装備品!$1:$998,COLUMN($O$1),FALSE)*VLOOKUP($D157,素材!$1:$1016,COLUMN($E$1),FALSE)/(LEN(VLOOKUP($D157,素材!$1:$1016,COLUMN($F$1),FALSE))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Y157">
        <f>IF(ISNUMBER(SEARCH(SUBSTITUTE(AY$1,RIGHT(AY$1,2),""),VLOOKUP($D157,素材!$1:$1016,COLUMN($F$1),FALSE))),VLOOKUP($C157,装備品!$1:$998,COLUMN($O$1),FALSE)*VLOOKUP($D157,素材!$1:$1016,COLUMN($E$1),FALSE)/(LEN(VLOOKUP($D157,素材!$1:$1016,COLUMN($F$1),FALSE))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Z157">
        <f>IF(ISNUMBER(SEARCH(SUBSTITUTE(AZ$1,RIGHT(AZ$1,2),""),VLOOKUP($D157,素材!$1:$1016,COLUMN($F$1),FALSE))),VLOOKUP($C157,装備品!$1:$998,COLUMN($O$1),FALSE)*VLOOKUP($D157,素材!$1:$1016,COLUMN($E$1),FALSE)/(LEN(VLOOKUP($D157,素材!$1:$1016,COLUMN($F$1),FALSE))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BA157">
        <f>IF(ISNUMBER(SEARCH(SUBSTITUTE(BA$1,RIGHT(BA$1,2),""),VLOOKUP($D157,素材!$1:$1016,COLUMN($F$1),FALSE))),VLOOKUP($C157,装備品!$1:$998,COLUMN($O$1),FALSE)*VLOOKUP($D157,素材!$1:$1016,COLUMN($E$1),FALSE)/(LEN(VLOOKUP($D157,素材!$1:$1016,COLUMN($F$1),FALSE))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BB157">
        <f>IF(ISNUMBER(SEARCH(SUBSTITUTE(BB$1,RIGHT(BB$1,2),""),VLOOKUP($D157,素材!$1:$1016,COLUMN($F$1),FALSE))),VLOOKUP($C157,装備品!$1:$998,COLUMN($O$1),FALSE)*VLOOKUP($D157,素材!$1:$1016,COLUMN($E$1),FALSE)/(LEN(VLOOKUP($D157,素材!$1:$1016,COLUMN($F$1),FALSE))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BC157">
        <f>IF(ISNUMBER(SEARCH(SUBSTITUTE(BC$1,RIGHT(BC$1,2),""),VLOOKUP($D157,素材!$1:$1016,COLUMN($F$1),FALSE))),VLOOKUP($C157,装備品!$1:$998,COLUMN($O$1),FALSE)*VLOOKUP($D157,素材!$1:$1016,COLUMN($E$1),FALSE)/(LEN(VLOOKUP($D157,素材!$1:$1016,COLUMN($F$1),FALSE))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BD157">
        <f>IF(ISNUMBER(SEARCH(SUBSTITUTE(BD$1,RIGHT(BD$1,2),""),VLOOKUP($D157,素材!$1:$1016,COLUMN($F$1),FALSE))),VLOOKUP($C157,装備品!$1:$998,COLUMN($O$1),FALSE)*VLOOKUP($D157,素材!$1:$1016,COLUMN($E$1),FALSE)/(LEN(VLOOKUP($D157,素材!$1:$1016,COLUMN($F$1),FALSE))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BE157">
        <f>IF(ISNUMBER(SEARCH(SUBSTITUTE(BE$1,RIGHT(BE$1,2),""),VLOOKUP($D157,素材!$1:$1016,COLUMN($F$1),FALSE))),VLOOKUP($C157,装備品!$1:$998,COLUMN($O$1),FALSE)*VLOOKUP($D157,素材!$1:$1016,COLUMN($E$1),FALSE)/(LEN(VLOOKUP($D157,素材!$1:$1016,COLUMN($F$1),FALSE))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CL157">
        <f t="shared" si="19"/>
        <v>0</v>
      </c>
      <c r="CM157" s="22" t="str">
        <f t="shared" si="20"/>
        <v>.webp</v>
      </c>
      <c r="CN157" t="str">
        <f>IFERROR(VLOOKUP($C157,装備品!$1:$998,COLUMN(V$1),FALSE)*VLOOKUP($D157,素材!$1:$1016,COLUMN(N$1),FALSE)+IF(CI157="",0,VLOOKUP($CI157,付与!$1:$1176,COLUMN($CK$1),FALSE)),"")</f>
        <v/>
      </c>
      <c r="CO157" t="e">
        <f>VLOOKUP(D157,素材!$A:$O,COLUMN(素材!O$1),FALSE)</f>
        <v>#N/A</v>
      </c>
      <c r="CR157" t="str">
        <f t="shared" si="24"/>
        <v>e_157</v>
      </c>
      <c r="CS157" t="e">
        <f t="shared" si="28"/>
        <v>#VALUE!</v>
      </c>
    </row>
    <row r="158" spans="1:97" x14ac:dyDescent="0.4">
      <c r="A158" t="str">
        <f t="shared" ref="A158:A189" si="33">D158&amp;"の"&amp;C158</f>
        <v>黒鋼鉄の短刀</v>
      </c>
      <c r="B158" t="str">
        <f>IFERROR(VLOOKUP($D158,素材!$1:$1016,COLUMN($B$1),FALSE)&amp;"・"&amp;VLOOKUP($C158,装備品!$1:$998,COLUMN(B$1),FALSE),"")</f>
        <v/>
      </c>
      <c r="C158" s="24" t="s">
        <v>241</v>
      </c>
      <c r="D158" s="24" t="s">
        <v>243</v>
      </c>
      <c r="E158" t="str">
        <f>IFERROR(VLOOKUP(C158,装備品!$1:$998,COLUMN(C$1),FALSE),"")</f>
        <v>武器</v>
      </c>
      <c r="F158" t="str">
        <f>IFERROR(ROUNDDOWN((VLOOKUP($C158,装備品!$1:$998,COLUMN(D$1),FALSE)+IFERROR(VLOOKUP($CI158,付与!$1:$1167,COLUMN(F$1),FALSE),0))*VLOOKUP($D158,素材!$1:$1016,COLUMN(D$1),FALSE),0),"")</f>
        <v/>
      </c>
      <c r="G158" t="str">
        <f>IFERROR(ROUNDDOWN((VLOOKUP($C158,装備品!$1:$998,COLUMN(E$1),FALSE)+IFERROR(VLOOKUP($CI158,付与!$1:$1167,COLUMN(G$1),FALSE),0))*VLOOKUP($D158,素材!$1:$1016,COLUMN($E$1),FALSE),0),"")</f>
        <v/>
      </c>
      <c r="H158" t="str">
        <f>IFERROR(ROUNDDOWN((VLOOKUP($C158,装備品!$1:$998,COLUMN(F$1),FALSE)+IFERROR(VLOOKUP($CI158,付与!$1:$1167,COLUMN(H$1),FALSE),0))*VLOOKUP($D158,素材!$1:$1016,COLUMN($E$1),FALSE),0),"")</f>
        <v/>
      </c>
      <c r="I158" t="str">
        <f>IFERROR(ROUNDDOWN((VLOOKUP($C158,装備品!$1:$998,COLUMN(G$1),FALSE)+IFERROR(VLOOKUP($CI158,付与!$1:$1167,COLUMN(I$1),FALSE),0))*VLOOKUP($D158,素材!$1:$1016,COLUMN($E$1),FALSE),0),"")</f>
        <v/>
      </c>
      <c r="J158" t="str">
        <f>IFERROR(ROUNDDOWN((VLOOKUP($C158,装備品!$1:$998,COLUMN(H$1),FALSE)+IFERROR(VLOOKUP($CI158,付与!$1:$1167,COLUMN(J$1),FALSE),0))*VLOOKUP($D158,素材!$1:$1016,COLUMN($E$1),FALSE),0),"")</f>
        <v/>
      </c>
      <c r="K158" t="str">
        <f>IFERROR(ROUNDDOWN((VLOOKUP($C158,装備品!$1:$998,COLUMN(I$1),FALSE)+IFERROR(VLOOKUP($CI158,付与!$1:$1167,COLUMN(K$1),FALSE),0))*VLOOKUP($D158,素材!$1:$1016,COLUMN($E$1),FALSE),0),"")</f>
        <v/>
      </c>
      <c r="L158" t="str">
        <f>IFERROR(VLOOKUP($D158,素材!$1:$1016,COLUMN($F$1),FALSE),"")</f>
        <v/>
      </c>
      <c r="M158" t="str">
        <f>IFERROR(VLOOKUP($C158,装備品!$1:$998,COLUMN(AA$1),FALSE)*VLOOKUP($D158,素材!$1:$1016,COLUMN($G$1),FALSE),"")</f>
        <v/>
      </c>
      <c r="N158">
        <f>IFERROR(VLOOKUP($C158,装備品!$1:$998,COLUMN(I$1),FALSE),"")</f>
        <v>0</v>
      </c>
      <c r="O158" s="23" t="str">
        <f>IFERROR((VLOOKUP($C158,装備品!$1:$998,COLUMN(K$1),FALSE)+VLOOKUP($D158,素材!$1:$1016,COLUMN(H$1),FALSE))*100+IFERROR(VLOOKUP($CI158,付与!$1:$1167,COLUMN(O$1),FALSE),0),"")</f>
        <v/>
      </c>
      <c r="P158" s="23" t="str">
        <f>IFERROR((VLOOKUP($C158,装備品!$1:$998,COLUMN(L$1),FALSE)+VLOOKUP($D158,素材!$1:$1016,COLUMN(I$1),FALSE))*100+IFERROR(VLOOKUP($CI158,付与!$1:$1167,COLUMN(P$1),FALSE),0),"")</f>
        <v/>
      </c>
      <c r="Q158" t="str">
        <f>IFERROR(ROUNDUP(VLOOKUP($C158,装備品!$1:$998,COLUMN(M$1),FALSE)*(VLOOKUP($D158,素材!$1:$1002,COLUMN(D$1),FALSE)/100),1),"")</f>
        <v/>
      </c>
      <c r="R158" t="str">
        <f>IFERROR(ROUNDUP(VLOOKUP($C158,装備品!$1:$998,COLUMN(N$1),FALSE)*(VLOOKUP($D158,素材!$1:$1002,COLUMN(D$1),FALSE)/100),1),"")</f>
        <v/>
      </c>
      <c r="S158">
        <f>IFERROR(VLOOKUP($C158,装備品!$1:$998,COLUMN(P$1),FALSE),"")</f>
        <v>0</v>
      </c>
      <c r="T158">
        <f>IFERROR(VLOOKUP($C158,装備品!$1:$998,COLUMN(Q$1),FALSE),"")</f>
        <v>0</v>
      </c>
      <c r="U158">
        <f>IFERROR(VLOOKUP($C158,装備品!$1:$998,COLUMN(R$1),FALSE),"")</f>
        <v>0</v>
      </c>
      <c r="V158">
        <f>IFERROR(VLOOKUP($C158,装備品!$1:$998,COLUMN(Q$1),FALSE),"")</f>
        <v>0</v>
      </c>
      <c r="W158">
        <f>IFERROR(VLOOKUP($C158,装備品!$1:$998,COLUMN(T$1),FALSE),"")</f>
        <v>0</v>
      </c>
      <c r="Y158">
        <f>IFERROR(VLOOKUP($C158,装備品!$1:$998,COLUMN(U$1),FALSE),"")</f>
        <v>0</v>
      </c>
      <c r="Z158" t="str">
        <f>IFERROR(ROUNDUP(VLOOKUP($C158,装備品!$1:$998,COLUMN(O$1),FALSE)*VLOOKUP($D158,素材!$1:$1016,COLUMN(E$1),FALSE),1),"")</f>
        <v/>
      </c>
      <c r="AA158">
        <f>IF(ISNUMBER(SEARCH(SUBSTITUTE(AA$1,RIGHT(AA$1,2),""),VLOOKUP($D158,素材!$1:$1016,COLUMN($F$1),FALSE))),VLOOKUP($C158,装備品!$1:$998,COLUMN($O$1),FALSE)*VLOOKUP($D158,素材!$1:$1016,COLUMN($E$1),FALSE)/(LEN(VLOOKUP($D158,素材!$1:$1016,COLUMN($F$1),FALSE))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B158">
        <f>IF(ISNUMBER(SEARCH(SUBSTITUTE(AB$1,RIGHT(AB$1,2),""),VLOOKUP($D158,素材!$1:$1016,COLUMN($F$1),FALSE))),VLOOKUP($C158,装備品!$1:$998,COLUMN($O$1),FALSE)*VLOOKUP($D158,素材!$1:$1016,COLUMN($E$1),FALSE)/(LEN(VLOOKUP($D158,素材!$1:$1016,COLUMN($F$1),FALSE))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C158">
        <f>IF(ISNUMBER(SEARCH(SUBSTITUTE(AC$1,RIGHT(AC$1,2),""),VLOOKUP($D158,素材!$1:$1016,COLUMN($F$1),FALSE))),VLOOKUP($C158,装備品!$1:$998,COLUMN($O$1),FALSE)*VLOOKUP($D158,素材!$1:$1016,COLUMN($E$1),FALSE)/(LEN(VLOOKUP($D158,素材!$1:$1016,COLUMN($F$1),FALSE))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D158">
        <f>IF(ISNUMBER(SEARCH(SUBSTITUTE(AD$1,RIGHT(AD$1,2),""),VLOOKUP($D158,素材!$1:$1016,COLUMN($F$1),FALSE))),VLOOKUP($C158,装備品!$1:$998,COLUMN($O$1),FALSE)*VLOOKUP($D158,素材!$1:$1016,COLUMN($E$1),FALSE)/(LEN(VLOOKUP($D158,素材!$1:$1016,COLUMN($F$1),FALSE))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E158">
        <f>IF(ISNUMBER(SEARCH(SUBSTITUTE(AE$1,RIGHT(AE$1,2),""),VLOOKUP($D158,素材!$1:$1016,COLUMN($F$1),FALSE))),VLOOKUP($C158,装備品!$1:$998,COLUMN($O$1),FALSE)*VLOOKUP($D158,素材!$1:$1016,COLUMN($E$1),FALSE)/(LEN(VLOOKUP($D158,素材!$1:$1016,COLUMN($F$1),FALSE))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F158">
        <f>IF(ISNUMBER(SEARCH(SUBSTITUTE(AF$1,RIGHT(AF$1,2),""),VLOOKUP($D158,素材!$1:$1016,COLUMN($F$1),FALSE))),VLOOKUP($C158,装備品!$1:$998,COLUMN($O$1),FALSE)*VLOOKUP($D158,素材!$1:$1016,COLUMN($E$1),FALSE)/(LEN(VLOOKUP($D158,素材!$1:$1016,COLUMN($F$1),FALSE))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G158">
        <f>IF(ISNUMBER(SEARCH(SUBSTITUTE(AG$1,RIGHT(AG$1,2),""),VLOOKUP($D158,素材!$1:$1016,COLUMN($F$1),FALSE))),VLOOKUP($C158,装備品!$1:$998,COLUMN($O$1),FALSE)*VLOOKUP($D158,素材!$1:$1016,COLUMN($E$1),FALSE)/(LEN(VLOOKUP($D158,素材!$1:$1016,COLUMN($F$1),FALSE))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H158">
        <f>IF(ISNUMBER(SEARCH(SUBSTITUTE(AH$1,RIGHT(AH$1,2),""),VLOOKUP($D158,素材!$1:$1016,COLUMN($F$1),FALSE))),VLOOKUP($C158,装備品!$1:$998,COLUMN($O$1),FALSE)*VLOOKUP($D158,素材!$1:$1016,COLUMN($E$1),FALSE)/(LEN(VLOOKUP($D158,素材!$1:$1016,COLUMN($F$1),FALSE))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I158">
        <f>IF(ISNUMBER(SEARCH(SUBSTITUTE(AI$1,RIGHT(AI$1,2),""),VLOOKUP($D158,素材!$1:$1016,COLUMN($F$1),FALSE))),VLOOKUP($C158,装備品!$1:$998,COLUMN($O$1),FALSE)*VLOOKUP($D158,素材!$1:$1016,COLUMN($E$1),FALSE)/(LEN(VLOOKUP($D158,素材!$1:$1016,COLUMN($F$1),FALSE))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J158">
        <f>IF(ISNUMBER(SEARCH(SUBSTITUTE(AJ$1,RIGHT(AJ$1,2),""),VLOOKUP($D158,素材!$1:$1016,COLUMN($F$1),FALSE))),VLOOKUP($C158,装備品!$1:$998,COLUMN($O$1),FALSE)*VLOOKUP($D158,素材!$1:$1016,COLUMN($E$1),FALSE)/(LEN(VLOOKUP($D158,素材!$1:$1016,COLUMN($F$1),FALSE))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K158">
        <f>IF(ISNUMBER(SEARCH(SUBSTITUTE(AK$1,RIGHT(AK$1,2),""),VLOOKUP($D158,素材!$1:$1016,COLUMN($F$1),FALSE))),VLOOKUP($C158,装備品!$1:$998,COLUMN($O$1),FALSE)*VLOOKUP($D158,素材!$1:$1016,COLUMN($E$1),FALSE)/(LEN(VLOOKUP($D158,素材!$1:$1016,COLUMN($F$1),FALSE))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L158">
        <f>IF(ISNUMBER(SEARCH(SUBSTITUTE(AL$1,RIGHT(AL$1,2),""),VLOOKUP($D158,素材!$1:$1016,COLUMN($F$1),FALSE))),VLOOKUP($C158,装備品!$1:$998,COLUMN($O$1),FALSE)*VLOOKUP($D158,素材!$1:$1016,COLUMN($E$1),FALSE)/(LEN(VLOOKUP($D158,素材!$1:$1016,COLUMN($F$1),FALSE))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M158">
        <f>IF(ISNUMBER(SEARCH(SUBSTITUTE(AM$1,RIGHT(AM$1,2),""),VLOOKUP($D158,素材!$1:$1016,COLUMN($F$1),FALSE))),VLOOKUP($C158,装備品!$1:$998,COLUMN($O$1),FALSE)*VLOOKUP($D158,素材!$1:$1016,COLUMN($E$1),FALSE)/(LEN(VLOOKUP($D158,素材!$1:$1016,COLUMN($F$1),FALSE))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N158">
        <f>IF(ISNUMBER(SEARCH(SUBSTITUTE(AN$1,RIGHT(AN$1,2),""),VLOOKUP($D158,素材!$1:$1016,COLUMN($F$1),FALSE))),VLOOKUP($C158,装備品!$1:$998,COLUMN($O$1),FALSE)*VLOOKUP($D158,素材!$1:$1016,COLUMN($E$1),FALSE)/(LEN(VLOOKUP($D158,素材!$1:$1016,COLUMN($F$1),FALSE))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O158">
        <f>IF(ISNUMBER(SEARCH(SUBSTITUTE(AO$1,RIGHT(AO$1,2),""),VLOOKUP($D158,素材!$1:$1016,COLUMN($F$1),FALSE))),VLOOKUP($C158,装備品!$1:$998,COLUMN($O$1),FALSE)*VLOOKUP($D158,素材!$1:$1016,COLUMN($E$1),FALSE)/(LEN(VLOOKUP($D158,素材!$1:$1016,COLUMN($F$1),FALSE))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P158">
        <f>IF(ISNUMBER(SEARCH(SUBSTITUTE(AP$1,RIGHT(AP$1,2),""),VLOOKUP($D158,素材!$1:$1016,COLUMN($F$1),FALSE))),VLOOKUP($C158,装備品!$1:$998,COLUMN($O$1),FALSE)*VLOOKUP($D158,素材!$1:$1016,COLUMN($E$1),FALSE)/(LEN(VLOOKUP($D158,素材!$1:$1016,COLUMN($F$1),FALSE))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Q158">
        <f>IF(ISNUMBER(SEARCH(SUBSTITUTE(AQ$1,RIGHT(AQ$1,2),""),VLOOKUP($D158,素材!$1:$1016,COLUMN($F$1),FALSE))),VLOOKUP($C158,装備品!$1:$998,COLUMN($O$1),FALSE)*VLOOKUP($D158,素材!$1:$1016,COLUMN($E$1),FALSE)/(LEN(VLOOKUP($D158,素材!$1:$1016,COLUMN($F$1),FALSE))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R158">
        <f>IF(ISNUMBER(SEARCH(SUBSTITUTE(AR$1,RIGHT(AR$1,2),""),VLOOKUP($D158,素材!$1:$1016,COLUMN($F$1),FALSE))),VLOOKUP($C158,装備品!$1:$998,COLUMN($O$1),FALSE)*VLOOKUP($D158,素材!$1:$1016,COLUMN($E$1),FALSE)/(LEN(VLOOKUP($D158,素材!$1:$1016,COLUMN($F$1),FALSE))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S158">
        <f>IF(ISNUMBER(SEARCH(SUBSTITUTE(AS$1,RIGHT(AS$1,2),""),VLOOKUP($D158,素材!$1:$1016,COLUMN($F$1),FALSE))),VLOOKUP($C158,装備品!$1:$998,COLUMN($O$1),FALSE)*VLOOKUP($D158,素材!$1:$1016,COLUMN($E$1),FALSE)/(LEN(VLOOKUP($D158,素材!$1:$1016,COLUMN($F$1),FALSE))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T158">
        <f>IF(ISNUMBER(SEARCH(SUBSTITUTE(AT$1,RIGHT(AT$1,2),""),VLOOKUP($D158,素材!$1:$1016,COLUMN($F$1),FALSE))),VLOOKUP($C158,装備品!$1:$998,COLUMN($O$1),FALSE)*VLOOKUP($D158,素材!$1:$1016,COLUMN($E$1),FALSE)/(LEN(VLOOKUP($D158,素材!$1:$1016,COLUMN($F$1),FALSE))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U158">
        <f>IF(ISNUMBER(SEARCH(SUBSTITUTE(AU$1,RIGHT(AU$1,2),""),VLOOKUP($D158,素材!$1:$1016,COLUMN($F$1),FALSE))),VLOOKUP($C158,装備品!$1:$998,COLUMN($O$1),FALSE)*VLOOKUP($D158,素材!$1:$1016,COLUMN($E$1),FALSE)/(LEN(VLOOKUP($D158,素材!$1:$1016,COLUMN($F$1),FALSE))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V158">
        <f>IF(ISNUMBER(SEARCH(SUBSTITUTE(AV$1,RIGHT(AV$1,2),""),VLOOKUP($D158,素材!$1:$1016,COLUMN($F$1),FALSE))),VLOOKUP($C158,装備品!$1:$998,COLUMN($O$1),FALSE)*VLOOKUP($D158,素材!$1:$1016,COLUMN($E$1),FALSE)/(LEN(VLOOKUP($D158,素材!$1:$1016,COLUMN($F$1),FALSE))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W158">
        <f>IF(ISNUMBER(SEARCH(SUBSTITUTE(AW$1,RIGHT(AW$1,2),""),VLOOKUP($D158,素材!$1:$1016,COLUMN($F$1),FALSE))),VLOOKUP($C158,装備品!$1:$998,COLUMN($O$1),FALSE)*VLOOKUP($D158,素材!$1:$1016,COLUMN($E$1),FALSE)/(LEN(VLOOKUP($D158,素材!$1:$1016,COLUMN($F$1),FALSE))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X158">
        <f>IF(ISNUMBER(SEARCH(SUBSTITUTE(AX$1,RIGHT(AX$1,2),""),VLOOKUP($D158,素材!$1:$1016,COLUMN($F$1),FALSE))),VLOOKUP($C158,装備品!$1:$998,COLUMN($O$1),FALSE)*VLOOKUP($D158,素材!$1:$1016,COLUMN($E$1),FALSE)/(LEN(VLOOKUP($D158,素材!$1:$1016,COLUMN($F$1),FALSE))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Y158">
        <f>IF(ISNUMBER(SEARCH(SUBSTITUTE(AY$1,RIGHT(AY$1,2),""),VLOOKUP($D158,素材!$1:$1016,COLUMN($F$1),FALSE))),VLOOKUP($C158,装備品!$1:$998,COLUMN($O$1),FALSE)*VLOOKUP($D158,素材!$1:$1016,COLUMN($E$1),FALSE)/(LEN(VLOOKUP($D158,素材!$1:$1016,COLUMN($F$1),FALSE))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Z158">
        <f>IF(ISNUMBER(SEARCH(SUBSTITUTE(AZ$1,RIGHT(AZ$1,2),""),VLOOKUP($D158,素材!$1:$1016,COLUMN($F$1),FALSE))),VLOOKUP($C158,装備品!$1:$998,COLUMN($O$1),FALSE)*VLOOKUP($D158,素材!$1:$1016,COLUMN($E$1),FALSE)/(LEN(VLOOKUP($D158,素材!$1:$1016,COLUMN($F$1),FALSE))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BA158">
        <f>IF(ISNUMBER(SEARCH(SUBSTITUTE(BA$1,RIGHT(BA$1,2),""),VLOOKUP($D158,素材!$1:$1016,COLUMN($F$1),FALSE))),VLOOKUP($C158,装備品!$1:$998,COLUMN($O$1),FALSE)*VLOOKUP($D158,素材!$1:$1016,COLUMN($E$1),FALSE)/(LEN(VLOOKUP($D158,素材!$1:$1016,COLUMN($F$1),FALSE))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BB158">
        <f>IF(ISNUMBER(SEARCH(SUBSTITUTE(BB$1,RIGHT(BB$1,2),""),VLOOKUP($D158,素材!$1:$1016,COLUMN($F$1),FALSE))),VLOOKUP($C158,装備品!$1:$998,COLUMN($O$1),FALSE)*VLOOKUP($D158,素材!$1:$1016,COLUMN($E$1),FALSE)/(LEN(VLOOKUP($D158,素材!$1:$1016,COLUMN($F$1),FALSE))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BC158">
        <f>IF(ISNUMBER(SEARCH(SUBSTITUTE(BC$1,RIGHT(BC$1,2),""),VLOOKUP($D158,素材!$1:$1016,COLUMN($F$1),FALSE))),VLOOKUP($C158,装備品!$1:$998,COLUMN($O$1),FALSE)*VLOOKUP($D158,素材!$1:$1016,COLUMN($E$1),FALSE)/(LEN(VLOOKUP($D158,素材!$1:$1016,COLUMN($F$1),FALSE))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BD158">
        <f>IF(ISNUMBER(SEARCH(SUBSTITUTE(BD$1,RIGHT(BD$1,2),""),VLOOKUP($D158,素材!$1:$1016,COLUMN($F$1),FALSE))),VLOOKUP($C158,装備品!$1:$998,COLUMN($O$1),FALSE)*VLOOKUP($D158,素材!$1:$1016,COLUMN($E$1),FALSE)/(LEN(VLOOKUP($D158,素材!$1:$1016,COLUMN($F$1),FALSE))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BE158">
        <f>IF(ISNUMBER(SEARCH(SUBSTITUTE(BE$1,RIGHT(BE$1,2),""),VLOOKUP($D158,素材!$1:$1016,COLUMN($F$1),FALSE))),VLOOKUP($C158,装備品!$1:$998,COLUMN($O$1),FALSE)*VLOOKUP($D158,素材!$1:$1016,COLUMN($E$1),FALSE)/(LEN(VLOOKUP($D158,素材!$1:$1016,COLUMN($F$1),FALSE))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CL158">
        <f t="shared" si="19"/>
        <v>0</v>
      </c>
      <c r="CM158" s="22" t="e">
        <f t="shared" si="20"/>
        <v>#VALUE!</v>
      </c>
      <c r="CN158" t="str">
        <f>IFERROR(VLOOKUP($C158,装備品!$1:$998,COLUMN(V$1),FALSE)*VLOOKUP($D158,素材!$1:$1016,COLUMN(N$1),FALSE)+IF(CI158="",0,VLOOKUP($CI158,付与!$1:$1176,COLUMN($CK$1),FALSE)),"")</f>
        <v/>
      </c>
      <c r="CO158" t="e">
        <f>VLOOKUP(D158,素材!$A:$O,COLUMN(素材!O$1),FALSE)</f>
        <v>#N/A</v>
      </c>
      <c r="CP158" t="str">
        <f>VLOOKUP(C158,装備品!$A:$AB,COLUMN(装備品!AB$1),FALSE)</f>
        <v>短刀。暗殺向けの武器で、軽量かつ片手操作に適する。Cr威力が高い</v>
      </c>
      <c r="CR158" t="str">
        <f t="shared" si="24"/>
        <v>e_158</v>
      </c>
      <c r="CS158" t="e">
        <f t="shared" si="28"/>
        <v>#VALUE!</v>
      </c>
    </row>
    <row r="159" spans="1:97" outlineLevel="1" x14ac:dyDescent="0.4">
      <c r="A159" t="str">
        <f t="shared" si="33"/>
        <v>黒鋼鉄の刀</v>
      </c>
      <c r="B159" t="str">
        <f>IFERROR(VLOOKUP($D159,素材!$1:$1016,COLUMN($B$1),FALSE)&amp;"・"&amp;VLOOKUP($C159,装備品!$1:$998,COLUMN(B$1),FALSE),"")</f>
        <v/>
      </c>
      <c r="C159" s="24" t="s">
        <v>240</v>
      </c>
      <c r="D159" s="24" t="s">
        <v>243</v>
      </c>
      <c r="E159" t="str">
        <f>IFERROR(VLOOKUP(C159,装備品!$1:$998,COLUMN(C$1),FALSE),"")</f>
        <v>武器</v>
      </c>
      <c r="F159" t="str">
        <f>IFERROR(ROUNDDOWN((VLOOKUP($C159,装備品!$1:$998,COLUMN(D$1),FALSE)+IFERROR(VLOOKUP($CI159,付与!$1:$1167,COLUMN(F$1),FALSE),0))*VLOOKUP($D159,素材!$1:$1016,COLUMN(D$1),FALSE),0),"")</f>
        <v/>
      </c>
      <c r="G159" t="str">
        <f>IFERROR(ROUNDDOWN((VLOOKUP($C159,装備品!$1:$998,COLUMN(E$1),FALSE)+IFERROR(VLOOKUP($CI159,付与!$1:$1167,COLUMN(G$1),FALSE),0))*VLOOKUP($D159,素材!$1:$1016,COLUMN($E$1),FALSE),0),"")</f>
        <v/>
      </c>
      <c r="H159" t="str">
        <f>IFERROR(ROUNDDOWN((VLOOKUP($C159,装備品!$1:$998,COLUMN(F$1),FALSE)+IFERROR(VLOOKUP($CI159,付与!$1:$1167,COLUMN(H$1),FALSE),0))*VLOOKUP($D159,素材!$1:$1016,COLUMN($E$1),FALSE),0),"")</f>
        <v/>
      </c>
      <c r="I159" t="str">
        <f>IFERROR(ROUNDDOWN((VLOOKUP($C159,装備品!$1:$998,COLUMN(G$1),FALSE)+IFERROR(VLOOKUP($CI159,付与!$1:$1167,COLUMN(I$1),FALSE),0))*VLOOKUP($D159,素材!$1:$1016,COLUMN($E$1),FALSE),0),"")</f>
        <v/>
      </c>
      <c r="J159" t="str">
        <f>IFERROR(ROUNDDOWN((VLOOKUP($C159,装備品!$1:$998,COLUMN(H$1),FALSE)+IFERROR(VLOOKUP($CI159,付与!$1:$1167,COLUMN(J$1),FALSE),0))*VLOOKUP($D159,素材!$1:$1016,COLUMN($E$1),FALSE),0),"")</f>
        <v/>
      </c>
      <c r="K159" t="str">
        <f>IFERROR(ROUNDDOWN((VLOOKUP($C159,装備品!$1:$998,COLUMN(I$1),FALSE)+IFERROR(VLOOKUP($CI159,付与!$1:$1167,COLUMN(K$1),FALSE),0))*VLOOKUP($D159,素材!$1:$1016,COLUMN($E$1),FALSE),0),"")</f>
        <v/>
      </c>
      <c r="L159" t="str">
        <f>IFERROR(VLOOKUP($D159,素材!$1:$1016,COLUMN($F$1),FALSE),"")</f>
        <v/>
      </c>
      <c r="M159" t="str">
        <f>IFERROR(VLOOKUP($C159,装備品!$1:$998,COLUMN(AA$1),FALSE)*VLOOKUP($D159,素材!$1:$1016,COLUMN($G$1),FALSE),"")</f>
        <v/>
      </c>
      <c r="N159">
        <f>IFERROR(VLOOKUP($C159,装備品!$1:$998,COLUMN(I$1),FALSE),"")</f>
        <v>0</v>
      </c>
      <c r="O159" s="23" t="str">
        <f>IFERROR((VLOOKUP($C159,装備品!$1:$998,COLUMN(K$1),FALSE)+VLOOKUP($D159,素材!$1:$1016,COLUMN(H$1),FALSE))*100+IFERROR(VLOOKUP($CI159,付与!$1:$1167,COLUMN(O$1),FALSE),0),"")</f>
        <v/>
      </c>
      <c r="P159" s="23" t="str">
        <f>IFERROR((VLOOKUP($C159,装備品!$1:$998,COLUMN(L$1),FALSE)+VLOOKUP($D159,素材!$1:$1016,COLUMN(I$1),FALSE))*100+IFERROR(VLOOKUP($CI159,付与!$1:$1167,COLUMN(P$1),FALSE),0),"")</f>
        <v/>
      </c>
      <c r="Q159" t="str">
        <f>IFERROR(ROUNDUP(VLOOKUP($C159,装備品!$1:$998,COLUMN(M$1),FALSE)*(VLOOKUP($D159,素材!$1:$1002,COLUMN(D$1),FALSE)/100),1),"")</f>
        <v/>
      </c>
      <c r="R159" t="str">
        <f>IFERROR(ROUNDUP(VLOOKUP($C159,装備品!$1:$998,COLUMN(N$1),FALSE)*(VLOOKUP($D159,素材!$1:$1002,COLUMN(D$1),FALSE)/100),1),"")</f>
        <v/>
      </c>
      <c r="S159">
        <f>IFERROR(VLOOKUP($C159,装備品!$1:$998,COLUMN(P$1),FALSE),"")</f>
        <v>0</v>
      </c>
      <c r="T159">
        <f>IFERROR(VLOOKUP($C159,装備品!$1:$998,COLUMN(Q$1),FALSE),"")</f>
        <v>0</v>
      </c>
      <c r="U159">
        <f>IFERROR(VLOOKUP($C159,装備品!$1:$998,COLUMN(R$1),FALSE),"")</f>
        <v>0</v>
      </c>
      <c r="V159">
        <f>IFERROR(VLOOKUP($C159,装備品!$1:$998,COLUMN(Q$1),FALSE),"")</f>
        <v>0</v>
      </c>
      <c r="W159">
        <f>IFERROR(VLOOKUP($C159,装備品!$1:$998,COLUMN(T$1),FALSE),"")</f>
        <v>0</v>
      </c>
      <c r="Y159">
        <f>IFERROR(VLOOKUP($C159,装備品!$1:$998,COLUMN(U$1),FALSE),"")</f>
        <v>0</v>
      </c>
      <c r="Z159" t="str">
        <f>IFERROR(ROUNDUP(VLOOKUP($C159,装備品!$1:$998,COLUMN(O$1),FALSE)*VLOOKUP($D159,素材!$1:$1016,COLUMN(E$1),FALSE),1),"")</f>
        <v/>
      </c>
      <c r="AA159">
        <f>IF(ISNUMBER(SEARCH(SUBSTITUTE(AA$1,RIGHT(AA$1,2),""),VLOOKUP($D159,素材!$1:$1016,COLUMN($F$1),FALSE))),VLOOKUP($C159,装備品!$1:$998,COLUMN($O$1),FALSE)*VLOOKUP($D159,素材!$1:$1016,COLUMN($E$1),FALSE)/(LEN(VLOOKUP($D159,素材!$1:$1016,COLUMN($F$1),FALSE))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B159">
        <f>IF(ISNUMBER(SEARCH(SUBSTITUTE(AB$1,RIGHT(AB$1,2),""),VLOOKUP($D159,素材!$1:$1016,COLUMN($F$1),FALSE))),VLOOKUP($C159,装備品!$1:$998,COLUMN($O$1),FALSE)*VLOOKUP($D159,素材!$1:$1016,COLUMN($E$1),FALSE)/(LEN(VLOOKUP($D159,素材!$1:$1016,COLUMN($F$1),FALSE))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C159">
        <f>IF(ISNUMBER(SEARCH(SUBSTITUTE(AC$1,RIGHT(AC$1,2),""),VLOOKUP($D159,素材!$1:$1016,COLUMN($F$1),FALSE))),VLOOKUP($C159,装備品!$1:$998,COLUMN($O$1),FALSE)*VLOOKUP($D159,素材!$1:$1016,COLUMN($E$1),FALSE)/(LEN(VLOOKUP($D159,素材!$1:$1016,COLUMN($F$1),FALSE))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D159">
        <f>IF(ISNUMBER(SEARCH(SUBSTITUTE(AD$1,RIGHT(AD$1,2),""),VLOOKUP($D159,素材!$1:$1016,COLUMN($F$1),FALSE))),VLOOKUP($C159,装備品!$1:$998,COLUMN($O$1),FALSE)*VLOOKUP($D159,素材!$1:$1016,COLUMN($E$1),FALSE)/(LEN(VLOOKUP($D159,素材!$1:$1016,COLUMN($F$1),FALSE))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E159">
        <f>IF(ISNUMBER(SEARCH(SUBSTITUTE(AE$1,RIGHT(AE$1,2),""),VLOOKUP($D159,素材!$1:$1016,COLUMN($F$1),FALSE))),VLOOKUP($C159,装備品!$1:$998,COLUMN($O$1),FALSE)*VLOOKUP($D159,素材!$1:$1016,COLUMN($E$1),FALSE)/(LEN(VLOOKUP($D159,素材!$1:$1016,COLUMN($F$1),FALSE))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F159">
        <f>IF(ISNUMBER(SEARCH(SUBSTITUTE(AF$1,RIGHT(AF$1,2),""),VLOOKUP($D159,素材!$1:$1016,COLUMN($F$1),FALSE))),VLOOKUP($C159,装備品!$1:$998,COLUMN($O$1),FALSE)*VLOOKUP($D159,素材!$1:$1016,COLUMN($E$1),FALSE)/(LEN(VLOOKUP($D159,素材!$1:$1016,COLUMN($F$1),FALSE))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G159">
        <f>IF(ISNUMBER(SEARCH(SUBSTITUTE(AG$1,RIGHT(AG$1,2),""),VLOOKUP($D159,素材!$1:$1016,COLUMN($F$1),FALSE))),VLOOKUP($C159,装備品!$1:$998,COLUMN($O$1),FALSE)*VLOOKUP($D159,素材!$1:$1016,COLUMN($E$1),FALSE)/(LEN(VLOOKUP($D159,素材!$1:$1016,COLUMN($F$1),FALSE))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H159">
        <f>IF(ISNUMBER(SEARCH(SUBSTITUTE(AH$1,RIGHT(AH$1,2),""),VLOOKUP($D159,素材!$1:$1016,COLUMN($F$1),FALSE))),VLOOKUP($C159,装備品!$1:$998,COLUMN($O$1),FALSE)*VLOOKUP($D159,素材!$1:$1016,COLUMN($E$1),FALSE)/(LEN(VLOOKUP($D159,素材!$1:$1016,COLUMN($F$1),FALSE))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I159">
        <f>IF(ISNUMBER(SEARCH(SUBSTITUTE(AI$1,RIGHT(AI$1,2),""),VLOOKUP($D159,素材!$1:$1016,COLUMN($F$1),FALSE))),VLOOKUP($C159,装備品!$1:$998,COLUMN($O$1),FALSE)*VLOOKUP($D159,素材!$1:$1016,COLUMN($E$1),FALSE)/(LEN(VLOOKUP($D159,素材!$1:$1016,COLUMN($F$1),FALSE))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J159">
        <f>IF(ISNUMBER(SEARCH(SUBSTITUTE(AJ$1,RIGHT(AJ$1,2),""),VLOOKUP($D159,素材!$1:$1016,COLUMN($F$1),FALSE))),VLOOKUP($C159,装備品!$1:$998,COLUMN($O$1),FALSE)*VLOOKUP($D159,素材!$1:$1016,COLUMN($E$1),FALSE)/(LEN(VLOOKUP($D159,素材!$1:$1016,COLUMN($F$1),FALSE))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K159">
        <f>IF(ISNUMBER(SEARCH(SUBSTITUTE(AK$1,RIGHT(AK$1,2),""),VLOOKUP($D159,素材!$1:$1016,COLUMN($F$1),FALSE))),VLOOKUP($C159,装備品!$1:$998,COLUMN($O$1),FALSE)*VLOOKUP($D159,素材!$1:$1016,COLUMN($E$1),FALSE)/(LEN(VLOOKUP($D159,素材!$1:$1016,COLUMN($F$1),FALSE))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L159">
        <f>IF(ISNUMBER(SEARCH(SUBSTITUTE(AL$1,RIGHT(AL$1,2),""),VLOOKUP($D159,素材!$1:$1016,COLUMN($F$1),FALSE))),VLOOKUP($C159,装備品!$1:$998,COLUMN($O$1),FALSE)*VLOOKUP($D159,素材!$1:$1016,COLUMN($E$1),FALSE)/(LEN(VLOOKUP($D159,素材!$1:$1016,COLUMN($F$1),FALSE))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M159">
        <f>IF(ISNUMBER(SEARCH(SUBSTITUTE(AM$1,RIGHT(AM$1,2),""),VLOOKUP($D159,素材!$1:$1016,COLUMN($F$1),FALSE))),VLOOKUP($C159,装備品!$1:$998,COLUMN($O$1),FALSE)*VLOOKUP($D159,素材!$1:$1016,COLUMN($E$1),FALSE)/(LEN(VLOOKUP($D159,素材!$1:$1016,COLUMN($F$1),FALSE))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N159">
        <f>IF(ISNUMBER(SEARCH(SUBSTITUTE(AN$1,RIGHT(AN$1,2),""),VLOOKUP($D159,素材!$1:$1016,COLUMN($F$1),FALSE))),VLOOKUP($C159,装備品!$1:$998,COLUMN($O$1),FALSE)*VLOOKUP($D159,素材!$1:$1016,COLUMN($E$1),FALSE)/(LEN(VLOOKUP($D159,素材!$1:$1016,COLUMN($F$1),FALSE))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O159">
        <f>IF(ISNUMBER(SEARCH(SUBSTITUTE(AO$1,RIGHT(AO$1,2),""),VLOOKUP($D159,素材!$1:$1016,COLUMN($F$1),FALSE))),VLOOKUP($C159,装備品!$1:$998,COLUMN($O$1),FALSE)*VLOOKUP($D159,素材!$1:$1016,COLUMN($E$1),FALSE)/(LEN(VLOOKUP($D159,素材!$1:$1016,COLUMN($F$1),FALSE))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P159">
        <f>IF(ISNUMBER(SEARCH(SUBSTITUTE(AP$1,RIGHT(AP$1,2),""),VLOOKUP($D159,素材!$1:$1016,COLUMN($F$1),FALSE))),VLOOKUP($C159,装備品!$1:$998,COLUMN($O$1),FALSE)*VLOOKUP($D159,素材!$1:$1016,COLUMN($E$1),FALSE)/(LEN(VLOOKUP($D159,素材!$1:$1016,COLUMN($F$1),FALSE))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Q159">
        <f>IF(ISNUMBER(SEARCH(SUBSTITUTE(AQ$1,RIGHT(AQ$1,2),""),VLOOKUP($D159,素材!$1:$1016,COLUMN($F$1),FALSE))),VLOOKUP($C159,装備品!$1:$998,COLUMN($O$1),FALSE)*VLOOKUP($D159,素材!$1:$1016,COLUMN($E$1),FALSE)/(LEN(VLOOKUP($D159,素材!$1:$1016,COLUMN($F$1),FALSE))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R159">
        <f>IF(ISNUMBER(SEARCH(SUBSTITUTE(AR$1,RIGHT(AR$1,2),""),VLOOKUP($D159,素材!$1:$1016,COLUMN($F$1),FALSE))),VLOOKUP($C159,装備品!$1:$998,COLUMN($O$1),FALSE)*VLOOKUP($D159,素材!$1:$1016,COLUMN($E$1),FALSE)/(LEN(VLOOKUP($D159,素材!$1:$1016,COLUMN($F$1),FALSE))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S159">
        <f>IF(ISNUMBER(SEARCH(SUBSTITUTE(AS$1,RIGHT(AS$1,2),""),VLOOKUP($D159,素材!$1:$1016,COLUMN($F$1),FALSE))),VLOOKUP($C159,装備品!$1:$998,COLUMN($O$1),FALSE)*VLOOKUP($D159,素材!$1:$1016,COLUMN($E$1),FALSE)/(LEN(VLOOKUP($D159,素材!$1:$1016,COLUMN($F$1),FALSE))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T159">
        <f>IF(ISNUMBER(SEARCH(SUBSTITUTE(AT$1,RIGHT(AT$1,2),""),VLOOKUP($D159,素材!$1:$1016,COLUMN($F$1),FALSE))),VLOOKUP($C159,装備品!$1:$998,COLUMN($O$1),FALSE)*VLOOKUP($D159,素材!$1:$1016,COLUMN($E$1),FALSE)/(LEN(VLOOKUP($D159,素材!$1:$1016,COLUMN($F$1),FALSE))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U159">
        <f>IF(ISNUMBER(SEARCH(SUBSTITUTE(AU$1,RIGHT(AU$1,2),""),VLOOKUP($D159,素材!$1:$1016,COLUMN($F$1),FALSE))),VLOOKUP($C159,装備品!$1:$998,COLUMN($O$1),FALSE)*VLOOKUP($D159,素材!$1:$1016,COLUMN($E$1),FALSE)/(LEN(VLOOKUP($D159,素材!$1:$1016,COLUMN($F$1),FALSE))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V159">
        <f>IF(ISNUMBER(SEARCH(SUBSTITUTE(AV$1,RIGHT(AV$1,2),""),VLOOKUP($D159,素材!$1:$1016,COLUMN($F$1),FALSE))),VLOOKUP($C159,装備品!$1:$998,COLUMN($O$1),FALSE)*VLOOKUP($D159,素材!$1:$1016,COLUMN($E$1),FALSE)/(LEN(VLOOKUP($D159,素材!$1:$1016,COLUMN($F$1),FALSE))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W159">
        <f>IF(ISNUMBER(SEARCH(SUBSTITUTE(AW$1,RIGHT(AW$1,2),""),VLOOKUP($D159,素材!$1:$1016,COLUMN($F$1),FALSE))),VLOOKUP($C159,装備品!$1:$998,COLUMN($O$1),FALSE)*VLOOKUP($D159,素材!$1:$1016,COLUMN($E$1),FALSE)/(LEN(VLOOKUP($D159,素材!$1:$1016,COLUMN($F$1),FALSE))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X159">
        <f>IF(ISNUMBER(SEARCH(SUBSTITUTE(AX$1,RIGHT(AX$1,2),""),VLOOKUP($D159,素材!$1:$1016,COLUMN($F$1),FALSE))),VLOOKUP($C159,装備品!$1:$998,COLUMN($O$1),FALSE)*VLOOKUP($D159,素材!$1:$1016,COLUMN($E$1),FALSE)/(LEN(VLOOKUP($D159,素材!$1:$1016,COLUMN($F$1),FALSE))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Y159">
        <f>IF(ISNUMBER(SEARCH(SUBSTITUTE(AY$1,RIGHT(AY$1,2),""),VLOOKUP($D159,素材!$1:$1016,COLUMN($F$1),FALSE))),VLOOKUP($C159,装備品!$1:$998,COLUMN($O$1),FALSE)*VLOOKUP($D159,素材!$1:$1016,COLUMN($E$1),FALSE)/(LEN(VLOOKUP($D159,素材!$1:$1016,COLUMN($F$1),FALSE))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Z159">
        <f>IF(ISNUMBER(SEARCH(SUBSTITUTE(AZ$1,RIGHT(AZ$1,2),""),VLOOKUP($D159,素材!$1:$1016,COLUMN($F$1),FALSE))),VLOOKUP($C159,装備品!$1:$998,COLUMN($O$1),FALSE)*VLOOKUP($D159,素材!$1:$1016,COLUMN($E$1),FALSE)/(LEN(VLOOKUP($D159,素材!$1:$1016,COLUMN($F$1),FALSE))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BA159">
        <f>IF(ISNUMBER(SEARCH(SUBSTITUTE(BA$1,RIGHT(BA$1,2),""),VLOOKUP($D159,素材!$1:$1016,COLUMN($F$1),FALSE))),VLOOKUP($C159,装備品!$1:$998,COLUMN($O$1),FALSE)*VLOOKUP($D159,素材!$1:$1016,COLUMN($E$1),FALSE)/(LEN(VLOOKUP($D159,素材!$1:$1016,COLUMN($F$1),FALSE))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BB159">
        <f>IF(ISNUMBER(SEARCH(SUBSTITUTE(BB$1,RIGHT(BB$1,2),""),VLOOKUP($D159,素材!$1:$1016,COLUMN($F$1),FALSE))),VLOOKUP($C159,装備品!$1:$998,COLUMN($O$1),FALSE)*VLOOKUP($D159,素材!$1:$1016,COLUMN($E$1),FALSE)/(LEN(VLOOKUP($D159,素材!$1:$1016,COLUMN($F$1),FALSE))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BC159">
        <f>IF(ISNUMBER(SEARCH(SUBSTITUTE(BC$1,RIGHT(BC$1,2),""),VLOOKUP($D159,素材!$1:$1016,COLUMN($F$1),FALSE))),VLOOKUP($C159,装備品!$1:$998,COLUMN($O$1),FALSE)*VLOOKUP($D159,素材!$1:$1016,COLUMN($E$1),FALSE)/(LEN(VLOOKUP($D159,素材!$1:$1016,COLUMN($F$1),FALSE))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BD159">
        <f>IF(ISNUMBER(SEARCH(SUBSTITUTE(BD$1,RIGHT(BD$1,2),""),VLOOKUP($D159,素材!$1:$1016,COLUMN($F$1),FALSE))),VLOOKUP($C159,装備品!$1:$998,COLUMN($O$1),FALSE)*VLOOKUP($D159,素材!$1:$1016,COLUMN($E$1),FALSE)/(LEN(VLOOKUP($D159,素材!$1:$1016,COLUMN($F$1),FALSE))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BE159">
        <f>IF(ISNUMBER(SEARCH(SUBSTITUTE(BE$1,RIGHT(BE$1,2),""),VLOOKUP($D159,素材!$1:$1016,COLUMN($F$1),FALSE))),VLOOKUP($C159,装備品!$1:$998,COLUMN($O$1),FALSE)*VLOOKUP($D159,素材!$1:$1016,COLUMN($E$1),FALSE)/(LEN(VLOOKUP($D159,素材!$1:$1016,COLUMN($F$1),FALSE))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CL159">
        <f t="shared" si="19"/>
        <v>0</v>
      </c>
      <c r="CM159" s="22" t="e">
        <f t="shared" si="20"/>
        <v>#VALUE!</v>
      </c>
      <c r="CN159" t="str">
        <f>IFERROR(VLOOKUP($C159,装備品!$1:$998,COLUMN(V$1),FALSE)*VLOOKUP($D159,素材!$1:$1016,COLUMN(N$1),FALSE)+IF(CI159="",0,VLOOKUP($CI159,付与!$1:$1176,COLUMN($CK$1),FALSE)),"")</f>
        <v/>
      </c>
      <c r="CO159" t="e">
        <f>VLOOKUP(D159,素材!$A:$O,COLUMN(素材!O$1),FALSE)</f>
        <v>#N/A</v>
      </c>
      <c r="CP159" t="str">
        <f>VLOOKUP(C159,装備品!$A:$AB,COLUMN(装備品!AB$1),FALSE)</f>
        <v>刀。切断力に優れた武器で、Cr威力が高い</v>
      </c>
      <c r="CR159" t="str">
        <f t="shared" si="24"/>
        <v>e_159</v>
      </c>
      <c r="CS159" t="e">
        <f t="shared" si="28"/>
        <v>#VALUE!</v>
      </c>
    </row>
    <row r="160" spans="1:97" outlineLevel="1" x14ac:dyDescent="0.4">
      <c r="A160" t="str">
        <f t="shared" si="33"/>
        <v>黒鋼鉄の剣</v>
      </c>
      <c r="B160" t="str">
        <f>IFERROR(VLOOKUP($D160,素材!$1:$1016,COLUMN($B$1),FALSE)&amp;"・"&amp;VLOOKUP($C160,装備品!$1:$998,COLUMN(B$1),FALSE),"")</f>
        <v/>
      </c>
      <c r="C160" s="24" t="s">
        <v>239</v>
      </c>
      <c r="D160" s="24" t="s">
        <v>243</v>
      </c>
      <c r="E160" t="str">
        <f>IFERROR(VLOOKUP(C160,装備品!$1:$998,COLUMN(C$1),FALSE),"")</f>
        <v>武器</v>
      </c>
      <c r="F160" t="str">
        <f>IFERROR(ROUNDDOWN((VLOOKUP($C160,装備品!$1:$998,COLUMN(D$1),FALSE)+IFERROR(VLOOKUP($CI160,付与!$1:$1167,COLUMN(F$1),FALSE),0))*VLOOKUP($D160,素材!$1:$1016,COLUMN(D$1),FALSE),0),"")</f>
        <v/>
      </c>
      <c r="G160" t="str">
        <f>IFERROR(ROUNDDOWN((VLOOKUP($C160,装備品!$1:$998,COLUMN(E$1),FALSE)+IFERROR(VLOOKUP($CI160,付与!$1:$1167,COLUMN(G$1),FALSE),0))*VLOOKUP($D160,素材!$1:$1016,COLUMN($E$1),FALSE),0),"")</f>
        <v/>
      </c>
      <c r="H160" t="str">
        <f>IFERROR(ROUNDDOWN((VLOOKUP($C160,装備品!$1:$998,COLUMN(F$1),FALSE)+IFERROR(VLOOKUP($CI160,付与!$1:$1167,COLUMN(H$1),FALSE),0))*VLOOKUP($D160,素材!$1:$1016,COLUMN($E$1),FALSE),0),"")</f>
        <v/>
      </c>
      <c r="I160" t="str">
        <f>IFERROR(ROUNDDOWN((VLOOKUP($C160,装備品!$1:$998,COLUMN(G$1),FALSE)+IFERROR(VLOOKUP($CI160,付与!$1:$1167,COLUMN(I$1),FALSE),0))*VLOOKUP($D160,素材!$1:$1016,COLUMN($E$1),FALSE),0),"")</f>
        <v/>
      </c>
      <c r="J160" t="str">
        <f>IFERROR(ROUNDDOWN((VLOOKUP($C160,装備品!$1:$998,COLUMN(H$1),FALSE)+IFERROR(VLOOKUP($CI160,付与!$1:$1167,COLUMN(J$1),FALSE),0))*VLOOKUP($D160,素材!$1:$1016,COLUMN($E$1),FALSE),0),"")</f>
        <v/>
      </c>
      <c r="K160" t="str">
        <f>IFERROR(ROUNDDOWN((VLOOKUP($C160,装備品!$1:$998,COLUMN(I$1),FALSE)+IFERROR(VLOOKUP($CI160,付与!$1:$1167,COLUMN(K$1),FALSE),0))*VLOOKUP($D160,素材!$1:$1016,COLUMN($E$1),FALSE),0),"")</f>
        <v/>
      </c>
      <c r="L160" t="str">
        <f>IFERROR(VLOOKUP($D160,素材!$1:$1016,COLUMN($F$1),FALSE),"")</f>
        <v/>
      </c>
      <c r="M160" t="str">
        <f>IFERROR(VLOOKUP($C160,装備品!$1:$998,COLUMN(AA$1),FALSE)*VLOOKUP($D160,素材!$1:$1016,COLUMN($G$1),FALSE),"")</f>
        <v/>
      </c>
      <c r="N160">
        <f>IFERROR(VLOOKUP($C160,装備品!$1:$998,COLUMN(I$1),FALSE),"")</f>
        <v>0</v>
      </c>
      <c r="O160" s="23" t="str">
        <f>IFERROR((VLOOKUP($C160,装備品!$1:$998,COLUMN(K$1),FALSE)+VLOOKUP($D160,素材!$1:$1016,COLUMN(H$1),FALSE))*100+IFERROR(VLOOKUP($CI160,付与!$1:$1167,COLUMN(O$1),FALSE),0),"")</f>
        <v/>
      </c>
      <c r="P160" s="23" t="str">
        <f>IFERROR((VLOOKUP($C160,装備品!$1:$998,COLUMN(L$1),FALSE)+VLOOKUP($D160,素材!$1:$1016,COLUMN(I$1),FALSE))*100+IFERROR(VLOOKUP($CI160,付与!$1:$1167,COLUMN(P$1),FALSE),0),"")</f>
        <v/>
      </c>
      <c r="Q160" t="str">
        <f>IFERROR(ROUNDUP(VLOOKUP($C160,装備品!$1:$998,COLUMN(M$1),FALSE)*(VLOOKUP($D160,素材!$1:$1002,COLUMN(D$1),FALSE)/100),1),"")</f>
        <v/>
      </c>
      <c r="R160" t="str">
        <f>IFERROR(ROUNDUP(VLOOKUP($C160,装備品!$1:$998,COLUMN(N$1),FALSE)*(VLOOKUP($D160,素材!$1:$1002,COLUMN(D$1),FALSE)/100),1),"")</f>
        <v/>
      </c>
      <c r="S160">
        <f>IFERROR(VLOOKUP($C160,装備品!$1:$998,COLUMN(P$1),FALSE),"")</f>
        <v>0</v>
      </c>
      <c r="T160">
        <f>IFERROR(VLOOKUP($C160,装備品!$1:$998,COLUMN(Q$1),FALSE),"")</f>
        <v>0</v>
      </c>
      <c r="U160">
        <f>IFERROR(VLOOKUP($C160,装備品!$1:$998,COLUMN(R$1),FALSE),"")</f>
        <v>0</v>
      </c>
      <c r="V160">
        <f>IFERROR(VLOOKUP($C160,装備品!$1:$998,COLUMN(Q$1),FALSE),"")</f>
        <v>0</v>
      </c>
      <c r="W160">
        <f>IFERROR(VLOOKUP($C160,装備品!$1:$998,COLUMN(T$1),FALSE),"")</f>
        <v>0</v>
      </c>
      <c r="Y160">
        <f>IFERROR(VLOOKUP($C160,装備品!$1:$998,COLUMN(U$1),FALSE),"")</f>
        <v>0</v>
      </c>
      <c r="Z160" t="str">
        <f>IFERROR(ROUNDUP(VLOOKUP($C160,装備品!$1:$998,COLUMN(O$1),FALSE)*VLOOKUP($D160,素材!$1:$1016,COLUMN(E$1),FALSE),1),"")</f>
        <v/>
      </c>
      <c r="AA160">
        <f>IF(ISNUMBER(SEARCH(SUBSTITUTE(AA$1,RIGHT(AA$1,2),""),VLOOKUP($D160,素材!$1:$1016,COLUMN($F$1),FALSE))),VLOOKUP($C160,装備品!$1:$998,COLUMN($O$1),FALSE)*VLOOKUP($D160,素材!$1:$1016,COLUMN($E$1),FALSE)/(LEN(VLOOKUP($D160,素材!$1:$1016,COLUMN($F$1),FALSE))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B160">
        <f>IF(ISNUMBER(SEARCH(SUBSTITUTE(AB$1,RIGHT(AB$1,2),""),VLOOKUP($D160,素材!$1:$1016,COLUMN($F$1),FALSE))),VLOOKUP($C160,装備品!$1:$998,COLUMN($O$1),FALSE)*VLOOKUP($D160,素材!$1:$1016,COLUMN($E$1),FALSE)/(LEN(VLOOKUP($D160,素材!$1:$1016,COLUMN($F$1),FALSE))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C160">
        <f>IF(ISNUMBER(SEARCH(SUBSTITUTE(AC$1,RIGHT(AC$1,2),""),VLOOKUP($D160,素材!$1:$1016,COLUMN($F$1),FALSE))),VLOOKUP($C160,装備品!$1:$998,COLUMN($O$1),FALSE)*VLOOKUP($D160,素材!$1:$1016,COLUMN($E$1),FALSE)/(LEN(VLOOKUP($D160,素材!$1:$1016,COLUMN($F$1),FALSE))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D160">
        <f>IF(ISNUMBER(SEARCH(SUBSTITUTE(AD$1,RIGHT(AD$1,2),""),VLOOKUP($D160,素材!$1:$1016,COLUMN($F$1),FALSE))),VLOOKUP($C160,装備品!$1:$998,COLUMN($O$1),FALSE)*VLOOKUP($D160,素材!$1:$1016,COLUMN($E$1),FALSE)/(LEN(VLOOKUP($D160,素材!$1:$1016,COLUMN($F$1),FALSE))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E160">
        <f>IF(ISNUMBER(SEARCH(SUBSTITUTE(AE$1,RIGHT(AE$1,2),""),VLOOKUP($D160,素材!$1:$1016,COLUMN($F$1),FALSE))),VLOOKUP($C160,装備品!$1:$998,COLUMN($O$1),FALSE)*VLOOKUP($D160,素材!$1:$1016,COLUMN($E$1),FALSE)/(LEN(VLOOKUP($D160,素材!$1:$1016,COLUMN($F$1),FALSE))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F160">
        <f>IF(ISNUMBER(SEARCH(SUBSTITUTE(AF$1,RIGHT(AF$1,2),""),VLOOKUP($D160,素材!$1:$1016,COLUMN($F$1),FALSE))),VLOOKUP($C160,装備品!$1:$998,COLUMN($O$1),FALSE)*VLOOKUP($D160,素材!$1:$1016,COLUMN($E$1),FALSE)/(LEN(VLOOKUP($D160,素材!$1:$1016,COLUMN($F$1),FALSE))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G160">
        <f>IF(ISNUMBER(SEARCH(SUBSTITUTE(AG$1,RIGHT(AG$1,2),""),VLOOKUP($D160,素材!$1:$1016,COLUMN($F$1),FALSE))),VLOOKUP($C160,装備品!$1:$998,COLUMN($O$1),FALSE)*VLOOKUP($D160,素材!$1:$1016,COLUMN($E$1),FALSE)/(LEN(VLOOKUP($D160,素材!$1:$1016,COLUMN($F$1),FALSE))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H160">
        <f>IF(ISNUMBER(SEARCH(SUBSTITUTE(AH$1,RIGHT(AH$1,2),""),VLOOKUP($D160,素材!$1:$1016,COLUMN($F$1),FALSE))),VLOOKUP($C160,装備品!$1:$998,COLUMN($O$1),FALSE)*VLOOKUP($D160,素材!$1:$1016,COLUMN($E$1),FALSE)/(LEN(VLOOKUP($D160,素材!$1:$1016,COLUMN($F$1),FALSE))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I160">
        <f>IF(ISNUMBER(SEARCH(SUBSTITUTE(AI$1,RIGHT(AI$1,2),""),VLOOKUP($D160,素材!$1:$1016,COLUMN($F$1),FALSE))),VLOOKUP($C160,装備品!$1:$998,COLUMN($O$1),FALSE)*VLOOKUP($D160,素材!$1:$1016,COLUMN($E$1),FALSE)/(LEN(VLOOKUP($D160,素材!$1:$1016,COLUMN($F$1),FALSE))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J160">
        <f>IF(ISNUMBER(SEARCH(SUBSTITUTE(AJ$1,RIGHT(AJ$1,2),""),VLOOKUP($D160,素材!$1:$1016,COLUMN($F$1),FALSE))),VLOOKUP($C160,装備品!$1:$998,COLUMN($O$1),FALSE)*VLOOKUP($D160,素材!$1:$1016,COLUMN($E$1),FALSE)/(LEN(VLOOKUP($D160,素材!$1:$1016,COLUMN($F$1),FALSE))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K160">
        <f>IF(ISNUMBER(SEARCH(SUBSTITUTE(AK$1,RIGHT(AK$1,2),""),VLOOKUP($D160,素材!$1:$1016,COLUMN($F$1),FALSE))),VLOOKUP($C160,装備品!$1:$998,COLUMN($O$1),FALSE)*VLOOKUP($D160,素材!$1:$1016,COLUMN($E$1),FALSE)/(LEN(VLOOKUP($D160,素材!$1:$1016,COLUMN($F$1),FALSE))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L160">
        <f>IF(ISNUMBER(SEARCH(SUBSTITUTE(AL$1,RIGHT(AL$1,2),""),VLOOKUP($D160,素材!$1:$1016,COLUMN($F$1),FALSE))),VLOOKUP($C160,装備品!$1:$998,COLUMN($O$1),FALSE)*VLOOKUP($D160,素材!$1:$1016,COLUMN($E$1),FALSE)/(LEN(VLOOKUP($D160,素材!$1:$1016,COLUMN($F$1),FALSE))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M160">
        <f>IF(ISNUMBER(SEARCH(SUBSTITUTE(AM$1,RIGHT(AM$1,2),""),VLOOKUP($D160,素材!$1:$1016,COLUMN($F$1),FALSE))),VLOOKUP($C160,装備品!$1:$998,COLUMN($O$1),FALSE)*VLOOKUP($D160,素材!$1:$1016,COLUMN($E$1),FALSE)/(LEN(VLOOKUP($D160,素材!$1:$1016,COLUMN($F$1),FALSE))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N160">
        <f>IF(ISNUMBER(SEARCH(SUBSTITUTE(AN$1,RIGHT(AN$1,2),""),VLOOKUP($D160,素材!$1:$1016,COLUMN($F$1),FALSE))),VLOOKUP($C160,装備品!$1:$998,COLUMN($O$1),FALSE)*VLOOKUP($D160,素材!$1:$1016,COLUMN($E$1),FALSE)/(LEN(VLOOKUP($D160,素材!$1:$1016,COLUMN($F$1),FALSE))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O160">
        <f>IF(ISNUMBER(SEARCH(SUBSTITUTE(AO$1,RIGHT(AO$1,2),""),VLOOKUP($D160,素材!$1:$1016,COLUMN($F$1),FALSE))),VLOOKUP($C160,装備品!$1:$998,COLUMN($O$1),FALSE)*VLOOKUP($D160,素材!$1:$1016,COLUMN($E$1),FALSE)/(LEN(VLOOKUP($D160,素材!$1:$1016,COLUMN($F$1),FALSE))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P160">
        <f>IF(ISNUMBER(SEARCH(SUBSTITUTE(AP$1,RIGHT(AP$1,2),""),VLOOKUP($D160,素材!$1:$1016,COLUMN($F$1),FALSE))),VLOOKUP($C160,装備品!$1:$998,COLUMN($O$1),FALSE)*VLOOKUP($D160,素材!$1:$1016,COLUMN($E$1),FALSE)/(LEN(VLOOKUP($D160,素材!$1:$1016,COLUMN($F$1),FALSE))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Q160">
        <f>IF(ISNUMBER(SEARCH(SUBSTITUTE(AQ$1,RIGHT(AQ$1,2),""),VLOOKUP($D160,素材!$1:$1016,COLUMN($F$1),FALSE))),VLOOKUP($C160,装備品!$1:$998,COLUMN($O$1),FALSE)*VLOOKUP($D160,素材!$1:$1016,COLUMN($E$1),FALSE)/(LEN(VLOOKUP($D160,素材!$1:$1016,COLUMN($F$1),FALSE))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R160">
        <f>IF(ISNUMBER(SEARCH(SUBSTITUTE(AR$1,RIGHT(AR$1,2),""),VLOOKUP($D160,素材!$1:$1016,COLUMN($F$1),FALSE))),VLOOKUP($C160,装備品!$1:$998,COLUMN($O$1),FALSE)*VLOOKUP($D160,素材!$1:$1016,COLUMN($E$1),FALSE)/(LEN(VLOOKUP($D160,素材!$1:$1016,COLUMN($F$1),FALSE))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S160">
        <f>IF(ISNUMBER(SEARCH(SUBSTITUTE(AS$1,RIGHT(AS$1,2),""),VLOOKUP($D160,素材!$1:$1016,COLUMN($F$1),FALSE))),VLOOKUP($C160,装備品!$1:$998,COLUMN($O$1),FALSE)*VLOOKUP($D160,素材!$1:$1016,COLUMN($E$1),FALSE)/(LEN(VLOOKUP($D160,素材!$1:$1016,COLUMN($F$1),FALSE))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T160">
        <f>IF(ISNUMBER(SEARCH(SUBSTITUTE(AT$1,RIGHT(AT$1,2),""),VLOOKUP($D160,素材!$1:$1016,COLUMN($F$1),FALSE))),VLOOKUP($C160,装備品!$1:$998,COLUMN($O$1),FALSE)*VLOOKUP($D160,素材!$1:$1016,COLUMN($E$1),FALSE)/(LEN(VLOOKUP($D160,素材!$1:$1016,COLUMN($F$1),FALSE))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U160">
        <f>IF(ISNUMBER(SEARCH(SUBSTITUTE(AU$1,RIGHT(AU$1,2),""),VLOOKUP($D160,素材!$1:$1016,COLUMN($F$1),FALSE))),VLOOKUP($C160,装備品!$1:$998,COLUMN($O$1),FALSE)*VLOOKUP($D160,素材!$1:$1016,COLUMN($E$1),FALSE)/(LEN(VLOOKUP($D160,素材!$1:$1016,COLUMN($F$1),FALSE))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V160">
        <f>IF(ISNUMBER(SEARCH(SUBSTITUTE(AV$1,RIGHT(AV$1,2),""),VLOOKUP($D160,素材!$1:$1016,COLUMN($F$1),FALSE))),VLOOKUP($C160,装備品!$1:$998,COLUMN($O$1),FALSE)*VLOOKUP($D160,素材!$1:$1016,COLUMN($E$1),FALSE)/(LEN(VLOOKUP($D160,素材!$1:$1016,COLUMN($F$1),FALSE))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W160">
        <f>IF(ISNUMBER(SEARCH(SUBSTITUTE(AW$1,RIGHT(AW$1,2),""),VLOOKUP($D160,素材!$1:$1016,COLUMN($F$1),FALSE))),VLOOKUP($C160,装備品!$1:$998,COLUMN($O$1),FALSE)*VLOOKUP($D160,素材!$1:$1016,COLUMN($E$1),FALSE)/(LEN(VLOOKUP($D160,素材!$1:$1016,COLUMN($F$1),FALSE))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X160">
        <f>IF(ISNUMBER(SEARCH(SUBSTITUTE(AX$1,RIGHT(AX$1,2),""),VLOOKUP($D160,素材!$1:$1016,COLUMN($F$1),FALSE))),VLOOKUP($C160,装備品!$1:$998,COLUMN($O$1),FALSE)*VLOOKUP($D160,素材!$1:$1016,COLUMN($E$1),FALSE)/(LEN(VLOOKUP($D160,素材!$1:$1016,COLUMN($F$1),FALSE))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Y160">
        <f>IF(ISNUMBER(SEARCH(SUBSTITUTE(AY$1,RIGHT(AY$1,2),""),VLOOKUP($D160,素材!$1:$1016,COLUMN($F$1),FALSE))),VLOOKUP($C160,装備品!$1:$998,COLUMN($O$1),FALSE)*VLOOKUP($D160,素材!$1:$1016,COLUMN($E$1),FALSE)/(LEN(VLOOKUP($D160,素材!$1:$1016,COLUMN($F$1),FALSE))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Z160">
        <f>IF(ISNUMBER(SEARCH(SUBSTITUTE(AZ$1,RIGHT(AZ$1,2),""),VLOOKUP($D160,素材!$1:$1016,COLUMN($F$1),FALSE))),VLOOKUP($C160,装備品!$1:$998,COLUMN($O$1),FALSE)*VLOOKUP($D160,素材!$1:$1016,COLUMN($E$1),FALSE)/(LEN(VLOOKUP($D160,素材!$1:$1016,COLUMN($F$1),FALSE))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BA160">
        <f>IF(ISNUMBER(SEARCH(SUBSTITUTE(BA$1,RIGHT(BA$1,2),""),VLOOKUP($D160,素材!$1:$1016,COLUMN($F$1),FALSE))),VLOOKUP($C160,装備品!$1:$998,COLUMN($O$1),FALSE)*VLOOKUP($D160,素材!$1:$1016,COLUMN($E$1),FALSE)/(LEN(VLOOKUP($D160,素材!$1:$1016,COLUMN($F$1),FALSE))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BB160">
        <f>IF(ISNUMBER(SEARCH(SUBSTITUTE(BB$1,RIGHT(BB$1,2),""),VLOOKUP($D160,素材!$1:$1016,COLUMN($F$1),FALSE))),VLOOKUP($C160,装備品!$1:$998,COLUMN($O$1),FALSE)*VLOOKUP($D160,素材!$1:$1016,COLUMN($E$1),FALSE)/(LEN(VLOOKUP($D160,素材!$1:$1016,COLUMN($F$1),FALSE))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BC160">
        <f>IF(ISNUMBER(SEARCH(SUBSTITUTE(BC$1,RIGHT(BC$1,2),""),VLOOKUP($D160,素材!$1:$1016,COLUMN($F$1),FALSE))),VLOOKUP($C160,装備品!$1:$998,COLUMN($O$1),FALSE)*VLOOKUP($D160,素材!$1:$1016,COLUMN($E$1),FALSE)/(LEN(VLOOKUP($D160,素材!$1:$1016,COLUMN($F$1),FALSE))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BD160">
        <f>IF(ISNUMBER(SEARCH(SUBSTITUTE(BD$1,RIGHT(BD$1,2),""),VLOOKUP($D160,素材!$1:$1016,COLUMN($F$1),FALSE))),VLOOKUP($C160,装備品!$1:$998,COLUMN($O$1),FALSE)*VLOOKUP($D160,素材!$1:$1016,COLUMN($E$1),FALSE)/(LEN(VLOOKUP($D160,素材!$1:$1016,COLUMN($F$1),FALSE))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BE160">
        <f>IF(ISNUMBER(SEARCH(SUBSTITUTE(BE$1,RIGHT(BE$1,2),""),VLOOKUP($D160,素材!$1:$1016,COLUMN($F$1),FALSE))),VLOOKUP($C160,装備品!$1:$998,COLUMN($O$1),FALSE)*VLOOKUP($D160,素材!$1:$1016,COLUMN($E$1),FALSE)/(LEN(VLOOKUP($D160,素材!$1:$1016,COLUMN($F$1),FALSE))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CL160">
        <f t="shared" si="19"/>
        <v>0</v>
      </c>
      <c r="CM160" s="22" t="e">
        <f t="shared" si="20"/>
        <v>#VALUE!</v>
      </c>
      <c r="CN160" t="str">
        <f>IFERROR(VLOOKUP($C160,装備品!$1:$998,COLUMN(V$1),FALSE)*VLOOKUP($D160,素材!$1:$1016,COLUMN(N$1),FALSE)+IF(CI160="",0,VLOOKUP($CI160,付与!$1:$1176,COLUMN($CK$1),FALSE)),"")</f>
        <v/>
      </c>
      <c r="CO160" t="e">
        <f>VLOOKUP(D160,素材!$A:$O,COLUMN(素材!O$1),FALSE)</f>
        <v>#N/A</v>
      </c>
      <c r="CP160" t="str">
        <f>VLOOKUP(C160,装備品!$A:$AB,COLUMN(装備品!AB$1),FALSE)</f>
        <v>剣。短い剣で片手で扱いやすく、初心者向けの武器。</v>
      </c>
      <c r="CR160" t="str">
        <f t="shared" si="24"/>
        <v>e_160</v>
      </c>
      <c r="CS160" t="e">
        <f t="shared" si="28"/>
        <v>#VALUE!</v>
      </c>
    </row>
    <row r="161" spans="1:97" outlineLevel="1" x14ac:dyDescent="0.4">
      <c r="A161" t="str">
        <f t="shared" si="33"/>
        <v>黒鋼鉄の広剣</v>
      </c>
      <c r="B161" t="str">
        <f>IFERROR(VLOOKUP($D161,素材!$1:$1016,COLUMN($B$1),FALSE)&amp;"・"&amp;VLOOKUP($C161,装備品!$1:$998,COLUMN(B$1),FALSE),"")</f>
        <v/>
      </c>
      <c r="C161" s="24" t="s">
        <v>238</v>
      </c>
      <c r="D161" s="24" t="s">
        <v>243</v>
      </c>
      <c r="E161" t="str">
        <f>IFERROR(VLOOKUP(C161,装備品!$1:$998,COLUMN(C$1),FALSE),"")</f>
        <v>武器</v>
      </c>
      <c r="F161" t="str">
        <f>IFERROR(ROUNDDOWN((VLOOKUP($C161,装備品!$1:$998,COLUMN(D$1),FALSE)+IFERROR(VLOOKUP($CI161,付与!$1:$1167,COLUMN(F$1),FALSE),0))*VLOOKUP($D161,素材!$1:$1016,COLUMN(D$1),FALSE),0),"")</f>
        <v/>
      </c>
      <c r="G161" t="str">
        <f>IFERROR(ROUNDDOWN((VLOOKUP($C161,装備品!$1:$998,COLUMN(E$1),FALSE)+IFERROR(VLOOKUP($CI161,付与!$1:$1167,COLUMN(G$1),FALSE),0))*VLOOKUP($D161,素材!$1:$1016,COLUMN($E$1),FALSE),0),"")</f>
        <v/>
      </c>
      <c r="H161" t="str">
        <f>IFERROR(ROUNDDOWN((VLOOKUP($C161,装備品!$1:$998,COLUMN(F$1),FALSE)+IFERROR(VLOOKUP($CI161,付与!$1:$1167,COLUMN(H$1),FALSE),0))*VLOOKUP($D161,素材!$1:$1016,COLUMN($E$1),FALSE),0),"")</f>
        <v/>
      </c>
      <c r="I161" t="str">
        <f>IFERROR(ROUNDDOWN((VLOOKUP($C161,装備品!$1:$998,COLUMN(G$1),FALSE)+IFERROR(VLOOKUP($CI161,付与!$1:$1167,COLUMN(I$1),FALSE),0))*VLOOKUP($D161,素材!$1:$1016,COLUMN($E$1),FALSE),0),"")</f>
        <v/>
      </c>
      <c r="J161" t="str">
        <f>IFERROR(ROUNDDOWN((VLOOKUP($C161,装備品!$1:$998,COLUMN(H$1),FALSE)+IFERROR(VLOOKUP($CI161,付与!$1:$1167,COLUMN(J$1),FALSE),0))*VLOOKUP($D161,素材!$1:$1016,COLUMN($E$1),FALSE),0),"")</f>
        <v/>
      </c>
      <c r="K161" t="str">
        <f>IFERROR(ROUNDDOWN((VLOOKUP($C161,装備品!$1:$998,COLUMN(I$1),FALSE)+IFERROR(VLOOKUP($CI161,付与!$1:$1167,COLUMN(K$1),FALSE),0))*VLOOKUP($D161,素材!$1:$1016,COLUMN($E$1),FALSE),0),"")</f>
        <v/>
      </c>
      <c r="L161" t="str">
        <f>IFERROR(VLOOKUP($D161,素材!$1:$1016,COLUMN($F$1),FALSE),"")</f>
        <v/>
      </c>
      <c r="M161" t="str">
        <f>IFERROR(VLOOKUP($C161,装備品!$1:$998,COLUMN(AA$1),FALSE)*VLOOKUP($D161,素材!$1:$1016,COLUMN($G$1),FALSE),"")</f>
        <v/>
      </c>
      <c r="N161">
        <f>IFERROR(VLOOKUP($C161,装備品!$1:$998,COLUMN(I$1),FALSE),"")</f>
        <v>0</v>
      </c>
      <c r="O161" s="23" t="str">
        <f>IFERROR((VLOOKUP($C161,装備品!$1:$998,COLUMN(K$1),FALSE)+VLOOKUP($D161,素材!$1:$1016,COLUMN(H$1),FALSE))*100+IFERROR(VLOOKUP($CI161,付与!$1:$1167,COLUMN(O$1),FALSE),0),"")</f>
        <v/>
      </c>
      <c r="P161" s="23" t="str">
        <f>IFERROR((VLOOKUP($C161,装備品!$1:$998,COLUMN(L$1),FALSE)+VLOOKUP($D161,素材!$1:$1016,COLUMN(I$1),FALSE))*100+IFERROR(VLOOKUP($CI161,付与!$1:$1167,COLUMN(P$1),FALSE),0),"")</f>
        <v/>
      </c>
      <c r="Q161" t="str">
        <f>IFERROR(ROUNDUP(VLOOKUP($C161,装備品!$1:$998,COLUMN(M$1),FALSE)*(VLOOKUP($D161,素材!$1:$1002,COLUMN(D$1),FALSE)/100),1),"")</f>
        <v/>
      </c>
      <c r="R161" t="str">
        <f>IFERROR(ROUNDUP(VLOOKUP($C161,装備品!$1:$998,COLUMN(N$1),FALSE)*(VLOOKUP($D161,素材!$1:$1002,COLUMN(D$1),FALSE)/100),1),"")</f>
        <v/>
      </c>
      <c r="S161">
        <f>IFERROR(VLOOKUP($C161,装備品!$1:$998,COLUMN(P$1),FALSE),"")</f>
        <v>0</v>
      </c>
      <c r="T161">
        <f>IFERROR(VLOOKUP($C161,装備品!$1:$998,COLUMN(Q$1),FALSE),"")</f>
        <v>0</v>
      </c>
      <c r="U161">
        <f>IFERROR(VLOOKUP($C161,装備品!$1:$998,COLUMN(R$1),FALSE),"")</f>
        <v>0</v>
      </c>
      <c r="V161">
        <f>IFERROR(VLOOKUP($C161,装備品!$1:$998,COLUMN(Q$1),FALSE),"")</f>
        <v>0</v>
      </c>
      <c r="W161">
        <f>IFERROR(VLOOKUP($C161,装備品!$1:$998,COLUMN(T$1),FALSE),"")</f>
        <v>0</v>
      </c>
      <c r="Y161">
        <f>IFERROR(VLOOKUP($C161,装備品!$1:$998,COLUMN(U$1),FALSE),"")</f>
        <v>0</v>
      </c>
      <c r="Z161" t="str">
        <f>IFERROR(ROUNDUP(VLOOKUP($C161,装備品!$1:$998,COLUMN(O$1),FALSE)*VLOOKUP($D161,素材!$1:$1016,COLUMN(E$1),FALSE),1),"")</f>
        <v/>
      </c>
      <c r="AA161">
        <f>IF(ISNUMBER(SEARCH(SUBSTITUTE(AA$1,RIGHT(AA$1,2),""),VLOOKUP($D161,素材!$1:$1016,COLUMN($F$1),FALSE))),VLOOKUP($C161,装備品!$1:$998,COLUMN($O$1),FALSE)*VLOOKUP($D161,素材!$1:$1016,COLUMN($E$1),FALSE)/(LEN(VLOOKUP($D161,素材!$1:$1016,COLUMN($F$1),FALSE))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B161">
        <f>IF(ISNUMBER(SEARCH(SUBSTITUTE(AB$1,RIGHT(AB$1,2),""),VLOOKUP($D161,素材!$1:$1016,COLUMN($F$1),FALSE))),VLOOKUP($C161,装備品!$1:$998,COLUMN($O$1),FALSE)*VLOOKUP($D161,素材!$1:$1016,COLUMN($E$1),FALSE)/(LEN(VLOOKUP($D161,素材!$1:$1016,COLUMN($F$1),FALSE))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C161">
        <f>IF(ISNUMBER(SEARCH(SUBSTITUTE(AC$1,RIGHT(AC$1,2),""),VLOOKUP($D161,素材!$1:$1016,COLUMN($F$1),FALSE))),VLOOKUP($C161,装備品!$1:$998,COLUMN($O$1),FALSE)*VLOOKUP($D161,素材!$1:$1016,COLUMN($E$1),FALSE)/(LEN(VLOOKUP($D161,素材!$1:$1016,COLUMN($F$1),FALSE))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D161">
        <f>IF(ISNUMBER(SEARCH(SUBSTITUTE(AD$1,RIGHT(AD$1,2),""),VLOOKUP($D161,素材!$1:$1016,COLUMN($F$1),FALSE))),VLOOKUP($C161,装備品!$1:$998,COLUMN($O$1),FALSE)*VLOOKUP($D161,素材!$1:$1016,COLUMN($E$1),FALSE)/(LEN(VLOOKUP($D161,素材!$1:$1016,COLUMN($F$1),FALSE))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E161">
        <f>IF(ISNUMBER(SEARCH(SUBSTITUTE(AE$1,RIGHT(AE$1,2),""),VLOOKUP($D161,素材!$1:$1016,COLUMN($F$1),FALSE))),VLOOKUP($C161,装備品!$1:$998,COLUMN($O$1),FALSE)*VLOOKUP($D161,素材!$1:$1016,COLUMN($E$1),FALSE)/(LEN(VLOOKUP($D161,素材!$1:$1016,COLUMN($F$1),FALSE))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F161">
        <f>IF(ISNUMBER(SEARCH(SUBSTITUTE(AF$1,RIGHT(AF$1,2),""),VLOOKUP($D161,素材!$1:$1016,COLUMN($F$1),FALSE))),VLOOKUP($C161,装備品!$1:$998,COLUMN($O$1),FALSE)*VLOOKUP($D161,素材!$1:$1016,COLUMN($E$1),FALSE)/(LEN(VLOOKUP($D161,素材!$1:$1016,COLUMN($F$1),FALSE))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G161">
        <f>IF(ISNUMBER(SEARCH(SUBSTITUTE(AG$1,RIGHT(AG$1,2),""),VLOOKUP($D161,素材!$1:$1016,COLUMN($F$1),FALSE))),VLOOKUP($C161,装備品!$1:$998,COLUMN($O$1),FALSE)*VLOOKUP($D161,素材!$1:$1016,COLUMN($E$1),FALSE)/(LEN(VLOOKUP($D161,素材!$1:$1016,COLUMN($F$1),FALSE))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H161">
        <f>IF(ISNUMBER(SEARCH(SUBSTITUTE(AH$1,RIGHT(AH$1,2),""),VLOOKUP($D161,素材!$1:$1016,COLUMN($F$1),FALSE))),VLOOKUP($C161,装備品!$1:$998,COLUMN($O$1),FALSE)*VLOOKUP($D161,素材!$1:$1016,COLUMN($E$1),FALSE)/(LEN(VLOOKUP($D161,素材!$1:$1016,COLUMN($F$1),FALSE))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I161">
        <f>IF(ISNUMBER(SEARCH(SUBSTITUTE(AI$1,RIGHT(AI$1,2),""),VLOOKUP($D161,素材!$1:$1016,COLUMN($F$1),FALSE))),VLOOKUP($C161,装備品!$1:$998,COLUMN($O$1),FALSE)*VLOOKUP($D161,素材!$1:$1016,COLUMN($E$1),FALSE)/(LEN(VLOOKUP($D161,素材!$1:$1016,COLUMN($F$1),FALSE))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J161">
        <f>IF(ISNUMBER(SEARCH(SUBSTITUTE(AJ$1,RIGHT(AJ$1,2),""),VLOOKUP($D161,素材!$1:$1016,COLUMN($F$1),FALSE))),VLOOKUP($C161,装備品!$1:$998,COLUMN($O$1),FALSE)*VLOOKUP($D161,素材!$1:$1016,COLUMN($E$1),FALSE)/(LEN(VLOOKUP($D161,素材!$1:$1016,COLUMN($F$1),FALSE))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K161">
        <f>IF(ISNUMBER(SEARCH(SUBSTITUTE(AK$1,RIGHT(AK$1,2),""),VLOOKUP($D161,素材!$1:$1016,COLUMN($F$1),FALSE))),VLOOKUP($C161,装備品!$1:$998,COLUMN($O$1),FALSE)*VLOOKUP($D161,素材!$1:$1016,COLUMN($E$1),FALSE)/(LEN(VLOOKUP($D161,素材!$1:$1016,COLUMN($F$1),FALSE))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L161">
        <f>IF(ISNUMBER(SEARCH(SUBSTITUTE(AL$1,RIGHT(AL$1,2),""),VLOOKUP($D161,素材!$1:$1016,COLUMN($F$1),FALSE))),VLOOKUP($C161,装備品!$1:$998,COLUMN($O$1),FALSE)*VLOOKUP($D161,素材!$1:$1016,COLUMN($E$1),FALSE)/(LEN(VLOOKUP($D161,素材!$1:$1016,COLUMN($F$1),FALSE))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M161">
        <f>IF(ISNUMBER(SEARCH(SUBSTITUTE(AM$1,RIGHT(AM$1,2),""),VLOOKUP($D161,素材!$1:$1016,COLUMN($F$1),FALSE))),VLOOKUP($C161,装備品!$1:$998,COLUMN($O$1),FALSE)*VLOOKUP($D161,素材!$1:$1016,COLUMN($E$1),FALSE)/(LEN(VLOOKUP($D161,素材!$1:$1016,COLUMN($F$1),FALSE))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N161">
        <f>IF(ISNUMBER(SEARCH(SUBSTITUTE(AN$1,RIGHT(AN$1,2),""),VLOOKUP($D161,素材!$1:$1016,COLUMN($F$1),FALSE))),VLOOKUP($C161,装備品!$1:$998,COLUMN($O$1),FALSE)*VLOOKUP($D161,素材!$1:$1016,COLUMN($E$1),FALSE)/(LEN(VLOOKUP($D161,素材!$1:$1016,COLUMN($F$1),FALSE))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O161">
        <f>IF(ISNUMBER(SEARCH(SUBSTITUTE(AO$1,RIGHT(AO$1,2),""),VLOOKUP($D161,素材!$1:$1016,COLUMN($F$1),FALSE))),VLOOKUP($C161,装備品!$1:$998,COLUMN($O$1),FALSE)*VLOOKUP($D161,素材!$1:$1016,COLUMN($E$1),FALSE)/(LEN(VLOOKUP($D161,素材!$1:$1016,COLUMN($F$1),FALSE))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P161">
        <f>IF(ISNUMBER(SEARCH(SUBSTITUTE(AP$1,RIGHT(AP$1,2),""),VLOOKUP($D161,素材!$1:$1016,COLUMN($F$1),FALSE))),VLOOKUP($C161,装備品!$1:$998,COLUMN($O$1),FALSE)*VLOOKUP($D161,素材!$1:$1016,COLUMN($E$1),FALSE)/(LEN(VLOOKUP($D161,素材!$1:$1016,COLUMN($F$1),FALSE))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Q161">
        <f>IF(ISNUMBER(SEARCH(SUBSTITUTE(AQ$1,RIGHT(AQ$1,2),""),VLOOKUP($D161,素材!$1:$1016,COLUMN($F$1),FALSE))),VLOOKUP($C161,装備品!$1:$998,COLUMN($O$1),FALSE)*VLOOKUP($D161,素材!$1:$1016,COLUMN($E$1),FALSE)/(LEN(VLOOKUP($D161,素材!$1:$1016,COLUMN($F$1),FALSE))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R161">
        <f>IF(ISNUMBER(SEARCH(SUBSTITUTE(AR$1,RIGHT(AR$1,2),""),VLOOKUP($D161,素材!$1:$1016,COLUMN($F$1),FALSE))),VLOOKUP($C161,装備品!$1:$998,COLUMN($O$1),FALSE)*VLOOKUP($D161,素材!$1:$1016,COLUMN($E$1),FALSE)/(LEN(VLOOKUP($D161,素材!$1:$1016,COLUMN($F$1),FALSE))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S161">
        <f>IF(ISNUMBER(SEARCH(SUBSTITUTE(AS$1,RIGHT(AS$1,2),""),VLOOKUP($D161,素材!$1:$1016,COLUMN($F$1),FALSE))),VLOOKUP($C161,装備品!$1:$998,COLUMN($O$1),FALSE)*VLOOKUP($D161,素材!$1:$1016,COLUMN($E$1),FALSE)/(LEN(VLOOKUP($D161,素材!$1:$1016,COLUMN($F$1),FALSE))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T161">
        <f>IF(ISNUMBER(SEARCH(SUBSTITUTE(AT$1,RIGHT(AT$1,2),""),VLOOKUP($D161,素材!$1:$1016,COLUMN($F$1),FALSE))),VLOOKUP($C161,装備品!$1:$998,COLUMN($O$1),FALSE)*VLOOKUP($D161,素材!$1:$1016,COLUMN($E$1),FALSE)/(LEN(VLOOKUP($D161,素材!$1:$1016,COLUMN($F$1),FALSE))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U161">
        <f>IF(ISNUMBER(SEARCH(SUBSTITUTE(AU$1,RIGHT(AU$1,2),""),VLOOKUP($D161,素材!$1:$1016,COLUMN($F$1),FALSE))),VLOOKUP($C161,装備品!$1:$998,COLUMN($O$1),FALSE)*VLOOKUP($D161,素材!$1:$1016,COLUMN($E$1),FALSE)/(LEN(VLOOKUP($D161,素材!$1:$1016,COLUMN($F$1),FALSE))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V161">
        <f>IF(ISNUMBER(SEARCH(SUBSTITUTE(AV$1,RIGHT(AV$1,2),""),VLOOKUP($D161,素材!$1:$1016,COLUMN($F$1),FALSE))),VLOOKUP($C161,装備品!$1:$998,COLUMN($O$1),FALSE)*VLOOKUP($D161,素材!$1:$1016,COLUMN($E$1),FALSE)/(LEN(VLOOKUP($D161,素材!$1:$1016,COLUMN($F$1),FALSE))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W161">
        <f>IF(ISNUMBER(SEARCH(SUBSTITUTE(AW$1,RIGHT(AW$1,2),""),VLOOKUP($D161,素材!$1:$1016,COLUMN($F$1),FALSE))),VLOOKUP($C161,装備品!$1:$998,COLUMN($O$1),FALSE)*VLOOKUP($D161,素材!$1:$1016,COLUMN($E$1),FALSE)/(LEN(VLOOKUP($D161,素材!$1:$1016,COLUMN($F$1),FALSE))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X161">
        <f>IF(ISNUMBER(SEARCH(SUBSTITUTE(AX$1,RIGHT(AX$1,2),""),VLOOKUP($D161,素材!$1:$1016,COLUMN($F$1),FALSE))),VLOOKUP($C161,装備品!$1:$998,COLUMN($O$1),FALSE)*VLOOKUP($D161,素材!$1:$1016,COLUMN($E$1),FALSE)/(LEN(VLOOKUP($D161,素材!$1:$1016,COLUMN($F$1),FALSE))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Y161">
        <f>IF(ISNUMBER(SEARCH(SUBSTITUTE(AY$1,RIGHT(AY$1,2),""),VLOOKUP($D161,素材!$1:$1016,COLUMN($F$1),FALSE))),VLOOKUP($C161,装備品!$1:$998,COLUMN($O$1),FALSE)*VLOOKUP($D161,素材!$1:$1016,COLUMN($E$1),FALSE)/(LEN(VLOOKUP($D161,素材!$1:$1016,COLUMN($F$1),FALSE))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Z161">
        <f>IF(ISNUMBER(SEARCH(SUBSTITUTE(AZ$1,RIGHT(AZ$1,2),""),VLOOKUP($D161,素材!$1:$1016,COLUMN($F$1),FALSE))),VLOOKUP($C161,装備品!$1:$998,COLUMN($O$1),FALSE)*VLOOKUP($D161,素材!$1:$1016,COLUMN($E$1),FALSE)/(LEN(VLOOKUP($D161,素材!$1:$1016,COLUMN($F$1),FALSE))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BA161">
        <f>IF(ISNUMBER(SEARCH(SUBSTITUTE(BA$1,RIGHT(BA$1,2),""),VLOOKUP($D161,素材!$1:$1016,COLUMN($F$1),FALSE))),VLOOKUP($C161,装備品!$1:$998,COLUMN($O$1),FALSE)*VLOOKUP($D161,素材!$1:$1016,COLUMN($E$1),FALSE)/(LEN(VLOOKUP($D161,素材!$1:$1016,COLUMN($F$1),FALSE))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BB161">
        <f>IF(ISNUMBER(SEARCH(SUBSTITUTE(BB$1,RIGHT(BB$1,2),""),VLOOKUP($D161,素材!$1:$1016,COLUMN($F$1),FALSE))),VLOOKUP($C161,装備品!$1:$998,COLUMN($O$1),FALSE)*VLOOKUP($D161,素材!$1:$1016,COLUMN($E$1),FALSE)/(LEN(VLOOKUP($D161,素材!$1:$1016,COLUMN($F$1),FALSE))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BC161">
        <f>IF(ISNUMBER(SEARCH(SUBSTITUTE(BC$1,RIGHT(BC$1,2),""),VLOOKUP($D161,素材!$1:$1016,COLUMN($F$1),FALSE))),VLOOKUP($C161,装備品!$1:$998,COLUMN($O$1),FALSE)*VLOOKUP($D161,素材!$1:$1016,COLUMN($E$1),FALSE)/(LEN(VLOOKUP($D161,素材!$1:$1016,COLUMN($F$1),FALSE))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BD161">
        <f>IF(ISNUMBER(SEARCH(SUBSTITUTE(BD$1,RIGHT(BD$1,2),""),VLOOKUP($D161,素材!$1:$1016,COLUMN($F$1),FALSE))),VLOOKUP($C161,装備品!$1:$998,COLUMN($O$1),FALSE)*VLOOKUP($D161,素材!$1:$1016,COLUMN($E$1),FALSE)/(LEN(VLOOKUP($D161,素材!$1:$1016,COLUMN($F$1),FALSE))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BE161">
        <f>IF(ISNUMBER(SEARCH(SUBSTITUTE(BE$1,RIGHT(BE$1,2),""),VLOOKUP($D161,素材!$1:$1016,COLUMN($F$1),FALSE))),VLOOKUP($C161,装備品!$1:$998,COLUMN($O$1),FALSE)*VLOOKUP($D161,素材!$1:$1016,COLUMN($E$1),FALSE)/(LEN(VLOOKUP($D161,素材!$1:$1016,COLUMN($F$1),FALSE))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CL161">
        <f t="shared" si="19"/>
        <v>0</v>
      </c>
      <c r="CM161" s="22" t="e">
        <f t="shared" si="20"/>
        <v>#VALUE!</v>
      </c>
      <c r="CN161" t="str">
        <f>IFERROR(VLOOKUP($C161,装備品!$1:$998,COLUMN(V$1),FALSE)*VLOOKUP($D161,素材!$1:$1016,COLUMN(N$1),FALSE)+IF(CI161="",0,VLOOKUP($CI161,付与!$1:$1176,COLUMN($CK$1),FALSE)),"")</f>
        <v/>
      </c>
      <c r="CO161" t="e">
        <f>VLOOKUP(D161,素材!$A:$O,COLUMN(素材!O$1),FALSE)</f>
        <v>#N/A</v>
      </c>
      <c r="CP161" t="str">
        <f>VLOOKUP(C161,装備品!$A:$AB,COLUMN(装備品!AB$1),FALSE)</f>
        <v>幅の広い剣。扱いにくいが攻撃と防御にも優れている。状況に合わせて立ち回ろう。</v>
      </c>
      <c r="CR161" t="str">
        <f t="shared" si="24"/>
        <v>e_161</v>
      </c>
      <c r="CS161" t="e">
        <f t="shared" si="28"/>
        <v>#VALUE!</v>
      </c>
    </row>
    <row r="162" spans="1:97" outlineLevel="1" x14ac:dyDescent="0.4">
      <c r="A162" t="str">
        <f t="shared" si="33"/>
        <v>黒鋼鉄の長剣</v>
      </c>
      <c r="B162" t="str">
        <f>IFERROR(VLOOKUP($D162,素材!$1:$1016,COLUMN($B$1),FALSE)&amp;"・"&amp;VLOOKUP($C162,装備品!$1:$998,COLUMN(B$1),FALSE),"")</f>
        <v/>
      </c>
      <c r="C162" s="24" t="s">
        <v>237</v>
      </c>
      <c r="D162" s="24" t="s">
        <v>243</v>
      </c>
      <c r="E162" t="str">
        <f>IFERROR(VLOOKUP(C162,装備品!$1:$998,COLUMN(C$1),FALSE),"")</f>
        <v>武器</v>
      </c>
      <c r="F162" t="str">
        <f>IFERROR(ROUNDDOWN((VLOOKUP($C162,装備品!$1:$998,COLUMN(D$1),FALSE)+IFERROR(VLOOKUP($CI162,付与!$1:$1167,COLUMN(F$1),FALSE),0))*VLOOKUP($D162,素材!$1:$1016,COLUMN(D$1),FALSE),0),"")</f>
        <v/>
      </c>
      <c r="G162" t="str">
        <f>IFERROR(ROUNDDOWN((VLOOKUP($C162,装備品!$1:$998,COLUMN(E$1),FALSE)+IFERROR(VLOOKUP($CI162,付与!$1:$1167,COLUMN(G$1),FALSE),0))*VLOOKUP($D162,素材!$1:$1016,COLUMN($E$1),FALSE),0),"")</f>
        <v/>
      </c>
      <c r="H162" t="str">
        <f>IFERROR(ROUNDDOWN((VLOOKUP($C162,装備品!$1:$998,COLUMN(F$1),FALSE)+IFERROR(VLOOKUP($CI162,付与!$1:$1167,COLUMN(H$1),FALSE),0))*VLOOKUP($D162,素材!$1:$1016,COLUMN($E$1),FALSE),0),"")</f>
        <v/>
      </c>
      <c r="I162" t="str">
        <f>IFERROR(ROUNDDOWN((VLOOKUP($C162,装備品!$1:$998,COLUMN(G$1),FALSE)+IFERROR(VLOOKUP($CI162,付与!$1:$1167,COLUMN(I$1),FALSE),0))*VLOOKUP($D162,素材!$1:$1016,COLUMN($E$1),FALSE),0),"")</f>
        <v/>
      </c>
      <c r="J162" t="str">
        <f>IFERROR(ROUNDDOWN((VLOOKUP($C162,装備品!$1:$998,COLUMN(H$1),FALSE)+IFERROR(VLOOKUP($CI162,付与!$1:$1167,COLUMN(J$1),FALSE),0))*VLOOKUP($D162,素材!$1:$1016,COLUMN($E$1),FALSE),0),"")</f>
        <v/>
      </c>
      <c r="K162" t="str">
        <f>IFERROR(ROUNDDOWN((VLOOKUP($C162,装備品!$1:$998,COLUMN(I$1),FALSE)+IFERROR(VLOOKUP($CI162,付与!$1:$1167,COLUMN(K$1),FALSE),0))*VLOOKUP($D162,素材!$1:$1016,COLUMN($E$1),FALSE),0),"")</f>
        <v/>
      </c>
      <c r="L162" t="str">
        <f>IFERROR(VLOOKUP($D162,素材!$1:$1016,COLUMN($F$1),FALSE),"")</f>
        <v/>
      </c>
      <c r="M162" t="str">
        <f>IFERROR(VLOOKUP($C162,装備品!$1:$998,COLUMN(AA$1),FALSE)*VLOOKUP($D162,素材!$1:$1016,COLUMN($G$1),FALSE),"")</f>
        <v/>
      </c>
      <c r="N162">
        <f>IFERROR(VLOOKUP($C162,装備品!$1:$998,COLUMN(I$1),FALSE),"")</f>
        <v>0</v>
      </c>
      <c r="O162" s="23" t="str">
        <f>IFERROR((VLOOKUP($C162,装備品!$1:$998,COLUMN(K$1),FALSE)+VLOOKUP($D162,素材!$1:$1016,COLUMN(H$1),FALSE))*100+IFERROR(VLOOKUP($CI162,付与!$1:$1167,COLUMN(O$1),FALSE),0),"")</f>
        <v/>
      </c>
      <c r="P162" s="23" t="str">
        <f>IFERROR((VLOOKUP($C162,装備品!$1:$998,COLUMN(L$1),FALSE)+VLOOKUP($D162,素材!$1:$1016,COLUMN(I$1),FALSE))*100+IFERROR(VLOOKUP($CI162,付与!$1:$1167,COLUMN(P$1),FALSE),0),"")</f>
        <v/>
      </c>
      <c r="Q162" t="str">
        <f>IFERROR(ROUNDUP(VLOOKUP($C162,装備品!$1:$998,COLUMN(M$1),FALSE)*(VLOOKUP($D162,素材!$1:$1002,COLUMN(D$1),FALSE)/100),1),"")</f>
        <v/>
      </c>
      <c r="R162" t="str">
        <f>IFERROR(ROUNDUP(VLOOKUP($C162,装備品!$1:$998,COLUMN(N$1),FALSE)*(VLOOKUP($D162,素材!$1:$1002,COLUMN(D$1),FALSE)/100),1),"")</f>
        <v/>
      </c>
      <c r="S162">
        <f>IFERROR(VLOOKUP($C162,装備品!$1:$998,COLUMN(P$1),FALSE),"")</f>
        <v>0</v>
      </c>
      <c r="T162">
        <f>IFERROR(VLOOKUP($C162,装備品!$1:$998,COLUMN(Q$1),FALSE),"")</f>
        <v>0</v>
      </c>
      <c r="U162">
        <f>IFERROR(VLOOKUP($C162,装備品!$1:$998,COLUMN(R$1),FALSE),"")</f>
        <v>0</v>
      </c>
      <c r="V162">
        <f>IFERROR(VLOOKUP($C162,装備品!$1:$998,COLUMN(Q$1),FALSE),"")</f>
        <v>0</v>
      </c>
      <c r="W162">
        <f>IFERROR(VLOOKUP($C162,装備品!$1:$998,COLUMN(T$1),FALSE),"")</f>
        <v>0</v>
      </c>
      <c r="Y162">
        <f>IFERROR(VLOOKUP($C162,装備品!$1:$998,COLUMN(U$1),FALSE),"")</f>
        <v>0</v>
      </c>
      <c r="Z162" t="str">
        <f>IFERROR(ROUNDUP(VLOOKUP($C162,装備品!$1:$998,COLUMN(O$1),FALSE)*VLOOKUP($D162,素材!$1:$1016,COLUMN(E$1),FALSE),1),"")</f>
        <v/>
      </c>
      <c r="AA162">
        <f>IF(ISNUMBER(SEARCH(SUBSTITUTE(AA$1,RIGHT(AA$1,2),""),VLOOKUP($D162,素材!$1:$1016,COLUMN($F$1),FALSE))),VLOOKUP($C162,装備品!$1:$998,COLUMN($O$1),FALSE)*VLOOKUP($D162,素材!$1:$1016,COLUMN($E$1),FALSE)/(LEN(VLOOKUP($D162,素材!$1:$1016,COLUMN($F$1),FALSE))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B162">
        <f>IF(ISNUMBER(SEARCH(SUBSTITUTE(AB$1,RIGHT(AB$1,2),""),VLOOKUP($D162,素材!$1:$1016,COLUMN($F$1),FALSE))),VLOOKUP($C162,装備品!$1:$998,COLUMN($O$1),FALSE)*VLOOKUP($D162,素材!$1:$1016,COLUMN($E$1),FALSE)/(LEN(VLOOKUP($D162,素材!$1:$1016,COLUMN($F$1),FALSE))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C162">
        <f>IF(ISNUMBER(SEARCH(SUBSTITUTE(AC$1,RIGHT(AC$1,2),""),VLOOKUP($D162,素材!$1:$1016,COLUMN($F$1),FALSE))),VLOOKUP($C162,装備品!$1:$998,COLUMN($O$1),FALSE)*VLOOKUP($D162,素材!$1:$1016,COLUMN($E$1),FALSE)/(LEN(VLOOKUP($D162,素材!$1:$1016,COLUMN($F$1),FALSE))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D162">
        <f>IF(ISNUMBER(SEARCH(SUBSTITUTE(AD$1,RIGHT(AD$1,2),""),VLOOKUP($D162,素材!$1:$1016,COLUMN($F$1),FALSE))),VLOOKUP($C162,装備品!$1:$998,COLUMN($O$1),FALSE)*VLOOKUP($D162,素材!$1:$1016,COLUMN($E$1),FALSE)/(LEN(VLOOKUP($D162,素材!$1:$1016,COLUMN($F$1),FALSE))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E162">
        <f>IF(ISNUMBER(SEARCH(SUBSTITUTE(AE$1,RIGHT(AE$1,2),""),VLOOKUP($D162,素材!$1:$1016,COLUMN($F$1),FALSE))),VLOOKUP($C162,装備品!$1:$998,COLUMN($O$1),FALSE)*VLOOKUP($D162,素材!$1:$1016,COLUMN($E$1),FALSE)/(LEN(VLOOKUP($D162,素材!$1:$1016,COLUMN($F$1),FALSE))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F162">
        <f>IF(ISNUMBER(SEARCH(SUBSTITUTE(AF$1,RIGHT(AF$1,2),""),VLOOKUP($D162,素材!$1:$1016,COLUMN($F$1),FALSE))),VLOOKUP($C162,装備品!$1:$998,COLUMN($O$1),FALSE)*VLOOKUP($D162,素材!$1:$1016,COLUMN($E$1),FALSE)/(LEN(VLOOKUP($D162,素材!$1:$1016,COLUMN($F$1),FALSE))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G162">
        <f>IF(ISNUMBER(SEARCH(SUBSTITUTE(AG$1,RIGHT(AG$1,2),""),VLOOKUP($D162,素材!$1:$1016,COLUMN($F$1),FALSE))),VLOOKUP($C162,装備品!$1:$998,COLUMN($O$1),FALSE)*VLOOKUP($D162,素材!$1:$1016,COLUMN($E$1),FALSE)/(LEN(VLOOKUP($D162,素材!$1:$1016,COLUMN($F$1),FALSE))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H162">
        <f>IF(ISNUMBER(SEARCH(SUBSTITUTE(AH$1,RIGHT(AH$1,2),""),VLOOKUP($D162,素材!$1:$1016,COLUMN($F$1),FALSE))),VLOOKUP($C162,装備品!$1:$998,COLUMN($O$1),FALSE)*VLOOKUP($D162,素材!$1:$1016,COLUMN($E$1),FALSE)/(LEN(VLOOKUP($D162,素材!$1:$1016,COLUMN($F$1),FALSE))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I162">
        <f>IF(ISNUMBER(SEARCH(SUBSTITUTE(AI$1,RIGHT(AI$1,2),""),VLOOKUP($D162,素材!$1:$1016,COLUMN($F$1),FALSE))),VLOOKUP($C162,装備品!$1:$998,COLUMN($O$1),FALSE)*VLOOKUP($D162,素材!$1:$1016,COLUMN($E$1),FALSE)/(LEN(VLOOKUP($D162,素材!$1:$1016,COLUMN($F$1),FALSE))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J162">
        <f>IF(ISNUMBER(SEARCH(SUBSTITUTE(AJ$1,RIGHT(AJ$1,2),""),VLOOKUP($D162,素材!$1:$1016,COLUMN($F$1),FALSE))),VLOOKUP($C162,装備品!$1:$998,COLUMN($O$1),FALSE)*VLOOKUP($D162,素材!$1:$1016,COLUMN($E$1),FALSE)/(LEN(VLOOKUP($D162,素材!$1:$1016,COLUMN($F$1),FALSE))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K162">
        <f>IF(ISNUMBER(SEARCH(SUBSTITUTE(AK$1,RIGHT(AK$1,2),""),VLOOKUP($D162,素材!$1:$1016,COLUMN($F$1),FALSE))),VLOOKUP($C162,装備品!$1:$998,COLUMN($O$1),FALSE)*VLOOKUP($D162,素材!$1:$1016,COLUMN($E$1),FALSE)/(LEN(VLOOKUP($D162,素材!$1:$1016,COLUMN($F$1),FALSE))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L162">
        <f>IF(ISNUMBER(SEARCH(SUBSTITUTE(AL$1,RIGHT(AL$1,2),""),VLOOKUP($D162,素材!$1:$1016,COLUMN($F$1),FALSE))),VLOOKUP($C162,装備品!$1:$998,COLUMN($O$1),FALSE)*VLOOKUP($D162,素材!$1:$1016,COLUMN($E$1),FALSE)/(LEN(VLOOKUP($D162,素材!$1:$1016,COLUMN($F$1),FALSE))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M162">
        <f>IF(ISNUMBER(SEARCH(SUBSTITUTE(AM$1,RIGHT(AM$1,2),""),VLOOKUP($D162,素材!$1:$1016,COLUMN($F$1),FALSE))),VLOOKUP($C162,装備品!$1:$998,COLUMN($O$1),FALSE)*VLOOKUP($D162,素材!$1:$1016,COLUMN($E$1),FALSE)/(LEN(VLOOKUP($D162,素材!$1:$1016,COLUMN($F$1),FALSE))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N162">
        <f>IF(ISNUMBER(SEARCH(SUBSTITUTE(AN$1,RIGHT(AN$1,2),""),VLOOKUP($D162,素材!$1:$1016,COLUMN($F$1),FALSE))),VLOOKUP($C162,装備品!$1:$998,COLUMN($O$1),FALSE)*VLOOKUP($D162,素材!$1:$1016,COLUMN($E$1),FALSE)/(LEN(VLOOKUP($D162,素材!$1:$1016,COLUMN($F$1),FALSE))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O162">
        <f>IF(ISNUMBER(SEARCH(SUBSTITUTE(AO$1,RIGHT(AO$1,2),""),VLOOKUP($D162,素材!$1:$1016,COLUMN($F$1),FALSE))),VLOOKUP($C162,装備品!$1:$998,COLUMN($O$1),FALSE)*VLOOKUP($D162,素材!$1:$1016,COLUMN($E$1),FALSE)/(LEN(VLOOKUP($D162,素材!$1:$1016,COLUMN($F$1),FALSE))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P162">
        <f>IF(ISNUMBER(SEARCH(SUBSTITUTE(AP$1,RIGHT(AP$1,2),""),VLOOKUP($D162,素材!$1:$1016,COLUMN($F$1),FALSE))),VLOOKUP($C162,装備品!$1:$998,COLUMN($O$1),FALSE)*VLOOKUP($D162,素材!$1:$1016,COLUMN($E$1),FALSE)/(LEN(VLOOKUP($D162,素材!$1:$1016,COLUMN($F$1),FALSE))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Q162">
        <f>IF(ISNUMBER(SEARCH(SUBSTITUTE(AQ$1,RIGHT(AQ$1,2),""),VLOOKUP($D162,素材!$1:$1016,COLUMN($F$1),FALSE))),VLOOKUP($C162,装備品!$1:$998,COLUMN($O$1),FALSE)*VLOOKUP($D162,素材!$1:$1016,COLUMN($E$1),FALSE)/(LEN(VLOOKUP($D162,素材!$1:$1016,COLUMN($F$1),FALSE))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R162">
        <f>IF(ISNUMBER(SEARCH(SUBSTITUTE(AR$1,RIGHT(AR$1,2),""),VLOOKUP($D162,素材!$1:$1016,COLUMN($F$1),FALSE))),VLOOKUP($C162,装備品!$1:$998,COLUMN($O$1),FALSE)*VLOOKUP($D162,素材!$1:$1016,COLUMN($E$1),FALSE)/(LEN(VLOOKUP($D162,素材!$1:$1016,COLUMN($F$1),FALSE))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S162">
        <f>IF(ISNUMBER(SEARCH(SUBSTITUTE(AS$1,RIGHT(AS$1,2),""),VLOOKUP($D162,素材!$1:$1016,COLUMN($F$1),FALSE))),VLOOKUP($C162,装備品!$1:$998,COLUMN($O$1),FALSE)*VLOOKUP($D162,素材!$1:$1016,COLUMN($E$1),FALSE)/(LEN(VLOOKUP($D162,素材!$1:$1016,COLUMN($F$1),FALSE))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T162">
        <f>IF(ISNUMBER(SEARCH(SUBSTITUTE(AT$1,RIGHT(AT$1,2),""),VLOOKUP($D162,素材!$1:$1016,COLUMN($F$1),FALSE))),VLOOKUP($C162,装備品!$1:$998,COLUMN($O$1),FALSE)*VLOOKUP($D162,素材!$1:$1016,COLUMN($E$1),FALSE)/(LEN(VLOOKUP($D162,素材!$1:$1016,COLUMN($F$1),FALSE))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U162">
        <f>IF(ISNUMBER(SEARCH(SUBSTITUTE(AU$1,RIGHT(AU$1,2),""),VLOOKUP($D162,素材!$1:$1016,COLUMN($F$1),FALSE))),VLOOKUP($C162,装備品!$1:$998,COLUMN($O$1),FALSE)*VLOOKUP($D162,素材!$1:$1016,COLUMN($E$1),FALSE)/(LEN(VLOOKUP($D162,素材!$1:$1016,COLUMN($F$1),FALSE))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V162">
        <f>IF(ISNUMBER(SEARCH(SUBSTITUTE(AV$1,RIGHT(AV$1,2),""),VLOOKUP($D162,素材!$1:$1016,COLUMN($F$1),FALSE))),VLOOKUP($C162,装備品!$1:$998,COLUMN($O$1),FALSE)*VLOOKUP($D162,素材!$1:$1016,COLUMN($E$1),FALSE)/(LEN(VLOOKUP($D162,素材!$1:$1016,COLUMN($F$1),FALSE))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W162">
        <f>IF(ISNUMBER(SEARCH(SUBSTITUTE(AW$1,RIGHT(AW$1,2),""),VLOOKUP($D162,素材!$1:$1016,COLUMN($F$1),FALSE))),VLOOKUP($C162,装備品!$1:$998,COLUMN($O$1),FALSE)*VLOOKUP($D162,素材!$1:$1016,COLUMN($E$1),FALSE)/(LEN(VLOOKUP($D162,素材!$1:$1016,COLUMN($F$1),FALSE))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X162">
        <f>IF(ISNUMBER(SEARCH(SUBSTITUTE(AX$1,RIGHT(AX$1,2),""),VLOOKUP($D162,素材!$1:$1016,COLUMN($F$1),FALSE))),VLOOKUP($C162,装備品!$1:$998,COLUMN($O$1),FALSE)*VLOOKUP($D162,素材!$1:$1016,COLUMN($E$1),FALSE)/(LEN(VLOOKUP($D162,素材!$1:$1016,COLUMN($F$1),FALSE))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Y162">
        <f>IF(ISNUMBER(SEARCH(SUBSTITUTE(AY$1,RIGHT(AY$1,2),""),VLOOKUP($D162,素材!$1:$1016,COLUMN($F$1),FALSE))),VLOOKUP($C162,装備品!$1:$998,COLUMN($O$1),FALSE)*VLOOKUP($D162,素材!$1:$1016,COLUMN($E$1),FALSE)/(LEN(VLOOKUP($D162,素材!$1:$1016,COLUMN($F$1),FALSE))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Z162">
        <f>IF(ISNUMBER(SEARCH(SUBSTITUTE(AZ$1,RIGHT(AZ$1,2),""),VLOOKUP($D162,素材!$1:$1016,COLUMN($F$1),FALSE))),VLOOKUP($C162,装備品!$1:$998,COLUMN($O$1),FALSE)*VLOOKUP($D162,素材!$1:$1016,COLUMN($E$1),FALSE)/(LEN(VLOOKUP($D162,素材!$1:$1016,COLUMN($F$1),FALSE))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BA162">
        <f>IF(ISNUMBER(SEARCH(SUBSTITUTE(BA$1,RIGHT(BA$1,2),""),VLOOKUP($D162,素材!$1:$1016,COLUMN($F$1),FALSE))),VLOOKUP($C162,装備品!$1:$998,COLUMN($O$1),FALSE)*VLOOKUP($D162,素材!$1:$1016,COLUMN($E$1),FALSE)/(LEN(VLOOKUP($D162,素材!$1:$1016,COLUMN($F$1),FALSE))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BB162">
        <f>IF(ISNUMBER(SEARCH(SUBSTITUTE(BB$1,RIGHT(BB$1,2),""),VLOOKUP($D162,素材!$1:$1016,COLUMN($F$1),FALSE))),VLOOKUP($C162,装備品!$1:$998,COLUMN($O$1),FALSE)*VLOOKUP($D162,素材!$1:$1016,COLUMN($E$1),FALSE)/(LEN(VLOOKUP($D162,素材!$1:$1016,COLUMN($F$1),FALSE))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BC162">
        <f>IF(ISNUMBER(SEARCH(SUBSTITUTE(BC$1,RIGHT(BC$1,2),""),VLOOKUP($D162,素材!$1:$1016,COLUMN($F$1),FALSE))),VLOOKUP($C162,装備品!$1:$998,COLUMN($O$1),FALSE)*VLOOKUP($D162,素材!$1:$1016,COLUMN($E$1),FALSE)/(LEN(VLOOKUP($D162,素材!$1:$1016,COLUMN($F$1),FALSE))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BD162">
        <f>IF(ISNUMBER(SEARCH(SUBSTITUTE(BD$1,RIGHT(BD$1,2),""),VLOOKUP($D162,素材!$1:$1016,COLUMN($F$1),FALSE))),VLOOKUP($C162,装備品!$1:$998,COLUMN($O$1),FALSE)*VLOOKUP($D162,素材!$1:$1016,COLUMN($E$1),FALSE)/(LEN(VLOOKUP($D162,素材!$1:$1016,COLUMN($F$1),FALSE))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BE162">
        <f>IF(ISNUMBER(SEARCH(SUBSTITUTE(BE$1,RIGHT(BE$1,2),""),VLOOKUP($D162,素材!$1:$1016,COLUMN($F$1),FALSE))),VLOOKUP($C162,装備品!$1:$998,COLUMN($O$1),FALSE)*VLOOKUP($D162,素材!$1:$1016,COLUMN($E$1),FALSE)/(LEN(VLOOKUP($D162,素材!$1:$1016,COLUMN($F$1),FALSE))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CL162">
        <f t="shared" si="19"/>
        <v>0</v>
      </c>
      <c r="CM162" s="22" t="e">
        <f t="shared" si="20"/>
        <v>#VALUE!</v>
      </c>
      <c r="CN162" t="str">
        <f>IFERROR(VLOOKUP($C162,装備品!$1:$998,COLUMN(V$1),FALSE)*VLOOKUP($D162,素材!$1:$1016,COLUMN(N$1),FALSE)+IF(CI162="",0,VLOOKUP($CI162,付与!$1:$1176,COLUMN($CK$1),FALSE)),"")</f>
        <v/>
      </c>
      <c r="CO162" t="e">
        <f>VLOOKUP(D162,素材!$A:$O,COLUMN(素材!O$1),FALSE)</f>
        <v>#N/A</v>
      </c>
      <c r="CP162" t="str">
        <f>VLOOKUP(C162,装備品!$A:$AB,COLUMN(装備品!AB$1),FALSE)</f>
        <v>長剣。長く重い分扱いにくいが威力が高い。</v>
      </c>
      <c r="CR162" t="str">
        <f t="shared" si="24"/>
        <v>e_162</v>
      </c>
      <c r="CS162" t="e">
        <f t="shared" si="28"/>
        <v>#VALUE!</v>
      </c>
    </row>
    <row r="163" spans="1:97" outlineLevel="1" x14ac:dyDescent="0.4">
      <c r="A163" t="str">
        <f t="shared" si="33"/>
        <v>黒鋼鉄の大剣</v>
      </c>
      <c r="B163" t="str">
        <f>IFERROR(VLOOKUP($D163,素材!$1:$1016,COLUMN($B$1),FALSE)&amp;"・"&amp;VLOOKUP($C163,装備品!$1:$998,COLUMN(B$1),FALSE),"")</f>
        <v/>
      </c>
      <c r="C163" s="24" t="s">
        <v>236</v>
      </c>
      <c r="D163" s="24" t="s">
        <v>243</v>
      </c>
      <c r="E163" t="str">
        <f>IFERROR(VLOOKUP(C163,装備品!$1:$998,COLUMN(C$1),FALSE),"")</f>
        <v>武器</v>
      </c>
      <c r="F163" t="str">
        <f>IFERROR(ROUNDDOWN((VLOOKUP($C163,装備品!$1:$998,COLUMN(D$1),FALSE)+IFERROR(VLOOKUP($CI163,付与!$1:$1167,COLUMN(F$1),FALSE),0))*VLOOKUP($D163,素材!$1:$1016,COLUMN(D$1),FALSE),0),"")</f>
        <v/>
      </c>
      <c r="G163" t="str">
        <f>IFERROR(ROUNDDOWN((VLOOKUP($C163,装備品!$1:$998,COLUMN(E$1),FALSE)+IFERROR(VLOOKUP($CI163,付与!$1:$1167,COLUMN(G$1),FALSE),0))*VLOOKUP($D163,素材!$1:$1016,COLUMN($E$1),FALSE),0),"")</f>
        <v/>
      </c>
      <c r="H163" t="str">
        <f>IFERROR(ROUNDDOWN((VLOOKUP($C163,装備品!$1:$998,COLUMN(F$1),FALSE)+IFERROR(VLOOKUP($CI163,付与!$1:$1167,COLUMN(H$1),FALSE),0))*VLOOKUP($D163,素材!$1:$1016,COLUMN($E$1),FALSE),0),"")</f>
        <v/>
      </c>
      <c r="I163" t="str">
        <f>IFERROR(ROUNDDOWN((VLOOKUP($C163,装備品!$1:$998,COLUMN(G$1),FALSE)+IFERROR(VLOOKUP($CI163,付与!$1:$1167,COLUMN(I$1),FALSE),0))*VLOOKUP($D163,素材!$1:$1016,COLUMN($E$1),FALSE),0),"")</f>
        <v/>
      </c>
      <c r="J163" t="str">
        <f>IFERROR(ROUNDDOWN((VLOOKUP($C163,装備品!$1:$998,COLUMN(H$1),FALSE)+IFERROR(VLOOKUP($CI163,付与!$1:$1167,COLUMN(J$1),FALSE),0))*VLOOKUP($D163,素材!$1:$1016,COLUMN($E$1),FALSE),0),"")</f>
        <v/>
      </c>
      <c r="K163" t="str">
        <f>IFERROR(ROUNDDOWN((VLOOKUP($C163,装備品!$1:$998,COLUMN(I$1),FALSE)+IFERROR(VLOOKUP($CI163,付与!$1:$1167,COLUMN(K$1),FALSE),0))*VLOOKUP($D163,素材!$1:$1016,COLUMN($E$1),FALSE),0),"")</f>
        <v/>
      </c>
      <c r="L163" t="str">
        <f>IFERROR(VLOOKUP($D163,素材!$1:$1016,COLUMN($F$1),FALSE),"")</f>
        <v/>
      </c>
      <c r="M163" t="str">
        <f>IFERROR(VLOOKUP($C163,装備品!$1:$998,COLUMN(AA$1),FALSE)*VLOOKUP($D163,素材!$1:$1016,COLUMN($G$1),FALSE),"")</f>
        <v/>
      </c>
      <c r="N163">
        <f>IFERROR(VLOOKUP($C163,装備品!$1:$998,COLUMN(I$1),FALSE),"")</f>
        <v>0</v>
      </c>
      <c r="O163" s="23" t="str">
        <f>IFERROR((VLOOKUP($C163,装備品!$1:$998,COLUMN(K$1),FALSE)+VLOOKUP($D163,素材!$1:$1016,COLUMN(H$1),FALSE))*100+IFERROR(VLOOKUP($CI163,付与!$1:$1167,COLUMN(O$1),FALSE),0),"")</f>
        <v/>
      </c>
      <c r="P163" s="23" t="str">
        <f>IFERROR((VLOOKUP($C163,装備品!$1:$998,COLUMN(L$1),FALSE)+VLOOKUP($D163,素材!$1:$1016,COLUMN(I$1),FALSE))*100+IFERROR(VLOOKUP($CI163,付与!$1:$1167,COLUMN(P$1),FALSE),0),"")</f>
        <v/>
      </c>
      <c r="Q163" t="str">
        <f>IFERROR(ROUNDUP(VLOOKUP($C163,装備品!$1:$998,COLUMN(M$1),FALSE)*(VLOOKUP($D163,素材!$1:$1002,COLUMN(D$1),FALSE)/100),1),"")</f>
        <v/>
      </c>
      <c r="R163" t="str">
        <f>IFERROR(ROUNDUP(VLOOKUP($C163,装備品!$1:$998,COLUMN(N$1),FALSE)*(VLOOKUP($D163,素材!$1:$1002,COLUMN(D$1),FALSE)/100),1),"")</f>
        <v/>
      </c>
      <c r="S163">
        <f>IFERROR(VLOOKUP($C163,装備品!$1:$998,COLUMN(P$1),FALSE),"")</f>
        <v>0</v>
      </c>
      <c r="T163">
        <f>IFERROR(VLOOKUP($C163,装備品!$1:$998,COLUMN(Q$1),FALSE),"")</f>
        <v>0</v>
      </c>
      <c r="U163">
        <f>IFERROR(VLOOKUP($C163,装備品!$1:$998,COLUMN(R$1),FALSE),"")</f>
        <v>-15</v>
      </c>
      <c r="V163">
        <f>IFERROR(VLOOKUP($C163,装備品!$1:$998,COLUMN(Q$1),FALSE),"")</f>
        <v>0</v>
      </c>
      <c r="W163">
        <f>IFERROR(VLOOKUP($C163,装備品!$1:$998,COLUMN(T$1),FALSE),"")</f>
        <v>0</v>
      </c>
      <c r="Y163">
        <f>IFERROR(VLOOKUP($C163,装備品!$1:$998,COLUMN(U$1),FALSE),"")</f>
        <v>0</v>
      </c>
      <c r="Z163" t="str">
        <f>IFERROR(ROUNDUP(VLOOKUP($C163,装備品!$1:$998,COLUMN(O$1),FALSE)*VLOOKUP($D163,素材!$1:$1016,COLUMN(E$1),FALSE),1),"")</f>
        <v/>
      </c>
      <c r="AA163">
        <f>IF(ISNUMBER(SEARCH(SUBSTITUTE(AA$1,RIGHT(AA$1,2),""),VLOOKUP($D163,素材!$1:$1016,COLUMN($F$1),FALSE))),VLOOKUP($C163,装備品!$1:$998,COLUMN($O$1),FALSE)*VLOOKUP($D163,素材!$1:$1016,COLUMN($E$1),FALSE)/(LEN(VLOOKUP($D163,素材!$1:$1016,COLUMN($F$1),FALSE))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B163">
        <f>IF(ISNUMBER(SEARCH(SUBSTITUTE(AB$1,RIGHT(AB$1,2),""),VLOOKUP($D163,素材!$1:$1016,COLUMN($F$1),FALSE))),VLOOKUP($C163,装備品!$1:$998,COLUMN($O$1),FALSE)*VLOOKUP($D163,素材!$1:$1016,COLUMN($E$1),FALSE)/(LEN(VLOOKUP($D163,素材!$1:$1016,COLUMN($F$1),FALSE))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C163">
        <f>IF(ISNUMBER(SEARCH(SUBSTITUTE(AC$1,RIGHT(AC$1,2),""),VLOOKUP($D163,素材!$1:$1016,COLUMN($F$1),FALSE))),VLOOKUP($C163,装備品!$1:$998,COLUMN($O$1),FALSE)*VLOOKUP($D163,素材!$1:$1016,COLUMN($E$1),FALSE)/(LEN(VLOOKUP($D163,素材!$1:$1016,COLUMN($F$1),FALSE))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D163">
        <f>IF(ISNUMBER(SEARCH(SUBSTITUTE(AD$1,RIGHT(AD$1,2),""),VLOOKUP($D163,素材!$1:$1016,COLUMN($F$1),FALSE))),VLOOKUP($C163,装備品!$1:$998,COLUMN($O$1),FALSE)*VLOOKUP($D163,素材!$1:$1016,COLUMN($E$1),FALSE)/(LEN(VLOOKUP($D163,素材!$1:$1016,COLUMN($F$1),FALSE))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E163">
        <f>IF(ISNUMBER(SEARCH(SUBSTITUTE(AE$1,RIGHT(AE$1,2),""),VLOOKUP($D163,素材!$1:$1016,COLUMN($F$1),FALSE))),VLOOKUP($C163,装備品!$1:$998,COLUMN($O$1),FALSE)*VLOOKUP($D163,素材!$1:$1016,COLUMN($E$1),FALSE)/(LEN(VLOOKUP($D163,素材!$1:$1016,COLUMN($F$1),FALSE))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F163">
        <f>IF(ISNUMBER(SEARCH(SUBSTITUTE(AF$1,RIGHT(AF$1,2),""),VLOOKUP($D163,素材!$1:$1016,COLUMN($F$1),FALSE))),VLOOKUP($C163,装備品!$1:$998,COLUMN($O$1),FALSE)*VLOOKUP($D163,素材!$1:$1016,COLUMN($E$1),FALSE)/(LEN(VLOOKUP($D163,素材!$1:$1016,COLUMN($F$1),FALSE))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G163">
        <f>IF(ISNUMBER(SEARCH(SUBSTITUTE(AG$1,RIGHT(AG$1,2),""),VLOOKUP($D163,素材!$1:$1016,COLUMN($F$1),FALSE))),VLOOKUP($C163,装備品!$1:$998,COLUMN($O$1),FALSE)*VLOOKUP($D163,素材!$1:$1016,COLUMN($E$1),FALSE)/(LEN(VLOOKUP($D163,素材!$1:$1016,COLUMN($F$1),FALSE))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H163">
        <f>IF(ISNUMBER(SEARCH(SUBSTITUTE(AH$1,RIGHT(AH$1,2),""),VLOOKUP($D163,素材!$1:$1016,COLUMN($F$1),FALSE))),VLOOKUP($C163,装備品!$1:$998,COLUMN($O$1),FALSE)*VLOOKUP($D163,素材!$1:$1016,COLUMN($E$1),FALSE)/(LEN(VLOOKUP($D163,素材!$1:$1016,COLUMN($F$1),FALSE))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I163">
        <f>IF(ISNUMBER(SEARCH(SUBSTITUTE(AI$1,RIGHT(AI$1,2),""),VLOOKUP($D163,素材!$1:$1016,COLUMN($F$1),FALSE))),VLOOKUP($C163,装備品!$1:$998,COLUMN($O$1),FALSE)*VLOOKUP($D163,素材!$1:$1016,COLUMN($E$1),FALSE)/(LEN(VLOOKUP($D163,素材!$1:$1016,COLUMN($F$1),FALSE))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J163">
        <f>IF(ISNUMBER(SEARCH(SUBSTITUTE(AJ$1,RIGHT(AJ$1,2),""),VLOOKUP($D163,素材!$1:$1016,COLUMN($F$1),FALSE))),VLOOKUP($C163,装備品!$1:$998,COLUMN($O$1),FALSE)*VLOOKUP($D163,素材!$1:$1016,COLUMN($E$1),FALSE)/(LEN(VLOOKUP($D163,素材!$1:$1016,COLUMN($F$1),FALSE))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K163">
        <f>IF(ISNUMBER(SEARCH(SUBSTITUTE(AK$1,RIGHT(AK$1,2),""),VLOOKUP($D163,素材!$1:$1016,COLUMN($F$1),FALSE))),VLOOKUP($C163,装備品!$1:$998,COLUMN($O$1),FALSE)*VLOOKUP($D163,素材!$1:$1016,COLUMN($E$1),FALSE)/(LEN(VLOOKUP($D163,素材!$1:$1016,COLUMN($F$1),FALSE))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L163">
        <f>IF(ISNUMBER(SEARCH(SUBSTITUTE(AL$1,RIGHT(AL$1,2),""),VLOOKUP($D163,素材!$1:$1016,COLUMN($F$1),FALSE))),VLOOKUP($C163,装備品!$1:$998,COLUMN($O$1),FALSE)*VLOOKUP($D163,素材!$1:$1016,COLUMN($E$1),FALSE)/(LEN(VLOOKUP($D163,素材!$1:$1016,COLUMN($F$1),FALSE))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M163">
        <f>IF(ISNUMBER(SEARCH(SUBSTITUTE(AM$1,RIGHT(AM$1,2),""),VLOOKUP($D163,素材!$1:$1016,COLUMN($F$1),FALSE))),VLOOKUP($C163,装備品!$1:$998,COLUMN($O$1),FALSE)*VLOOKUP($D163,素材!$1:$1016,COLUMN($E$1),FALSE)/(LEN(VLOOKUP($D163,素材!$1:$1016,COLUMN($F$1),FALSE))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N163">
        <f>IF(ISNUMBER(SEARCH(SUBSTITUTE(AN$1,RIGHT(AN$1,2),""),VLOOKUP($D163,素材!$1:$1016,COLUMN($F$1),FALSE))),VLOOKUP($C163,装備品!$1:$998,COLUMN($O$1),FALSE)*VLOOKUP($D163,素材!$1:$1016,COLUMN($E$1),FALSE)/(LEN(VLOOKUP($D163,素材!$1:$1016,COLUMN($F$1),FALSE))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O163">
        <f>IF(ISNUMBER(SEARCH(SUBSTITUTE(AO$1,RIGHT(AO$1,2),""),VLOOKUP($D163,素材!$1:$1016,COLUMN($F$1),FALSE))),VLOOKUP($C163,装備品!$1:$998,COLUMN($O$1),FALSE)*VLOOKUP($D163,素材!$1:$1016,COLUMN($E$1),FALSE)/(LEN(VLOOKUP($D163,素材!$1:$1016,COLUMN($F$1),FALSE))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P163">
        <f>IF(ISNUMBER(SEARCH(SUBSTITUTE(AP$1,RIGHT(AP$1,2),""),VLOOKUP($D163,素材!$1:$1016,COLUMN($F$1),FALSE))),VLOOKUP($C163,装備品!$1:$998,COLUMN($O$1),FALSE)*VLOOKUP($D163,素材!$1:$1016,COLUMN($E$1),FALSE)/(LEN(VLOOKUP($D163,素材!$1:$1016,COLUMN($F$1),FALSE))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Q163">
        <f>IF(ISNUMBER(SEARCH(SUBSTITUTE(AQ$1,RIGHT(AQ$1,2),""),VLOOKUP($D163,素材!$1:$1016,COLUMN($F$1),FALSE))),VLOOKUP($C163,装備品!$1:$998,COLUMN($O$1),FALSE)*VLOOKUP($D163,素材!$1:$1016,COLUMN($E$1),FALSE)/(LEN(VLOOKUP($D163,素材!$1:$1016,COLUMN($F$1),FALSE))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R163">
        <f>IF(ISNUMBER(SEARCH(SUBSTITUTE(AR$1,RIGHT(AR$1,2),""),VLOOKUP($D163,素材!$1:$1016,COLUMN($F$1),FALSE))),VLOOKUP($C163,装備品!$1:$998,COLUMN($O$1),FALSE)*VLOOKUP($D163,素材!$1:$1016,COLUMN($E$1),FALSE)/(LEN(VLOOKUP($D163,素材!$1:$1016,COLUMN($F$1),FALSE))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S163">
        <f>IF(ISNUMBER(SEARCH(SUBSTITUTE(AS$1,RIGHT(AS$1,2),""),VLOOKUP($D163,素材!$1:$1016,COLUMN($F$1),FALSE))),VLOOKUP($C163,装備品!$1:$998,COLUMN($O$1),FALSE)*VLOOKUP($D163,素材!$1:$1016,COLUMN($E$1),FALSE)/(LEN(VLOOKUP($D163,素材!$1:$1016,COLUMN($F$1),FALSE))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T163">
        <f>IF(ISNUMBER(SEARCH(SUBSTITUTE(AT$1,RIGHT(AT$1,2),""),VLOOKUP($D163,素材!$1:$1016,COLUMN($F$1),FALSE))),VLOOKUP($C163,装備品!$1:$998,COLUMN($O$1),FALSE)*VLOOKUP($D163,素材!$1:$1016,COLUMN($E$1),FALSE)/(LEN(VLOOKUP($D163,素材!$1:$1016,COLUMN($F$1),FALSE))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U163">
        <f>IF(ISNUMBER(SEARCH(SUBSTITUTE(AU$1,RIGHT(AU$1,2),""),VLOOKUP($D163,素材!$1:$1016,COLUMN($F$1),FALSE))),VLOOKUP($C163,装備品!$1:$998,COLUMN($O$1),FALSE)*VLOOKUP($D163,素材!$1:$1016,COLUMN($E$1),FALSE)/(LEN(VLOOKUP($D163,素材!$1:$1016,COLUMN($F$1),FALSE))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V163">
        <f>IF(ISNUMBER(SEARCH(SUBSTITUTE(AV$1,RIGHT(AV$1,2),""),VLOOKUP($D163,素材!$1:$1016,COLUMN($F$1),FALSE))),VLOOKUP($C163,装備品!$1:$998,COLUMN($O$1),FALSE)*VLOOKUP($D163,素材!$1:$1016,COLUMN($E$1),FALSE)/(LEN(VLOOKUP($D163,素材!$1:$1016,COLUMN($F$1),FALSE))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W163">
        <f>IF(ISNUMBER(SEARCH(SUBSTITUTE(AW$1,RIGHT(AW$1,2),""),VLOOKUP($D163,素材!$1:$1016,COLUMN($F$1),FALSE))),VLOOKUP($C163,装備品!$1:$998,COLUMN($O$1),FALSE)*VLOOKUP($D163,素材!$1:$1016,COLUMN($E$1),FALSE)/(LEN(VLOOKUP($D163,素材!$1:$1016,COLUMN($F$1),FALSE))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X163">
        <f>IF(ISNUMBER(SEARCH(SUBSTITUTE(AX$1,RIGHT(AX$1,2),""),VLOOKUP($D163,素材!$1:$1016,COLUMN($F$1),FALSE))),VLOOKUP($C163,装備品!$1:$998,COLUMN($O$1),FALSE)*VLOOKUP($D163,素材!$1:$1016,COLUMN($E$1),FALSE)/(LEN(VLOOKUP($D163,素材!$1:$1016,COLUMN($F$1),FALSE))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Y163">
        <f>IF(ISNUMBER(SEARCH(SUBSTITUTE(AY$1,RIGHT(AY$1,2),""),VLOOKUP($D163,素材!$1:$1016,COLUMN($F$1),FALSE))),VLOOKUP($C163,装備品!$1:$998,COLUMN($O$1),FALSE)*VLOOKUP($D163,素材!$1:$1016,COLUMN($E$1),FALSE)/(LEN(VLOOKUP($D163,素材!$1:$1016,COLUMN($F$1),FALSE))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Z163">
        <f>IF(ISNUMBER(SEARCH(SUBSTITUTE(AZ$1,RIGHT(AZ$1,2),""),VLOOKUP($D163,素材!$1:$1016,COLUMN($F$1),FALSE))),VLOOKUP($C163,装備品!$1:$998,COLUMN($O$1),FALSE)*VLOOKUP($D163,素材!$1:$1016,COLUMN($E$1),FALSE)/(LEN(VLOOKUP($D163,素材!$1:$1016,COLUMN($F$1),FALSE))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BA163">
        <f>IF(ISNUMBER(SEARCH(SUBSTITUTE(BA$1,RIGHT(BA$1,2),""),VLOOKUP($D163,素材!$1:$1016,COLUMN($F$1),FALSE))),VLOOKUP($C163,装備品!$1:$998,COLUMN($O$1),FALSE)*VLOOKUP($D163,素材!$1:$1016,COLUMN($E$1),FALSE)/(LEN(VLOOKUP($D163,素材!$1:$1016,COLUMN($F$1),FALSE))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BB163">
        <f>IF(ISNUMBER(SEARCH(SUBSTITUTE(BB$1,RIGHT(BB$1,2),""),VLOOKUP($D163,素材!$1:$1016,COLUMN($F$1),FALSE))),VLOOKUP($C163,装備品!$1:$998,COLUMN($O$1),FALSE)*VLOOKUP($D163,素材!$1:$1016,COLUMN($E$1),FALSE)/(LEN(VLOOKUP($D163,素材!$1:$1016,COLUMN($F$1),FALSE))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BC163">
        <f>IF(ISNUMBER(SEARCH(SUBSTITUTE(BC$1,RIGHT(BC$1,2),""),VLOOKUP($D163,素材!$1:$1016,COLUMN($F$1),FALSE))),VLOOKUP($C163,装備品!$1:$998,COLUMN($O$1),FALSE)*VLOOKUP($D163,素材!$1:$1016,COLUMN($E$1),FALSE)/(LEN(VLOOKUP($D163,素材!$1:$1016,COLUMN($F$1),FALSE))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BD163">
        <f>IF(ISNUMBER(SEARCH(SUBSTITUTE(BD$1,RIGHT(BD$1,2),""),VLOOKUP($D163,素材!$1:$1016,COLUMN($F$1),FALSE))),VLOOKUP($C163,装備品!$1:$998,COLUMN($O$1),FALSE)*VLOOKUP($D163,素材!$1:$1016,COLUMN($E$1),FALSE)/(LEN(VLOOKUP($D163,素材!$1:$1016,COLUMN($F$1),FALSE))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BE163">
        <f>IF(ISNUMBER(SEARCH(SUBSTITUTE(BE$1,RIGHT(BE$1,2),""),VLOOKUP($D163,素材!$1:$1016,COLUMN($F$1),FALSE))),VLOOKUP($C163,装備品!$1:$998,COLUMN($O$1),FALSE)*VLOOKUP($D163,素材!$1:$1016,COLUMN($E$1),FALSE)/(LEN(VLOOKUP($D163,素材!$1:$1016,COLUMN($F$1),FALSE))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CL163">
        <f t="shared" si="19"/>
        <v>0</v>
      </c>
      <c r="CM163" s="22" t="e">
        <f t="shared" si="20"/>
        <v>#VALUE!</v>
      </c>
      <c r="CN163" t="str">
        <f>IFERROR(VLOOKUP($C163,装備品!$1:$998,COLUMN(V$1),FALSE)*VLOOKUP($D163,素材!$1:$1016,COLUMN(N$1),FALSE)+IF(CI163="",0,VLOOKUP($CI163,付与!$1:$1176,COLUMN($CK$1),FALSE)),"")</f>
        <v/>
      </c>
      <c r="CO163" t="e">
        <f>VLOOKUP(D163,素材!$A:$O,COLUMN(素材!O$1),FALSE)</f>
        <v>#N/A</v>
      </c>
      <c r="CP163" t="str">
        <f>VLOOKUP(C163,装備品!$A:$AB,COLUMN(装備品!AB$1),FALSE)</f>
        <v>大剣。非常に重いが威力が突出して高い武器。大きい分ガードにも向いている</v>
      </c>
      <c r="CR163" t="str">
        <f t="shared" si="24"/>
        <v>e_163</v>
      </c>
      <c r="CS163" t="e">
        <f t="shared" si="28"/>
        <v>#VALUE!</v>
      </c>
    </row>
    <row r="164" spans="1:97" outlineLevel="1" x14ac:dyDescent="0.4">
      <c r="A164" t="str">
        <f t="shared" si="33"/>
        <v>黒鋼鉄の細剣</v>
      </c>
      <c r="B164" t="str">
        <f>IFERROR(VLOOKUP($D164,素材!$1:$1016,COLUMN($B$1),FALSE)&amp;"・"&amp;VLOOKUP($C164,装備品!$1:$998,COLUMN(B$1),FALSE),"")</f>
        <v/>
      </c>
      <c r="C164" s="24" t="s">
        <v>235</v>
      </c>
      <c r="D164" s="24" t="s">
        <v>243</v>
      </c>
      <c r="E164" t="str">
        <f>IFERROR(VLOOKUP(C164,装備品!$1:$998,COLUMN(C$1),FALSE),"")</f>
        <v>武器</v>
      </c>
      <c r="F164" t="str">
        <f>IFERROR(ROUNDDOWN((VLOOKUP($C164,装備品!$1:$998,COLUMN(D$1),FALSE)+IFERROR(VLOOKUP($CI164,付与!$1:$1167,COLUMN(F$1),FALSE),0))*VLOOKUP($D164,素材!$1:$1016,COLUMN(D$1),FALSE),0),"")</f>
        <v/>
      </c>
      <c r="G164" t="str">
        <f>IFERROR(ROUNDDOWN((VLOOKUP($C164,装備品!$1:$998,COLUMN(E$1),FALSE)+IFERROR(VLOOKUP($CI164,付与!$1:$1167,COLUMN(G$1),FALSE),0))*VLOOKUP($D164,素材!$1:$1016,COLUMN($E$1),FALSE),0),"")</f>
        <v/>
      </c>
      <c r="H164" t="str">
        <f>IFERROR(ROUNDDOWN((VLOOKUP($C164,装備品!$1:$998,COLUMN(F$1),FALSE)+IFERROR(VLOOKUP($CI164,付与!$1:$1167,COLUMN(H$1),FALSE),0))*VLOOKUP($D164,素材!$1:$1016,COLUMN($E$1),FALSE),0),"")</f>
        <v/>
      </c>
      <c r="I164" t="str">
        <f>IFERROR(ROUNDDOWN((VLOOKUP($C164,装備品!$1:$998,COLUMN(G$1),FALSE)+IFERROR(VLOOKUP($CI164,付与!$1:$1167,COLUMN(I$1),FALSE),0))*VLOOKUP($D164,素材!$1:$1016,COLUMN($E$1),FALSE),0),"")</f>
        <v/>
      </c>
      <c r="J164" t="str">
        <f>IFERROR(ROUNDDOWN((VLOOKUP($C164,装備品!$1:$998,COLUMN(H$1),FALSE)+IFERROR(VLOOKUP($CI164,付与!$1:$1167,COLUMN(J$1),FALSE),0))*VLOOKUP($D164,素材!$1:$1016,COLUMN($E$1),FALSE),0),"")</f>
        <v/>
      </c>
      <c r="K164" t="str">
        <f>IFERROR(ROUNDDOWN((VLOOKUP($C164,装備品!$1:$998,COLUMN(I$1),FALSE)+IFERROR(VLOOKUP($CI164,付与!$1:$1167,COLUMN(K$1),FALSE),0))*VLOOKUP($D164,素材!$1:$1016,COLUMN($E$1),FALSE),0),"")</f>
        <v/>
      </c>
      <c r="L164" t="str">
        <f>IFERROR(VLOOKUP($D164,素材!$1:$1016,COLUMN($F$1),FALSE),"")</f>
        <v/>
      </c>
      <c r="M164" t="str">
        <f>IFERROR(VLOOKUP($C164,装備品!$1:$998,COLUMN(AA$1),FALSE)*VLOOKUP($D164,素材!$1:$1016,COLUMN($G$1),FALSE),"")</f>
        <v/>
      </c>
      <c r="N164">
        <f>IFERROR(VLOOKUP($C164,装備品!$1:$998,COLUMN(I$1),FALSE),"")</f>
        <v>0</v>
      </c>
      <c r="O164" s="23" t="str">
        <f>IFERROR((VLOOKUP($C164,装備品!$1:$998,COLUMN(K$1),FALSE)+VLOOKUP($D164,素材!$1:$1016,COLUMN(H$1),FALSE))*100+IFERROR(VLOOKUP($CI164,付与!$1:$1167,COLUMN(O$1),FALSE),0),"")</f>
        <v/>
      </c>
      <c r="P164" s="23" t="str">
        <f>IFERROR((VLOOKUP($C164,装備品!$1:$998,COLUMN(L$1),FALSE)+VLOOKUP($D164,素材!$1:$1016,COLUMN(I$1),FALSE))*100+IFERROR(VLOOKUP($CI164,付与!$1:$1167,COLUMN(P$1),FALSE),0),"")</f>
        <v/>
      </c>
      <c r="Q164" t="str">
        <f>IFERROR(ROUNDUP(VLOOKUP($C164,装備品!$1:$998,COLUMN(M$1),FALSE)*(VLOOKUP($D164,素材!$1:$1002,COLUMN(D$1),FALSE)/100),1),"")</f>
        <v/>
      </c>
      <c r="R164" t="str">
        <f>IFERROR(ROUNDUP(VLOOKUP($C164,装備品!$1:$998,COLUMN(N$1),FALSE)*(VLOOKUP($D164,素材!$1:$1002,COLUMN(D$1),FALSE)/100),1),"")</f>
        <v/>
      </c>
      <c r="S164">
        <f>IFERROR(VLOOKUP($C164,装備品!$1:$998,COLUMN(P$1),FALSE),"")</f>
        <v>0</v>
      </c>
      <c r="T164">
        <f>IFERROR(VLOOKUP($C164,装備品!$1:$998,COLUMN(Q$1),FALSE),"")</f>
        <v>0</v>
      </c>
      <c r="U164">
        <f>IFERROR(VLOOKUP($C164,装備品!$1:$998,COLUMN(R$1),FALSE),"")</f>
        <v>0</v>
      </c>
      <c r="V164">
        <f>IFERROR(VLOOKUP($C164,装備品!$1:$998,COLUMN(Q$1),FALSE),"")</f>
        <v>0</v>
      </c>
      <c r="W164">
        <f>IFERROR(VLOOKUP($C164,装備品!$1:$998,COLUMN(T$1),FALSE),"")</f>
        <v>0</v>
      </c>
      <c r="Y164">
        <f>IFERROR(VLOOKUP($C164,装備品!$1:$998,COLUMN(U$1),FALSE),"")</f>
        <v>0</v>
      </c>
      <c r="Z164" t="str">
        <f>IFERROR(ROUNDUP(VLOOKUP($C164,装備品!$1:$998,COLUMN(O$1),FALSE)*VLOOKUP($D164,素材!$1:$1016,COLUMN(E$1),FALSE),1),"")</f>
        <v/>
      </c>
      <c r="AA164">
        <f>IF(ISNUMBER(SEARCH(SUBSTITUTE(AA$1,RIGHT(AA$1,2),""),VLOOKUP($D164,素材!$1:$1016,COLUMN($F$1),FALSE))),VLOOKUP($C164,装備品!$1:$998,COLUMN($O$1),FALSE)*VLOOKUP($D164,素材!$1:$1016,COLUMN($E$1),FALSE)/(LEN(VLOOKUP($D164,素材!$1:$1016,COLUMN($F$1),FALSE))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B164">
        <f>IF(ISNUMBER(SEARCH(SUBSTITUTE(AB$1,RIGHT(AB$1,2),""),VLOOKUP($D164,素材!$1:$1016,COLUMN($F$1),FALSE))),VLOOKUP($C164,装備品!$1:$998,COLUMN($O$1),FALSE)*VLOOKUP($D164,素材!$1:$1016,COLUMN($E$1),FALSE)/(LEN(VLOOKUP($D164,素材!$1:$1016,COLUMN($F$1),FALSE))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C164">
        <f>IF(ISNUMBER(SEARCH(SUBSTITUTE(AC$1,RIGHT(AC$1,2),""),VLOOKUP($D164,素材!$1:$1016,COLUMN($F$1),FALSE))),VLOOKUP($C164,装備品!$1:$998,COLUMN($O$1),FALSE)*VLOOKUP($D164,素材!$1:$1016,COLUMN($E$1),FALSE)/(LEN(VLOOKUP($D164,素材!$1:$1016,COLUMN($F$1),FALSE))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D164">
        <f>IF(ISNUMBER(SEARCH(SUBSTITUTE(AD$1,RIGHT(AD$1,2),""),VLOOKUP($D164,素材!$1:$1016,COLUMN($F$1),FALSE))),VLOOKUP($C164,装備品!$1:$998,COLUMN($O$1),FALSE)*VLOOKUP($D164,素材!$1:$1016,COLUMN($E$1),FALSE)/(LEN(VLOOKUP($D164,素材!$1:$1016,COLUMN($F$1),FALSE))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E164">
        <f>IF(ISNUMBER(SEARCH(SUBSTITUTE(AE$1,RIGHT(AE$1,2),""),VLOOKUP($D164,素材!$1:$1016,COLUMN($F$1),FALSE))),VLOOKUP($C164,装備品!$1:$998,COLUMN($O$1),FALSE)*VLOOKUP($D164,素材!$1:$1016,COLUMN($E$1),FALSE)/(LEN(VLOOKUP($D164,素材!$1:$1016,COLUMN($F$1),FALSE))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F164">
        <f>IF(ISNUMBER(SEARCH(SUBSTITUTE(AF$1,RIGHT(AF$1,2),""),VLOOKUP($D164,素材!$1:$1016,COLUMN($F$1),FALSE))),VLOOKUP($C164,装備品!$1:$998,COLUMN($O$1),FALSE)*VLOOKUP($D164,素材!$1:$1016,COLUMN($E$1),FALSE)/(LEN(VLOOKUP($D164,素材!$1:$1016,COLUMN($F$1),FALSE))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G164">
        <f>IF(ISNUMBER(SEARCH(SUBSTITUTE(AG$1,RIGHT(AG$1,2),""),VLOOKUP($D164,素材!$1:$1016,COLUMN($F$1),FALSE))),VLOOKUP($C164,装備品!$1:$998,COLUMN($O$1),FALSE)*VLOOKUP($D164,素材!$1:$1016,COLUMN($E$1),FALSE)/(LEN(VLOOKUP($D164,素材!$1:$1016,COLUMN($F$1),FALSE))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H164">
        <f>IF(ISNUMBER(SEARCH(SUBSTITUTE(AH$1,RIGHT(AH$1,2),""),VLOOKUP($D164,素材!$1:$1016,COLUMN($F$1),FALSE))),VLOOKUP($C164,装備品!$1:$998,COLUMN($O$1),FALSE)*VLOOKUP($D164,素材!$1:$1016,COLUMN($E$1),FALSE)/(LEN(VLOOKUP($D164,素材!$1:$1016,COLUMN($F$1),FALSE))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I164">
        <f>IF(ISNUMBER(SEARCH(SUBSTITUTE(AI$1,RIGHT(AI$1,2),""),VLOOKUP($D164,素材!$1:$1016,COLUMN($F$1),FALSE))),VLOOKUP($C164,装備品!$1:$998,COLUMN($O$1),FALSE)*VLOOKUP($D164,素材!$1:$1016,COLUMN($E$1),FALSE)/(LEN(VLOOKUP($D164,素材!$1:$1016,COLUMN($F$1),FALSE))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J164">
        <f>IF(ISNUMBER(SEARCH(SUBSTITUTE(AJ$1,RIGHT(AJ$1,2),""),VLOOKUP($D164,素材!$1:$1016,COLUMN($F$1),FALSE))),VLOOKUP($C164,装備品!$1:$998,COLUMN($O$1),FALSE)*VLOOKUP($D164,素材!$1:$1016,COLUMN($E$1),FALSE)/(LEN(VLOOKUP($D164,素材!$1:$1016,COLUMN($F$1),FALSE))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K164">
        <f>IF(ISNUMBER(SEARCH(SUBSTITUTE(AK$1,RIGHT(AK$1,2),""),VLOOKUP($D164,素材!$1:$1016,COLUMN($F$1),FALSE))),VLOOKUP($C164,装備品!$1:$998,COLUMN($O$1),FALSE)*VLOOKUP($D164,素材!$1:$1016,COLUMN($E$1),FALSE)/(LEN(VLOOKUP($D164,素材!$1:$1016,COLUMN($F$1),FALSE))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L164">
        <f>IF(ISNUMBER(SEARCH(SUBSTITUTE(AL$1,RIGHT(AL$1,2),""),VLOOKUP($D164,素材!$1:$1016,COLUMN($F$1),FALSE))),VLOOKUP($C164,装備品!$1:$998,COLUMN($O$1),FALSE)*VLOOKUP($D164,素材!$1:$1016,COLUMN($E$1),FALSE)/(LEN(VLOOKUP($D164,素材!$1:$1016,COLUMN($F$1),FALSE))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M164">
        <f>IF(ISNUMBER(SEARCH(SUBSTITUTE(AM$1,RIGHT(AM$1,2),""),VLOOKUP($D164,素材!$1:$1016,COLUMN($F$1),FALSE))),VLOOKUP($C164,装備品!$1:$998,COLUMN($O$1),FALSE)*VLOOKUP($D164,素材!$1:$1016,COLUMN($E$1),FALSE)/(LEN(VLOOKUP($D164,素材!$1:$1016,COLUMN($F$1),FALSE))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N164">
        <f>IF(ISNUMBER(SEARCH(SUBSTITUTE(AN$1,RIGHT(AN$1,2),""),VLOOKUP($D164,素材!$1:$1016,COLUMN($F$1),FALSE))),VLOOKUP($C164,装備品!$1:$998,COLUMN($O$1),FALSE)*VLOOKUP($D164,素材!$1:$1016,COLUMN($E$1),FALSE)/(LEN(VLOOKUP($D164,素材!$1:$1016,COLUMN($F$1),FALSE))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O164">
        <f>IF(ISNUMBER(SEARCH(SUBSTITUTE(AO$1,RIGHT(AO$1,2),""),VLOOKUP($D164,素材!$1:$1016,COLUMN($F$1),FALSE))),VLOOKUP($C164,装備品!$1:$998,COLUMN($O$1),FALSE)*VLOOKUP($D164,素材!$1:$1016,COLUMN($E$1),FALSE)/(LEN(VLOOKUP($D164,素材!$1:$1016,COLUMN($F$1),FALSE))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P164">
        <f>IF(ISNUMBER(SEARCH(SUBSTITUTE(AP$1,RIGHT(AP$1,2),""),VLOOKUP($D164,素材!$1:$1016,COLUMN($F$1),FALSE))),VLOOKUP($C164,装備品!$1:$998,COLUMN($O$1),FALSE)*VLOOKUP($D164,素材!$1:$1016,COLUMN($E$1),FALSE)/(LEN(VLOOKUP($D164,素材!$1:$1016,COLUMN($F$1),FALSE))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Q164">
        <f>IF(ISNUMBER(SEARCH(SUBSTITUTE(AQ$1,RIGHT(AQ$1,2),""),VLOOKUP($D164,素材!$1:$1016,COLUMN($F$1),FALSE))),VLOOKUP($C164,装備品!$1:$998,COLUMN($O$1),FALSE)*VLOOKUP($D164,素材!$1:$1016,COLUMN($E$1),FALSE)/(LEN(VLOOKUP($D164,素材!$1:$1016,COLUMN($F$1),FALSE))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R164">
        <f>IF(ISNUMBER(SEARCH(SUBSTITUTE(AR$1,RIGHT(AR$1,2),""),VLOOKUP($D164,素材!$1:$1016,COLUMN($F$1),FALSE))),VLOOKUP($C164,装備品!$1:$998,COLUMN($O$1),FALSE)*VLOOKUP($D164,素材!$1:$1016,COLUMN($E$1),FALSE)/(LEN(VLOOKUP($D164,素材!$1:$1016,COLUMN($F$1),FALSE))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S164">
        <f>IF(ISNUMBER(SEARCH(SUBSTITUTE(AS$1,RIGHT(AS$1,2),""),VLOOKUP($D164,素材!$1:$1016,COLUMN($F$1),FALSE))),VLOOKUP($C164,装備品!$1:$998,COLUMN($O$1),FALSE)*VLOOKUP($D164,素材!$1:$1016,COLUMN($E$1),FALSE)/(LEN(VLOOKUP($D164,素材!$1:$1016,COLUMN($F$1),FALSE))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T164">
        <f>IF(ISNUMBER(SEARCH(SUBSTITUTE(AT$1,RIGHT(AT$1,2),""),VLOOKUP($D164,素材!$1:$1016,COLUMN($F$1),FALSE))),VLOOKUP($C164,装備品!$1:$998,COLUMN($O$1),FALSE)*VLOOKUP($D164,素材!$1:$1016,COLUMN($E$1),FALSE)/(LEN(VLOOKUP($D164,素材!$1:$1016,COLUMN($F$1),FALSE))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U164">
        <f>IF(ISNUMBER(SEARCH(SUBSTITUTE(AU$1,RIGHT(AU$1,2),""),VLOOKUP($D164,素材!$1:$1016,COLUMN($F$1),FALSE))),VLOOKUP($C164,装備品!$1:$998,COLUMN($O$1),FALSE)*VLOOKUP($D164,素材!$1:$1016,COLUMN($E$1),FALSE)/(LEN(VLOOKUP($D164,素材!$1:$1016,COLUMN($F$1),FALSE))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V164">
        <f>IF(ISNUMBER(SEARCH(SUBSTITUTE(AV$1,RIGHT(AV$1,2),""),VLOOKUP($D164,素材!$1:$1016,COLUMN($F$1),FALSE))),VLOOKUP($C164,装備品!$1:$998,COLUMN($O$1),FALSE)*VLOOKUP($D164,素材!$1:$1016,COLUMN($E$1),FALSE)/(LEN(VLOOKUP($D164,素材!$1:$1016,COLUMN($F$1),FALSE))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W164">
        <f>IF(ISNUMBER(SEARCH(SUBSTITUTE(AW$1,RIGHT(AW$1,2),""),VLOOKUP($D164,素材!$1:$1016,COLUMN($F$1),FALSE))),VLOOKUP($C164,装備品!$1:$998,COLUMN($O$1),FALSE)*VLOOKUP($D164,素材!$1:$1016,COLUMN($E$1),FALSE)/(LEN(VLOOKUP($D164,素材!$1:$1016,COLUMN($F$1),FALSE))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X164">
        <f>IF(ISNUMBER(SEARCH(SUBSTITUTE(AX$1,RIGHT(AX$1,2),""),VLOOKUP($D164,素材!$1:$1016,COLUMN($F$1),FALSE))),VLOOKUP($C164,装備品!$1:$998,COLUMN($O$1),FALSE)*VLOOKUP($D164,素材!$1:$1016,COLUMN($E$1),FALSE)/(LEN(VLOOKUP($D164,素材!$1:$1016,COLUMN($F$1),FALSE))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Y164">
        <f>IF(ISNUMBER(SEARCH(SUBSTITUTE(AY$1,RIGHT(AY$1,2),""),VLOOKUP($D164,素材!$1:$1016,COLUMN($F$1),FALSE))),VLOOKUP($C164,装備品!$1:$998,COLUMN($O$1),FALSE)*VLOOKUP($D164,素材!$1:$1016,COLUMN($E$1),FALSE)/(LEN(VLOOKUP($D164,素材!$1:$1016,COLUMN($F$1),FALSE))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Z164">
        <f>IF(ISNUMBER(SEARCH(SUBSTITUTE(AZ$1,RIGHT(AZ$1,2),""),VLOOKUP($D164,素材!$1:$1016,COLUMN($F$1),FALSE))),VLOOKUP($C164,装備品!$1:$998,COLUMN($O$1),FALSE)*VLOOKUP($D164,素材!$1:$1016,COLUMN($E$1),FALSE)/(LEN(VLOOKUP($D164,素材!$1:$1016,COLUMN($F$1),FALSE))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BA164">
        <f>IF(ISNUMBER(SEARCH(SUBSTITUTE(BA$1,RIGHT(BA$1,2),""),VLOOKUP($D164,素材!$1:$1016,COLUMN($F$1),FALSE))),VLOOKUP($C164,装備品!$1:$998,COLUMN($O$1),FALSE)*VLOOKUP($D164,素材!$1:$1016,COLUMN($E$1),FALSE)/(LEN(VLOOKUP($D164,素材!$1:$1016,COLUMN($F$1),FALSE))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BB164">
        <f>IF(ISNUMBER(SEARCH(SUBSTITUTE(BB$1,RIGHT(BB$1,2),""),VLOOKUP($D164,素材!$1:$1016,COLUMN($F$1),FALSE))),VLOOKUP($C164,装備品!$1:$998,COLUMN($O$1),FALSE)*VLOOKUP($D164,素材!$1:$1016,COLUMN($E$1),FALSE)/(LEN(VLOOKUP($D164,素材!$1:$1016,COLUMN($F$1),FALSE))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BC164">
        <f>IF(ISNUMBER(SEARCH(SUBSTITUTE(BC$1,RIGHT(BC$1,2),""),VLOOKUP($D164,素材!$1:$1016,COLUMN($F$1),FALSE))),VLOOKUP($C164,装備品!$1:$998,COLUMN($O$1),FALSE)*VLOOKUP($D164,素材!$1:$1016,COLUMN($E$1),FALSE)/(LEN(VLOOKUP($D164,素材!$1:$1016,COLUMN($F$1),FALSE))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BD164">
        <f>IF(ISNUMBER(SEARCH(SUBSTITUTE(BD$1,RIGHT(BD$1,2),""),VLOOKUP($D164,素材!$1:$1016,COLUMN($F$1),FALSE))),VLOOKUP($C164,装備品!$1:$998,COLUMN($O$1),FALSE)*VLOOKUP($D164,素材!$1:$1016,COLUMN($E$1),FALSE)/(LEN(VLOOKUP($D164,素材!$1:$1016,COLUMN($F$1),FALSE))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BE164">
        <f>IF(ISNUMBER(SEARCH(SUBSTITUTE(BE$1,RIGHT(BE$1,2),""),VLOOKUP($D164,素材!$1:$1016,COLUMN($F$1),FALSE))),VLOOKUP($C164,装備品!$1:$998,COLUMN($O$1),FALSE)*VLOOKUP($D164,素材!$1:$1016,COLUMN($E$1),FALSE)/(LEN(VLOOKUP($D164,素材!$1:$1016,COLUMN($F$1),FALSE))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CL164">
        <f t="shared" si="19"/>
        <v>0</v>
      </c>
      <c r="CM164" s="22" t="e">
        <f t="shared" si="20"/>
        <v>#VALUE!</v>
      </c>
      <c r="CN164" t="str">
        <f>IFERROR(VLOOKUP($C164,装備品!$1:$998,COLUMN(V$1),FALSE)*VLOOKUP($D164,素材!$1:$1016,COLUMN(N$1),FALSE)+IF(CI164="",0,VLOOKUP($CI164,付与!$1:$1176,COLUMN($CK$1),FALSE)),"")</f>
        <v/>
      </c>
      <c r="CO164" t="e">
        <f>VLOOKUP(D164,素材!$A:$O,COLUMN(素材!O$1),FALSE)</f>
        <v>#N/A</v>
      </c>
      <c r="CP164" t="str">
        <f>VLOOKUP(C164,装備品!$A:$AB,COLUMN(装備品!AB$1),FALSE)</f>
        <v>細剣。刺突に優れた武器でCr率が高い</v>
      </c>
      <c r="CR164" t="str">
        <f t="shared" si="24"/>
        <v>e_164</v>
      </c>
      <c r="CS164" t="e">
        <f t="shared" si="28"/>
        <v>#VALUE!</v>
      </c>
    </row>
    <row r="165" spans="1:97" outlineLevel="1" x14ac:dyDescent="0.4">
      <c r="A165" t="str">
        <f t="shared" si="33"/>
        <v>黒鋼鉄の刺剣</v>
      </c>
      <c r="B165" t="str">
        <f>IFERROR(VLOOKUP($D165,素材!$1:$1016,COLUMN($B$1),FALSE)&amp;"・"&amp;VLOOKUP($C165,装備品!$1:$998,COLUMN(B$1),FALSE),"")</f>
        <v/>
      </c>
      <c r="C165" s="24" t="s">
        <v>234</v>
      </c>
      <c r="D165" s="24" t="s">
        <v>243</v>
      </c>
      <c r="E165" t="str">
        <f>IFERROR(VLOOKUP(C165,装備品!$1:$998,COLUMN(C$1),FALSE),"")</f>
        <v>武器</v>
      </c>
      <c r="F165" t="str">
        <f>IFERROR(ROUNDDOWN((VLOOKUP($C165,装備品!$1:$998,COLUMN(D$1),FALSE)+IFERROR(VLOOKUP($CI165,付与!$1:$1167,COLUMN(F$1),FALSE),0))*VLOOKUP($D165,素材!$1:$1016,COLUMN(D$1),FALSE),0),"")</f>
        <v/>
      </c>
      <c r="G165" t="str">
        <f>IFERROR(ROUNDDOWN((VLOOKUP($C165,装備品!$1:$998,COLUMN(E$1),FALSE)+IFERROR(VLOOKUP($CI165,付与!$1:$1167,COLUMN(G$1),FALSE),0))*VLOOKUP($D165,素材!$1:$1016,COLUMN($E$1),FALSE),0),"")</f>
        <v/>
      </c>
      <c r="H165" t="str">
        <f>IFERROR(ROUNDDOWN((VLOOKUP($C165,装備品!$1:$998,COLUMN(F$1),FALSE)+IFERROR(VLOOKUP($CI165,付与!$1:$1167,COLUMN(H$1),FALSE),0))*VLOOKUP($D165,素材!$1:$1016,COLUMN($E$1),FALSE),0),"")</f>
        <v/>
      </c>
      <c r="I165" t="str">
        <f>IFERROR(ROUNDDOWN((VLOOKUP($C165,装備品!$1:$998,COLUMN(G$1),FALSE)+IFERROR(VLOOKUP($CI165,付与!$1:$1167,COLUMN(I$1),FALSE),0))*VLOOKUP($D165,素材!$1:$1016,COLUMN($E$1),FALSE),0),"")</f>
        <v/>
      </c>
      <c r="J165" t="str">
        <f>IFERROR(ROUNDDOWN((VLOOKUP($C165,装備品!$1:$998,COLUMN(H$1),FALSE)+IFERROR(VLOOKUP($CI165,付与!$1:$1167,COLUMN(J$1),FALSE),0))*VLOOKUP($D165,素材!$1:$1016,COLUMN($E$1),FALSE),0),"")</f>
        <v/>
      </c>
      <c r="K165" t="str">
        <f>IFERROR(ROUNDDOWN((VLOOKUP($C165,装備品!$1:$998,COLUMN(I$1),FALSE)+IFERROR(VLOOKUP($CI165,付与!$1:$1167,COLUMN(K$1),FALSE),0))*VLOOKUP($D165,素材!$1:$1016,COLUMN($E$1),FALSE),0),"")</f>
        <v/>
      </c>
      <c r="L165" t="str">
        <f>IFERROR(VLOOKUP($D165,素材!$1:$1016,COLUMN($F$1),FALSE),"")</f>
        <v/>
      </c>
      <c r="M165" t="str">
        <f>IFERROR(VLOOKUP($C165,装備品!$1:$998,COLUMN(AA$1),FALSE)*VLOOKUP($D165,素材!$1:$1016,COLUMN($G$1),FALSE),"")</f>
        <v/>
      </c>
      <c r="N165">
        <f>IFERROR(VLOOKUP($C165,装備品!$1:$998,COLUMN(I$1),FALSE),"")</f>
        <v>0</v>
      </c>
      <c r="O165" s="23" t="str">
        <f>IFERROR((VLOOKUP($C165,装備品!$1:$998,COLUMN(K$1),FALSE)+VLOOKUP($D165,素材!$1:$1016,COLUMN(H$1),FALSE))*100+IFERROR(VLOOKUP($CI165,付与!$1:$1167,COLUMN(O$1),FALSE),0),"")</f>
        <v/>
      </c>
      <c r="P165" s="23" t="str">
        <f>IFERROR((VLOOKUP($C165,装備品!$1:$998,COLUMN(L$1),FALSE)+VLOOKUP($D165,素材!$1:$1016,COLUMN(I$1),FALSE))*100+IFERROR(VLOOKUP($CI165,付与!$1:$1167,COLUMN(P$1),FALSE),0),"")</f>
        <v/>
      </c>
      <c r="Q165" t="str">
        <f>IFERROR(ROUNDUP(VLOOKUP($C165,装備品!$1:$998,COLUMN(M$1),FALSE)*(VLOOKUP($D165,素材!$1:$1002,COLUMN(D$1),FALSE)/100),1),"")</f>
        <v/>
      </c>
      <c r="R165" t="str">
        <f>IFERROR(ROUNDUP(VLOOKUP($C165,装備品!$1:$998,COLUMN(N$1),FALSE)*(VLOOKUP($D165,素材!$1:$1002,COLUMN(D$1),FALSE)/100),1),"")</f>
        <v/>
      </c>
      <c r="S165">
        <f>IFERROR(VLOOKUP($C165,装備品!$1:$998,COLUMN(P$1),FALSE),"")</f>
        <v>0</v>
      </c>
      <c r="T165">
        <f>IFERROR(VLOOKUP($C165,装備品!$1:$998,COLUMN(Q$1),FALSE),"")</f>
        <v>0</v>
      </c>
      <c r="U165">
        <f>IFERROR(VLOOKUP($C165,装備品!$1:$998,COLUMN(R$1),FALSE),"")</f>
        <v>0</v>
      </c>
      <c r="V165">
        <f>IFERROR(VLOOKUP($C165,装備品!$1:$998,COLUMN(Q$1),FALSE),"")</f>
        <v>0</v>
      </c>
      <c r="W165">
        <f>IFERROR(VLOOKUP($C165,装備品!$1:$998,COLUMN(T$1),FALSE),"")</f>
        <v>0</v>
      </c>
      <c r="Y165">
        <f>IFERROR(VLOOKUP($C165,装備品!$1:$998,COLUMN(U$1),FALSE),"")</f>
        <v>0</v>
      </c>
      <c r="Z165" t="str">
        <f>IFERROR(ROUNDUP(VLOOKUP($C165,装備品!$1:$998,COLUMN(O$1),FALSE)*VLOOKUP($D165,素材!$1:$1016,COLUMN(E$1),FALSE),1),"")</f>
        <v/>
      </c>
      <c r="AA165">
        <f>IF(ISNUMBER(SEARCH(SUBSTITUTE(AA$1,RIGHT(AA$1,2),""),VLOOKUP($D165,素材!$1:$1016,COLUMN($F$1),FALSE))),VLOOKUP($C165,装備品!$1:$998,COLUMN($O$1),FALSE)*VLOOKUP($D165,素材!$1:$1016,COLUMN($E$1),FALSE)/(LEN(VLOOKUP($D165,素材!$1:$1016,COLUMN($F$1),FALSE))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B165">
        <f>IF(ISNUMBER(SEARCH(SUBSTITUTE(AB$1,RIGHT(AB$1,2),""),VLOOKUP($D165,素材!$1:$1016,COLUMN($F$1),FALSE))),VLOOKUP($C165,装備品!$1:$998,COLUMN($O$1),FALSE)*VLOOKUP($D165,素材!$1:$1016,COLUMN($E$1),FALSE)/(LEN(VLOOKUP($D165,素材!$1:$1016,COLUMN($F$1),FALSE))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C165">
        <f>IF(ISNUMBER(SEARCH(SUBSTITUTE(AC$1,RIGHT(AC$1,2),""),VLOOKUP($D165,素材!$1:$1016,COLUMN($F$1),FALSE))),VLOOKUP($C165,装備品!$1:$998,COLUMN($O$1),FALSE)*VLOOKUP($D165,素材!$1:$1016,COLUMN($E$1),FALSE)/(LEN(VLOOKUP($D165,素材!$1:$1016,COLUMN($F$1),FALSE))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D165">
        <f>IF(ISNUMBER(SEARCH(SUBSTITUTE(AD$1,RIGHT(AD$1,2),""),VLOOKUP($D165,素材!$1:$1016,COLUMN($F$1),FALSE))),VLOOKUP($C165,装備品!$1:$998,COLUMN($O$1),FALSE)*VLOOKUP($D165,素材!$1:$1016,COLUMN($E$1),FALSE)/(LEN(VLOOKUP($D165,素材!$1:$1016,COLUMN($F$1),FALSE))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E165">
        <f>IF(ISNUMBER(SEARCH(SUBSTITUTE(AE$1,RIGHT(AE$1,2),""),VLOOKUP($D165,素材!$1:$1016,COLUMN($F$1),FALSE))),VLOOKUP($C165,装備品!$1:$998,COLUMN($O$1),FALSE)*VLOOKUP($D165,素材!$1:$1016,COLUMN($E$1),FALSE)/(LEN(VLOOKUP($D165,素材!$1:$1016,COLUMN($F$1),FALSE))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F165">
        <f>IF(ISNUMBER(SEARCH(SUBSTITUTE(AF$1,RIGHT(AF$1,2),""),VLOOKUP($D165,素材!$1:$1016,COLUMN($F$1),FALSE))),VLOOKUP($C165,装備品!$1:$998,COLUMN($O$1),FALSE)*VLOOKUP($D165,素材!$1:$1016,COLUMN($E$1),FALSE)/(LEN(VLOOKUP($D165,素材!$1:$1016,COLUMN($F$1),FALSE))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G165">
        <f>IF(ISNUMBER(SEARCH(SUBSTITUTE(AG$1,RIGHT(AG$1,2),""),VLOOKUP($D165,素材!$1:$1016,COLUMN($F$1),FALSE))),VLOOKUP($C165,装備品!$1:$998,COLUMN($O$1),FALSE)*VLOOKUP($D165,素材!$1:$1016,COLUMN($E$1),FALSE)/(LEN(VLOOKUP($D165,素材!$1:$1016,COLUMN($F$1),FALSE))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H165">
        <f>IF(ISNUMBER(SEARCH(SUBSTITUTE(AH$1,RIGHT(AH$1,2),""),VLOOKUP($D165,素材!$1:$1016,COLUMN($F$1),FALSE))),VLOOKUP($C165,装備品!$1:$998,COLUMN($O$1),FALSE)*VLOOKUP($D165,素材!$1:$1016,COLUMN($E$1),FALSE)/(LEN(VLOOKUP($D165,素材!$1:$1016,COLUMN($F$1),FALSE))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I165">
        <f>IF(ISNUMBER(SEARCH(SUBSTITUTE(AI$1,RIGHT(AI$1,2),""),VLOOKUP($D165,素材!$1:$1016,COLUMN($F$1),FALSE))),VLOOKUP($C165,装備品!$1:$998,COLUMN($O$1),FALSE)*VLOOKUP($D165,素材!$1:$1016,COLUMN($E$1),FALSE)/(LEN(VLOOKUP($D165,素材!$1:$1016,COLUMN($F$1),FALSE))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J165">
        <f>IF(ISNUMBER(SEARCH(SUBSTITUTE(AJ$1,RIGHT(AJ$1,2),""),VLOOKUP($D165,素材!$1:$1016,COLUMN($F$1),FALSE))),VLOOKUP($C165,装備品!$1:$998,COLUMN($O$1),FALSE)*VLOOKUP($D165,素材!$1:$1016,COLUMN($E$1),FALSE)/(LEN(VLOOKUP($D165,素材!$1:$1016,COLUMN($F$1),FALSE))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K165">
        <f>IF(ISNUMBER(SEARCH(SUBSTITUTE(AK$1,RIGHT(AK$1,2),""),VLOOKUP($D165,素材!$1:$1016,COLUMN($F$1),FALSE))),VLOOKUP($C165,装備品!$1:$998,COLUMN($O$1),FALSE)*VLOOKUP($D165,素材!$1:$1016,COLUMN($E$1),FALSE)/(LEN(VLOOKUP($D165,素材!$1:$1016,COLUMN($F$1),FALSE))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L165">
        <f>IF(ISNUMBER(SEARCH(SUBSTITUTE(AL$1,RIGHT(AL$1,2),""),VLOOKUP($D165,素材!$1:$1016,COLUMN($F$1),FALSE))),VLOOKUP($C165,装備品!$1:$998,COLUMN($O$1),FALSE)*VLOOKUP($D165,素材!$1:$1016,COLUMN($E$1),FALSE)/(LEN(VLOOKUP($D165,素材!$1:$1016,COLUMN($F$1),FALSE))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M165">
        <f>IF(ISNUMBER(SEARCH(SUBSTITUTE(AM$1,RIGHT(AM$1,2),""),VLOOKUP($D165,素材!$1:$1016,COLUMN($F$1),FALSE))),VLOOKUP($C165,装備品!$1:$998,COLUMN($O$1),FALSE)*VLOOKUP($D165,素材!$1:$1016,COLUMN($E$1),FALSE)/(LEN(VLOOKUP($D165,素材!$1:$1016,COLUMN($F$1),FALSE))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N165">
        <f>IF(ISNUMBER(SEARCH(SUBSTITUTE(AN$1,RIGHT(AN$1,2),""),VLOOKUP($D165,素材!$1:$1016,COLUMN($F$1),FALSE))),VLOOKUP($C165,装備品!$1:$998,COLUMN($O$1),FALSE)*VLOOKUP($D165,素材!$1:$1016,COLUMN($E$1),FALSE)/(LEN(VLOOKUP($D165,素材!$1:$1016,COLUMN($F$1),FALSE))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O165">
        <f>IF(ISNUMBER(SEARCH(SUBSTITUTE(AO$1,RIGHT(AO$1,2),""),VLOOKUP($D165,素材!$1:$1016,COLUMN($F$1),FALSE))),VLOOKUP($C165,装備品!$1:$998,COLUMN($O$1),FALSE)*VLOOKUP($D165,素材!$1:$1016,COLUMN($E$1),FALSE)/(LEN(VLOOKUP($D165,素材!$1:$1016,COLUMN($F$1),FALSE))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P165">
        <f>IF(ISNUMBER(SEARCH(SUBSTITUTE(AP$1,RIGHT(AP$1,2),""),VLOOKUP($D165,素材!$1:$1016,COLUMN($F$1),FALSE))),VLOOKUP($C165,装備品!$1:$998,COLUMN($O$1),FALSE)*VLOOKUP($D165,素材!$1:$1016,COLUMN($E$1),FALSE)/(LEN(VLOOKUP($D165,素材!$1:$1016,COLUMN($F$1),FALSE))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Q165">
        <f>IF(ISNUMBER(SEARCH(SUBSTITUTE(AQ$1,RIGHT(AQ$1,2),""),VLOOKUP($D165,素材!$1:$1016,COLUMN($F$1),FALSE))),VLOOKUP($C165,装備品!$1:$998,COLUMN($O$1),FALSE)*VLOOKUP($D165,素材!$1:$1016,COLUMN($E$1),FALSE)/(LEN(VLOOKUP($D165,素材!$1:$1016,COLUMN($F$1),FALSE))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R165">
        <f>IF(ISNUMBER(SEARCH(SUBSTITUTE(AR$1,RIGHT(AR$1,2),""),VLOOKUP($D165,素材!$1:$1016,COLUMN($F$1),FALSE))),VLOOKUP($C165,装備品!$1:$998,COLUMN($O$1),FALSE)*VLOOKUP($D165,素材!$1:$1016,COLUMN($E$1),FALSE)/(LEN(VLOOKUP($D165,素材!$1:$1016,COLUMN($F$1),FALSE))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S165">
        <f>IF(ISNUMBER(SEARCH(SUBSTITUTE(AS$1,RIGHT(AS$1,2),""),VLOOKUP($D165,素材!$1:$1016,COLUMN($F$1),FALSE))),VLOOKUP($C165,装備品!$1:$998,COLUMN($O$1),FALSE)*VLOOKUP($D165,素材!$1:$1016,COLUMN($E$1),FALSE)/(LEN(VLOOKUP($D165,素材!$1:$1016,COLUMN($F$1),FALSE))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T165">
        <f>IF(ISNUMBER(SEARCH(SUBSTITUTE(AT$1,RIGHT(AT$1,2),""),VLOOKUP($D165,素材!$1:$1016,COLUMN($F$1),FALSE))),VLOOKUP($C165,装備品!$1:$998,COLUMN($O$1),FALSE)*VLOOKUP($D165,素材!$1:$1016,COLUMN($E$1),FALSE)/(LEN(VLOOKUP($D165,素材!$1:$1016,COLUMN($F$1),FALSE))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U165">
        <f>IF(ISNUMBER(SEARCH(SUBSTITUTE(AU$1,RIGHT(AU$1,2),""),VLOOKUP($D165,素材!$1:$1016,COLUMN($F$1),FALSE))),VLOOKUP($C165,装備品!$1:$998,COLUMN($O$1),FALSE)*VLOOKUP($D165,素材!$1:$1016,COLUMN($E$1),FALSE)/(LEN(VLOOKUP($D165,素材!$1:$1016,COLUMN($F$1),FALSE))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V165">
        <f>IF(ISNUMBER(SEARCH(SUBSTITUTE(AV$1,RIGHT(AV$1,2),""),VLOOKUP($D165,素材!$1:$1016,COLUMN($F$1),FALSE))),VLOOKUP($C165,装備品!$1:$998,COLUMN($O$1),FALSE)*VLOOKUP($D165,素材!$1:$1016,COLUMN($E$1),FALSE)/(LEN(VLOOKUP($D165,素材!$1:$1016,COLUMN($F$1),FALSE))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W165">
        <f>IF(ISNUMBER(SEARCH(SUBSTITUTE(AW$1,RIGHT(AW$1,2),""),VLOOKUP($D165,素材!$1:$1016,COLUMN($F$1),FALSE))),VLOOKUP($C165,装備品!$1:$998,COLUMN($O$1),FALSE)*VLOOKUP($D165,素材!$1:$1016,COLUMN($E$1),FALSE)/(LEN(VLOOKUP($D165,素材!$1:$1016,COLUMN($F$1),FALSE))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X165">
        <f>IF(ISNUMBER(SEARCH(SUBSTITUTE(AX$1,RIGHT(AX$1,2),""),VLOOKUP($D165,素材!$1:$1016,COLUMN($F$1),FALSE))),VLOOKUP($C165,装備品!$1:$998,COLUMN($O$1),FALSE)*VLOOKUP($D165,素材!$1:$1016,COLUMN($E$1),FALSE)/(LEN(VLOOKUP($D165,素材!$1:$1016,COLUMN($F$1),FALSE))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Y165">
        <f>IF(ISNUMBER(SEARCH(SUBSTITUTE(AY$1,RIGHT(AY$1,2),""),VLOOKUP($D165,素材!$1:$1016,COLUMN($F$1),FALSE))),VLOOKUP($C165,装備品!$1:$998,COLUMN($O$1),FALSE)*VLOOKUP($D165,素材!$1:$1016,COLUMN($E$1),FALSE)/(LEN(VLOOKUP($D165,素材!$1:$1016,COLUMN($F$1),FALSE))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Z165">
        <f>IF(ISNUMBER(SEARCH(SUBSTITUTE(AZ$1,RIGHT(AZ$1,2),""),VLOOKUP($D165,素材!$1:$1016,COLUMN($F$1),FALSE))),VLOOKUP($C165,装備品!$1:$998,COLUMN($O$1),FALSE)*VLOOKUP($D165,素材!$1:$1016,COLUMN($E$1),FALSE)/(LEN(VLOOKUP($D165,素材!$1:$1016,COLUMN($F$1),FALSE))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BA165">
        <f>IF(ISNUMBER(SEARCH(SUBSTITUTE(BA$1,RIGHT(BA$1,2),""),VLOOKUP($D165,素材!$1:$1016,COLUMN($F$1),FALSE))),VLOOKUP($C165,装備品!$1:$998,COLUMN($O$1),FALSE)*VLOOKUP($D165,素材!$1:$1016,COLUMN($E$1),FALSE)/(LEN(VLOOKUP($D165,素材!$1:$1016,COLUMN($F$1),FALSE))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BB165">
        <f>IF(ISNUMBER(SEARCH(SUBSTITUTE(BB$1,RIGHT(BB$1,2),""),VLOOKUP($D165,素材!$1:$1016,COLUMN($F$1),FALSE))),VLOOKUP($C165,装備品!$1:$998,COLUMN($O$1),FALSE)*VLOOKUP($D165,素材!$1:$1016,COLUMN($E$1),FALSE)/(LEN(VLOOKUP($D165,素材!$1:$1016,COLUMN($F$1),FALSE))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BC165">
        <f>IF(ISNUMBER(SEARCH(SUBSTITUTE(BC$1,RIGHT(BC$1,2),""),VLOOKUP($D165,素材!$1:$1016,COLUMN($F$1),FALSE))),VLOOKUP($C165,装備品!$1:$998,COLUMN($O$1),FALSE)*VLOOKUP($D165,素材!$1:$1016,COLUMN($E$1),FALSE)/(LEN(VLOOKUP($D165,素材!$1:$1016,COLUMN($F$1),FALSE))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BD165">
        <f>IF(ISNUMBER(SEARCH(SUBSTITUTE(BD$1,RIGHT(BD$1,2),""),VLOOKUP($D165,素材!$1:$1016,COLUMN($F$1),FALSE))),VLOOKUP($C165,装備品!$1:$998,COLUMN($O$1),FALSE)*VLOOKUP($D165,素材!$1:$1016,COLUMN($E$1),FALSE)/(LEN(VLOOKUP($D165,素材!$1:$1016,COLUMN($F$1),FALSE))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BE165">
        <f>IF(ISNUMBER(SEARCH(SUBSTITUTE(BE$1,RIGHT(BE$1,2),""),VLOOKUP($D165,素材!$1:$1016,COLUMN($F$1),FALSE))),VLOOKUP($C165,装備品!$1:$998,COLUMN($O$1),FALSE)*VLOOKUP($D165,素材!$1:$1016,COLUMN($E$1),FALSE)/(LEN(VLOOKUP($D165,素材!$1:$1016,COLUMN($F$1),FALSE))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CL165">
        <f t="shared" si="19"/>
        <v>0</v>
      </c>
      <c r="CM165" s="22" t="e">
        <f t="shared" si="20"/>
        <v>#VALUE!</v>
      </c>
      <c r="CN165" t="str">
        <f>IFERROR(VLOOKUP($C165,装備品!$1:$998,COLUMN(V$1),FALSE)*VLOOKUP($D165,素材!$1:$1016,COLUMN(N$1),FALSE)+IF(CI165="",0,VLOOKUP($CI165,付与!$1:$1176,COLUMN($CK$1),FALSE)),"")</f>
        <v/>
      </c>
      <c r="CO165" t="e">
        <f>VLOOKUP(D165,素材!$A:$O,COLUMN(素材!O$1),FALSE)</f>
        <v>#N/A</v>
      </c>
      <c r="CP165" t="str">
        <f>VLOOKUP(C165,装備品!$A:$AB,COLUMN(装備品!AB$1),FALSE)</f>
        <v>刺剣。小型で精密な攻撃が可能な武器。</v>
      </c>
      <c r="CR165" t="str">
        <f t="shared" si="24"/>
        <v>e_165</v>
      </c>
      <c r="CS165" t="e">
        <f t="shared" si="28"/>
        <v>#VALUE!</v>
      </c>
    </row>
    <row r="166" spans="1:97" outlineLevel="1" x14ac:dyDescent="0.4">
      <c r="A166" t="str">
        <f t="shared" si="33"/>
        <v>黒鋼鉄の短槍</v>
      </c>
      <c r="B166" t="str">
        <f>IFERROR(VLOOKUP($D166,素材!$1:$1016,COLUMN($B$1),FALSE)&amp;"・"&amp;VLOOKUP($C166,装備品!$1:$998,COLUMN(B$1),FALSE),"")</f>
        <v/>
      </c>
      <c r="C166" s="24" t="s">
        <v>233</v>
      </c>
      <c r="D166" s="24" t="s">
        <v>243</v>
      </c>
      <c r="E166" t="str">
        <f>IFERROR(VLOOKUP(C166,装備品!$1:$998,COLUMN(C$1),FALSE),"")</f>
        <v>武器</v>
      </c>
      <c r="F166" t="str">
        <f>IFERROR(ROUNDDOWN((VLOOKUP($C166,装備品!$1:$998,COLUMN(D$1),FALSE)+IFERROR(VLOOKUP($CI166,付与!$1:$1167,COLUMN(F$1),FALSE),0))*VLOOKUP($D166,素材!$1:$1016,COLUMN(D$1),FALSE),0),"")</f>
        <v/>
      </c>
      <c r="G166" t="str">
        <f>IFERROR(ROUNDDOWN((VLOOKUP($C166,装備品!$1:$998,COLUMN(E$1),FALSE)+IFERROR(VLOOKUP($CI166,付与!$1:$1167,COLUMN(G$1),FALSE),0))*VLOOKUP($D166,素材!$1:$1016,COLUMN($E$1),FALSE),0),"")</f>
        <v/>
      </c>
      <c r="H166" t="str">
        <f>IFERROR(ROUNDDOWN((VLOOKUP($C166,装備品!$1:$998,COLUMN(F$1),FALSE)+IFERROR(VLOOKUP($CI166,付与!$1:$1167,COLUMN(H$1),FALSE),0))*VLOOKUP($D166,素材!$1:$1016,COLUMN($E$1),FALSE),0),"")</f>
        <v/>
      </c>
      <c r="I166" t="str">
        <f>IFERROR(ROUNDDOWN((VLOOKUP($C166,装備品!$1:$998,COLUMN(G$1),FALSE)+IFERROR(VLOOKUP($CI166,付与!$1:$1167,COLUMN(I$1),FALSE),0))*VLOOKUP($D166,素材!$1:$1016,COLUMN($E$1),FALSE),0),"")</f>
        <v/>
      </c>
      <c r="J166" t="str">
        <f>IFERROR(ROUNDDOWN((VLOOKUP($C166,装備品!$1:$998,COLUMN(H$1),FALSE)+IFERROR(VLOOKUP($CI166,付与!$1:$1167,COLUMN(J$1),FALSE),0))*VLOOKUP($D166,素材!$1:$1016,COLUMN($E$1),FALSE),0),"")</f>
        <v/>
      </c>
      <c r="K166" t="str">
        <f>IFERROR(ROUNDDOWN((VLOOKUP($C166,装備品!$1:$998,COLUMN(I$1),FALSE)+IFERROR(VLOOKUP($CI166,付与!$1:$1167,COLUMN(K$1),FALSE),0))*VLOOKUP($D166,素材!$1:$1016,COLUMN($E$1),FALSE),0),"")</f>
        <v/>
      </c>
      <c r="L166" t="str">
        <f>IFERROR(VLOOKUP($D166,素材!$1:$1016,COLUMN($F$1),FALSE),"")</f>
        <v/>
      </c>
      <c r="M166" t="str">
        <f>IFERROR(VLOOKUP($C166,装備品!$1:$998,COLUMN(AA$1),FALSE)*VLOOKUP($D166,素材!$1:$1016,COLUMN($G$1),FALSE),"")</f>
        <v/>
      </c>
      <c r="N166">
        <f>IFERROR(VLOOKUP($C166,装備品!$1:$998,COLUMN(I$1),FALSE),"")</f>
        <v>0</v>
      </c>
      <c r="O166" s="23" t="str">
        <f>IFERROR((VLOOKUP($C166,装備品!$1:$998,COLUMN(K$1),FALSE)+VLOOKUP($D166,素材!$1:$1016,COLUMN(H$1),FALSE))*100+IFERROR(VLOOKUP($CI166,付与!$1:$1167,COLUMN(O$1),FALSE),0),"")</f>
        <v/>
      </c>
      <c r="P166" s="23" t="str">
        <f>IFERROR((VLOOKUP($C166,装備品!$1:$998,COLUMN(L$1),FALSE)+VLOOKUP($D166,素材!$1:$1016,COLUMN(I$1),FALSE))*100+IFERROR(VLOOKUP($CI166,付与!$1:$1167,COLUMN(P$1),FALSE),0),"")</f>
        <v/>
      </c>
      <c r="Q166" t="str">
        <f>IFERROR(ROUNDUP(VLOOKUP($C166,装備品!$1:$998,COLUMN(M$1),FALSE)*(VLOOKUP($D166,素材!$1:$1002,COLUMN(D$1),FALSE)/100),1),"")</f>
        <v/>
      </c>
      <c r="R166" t="str">
        <f>IFERROR(ROUNDUP(VLOOKUP($C166,装備品!$1:$998,COLUMN(N$1),FALSE)*(VLOOKUP($D166,素材!$1:$1002,COLUMN(D$1),FALSE)/100),1),"")</f>
        <v/>
      </c>
      <c r="S166">
        <f>IFERROR(VLOOKUP($C166,装備品!$1:$998,COLUMN(P$1),FALSE),"")</f>
        <v>0</v>
      </c>
      <c r="T166">
        <f>IFERROR(VLOOKUP($C166,装備品!$1:$998,COLUMN(Q$1),FALSE),"")</f>
        <v>0</v>
      </c>
      <c r="U166">
        <f>IFERROR(VLOOKUP($C166,装備品!$1:$998,COLUMN(R$1),FALSE),"")</f>
        <v>0</v>
      </c>
      <c r="V166">
        <f>IFERROR(VLOOKUP($C166,装備品!$1:$998,COLUMN(Q$1),FALSE),"")</f>
        <v>0</v>
      </c>
      <c r="W166">
        <f>IFERROR(VLOOKUP($C166,装備品!$1:$998,COLUMN(T$1),FALSE),"")</f>
        <v>0</v>
      </c>
      <c r="Y166">
        <f>IFERROR(VLOOKUP($C166,装備品!$1:$998,COLUMN(U$1),FALSE),"")</f>
        <v>0</v>
      </c>
      <c r="Z166" t="str">
        <f>IFERROR(ROUNDUP(VLOOKUP($C166,装備品!$1:$998,COLUMN(O$1),FALSE)*VLOOKUP($D166,素材!$1:$1016,COLUMN(E$1),FALSE),1),"")</f>
        <v/>
      </c>
      <c r="AA166">
        <f>IF(ISNUMBER(SEARCH(SUBSTITUTE(AA$1,RIGHT(AA$1,2),""),VLOOKUP($D166,素材!$1:$1016,COLUMN($F$1),FALSE))),VLOOKUP($C166,装備品!$1:$998,COLUMN($O$1),FALSE)*VLOOKUP($D166,素材!$1:$1016,COLUMN($E$1),FALSE)/(LEN(VLOOKUP($D166,素材!$1:$1016,COLUMN($F$1),FALSE))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B166">
        <f>IF(ISNUMBER(SEARCH(SUBSTITUTE(AB$1,RIGHT(AB$1,2),""),VLOOKUP($D166,素材!$1:$1016,COLUMN($F$1),FALSE))),VLOOKUP($C166,装備品!$1:$998,COLUMN($O$1),FALSE)*VLOOKUP($D166,素材!$1:$1016,COLUMN($E$1),FALSE)/(LEN(VLOOKUP($D166,素材!$1:$1016,COLUMN($F$1),FALSE))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C166">
        <f>IF(ISNUMBER(SEARCH(SUBSTITUTE(AC$1,RIGHT(AC$1,2),""),VLOOKUP($D166,素材!$1:$1016,COLUMN($F$1),FALSE))),VLOOKUP($C166,装備品!$1:$998,COLUMN($O$1),FALSE)*VLOOKUP($D166,素材!$1:$1016,COLUMN($E$1),FALSE)/(LEN(VLOOKUP($D166,素材!$1:$1016,COLUMN($F$1),FALSE))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D166">
        <f>IF(ISNUMBER(SEARCH(SUBSTITUTE(AD$1,RIGHT(AD$1,2),""),VLOOKUP($D166,素材!$1:$1016,COLUMN($F$1),FALSE))),VLOOKUP($C166,装備品!$1:$998,COLUMN($O$1),FALSE)*VLOOKUP($D166,素材!$1:$1016,COLUMN($E$1),FALSE)/(LEN(VLOOKUP($D166,素材!$1:$1016,COLUMN($F$1),FALSE))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E166">
        <f>IF(ISNUMBER(SEARCH(SUBSTITUTE(AE$1,RIGHT(AE$1,2),""),VLOOKUP($D166,素材!$1:$1016,COLUMN($F$1),FALSE))),VLOOKUP($C166,装備品!$1:$998,COLUMN($O$1),FALSE)*VLOOKUP($D166,素材!$1:$1016,COLUMN($E$1),FALSE)/(LEN(VLOOKUP($D166,素材!$1:$1016,COLUMN($F$1),FALSE))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F166">
        <f>IF(ISNUMBER(SEARCH(SUBSTITUTE(AF$1,RIGHT(AF$1,2),""),VLOOKUP($D166,素材!$1:$1016,COLUMN($F$1),FALSE))),VLOOKUP($C166,装備品!$1:$998,COLUMN($O$1),FALSE)*VLOOKUP($D166,素材!$1:$1016,COLUMN($E$1),FALSE)/(LEN(VLOOKUP($D166,素材!$1:$1016,COLUMN($F$1),FALSE))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G166">
        <f>IF(ISNUMBER(SEARCH(SUBSTITUTE(AG$1,RIGHT(AG$1,2),""),VLOOKUP($D166,素材!$1:$1016,COLUMN($F$1),FALSE))),VLOOKUP($C166,装備品!$1:$998,COLUMN($O$1),FALSE)*VLOOKUP($D166,素材!$1:$1016,COLUMN($E$1),FALSE)/(LEN(VLOOKUP($D166,素材!$1:$1016,COLUMN($F$1),FALSE))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H166">
        <f>IF(ISNUMBER(SEARCH(SUBSTITUTE(AH$1,RIGHT(AH$1,2),""),VLOOKUP($D166,素材!$1:$1016,COLUMN($F$1),FALSE))),VLOOKUP($C166,装備品!$1:$998,COLUMN($O$1),FALSE)*VLOOKUP($D166,素材!$1:$1016,COLUMN($E$1),FALSE)/(LEN(VLOOKUP($D166,素材!$1:$1016,COLUMN($F$1),FALSE))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I166">
        <f>IF(ISNUMBER(SEARCH(SUBSTITUTE(AI$1,RIGHT(AI$1,2),""),VLOOKUP($D166,素材!$1:$1016,COLUMN($F$1),FALSE))),VLOOKUP($C166,装備品!$1:$998,COLUMN($O$1),FALSE)*VLOOKUP($D166,素材!$1:$1016,COLUMN($E$1),FALSE)/(LEN(VLOOKUP($D166,素材!$1:$1016,COLUMN($F$1),FALSE))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J166">
        <f>IF(ISNUMBER(SEARCH(SUBSTITUTE(AJ$1,RIGHT(AJ$1,2),""),VLOOKUP($D166,素材!$1:$1016,COLUMN($F$1),FALSE))),VLOOKUP($C166,装備品!$1:$998,COLUMN($O$1),FALSE)*VLOOKUP($D166,素材!$1:$1016,COLUMN($E$1),FALSE)/(LEN(VLOOKUP($D166,素材!$1:$1016,COLUMN($F$1),FALSE))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K166">
        <f>IF(ISNUMBER(SEARCH(SUBSTITUTE(AK$1,RIGHT(AK$1,2),""),VLOOKUP($D166,素材!$1:$1016,COLUMN($F$1),FALSE))),VLOOKUP($C166,装備品!$1:$998,COLUMN($O$1),FALSE)*VLOOKUP($D166,素材!$1:$1016,COLUMN($E$1),FALSE)/(LEN(VLOOKUP($D166,素材!$1:$1016,COLUMN($F$1),FALSE))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L166">
        <f>IF(ISNUMBER(SEARCH(SUBSTITUTE(AL$1,RIGHT(AL$1,2),""),VLOOKUP($D166,素材!$1:$1016,COLUMN($F$1),FALSE))),VLOOKUP($C166,装備品!$1:$998,COLUMN($O$1),FALSE)*VLOOKUP($D166,素材!$1:$1016,COLUMN($E$1),FALSE)/(LEN(VLOOKUP($D166,素材!$1:$1016,COLUMN($F$1),FALSE))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M166">
        <f>IF(ISNUMBER(SEARCH(SUBSTITUTE(AM$1,RIGHT(AM$1,2),""),VLOOKUP($D166,素材!$1:$1016,COLUMN($F$1),FALSE))),VLOOKUP($C166,装備品!$1:$998,COLUMN($O$1),FALSE)*VLOOKUP($D166,素材!$1:$1016,COLUMN($E$1),FALSE)/(LEN(VLOOKUP($D166,素材!$1:$1016,COLUMN($F$1),FALSE))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N166">
        <f>IF(ISNUMBER(SEARCH(SUBSTITUTE(AN$1,RIGHT(AN$1,2),""),VLOOKUP($D166,素材!$1:$1016,COLUMN($F$1),FALSE))),VLOOKUP($C166,装備品!$1:$998,COLUMN($O$1),FALSE)*VLOOKUP($D166,素材!$1:$1016,COLUMN($E$1),FALSE)/(LEN(VLOOKUP($D166,素材!$1:$1016,COLUMN($F$1),FALSE))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O166">
        <f>IF(ISNUMBER(SEARCH(SUBSTITUTE(AO$1,RIGHT(AO$1,2),""),VLOOKUP($D166,素材!$1:$1016,COLUMN($F$1),FALSE))),VLOOKUP($C166,装備品!$1:$998,COLUMN($O$1),FALSE)*VLOOKUP($D166,素材!$1:$1016,COLUMN($E$1),FALSE)/(LEN(VLOOKUP($D166,素材!$1:$1016,COLUMN($F$1),FALSE))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P166">
        <f>IF(ISNUMBER(SEARCH(SUBSTITUTE(AP$1,RIGHT(AP$1,2),""),VLOOKUP($D166,素材!$1:$1016,COLUMN($F$1),FALSE))),VLOOKUP($C166,装備品!$1:$998,COLUMN($O$1),FALSE)*VLOOKUP($D166,素材!$1:$1016,COLUMN($E$1),FALSE)/(LEN(VLOOKUP($D166,素材!$1:$1016,COLUMN($F$1),FALSE))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Q166">
        <f>IF(ISNUMBER(SEARCH(SUBSTITUTE(AQ$1,RIGHT(AQ$1,2),""),VLOOKUP($D166,素材!$1:$1016,COLUMN($F$1),FALSE))),VLOOKUP($C166,装備品!$1:$998,COLUMN($O$1),FALSE)*VLOOKUP($D166,素材!$1:$1016,COLUMN($E$1),FALSE)/(LEN(VLOOKUP($D166,素材!$1:$1016,COLUMN($F$1),FALSE))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R166">
        <f>IF(ISNUMBER(SEARCH(SUBSTITUTE(AR$1,RIGHT(AR$1,2),""),VLOOKUP($D166,素材!$1:$1016,COLUMN($F$1),FALSE))),VLOOKUP($C166,装備品!$1:$998,COLUMN($O$1),FALSE)*VLOOKUP($D166,素材!$1:$1016,COLUMN($E$1),FALSE)/(LEN(VLOOKUP($D166,素材!$1:$1016,COLUMN($F$1),FALSE))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S166">
        <f>IF(ISNUMBER(SEARCH(SUBSTITUTE(AS$1,RIGHT(AS$1,2),""),VLOOKUP($D166,素材!$1:$1016,COLUMN($F$1),FALSE))),VLOOKUP($C166,装備品!$1:$998,COLUMN($O$1),FALSE)*VLOOKUP($D166,素材!$1:$1016,COLUMN($E$1),FALSE)/(LEN(VLOOKUP($D166,素材!$1:$1016,COLUMN($F$1),FALSE))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T166">
        <f>IF(ISNUMBER(SEARCH(SUBSTITUTE(AT$1,RIGHT(AT$1,2),""),VLOOKUP($D166,素材!$1:$1016,COLUMN($F$1),FALSE))),VLOOKUP($C166,装備品!$1:$998,COLUMN($O$1),FALSE)*VLOOKUP($D166,素材!$1:$1016,COLUMN($E$1),FALSE)/(LEN(VLOOKUP($D166,素材!$1:$1016,COLUMN($F$1),FALSE))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U166">
        <f>IF(ISNUMBER(SEARCH(SUBSTITUTE(AU$1,RIGHT(AU$1,2),""),VLOOKUP($D166,素材!$1:$1016,COLUMN($F$1),FALSE))),VLOOKUP($C166,装備品!$1:$998,COLUMN($O$1),FALSE)*VLOOKUP($D166,素材!$1:$1016,COLUMN($E$1),FALSE)/(LEN(VLOOKUP($D166,素材!$1:$1016,COLUMN($F$1),FALSE))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V166">
        <f>IF(ISNUMBER(SEARCH(SUBSTITUTE(AV$1,RIGHT(AV$1,2),""),VLOOKUP($D166,素材!$1:$1016,COLUMN($F$1),FALSE))),VLOOKUP($C166,装備品!$1:$998,COLUMN($O$1),FALSE)*VLOOKUP($D166,素材!$1:$1016,COLUMN($E$1),FALSE)/(LEN(VLOOKUP($D166,素材!$1:$1016,COLUMN($F$1),FALSE))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W166">
        <f>IF(ISNUMBER(SEARCH(SUBSTITUTE(AW$1,RIGHT(AW$1,2),""),VLOOKUP($D166,素材!$1:$1016,COLUMN($F$1),FALSE))),VLOOKUP($C166,装備品!$1:$998,COLUMN($O$1),FALSE)*VLOOKUP($D166,素材!$1:$1016,COLUMN($E$1),FALSE)/(LEN(VLOOKUP($D166,素材!$1:$1016,COLUMN($F$1),FALSE))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X166">
        <f>IF(ISNUMBER(SEARCH(SUBSTITUTE(AX$1,RIGHT(AX$1,2),""),VLOOKUP($D166,素材!$1:$1016,COLUMN($F$1),FALSE))),VLOOKUP($C166,装備品!$1:$998,COLUMN($O$1),FALSE)*VLOOKUP($D166,素材!$1:$1016,COLUMN($E$1),FALSE)/(LEN(VLOOKUP($D166,素材!$1:$1016,COLUMN($F$1),FALSE))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Y166">
        <f>IF(ISNUMBER(SEARCH(SUBSTITUTE(AY$1,RIGHT(AY$1,2),""),VLOOKUP($D166,素材!$1:$1016,COLUMN($F$1),FALSE))),VLOOKUP($C166,装備品!$1:$998,COLUMN($O$1),FALSE)*VLOOKUP($D166,素材!$1:$1016,COLUMN($E$1),FALSE)/(LEN(VLOOKUP($D166,素材!$1:$1016,COLUMN($F$1),FALSE))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Z166">
        <f>IF(ISNUMBER(SEARCH(SUBSTITUTE(AZ$1,RIGHT(AZ$1,2),""),VLOOKUP($D166,素材!$1:$1016,COLUMN($F$1),FALSE))),VLOOKUP($C166,装備品!$1:$998,COLUMN($O$1),FALSE)*VLOOKUP($D166,素材!$1:$1016,COLUMN($E$1),FALSE)/(LEN(VLOOKUP($D166,素材!$1:$1016,COLUMN($F$1),FALSE))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BA166">
        <f>IF(ISNUMBER(SEARCH(SUBSTITUTE(BA$1,RIGHT(BA$1,2),""),VLOOKUP($D166,素材!$1:$1016,COLUMN($F$1),FALSE))),VLOOKUP($C166,装備品!$1:$998,COLUMN($O$1),FALSE)*VLOOKUP($D166,素材!$1:$1016,COLUMN($E$1),FALSE)/(LEN(VLOOKUP($D166,素材!$1:$1016,COLUMN($F$1),FALSE))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BB166">
        <f>IF(ISNUMBER(SEARCH(SUBSTITUTE(BB$1,RIGHT(BB$1,2),""),VLOOKUP($D166,素材!$1:$1016,COLUMN($F$1),FALSE))),VLOOKUP($C166,装備品!$1:$998,COLUMN($O$1),FALSE)*VLOOKUP($D166,素材!$1:$1016,COLUMN($E$1),FALSE)/(LEN(VLOOKUP($D166,素材!$1:$1016,COLUMN($F$1),FALSE))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BC166">
        <f>IF(ISNUMBER(SEARCH(SUBSTITUTE(BC$1,RIGHT(BC$1,2),""),VLOOKUP($D166,素材!$1:$1016,COLUMN($F$1),FALSE))),VLOOKUP($C166,装備品!$1:$998,COLUMN($O$1),FALSE)*VLOOKUP($D166,素材!$1:$1016,COLUMN($E$1),FALSE)/(LEN(VLOOKUP($D166,素材!$1:$1016,COLUMN($F$1),FALSE))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BD166">
        <f>IF(ISNUMBER(SEARCH(SUBSTITUTE(BD$1,RIGHT(BD$1,2),""),VLOOKUP($D166,素材!$1:$1016,COLUMN($F$1),FALSE))),VLOOKUP($C166,装備品!$1:$998,COLUMN($O$1),FALSE)*VLOOKUP($D166,素材!$1:$1016,COLUMN($E$1),FALSE)/(LEN(VLOOKUP($D166,素材!$1:$1016,COLUMN($F$1),FALSE))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BE166">
        <f>IF(ISNUMBER(SEARCH(SUBSTITUTE(BE$1,RIGHT(BE$1,2),""),VLOOKUP($D166,素材!$1:$1016,COLUMN($F$1),FALSE))),VLOOKUP($C166,装備品!$1:$998,COLUMN($O$1),FALSE)*VLOOKUP($D166,素材!$1:$1016,COLUMN($E$1),FALSE)/(LEN(VLOOKUP($D166,素材!$1:$1016,COLUMN($F$1),FALSE))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CL166">
        <f t="shared" si="19"/>
        <v>0</v>
      </c>
      <c r="CM166" s="22" t="e">
        <f t="shared" si="20"/>
        <v>#VALUE!</v>
      </c>
      <c r="CN166" t="str">
        <f>IFERROR(VLOOKUP($C166,装備品!$1:$998,COLUMN(V$1),FALSE)*VLOOKUP($D166,素材!$1:$1016,COLUMN(N$1),FALSE)+IF(CI166="",0,VLOOKUP($CI166,付与!$1:$1176,COLUMN($CK$1),FALSE)),"")</f>
        <v/>
      </c>
      <c r="CO166" t="e">
        <f>VLOOKUP(D166,素材!$A:$O,COLUMN(素材!O$1),FALSE)</f>
        <v>#N/A</v>
      </c>
      <c r="CP166" t="str">
        <f>VLOOKUP(C166,装備品!$A:$AB,COLUMN(装備品!AB$1),FALSE)</f>
        <v>短槍。短く扱いやすい槍で、投擲にも対応。</v>
      </c>
      <c r="CR166" t="str">
        <f t="shared" si="24"/>
        <v>e_166</v>
      </c>
      <c r="CS166" t="e">
        <f t="shared" si="28"/>
        <v>#VALUE!</v>
      </c>
    </row>
    <row r="167" spans="1:97" outlineLevel="1" x14ac:dyDescent="0.4">
      <c r="A167" t="str">
        <f t="shared" si="33"/>
        <v>黒鋼鉄の槍</v>
      </c>
      <c r="B167" t="str">
        <f>IFERROR(VLOOKUP($D167,素材!$1:$1016,COLUMN($B$1),FALSE)&amp;"・"&amp;VLOOKUP($C167,装備品!$1:$998,COLUMN(B$1),FALSE),"")</f>
        <v/>
      </c>
      <c r="C167" s="24" t="s">
        <v>232</v>
      </c>
      <c r="D167" s="24" t="s">
        <v>243</v>
      </c>
      <c r="E167" t="str">
        <f>IFERROR(VLOOKUP(C167,装備品!$1:$998,COLUMN(C$1),FALSE),"")</f>
        <v>武器</v>
      </c>
      <c r="F167" t="str">
        <f>IFERROR(ROUNDDOWN((VLOOKUP($C167,装備品!$1:$998,COLUMN(D$1),FALSE)+IFERROR(VLOOKUP($CI167,付与!$1:$1167,COLUMN(F$1),FALSE),0))*VLOOKUP($D167,素材!$1:$1016,COLUMN(D$1),FALSE),0),"")</f>
        <v/>
      </c>
      <c r="G167" t="str">
        <f>IFERROR(ROUNDDOWN((VLOOKUP($C167,装備品!$1:$998,COLUMN(E$1),FALSE)+IFERROR(VLOOKUP($CI167,付与!$1:$1167,COLUMN(G$1),FALSE),0))*VLOOKUP($D167,素材!$1:$1016,COLUMN($E$1),FALSE),0),"")</f>
        <v/>
      </c>
      <c r="H167" t="str">
        <f>IFERROR(ROUNDDOWN((VLOOKUP($C167,装備品!$1:$998,COLUMN(F$1),FALSE)+IFERROR(VLOOKUP($CI167,付与!$1:$1167,COLUMN(H$1),FALSE),0))*VLOOKUP($D167,素材!$1:$1016,COLUMN($E$1),FALSE),0),"")</f>
        <v/>
      </c>
      <c r="I167" t="str">
        <f>IFERROR(ROUNDDOWN((VLOOKUP($C167,装備品!$1:$998,COLUMN(G$1),FALSE)+IFERROR(VLOOKUP($CI167,付与!$1:$1167,COLUMN(I$1),FALSE),0))*VLOOKUP($D167,素材!$1:$1016,COLUMN($E$1),FALSE),0),"")</f>
        <v/>
      </c>
      <c r="J167" t="str">
        <f>IFERROR(ROUNDDOWN((VLOOKUP($C167,装備品!$1:$998,COLUMN(H$1),FALSE)+IFERROR(VLOOKUP($CI167,付与!$1:$1167,COLUMN(J$1),FALSE),0))*VLOOKUP($D167,素材!$1:$1016,COLUMN($E$1),FALSE),0),"")</f>
        <v/>
      </c>
      <c r="K167" t="str">
        <f>IFERROR(ROUNDDOWN((VLOOKUP($C167,装備品!$1:$998,COLUMN(I$1),FALSE)+IFERROR(VLOOKUP($CI167,付与!$1:$1167,COLUMN(K$1),FALSE),0))*VLOOKUP($D167,素材!$1:$1016,COLUMN($E$1),FALSE),0),"")</f>
        <v/>
      </c>
      <c r="L167" t="str">
        <f>IFERROR(VLOOKUP($D167,素材!$1:$1016,COLUMN($F$1),FALSE),"")</f>
        <v/>
      </c>
      <c r="M167" t="str">
        <f>IFERROR(VLOOKUP($C167,装備品!$1:$998,COLUMN(AA$1),FALSE)*VLOOKUP($D167,素材!$1:$1016,COLUMN($G$1),FALSE),"")</f>
        <v/>
      </c>
      <c r="N167">
        <f>IFERROR(VLOOKUP($C167,装備品!$1:$998,COLUMN(I$1),FALSE),"")</f>
        <v>0</v>
      </c>
      <c r="O167" s="23" t="str">
        <f>IFERROR((VLOOKUP($C167,装備品!$1:$998,COLUMN(K$1),FALSE)+VLOOKUP($D167,素材!$1:$1016,COLUMN(H$1),FALSE))*100+IFERROR(VLOOKUP($CI167,付与!$1:$1167,COLUMN(O$1),FALSE),0),"")</f>
        <v/>
      </c>
      <c r="P167" s="23" t="str">
        <f>IFERROR((VLOOKUP($C167,装備品!$1:$998,COLUMN(L$1),FALSE)+VLOOKUP($D167,素材!$1:$1016,COLUMN(I$1),FALSE))*100+IFERROR(VLOOKUP($CI167,付与!$1:$1167,COLUMN(P$1),FALSE),0),"")</f>
        <v/>
      </c>
      <c r="Q167" t="str">
        <f>IFERROR(ROUNDUP(VLOOKUP($C167,装備品!$1:$998,COLUMN(M$1),FALSE)*(VLOOKUP($D167,素材!$1:$1002,COLUMN(D$1),FALSE)/100),1),"")</f>
        <v/>
      </c>
      <c r="R167" t="str">
        <f>IFERROR(ROUNDUP(VLOOKUP($C167,装備品!$1:$998,COLUMN(N$1),FALSE)*(VLOOKUP($D167,素材!$1:$1002,COLUMN(D$1),FALSE)/100),1),"")</f>
        <v/>
      </c>
      <c r="S167">
        <f>IFERROR(VLOOKUP($C167,装備品!$1:$998,COLUMN(P$1),FALSE),"")</f>
        <v>0</v>
      </c>
      <c r="T167">
        <f>IFERROR(VLOOKUP($C167,装備品!$1:$998,COLUMN(Q$1),FALSE),"")</f>
        <v>0</v>
      </c>
      <c r="U167">
        <f>IFERROR(VLOOKUP($C167,装備品!$1:$998,COLUMN(R$1),FALSE),"")</f>
        <v>0</v>
      </c>
      <c r="V167">
        <f>IFERROR(VLOOKUP($C167,装備品!$1:$998,COLUMN(Q$1),FALSE),"")</f>
        <v>0</v>
      </c>
      <c r="W167">
        <f>IFERROR(VLOOKUP($C167,装備品!$1:$998,COLUMN(T$1),FALSE),"")</f>
        <v>0</v>
      </c>
      <c r="Y167">
        <f>IFERROR(VLOOKUP($C167,装備品!$1:$998,COLUMN(U$1),FALSE),"")</f>
        <v>0</v>
      </c>
      <c r="Z167" t="str">
        <f>IFERROR(ROUNDUP(VLOOKUP($C167,装備品!$1:$998,COLUMN(O$1),FALSE)*VLOOKUP($D167,素材!$1:$1016,COLUMN(E$1),FALSE),1),"")</f>
        <v/>
      </c>
      <c r="AA167">
        <f>IF(ISNUMBER(SEARCH(SUBSTITUTE(AA$1,RIGHT(AA$1,2),""),VLOOKUP($D167,素材!$1:$1016,COLUMN($F$1),FALSE))),VLOOKUP($C167,装備品!$1:$998,COLUMN($O$1),FALSE)*VLOOKUP($D167,素材!$1:$1016,COLUMN($E$1),FALSE)/(LEN(VLOOKUP($D167,素材!$1:$1016,COLUMN($F$1),FALSE))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B167">
        <f>IF(ISNUMBER(SEARCH(SUBSTITUTE(AB$1,RIGHT(AB$1,2),""),VLOOKUP($D167,素材!$1:$1016,COLUMN($F$1),FALSE))),VLOOKUP($C167,装備品!$1:$998,COLUMN($O$1),FALSE)*VLOOKUP($D167,素材!$1:$1016,COLUMN($E$1),FALSE)/(LEN(VLOOKUP($D167,素材!$1:$1016,COLUMN($F$1),FALSE))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C167">
        <f>IF(ISNUMBER(SEARCH(SUBSTITUTE(AC$1,RIGHT(AC$1,2),""),VLOOKUP($D167,素材!$1:$1016,COLUMN($F$1),FALSE))),VLOOKUP($C167,装備品!$1:$998,COLUMN($O$1),FALSE)*VLOOKUP($D167,素材!$1:$1016,COLUMN($E$1),FALSE)/(LEN(VLOOKUP($D167,素材!$1:$1016,COLUMN($F$1),FALSE))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D167">
        <f>IF(ISNUMBER(SEARCH(SUBSTITUTE(AD$1,RIGHT(AD$1,2),""),VLOOKUP($D167,素材!$1:$1016,COLUMN($F$1),FALSE))),VLOOKUP($C167,装備品!$1:$998,COLUMN($O$1),FALSE)*VLOOKUP($D167,素材!$1:$1016,COLUMN($E$1),FALSE)/(LEN(VLOOKUP($D167,素材!$1:$1016,COLUMN($F$1),FALSE))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E167">
        <f>IF(ISNUMBER(SEARCH(SUBSTITUTE(AE$1,RIGHT(AE$1,2),""),VLOOKUP($D167,素材!$1:$1016,COLUMN($F$1),FALSE))),VLOOKUP($C167,装備品!$1:$998,COLUMN($O$1),FALSE)*VLOOKUP($D167,素材!$1:$1016,COLUMN($E$1),FALSE)/(LEN(VLOOKUP($D167,素材!$1:$1016,COLUMN($F$1),FALSE))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F167">
        <f>IF(ISNUMBER(SEARCH(SUBSTITUTE(AF$1,RIGHT(AF$1,2),""),VLOOKUP($D167,素材!$1:$1016,COLUMN($F$1),FALSE))),VLOOKUP($C167,装備品!$1:$998,COLUMN($O$1),FALSE)*VLOOKUP($D167,素材!$1:$1016,COLUMN($E$1),FALSE)/(LEN(VLOOKUP($D167,素材!$1:$1016,COLUMN($F$1),FALSE))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G167">
        <f>IF(ISNUMBER(SEARCH(SUBSTITUTE(AG$1,RIGHT(AG$1,2),""),VLOOKUP($D167,素材!$1:$1016,COLUMN($F$1),FALSE))),VLOOKUP($C167,装備品!$1:$998,COLUMN($O$1),FALSE)*VLOOKUP($D167,素材!$1:$1016,COLUMN($E$1),FALSE)/(LEN(VLOOKUP($D167,素材!$1:$1016,COLUMN($F$1),FALSE))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H167">
        <f>IF(ISNUMBER(SEARCH(SUBSTITUTE(AH$1,RIGHT(AH$1,2),""),VLOOKUP($D167,素材!$1:$1016,COLUMN($F$1),FALSE))),VLOOKUP($C167,装備品!$1:$998,COLUMN($O$1),FALSE)*VLOOKUP($D167,素材!$1:$1016,COLUMN($E$1),FALSE)/(LEN(VLOOKUP($D167,素材!$1:$1016,COLUMN($F$1),FALSE))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I167">
        <f>IF(ISNUMBER(SEARCH(SUBSTITUTE(AI$1,RIGHT(AI$1,2),""),VLOOKUP($D167,素材!$1:$1016,COLUMN($F$1),FALSE))),VLOOKUP($C167,装備品!$1:$998,COLUMN($O$1),FALSE)*VLOOKUP($D167,素材!$1:$1016,COLUMN($E$1),FALSE)/(LEN(VLOOKUP($D167,素材!$1:$1016,COLUMN($F$1),FALSE))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J167">
        <f>IF(ISNUMBER(SEARCH(SUBSTITUTE(AJ$1,RIGHT(AJ$1,2),""),VLOOKUP($D167,素材!$1:$1016,COLUMN($F$1),FALSE))),VLOOKUP($C167,装備品!$1:$998,COLUMN($O$1),FALSE)*VLOOKUP($D167,素材!$1:$1016,COLUMN($E$1),FALSE)/(LEN(VLOOKUP($D167,素材!$1:$1016,COLUMN($F$1),FALSE))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K167">
        <f>IF(ISNUMBER(SEARCH(SUBSTITUTE(AK$1,RIGHT(AK$1,2),""),VLOOKUP($D167,素材!$1:$1016,COLUMN($F$1),FALSE))),VLOOKUP($C167,装備品!$1:$998,COLUMN($O$1),FALSE)*VLOOKUP($D167,素材!$1:$1016,COLUMN($E$1),FALSE)/(LEN(VLOOKUP($D167,素材!$1:$1016,COLUMN($F$1),FALSE))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L167">
        <f>IF(ISNUMBER(SEARCH(SUBSTITUTE(AL$1,RIGHT(AL$1,2),""),VLOOKUP($D167,素材!$1:$1016,COLUMN($F$1),FALSE))),VLOOKUP($C167,装備品!$1:$998,COLUMN($O$1),FALSE)*VLOOKUP($D167,素材!$1:$1016,COLUMN($E$1),FALSE)/(LEN(VLOOKUP($D167,素材!$1:$1016,COLUMN($F$1),FALSE))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M167">
        <f>IF(ISNUMBER(SEARCH(SUBSTITUTE(AM$1,RIGHT(AM$1,2),""),VLOOKUP($D167,素材!$1:$1016,COLUMN($F$1),FALSE))),VLOOKUP($C167,装備品!$1:$998,COLUMN($O$1),FALSE)*VLOOKUP($D167,素材!$1:$1016,COLUMN($E$1),FALSE)/(LEN(VLOOKUP($D167,素材!$1:$1016,COLUMN($F$1),FALSE))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N167">
        <f>IF(ISNUMBER(SEARCH(SUBSTITUTE(AN$1,RIGHT(AN$1,2),""),VLOOKUP($D167,素材!$1:$1016,COLUMN($F$1),FALSE))),VLOOKUP($C167,装備品!$1:$998,COLUMN($O$1),FALSE)*VLOOKUP($D167,素材!$1:$1016,COLUMN($E$1),FALSE)/(LEN(VLOOKUP($D167,素材!$1:$1016,COLUMN($F$1),FALSE))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O167">
        <f>IF(ISNUMBER(SEARCH(SUBSTITUTE(AO$1,RIGHT(AO$1,2),""),VLOOKUP($D167,素材!$1:$1016,COLUMN($F$1),FALSE))),VLOOKUP($C167,装備品!$1:$998,COLUMN($O$1),FALSE)*VLOOKUP($D167,素材!$1:$1016,COLUMN($E$1),FALSE)/(LEN(VLOOKUP($D167,素材!$1:$1016,COLUMN($F$1),FALSE))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P167">
        <f>IF(ISNUMBER(SEARCH(SUBSTITUTE(AP$1,RIGHT(AP$1,2),""),VLOOKUP($D167,素材!$1:$1016,COLUMN($F$1),FALSE))),VLOOKUP($C167,装備品!$1:$998,COLUMN($O$1),FALSE)*VLOOKUP($D167,素材!$1:$1016,COLUMN($E$1),FALSE)/(LEN(VLOOKUP($D167,素材!$1:$1016,COLUMN($F$1),FALSE))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Q167">
        <f>IF(ISNUMBER(SEARCH(SUBSTITUTE(AQ$1,RIGHT(AQ$1,2),""),VLOOKUP($D167,素材!$1:$1016,COLUMN($F$1),FALSE))),VLOOKUP($C167,装備品!$1:$998,COLUMN($O$1),FALSE)*VLOOKUP($D167,素材!$1:$1016,COLUMN($E$1),FALSE)/(LEN(VLOOKUP($D167,素材!$1:$1016,COLUMN($F$1),FALSE))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R167">
        <f>IF(ISNUMBER(SEARCH(SUBSTITUTE(AR$1,RIGHT(AR$1,2),""),VLOOKUP($D167,素材!$1:$1016,COLUMN($F$1),FALSE))),VLOOKUP($C167,装備品!$1:$998,COLUMN($O$1),FALSE)*VLOOKUP($D167,素材!$1:$1016,COLUMN($E$1),FALSE)/(LEN(VLOOKUP($D167,素材!$1:$1016,COLUMN($F$1),FALSE))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S167">
        <f>IF(ISNUMBER(SEARCH(SUBSTITUTE(AS$1,RIGHT(AS$1,2),""),VLOOKUP($D167,素材!$1:$1016,COLUMN($F$1),FALSE))),VLOOKUP($C167,装備品!$1:$998,COLUMN($O$1),FALSE)*VLOOKUP($D167,素材!$1:$1016,COLUMN($E$1),FALSE)/(LEN(VLOOKUP($D167,素材!$1:$1016,COLUMN($F$1),FALSE))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T167">
        <f>IF(ISNUMBER(SEARCH(SUBSTITUTE(AT$1,RIGHT(AT$1,2),""),VLOOKUP($D167,素材!$1:$1016,COLUMN($F$1),FALSE))),VLOOKUP($C167,装備品!$1:$998,COLUMN($O$1),FALSE)*VLOOKUP($D167,素材!$1:$1016,COLUMN($E$1),FALSE)/(LEN(VLOOKUP($D167,素材!$1:$1016,COLUMN($F$1),FALSE))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U167">
        <f>IF(ISNUMBER(SEARCH(SUBSTITUTE(AU$1,RIGHT(AU$1,2),""),VLOOKUP($D167,素材!$1:$1016,COLUMN($F$1),FALSE))),VLOOKUP($C167,装備品!$1:$998,COLUMN($O$1),FALSE)*VLOOKUP($D167,素材!$1:$1016,COLUMN($E$1),FALSE)/(LEN(VLOOKUP($D167,素材!$1:$1016,COLUMN($F$1),FALSE))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V167">
        <f>IF(ISNUMBER(SEARCH(SUBSTITUTE(AV$1,RIGHT(AV$1,2),""),VLOOKUP($D167,素材!$1:$1016,COLUMN($F$1),FALSE))),VLOOKUP($C167,装備品!$1:$998,COLUMN($O$1),FALSE)*VLOOKUP($D167,素材!$1:$1016,COLUMN($E$1),FALSE)/(LEN(VLOOKUP($D167,素材!$1:$1016,COLUMN($F$1),FALSE))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W167">
        <f>IF(ISNUMBER(SEARCH(SUBSTITUTE(AW$1,RIGHT(AW$1,2),""),VLOOKUP($D167,素材!$1:$1016,COLUMN($F$1),FALSE))),VLOOKUP($C167,装備品!$1:$998,COLUMN($O$1),FALSE)*VLOOKUP($D167,素材!$1:$1016,COLUMN($E$1),FALSE)/(LEN(VLOOKUP($D167,素材!$1:$1016,COLUMN($F$1),FALSE))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X167">
        <f>IF(ISNUMBER(SEARCH(SUBSTITUTE(AX$1,RIGHT(AX$1,2),""),VLOOKUP($D167,素材!$1:$1016,COLUMN($F$1),FALSE))),VLOOKUP($C167,装備品!$1:$998,COLUMN($O$1),FALSE)*VLOOKUP($D167,素材!$1:$1016,COLUMN($E$1),FALSE)/(LEN(VLOOKUP($D167,素材!$1:$1016,COLUMN($F$1),FALSE))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Y167">
        <f>IF(ISNUMBER(SEARCH(SUBSTITUTE(AY$1,RIGHT(AY$1,2),""),VLOOKUP($D167,素材!$1:$1016,COLUMN($F$1),FALSE))),VLOOKUP($C167,装備品!$1:$998,COLUMN($O$1),FALSE)*VLOOKUP($D167,素材!$1:$1016,COLUMN($E$1),FALSE)/(LEN(VLOOKUP($D167,素材!$1:$1016,COLUMN($F$1),FALSE))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Z167">
        <f>IF(ISNUMBER(SEARCH(SUBSTITUTE(AZ$1,RIGHT(AZ$1,2),""),VLOOKUP($D167,素材!$1:$1016,COLUMN($F$1),FALSE))),VLOOKUP($C167,装備品!$1:$998,COLUMN($O$1),FALSE)*VLOOKUP($D167,素材!$1:$1016,COLUMN($E$1),FALSE)/(LEN(VLOOKUP($D167,素材!$1:$1016,COLUMN($F$1),FALSE))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BA167">
        <f>IF(ISNUMBER(SEARCH(SUBSTITUTE(BA$1,RIGHT(BA$1,2),""),VLOOKUP($D167,素材!$1:$1016,COLUMN($F$1),FALSE))),VLOOKUP($C167,装備品!$1:$998,COLUMN($O$1),FALSE)*VLOOKUP($D167,素材!$1:$1016,COLUMN($E$1),FALSE)/(LEN(VLOOKUP($D167,素材!$1:$1016,COLUMN($F$1),FALSE))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BB167">
        <f>IF(ISNUMBER(SEARCH(SUBSTITUTE(BB$1,RIGHT(BB$1,2),""),VLOOKUP($D167,素材!$1:$1016,COLUMN($F$1),FALSE))),VLOOKUP($C167,装備品!$1:$998,COLUMN($O$1),FALSE)*VLOOKUP($D167,素材!$1:$1016,COLUMN($E$1),FALSE)/(LEN(VLOOKUP($D167,素材!$1:$1016,COLUMN($F$1),FALSE))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BC167">
        <f>IF(ISNUMBER(SEARCH(SUBSTITUTE(BC$1,RIGHT(BC$1,2),""),VLOOKUP($D167,素材!$1:$1016,COLUMN($F$1),FALSE))),VLOOKUP($C167,装備品!$1:$998,COLUMN($O$1),FALSE)*VLOOKUP($D167,素材!$1:$1016,COLUMN($E$1),FALSE)/(LEN(VLOOKUP($D167,素材!$1:$1016,COLUMN($F$1),FALSE))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BD167">
        <f>IF(ISNUMBER(SEARCH(SUBSTITUTE(BD$1,RIGHT(BD$1,2),""),VLOOKUP($D167,素材!$1:$1016,COLUMN($F$1),FALSE))),VLOOKUP($C167,装備品!$1:$998,COLUMN($O$1),FALSE)*VLOOKUP($D167,素材!$1:$1016,COLUMN($E$1),FALSE)/(LEN(VLOOKUP($D167,素材!$1:$1016,COLUMN($F$1),FALSE))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BE167">
        <f>IF(ISNUMBER(SEARCH(SUBSTITUTE(BE$1,RIGHT(BE$1,2),""),VLOOKUP($D167,素材!$1:$1016,COLUMN($F$1),FALSE))),VLOOKUP($C167,装備品!$1:$998,COLUMN($O$1),FALSE)*VLOOKUP($D167,素材!$1:$1016,COLUMN($E$1),FALSE)/(LEN(VLOOKUP($D167,素材!$1:$1016,COLUMN($F$1),FALSE))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CL167">
        <f t="shared" si="19"/>
        <v>0</v>
      </c>
      <c r="CM167" s="22" t="e">
        <f t="shared" si="20"/>
        <v>#VALUE!</v>
      </c>
      <c r="CN167" t="str">
        <f>IFERROR(VLOOKUP($C167,装備品!$1:$998,COLUMN(V$1),FALSE)*VLOOKUP($D167,素材!$1:$1016,COLUMN(N$1),FALSE)+IF(CI167="",0,VLOOKUP($CI167,付与!$1:$1176,COLUMN($CK$1),FALSE)),"")</f>
        <v/>
      </c>
      <c r="CO167" t="e">
        <f>VLOOKUP(D167,素材!$A:$O,COLUMN(素材!O$1),FALSE)</f>
        <v>#N/A</v>
      </c>
      <c r="CP167" t="str">
        <f>VLOOKUP(C167,装備品!$A:$AB,COLUMN(装備品!AB$1),FALSE)</f>
        <v>槍。リーチが長く、刺突に優れる武器。</v>
      </c>
      <c r="CR167" t="str">
        <f t="shared" si="24"/>
        <v>e_167</v>
      </c>
      <c r="CS167" t="e">
        <f t="shared" si="28"/>
        <v>#VALUE!</v>
      </c>
    </row>
    <row r="168" spans="1:97" outlineLevel="1" x14ac:dyDescent="0.4">
      <c r="A168" t="str">
        <f t="shared" si="33"/>
        <v>黒鋼鉄の騎士槍</v>
      </c>
      <c r="B168" t="str">
        <f>IFERROR(VLOOKUP($D168,素材!$1:$1016,COLUMN($B$1),FALSE)&amp;"・"&amp;VLOOKUP($C168,装備品!$1:$998,COLUMN(B$1),FALSE),"")</f>
        <v/>
      </c>
      <c r="C168" s="24" t="s">
        <v>231</v>
      </c>
      <c r="D168" s="24" t="s">
        <v>243</v>
      </c>
      <c r="E168" t="str">
        <f>IFERROR(VLOOKUP(C168,装備品!$1:$998,COLUMN(C$1),FALSE),"")</f>
        <v>武器</v>
      </c>
      <c r="F168" t="str">
        <f>IFERROR(ROUNDDOWN((VLOOKUP($C168,装備品!$1:$998,COLUMN(D$1),FALSE)+IFERROR(VLOOKUP($CI168,付与!$1:$1167,COLUMN(F$1),FALSE),0))*VLOOKUP($D168,素材!$1:$1016,COLUMN(D$1),FALSE),0),"")</f>
        <v/>
      </c>
      <c r="G168" t="str">
        <f>IFERROR(ROUNDDOWN((VLOOKUP($C168,装備品!$1:$998,COLUMN(E$1),FALSE)+IFERROR(VLOOKUP($CI168,付与!$1:$1167,COLUMN(G$1),FALSE),0))*VLOOKUP($D168,素材!$1:$1016,COLUMN($E$1),FALSE),0),"")</f>
        <v/>
      </c>
      <c r="H168" t="str">
        <f>IFERROR(ROUNDDOWN((VLOOKUP($C168,装備品!$1:$998,COLUMN(F$1),FALSE)+IFERROR(VLOOKUP($CI168,付与!$1:$1167,COLUMN(H$1),FALSE),0))*VLOOKUP($D168,素材!$1:$1016,COLUMN($E$1),FALSE),0),"")</f>
        <v/>
      </c>
      <c r="I168" t="str">
        <f>IFERROR(ROUNDDOWN((VLOOKUP($C168,装備品!$1:$998,COLUMN(G$1),FALSE)+IFERROR(VLOOKUP($CI168,付与!$1:$1167,COLUMN(I$1),FALSE),0))*VLOOKUP($D168,素材!$1:$1016,COLUMN($E$1),FALSE),0),"")</f>
        <v/>
      </c>
      <c r="J168" t="str">
        <f>IFERROR(ROUNDDOWN((VLOOKUP($C168,装備品!$1:$998,COLUMN(H$1),FALSE)+IFERROR(VLOOKUP($CI168,付与!$1:$1167,COLUMN(J$1),FALSE),0))*VLOOKUP($D168,素材!$1:$1016,COLUMN($E$1),FALSE),0),"")</f>
        <v/>
      </c>
      <c r="K168" t="str">
        <f>IFERROR(ROUNDDOWN((VLOOKUP($C168,装備品!$1:$998,COLUMN(I$1),FALSE)+IFERROR(VLOOKUP($CI168,付与!$1:$1167,COLUMN(K$1),FALSE),0))*VLOOKUP($D168,素材!$1:$1016,COLUMN($E$1),FALSE),0),"")</f>
        <v/>
      </c>
      <c r="L168" t="str">
        <f>IFERROR(VLOOKUP($D168,素材!$1:$1016,COLUMN($F$1),FALSE),"")</f>
        <v/>
      </c>
      <c r="M168" t="str">
        <f>IFERROR(VLOOKUP($C168,装備品!$1:$998,COLUMN(AA$1),FALSE)*VLOOKUP($D168,素材!$1:$1016,COLUMN($G$1),FALSE),"")</f>
        <v/>
      </c>
      <c r="N168">
        <f>IFERROR(VLOOKUP($C168,装備品!$1:$998,COLUMN(I$1),FALSE),"")</f>
        <v>0</v>
      </c>
      <c r="O168" s="23" t="str">
        <f>IFERROR((VLOOKUP($C168,装備品!$1:$998,COLUMN(K$1),FALSE)+VLOOKUP($D168,素材!$1:$1016,COLUMN(H$1),FALSE))*100+IFERROR(VLOOKUP($CI168,付与!$1:$1167,COLUMN(O$1),FALSE),0),"")</f>
        <v/>
      </c>
      <c r="P168" s="23" t="str">
        <f>IFERROR((VLOOKUP($C168,装備品!$1:$998,COLUMN(L$1),FALSE)+VLOOKUP($D168,素材!$1:$1016,COLUMN(I$1),FALSE))*100+IFERROR(VLOOKUP($CI168,付与!$1:$1167,COLUMN(P$1),FALSE),0),"")</f>
        <v/>
      </c>
      <c r="Q168" t="str">
        <f>IFERROR(ROUNDUP(VLOOKUP($C168,装備品!$1:$998,COLUMN(M$1),FALSE)*(VLOOKUP($D168,素材!$1:$1002,COLUMN(D$1),FALSE)/100),1),"")</f>
        <v/>
      </c>
      <c r="R168" t="str">
        <f>IFERROR(ROUNDUP(VLOOKUP($C168,装備品!$1:$998,COLUMN(N$1),FALSE)*(VLOOKUP($D168,素材!$1:$1002,COLUMN(D$1),FALSE)/100),1),"")</f>
        <v/>
      </c>
      <c r="S168">
        <f>IFERROR(VLOOKUP($C168,装備品!$1:$998,COLUMN(P$1),FALSE),"")</f>
        <v>0</v>
      </c>
      <c r="T168">
        <f>IFERROR(VLOOKUP($C168,装備品!$1:$998,COLUMN(Q$1),FALSE),"")</f>
        <v>0</v>
      </c>
      <c r="U168">
        <f>IFERROR(VLOOKUP($C168,装備品!$1:$998,COLUMN(R$1),FALSE),"")</f>
        <v>-15</v>
      </c>
      <c r="V168">
        <f>IFERROR(VLOOKUP($C168,装備品!$1:$998,COLUMN(Q$1),FALSE),"")</f>
        <v>0</v>
      </c>
      <c r="W168">
        <f>IFERROR(VLOOKUP($C168,装備品!$1:$998,COLUMN(T$1),FALSE),"")</f>
        <v>0</v>
      </c>
      <c r="Y168">
        <f>IFERROR(VLOOKUP($C168,装備品!$1:$998,COLUMN(U$1),FALSE),"")</f>
        <v>0</v>
      </c>
      <c r="Z168" t="str">
        <f>IFERROR(ROUNDUP(VLOOKUP($C168,装備品!$1:$998,COLUMN(O$1),FALSE)*VLOOKUP($D168,素材!$1:$1016,COLUMN(E$1),FALSE),1),"")</f>
        <v/>
      </c>
      <c r="AA168">
        <f>IF(ISNUMBER(SEARCH(SUBSTITUTE(AA$1,RIGHT(AA$1,2),""),VLOOKUP($D168,素材!$1:$1016,COLUMN($F$1),FALSE))),VLOOKUP($C168,装備品!$1:$998,COLUMN($O$1),FALSE)*VLOOKUP($D168,素材!$1:$1016,COLUMN($E$1),FALSE)/(LEN(VLOOKUP($D168,素材!$1:$1016,COLUMN($F$1),FALSE))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B168">
        <f>IF(ISNUMBER(SEARCH(SUBSTITUTE(AB$1,RIGHT(AB$1,2),""),VLOOKUP($D168,素材!$1:$1016,COLUMN($F$1),FALSE))),VLOOKUP($C168,装備品!$1:$998,COLUMN($O$1),FALSE)*VLOOKUP($D168,素材!$1:$1016,COLUMN($E$1),FALSE)/(LEN(VLOOKUP($D168,素材!$1:$1016,COLUMN($F$1),FALSE))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C168">
        <f>IF(ISNUMBER(SEARCH(SUBSTITUTE(AC$1,RIGHT(AC$1,2),""),VLOOKUP($D168,素材!$1:$1016,COLUMN($F$1),FALSE))),VLOOKUP($C168,装備品!$1:$998,COLUMN($O$1),FALSE)*VLOOKUP($D168,素材!$1:$1016,COLUMN($E$1),FALSE)/(LEN(VLOOKUP($D168,素材!$1:$1016,COLUMN($F$1),FALSE))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D168">
        <f>IF(ISNUMBER(SEARCH(SUBSTITUTE(AD$1,RIGHT(AD$1,2),""),VLOOKUP($D168,素材!$1:$1016,COLUMN($F$1),FALSE))),VLOOKUP($C168,装備品!$1:$998,COLUMN($O$1),FALSE)*VLOOKUP($D168,素材!$1:$1016,COLUMN($E$1),FALSE)/(LEN(VLOOKUP($D168,素材!$1:$1016,COLUMN($F$1),FALSE))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E168">
        <f>IF(ISNUMBER(SEARCH(SUBSTITUTE(AE$1,RIGHT(AE$1,2),""),VLOOKUP($D168,素材!$1:$1016,COLUMN($F$1),FALSE))),VLOOKUP($C168,装備品!$1:$998,COLUMN($O$1),FALSE)*VLOOKUP($D168,素材!$1:$1016,COLUMN($E$1),FALSE)/(LEN(VLOOKUP($D168,素材!$1:$1016,COLUMN($F$1),FALSE))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F168">
        <f>IF(ISNUMBER(SEARCH(SUBSTITUTE(AF$1,RIGHT(AF$1,2),""),VLOOKUP($D168,素材!$1:$1016,COLUMN($F$1),FALSE))),VLOOKUP($C168,装備品!$1:$998,COLUMN($O$1),FALSE)*VLOOKUP($D168,素材!$1:$1016,COLUMN($E$1),FALSE)/(LEN(VLOOKUP($D168,素材!$1:$1016,COLUMN($F$1),FALSE))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G168">
        <f>IF(ISNUMBER(SEARCH(SUBSTITUTE(AG$1,RIGHT(AG$1,2),""),VLOOKUP($D168,素材!$1:$1016,COLUMN($F$1),FALSE))),VLOOKUP($C168,装備品!$1:$998,COLUMN($O$1),FALSE)*VLOOKUP($D168,素材!$1:$1016,COLUMN($E$1),FALSE)/(LEN(VLOOKUP($D168,素材!$1:$1016,COLUMN($F$1),FALSE))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H168">
        <f>IF(ISNUMBER(SEARCH(SUBSTITUTE(AH$1,RIGHT(AH$1,2),""),VLOOKUP($D168,素材!$1:$1016,COLUMN($F$1),FALSE))),VLOOKUP($C168,装備品!$1:$998,COLUMN($O$1),FALSE)*VLOOKUP($D168,素材!$1:$1016,COLUMN($E$1),FALSE)/(LEN(VLOOKUP($D168,素材!$1:$1016,COLUMN($F$1),FALSE))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I168">
        <f>IF(ISNUMBER(SEARCH(SUBSTITUTE(AI$1,RIGHT(AI$1,2),""),VLOOKUP($D168,素材!$1:$1016,COLUMN($F$1),FALSE))),VLOOKUP($C168,装備品!$1:$998,COLUMN($O$1),FALSE)*VLOOKUP($D168,素材!$1:$1016,COLUMN($E$1),FALSE)/(LEN(VLOOKUP($D168,素材!$1:$1016,COLUMN($F$1),FALSE))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J168">
        <f>IF(ISNUMBER(SEARCH(SUBSTITUTE(AJ$1,RIGHT(AJ$1,2),""),VLOOKUP($D168,素材!$1:$1016,COLUMN($F$1),FALSE))),VLOOKUP($C168,装備品!$1:$998,COLUMN($O$1),FALSE)*VLOOKUP($D168,素材!$1:$1016,COLUMN($E$1),FALSE)/(LEN(VLOOKUP($D168,素材!$1:$1016,COLUMN($F$1),FALSE))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K168">
        <f>IF(ISNUMBER(SEARCH(SUBSTITUTE(AK$1,RIGHT(AK$1,2),""),VLOOKUP($D168,素材!$1:$1016,COLUMN($F$1),FALSE))),VLOOKUP($C168,装備品!$1:$998,COLUMN($O$1),FALSE)*VLOOKUP($D168,素材!$1:$1016,COLUMN($E$1),FALSE)/(LEN(VLOOKUP($D168,素材!$1:$1016,COLUMN($F$1),FALSE))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L168">
        <f>IF(ISNUMBER(SEARCH(SUBSTITUTE(AL$1,RIGHT(AL$1,2),""),VLOOKUP($D168,素材!$1:$1016,COLUMN($F$1),FALSE))),VLOOKUP($C168,装備品!$1:$998,COLUMN($O$1),FALSE)*VLOOKUP($D168,素材!$1:$1016,COLUMN($E$1),FALSE)/(LEN(VLOOKUP($D168,素材!$1:$1016,COLUMN($F$1),FALSE))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M168">
        <f>IF(ISNUMBER(SEARCH(SUBSTITUTE(AM$1,RIGHT(AM$1,2),""),VLOOKUP($D168,素材!$1:$1016,COLUMN($F$1),FALSE))),VLOOKUP($C168,装備品!$1:$998,COLUMN($O$1),FALSE)*VLOOKUP($D168,素材!$1:$1016,COLUMN($E$1),FALSE)/(LEN(VLOOKUP($D168,素材!$1:$1016,COLUMN($F$1),FALSE))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N168">
        <f>IF(ISNUMBER(SEARCH(SUBSTITUTE(AN$1,RIGHT(AN$1,2),""),VLOOKUP($D168,素材!$1:$1016,COLUMN($F$1),FALSE))),VLOOKUP($C168,装備品!$1:$998,COLUMN($O$1),FALSE)*VLOOKUP($D168,素材!$1:$1016,COLUMN($E$1),FALSE)/(LEN(VLOOKUP($D168,素材!$1:$1016,COLUMN($F$1),FALSE))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O168">
        <f>IF(ISNUMBER(SEARCH(SUBSTITUTE(AO$1,RIGHT(AO$1,2),""),VLOOKUP($D168,素材!$1:$1016,COLUMN($F$1),FALSE))),VLOOKUP($C168,装備品!$1:$998,COLUMN($O$1),FALSE)*VLOOKUP($D168,素材!$1:$1016,COLUMN($E$1),FALSE)/(LEN(VLOOKUP($D168,素材!$1:$1016,COLUMN($F$1),FALSE))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P168">
        <f>IF(ISNUMBER(SEARCH(SUBSTITUTE(AP$1,RIGHT(AP$1,2),""),VLOOKUP($D168,素材!$1:$1016,COLUMN($F$1),FALSE))),VLOOKUP($C168,装備品!$1:$998,COLUMN($O$1),FALSE)*VLOOKUP($D168,素材!$1:$1016,COLUMN($E$1),FALSE)/(LEN(VLOOKUP($D168,素材!$1:$1016,COLUMN($F$1),FALSE))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Q168">
        <f>IF(ISNUMBER(SEARCH(SUBSTITUTE(AQ$1,RIGHT(AQ$1,2),""),VLOOKUP($D168,素材!$1:$1016,COLUMN($F$1),FALSE))),VLOOKUP($C168,装備品!$1:$998,COLUMN($O$1),FALSE)*VLOOKUP($D168,素材!$1:$1016,COLUMN($E$1),FALSE)/(LEN(VLOOKUP($D168,素材!$1:$1016,COLUMN($F$1),FALSE))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R168">
        <f>IF(ISNUMBER(SEARCH(SUBSTITUTE(AR$1,RIGHT(AR$1,2),""),VLOOKUP($D168,素材!$1:$1016,COLUMN($F$1),FALSE))),VLOOKUP($C168,装備品!$1:$998,COLUMN($O$1),FALSE)*VLOOKUP($D168,素材!$1:$1016,COLUMN($E$1),FALSE)/(LEN(VLOOKUP($D168,素材!$1:$1016,COLUMN($F$1),FALSE))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S168">
        <f>IF(ISNUMBER(SEARCH(SUBSTITUTE(AS$1,RIGHT(AS$1,2),""),VLOOKUP($D168,素材!$1:$1016,COLUMN($F$1),FALSE))),VLOOKUP($C168,装備品!$1:$998,COLUMN($O$1),FALSE)*VLOOKUP($D168,素材!$1:$1016,COLUMN($E$1),FALSE)/(LEN(VLOOKUP($D168,素材!$1:$1016,COLUMN($F$1),FALSE))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T168">
        <f>IF(ISNUMBER(SEARCH(SUBSTITUTE(AT$1,RIGHT(AT$1,2),""),VLOOKUP($D168,素材!$1:$1016,COLUMN($F$1),FALSE))),VLOOKUP($C168,装備品!$1:$998,COLUMN($O$1),FALSE)*VLOOKUP($D168,素材!$1:$1016,COLUMN($E$1),FALSE)/(LEN(VLOOKUP($D168,素材!$1:$1016,COLUMN($F$1),FALSE))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U168">
        <f>IF(ISNUMBER(SEARCH(SUBSTITUTE(AU$1,RIGHT(AU$1,2),""),VLOOKUP($D168,素材!$1:$1016,COLUMN($F$1),FALSE))),VLOOKUP($C168,装備品!$1:$998,COLUMN($O$1),FALSE)*VLOOKUP($D168,素材!$1:$1016,COLUMN($E$1),FALSE)/(LEN(VLOOKUP($D168,素材!$1:$1016,COLUMN($F$1),FALSE))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V168">
        <f>IF(ISNUMBER(SEARCH(SUBSTITUTE(AV$1,RIGHT(AV$1,2),""),VLOOKUP($D168,素材!$1:$1016,COLUMN($F$1),FALSE))),VLOOKUP($C168,装備品!$1:$998,COLUMN($O$1),FALSE)*VLOOKUP($D168,素材!$1:$1016,COLUMN($E$1),FALSE)/(LEN(VLOOKUP($D168,素材!$1:$1016,COLUMN($F$1),FALSE))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W168">
        <f>IF(ISNUMBER(SEARCH(SUBSTITUTE(AW$1,RIGHT(AW$1,2),""),VLOOKUP($D168,素材!$1:$1016,COLUMN($F$1),FALSE))),VLOOKUP($C168,装備品!$1:$998,COLUMN($O$1),FALSE)*VLOOKUP($D168,素材!$1:$1016,COLUMN($E$1),FALSE)/(LEN(VLOOKUP($D168,素材!$1:$1016,COLUMN($F$1),FALSE))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X168">
        <f>IF(ISNUMBER(SEARCH(SUBSTITUTE(AX$1,RIGHT(AX$1,2),""),VLOOKUP($D168,素材!$1:$1016,COLUMN($F$1),FALSE))),VLOOKUP($C168,装備品!$1:$998,COLUMN($O$1),FALSE)*VLOOKUP($D168,素材!$1:$1016,COLUMN($E$1),FALSE)/(LEN(VLOOKUP($D168,素材!$1:$1016,COLUMN($F$1),FALSE))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Y168">
        <f>IF(ISNUMBER(SEARCH(SUBSTITUTE(AY$1,RIGHT(AY$1,2),""),VLOOKUP($D168,素材!$1:$1016,COLUMN($F$1),FALSE))),VLOOKUP($C168,装備品!$1:$998,COLUMN($O$1),FALSE)*VLOOKUP($D168,素材!$1:$1016,COLUMN($E$1),FALSE)/(LEN(VLOOKUP($D168,素材!$1:$1016,COLUMN($F$1),FALSE))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Z168">
        <f>IF(ISNUMBER(SEARCH(SUBSTITUTE(AZ$1,RIGHT(AZ$1,2),""),VLOOKUP($D168,素材!$1:$1016,COLUMN($F$1),FALSE))),VLOOKUP($C168,装備品!$1:$998,COLUMN($O$1),FALSE)*VLOOKUP($D168,素材!$1:$1016,COLUMN($E$1),FALSE)/(LEN(VLOOKUP($D168,素材!$1:$1016,COLUMN($F$1),FALSE))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BA168">
        <f>IF(ISNUMBER(SEARCH(SUBSTITUTE(BA$1,RIGHT(BA$1,2),""),VLOOKUP($D168,素材!$1:$1016,COLUMN($F$1),FALSE))),VLOOKUP($C168,装備品!$1:$998,COLUMN($O$1),FALSE)*VLOOKUP($D168,素材!$1:$1016,COLUMN($E$1),FALSE)/(LEN(VLOOKUP($D168,素材!$1:$1016,COLUMN($F$1),FALSE))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BB168">
        <f>IF(ISNUMBER(SEARCH(SUBSTITUTE(BB$1,RIGHT(BB$1,2),""),VLOOKUP($D168,素材!$1:$1016,COLUMN($F$1),FALSE))),VLOOKUP($C168,装備品!$1:$998,COLUMN($O$1),FALSE)*VLOOKUP($D168,素材!$1:$1016,COLUMN($E$1),FALSE)/(LEN(VLOOKUP($D168,素材!$1:$1016,COLUMN($F$1),FALSE))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BC168">
        <f>IF(ISNUMBER(SEARCH(SUBSTITUTE(BC$1,RIGHT(BC$1,2),""),VLOOKUP($D168,素材!$1:$1016,COLUMN($F$1),FALSE))),VLOOKUP($C168,装備品!$1:$998,COLUMN($O$1),FALSE)*VLOOKUP($D168,素材!$1:$1016,COLUMN($E$1),FALSE)/(LEN(VLOOKUP($D168,素材!$1:$1016,COLUMN($F$1),FALSE))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BD168">
        <f>IF(ISNUMBER(SEARCH(SUBSTITUTE(BD$1,RIGHT(BD$1,2),""),VLOOKUP($D168,素材!$1:$1016,COLUMN($F$1),FALSE))),VLOOKUP($C168,装備品!$1:$998,COLUMN($O$1),FALSE)*VLOOKUP($D168,素材!$1:$1016,COLUMN($E$1),FALSE)/(LEN(VLOOKUP($D168,素材!$1:$1016,COLUMN($F$1),FALSE))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BE168">
        <f>IF(ISNUMBER(SEARCH(SUBSTITUTE(BE$1,RIGHT(BE$1,2),""),VLOOKUP($D168,素材!$1:$1016,COLUMN($F$1),FALSE))),VLOOKUP($C168,装備品!$1:$998,COLUMN($O$1),FALSE)*VLOOKUP($D168,素材!$1:$1016,COLUMN($E$1),FALSE)/(LEN(VLOOKUP($D168,素材!$1:$1016,COLUMN($F$1),FALSE))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CL168">
        <f t="shared" si="19"/>
        <v>0</v>
      </c>
      <c r="CM168" s="22" t="e">
        <f t="shared" si="20"/>
        <v>#VALUE!</v>
      </c>
      <c r="CN168" t="str">
        <f>IFERROR(VLOOKUP($C168,装備品!$1:$998,COLUMN(V$1),FALSE)*VLOOKUP($D168,素材!$1:$1016,COLUMN(N$1),FALSE)+IF(CI168="",0,VLOOKUP($CI168,付与!$1:$1176,COLUMN($CK$1),FALSE)),"")</f>
        <v/>
      </c>
      <c r="CO168" t="e">
        <f>VLOOKUP(D168,素材!$A:$O,COLUMN(素材!O$1),FALSE)</f>
        <v>#N/A</v>
      </c>
      <c r="CP168" t="str">
        <f>VLOOKUP(C168,装備品!$A:$AB,COLUMN(装備品!AB$1),FALSE)</f>
        <v>騎士槍。突撃に特化した武器で、高い攻撃力を誇る。</v>
      </c>
      <c r="CR168" t="str">
        <f t="shared" si="24"/>
        <v>e_168</v>
      </c>
      <c r="CS168" t="e">
        <f t="shared" si="28"/>
        <v>#VALUE!</v>
      </c>
    </row>
    <row r="169" spans="1:97" outlineLevel="1" x14ac:dyDescent="0.4">
      <c r="A169" t="str">
        <f t="shared" si="33"/>
        <v>黒鋼鉄の斧槍</v>
      </c>
      <c r="B169" t="str">
        <f>IFERROR(VLOOKUP($D169,素材!$1:$1016,COLUMN($B$1),FALSE)&amp;"・"&amp;VLOOKUP($C169,装備品!$1:$998,COLUMN(B$1),FALSE),"")</f>
        <v/>
      </c>
      <c r="C169" s="24" t="s">
        <v>230</v>
      </c>
      <c r="D169" s="24" t="s">
        <v>243</v>
      </c>
      <c r="E169" t="str">
        <f>IFERROR(VLOOKUP(C169,装備品!$1:$998,COLUMN(C$1),FALSE),"")</f>
        <v>武器</v>
      </c>
      <c r="F169" t="str">
        <f>IFERROR(ROUNDDOWN((VLOOKUP($C169,装備品!$1:$998,COLUMN(D$1),FALSE)+IFERROR(VLOOKUP($CI169,付与!$1:$1167,COLUMN(F$1),FALSE),0))*VLOOKUP($D169,素材!$1:$1016,COLUMN(D$1),FALSE),0),"")</f>
        <v/>
      </c>
      <c r="G169" t="str">
        <f>IFERROR(ROUNDDOWN((VLOOKUP($C169,装備品!$1:$998,COLUMN(E$1),FALSE)+IFERROR(VLOOKUP($CI169,付与!$1:$1167,COLUMN(G$1),FALSE),0))*VLOOKUP($D169,素材!$1:$1016,COLUMN($E$1),FALSE),0),"")</f>
        <v/>
      </c>
      <c r="H169" t="str">
        <f>IFERROR(ROUNDDOWN((VLOOKUP($C169,装備品!$1:$998,COLUMN(F$1),FALSE)+IFERROR(VLOOKUP($CI169,付与!$1:$1167,COLUMN(H$1),FALSE),0))*VLOOKUP($D169,素材!$1:$1016,COLUMN($E$1),FALSE),0),"")</f>
        <v/>
      </c>
      <c r="I169" t="str">
        <f>IFERROR(ROUNDDOWN((VLOOKUP($C169,装備品!$1:$998,COLUMN(G$1),FALSE)+IFERROR(VLOOKUP($CI169,付与!$1:$1167,COLUMN(I$1),FALSE),0))*VLOOKUP($D169,素材!$1:$1016,COLUMN($E$1),FALSE),0),"")</f>
        <v/>
      </c>
      <c r="J169" t="str">
        <f>IFERROR(ROUNDDOWN((VLOOKUP($C169,装備品!$1:$998,COLUMN(H$1),FALSE)+IFERROR(VLOOKUP($CI169,付与!$1:$1167,COLUMN(J$1),FALSE),0))*VLOOKUP($D169,素材!$1:$1016,COLUMN($E$1),FALSE),0),"")</f>
        <v/>
      </c>
      <c r="K169" t="str">
        <f>IFERROR(ROUNDDOWN((VLOOKUP($C169,装備品!$1:$998,COLUMN(I$1),FALSE)+IFERROR(VLOOKUP($CI169,付与!$1:$1167,COLUMN(K$1),FALSE),0))*VLOOKUP($D169,素材!$1:$1016,COLUMN($E$1),FALSE),0),"")</f>
        <v/>
      </c>
      <c r="L169" t="str">
        <f>IFERROR(VLOOKUP($D169,素材!$1:$1016,COLUMN($F$1),FALSE),"")</f>
        <v/>
      </c>
      <c r="M169" t="str">
        <f>IFERROR(VLOOKUP($C169,装備品!$1:$998,COLUMN(AA$1),FALSE)*VLOOKUP($D169,素材!$1:$1016,COLUMN($G$1),FALSE),"")</f>
        <v/>
      </c>
      <c r="N169">
        <f>IFERROR(VLOOKUP($C169,装備品!$1:$998,COLUMN(I$1),FALSE),"")</f>
        <v>0</v>
      </c>
      <c r="O169" s="23" t="str">
        <f>IFERROR((VLOOKUP($C169,装備品!$1:$998,COLUMN(K$1),FALSE)+VLOOKUP($D169,素材!$1:$1016,COLUMN(H$1),FALSE))*100+IFERROR(VLOOKUP($CI169,付与!$1:$1167,COLUMN(O$1),FALSE),0),"")</f>
        <v/>
      </c>
      <c r="P169" s="23" t="str">
        <f>IFERROR((VLOOKUP($C169,装備品!$1:$998,COLUMN(L$1),FALSE)+VLOOKUP($D169,素材!$1:$1016,COLUMN(I$1),FALSE))*100+IFERROR(VLOOKUP($CI169,付与!$1:$1167,COLUMN(P$1),FALSE),0),"")</f>
        <v/>
      </c>
      <c r="Q169" t="str">
        <f>IFERROR(ROUNDUP(VLOOKUP($C169,装備品!$1:$998,COLUMN(M$1),FALSE)*(VLOOKUP($D169,素材!$1:$1002,COLUMN(D$1),FALSE)/100),1),"")</f>
        <v/>
      </c>
      <c r="R169" t="str">
        <f>IFERROR(ROUNDUP(VLOOKUP($C169,装備品!$1:$998,COLUMN(N$1),FALSE)*(VLOOKUP($D169,素材!$1:$1002,COLUMN(D$1),FALSE)/100),1),"")</f>
        <v/>
      </c>
      <c r="S169">
        <f>IFERROR(VLOOKUP($C169,装備品!$1:$998,COLUMN(P$1),FALSE),"")</f>
        <v>0</v>
      </c>
      <c r="T169">
        <f>IFERROR(VLOOKUP($C169,装備品!$1:$998,COLUMN(Q$1),FALSE),"")</f>
        <v>0</v>
      </c>
      <c r="U169">
        <f>IFERROR(VLOOKUP($C169,装備品!$1:$998,COLUMN(R$1),FALSE),"")</f>
        <v>0</v>
      </c>
      <c r="V169">
        <f>IFERROR(VLOOKUP($C169,装備品!$1:$998,COLUMN(Q$1),FALSE),"")</f>
        <v>0</v>
      </c>
      <c r="W169">
        <f>IFERROR(VLOOKUP($C169,装備品!$1:$998,COLUMN(T$1),FALSE),"")</f>
        <v>0</v>
      </c>
      <c r="Y169">
        <f>IFERROR(VLOOKUP($C169,装備品!$1:$998,COLUMN(U$1),FALSE),"")</f>
        <v>0</v>
      </c>
      <c r="Z169" t="str">
        <f>IFERROR(ROUNDUP(VLOOKUP($C169,装備品!$1:$998,COLUMN(O$1),FALSE)*VLOOKUP($D169,素材!$1:$1016,COLUMN(E$1),FALSE),1),"")</f>
        <v/>
      </c>
      <c r="AA169">
        <f>IF(ISNUMBER(SEARCH(SUBSTITUTE(AA$1,RIGHT(AA$1,2),""),VLOOKUP($D169,素材!$1:$1016,COLUMN($F$1),FALSE))),VLOOKUP($C169,装備品!$1:$998,COLUMN($O$1),FALSE)*VLOOKUP($D169,素材!$1:$1016,COLUMN($E$1),FALSE)/(LEN(VLOOKUP($D169,素材!$1:$1016,COLUMN($F$1),FALSE))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B169">
        <f>IF(ISNUMBER(SEARCH(SUBSTITUTE(AB$1,RIGHT(AB$1,2),""),VLOOKUP($D169,素材!$1:$1016,COLUMN($F$1),FALSE))),VLOOKUP($C169,装備品!$1:$998,COLUMN($O$1),FALSE)*VLOOKUP($D169,素材!$1:$1016,COLUMN($E$1),FALSE)/(LEN(VLOOKUP($D169,素材!$1:$1016,COLUMN($F$1),FALSE))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C169">
        <f>IF(ISNUMBER(SEARCH(SUBSTITUTE(AC$1,RIGHT(AC$1,2),""),VLOOKUP($D169,素材!$1:$1016,COLUMN($F$1),FALSE))),VLOOKUP($C169,装備品!$1:$998,COLUMN($O$1),FALSE)*VLOOKUP($D169,素材!$1:$1016,COLUMN($E$1),FALSE)/(LEN(VLOOKUP($D169,素材!$1:$1016,COLUMN($F$1),FALSE))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D169">
        <f>IF(ISNUMBER(SEARCH(SUBSTITUTE(AD$1,RIGHT(AD$1,2),""),VLOOKUP($D169,素材!$1:$1016,COLUMN($F$1),FALSE))),VLOOKUP($C169,装備品!$1:$998,COLUMN($O$1),FALSE)*VLOOKUP($D169,素材!$1:$1016,COLUMN($E$1),FALSE)/(LEN(VLOOKUP($D169,素材!$1:$1016,COLUMN($F$1),FALSE))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E169">
        <f>IF(ISNUMBER(SEARCH(SUBSTITUTE(AE$1,RIGHT(AE$1,2),""),VLOOKUP($D169,素材!$1:$1016,COLUMN($F$1),FALSE))),VLOOKUP($C169,装備品!$1:$998,COLUMN($O$1),FALSE)*VLOOKUP($D169,素材!$1:$1016,COLUMN($E$1),FALSE)/(LEN(VLOOKUP($D169,素材!$1:$1016,COLUMN($F$1),FALSE))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F169">
        <f>IF(ISNUMBER(SEARCH(SUBSTITUTE(AF$1,RIGHT(AF$1,2),""),VLOOKUP($D169,素材!$1:$1016,COLUMN($F$1),FALSE))),VLOOKUP($C169,装備品!$1:$998,COLUMN($O$1),FALSE)*VLOOKUP($D169,素材!$1:$1016,COLUMN($E$1),FALSE)/(LEN(VLOOKUP($D169,素材!$1:$1016,COLUMN($F$1),FALSE))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G169">
        <f>IF(ISNUMBER(SEARCH(SUBSTITUTE(AG$1,RIGHT(AG$1,2),""),VLOOKUP($D169,素材!$1:$1016,COLUMN($F$1),FALSE))),VLOOKUP($C169,装備品!$1:$998,COLUMN($O$1),FALSE)*VLOOKUP($D169,素材!$1:$1016,COLUMN($E$1),FALSE)/(LEN(VLOOKUP($D169,素材!$1:$1016,COLUMN($F$1),FALSE))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H169">
        <f>IF(ISNUMBER(SEARCH(SUBSTITUTE(AH$1,RIGHT(AH$1,2),""),VLOOKUP($D169,素材!$1:$1016,COLUMN($F$1),FALSE))),VLOOKUP($C169,装備品!$1:$998,COLUMN($O$1),FALSE)*VLOOKUP($D169,素材!$1:$1016,COLUMN($E$1),FALSE)/(LEN(VLOOKUP($D169,素材!$1:$1016,COLUMN($F$1),FALSE))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I169">
        <f>IF(ISNUMBER(SEARCH(SUBSTITUTE(AI$1,RIGHT(AI$1,2),""),VLOOKUP($D169,素材!$1:$1016,COLUMN($F$1),FALSE))),VLOOKUP($C169,装備品!$1:$998,COLUMN($O$1),FALSE)*VLOOKUP($D169,素材!$1:$1016,COLUMN($E$1),FALSE)/(LEN(VLOOKUP($D169,素材!$1:$1016,COLUMN($F$1),FALSE))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J169">
        <f>IF(ISNUMBER(SEARCH(SUBSTITUTE(AJ$1,RIGHT(AJ$1,2),""),VLOOKUP($D169,素材!$1:$1016,COLUMN($F$1),FALSE))),VLOOKUP($C169,装備品!$1:$998,COLUMN($O$1),FALSE)*VLOOKUP($D169,素材!$1:$1016,COLUMN($E$1),FALSE)/(LEN(VLOOKUP($D169,素材!$1:$1016,COLUMN($F$1),FALSE))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K169">
        <f>IF(ISNUMBER(SEARCH(SUBSTITUTE(AK$1,RIGHT(AK$1,2),""),VLOOKUP($D169,素材!$1:$1016,COLUMN($F$1),FALSE))),VLOOKUP($C169,装備品!$1:$998,COLUMN($O$1),FALSE)*VLOOKUP($D169,素材!$1:$1016,COLUMN($E$1),FALSE)/(LEN(VLOOKUP($D169,素材!$1:$1016,COLUMN($F$1),FALSE))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L169">
        <f>IF(ISNUMBER(SEARCH(SUBSTITUTE(AL$1,RIGHT(AL$1,2),""),VLOOKUP($D169,素材!$1:$1016,COLUMN($F$1),FALSE))),VLOOKUP($C169,装備品!$1:$998,COLUMN($O$1),FALSE)*VLOOKUP($D169,素材!$1:$1016,COLUMN($E$1),FALSE)/(LEN(VLOOKUP($D169,素材!$1:$1016,COLUMN($F$1),FALSE))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M169">
        <f>IF(ISNUMBER(SEARCH(SUBSTITUTE(AM$1,RIGHT(AM$1,2),""),VLOOKUP($D169,素材!$1:$1016,COLUMN($F$1),FALSE))),VLOOKUP($C169,装備品!$1:$998,COLUMN($O$1),FALSE)*VLOOKUP($D169,素材!$1:$1016,COLUMN($E$1),FALSE)/(LEN(VLOOKUP($D169,素材!$1:$1016,COLUMN($F$1),FALSE))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N169">
        <f>IF(ISNUMBER(SEARCH(SUBSTITUTE(AN$1,RIGHT(AN$1,2),""),VLOOKUP($D169,素材!$1:$1016,COLUMN($F$1),FALSE))),VLOOKUP($C169,装備品!$1:$998,COLUMN($O$1),FALSE)*VLOOKUP($D169,素材!$1:$1016,COLUMN($E$1),FALSE)/(LEN(VLOOKUP($D169,素材!$1:$1016,COLUMN($F$1),FALSE))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O169">
        <f>IF(ISNUMBER(SEARCH(SUBSTITUTE(AO$1,RIGHT(AO$1,2),""),VLOOKUP($D169,素材!$1:$1016,COLUMN($F$1),FALSE))),VLOOKUP($C169,装備品!$1:$998,COLUMN($O$1),FALSE)*VLOOKUP($D169,素材!$1:$1016,COLUMN($E$1),FALSE)/(LEN(VLOOKUP($D169,素材!$1:$1016,COLUMN($F$1),FALSE))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P169">
        <f>IF(ISNUMBER(SEARCH(SUBSTITUTE(AP$1,RIGHT(AP$1,2),""),VLOOKUP($D169,素材!$1:$1016,COLUMN($F$1),FALSE))),VLOOKUP($C169,装備品!$1:$998,COLUMN($O$1),FALSE)*VLOOKUP($D169,素材!$1:$1016,COLUMN($E$1),FALSE)/(LEN(VLOOKUP($D169,素材!$1:$1016,COLUMN($F$1),FALSE))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Q169">
        <f>IF(ISNUMBER(SEARCH(SUBSTITUTE(AQ$1,RIGHT(AQ$1,2),""),VLOOKUP($D169,素材!$1:$1016,COLUMN($F$1),FALSE))),VLOOKUP($C169,装備品!$1:$998,COLUMN($O$1),FALSE)*VLOOKUP($D169,素材!$1:$1016,COLUMN($E$1),FALSE)/(LEN(VLOOKUP($D169,素材!$1:$1016,COLUMN($F$1),FALSE))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R169">
        <f>IF(ISNUMBER(SEARCH(SUBSTITUTE(AR$1,RIGHT(AR$1,2),""),VLOOKUP($D169,素材!$1:$1016,COLUMN($F$1),FALSE))),VLOOKUP($C169,装備品!$1:$998,COLUMN($O$1),FALSE)*VLOOKUP($D169,素材!$1:$1016,COLUMN($E$1),FALSE)/(LEN(VLOOKUP($D169,素材!$1:$1016,COLUMN($F$1),FALSE))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S169">
        <f>IF(ISNUMBER(SEARCH(SUBSTITUTE(AS$1,RIGHT(AS$1,2),""),VLOOKUP($D169,素材!$1:$1016,COLUMN($F$1),FALSE))),VLOOKUP($C169,装備品!$1:$998,COLUMN($O$1),FALSE)*VLOOKUP($D169,素材!$1:$1016,COLUMN($E$1),FALSE)/(LEN(VLOOKUP($D169,素材!$1:$1016,COLUMN($F$1),FALSE))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T169">
        <f>IF(ISNUMBER(SEARCH(SUBSTITUTE(AT$1,RIGHT(AT$1,2),""),VLOOKUP($D169,素材!$1:$1016,COLUMN($F$1),FALSE))),VLOOKUP($C169,装備品!$1:$998,COLUMN($O$1),FALSE)*VLOOKUP($D169,素材!$1:$1016,COLUMN($E$1),FALSE)/(LEN(VLOOKUP($D169,素材!$1:$1016,COLUMN($F$1),FALSE))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U169">
        <f>IF(ISNUMBER(SEARCH(SUBSTITUTE(AU$1,RIGHT(AU$1,2),""),VLOOKUP($D169,素材!$1:$1016,COLUMN($F$1),FALSE))),VLOOKUP($C169,装備品!$1:$998,COLUMN($O$1),FALSE)*VLOOKUP($D169,素材!$1:$1016,COLUMN($E$1),FALSE)/(LEN(VLOOKUP($D169,素材!$1:$1016,COLUMN($F$1),FALSE))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V169">
        <f>IF(ISNUMBER(SEARCH(SUBSTITUTE(AV$1,RIGHT(AV$1,2),""),VLOOKUP($D169,素材!$1:$1016,COLUMN($F$1),FALSE))),VLOOKUP($C169,装備品!$1:$998,COLUMN($O$1),FALSE)*VLOOKUP($D169,素材!$1:$1016,COLUMN($E$1),FALSE)/(LEN(VLOOKUP($D169,素材!$1:$1016,COLUMN($F$1),FALSE))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W169">
        <f>IF(ISNUMBER(SEARCH(SUBSTITUTE(AW$1,RIGHT(AW$1,2),""),VLOOKUP($D169,素材!$1:$1016,COLUMN($F$1),FALSE))),VLOOKUP($C169,装備品!$1:$998,COLUMN($O$1),FALSE)*VLOOKUP($D169,素材!$1:$1016,COLUMN($E$1),FALSE)/(LEN(VLOOKUP($D169,素材!$1:$1016,COLUMN($F$1),FALSE))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X169">
        <f>IF(ISNUMBER(SEARCH(SUBSTITUTE(AX$1,RIGHT(AX$1,2),""),VLOOKUP($D169,素材!$1:$1016,COLUMN($F$1),FALSE))),VLOOKUP($C169,装備品!$1:$998,COLUMN($O$1),FALSE)*VLOOKUP($D169,素材!$1:$1016,COLUMN($E$1),FALSE)/(LEN(VLOOKUP($D169,素材!$1:$1016,COLUMN($F$1),FALSE))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Y169">
        <f>IF(ISNUMBER(SEARCH(SUBSTITUTE(AY$1,RIGHT(AY$1,2),""),VLOOKUP($D169,素材!$1:$1016,COLUMN($F$1),FALSE))),VLOOKUP($C169,装備品!$1:$998,COLUMN($O$1),FALSE)*VLOOKUP($D169,素材!$1:$1016,COLUMN($E$1),FALSE)/(LEN(VLOOKUP($D169,素材!$1:$1016,COLUMN($F$1),FALSE))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Z169">
        <f>IF(ISNUMBER(SEARCH(SUBSTITUTE(AZ$1,RIGHT(AZ$1,2),""),VLOOKUP($D169,素材!$1:$1016,COLUMN($F$1),FALSE))),VLOOKUP($C169,装備品!$1:$998,COLUMN($O$1),FALSE)*VLOOKUP($D169,素材!$1:$1016,COLUMN($E$1),FALSE)/(LEN(VLOOKUP($D169,素材!$1:$1016,COLUMN($F$1),FALSE))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BA169">
        <f>IF(ISNUMBER(SEARCH(SUBSTITUTE(BA$1,RIGHT(BA$1,2),""),VLOOKUP($D169,素材!$1:$1016,COLUMN($F$1),FALSE))),VLOOKUP($C169,装備品!$1:$998,COLUMN($O$1),FALSE)*VLOOKUP($D169,素材!$1:$1016,COLUMN($E$1),FALSE)/(LEN(VLOOKUP($D169,素材!$1:$1016,COLUMN($F$1),FALSE))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BB169">
        <f>IF(ISNUMBER(SEARCH(SUBSTITUTE(BB$1,RIGHT(BB$1,2),""),VLOOKUP($D169,素材!$1:$1016,COLUMN($F$1),FALSE))),VLOOKUP($C169,装備品!$1:$998,COLUMN($O$1),FALSE)*VLOOKUP($D169,素材!$1:$1016,COLUMN($E$1),FALSE)/(LEN(VLOOKUP($D169,素材!$1:$1016,COLUMN($F$1),FALSE))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BC169">
        <f>IF(ISNUMBER(SEARCH(SUBSTITUTE(BC$1,RIGHT(BC$1,2),""),VLOOKUP($D169,素材!$1:$1016,COLUMN($F$1),FALSE))),VLOOKUP($C169,装備品!$1:$998,COLUMN($O$1),FALSE)*VLOOKUP($D169,素材!$1:$1016,COLUMN($E$1),FALSE)/(LEN(VLOOKUP($D169,素材!$1:$1016,COLUMN($F$1),FALSE))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BD169">
        <f>IF(ISNUMBER(SEARCH(SUBSTITUTE(BD$1,RIGHT(BD$1,2),""),VLOOKUP($D169,素材!$1:$1016,COLUMN($F$1),FALSE))),VLOOKUP($C169,装備品!$1:$998,COLUMN($O$1),FALSE)*VLOOKUP($D169,素材!$1:$1016,COLUMN($E$1),FALSE)/(LEN(VLOOKUP($D169,素材!$1:$1016,COLUMN($F$1),FALSE))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BE169">
        <f>IF(ISNUMBER(SEARCH(SUBSTITUTE(BE$1,RIGHT(BE$1,2),""),VLOOKUP($D169,素材!$1:$1016,COLUMN($F$1),FALSE))),VLOOKUP($C169,装備品!$1:$998,COLUMN($O$1),FALSE)*VLOOKUP($D169,素材!$1:$1016,COLUMN($E$1),FALSE)/(LEN(VLOOKUP($D169,素材!$1:$1016,COLUMN($F$1),FALSE))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CL169">
        <f t="shared" si="19"/>
        <v>0</v>
      </c>
      <c r="CM169" s="22" t="e">
        <f t="shared" si="20"/>
        <v>#VALUE!</v>
      </c>
      <c r="CN169" t="str">
        <f>IFERROR(VLOOKUP($C169,装備品!$1:$998,COLUMN(V$1),FALSE)*VLOOKUP($D169,素材!$1:$1016,COLUMN(N$1),FALSE)+IF(CI169="",0,VLOOKUP($CI169,付与!$1:$1176,COLUMN($CK$1),FALSE)),"")</f>
        <v/>
      </c>
      <c r="CO169" t="e">
        <f>VLOOKUP(D169,素材!$A:$O,COLUMN(素材!O$1),FALSE)</f>
        <v>#N/A</v>
      </c>
      <c r="CP169" t="str">
        <f>VLOOKUP(C169,装備品!$A:$AB,COLUMN(装備品!AB$1),FALSE)</f>
        <v>斧槍。全力時に威力が高く斬撃と突撃の両方に対応できる武器。</v>
      </c>
      <c r="CR169" t="str">
        <f t="shared" si="24"/>
        <v>e_169</v>
      </c>
      <c r="CS169" t="e">
        <f t="shared" si="28"/>
        <v>#VALUE!</v>
      </c>
    </row>
    <row r="170" spans="1:97" outlineLevel="1" x14ac:dyDescent="0.4">
      <c r="A170" t="str">
        <f t="shared" si="33"/>
        <v>黒鋼鉄の棍棒</v>
      </c>
      <c r="B170" t="str">
        <f>IFERROR(VLOOKUP($D170,素材!$1:$1016,COLUMN($B$1),FALSE)&amp;"・"&amp;VLOOKUP($C170,装備品!$1:$998,COLUMN(B$1),FALSE),"")</f>
        <v/>
      </c>
      <c r="C170" s="24" t="s">
        <v>229</v>
      </c>
      <c r="D170" s="24" t="s">
        <v>243</v>
      </c>
      <c r="E170" t="str">
        <f>IFERROR(VLOOKUP(C170,装備品!$1:$998,COLUMN(C$1),FALSE),"")</f>
        <v>武器</v>
      </c>
      <c r="F170" t="str">
        <f>IFERROR(ROUNDDOWN((VLOOKUP($C170,装備品!$1:$998,COLUMN(D$1),FALSE)+IFERROR(VLOOKUP($CI170,付与!$1:$1167,COLUMN(F$1),FALSE),0))*VLOOKUP($D170,素材!$1:$1016,COLUMN(D$1),FALSE),0),"")</f>
        <v/>
      </c>
      <c r="G170" t="str">
        <f>IFERROR(ROUNDDOWN((VLOOKUP($C170,装備品!$1:$998,COLUMN(E$1),FALSE)+IFERROR(VLOOKUP($CI170,付与!$1:$1167,COLUMN(G$1),FALSE),0))*VLOOKUP($D170,素材!$1:$1016,COLUMN($E$1),FALSE),0),"")</f>
        <v/>
      </c>
      <c r="H170" t="str">
        <f>IFERROR(ROUNDDOWN((VLOOKUP($C170,装備品!$1:$998,COLUMN(F$1),FALSE)+IFERROR(VLOOKUP($CI170,付与!$1:$1167,COLUMN(H$1),FALSE),0))*VLOOKUP($D170,素材!$1:$1016,COLUMN($E$1),FALSE),0),"")</f>
        <v/>
      </c>
      <c r="I170" t="str">
        <f>IFERROR(ROUNDDOWN((VLOOKUP($C170,装備品!$1:$998,COLUMN(G$1),FALSE)+IFERROR(VLOOKUP($CI170,付与!$1:$1167,COLUMN(I$1),FALSE),0))*VLOOKUP($D170,素材!$1:$1016,COLUMN($E$1),FALSE),0),"")</f>
        <v/>
      </c>
      <c r="J170" t="str">
        <f>IFERROR(ROUNDDOWN((VLOOKUP($C170,装備品!$1:$998,COLUMN(H$1),FALSE)+IFERROR(VLOOKUP($CI170,付与!$1:$1167,COLUMN(J$1),FALSE),0))*VLOOKUP($D170,素材!$1:$1016,COLUMN($E$1),FALSE),0),"")</f>
        <v/>
      </c>
      <c r="K170" t="str">
        <f>IFERROR(ROUNDDOWN((VLOOKUP($C170,装備品!$1:$998,COLUMN(I$1),FALSE)+IFERROR(VLOOKUP($CI170,付与!$1:$1167,COLUMN(K$1),FALSE),0))*VLOOKUP($D170,素材!$1:$1016,COLUMN($E$1),FALSE),0),"")</f>
        <v/>
      </c>
      <c r="L170" t="str">
        <f>IFERROR(VLOOKUP($D170,素材!$1:$1016,COLUMN($F$1),FALSE),"")</f>
        <v/>
      </c>
      <c r="M170" t="str">
        <f>IFERROR(VLOOKUP($C170,装備品!$1:$998,COLUMN(AA$1),FALSE)*VLOOKUP($D170,素材!$1:$1016,COLUMN($G$1),FALSE),"")</f>
        <v/>
      </c>
      <c r="N170">
        <f>IFERROR(VLOOKUP($C170,装備品!$1:$998,COLUMN(I$1),FALSE),"")</f>
        <v>0</v>
      </c>
      <c r="O170" s="23" t="str">
        <f>IFERROR((VLOOKUP($C170,装備品!$1:$998,COLUMN(K$1),FALSE)+VLOOKUP($D170,素材!$1:$1016,COLUMN(H$1),FALSE))*100+IFERROR(VLOOKUP($CI170,付与!$1:$1167,COLUMN(O$1),FALSE),0),"")</f>
        <v/>
      </c>
      <c r="P170" s="23" t="str">
        <f>IFERROR((VLOOKUP($C170,装備品!$1:$998,COLUMN(L$1),FALSE)+VLOOKUP($D170,素材!$1:$1016,COLUMN(I$1),FALSE))*100+IFERROR(VLOOKUP($CI170,付与!$1:$1167,COLUMN(P$1),FALSE),0),"")</f>
        <v/>
      </c>
      <c r="Q170" t="str">
        <f>IFERROR(ROUNDUP(VLOOKUP($C170,装備品!$1:$998,COLUMN(M$1),FALSE)*(VLOOKUP($D170,素材!$1:$1002,COLUMN(D$1),FALSE)/100),1),"")</f>
        <v/>
      </c>
      <c r="R170" t="str">
        <f>IFERROR(ROUNDUP(VLOOKUP($C170,装備品!$1:$998,COLUMN(N$1),FALSE)*(VLOOKUP($D170,素材!$1:$1002,COLUMN(D$1),FALSE)/100),1),"")</f>
        <v/>
      </c>
      <c r="S170">
        <f>IFERROR(VLOOKUP($C170,装備品!$1:$998,COLUMN(P$1),FALSE),"")</f>
        <v>0</v>
      </c>
      <c r="T170">
        <f>IFERROR(VLOOKUP($C170,装備品!$1:$998,COLUMN(Q$1),FALSE),"")</f>
        <v>0</v>
      </c>
      <c r="U170">
        <f>IFERROR(VLOOKUP($C170,装備品!$1:$998,COLUMN(R$1),FALSE),"")</f>
        <v>0</v>
      </c>
      <c r="V170">
        <f>IFERROR(VLOOKUP($C170,装備品!$1:$998,COLUMN(Q$1),FALSE),"")</f>
        <v>0</v>
      </c>
      <c r="W170">
        <f>IFERROR(VLOOKUP($C170,装備品!$1:$998,COLUMN(T$1),FALSE),"")</f>
        <v>0</v>
      </c>
      <c r="Y170">
        <f>IFERROR(VLOOKUP($C170,装備品!$1:$998,COLUMN(U$1),FALSE),"")</f>
        <v>0</v>
      </c>
      <c r="Z170" t="str">
        <f>IFERROR(ROUNDUP(VLOOKUP($C170,装備品!$1:$998,COLUMN(O$1),FALSE)*VLOOKUP($D170,素材!$1:$1016,COLUMN(E$1),FALSE),1),"")</f>
        <v/>
      </c>
      <c r="AA170">
        <f>IF(ISNUMBER(SEARCH(SUBSTITUTE(AA$1,RIGHT(AA$1,2),""),VLOOKUP($D170,素材!$1:$1016,COLUMN($F$1),FALSE))),VLOOKUP($C170,装備品!$1:$998,COLUMN($O$1),FALSE)*VLOOKUP($D170,素材!$1:$1016,COLUMN($E$1),FALSE)/(LEN(VLOOKUP($D170,素材!$1:$1016,COLUMN($F$1),FALSE))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B170">
        <f>IF(ISNUMBER(SEARCH(SUBSTITUTE(AB$1,RIGHT(AB$1,2),""),VLOOKUP($D170,素材!$1:$1016,COLUMN($F$1),FALSE))),VLOOKUP($C170,装備品!$1:$998,COLUMN($O$1),FALSE)*VLOOKUP($D170,素材!$1:$1016,COLUMN($E$1),FALSE)/(LEN(VLOOKUP($D170,素材!$1:$1016,COLUMN($F$1),FALSE))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C170">
        <f>IF(ISNUMBER(SEARCH(SUBSTITUTE(AC$1,RIGHT(AC$1,2),""),VLOOKUP($D170,素材!$1:$1016,COLUMN($F$1),FALSE))),VLOOKUP($C170,装備品!$1:$998,COLUMN($O$1),FALSE)*VLOOKUP($D170,素材!$1:$1016,COLUMN($E$1),FALSE)/(LEN(VLOOKUP($D170,素材!$1:$1016,COLUMN($F$1),FALSE))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D170">
        <f>IF(ISNUMBER(SEARCH(SUBSTITUTE(AD$1,RIGHT(AD$1,2),""),VLOOKUP($D170,素材!$1:$1016,COLUMN($F$1),FALSE))),VLOOKUP($C170,装備品!$1:$998,COLUMN($O$1),FALSE)*VLOOKUP($D170,素材!$1:$1016,COLUMN($E$1),FALSE)/(LEN(VLOOKUP($D170,素材!$1:$1016,COLUMN($F$1),FALSE))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E170">
        <f>IF(ISNUMBER(SEARCH(SUBSTITUTE(AE$1,RIGHT(AE$1,2),""),VLOOKUP($D170,素材!$1:$1016,COLUMN($F$1),FALSE))),VLOOKUP($C170,装備品!$1:$998,COLUMN($O$1),FALSE)*VLOOKUP($D170,素材!$1:$1016,COLUMN($E$1),FALSE)/(LEN(VLOOKUP($D170,素材!$1:$1016,COLUMN($F$1),FALSE))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F170">
        <f>IF(ISNUMBER(SEARCH(SUBSTITUTE(AF$1,RIGHT(AF$1,2),""),VLOOKUP($D170,素材!$1:$1016,COLUMN($F$1),FALSE))),VLOOKUP($C170,装備品!$1:$998,COLUMN($O$1),FALSE)*VLOOKUP($D170,素材!$1:$1016,COLUMN($E$1),FALSE)/(LEN(VLOOKUP($D170,素材!$1:$1016,COLUMN($F$1),FALSE))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G170">
        <f>IF(ISNUMBER(SEARCH(SUBSTITUTE(AG$1,RIGHT(AG$1,2),""),VLOOKUP($D170,素材!$1:$1016,COLUMN($F$1),FALSE))),VLOOKUP($C170,装備品!$1:$998,COLUMN($O$1),FALSE)*VLOOKUP($D170,素材!$1:$1016,COLUMN($E$1),FALSE)/(LEN(VLOOKUP($D170,素材!$1:$1016,COLUMN($F$1),FALSE))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H170">
        <f>IF(ISNUMBER(SEARCH(SUBSTITUTE(AH$1,RIGHT(AH$1,2),""),VLOOKUP($D170,素材!$1:$1016,COLUMN($F$1),FALSE))),VLOOKUP($C170,装備品!$1:$998,COLUMN($O$1),FALSE)*VLOOKUP($D170,素材!$1:$1016,COLUMN($E$1),FALSE)/(LEN(VLOOKUP($D170,素材!$1:$1016,COLUMN($F$1),FALSE))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I170">
        <f>IF(ISNUMBER(SEARCH(SUBSTITUTE(AI$1,RIGHT(AI$1,2),""),VLOOKUP($D170,素材!$1:$1016,COLUMN($F$1),FALSE))),VLOOKUP($C170,装備品!$1:$998,COLUMN($O$1),FALSE)*VLOOKUP($D170,素材!$1:$1016,COLUMN($E$1),FALSE)/(LEN(VLOOKUP($D170,素材!$1:$1016,COLUMN($F$1),FALSE))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J170">
        <f>IF(ISNUMBER(SEARCH(SUBSTITUTE(AJ$1,RIGHT(AJ$1,2),""),VLOOKUP($D170,素材!$1:$1016,COLUMN($F$1),FALSE))),VLOOKUP($C170,装備品!$1:$998,COLUMN($O$1),FALSE)*VLOOKUP($D170,素材!$1:$1016,COLUMN($E$1),FALSE)/(LEN(VLOOKUP($D170,素材!$1:$1016,COLUMN($F$1),FALSE))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K170">
        <f>IF(ISNUMBER(SEARCH(SUBSTITUTE(AK$1,RIGHT(AK$1,2),""),VLOOKUP($D170,素材!$1:$1016,COLUMN($F$1),FALSE))),VLOOKUP($C170,装備品!$1:$998,COLUMN($O$1),FALSE)*VLOOKUP($D170,素材!$1:$1016,COLUMN($E$1),FALSE)/(LEN(VLOOKUP($D170,素材!$1:$1016,COLUMN($F$1),FALSE))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L170">
        <f>IF(ISNUMBER(SEARCH(SUBSTITUTE(AL$1,RIGHT(AL$1,2),""),VLOOKUP($D170,素材!$1:$1016,COLUMN($F$1),FALSE))),VLOOKUP($C170,装備品!$1:$998,COLUMN($O$1),FALSE)*VLOOKUP($D170,素材!$1:$1016,COLUMN($E$1),FALSE)/(LEN(VLOOKUP($D170,素材!$1:$1016,COLUMN($F$1),FALSE))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M170">
        <f>IF(ISNUMBER(SEARCH(SUBSTITUTE(AM$1,RIGHT(AM$1,2),""),VLOOKUP($D170,素材!$1:$1016,COLUMN($F$1),FALSE))),VLOOKUP($C170,装備品!$1:$998,COLUMN($O$1),FALSE)*VLOOKUP($D170,素材!$1:$1016,COLUMN($E$1),FALSE)/(LEN(VLOOKUP($D170,素材!$1:$1016,COLUMN($F$1),FALSE))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N170">
        <f>IF(ISNUMBER(SEARCH(SUBSTITUTE(AN$1,RIGHT(AN$1,2),""),VLOOKUP($D170,素材!$1:$1016,COLUMN($F$1),FALSE))),VLOOKUP($C170,装備品!$1:$998,COLUMN($O$1),FALSE)*VLOOKUP($D170,素材!$1:$1016,COLUMN($E$1),FALSE)/(LEN(VLOOKUP($D170,素材!$1:$1016,COLUMN($F$1),FALSE))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O170">
        <f>IF(ISNUMBER(SEARCH(SUBSTITUTE(AO$1,RIGHT(AO$1,2),""),VLOOKUP($D170,素材!$1:$1016,COLUMN($F$1),FALSE))),VLOOKUP($C170,装備品!$1:$998,COLUMN($O$1),FALSE)*VLOOKUP($D170,素材!$1:$1016,COLUMN($E$1),FALSE)/(LEN(VLOOKUP($D170,素材!$1:$1016,COLUMN($F$1),FALSE))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P170">
        <f>IF(ISNUMBER(SEARCH(SUBSTITUTE(AP$1,RIGHT(AP$1,2),""),VLOOKUP($D170,素材!$1:$1016,COLUMN($F$1),FALSE))),VLOOKUP($C170,装備品!$1:$998,COLUMN($O$1),FALSE)*VLOOKUP($D170,素材!$1:$1016,COLUMN($E$1),FALSE)/(LEN(VLOOKUP($D170,素材!$1:$1016,COLUMN($F$1),FALSE))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Q170">
        <f>IF(ISNUMBER(SEARCH(SUBSTITUTE(AQ$1,RIGHT(AQ$1,2),""),VLOOKUP($D170,素材!$1:$1016,COLUMN($F$1),FALSE))),VLOOKUP($C170,装備品!$1:$998,COLUMN($O$1),FALSE)*VLOOKUP($D170,素材!$1:$1016,COLUMN($E$1),FALSE)/(LEN(VLOOKUP($D170,素材!$1:$1016,COLUMN($F$1),FALSE))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R170">
        <f>IF(ISNUMBER(SEARCH(SUBSTITUTE(AR$1,RIGHT(AR$1,2),""),VLOOKUP($D170,素材!$1:$1016,COLUMN($F$1),FALSE))),VLOOKUP($C170,装備品!$1:$998,COLUMN($O$1),FALSE)*VLOOKUP($D170,素材!$1:$1016,COLUMN($E$1),FALSE)/(LEN(VLOOKUP($D170,素材!$1:$1016,COLUMN($F$1),FALSE))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S170">
        <f>IF(ISNUMBER(SEARCH(SUBSTITUTE(AS$1,RIGHT(AS$1,2),""),VLOOKUP($D170,素材!$1:$1016,COLUMN($F$1),FALSE))),VLOOKUP($C170,装備品!$1:$998,COLUMN($O$1),FALSE)*VLOOKUP($D170,素材!$1:$1016,COLUMN($E$1),FALSE)/(LEN(VLOOKUP($D170,素材!$1:$1016,COLUMN($F$1),FALSE))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T170">
        <f>IF(ISNUMBER(SEARCH(SUBSTITUTE(AT$1,RIGHT(AT$1,2),""),VLOOKUP($D170,素材!$1:$1016,COLUMN($F$1),FALSE))),VLOOKUP($C170,装備品!$1:$998,COLUMN($O$1),FALSE)*VLOOKUP($D170,素材!$1:$1016,COLUMN($E$1),FALSE)/(LEN(VLOOKUP($D170,素材!$1:$1016,COLUMN($F$1),FALSE))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U170">
        <f>IF(ISNUMBER(SEARCH(SUBSTITUTE(AU$1,RIGHT(AU$1,2),""),VLOOKUP($D170,素材!$1:$1016,COLUMN($F$1),FALSE))),VLOOKUP($C170,装備品!$1:$998,COLUMN($O$1),FALSE)*VLOOKUP($D170,素材!$1:$1016,COLUMN($E$1),FALSE)/(LEN(VLOOKUP($D170,素材!$1:$1016,COLUMN($F$1),FALSE))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V170">
        <f>IF(ISNUMBER(SEARCH(SUBSTITUTE(AV$1,RIGHT(AV$1,2),""),VLOOKUP($D170,素材!$1:$1016,COLUMN($F$1),FALSE))),VLOOKUP($C170,装備品!$1:$998,COLUMN($O$1),FALSE)*VLOOKUP($D170,素材!$1:$1016,COLUMN($E$1),FALSE)/(LEN(VLOOKUP($D170,素材!$1:$1016,COLUMN($F$1),FALSE))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W170">
        <f>IF(ISNUMBER(SEARCH(SUBSTITUTE(AW$1,RIGHT(AW$1,2),""),VLOOKUP($D170,素材!$1:$1016,COLUMN($F$1),FALSE))),VLOOKUP($C170,装備品!$1:$998,COLUMN($O$1),FALSE)*VLOOKUP($D170,素材!$1:$1016,COLUMN($E$1),FALSE)/(LEN(VLOOKUP($D170,素材!$1:$1016,COLUMN($F$1),FALSE))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X170">
        <f>IF(ISNUMBER(SEARCH(SUBSTITUTE(AX$1,RIGHT(AX$1,2),""),VLOOKUP($D170,素材!$1:$1016,COLUMN($F$1),FALSE))),VLOOKUP($C170,装備品!$1:$998,COLUMN($O$1),FALSE)*VLOOKUP($D170,素材!$1:$1016,COLUMN($E$1),FALSE)/(LEN(VLOOKUP($D170,素材!$1:$1016,COLUMN($F$1),FALSE))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Y170">
        <f>IF(ISNUMBER(SEARCH(SUBSTITUTE(AY$1,RIGHT(AY$1,2),""),VLOOKUP($D170,素材!$1:$1016,COLUMN($F$1),FALSE))),VLOOKUP($C170,装備品!$1:$998,COLUMN($O$1),FALSE)*VLOOKUP($D170,素材!$1:$1016,COLUMN($E$1),FALSE)/(LEN(VLOOKUP($D170,素材!$1:$1016,COLUMN($F$1),FALSE))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Z170">
        <f>IF(ISNUMBER(SEARCH(SUBSTITUTE(AZ$1,RIGHT(AZ$1,2),""),VLOOKUP($D170,素材!$1:$1016,COLUMN($F$1),FALSE))),VLOOKUP($C170,装備品!$1:$998,COLUMN($O$1),FALSE)*VLOOKUP($D170,素材!$1:$1016,COLUMN($E$1),FALSE)/(LEN(VLOOKUP($D170,素材!$1:$1016,COLUMN($F$1),FALSE))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BA170">
        <f>IF(ISNUMBER(SEARCH(SUBSTITUTE(BA$1,RIGHT(BA$1,2),""),VLOOKUP($D170,素材!$1:$1016,COLUMN($F$1),FALSE))),VLOOKUP($C170,装備品!$1:$998,COLUMN($O$1),FALSE)*VLOOKUP($D170,素材!$1:$1016,COLUMN($E$1),FALSE)/(LEN(VLOOKUP($D170,素材!$1:$1016,COLUMN($F$1),FALSE))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BB170">
        <f>IF(ISNUMBER(SEARCH(SUBSTITUTE(BB$1,RIGHT(BB$1,2),""),VLOOKUP($D170,素材!$1:$1016,COLUMN($F$1),FALSE))),VLOOKUP($C170,装備品!$1:$998,COLUMN($O$1),FALSE)*VLOOKUP($D170,素材!$1:$1016,COLUMN($E$1),FALSE)/(LEN(VLOOKUP($D170,素材!$1:$1016,COLUMN($F$1),FALSE))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BC170">
        <f>IF(ISNUMBER(SEARCH(SUBSTITUTE(BC$1,RIGHT(BC$1,2),""),VLOOKUP($D170,素材!$1:$1016,COLUMN($F$1),FALSE))),VLOOKUP($C170,装備品!$1:$998,COLUMN($O$1),FALSE)*VLOOKUP($D170,素材!$1:$1016,COLUMN($E$1),FALSE)/(LEN(VLOOKUP($D170,素材!$1:$1016,COLUMN($F$1),FALSE))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BD170">
        <f>IF(ISNUMBER(SEARCH(SUBSTITUTE(BD$1,RIGHT(BD$1,2),""),VLOOKUP($D170,素材!$1:$1016,COLUMN($F$1),FALSE))),VLOOKUP($C170,装備品!$1:$998,COLUMN($O$1),FALSE)*VLOOKUP($D170,素材!$1:$1016,COLUMN($E$1),FALSE)/(LEN(VLOOKUP($D170,素材!$1:$1016,COLUMN($F$1),FALSE))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BE170">
        <f>IF(ISNUMBER(SEARCH(SUBSTITUTE(BE$1,RIGHT(BE$1,2),""),VLOOKUP($D170,素材!$1:$1016,COLUMN($F$1),FALSE))),VLOOKUP($C170,装備品!$1:$998,COLUMN($O$1),FALSE)*VLOOKUP($D170,素材!$1:$1016,COLUMN($E$1),FALSE)/(LEN(VLOOKUP($D170,素材!$1:$1016,COLUMN($F$1),FALSE))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CL170">
        <f t="shared" si="19"/>
        <v>0</v>
      </c>
      <c r="CM170" s="22" t="e">
        <f t="shared" si="20"/>
        <v>#VALUE!</v>
      </c>
      <c r="CN170" t="str">
        <f>IFERROR(VLOOKUP($C170,装備品!$1:$998,COLUMN(V$1),FALSE)*VLOOKUP($D170,素材!$1:$1016,COLUMN(N$1),FALSE)+IF(CI170="",0,VLOOKUP($CI170,付与!$1:$1176,COLUMN($CK$1),FALSE)),"")</f>
        <v/>
      </c>
      <c r="CO170" t="e">
        <f>VLOOKUP(D170,素材!$A:$O,COLUMN(素材!O$1),FALSE)</f>
        <v>#N/A</v>
      </c>
      <c r="CP170" t="str">
        <f>VLOOKUP(C170,装備品!$A:$AB,COLUMN(装備品!AB$1),FALSE)</f>
        <v>棍棒。打撃に特化したシンプルな武器。威力は低いがダメージ振れが少ない。</v>
      </c>
      <c r="CR170" t="str">
        <f t="shared" si="24"/>
        <v>e_170</v>
      </c>
      <c r="CS170" t="e">
        <f t="shared" si="28"/>
        <v>#VALUE!</v>
      </c>
    </row>
    <row r="171" spans="1:97" outlineLevel="1" x14ac:dyDescent="0.4">
      <c r="A171" t="str">
        <f t="shared" si="33"/>
        <v>黒鋼鉄の戦棍</v>
      </c>
      <c r="B171" t="str">
        <f>IFERROR(VLOOKUP($D171,素材!$1:$1016,COLUMN($B$1),FALSE)&amp;"・"&amp;VLOOKUP($C171,装備品!$1:$998,COLUMN(B$1),FALSE),"")</f>
        <v/>
      </c>
      <c r="C171" s="24" t="s">
        <v>228</v>
      </c>
      <c r="D171" s="24" t="s">
        <v>243</v>
      </c>
      <c r="E171" t="str">
        <f>IFERROR(VLOOKUP(C171,装備品!$1:$998,COLUMN(C$1),FALSE),"")</f>
        <v>武器</v>
      </c>
      <c r="F171" t="str">
        <f>IFERROR(ROUNDDOWN((VLOOKUP($C171,装備品!$1:$998,COLUMN(D$1),FALSE)+IFERROR(VLOOKUP($CI171,付与!$1:$1167,COLUMN(F$1),FALSE),0))*VLOOKUP($D171,素材!$1:$1016,COLUMN(D$1),FALSE),0),"")</f>
        <v/>
      </c>
      <c r="G171" t="str">
        <f>IFERROR(ROUNDDOWN((VLOOKUP($C171,装備品!$1:$998,COLUMN(E$1),FALSE)+IFERROR(VLOOKUP($CI171,付与!$1:$1167,COLUMN(G$1),FALSE),0))*VLOOKUP($D171,素材!$1:$1016,COLUMN($E$1),FALSE),0),"")</f>
        <v/>
      </c>
      <c r="H171" t="str">
        <f>IFERROR(ROUNDDOWN((VLOOKUP($C171,装備品!$1:$998,COLUMN(F$1),FALSE)+IFERROR(VLOOKUP($CI171,付与!$1:$1167,COLUMN(H$1),FALSE),0))*VLOOKUP($D171,素材!$1:$1016,COLUMN($E$1),FALSE),0),"")</f>
        <v/>
      </c>
      <c r="I171" t="str">
        <f>IFERROR(ROUNDDOWN((VLOOKUP($C171,装備品!$1:$998,COLUMN(G$1),FALSE)+IFERROR(VLOOKUP($CI171,付与!$1:$1167,COLUMN(I$1),FALSE),0))*VLOOKUP($D171,素材!$1:$1016,COLUMN($E$1),FALSE),0),"")</f>
        <v/>
      </c>
      <c r="J171" t="str">
        <f>IFERROR(ROUNDDOWN((VLOOKUP($C171,装備品!$1:$998,COLUMN(H$1),FALSE)+IFERROR(VLOOKUP($CI171,付与!$1:$1167,COLUMN(J$1),FALSE),0))*VLOOKUP($D171,素材!$1:$1016,COLUMN($E$1),FALSE),0),"")</f>
        <v/>
      </c>
      <c r="K171" t="str">
        <f>IFERROR(ROUNDDOWN((VLOOKUP($C171,装備品!$1:$998,COLUMN(I$1),FALSE)+IFERROR(VLOOKUP($CI171,付与!$1:$1167,COLUMN(K$1),FALSE),0))*VLOOKUP($D171,素材!$1:$1016,COLUMN($E$1),FALSE),0),"")</f>
        <v/>
      </c>
      <c r="L171" t="str">
        <f>IFERROR(VLOOKUP($D171,素材!$1:$1016,COLUMN($F$1),FALSE),"")</f>
        <v/>
      </c>
      <c r="M171" t="str">
        <f>IFERROR(VLOOKUP($C171,装備品!$1:$998,COLUMN(AA$1),FALSE)*VLOOKUP($D171,素材!$1:$1016,COLUMN($G$1),FALSE),"")</f>
        <v/>
      </c>
      <c r="N171">
        <f>IFERROR(VLOOKUP($C171,装備品!$1:$998,COLUMN(I$1),FALSE),"")</f>
        <v>0</v>
      </c>
      <c r="O171" s="23" t="str">
        <f>IFERROR((VLOOKUP($C171,装備品!$1:$998,COLUMN(K$1),FALSE)+VLOOKUP($D171,素材!$1:$1016,COLUMN(H$1),FALSE))*100+IFERROR(VLOOKUP($CI171,付与!$1:$1167,COLUMN(O$1),FALSE),0),"")</f>
        <v/>
      </c>
      <c r="P171" s="23" t="str">
        <f>IFERROR((VLOOKUP($C171,装備品!$1:$998,COLUMN(L$1),FALSE)+VLOOKUP($D171,素材!$1:$1016,COLUMN(I$1),FALSE))*100+IFERROR(VLOOKUP($CI171,付与!$1:$1167,COLUMN(P$1),FALSE),0),"")</f>
        <v/>
      </c>
      <c r="Q171" t="str">
        <f>IFERROR(ROUNDUP(VLOOKUP($C171,装備品!$1:$998,COLUMN(M$1),FALSE)*(VLOOKUP($D171,素材!$1:$1002,COLUMN(D$1),FALSE)/100),1),"")</f>
        <v/>
      </c>
      <c r="R171" t="str">
        <f>IFERROR(ROUNDUP(VLOOKUP($C171,装備品!$1:$998,COLUMN(N$1),FALSE)*(VLOOKUP($D171,素材!$1:$1002,COLUMN(D$1),FALSE)/100),1),"")</f>
        <v/>
      </c>
      <c r="S171">
        <f>IFERROR(VLOOKUP($C171,装備品!$1:$998,COLUMN(P$1),FALSE),"")</f>
        <v>0</v>
      </c>
      <c r="T171">
        <f>IFERROR(VLOOKUP($C171,装備品!$1:$998,COLUMN(Q$1),FALSE),"")</f>
        <v>0</v>
      </c>
      <c r="U171">
        <f>IFERROR(VLOOKUP($C171,装備品!$1:$998,COLUMN(R$1),FALSE),"")</f>
        <v>0</v>
      </c>
      <c r="V171">
        <f>IFERROR(VLOOKUP($C171,装備品!$1:$998,COLUMN(Q$1),FALSE),"")</f>
        <v>0</v>
      </c>
      <c r="W171">
        <f>IFERROR(VLOOKUP($C171,装備品!$1:$998,COLUMN(T$1),FALSE),"")</f>
        <v>0</v>
      </c>
      <c r="Y171">
        <f>IFERROR(VLOOKUP($C171,装備品!$1:$998,COLUMN(U$1),FALSE),"")</f>
        <v>0</v>
      </c>
      <c r="Z171" t="str">
        <f>IFERROR(ROUNDUP(VLOOKUP($C171,装備品!$1:$998,COLUMN(O$1),FALSE)*VLOOKUP($D171,素材!$1:$1016,COLUMN(E$1),FALSE),1),"")</f>
        <v/>
      </c>
      <c r="AA171">
        <f>IF(ISNUMBER(SEARCH(SUBSTITUTE(AA$1,RIGHT(AA$1,2),""),VLOOKUP($D171,素材!$1:$1016,COLUMN($F$1),FALSE))),VLOOKUP($C171,装備品!$1:$998,COLUMN($O$1),FALSE)*VLOOKUP($D171,素材!$1:$1016,COLUMN($E$1),FALSE)/(LEN(VLOOKUP($D171,素材!$1:$1016,COLUMN($F$1),FALSE))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B171">
        <f>IF(ISNUMBER(SEARCH(SUBSTITUTE(AB$1,RIGHT(AB$1,2),""),VLOOKUP($D171,素材!$1:$1016,COLUMN($F$1),FALSE))),VLOOKUP($C171,装備品!$1:$998,COLUMN($O$1),FALSE)*VLOOKUP($D171,素材!$1:$1016,COLUMN($E$1),FALSE)/(LEN(VLOOKUP($D171,素材!$1:$1016,COLUMN($F$1),FALSE))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C171">
        <f>IF(ISNUMBER(SEARCH(SUBSTITUTE(AC$1,RIGHT(AC$1,2),""),VLOOKUP($D171,素材!$1:$1016,COLUMN($F$1),FALSE))),VLOOKUP($C171,装備品!$1:$998,COLUMN($O$1),FALSE)*VLOOKUP($D171,素材!$1:$1016,COLUMN($E$1),FALSE)/(LEN(VLOOKUP($D171,素材!$1:$1016,COLUMN($F$1),FALSE))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D171">
        <f>IF(ISNUMBER(SEARCH(SUBSTITUTE(AD$1,RIGHT(AD$1,2),""),VLOOKUP($D171,素材!$1:$1016,COLUMN($F$1),FALSE))),VLOOKUP($C171,装備品!$1:$998,COLUMN($O$1),FALSE)*VLOOKUP($D171,素材!$1:$1016,COLUMN($E$1),FALSE)/(LEN(VLOOKUP($D171,素材!$1:$1016,COLUMN($F$1),FALSE))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E171">
        <f>IF(ISNUMBER(SEARCH(SUBSTITUTE(AE$1,RIGHT(AE$1,2),""),VLOOKUP($D171,素材!$1:$1016,COLUMN($F$1),FALSE))),VLOOKUP($C171,装備品!$1:$998,COLUMN($O$1),FALSE)*VLOOKUP($D171,素材!$1:$1016,COLUMN($E$1),FALSE)/(LEN(VLOOKUP($D171,素材!$1:$1016,COLUMN($F$1),FALSE))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F171">
        <f>IF(ISNUMBER(SEARCH(SUBSTITUTE(AF$1,RIGHT(AF$1,2),""),VLOOKUP($D171,素材!$1:$1016,COLUMN($F$1),FALSE))),VLOOKUP($C171,装備品!$1:$998,COLUMN($O$1),FALSE)*VLOOKUP($D171,素材!$1:$1016,COLUMN($E$1),FALSE)/(LEN(VLOOKUP($D171,素材!$1:$1016,COLUMN($F$1),FALSE))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G171">
        <f>IF(ISNUMBER(SEARCH(SUBSTITUTE(AG$1,RIGHT(AG$1,2),""),VLOOKUP($D171,素材!$1:$1016,COLUMN($F$1),FALSE))),VLOOKUP($C171,装備品!$1:$998,COLUMN($O$1),FALSE)*VLOOKUP($D171,素材!$1:$1016,COLUMN($E$1),FALSE)/(LEN(VLOOKUP($D171,素材!$1:$1016,COLUMN($F$1),FALSE))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H171">
        <f>IF(ISNUMBER(SEARCH(SUBSTITUTE(AH$1,RIGHT(AH$1,2),""),VLOOKUP($D171,素材!$1:$1016,COLUMN($F$1),FALSE))),VLOOKUP($C171,装備品!$1:$998,COLUMN($O$1),FALSE)*VLOOKUP($D171,素材!$1:$1016,COLUMN($E$1),FALSE)/(LEN(VLOOKUP($D171,素材!$1:$1016,COLUMN($F$1),FALSE))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I171">
        <f>IF(ISNUMBER(SEARCH(SUBSTITUTE(AI$1,RIGHT(AI$1,2),""),VLOOKUP($D171,素材!$1:$1016,COLUMN($F$1),FALSE))),VLOOKUP($C171,装備品!$1:$998,COLUMN($O$1),FALSE)*VLOOKUP($D171,素材!$1:$1016,COLUMN($E$1),FALSE)/(LEN(VLOOKUP($D171,素材!$1:$1016,COLUMN($F$1),FALSE))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J171">
        <f>IF(ISNUMBER(SEARCH(SUBSTITUTE(AJ$1,RIGHT(AJ$1,2),""),VLOOKUP($D171,素材!$1:$1016,COLUMN($F$1),FALSE))),VLOOKUP($C171,装備品!$1:$998,COLUMN($O$1),FALSE)*VLOOKUP($D171,素材!$1:$1016,COLUMN($E$1),FALSE)/(LEN(VLOOKUP($D171,素材!$1:$1016,COLUMN($F$1),FALSE))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K171">
        <f>IF(ISNUMBER(SEARCH(SUBSTITUTE(AK$1,RIGHT(AK$1,2),""),VLOOKUP($D171,素材!$1:$1016,COLUMN($F$1),FALSE))),VLOOKUP($C171,装備品!$1:$998,COLUMN($O$1),FALSE)*VLOOKUP($D171,素材!$1:$1016,COLUMN($E$1),FALSE)/(LEN(VLOOKUP($D171,素材!$1:$1016,COLUMN($F$1),FALSE))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L171">
        <f>IF(ISNUMBER(SEARCH(SUBSTITUTE(AL$1,RIGHT(AL$1,2),""),VLOOKUP($D171,素材!$1:$1016,COLUMN($F$1),FALSE))),VLOOKUP($C171,装備品!$1:$998,COLUMN($O$1),FALSE)*VLOOKUP($D171,素材!$1:$1016,COLUMN($E$1),FALSE)/(LEN(VLOOKUP($D171,素材!$1:$1016,COLUMN($F$1),FALSE))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M171">
        <f>IF(ISNUMBER(SEARCH(SUBSTITUTE(AM$1,RIGHT(AM$1,2),""),VLOOKUP($D171,素材!$1:$1016,COLUMN($F$1),FALSE))),VLOOKUP($C171,装備品!$1:$998,COLUMN($O$1),FALSE)*VLOOKUP($D171,素材!$1:$1016,COLUMN($E$1),FALSE)/(LEN(VLOOKUP($D171,素材!$1:$1016,COLUMN($F$1),FALSE))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N171">
        <f>IF(ISNUMBER(SEARCH(SUBSTITUTE(AN$1,RIGHT(AN$1,2),""),VLOOKUP($D171,素材!$1:$1016,COLUMN($F$1),FALSE))),VLOOKUP($C171,装備品!$1:$998,COLUMN($O$1),FALSE)*VLOOKUP($D171,素材!$1:$1016,COLUMN($E$1),FALSE)/(LEN(VLOOKUP($D171,素材!$1:$1016,COLUMN($F$1),FALSE))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O171">
        <f>IF(ISNUMBER(SEARCH(SUBSTITUTE(AO$1,RIGHT(AO$1,2),""),VLOOKUP($D171,素材!$1:$1016,COLUMN($F$1),FALSE))),VLOOKUP($C171,装備品!$1:$998,COLUMN($O$1),FALSE)*VLOOKUP($D171,素材!$1:$1016,COLUMN($E$1),FALSE)/(LEN(VLOOKUP($D171,素材!$1:$1016,COLUMN($F$1),FALSE))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P171">
        <f>IF(ISNUMBER(SEARCH(SUBSTITUTE(AP$1,RIGHT(AP$1,2),""),VLOOKUP($D171,素材!$1:$1016,COLUMN($F$1),FALSE))),VLOOKUP($C171,装備品!$1:$998,COLUMN($O$1),FALSE)*VLOOKUP($D171,素材!$1:$1016,COLUMN($E$1),FALSE)/(LEN(VLOOKUP($D171,素材!$1:$1016,COLUMN($F$1),FALSE))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Q171">
        <f>IF(ISNUMBER(SEARCH(SUBSTITUTE(AQ$1,RIGHT(AQ$1,2),""),VLOOKUP($D171,素材!$1:$1016,COLUMN($F$1),FALSE))),VLOOKUP($C171,装備品!$1:$998,COLUMN($O$1),FALSE)*VLOOKUP($D171,素材!$1:$1016,COLUMN($E$1),FALSE)/(LEN(VLOOKUP($D171,素材!$1:$1016,COLUMN($F$1),FALSE))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R171">
        <f>IF(ISNUMBER(SEARCH(SUBSTITUTE(AR$1,RIGHT(AR$1,2),""),VLOOKUP($D171,素材!$1:$1016,COLUMN($F$1),FALSE))),VLOOKUP($C171,装備品!$1:$998,COLUMN($O$1),FALSE)*VLOOKUP($D171,素材!$1:$1016,COLUMN($E$1),FALSE)/(LEN(VLOOKUP($D171,素材!$1:$1016,COLUMN($F$1),FALSE))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S171">
        <f>IF(ISNUMBER(SEARCH(SUBSTITUTE(AS$1,RIGHT(AS$1,2),""),VLOOKUP($D171,素材!$1:$1016,COLUMN($F$1),FALSE))),VLOOKUP($C171,装備品!$1:$998,COLUMN($O$1),FALSE)*VLOOKUP($D171,素材!$1:$1016,COLUMN($E$1),FALSE)/(LEN(VLOOKUP($D171,素材!$1:$1016,COLUMN($F$1),FALSE))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T171">
        <f>IF(ISNUMBER(SEARCH(SUBSTITUTE(AT$1,RIGHT(AT$1,2),""),VLOOKUP($D171,素材!$1:$1016,COLUMN($F$1),FALSE))),VLOOKUP($C171,装備品!$1:$998,COLUMN($O$1),FALSE)*VLOOKUP($D171,素材!$1:$1016,COLUMN($E$1),FALSE)/(LEN(VLOOKUP($D171,素材!$1:$1016,COLUMN($F$1),FALSE))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U171">
        <f>IF(ISNUMBER(SEARCH(SUBSTITUTE(AU$1,RIGHT(AU$1,2),""),VLOOKUP($D171,素材!$1:$1016,COLUMN($F$1),FALSE))),VLOOKUP($C171,装備品!$1:$998,COLUMN($O$1),FALSE)*VLOOKUP($D171,素材!$1:$1016,COLUMN($E$1),FALSE)/(LEN(VLOOKUP($D171,素材!$1:$1016,COLUMN($F$1),FALSE))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V171">
        <f>IF(ISNUMBER(SEARCH(SUBSTITUTE(AV$1,RIGHT(AV$1,2),""),VLOOKUP($D171,素材!$1:$1016,COLUMN($F$1),FALSE))),VLOOKUP($C171,装備品!$1:$998,COLUMN($O$1),FALSE)*VLOOKUP($D171,素材!$1:$1016,COLUMN($E$1),FALSE)/(LEN(VLOOKUP($D171,素材!$1:$1016,COLUMN($F$1),FALSE))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W171">
        <f>IF(ISNUMBER(SEARCH(SUBSTITUTE(AW$1,RIGHT(AW$1,2),""),VLOOKUP($D171,素材!$1:$1016,COLUMN($F$1),FALSE))),VLOOKUP($C171,装備品!$1:$998,COLUMN($O$1),FALSE)*VLOOKUP($D171,素材!$1:$1016,COLUMN($E$1),FALSE)/(LEN(VLOOKUP($D171,素材!$1:$1016,COLUMN($F$1),FALSE))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X171">
        <f>IF(ISNUMBER(SEARCH(SUBSTITUTE(AX$1,RIGHT(AX$1,2),""),VLOOKUP($D171,素材!$1:$1016,COLUMN($F$1),FALSE))),VLOOKUP($C171,装備品!$1:$998,COLUMN($O$1),FALSE)*VLOOKUP($D171,素材!$1:$1016,COLUMN($E$1),FALSE)/(LEN(VLOOKUP($D171,素材!$1:$1016,COLUMN($F$1),FALSE))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Y171">
        <f>IF(ISNUMBER(SEARCH(SUBSTITUTE(AY$1,RIGHT(AY$1,2),""),VLOOKUP($D171,素材!$1:$1016,COLUMN($F$1),FALSE))),VLOOKUP($C171,装備品!$1:$998,COLUMN($O$1),FALSE)*VLOOKUP($D171,素材!$1:$1016,COLUMN($E$1),FALSE)/(LEN(VLOOKUP($D171,素材!$1:$1016,COLUMN($F$1),FALSE))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Z171">
        <f>IF(ISNUMBER(SEARCH(SUBSTITUTE(AZ$1,RIGHT(AZ$1,2),""),VLOOKUP($D171,素材!$1:$1016,COLUMN($F$1),FALSE))),VLOOKUP($C171,装備品!$1:$998,COLUMN($O$1),FALSE)*VLOOKUP($D171,素材!$1:$1016,COLUMN($E$1),FALSE)/(LEN(VLOOKUP($D171,素材!$1:$1016,COLUMN($F$1),FALSE))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BA171">
        <f>IF(ISNUMBER(SEARCH(SUBSTITUTE(BA$1,RIGHT(BA$1,2),""),VLOOKUP($D171,素材!$1:$1016,COLUMN($F$1),FALSE))),VLOOKUP($C171,装備品!$1:$998,COLUMN($O$1),FALSE)*VLOOKUP($D171,素材!$1:$1016,COLUMN($E$1),FALSE)/(LEN(VLOOKUP($D171,素材!$1:$1016,COLUMN($F$1),FALSE))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BB171">
        <f>IF(ISNUMBER(SEARCH(SUBSTITUTE(BB$1,RIGHT(BB$1,2),""),VLOOKUP($D171,素材!$1:$1016,COLUMN($F$1),FALSE))),VLOOKUP($C171,装備品!$1:$998,COLUMN($O$1),FALSE)*VLOOKUP($D171,素材!$1:$1016,COLUMN($E$1),FALSE)/(LEN(VLOOKUP($D171,素材!$1:$1016,COLUMN($F$1),FALSE))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BC171">
        <f>IF(ISNUMBER(SEARCH(SUBSTITUTE(BC$1,RIGHT(BC$1,2),""),VLOOKUP($D171,素材!$1:$1016,COLUMN($F$1),FALSE))),VLOOKUP($C171,装備品!$1:$998,COLUMN($O$1),FALSE)*VLOOKUP($D171,素材!$1:$1016,COLUMN($E$1),FALSE)/(LEN(VLOOKUP($D171,素材!$1:$1016,COLUMN($F$1),FALSE))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BD171">
        <f>IF(ISNUMBER(SEARCH(SUBSTITUTE(BD$1,RIGHT(BD$1,2),""),VLOOKUP($D171,素材!$1:$1016,COLUMN($F$1),FALSE))),VLOOKUP($C171,装備品!$1:$998,COLUMN($O$1),FALSE)*VLOOKUP($D171,素材!$1:$1016,COLUMN($E$1),FALSE)/(LEN(VLOOKUP($D171,素材!$1:$1016,COLUMN($F$1),FALSE))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BE171">
        <f>IF(ISNUMBER(SEARCH(SUBSTITUTE(BE$1,RIGHT(BE$1,2),""),VLOOKUP($D171,素材!$1:$1016,COLUMN($F$1),FALSE))),VLOOKUP($C171,装備品!$1:$998,COLUMN($O$1),FALSE)*VLOOKUP($D171,素材!$1:$1016,COLUMN($E$1),FALSE)/(LEN(VLOOKUP($D171,素材!$1:$1016,COLUMN($F$1),FALSE))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CL171">
        <f t="shared" si="19"/>
        <v>0</v>
      </c>
      <c r="CM171" s="22" t="e">
        <f t="shared" si="20"/>
        <v>#VALUE!</v>
      </c>
      <c r="CN171" t="str">
        <f>IFERROR(VLOOKUP($C171,装備品!$1:$998,COLUMN(V$1),FALSE)*VLOOKUP($D171,素材!$1:$1016,COLUMN(N$1),FALSE)+IF(CI171="",0,VLOOKUP($CI171,付与!$1:$1176,COLUMN($CK$1),FALSE)),"")</f>
        <v/>
      </c>
      <c r="CO171" t="e">
        <f>VLOOKUP(D171,素材!$A:$O,COLUMN(素材!O$1),FALSE)</f>
        <v>#N/A</v>
      </c>
      <c r="CP171" t="str">
        <f>VLOOKUP(C171,装備品!$A:$AB,COLUMN(装備品!AB$1),FALSE)</f>
        <v>戦棍。打撃に優れた武器。Cr率が高い</v>
      </c>
      <c r="CR171" t="str">
        <f t="shared" si="24"/>
        <v>e_171</v>
      </c>
      <c r="CS171" t="e">
        <f t="shared" si="28"/>
        <v>#VALUE!</v>
      </c>
    </row>
    <row r="172" spans="1:97" outlineLevel="1" x14ac:dyDescent="0.4">
      <c r="A172" t="str">
        <f t="shared" si="33"/>
        <v>黒鋼鉄の棘棍</v>
      </c>
      <c r="B172" t="str">
        <f>IFERROR(VLOOKUP($D172,素材!$1:$1016,COLUMN($B$1),FALSE)&amp;"・"&amp;VLOOKUP($C172,装備品!$1:$998,COLUMN(B$1),FALSE),"")</f>
        <v/>
      </c>
      <c r="C172" t="s">
        <v>227</v>
      </c>
      <c r="D172" s="24" t="s">
        <v>243</v>
      </c>
      <c r="E172" t="str">
        <f>IFERROR(VLOOKUP(C172,装備品!$1:$998,COLUMN(C$1),FALSE),"")</f>
        <v>武器</v>
      </c>
      <c r="F172" t="str">
        <f>IFERROR(ROUNDDOWN((VLOOKUP($C172,装備品!$1:$998,COLUMN(D$1),FALSE)+IFERROR(VLOOKUP($CI172,付与!$1:$1167,COLUMN(F$1),FALSE),0))*VLOOKUP($D172,素材!$1:$1016,COLUMN(D$1),FALSE),0),"")</f>
        <v/>
      </c>
      <c r="G172" t="str">
        <f>IFERROR(ROUNDDOWN((VLOOKUP($C172,装備品!$1:$998,COLUMN(E$1),FALSE)+IFERROR(VLOOKUP($CI172,付与!$1:$1167,COLUMN(G$1),FALSE),0))*VLOOKUP($D172,素材!$1:$1016,COLUMN($E$1),FALSE),0),"")</f>
        <v/>
      </c>
      <c r="H172" t="str">
        <f>IFERROR(ROUNDDOWN((VLOOKUP($C172,装備品!$1:$998,COLUMN(F$1),FALSE)+IFERROR(VLOOKUP($CI172,付与!$1:$1167,COLUMN(H$1),FALSE),0))*VLOOKUP($D172,素材!$1:$1016,COLUMN($E$1),FALSE),0),"")</f>
        <v/>
      </c>
      <c r="I172" t="str">
        <f>IFERROR(ROUNDDOWN((VLOOKUP($C172,装備品!$1:$998,COLUMN(G$1),FALSE)+IFERROR(VLOOKUP($CI172,付与!$1:$1167,COLUMN(I$1),FALSE),0))*VLOOKUP($D172,素材!$1:$1016,COLUMN($E$1),FALSE),0),"")</f>
        <v/>
      </c>
      <c r="J172" t="str">
        <f>IFERROR(ROUNDDOWN((VLOOKUP($C172,装備品!$1:$998,COLUMN(H$1),FALSE)+IFERROR(VLOOKUP($CI172,付与!$1:$1167,COLUMN(J$1),FALSE),0))*VLOOKUP($D172,素材!$1:$1016,COLUMN($E$1),FALSE),0),"")</f>
        <v/>
      </c>
      <c r="K172" t="str">
        <f>IFERROR(ROUNDDOWN((VLOOKUP($C172,装備品!$1:$998,COLUMN(I$1),FALSE)+IFERROR(VLOOKUP($CI172,付与!$1:$1167,COLUMN(K$1),FALSE),0))*VLOOKUP($D172,素材!$1:$1016,COLUMN($E$1),FALSE),0),"")</f>
        <v/>
      </c>
      <c r="L172" t="str">
        <f>IFERROR(VLOOKUP($D172,素材!$1:$1016,COLUMN($F$1),FALSE),"")</f>
        <v/>
      </c>
      <c r="M172" t="str">
        <f>IFERROR(VLOOKUP($C172,装備品!$1:$998,COLUMN(AA$1),FALSE)*VLOOKUP($D172,素材!$1:$1016,COLUMN($G$1),FALSE),"")</f>
        <v/>
      </c>
      <c r="N172">
        <f>IFERROR(VLOOKUP($C172,装備品!$1:$998,COLUMN(I$1),FALSE),"")</f>
        <v>0</v>
      </c>
      <c r="O172" s="23" t="str">
        <f>IFERROR((VLOOKUP($C172,装備品!$1:$998,COLUMN(K$1),FALSE)+VLOOKUP($D172,素材!$1:$1016,COLUMN(H$1),FALSE))*100+IFERROR(VLOOKUP($CI172,付与!$1:$1167,COLUMN(O$1),FALSE),0),"")</f>
        <v/>
      </c>
      <c r="P172" s="23" t="str">
        <f>IFERROR((VLOOKUP($C172,装備品!$1:$998,COLUMN(L$1),FALSE)+VLOOKUP($D172,素材!$1:$1016,COLUMN(I$1),FALSE))*100+IFERROR(VLOOKUP($CI172,付与!$1:$1167,COLUMN(P$1),FALSE),0),"")</f>
        <v/>
      </c>
      <c r="Q172" t="str">
        <f>IFERROR(ROUNDUP(VLOOKUP($C172,装備品!$1:$998,COLUMN(M$1),FALSE)*(VLOOKUP($D172,素材!$1:$1002,COLUMN(D$1),FALSE)/100),1),"")</f>
        <v/>
      </c>
      <c r="R172" t="str">
        <f>IFERROR(ROUNDUP(VLOOKUP($C172,装備品!$1:$998,COLUMN(N$1),FALSE)*(VLOOKUP($D172,素材!$1:$1002,COLUMN(D$1),FALSE)/100),1),"")</f>
        <v/>
      </c>
      <c r="S172">
        <f>IFERROR(VLOOKUP($C172,装備品!$1:$998,COLUMN(P$1),FALSE),"")</f>
        <v>0</v>
      </c>
      <c r="T172">
        <f>IFERROR(VLOOKUP($C172,装備品!$1:$998,COLUMN(Q$1),FALSE),"")</f>
        <v>0</v>
      </c>
      <c r="U172">
        <f>IFERROR(VLOOKUP($C172,装備品!$1:$998,COLUMN(R$1),FALSE),"")</f>
        <v>0</v>
      </c>
      <c r="V172">
        <f>IFERROR(VLOOKUP($C172,装備品!$1:$998,COLUMN(Q$1),FALSE),"")</f>
        <v>0</v>
      </c>
      <c r="W172">
        <f>IFERROR(VLOOKUP($C172,装備品!$1:$998,COLUMN(T$1),FALSE),"")</f>
        <v>0</v>
      </c>
      <c r="Y172">
        <f>IFERROR(VLOOKUP($C172,装備品!$1:$998,COLUMN(U$1),FALSE),"")</f>
        <v>0</v>
      </c>
      <c r="Z172" t="str">
        <f>IFERROR(ROUNDUP(VLOOKUP($C172,装備品!$1:$998,COLUMN(O$1),FALSE)*VLOOKUP($D172,素材!$1:$1016,COLUMN(E$1),FALSE),1),"")</f>
        <v/>
      </c>
      <c r="AA172">
        <f>IF(ISNUMBER(SEARCH(SUBSTITUTE(AA$1,RIGHT(AA$1,2),""),VLOOKUP($D172,素材!$1:$1016,COLUMN($F$1),FALSE))),VLOOKUP($C172,装備品!$1:$998,COLUMN($O$1),FALSE)*VLOOKUP($D172,素材!$1:$1016,COLUMN($E$1),FALSE)/(LEN(VLOOKUP($D172,素材!$1:$1016,COLUMN($F$1),FALSE))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B172">
        <f>IF(ISNUMBER(SEARCH(SUBSTITUTE(AB$1,RIGHT(AB$1,2),""),VLOOKUP($D172,素材!$1:$1016,COLUMN($F$1),FALSE))),VLOOKUP($C172,装備品!$1:$998,COLUMN($O$1),FALSE)*VLOOKUP($D172,素材!$1:$1016,COLUMN($E$1),FALSE)/(LEN(VLOOKUP($D172,素材!$1:$1016,COLUMN($F$1),FALSE))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C172">
        <f>IF(ISNUMBER(SEARCH(SUBSTITUTE(AC$1,RIGHT(AC$1,2),""),VLOOKUP($D172,素材!$1:$1016,COLUMN($F$1),FALSE))),VLOOKUP($C172,装備品!$1:$998,COLUMN($O$1),FALSE)*VLOOKUP($D172,素材!$1:$1016,COLUMN($E$1),FALSE)/(LEN(VLOOKUP($D172,素材!$1:$1016,COLUMN($F$1),FALSE))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D172">
        <f>IF(ISNUMBER(SEARCH(SUBSTITUTE(AD$1,RIGHT(AD$1,2),""),VLOOKUP($D172,素材!$1:$1016,COLUMN($F$1),FALSE))),VLOOKUP($C172,装備品!$1:$998,COLUMN($O$1),FALSE)*VLOOKUP($D172,素材!$1:$1016,COLUMN($E$1),FALSE)/(LEN(VLOOKUP($D172,素材!$1:$1016,COLUMN($F$1),FALSE))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E172">
        <f>IF(ISNUMBER(SEARCH(SUBSTITUTE(AE$1,RIGHT(AE$1,2),""),VLOOKUP($D172,素材!$1:$1016,COLUMN($F$1),FALSE))),VLOOKUP($C172,装備品!$1:$998,COLUMN($O$1),FALSE)*VLOOKUP($D172,素材!$1:$1016,COLUMN($E$1),FALSE)/(LEN(VLOOKUP($D172,素材!$1:$1016,COLUMN($F$1),FALSE))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F172">
        <f>IF(ISNUMBER(SEARCH(SUBSTITUTE(AF$1,RIGHT(AF$1,2),""),VLOOKUP($D172,素材!$1:$1016,COLUMN($F$1),FALSE))),VLOOKUP($C172,装備品!$1:$998,COLUMN($O$1),FALSE)*VLOOKUP($D172,素材!$1:$1016,COLUMN($E$1),FALSE)/(LEN(VLOOKUP($D172,素材!$1:$1016,COLUMN($F$1),FALSE))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G172">
        <f>IF(ISNUMBER(SEARCH(SUBSTITUTE(AG$1,RIGHT(AG$1,2),""),VLOOKUP($D172,素材!$1:$1016,COLUMN($F$1),FALSE))),VLOOKUP($C172,装備品!$1:$998,COLUMN($O$1),FALSE)*VLOOKUP($D172,素材!$1:$1016,COLUMN($E$1),FALSE)/(LEN(VLOOKUP($D172,素材!$1:$1016,COLUMN($F$1),FALSE))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H172">
        <f>IF(ISNUMBER(SEARCH(SUBSTITUTE(AH$1,RIGHT(AH$1,2),""),VLOOKUP($D172,素材!$1:$1016,COLUMN($F$1),FALSE))),VLOOKUP($C172,装備品!$1:$998,COLUMN($O$1),FALSE)*VLOOKUP($D172,素材!$1:$1016,COLUMN($E$1),FALSE)/(LEN(VLOOKUP($D172,素材!$1:$1016,COLUMN($F$1),FALSE))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I172">
        <f>IF(ISNUMBER(SEARCH(SUBSTITUTE(AI$1,RIGHT(AI$1,2),""),VLOOKUP($D172,素材!$1:$1016,COLUMN($F$1),FALSE))),VLOOKUP($C172,装備品!$1:$998,COLUMN($O$1),FALSE)*VLOOKUP($D172,素材!$1:$1016,COLUMN($E$1),FALSE)/(LEN(VLOOKUP($D172,素材!$1:$1016,COLUMN($F$1),FALSE))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J172">
        <f>IF(ISNUMBER(SEARCH(SUBSTITUTE(AJ$1,RIGHT(AJ$1,2),""),VLOOKUP($D172,素材!$1:$1016,COLUMN($F$1),FALSE))),VLOOKUP($C172,装備品!$1:$998,COLUMN($O$1),FALSE)*VLOOKUP($D172,素材!$1:$1016,COLUMN($E$1),FALSE)/(LEN(VLOOKUP($D172,素材!$1:$1016,COLUMN($F$1),FALSE))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K172">
        <f>IF(ISNUMBER(SEARCH(SUBSTITUTE(AK$1,RIGHT(AK$1,2),""),VLOOKUP($D172,素材!$1:$1016,COLUMN($F$1),FALSE))),VLOOKUP($C172,装備品!$1:$998,COLUMN($O$1),FALSE)*VLOOKUP($D172,素材!$1:$1016,COLUMN($E$1),FALSE)/(LEN(VLOOKUP($D172,素材!$1:$1016,COLUMN($F$1),FALSE))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L172">
        <f>IF(ISNUMBER(SEARCH(SUBSTITUTE(AL$1,RIGHT(AL$1,2),""),VLOOKUP($D172,素材!$1:$1016,COLUMN($F$1),FALSE))),VLOOKUP($C172,装備品!$1:$998,COLUMN($O$1),FALSE)*VLOOKUP($D172,素材!$1:$1016,COLUMN($E$1),FALSE)/(LEN(VLOOKUP($D172,素材!$1:$1016,COLUMN($F$1),FALSE))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M172">
        <f>IF(ISNUMBER(SEARCH(SUBSTITUTE(AM$1,RIGHT(AM$1,2),""),VLOOKUP($D172,素材!$1:$1016,COLUMN($F$1),FALSE))),VLOOKUP($C172,装備品!$1:$998,COLUMN($O$1),FALSE)*VLOOKUP($D172,素材!$1:$1016,COLUMN($E$1),FALSE)/(LEN(VLOOKUP($D172,素材!$1:$1016,COLUMN($F$1),FALSE))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N172">
        <f>IF(ISNUMBER(SEARCH(SUBSTITUTE(AN$1,RIGHT(AN$1,2),""),VLOOKUP($D172,素材!$1:$1016,COLUMN($F$1),FALSE))),VLOOKUP($C172,装備品!$1:$998,COLUMN($O$1),FALSE)*VLOOKUP($D172,素材!$1:$1016,COLUMN($E$1),FALSE)/(LEN(VLOOKUP($D172,素材!$1:$1016,COLUMN($F$1),FALSE))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O172">
        <f>IF(ISNUMBER(SEARCH(SUBSTITUTE(AO$1,RIGHT(AO$1,2),""),VLOOKUP($D172,素材!$1:$1016,COLUMN($F$1),FALSE))),VLOOKUP($C172,装備品!$1:$998,COLUMN($O$1),FALSE)*VLOOKUP($D172,素材!$1:$1016,COLUMN($E$1),FALSE)/(LEN(VLOOKUP($D172,素材!$1:$1016,COLUMN($F$1),FALSE))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P172">
        <f>IF(ISNUMBER(SEARCH(SUBSTITUTE(AP$1,RIGHT(AP$1,2),""),VLOOKUP($D172,素材!$1:$1016,COLUMN($F$1),FALSE))),VLOOKUP($C172,装備品!$1:$998,COLUMN($O$1),FALSE)*VLOOKUP($D172,素材!$1:$1016,COLUMN($E$1),FALSE)/(LEN(VLOOKUP($D172,素材!$1:$1016,COLUMN($F$1),FALSE))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Q172">
        <f>IF(ISNUMBER(SEARCH(SUBSTITUTE(AQ$1,RIGHT(AQ$1,2),""),VLOOKUP($D172,素材!$1:$1016,COLUMN($F$1),FALSE))),VLOOKUP($C172,装備品!$1:$998,COLUMN($O$1),FALSE)*VLOOKUP($D172,素材!$1:$1016,COLUMN($E$1),FALSE)/(LEN(VLOOKUP($D172,素材!$1:$1016,COLUMN($F$1),FALSE))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R172">
        <f>IF(ISNUMBER(SEARCH(SUBSTITUTE(AR$1,RIGHT(AR$1,2),""),VLOOKUP($D172,素材!$1:$1016,COLUMN($F$1),FALSE))),VLOOKUP($C172,装備品!$1:$998,COLUMN($O$1),FALSE)*VLOOKUP($D172,素材!$1:$1016,COLUMN($E$1),FALSE)/(LEN(VLOOKUP($D172,素材!$1:$1016,COLUMN($F$1),FALSE))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S172">
        <f>IF(ISNUMBER(SEARCH(SUBSTITUTE(AS$1,RIGHT(AS$1,2),""),VLOOKUP($D172,素材!$1:$1016,COLUMN($F$1),FALSE))),VLOOKUP($C172,装備品!$1:$998,COLUMN($O$1),FALSE)*VLOOKUP($D172,素材!$1:$1016,COLUMN($E$1),FALSE)/(LEN(VLOOKUP($D172,素材!$1:$1016,COLUMN($F$1),FALSE))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T172">
        <f>IF(ISNUMBER(SEARCH(SUBSTITUTE(AT$1,RIGHT(AT$1,2),""),VLOOKUP($D172,素材!$1:$1016,COLUMN($F$1),FALSE))),VLOOKUP($C172,装備品!$1:$998,COLUMN($O$1),FALSE)*VLOOKUP($D172,素材!$1:$1016,COLUMN($E$1),FALSE)/(LEN(VLOOKUP($D172,素材!$1:$1016,COLUMN($F$1),FALSE))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U172">
        <f>IF(ISNUMBER(SEARCH(SUBSTITUTE(AU$1,RIGHT(AU$1,2),""),VLOOKUP($D172,素材!$1:$1016,COLUMN($F$1),FALSE))),VLOOKUP($C172,装備品!$1:$998,COLUMN($O$1),FALSE)*VLOOKUP($D172,素材!$1:$1016,COLUMN($E$1),FALSE)/(LEN(VLOOKUP($D172,素材!$1:$1016,COLUMN($F$1),FALSE))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V172">
        <f>IF(ISNUMBER(SEARCH(SUBSTITUTE(AV$1,RIGHT(AV$1,2),""),VLOOKUP($D172,素材!$1:$1016,COLUMN($F$1),FALSE))),VLOOKUP($C172,装備品!$1:$998,COLUMN($O$1),FALSE)*VLOOKUP($D172,素材!$1:$1016,COLUMN($E$1),FALSE)/(LEN(VLOOKUP($D172,素材!$1:$1016,COLUMN($F$1),FALSE))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W172">
        <f>IF(ISNUMBER(SEARCH(SUBSTITUTE(AW$1,RIGHT(AW$1,2),""),VLOOKUP($D172,素材!$1:$1016,COLUMN($F$1),FALSE))),VLOOKUP($C172,装備品!$1:$998,COLUMN($O$1),FALSE)*VLOOKUP($D172,素材!$1:$1016,COLUMN($E$1),FALSE)/(LEN(VLOOKUP($D172,素材!$1:$1016,COLUMN($F$1),FALSE))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X172">
        <f>IF(ISNUMBER(SEARCH(SUBSTITUTE(AX$1,RIGHT(AX$1,2),""),VLOOKUP($D172,素材!$1:$1016,COLUMN($F$1),FALSE))),VLOOKUP($C172,装備品!$1:$998,COLUMN($O$1),FALSE)*VLOOKUP($D172,素材!$1:$1016,COLUMN($E$1),FALSE)/(LEN(VLOOKUP($D172,素材!$1:$1016,COLUMN($F$1),FALSE))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Y172">
        <f>IF(ISNUMBER(SEARCH(SUBSTITUTE(AY$1,RIGHT(AY$1,2),""),VLOOKUP($D172,素材!$1:$1016,COLUMN($F$1),FALSE))),VLOOKUP($C172,装備品!$1:$998,COLUMN($O$1),FALSE)*VLOOKUP($D172,素材!$1:$1016,COLUMN($E$1),FALSE)/(LEN(VLOOKUP($D172,素材!$1:$1016,COLUMN($F$1),FALSE))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Z172">
        <f>IF(ISNUMBER(SEARCH(SUBSTITUTE(AZ$1,RIGHT(AZ$1,2),""),VLOOKUP($D172,素材!$1:$1016,COLUMN($F$1),FALSE))),VLOOKUP($C172,装備品!$1:$998,COLUMN($O$1),FALSE)*VLOOKUP($D172,素材!$1:$1016,COLUMN($E$1),FALSE)/(LEN(VLOOKUP($D172,素材!$1:$1016,COLUMN($F$1),FALSE))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BA172">
        <f>IF(ISNUMBER(SEARCH(SUBSTITUTE(BA$1,RIGHT(BA$1,2),""),VLOOKUP($D172,素材!$1:$1016,COLUMN($F$1),FALSE))),VLOOKUP($C172,装備品!$1:$998,COLUMN($O$1),FALSE)*VLOOKUP($D172,素材!$1:$1016,COLUMN($E$1),FALSE)/(LEN(VLOOKUP($D172,素材!$1:$1016,COLUMN($F$1),FALSE))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BB172">
        <f>IF(ISNUMBER(SEARCH(SUBSTITUTE(BB$1,RIGHT(BB$1,2),""),VLOOKUP($D172,素材!$1:$1016,COLUMN($F$1),FALSE))),VLOOKUP($C172,装備品!$1:$998,COLUMN($O$1),FALSE)*VLOOKUP($D172,素材!$1:$1016,COLUMN($E$1),FALSE)/(LEN(VLOOKUP($D172,素材!$1:$1016,COLUMN($F$1),FALSE))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BC172">
        <f>IF(ISNUMBER(SEARCH(SUBSTITUTE(BC$1,RIGHT(BC$1,2),""),VLOOKUP($D172,素材!$1:$1016,COLUMN($F$1),FALSE))),VLOOKUP($C172,装備品!$1:$998,COLUMN($O$1),FALSE)*VLOOKUP($D172,素材!$1:$1016,COLUMN($E$1),FALSE)/(LEN(VLOOKUP($D172,素材!$1:$1016,COLUMN($F$1),FALSE))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BD172">
        <f>IF(ISNUMBER(SEARCH(SUBSTITUTE(BD$1,RIGHT(BD$1,2),""),VLOOKUP($D172,素材!$1:$1016,COLUMN($F$1),FALSE))),VLOOKUP($C172,装備品!$1:$998,COLUMN($O$1),FALSE)*VLOOKUP($D172,素材!$1:$1016,COLUMN($E$1),FALSE)/(LEN(VLOOKUP($D172,素材!$1:$1016,COLUMN($F$1),FALSE))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BE172">
        <f>IF(ISNUMBER(SEARCH(SUBSTITUTE(BE$1,RIGHT(BE$1,2),""),VLOOKUP($D172,素材!$1:$1016,COLUMN($F$1),FALSE))),VLOOKUP($C172,装備品!$1:$998,COLUMN($O$1),FALSE)*VLOOKUP($D172,素材!$1:$1016,COLUMN($E$1),FALSE)/(LEN(VLOOKUP($D172,素材!$1:$1016,COLUMN($F$1),FALSE))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CL172">
        <f t="shared" si="19"/>
        <v>0</v>
      </c>
      <c r="CM172" s="22" t="e">
        <f t="shared" si="20"/>
        <v>#VALUE!</v>
      </c>
      <c r="CN172" t="str">
        <f>IFERROR(VLOOKUP($C172,装備品!$1:$998,COLUMN(V$1),FALSE)*VLOOKUP($D172,素材!$1:$1016,COLUMN(N$1),FALSE)+IF(CI172="",0,VLOOKUP($CI172,付与!$1:$1176,COLUMN($CK$1),FALSE)),"")</f>
        <v/>
      </c>
      <c r="CO172" t="e">
        <f>VLOOKUP(D172,素材!$A:$O,COLUMN(素材!O$1),FALSE)</f>
        <v>#N/A</v>
      </c>
      <c r="CP172" t="str">
        <f>VLOOKUP(C172,装備品!$A:$AB,COLUMN(装備品!AB$1),FALSE)</f>
        <v>棘棍。打撃と刺突を兼ね備えた武器。</v>
      </c>
      <c r="CR172" t="str">
        <f t="shared" si="24"/>
        <v>e_172</v>
      </c>
      <c r="CS172" t="e">
        <f t="shared" si="28"/>
        <v>#VALUE!</v>
      </c>
    </row>
    <row r="173" spans="1:97" outlineLevel="1" x14ac:dyDescent="0.4">
      <c r="A173" t="str">
        <f t="shared" si="33"/>
        <v>黒鋼鉄の鎚</v>
      </c>
      <c r="B173" t="str">
        <f>IFERROR(VLOOKUP($D173,素材!$1:$1016,COLUMN($B$1),FALSE)&amp;"・"&amp;VLOOKUP($C173,装備品!$1:$998,COLUMN(B$1),FALSE),"")</f>
        <v/>
      </c>
      <c r="C173" t="s">
        <v>226</v>
      </c>
      <c r="D173" s="24" t="s">
        <v>243</v>
      </c>
      <c r="E173" t="str">
        <f>IFERROR(VLOOKUP(C173,装備品!$1:$998,COLUMN(C$1),FALSE),"")</f>
        <v>武器</v>
      </c>
      <c r="F173" t="str">
        <f>IFERROR(ROUNDDOWN((VLOOKUP($C173,装備品!$1:$998,COLUMN(D$1),FALSE)+IFERROR(VLOOKUP($CI173,付与!$1:$1167,COLUMN(F$1),FALSE),0))*VLOOKUP($D173,素材!$1:$1016,COLUMN(D$1),FALSE),0),"")</f>
        <v/>
      </c>
      <c r="G173" t="str">
        <f>IFERROR(ROUNDDOWN((VLOOKUP($C173,装備品!$1:$998,COLUMN(E$1),FALSE)+IFERROR(VLOOKUP($CI173,付与!$1:$1167,COLUMN(G$1),FALSE),0))*VLOOKUP($D173,素材!$1:$1016,COLUMN($E$1),FALSE),0),"")</f>
        <v/>
      </c>
      <c r="H173" t="str">
        <f>IFERROR(ROUNDDOWN((VLOOKUP($C173,装備品!$1:$998,COLUMN(F$1),FALSE)+IFERROR(VLOOKUP($CI173,付与!$1:$1167,COLUMN(H$1),FALSE),0))*VLOOKUP($D173,素材!$1:$1016,COLUMN($E$1),FALSE),0),"")</f>
        <v/>
      </c>
      <c r="I173" t="str">
        <f>IFERROR(ROUNDDOWN((VLOOKUP($C173,装備品!$1:$998,COLUMN(G$1),FALSE)+IFERROR(VLOOKUP($CI173,付与!$1:$1167,COLUMN(I$1),FALSE),0))*VLOOKUP($D173,素材!$1:$1016,COLUMN($E$1),FALSE),0),"")</f>
        <v/>
      </c>
      <c r="J173" t="str">
        <f>IFERROR(ROUNDDOWN((VLOOKUP($C173,装備品!$1:$998,COLUMN(H$1),FALSE)+IFERROR(VLOOKUP($CI173,付与!$1:$1167,COLUMN(J$1),FALSE),0))*VLOOKUP($D173,素材!$1:$1016,COLUMN($E$1),FALSE),0),"")</f>
        <v/>
      </c>
      <c r="K173" t="str">
        <f>IFERROR(ROUNDDOWN((VLOOKUP($C173,装備品!$1:$998,COLUMN(I$1),FALSE)+IFERROR(VLOOKUP($CI173,付与!$1:$1167,COLUMN(K$1),FALSE),0))*VLOOKUP($D173,素材!$1:$1016,COLUMN($E$1),FALSE),0),"")</f>
        <v/>
      </c>
      <c r="L173" t="str">
        <f>IFERROR(VLOOKUP($D173,素材!$1:$1016,COLUMN($F$1),FALSE),"")</f>
        <v/>
      </c>
      <c r="M173" t="str">
        <f>IFERROR(VLOOKUP($C173,装備品!$1:$998,COLUMN(AA$1),FALSE)*VLOOKUP($D173,素材!$1:$1016,COLUMN($G$1),FALSE),"")</f>
        <v/>
      </c>
      <c r="N173">
        <f>IFERROR(VLOOKUP($C173,装備品!$1:$998,COLUMN(I$1),FALSE),"")</f>
        <v>0</v>
      </c>
      <c r="O173" s="23" t="str">
        <f>IFERROR((VLOOKUP($C173,装備品!$1:$998,COLUMN(K$1),FALSE)+VLOOKUP($D173,素材!$1:$1016,COLUMN(H$1),FALSE))*100+IFERROR(VLOOKUP($CI173,付与!$1:$1167,COLUMN(O$1),FALSE),0),"")</f>
        <v/>
      </c>
      <c r="P173" s="23" t="str">
        <f>IFERROR((VLOOKUP($C173,装備品!$1:$998,COLUMN(L$1),FALSE)+VLOOKUP($D173,素材!$1:$1016,COLUMN(I$1),FALSE))*100+IFERROR(VLOOKUP($CI173,付与!$1:$1167,COLUMN(P$1),FALSE),0),"")</f>
        <v/>
      </c>
      <c r="Q173" t="str">
        <f>IFERROR(ROUNDUP(VLOOKUP($C173,装備品!$1:$998,COLUMN(M$1),FALSE)*(VLOOKUP($D173,素材!$1:$1002,COLUMN(D$1),FALSE)/100),1),"")</f>
        <v/>
      </c>
      <c r="R173" t="str">
        <f>IFERROR(ROUNDUP(VLOOKUP($C173,装備品!$1:$998,COLUMN(N$1),FALSE)*(VLOOKUP($D173,素材!$1:$1002,COLUMN(D$1),FALSE)/100),1),"")</f>
        <v/>
      </c>
      <c r="S173">
        <f>IFERROR(VLOOKUP($C173,装備品!$1:$998,COLUMN(P$1),FALSE),"")</f>
        <v>0</v>
      </c>
      <c r="T173">
        <f>IFERROR(VLOOKUP($C173,装備品!$1:$998,COLUMN(Q$1),FALSE),"")</f>
        <v>0</v>
      </c>
      <c r="U173">
        <f>IFERROR(VLOOKUP($C173,装備品!$1:$998,COLUMN(R$1),FALSE),"")</f>
        <v>0</v>
      </c>
      <c r="V173">
        <f>IFERROR(VLOOKUP($C173,装備品!$1:$998,COLUMN(Q$1),FALSE),"")</f>
        <v>0</v>
      </c>
      <c r="W173">
        <f>IFERROR(VLOOKUP($C173,装備品!$1:$998,COLUMN(T$1),FALSE),"")</f>
        <v>0</v>
      </c>
      <c r="Y173">
        <f>IFERROR(VLOOKUP($C173,装備品!$1:$998,COLUMN(U$1),FALSE),"")</f>
        <v>0</v>
      </c>
      <c r="Z173" t="str">
        <f>IFERROR(ROUNDUP(VLOOKUP($C173,装備品!$1:$998,COLUMN(O$1),FALSE)*VLOOKUP($D173,素材!$1:$1016,COLUMN(E$1),FALSE),1),"")</f>
        <v/>
      </c>
      <c r="AA173">
        <f>IF(ISNUMBER(SEARCH(SUBSTITUTE(AA$1,RIGHT(AA$1,2),""),VLOOKUP($D173,素材!$1:$1016,COLUMN($F$1),FALSE))),VLOOKUP($C173,装備品!$1:$998,COLUMN($O$1),FALSE)*VLOOKUP($D173,素材!$1:$1016,COLUMN($E$1),FALSE)/(LEN(VLOOKUP($D173,素材!$1:$1016,COLUMN($F$1),FALSE))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B173">
        <f>IF(ISNUMBER(SEARCH(SUBSTITUTE(AB$1,RIGHT(AB$1,2),""),VLOOKUP($D173,素材!$1:$1016,COLUMN($F$1),FALSE))),VLOOKUP($C173,装備品!$1:$998,COLUMN($O$1),FALSE)*VLOOKUP($D173,素材!$1:$1016,COLUMN($E$1),FALSE)/(LEN(VLOOKUP($D173,素材!$1:$1016,COLUMN($F$1),FALSE))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C173">
        <f>IF(ISNUMBER(SEARCH(SUBSTITUTE(AC$1,RIGHT(AC$1,2),""),VLOOKUP($D173,素材!$1:$1016,COLUMN($F$1),FALSE))),VLOOKUP($C173,装備品!$1:$998,COLUMN($O$1),FALSE)*VLOOKUP($D173,素材!$1:$1016,COLUMN($E$1),FALSE)/(LEN(VLOOKUP($D173,素材!$1:$1016,COLUMN($F$1),FALSE))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D173">
        <f>IF(ISNUMBER(SEARCH(SUBSTITUTE(AD$1,RIGHT(AD$1,2),""),VLOOKUP($D173,素材!$1:$1016,COLUMN($F$1),FALSE))),VLOOKUP($C173,装備品!$1:$998,COLUMN($O$1),FALSE)*VLOOKUP($D173,素材!$1:$1016,COLUMN($E$1),FALSE)/(LEN(VLOOKUP($D173,素材!$1:$1016,COLUMN($F$1),FALSE))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E173">
        <f>IF(ISNUMBER(SEARCH(SUBSTITUTE(AE$1,RIGHT(AE$1,2),""),VLOOKUP($D173,素材!$1:$1016,COLUMN($F$1),FALSE))),VLOOKUP($C173,装備品!$1:$998,COLUMN($O$1),FALSE)*VLOOKUP($D173,素材!$1:$1016,COLUMN($E$1),FALSE)/(LEN(VLOOKUP($D173,素材!$1:$1016,COLUMN($F$1),FALSE))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F173">
        <f>IF(ISNUMBER(SEARCH(SUBSTITUTE(AF$1,RIGHT(AF$1,2),""),VLOOKUP($D173,素材!$1:$1016,COLUMN($F$1),FALSE))),VLOOKUP($C173,装備品!$1:$998,COLUMN($O$1),FALSE)*VLOOKUP($D173,素材!$1:$1016,COLUMN($E$1),FALSE)/(LEN(VLOOKUP($D173,素材!$1:$1016,COLUMN($F$1),FALSE))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G173">
        <f>IF(ISNUMBER(SEARCH(SUBSTITUTE(AG$1,RIGHT(AG$1,2),""),VLOOKUP($D173,素材!$1:$1016,COLUMN($F$1),FALSE))),VLOOKUP($C173,装備品!$1:$998,COLUMN($O$1),FALSE)*VLOOKUP($D173,素材!$1:$1016,COLUMN($E$1),FALSE)/(LEN(VLOOKUP($D173,素材!$1:$1016,COLUMN($F$1),FALSE))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H173">
        <f>IF(ISNUMBER(SEARCH(SUBSTITUTE(AH$1,RIGHT(AH$1,2),""),VLOOKUP($D173,素材!$1:$1016,COLUMN($F$1),FALSE))),VLOOKUP($C173,装備品!$1:$998,COLUMN($O$1),FALSE)*VLOOKUP($D173,素材!$1:$1016,COLUMN($E$1),FALSE)/(LEN(VLOOKUP($D173,素材!$1:$1016,COLUMN($F$1),FALSE))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I173">
        <f>IF(ISNUMBER(SEARCH(SUBSTITUTE(AI$1,RIGHT(AI$1,2),""),VLOOKUP($D173,素材!$1:$1016,COLUMN($F$1),FALSE))),VLOOKUP($C173,装備品!$1:$998,COLUMN($O$1),FALSE)*VLOOKUP($D173,素材!$1:$1016,COLUMN($E$1),FALSE)/(LEN(VLOOKUP($D173,素材!$1:$1016,COLUMN($F$1),FALSE))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J173">
        <f>IF(ISNUMBER(SEARCH(SUBSTITUTE(AJ$1,RIGHT(AJ$1,2),""),VLOOKUP($D173,素材!$1:$1016,COLUMN($F$1),FALSE))),VLOOKUP($C173,装備品!$1:$998,COLUMN($O$1),FALSE)*VLOOKUP($D173,素材!$1:$1016,COLUMN($E$1),FALSE)/(LEN(VLOOKUP($D173,素材!$1:$1016,COLUMN($F$1),FALSE))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K173">
        <f>IF(ISNUMBER(SEARCH(SUBSTITUTE(AK$1,RIGHT(AK$1,2),""),VLOOKUP($D173,素材!$1:$1016,COLUMN($F$1),FALSE))),VLOOKUP($C173,装備品!$1:$998,COLUMN($O$1),FALSE)*VLOOKUP($D173,素材!$1:$1016,COLUMN($E$1),FALSE)/(LEN(VLOOKUP($D173,素材!$1:$1016,COLUMN($F$1),FALSE))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L173">
        <f>IF(ISNUMBER(SEARCH(SUBSTITUTE(AL$1,RIGHT(AL$1,2),""),VLOOKUP($D173,素材!$1:$1016,COLUMN($F$1),FALSE))),VLOOKUP($C173,装備品!$1:$998,COLUMN($O$1),FALSE)*VLOOKUP($D173,素材!$1:$1016,COLUMN($E$1),FALSE)/(LEN(VLOOKUP($D173,素材!$1:$1016,COLUMN($F$1),FALSE))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M173">
        <f>IF(ISNUMBER(SEARCH(SUBSTITUTE(AM$1,RIGHT(AM$1,2),""),VLOOKUP($D173,素材!$1:$1016,COLUMN($F$1),FALSE))),VLOOKUP($C173,装備品!$1:$998,COLUMN($O$1),FALSE)*VLOOKUP($D173,素材!$1:$1016,COLUMN($E$1),FALSE)/(LEN(VLOOKUP($D173,素材!$1:$1016,COLUMN($F$1),FALSE))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N173">
        <f>IF(ISNUMBER(SEARCH(SUBSTITUTE(AN$1,RIGHT(AN$1,2),""),VLOOKUP($D173,素材!$1:$1016,COLUMN($F$1),FALSE))),VLOOKUP($C173,装備品!$1:$998,COLUMN($O$1),FALSE)*VLOOKUP($D173,素材!$1:$1016,COLUMN($E$1),FALSE)/(LEN(VLOOKUP($D173,素材!$1:$1016,COLUMN($F$1),FALSE))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O173">
        <f>IF(ISNUMBER(SEARCH(SUBSTITUTE(AO$1,RIGHT(AO$1,2),""),VLOOKUP($D173,素材!$1:$1016,COLUMN($F$1),FALSE))),VLOOKUP($C173,装備品!$1:$998,COLUMN($O$1),FALSE)*VLOOKUP($D173,素材!$1:$1016,COLUMN($E$1),FALSE)/(LEN(VLOOKUP($D173,素材!$1:$1016,COLUMN($F$1),FALSE))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P173">
        <f>IF(ISNUMBER(SEARCH(SUBSTITUTE(AP$1,RIGHT(AP$1,2),""),VLOOKUP($D173,素材!$1:$1016,COLUMN($F$1),FALSE))),VLOOKUP($C173,装備品!$1:$998,COLUMN($O$1),FALSE)*VLOOKUP($D173,素材!$1:$1016,COLUMN($E$1),FALSE)/(LEN(VLOOKUP($D173,素材!$1:$1016,COLUMN($F$1),FALSE))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Q173">
        <f>IF(ISNUMBER(SEARCH(SUBSTITUTE(AQ$1,RIGHT(AQ$1,2),""),VLOOKUP($D173,素材!$1:$1016,COLUMN($F$1),FALSE))),VLOOKUP($C173,装備品!$1:$998,COLUMN($O$1),FALSE)*VLOOKUP($D173,素材!$1:$1016,COLUMN($E$1),FALSE)/(LEN(VLOOKUP($D173,素材!$1:$1016,COLUMN($F$1),FALSE))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R173">
        <f>IF(ISNUMBER(SEARCH(SUBSTITUTE(AR$1,RIGHT(AR$1,2),""),VLOOKUP($D173,素材!$1:$1016,COLUMN($F$1),FALSE))),VLOOKUP($C173,装備品!$1:$998,COLUMN($O$1),FALSE)*VLOOKUP($D173,素材!$1:$1016,COLUMN($E$1),FALSE)/(LEN(VLOOKUP($D173,素材!$1:$1016,COLUMN($F$1),FALSE))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S173">
        <f>IF(ISNUMBER(SEARCH(SUBSTITUTE(AS$1,RIGHT(AS$1,2),""),VLOOKUP($D173,素材!$1:$1016,COLUMN($F$1),FALSE))),VLOOKUP($C173,装備品!$1:$998,COLUMN($O$1),FALSE)*VLOOKUP($D173,素材!$1:$1016,COLUMN($E$1),FALSE)/(LEN(VLOOKUP($D173,素材!$1:$1016,COLUMN($F$1),FALSE))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T173">
        <f>IF(ISNUMBER(SEARCH(SUBSTITUTE(AT$1,RIGHT(AT$1,2),""),VLOOKUP($D173,素材!$1:$1016,COLUMN($F$1),FALSE))),VLOOKUP($C173,装備品!$1:$998,COLUMN($O$1),FALSE)*VLOOKUP($D173,素材!$1:$1016,COLUMN($E$1),FALSE)/(LEN(VLOOKUP($D173,素材!$1:$1016,COLUMN($F$1),FALSE))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U173">
        <f>IF(ISNUMBER(SEARCH(SUBSTITUTE(AU$1,RIGHT(AU$1,2),""),VLOOKUP($D173,素材!$1:$1016,COLUMN($F$1),FALSE))),VLOOKUP($C173,装備品!$1:$998,COLUMN($O$1),FALSE)*VLOOKUP($D173,素材!$1:$1016,COLUMN($E$1),FALSE)/(LEN(VLOOKUP($D173,素材!$1:$1016,COLUMN($F$1),FALSE))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V173">
        <f>IF(ISNUMBER(SEARCH(SUBSTITUTE(AV$1,RIGHT(AV$1,2),""),VLOOKUP($D173,素材!$1:$1016,COLUMN($F$1),FALSE))),VLOOKUP($C173,装備品!$1:$998,COLUMN($O$1),FALSE)*VLOOKUP($D173,素材!$1:$1016,COLUMN($E$1),FALSE)/(LEN(VLOOKUP($D173,素材!$1:$1016,COLUMN($F$1),FALSE))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W173">
        <f>IF(ISNUMBER(SEARCH(SUBSTITUTE(AW$1,RIGHT(AW$1,2),""),VLOOKUP($D173,素材!$1:$1016,COLUMN($F$1),FALSE))),VLOOKUP($C173,装備品!$1:$998,COLUMN($O$1),FALSE)*VLOOKUP($D173,素材!$1:$1016,COLUMN($E$1),FALSE)/(LEN(VLOOKUP($D173,素材!$1:$1016,COLUMN($F$1),FALSE))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X173">
        <f>IF(ISNUMBER(SEARCH(SUBSTITUTE(AX$1,RIGHT(AX$1,2),""),VLOOKUP($D173,素材!$1:$1016,COLUMN($F$1),FALSE))),VLOOKUP($C173,装備品!$1:$998,COLUMN($O$1),FALSE)*VLOOKUP($D173,素材!$1:$1016,COLUMN($E$1),FALSE)/(LEN(VLOOKUP($D173,素材!$1:$1016,COLUMN($F$1),FALSE))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Y173">
        <f>IF(ISNUMBER(SEARCH(SUBSTITUTE(AY$1,RIGHT(AY$1,2),""),VLOOKUP($D173,素材!$1:$1016,COLUMN($F$1),FALSE))),VLOOKUP($C173,装備品!$1:$998,COLUMN($O$1),FALSE)*VLOOKUP($D173,素材!$1:$1016,COLUMN($E$1),FALSE)/(LEN(VLOOKUP($D173,素材!$1:$1016,COLUMN($F$1),FALSE))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Z173">
        <f>IF(ISNUMBER(SEARCH(SUBSTITUTE(AZ$1,RIGHT(AZ$1,2),""),VLOOKUP($D173,素材!$1:$1016,COLUMN($F$1),FALSE))),VLOOKUP($C173,装備品!$1:$998,COLUMN($O$1),FALSE)*VLOOKUP($D173,素材!$1:$1016,COLUMN($E$1),FALSE)/(LEN(VLOOKUP($D173,素材!$1:$1016,COLUMN($F$1),FALSE))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BA173">
        <f>IF(ISNUMBER(SEARCH(SUBSTITUTE(BA$1,RIGHT(BA$1,2),""),VLOOKUP($D173,素材!$1:$1016,COLUMN($F$1),FALSE))),VLOOKUP($C173,装備品!$1:$998,COLUMN($O$1),FALSE)*VLOOKUP($D173,素材!$1:$1016,COLUMN($E$1),FALSE)/(LEN(VLOOKUP($D173,素材!$1:$1016,COLUMN($F$1),FALSE))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BB173">
        <f>IF(ISNUMBER(SEARCH(SUBSTITUTE(BB$1,RIGHT(BB$1,2),""),VLOOKUP($D173,素材!$1:$1016,COLUMN($F$1),FALSE))),VLOOKUP($C173,装備品!$1:$998,COLUMN($O$1),FALSE)*VLOOKUP($D173,素材!$1:$1016,COLUMN($E$1),FALSE)/(LEN(VLOOKUP($D173,素材!$1:$1016,COLUMN($F$1),FALSE))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BC173">
        <f>IF(ISNUMBER(SEARCH(SUBSTITUTE(BC$1,RIGHT(BC$1,2),""),VLOOKUP($D173,素材!$1:$1016,COLUMN($F$1),FALSE))),VLOOKUP($C173,装備品!$1:$998,COLUMN($O$1),FALSE)*VLOOKUP($D173,素材!$1:$1016,COLUMN($E$1),FALSE)/(LEN(VLOOKUP($D173,素材!$1:$1016,COLUMN($F$1),FALSE))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BD173">
        <f>IF(ISNUMBER(SEARCH(SUBSTITUTE(BD$1,RIGHT(BD$1,2),""),VLOOKUP($D173,素材!$1:$1016,COLUMN($F$1),FALSE))),VLOOKUP($C173,装備品!$1:$998,COLUMN($O$1),FALSE)*VLOOKUP($D173,素材!$1:$1016,COLUMN($E$1),FALSE)/(LEN(VLOOKUP($D173,素材!$1:$1016,COLUMN($F$1),FALSE))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BE173">
        <f>IF(ISNUMBER(SEARCH(SUBSTITUTE(BE$1,RIGHT(BE$1,2),""),VLOOKUP($D173,素材!$1:$1016,COLUMN($F$1),FALSE))),VLOOKUP($C173,装備品!$1:$998,COLUMN($O$1),FALSE)*VLOOKUP($D173,素材!$1:$1016,COLUMN($E$1),FALSE)/(LEN(VLOOKUP($D173,素材!$1:$1016,COLUMN($F$1),FALSE))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CL173">
        <f t="shared" si="19"/>
        <v>0</v>
      </c>
      <c r="CM173" s="22" t="e">
        <f t="shared" si="20"/>
        <v>#VALUE!</v>
      </c>
      <c r="CN173" t="str">
        <f>IFERROR(VLOOKUP($C173,装備品!$1:$998,COLUMN(V$1),FALSE)*VLOOKUP($D173,素材!$1:$1016,COLUMN(N$1),FALSE)+IF(CI173="",0,VLOOKUP($CI173,付与!$1:$1176,COLUMN($CK$1),FALSE)),"")</f>
        <v/>
      </c>
      <c r="CO173" t="e">
        <f>VLOOKUP(D173,素材!$A:$O,COLUMN(素材!O$1),FALSE)</f>
        <v>#N/A</v>
      </c>
      <c r="CP173" t="str">
        <f>VLOOKUP(C173,装備品!$A:$AB,COLUMN(装備品!AB$1),FALSE)</f>
        <v>鎚。打撃力に優れ、投擲にも対応。</v>
      </c>
      <c r="CR173" t="str">
        <f t="shared" si="24"/>
        <v>e_173</v>
      </c>
      <c r="CS173" t="e">
        <f t="shared" si="28"/>
        <v>#VALUE!</v>
      </c>
    </row>
    <row r="174" spans="1:97" outlineLevel="1" x14ac:dyDescent="0.4">
      <c r="A174" t="str">
        <f t="shared" si="33"/>
        <v>黒鋼鉄の戦鎚</v>
      </c>
      <c r="B174" t="str">
        <f>IFERROR(VLOOKUP($D174,素材!$1:$1016,COLUMN($B$1),FALSE)&amp;"・"&amp;VLOOKUP($C174,装備品!$1:$998,COLUMN(B$1),FALSE),"")</f>
        <v/>
      </c>
      <c r="C174" t="s">
        <v>225</v>
      </c>
      <c r="D174" s="24" t="s">
        <v>243</v>
      </c>
      <c r="E174" t="str">
        <f>IFERROR(VLOOKUP(C174,装備品!$1:$998,COLUMN(C$1),FALSE),"")</f>
        <v>武器</v>
      </c>
      <c r="F174" t="str">
        <f>IFERROR(ROUNDDOWN((VLOOKUP($C174,装備品!$1:$998,COLUMN(D$1),FALSE)+IFERROR(VLOOKUP($CI174,付与!$1:$1167,COLUMN(F$1),FALSE),0))*VLOOKUP($D174,素材!$1:$1016,COLUMN(D$1),FALSE),0),"")</f>
        <v/>
      </c>
      <c r="G174" t="str">
        <f>IFERROR(ROUNDDOWN((VLOOKUP($C174,装備品!$1:$998,COLUMN(E$1),FALSE)+IFERROR(VLOOKUP($CI174,付与!$1:$1167,COLUMN(G$1),FALSE),0))*VLOOKUP($D174,素材!$1:$1016,COLUMN($E$1),FALSE),0),"")</f>
        <v/>
      </c>
      <c r="H174" t="str">
        <f>IFERROR(ROUNDDOWN((VLOOKUP($C174,装備品!$1:$998,COLUMN(F$1),FALSE)+IFERROR(VLOOKUP($CI174,付与!$1:$1167,COLUMN(H$1),FALSE),0))*VLOOKUP($D174,素材!$1:$1016,COLUMN($E$1),FALSE),0),"")</f>
        <v/>
      </c>
      <c r="I174" t="str">
        <f>IFERROR(ROUNDDOWN((VLOOKUP($C174,装備品!$1:$998,COLUMN(G$1),FALSE)+IFERROR(VLOOKUP($CI174,付与!$1:$1167,COLUMN(I$1),FALSE),0))*VLOOKUP($D174,素材!$1:$1016,COLUMN($E$1),FALSE),0),"")</f>
        <v/>
      </c>
      <c r="J174" t="str">
        <f>IFERROR(ROUNDDOWN((VLOOKUP($C174,装備品!$1:$998,COLUMN(H$1),FALSE)+IFERROR(VLOOKUP($CI174,付与!$1:$1167,COLUMN(J$1),FALSE),0))*VLOOKUP($D174,素材!$1:$1016,COLUMN($E$1),FALSE),0),"")</f>
        <v/>
      </c>
      <c r="K174" t="str">
        <f>IFERROR(ROUNDDOWN((VLOOKUP($C174,装備品!$1:$998,COLUMN(I$1),FALSE)+IFERROR(VLOOKUP($CI174,付与!$1:$1167,COLUMN(K$1),FALSE),0))*VLOOKUP($D174,素材!$1:$1016,COLUMN($E$1),FALSE),0),"")</f>
        <v/>
      </c>
      <c r="L174" t="str">
        <f>IFERROR(VLOOKUP($D174,素材!$1:$1016,COLUMN($F$1),FALSE),"")</f>
        <v/>
      </c>
      <c r="M174" t="str">
        <f>IFERROR(VLOOKUP($C174,装備品!$1:$998,COLUMN(AA$1),FALSE)*VLOOKUP($D174,素材!$1:$1016,COLUMN($G$1),FALSE),"")</f>
        <v/>
      </c>
      <c r="N174">
        <f>IFERROR(VLOOKUP($C174,装備品!$1:$998,COLUMN(I$1),FALSE),"")</f>
        <v>0</v>
      </c>
      <c r="O174" s="23" t="str">
        <f>IFERROR((VLOOKUP($C174,装備品!$1:$998,COLUMN(K$1),FALSE)+VLOOKUP($D174,素材!$1:$1016,COLUMN(H$1),FALSE))*100+IFERROR(VLOOKUP($CI174,付与!$1:$1167,COLUMN(O$1),FALSE),0),"")</f>
        <v/>
      </c>
      <c r="P174" s="23" t="str">
        <f>IFERROR((VLOOKUP($C174,装備品!$1:$998,COLUMN(L$1),FALSE)+VLOOKUP($D174,素材!$1:$1016,COLUMN(I$1),FALSE))*100+IFERROR(VLOOKUP($CI174,付与!$1:$1167,COLUMN(P$1),FALSE),0),"")</f>
        <v/>
      </c>
      <c r="Q174" t="str">
        <f>IFERROR(ROUNDUP(VLOOKUP($C174,装備品!$1:$998,COLUMN(M$1),FALSE)*(VLOOKUP($D174,素材!$1:$1002,COLUMN(D$1),FALSE)/100),1),"")</f>
        <v/>
      </c>
      <c r="R174" t="str">
        <f>IFERROR(ROUNDUP(VLOOKUP($C174,装備品!$1:$998,COLUMN(N$1),FALSE)*(VLOOKUP($D174,素材!$1:$1002,COLUMN(D$1),FALSE)/100),1),"")</f>
        <v/>
      </c>
      <c r="S174">
        <f>IFERROR(VLOOKUP($C174,装備品!$1:$998,COLUMN(P$1),FALSE),"")</f>
        <v>0</v>
      </c>
      <c r="T174">
        <f>IFERROR(VLOOKUP($C174,装備品!$1:$998,COLUMN(Q$1),FALSE),"")</f>
        <v>0</v>
      </c>
      <c r="U174">
        <f>IFERROR(VLOOKUP($C174,装備品!$1:$998,COLUMN(R$1),FALSE),"")</f>
        <v>0</v>
      </c>
      <c r="V174">
        <f>IFERROR(VLOOKUP($C174,装備品!$1:$998,COLUMN(Q$1),FALSE),"")</f>
        <v>0</v>
      </c>
      <c r="W174">
        <f>IFERROR(VLOOKUP($C174,装備品!$1:$998,COLUMN(T$1),FALSE),"")</f>
        <v>0</v>
      </c>
      <c r="Y174">
        <f>IFERROR(VLOOKUP($C174,装備品!$1:$998,COLUMN(U$1),FALSE),"")</f>
        <v>0</v>
      </c>
      <c r="Z174" t="str">
        <f>IFERROR(ROUNDUP(VLOOKUP($C174,装備品!$1:$998,COLUMN(O$1),FALSE)*VLOOKUP($D174,素材!$1:$1016,COLUMN(E$1),FALSE),1),"")</f>
        <v/>
      </c>
      <c r="AA174">
        <f>IF(ISNUMBER(SEARCH(SUBSTITUTE(AA$1,RIGHT(AA$1,2),""),VLOOKUP($D174,素材!$1:$1016,COLUMN($F$1),FALSE))),VLOOKUP($C174,装備品!$1:$998,COLUMN($O$1),FALSE)*VLOOKUP($D174,素材!$1:$1016,COLUMN($E$1),FALSE)/(LEN(VLOOKUP($D174,素材!$1:$1016,COLUMN($F$1),FALSE))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B174">
        <f>IF(ISNUMBER(SEARCH(SUBSTITUTE(AB$1,RIGHT(AB$1,2),""),VLOOKUP($D174,素材!$1:$1016,COLUMN($F$1),FALSE))),VLOOKUP($C174,装備品!$1:$998,COLUMN($O$1),FALSE)*VLOOKUP($D174,素材!$1:$1016,COLUMN($E$1),FALSE)/(LEN(VLOOKUP($D174,素材!$1:$1016,COLUMN($F$1),FALSE))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C174">
        <f>IF(ISNUMBER(SEARCH(SUBSTITUTE(AC$1,RIGHT(AC$1,2),""),VLOOKUP($D174,素材!$1:$1016,COLUMN($F$1),FALSE))),VLOOKUP($C174,装備品!$1:$998,COLUMN($O$1),FALSE)*VLOOKUP($D174,素材!$1:$1016,COLUMN($E$1),FALSE)/(LEN(VLOOKUP($D174,素材!$1:$1016,COLUMN($F$1),FALSE))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D174">
        <f>IF(ISNUMBER(SEARCH(SUBSTITUTE(AD$1,RIGHT(AD$1,2),""),VLOOKUP($D174,素材!$1:$1016,COLUMN($F$1),FALSE))),VLOOKUP($C174,装備品!$1:$998,COLUMN($O$1),FALSE)*VLOOKUP($D174,素材!$1:$1016,COLUMN($E$1),FALSE)/(LEN(VLOOKUP($D174,素材!$1:$1016,COLUMN($F$1),FALSE))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E174">
        <f>IF(ISNUMBER(SEARCH(SUBSTITUTE(AE$1,RIGHT(AE$1,2),""),VLOOKUP($D174,素材!$1:$1016,COLUMN($F$1),FALSE))),VLOOKUP($C174,装備品!$1:$998,COLUMN($O$1),FALSE)*VLOOKUP($D174,素材!$1:$1016,COLUMN($E$1),FALSE)/(LEN(VLOOKUP($D174,素材!$1:$1016,COLUMN($F$1),FALSE))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F174">
        <f>IF(ISNUMBER(SEARCH(SUBSTITUTE(AF$1,RIGHT(AF$1,2),""),VLOOKUP($D174,素材!$1:$1016,COLUMN($F$1),FALSE))),VLOOKUP($C174,装備品!$1:$998,COLUMN($O$1),FALSE)*VLOOKUP($D174,素材!$1:$1016,COLUMN($E$1),FALSE)/(LEN(VLOOKUP($D174,素材!$1:$1016,COLUMN($F$1),FALSE))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G174">
        <f>IF(ISNUMBER(SEARCH(SUBSTITUTE(AG$1,RIGHT(AG$1,2),""),VLOOKUP($D174,素材!$1:$1016,COLUMN($F$1),FALSE))),VLOOKUP($C174,装備品!$1:$998,COLUMN($O$1),FALSE)*VLOOKUP($D174,素材!$1:$1016,COLUMN($E$1),FALSE)/(LEN(VLOOKUP($D174,素材!$1:$1016,COLUMN($F$1),FALSE))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H174">
        <f>IF(ISNUMBER(SEARCH(SUBSTITUTE(AH$1,RIGHT(AH$1,2),""),VLOOKUP($D174,素材!$1:$1016,COLUMN($F$1),FALSE))),VLOOKUP($C174,装備品!$1:$998,COLUMN($O$1),FALSE)*VLOOKUP($D174,素材!$1:$1016,COLUMN($E$1),FALSE)/(LEN(VLOOKUP($D174,素材!$1:$1016,COLUMN($F$1),FALSE))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I174">
        <f>IF(ISNUMBER(SEARCH(SUBSTITUTE(AI$1,RIGHT(AI$1,2),""),VLOOKUP($D174,素材!$1:$1016,COLUMN($F$1),FALSE))),VLOOKUP($C174,装備品!$1:$998,COLUMN($O$1),FALSE)*VLOOKUP($D174,素材!$1:$1016,COLUMN($E$1),FALSE)/(LEN(VLOOKUP($D174,素材!$1:$1016,COLUMN($F$1),FALSE))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J174">
        <f>IF(ISNUMBER(SEARCH(SUBSTITUTE(AJ$1,RIGHT(AJ$1,2),""),VLOOKUP($D174,素材!$1:$1016,COLUMN($F$1),FALSE))),VLOOKUP($C174,装備品!$1:$998,COLUMN($O$1),FALSE)*VLOOKUP($D174,素材!$1:$1016,COLUMN($E$1),FALSE)/(LEN(VLOOKUP($D174,素材!$1:$1016,COLUMN($F$1),FALSE))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K174">
        <f>IF(ISNUMBER(SEARCH(SUBSTITUTE(AK$1,RIGHT(AK$1,2),""),VLOOKUP($D174,素材!$1:$1016,COLUMN($F$1),FALSE))),VLOOKUP($C174,装備品!$1:$998,COLUMN($O$1),FALSE)*VLOOKUP($D174,素材!$1:$1016,COLUMN($E$1),FALSE)/(LEN(VLOOKUP($D174,素材!$1:$1016,COLUMN($F$1),FALSE))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L174">
        <f>IF(ISNUMBER(SEARCH(SUBSTITUTE(AL$1,RIGHT(AL$1,2),""),VLOOKUP($D174,素材!$1:$1016,COLUMN($F$1),FALSE))),VLOOKUP($C174,装備品!$1:$998,COLUMN($O$1),FALSE)*VLOOKUP($D174,素材!$1:$1016,COLUMN($E$1),FALSE)/(LEN(VLOOKUP($D174,素材!$1:$1016,COLUMN($F$1),FALSE))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M174">
        <f>IF(ISNUMBER(SEARCH(SUBSTITUTE(AM$1,RIGHT(AM$1,2),""),VLOOKUP($D174,素材!$1:$1016,COLUMN($F$1),FALSE))),VLOOKUP($C174,装備品!$1:$998,COLUMN($O$1),FALSE)*VLOOKUP($D174,素材!$1:$1016,COLUMN($E$1),FALSE)/(LEN(VLOOKUP($D174,素材!$1:$1016,COLUMN($F$1),FALSE))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N174">
        <f>IF(ISNUMBER(SEARCH(SUBSTITUTE(AN$1,RIGHT(AN$1,2),""),VLOOKUP($D174,素材!$1:$1016,COLUMN($F$1),FALSE))),VLOOKUP($C174,装備品!$1:$998,COLUMN($O$1),FALSE)*VLOOKUP($D174,素材!$1:$1016,COLUMN($E$1),FALSE)/(LEN(VLOOKUP($D174,素材!$1:$1016,COLUMN($F$1),FALSE))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O174">
        <f>IF(ISNUMBER(SEARCH(SUBSTITUTE(AO$1,RIGHT(AO$1,2),""),VLOOKUP($D174,素材!$1:$1016,COLUMN($F$1),FALSE))),VLOOKUP($C174,装備品!$1:$998,COLUMN($O$1),FALSE)*VLOOKUP($D174,素材!$1:$1016,COLUMN($E$1),FALSE)/(LEN(VLOOKUP($D174,素材!$1:$1016,COLUMN($F$1),FALSE))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P174">
        <f>IF(ISNUMBER(SEARCH(SUBSTITUTE(AP$1,RIGHT(AP$1,2),""),VLOOKUP($D174,素材!$1:$1016,COLUMN($F$1),FALSE))),VLOOKUP($C174,装備品!$1:$998,COLUMN($O$1),FALSE)*VLOOKUP($D174,素材!$1:$1016,COLUMN($E$1),FALSE)/(LEN(VLOOKUP($D174,素材!$1:$1016,COLUMN($F$1),FALSE))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Q174">
        <f>IF(ISNUMBER(SEARCH(SUBSTITUTE(AQ$1,RIGHT(AQ$1,2),""),VLOOKUP($D174,素材!$1:$1016,COLUMN($F$1),FALSE))),VLOOKUP($C174,装備品!$1:$998,COLUMN($O$1),FALSE)*VLOOKUP($D174,素材!$1:$1016,COLUMN($E$1),FALSE)/(LEN(VLOOKUP($D174,素材!$1:$1016,COLUMN($F$1),FALSE))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R174">
        <f>IF(ISNUMBER(SEARCH(SUBSTITUTE(AR$1,RIGHT(AR$1,2),""),VLOOKUP($D174,素材!$1:$1016,COLUMN($F$1),FALSE))),VLOOKUP($C174,装備品!$1:$998,COLUMN($O$1),FALSE)*VLOOKUP($D174,素材!$1:$1016,COLUMN($E$1),FALSE)/(LEN(VLOOKUP($D174,素材!$1:$1016,COLUMN($F$1),FALSE))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S174">
        <f>IF(ISNUMBER(SEARCH(SUBSTITUTE(AS$1,RIGHT(AS$1,2),""),VLOOKUP($D174,素材!$1:$1016,COLUMN($F$1),FALSE))),VLOOKUP($C174,装備品!$1:$998,COLUMN($O$1),FALSE)*VLOOKUP($D174,素材!$1:$1016,COLUMN($E$1),FALSE)/(LEN(VLOOKUP($D174,素材!$1:$1016,COLUMN($F$1),FALSE))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T174">
        <f>IF(ISNUMBER(SEARCH(SUBSTITUTE(AT$1,RIGHT(AT$1,2),""),VLOOKUP($D174,素材!$1:$1016,COLUMN($F$1),FALSE))),VLOOKUP($C174,装備品!$1:$998,COLUMN($O$1),FALSE)*VLOOKUP($D174,素材!$1:$1016,COLUMN($E$1),FALSE)/(LEN(VLOOKUP($D174,素材!$1:$1016,COLUMN($F$1),FALSE))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U174">
        <f>IF(ISNUMBER(SEARCH(SUBSTITUTE(AU$1,RIGHT(AU$1,2),""),VLOOKUP($D174,素材!$1:$1016,COLUMN($F$1),FALSE))),VLOOKUP($C174,装備品!$1:$998,COLUMN($O$1),FALSE)*VLOOKUP($D174,素材!$1:$1016,COLUMN($E$1),FALSE)/(LEN(VLOOKUP($D174,素材!$1:$1016,COLUMN($F$1),FALSE))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V174">
        <f>IF(ISNUMBER(SEARCH(SUBSTITUTE(AV$1,RIGHT(AV$1,2),""),VLOOKUP($D174,素材!$1:$1016,COLUMN($F$1),FALSE))),VLOOKUP($C174,装備品!$1:$998,COLUMN($O$1),FALSE)*VLOOKUP($D174,素材!$1:$1016,COLUMN($E$1),FALSE)/(LEN(VLOOKUP($D174,素材!$1:$1016,COLUMN($F$1),FALSE))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W174">
        <f>IF(ISNUMBER(SEARCH(SUBSTITUTE(AW$1,RIGHT(AW$1,2),""),VLOOKUP($D174,素材!$1:$1016,COLUMN($F$1),FALSE))),VLOOKUP($C174,装備品!$1:$998,COLUMN($O$1),FALSE)*VLOOKUP($D174,素材!$1:$1016,COLUMN($E$1),FALSE)/(LEN(VLOOKUP($D174,素材!$1:$1016,COLUMN($F$1),FALSE))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X174">
        <f>IF(ISNUMBER(SEARCH(SUBSTITUTE(AX$1,RIGHT(AX$1,2),""),VLOOKUP($D174,素材!$1:$1016,COLUMN($F$1),FALSE))),VLOOKUP($C174,装備品!$1:$998,COLUMN($O$1),FALSE)*VLOOKUP($D174,素材!$1:$1016,COLUMN($E$1),FALSE)/(LEN(VLOOKUP($D174,素材!$1:$1016,COLUMN($F$1),FALSE))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Y174">
        <f>IF(ISNUMBER(SEARCH(SUBSTITUTE(AY$1,RIGHT(AY$1,2),""),VLOOKUP($D174,素材!$1:$1016,COLUMN($F$1),FALSE))),VLOOKUP($C174,装備品!$1:$998,COLUMN($O$1),FALSE)*VLOOKUP($D174,素材!$1:$1016,COLUMN($E$1),FALSE)/(LEN(VLOOKUP($D174,素材!$1:$1016,COLUMN($F$1),FALSE))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Z174">
        <f>IF(ISNUMBER(SEARCH(SUBSTITUTE(AZ$1,RIGHT(AZ$1,2),""),VLOOKUP($D174,素材!$1:$1016,COLUMN($F$1),FALSE))),VLOOKUP($C174,装備品!$1:$998,COLUMN($O$1),FALSE)*VLOOKUP($D174,素材!$1:$1016,COLUMN($E$1),FALSE)/(LEN(VLOOKUP($D174,素材!$1:$1016,COLUMN($F$1),FALSE))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BA174">
        <f>IF(ISNUMBER(SEARCH(SUBSTITUTE(BA$1,RIGHT(BA$1,2),""),VLOOKUP($D174,素材!$1:$1016,COLUMN($F$1),FALSE))),VLOOKUP($C174,装備品!$1:$998,COLUMN($O$1),FALSE)*VLOOKUP($D174,素材!$1:$1016,COLUMN($E$1),FALSE)/(LEN(VLOOKUP($D174,素材!$1:$1016,COLUMN($F$1),FALSE))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BB174">
        <f>IF(ISNUMBER(SEARCH(SUBSTITUTE(BB$1,RIGHT(BB$1,2),""),VLOOKUP($D174,素材!$1:$1016,COLUMN($F$1),FALSE))),VLOOKUP($C174,装備品!$1:$998,COLUMN($O$1),FALSE)*VLOOKUP($D174,素材!$1:$1016,COLUMN($E$1),FALSE)/(LEN(VLOOKUP($D174,素材!$1:$1016,COLUMN($F$1),FALSE))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BC174">
        <f>IF(ISNUMBER(SEARCH(SUBSTITUTE(BC$1,RIGHT(BC$1,2),""),VLOOKUP($D174,素材!$1:$1016,COLUMN($F$1),FALSE))),VLOOKUP($C174,装備品!$1:$998,COLUMN($O$1),FALSE)*VLOOKUP($D174,素材!$1:$1016,COLUMN($E$1),FALSE)/(LEN(VLOOKUP($D174,素材!$1:$1016,COLUMN($F$1),FALSE))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BD174">
        <f>IF(ISNUMBER(SEARCH(SUBSTITUTE(BD$1,RIGHT(BD$1,2),""),VLOOKUP($D174,素材!$1:$1016,COLUMN($F$1),FALSE))),VLOOKUP($C174,装備品!$1:$998,COLUMN($O$1),FALSE)*VLOOKUP($D174,素材!$1:$1016,COLUMN($E$1),FALSE)/(LEN(VLOOKUP($D174,素材!$1:$1016,COLUMN($F$1),FALSE))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BE174">
        <f>IF(ISNUMBER(SEARCH(SUBSTITUTE(BE$1,RIGHT(BE$1,2),""),VLOOKUP($D174,素材!$1:$1016,COLUMN($F$1),FALSE))),VLOOKUP($C174,装備品!$1:$998,COLUMN($O$1),FALSE)*VLOOKUP($D174,素材!$1:$1016,COLUMN($E$1),FALSE)/(LEN(VLOOKUP($D174,素材!$1:$1016,COLUMN($F$1),FALSE))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CL174">
        <f t="shared" si="19"/>
        <v>0</v>
      </c>
      <c r="CM174" s="22" t="e">
        <f t="shared" si="20"/>
        <v>#VALUE!</v>
      </c>
      <c r="CN174" t="str">
        <f>IFERROR(VLOOKUP($C174,装備品!$1:$998,COLUMN(V$1),FALSE)*VLOOKUP($D174,素材!$1:$1016,COLUMN(N$1),FALSE)+IF(CI174="",0,VLOOKUP($CI174,付与!$1:$1176,COLUMN($CK$1),FALSE)),"")</f>
        <v/>
      </c>
      <c r="CO174" t="e">
        <f>VLOOKUP(D174,素材!$A:$O,COLUMN(素材!O$1),FALSE)</f>
        <v>#N/A</v>
      </c>
      <c r="CP174" t="str">
        <f>VLOOKUP(C174,装備品!$A:$AB,COLUMN(装備品!AB$1),FALSE)</f>
        <v>戦鎚。重い打撃を与える強力な武器。</v>
      </c>
      <c r="CR174" t="str">
        <f t="shared" si="24"/>
        <v>e_174</v>
      </c>
      <c r="CS174" t="e">
        <f t="shared" si="28"/>
        <v>#VALUE!</v>
      </c>
    </row>
    <row r="175" spans="1:97" outlineLevel="1" x14ac:dyDescent="0.4">
      <c r="A175" t="str">
        <f t="shared" si="33"/>
        <v>黒鋼鉄の鎌</v>
      </c>
      <c r="B175" t="str">
        <f>IFERROR(VLOOKUP($D175,素材!$1:$1016,COLUMN($B$1),FALSE)&amp;"・"&amp;VLOOKUP($C175,装備品!$1:$998,COLUMN(B$1),FALSE),"")</f>
        <v/>
      </c>
      <c r="C175" t="s">
        <v>224</v>
      </c>
      <c r="D175" s="24" t="s">
        <v>243</v>
      </c>
      <c r="E175" t="str">
        <f>IFERROR(VLOOKUP(C175,装備品!$1:$998,COLUMN(C$1),FALSE),"")</f>
        <v>武器</v>
      </c>
      <c r="F175" t="str">
        <f>IFERROR(ROUNDDOWN((VLOOKUP($C175,装備品!$1:$998,COLUMN(D$1),FALSE)+IFERROR(VLOOKUP($CI175,付与!$1:$1167,COLUMN(F$1),FALSE),0))*VLOOKUP($D175,素材!$1:$1016,COLUMN(D$1),FALSE),0),"")</f>
        <v/>
      </c>
      <c r="G175" t="str">
        <f>IFERROR(ROUNDDOWN((VLOOKUP($C175,装備品!$1:$998,COLUMN(E$1),FALSE)+IFERROR(VLOOKUP($CI175,付与!$1:$1167,COLUMN(G$1),FALSE),0))*VLOOKUP($D175,素材!$1:$1016,COLUMN($E$1),FALSE),0),"")</f>
        <v/>
      </c>
      <c r="H175" t="str">
        <f>IFERROR(ROUNDDOWN((VLOOKUP($C175,装備品!$1:$998,COLUMN(F$1),FALSE)+IFERROR(VLOOKUP($CI175,付与!$1:$1167,COLUMN(H$1),FALSE),0))*VLOOKUP($D175,素材!$1:$1016,COLUMN($E$1),FALSE),0),"")</f>
        <v/>
      </c>
      <c r="I175" t="str">
        <f>IFERROR(ROUNDDOWN((VLOOKUP($C175,装備品!$1:$998,COLUMN(G$1),FALSE)+IFERROR(VLOOKUP($CI175,付与!$1:$1167,COLUMN(I$1),FALSE),0))*VLOOKUP($D175,素材!$1:$1016,COLUMN($E$1),FALSE),0),"")</f>
        <v/>
      </c>
      <c r="J175" t="str">
        <f>IFERROR(ROUNDDOWN((VLOOKUP($C175,装備品!$1:$998,COLUMN(H$1),FALSE)+IFERROR(VLOOKUP($CI175,付与!$1:$1167,COLUMN(J$1),FALSE),0))*VLOOKUP($D175,素材!$1:$1016,COLUMN($E$1),FALSE),0),"")</f>
        <v/>
      </c>
      <c r="K175" t="str">
        <f>IFERROR(ROUNDDOWN((VLOOKUP($C175,装備品!$1:$998,COLUMN(I$1),FALSE)+IFERROR(VLOOKUP($CI175,付与!$1:$1167,COLUMN(K$1),FALSE),0))*VLOOKUP($D175,素材!$1:$1016,COLUMN($E$1),FALSE),0),"")</f>
        <v/>
      </c>
      <c r="L175" t="str">
        <f>IFERROR(VLOOKUP($D175,素材!$1:$1016,COLUMN($F$1),FALSE),"")</f>
        <v/>
      </c>
      <c r="M175" t="str">
        <f>IFERROR(VLOOKUP($C175,装備品!$1:$998,COLUMN(AA$1),FALSE)*VLOOKUP($D175,素材!$1:$1016,COLUMN($G$1),FALSE),"")</f>
        <v/>
      </c>
      <c r="N175">
        <f>IFERROR(VLOOKUP($C175,装備品!$1:$998,COLUMN(I$1),FALSE),"")</f>
        <v>0</v>
      </c>
      <c r="O175" s="23" t="str">
        <f>IFERROR((VLOOKUP($C175,装備品!$1:$998,COLUMN(K$1),FALSE)+VLOOKUP($D175,素材!$1:$1016,COLUMN(H$1),FALSE))*100+IFERROR(VLOOKUP($CI175,付与!$1:$1167,COLUMN(O$1),FALSE),0),"")</f>
        <v/>
      </c>
      <c r="P175" s="23" t="str">
        <f>IFERROR((VLOOKUP($C175,装備品!$1:$998,COLUMN(L$1),FALSE)+VLOOKUP($D175,素材!$1:$1016,COLUMN(I$1),FALSE))*100+IFERROR(VLOOKUP($CI175,付与!$1:$1167,COLUMN(P$1),FALSE),0),"")</f>
        <v/>
      </c>
      <c r="Q175" t="str">
        <f>IFERROR(ROUNDUP(VLOOKUP($C175,装備品!$1:$998,COLUMN(M$1),FALSE)*(VLOOKUP($D175,素材!$1:$1002,COLUMN(D$1),FALSE)/100),1),"")</f>
        <v/>
      </c>
      <c r="R175" t="str">
        <f>IFERROR(ROUNDUP(VLOOKUP($C175,装備品!$1:$998,COLUMN(N$1),FALSE)*(VLOOKUP($D175,素材!$1:$1002,COLUMN(D$1),FALSE)/100),1),"")</f>
        <v/>
      </c>
      <c r="S175">
        <f>IFERROR(VLOOKUP($C175,装備品!$1:$998,COLUMN(P$1),FALSE),"")</f>
        <v>0</v>
      </c>
      <c r="T175">
        <f>IFERROR(VLOOKUP($C175,装備品!$1:$998,COLUMN(Q$1),FALSE),"")</f>
        <v>0</v>
      </c>
      <c r="U175">
        <f>IFERROR(VLOOKUP($C175,装備品!$1:$998,COLUMN(R$1),FALSE),"")</f>
        <v>0</v>
      </c>
      <c r="V175">
        <f>IFERROR(VLOOKUP($C175,装備品!$1:$998,COLUMN(Q$1),FALSE),"")</f>
        <v>0</v>
      </c>
      <c r="W175">
        <f>IFERROR(VLOOKUP($C175,装備品!$1:$998,COLUMN(T$1),FALSE),"")</f>
        <v>0</v>
      </c>
      <c r="Y175">
        <f>IFERROR(VLOOKUP($C175,装備品!$1:$998,COLUMN(U$1),FALSE),"")</f>
        <v>0</v>
      </c>
      <c r="Z175" t="str">
        <f>IFERROR(ROUNDUP(VLOOKUP($C175,装備品!$1:$998,COLUMN(O$1),FALSE)*VLOOKUP($D175,素材!$1:$1016,COLUMN(E$1),FALSE),1),"")</f>
        <v/>
      </c>
      <c r="AA175">
        <f>IF(ISNUMBER(SEARCH(SUBSTITUTE(AA$1,RIGHT(AA$1,2),""),VLOOKUP($D175,素材!$1:$1016,COLUMN($F$1),FALSE))),VLOOKUP($C175,装備品!$1:$998,COLUMN($O$1),FALSE)*VLOOKUP($D175,素材!$1:$1016,COLUMN($E$1),FALSE)/(LEN(VLOOKUP($D175,素材!$1:$1016,COLUMN($F$1),FALSE))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B175">
        <f>IF(ISNUMBER(SEARCH(SUBSTITUTE(AB$1,RIGHT(AB$1,2),""),VLOOKUP($D175,素材!$1:$1016,COLUMN($F$1),FALSE))),VLOOKUP($C175,装備品!$1:$998,COLUMN($O$1),FALSE)*VLOOKUP($D175,素材!$1:$1016,COLUMN($E$1),FALSE)/(LEN(VLOOKUP($D175,素材!$1:$1016,COLUMN($F$1),FALSE))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C175">
        <f>IF(ISNUMBER(SEARCH(SUBSTITUTE(AC$1,RIGHT(AC$1,2),""),VLOOKUP($D175,素材!$1:$1016,COLUMN($F$1),FALSE))),VLOOKUP($C175,装備品!$1:$998,COLUMN($O$1),FALSE)*VLOOKUP($D175,素材!$1:$1016,COLUMN($E$1),FALSE)/(LEN(VLOOKUP($D175,素材!$1:$1016,COLUMN($F$1),FALSE))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D175">
        <f>IF(ISNUMBER(SEARCH(SUBSTITUTE(AD$1,RIGHT(AD$1,2),""),VLOOKUP($D175,素材!$1:$1016,COLUMN($F$1),FALSE))),VLOOKUP($C175,装備品!$1:$998,COLUMN($O$1),FALSE)*VLOOKUP($D175,素材!$1:$1016,COLUMN($E$1),FALSE)/(LEN(VLOOKUP($D175,素材!$1:$1016,COLUMN($F$1),FALSE))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E175">
        <f>IF(ISNUMBER(SEARCH(SUBSTITUTE(AE$1,RIGHT(AE$1,2),""),VLOOKUP($D175,素材!$1:$1016,COLUMN($F$1),FALSE))),VLOOKUP($C175,装備品!$1:$998,COLUMN($O$1),FALSE)*VLOOKUP($D175,素材!$1:$1016,COLUMN($E$1),FALSE)/(LEN(VLOOKUP($D175,素材!$1:$1016,COLUMN($F$1),FALSE))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F175">
        <f>IF(ISNUMBER(SEARCH(SUBSTITUTE(AF$1,RIGHT(AF$1,2),""),VLOOKUP($D175,素材!$1:$1016,COLUMN($F$1),FALSE))),VLOOKUP($C175,装備品!$1:$998,COLUMN($O$1),FALSE)*VLOOKUP($D175,素材!$1:$1016,COLUMN($E$1),FALSE)/(LEN(VLOOKUP($D175,素材!$1:$1016,COLUMN($F$1),FALSE))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G175">
        <f>IF(ISNUMBER(SEARCH(SUBSTITUTE(AG$1,RIGHT(AG$1,2),""),VLOOKUP($D175,素材!$1:$1016,COLUMN($F$1),FALSE))),VLOOKUP($C175,装備品!$1:$998,COLUMN($O$1),FALSE)*VLOOKUP($D175,素材!$1:$1016,COLUMN($E$1),FALSE)/(LEN(VLOOKUP($D175,素材!$1:$1016,COLUMN($F$1),FALSE))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H175">
        <f>IF(ISNUMBER(SEARCH(SUBSTITUTE(AH$1,RIGHT(AH$1,2),""),VLOOKUP($D175,素材!$1:$1016,COLUMN($F$1),FALSE))),VLOOKUP($C175,装備品!$1:$998,COLUMN($O$1),FALSE)*VLOOKUP($D175,素材!$1:$1016,COLUMN($E$1),FALSE)/(LEN(VLOOKUP($D175,素材!$1:$1016,COLUMN($F$1),FALSE))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I175">
        <f>IF(ISNUMBER(SEARCH(SUBSTITUTE(AI$1,RIGHT(AI$1,2),""),VLOOKUP($D175,素材!$1:$1016,COLUMN($F$1),FALSE))),VLOOKUP($C175,装備品!$1:$998,COLUMN($O$1),FALSE)*VLOOKUP($D175,素材!$1:$1016,COLUMN($E$1),FALSE)/(LEN(VLOOKUP($D175,素材!$1:$1016,COLUMN($F$1),FALSE))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J175">
        <f>IF(ISNUMBER(SEARCH(SUBSTITUTE(AJ$1,RIGHT(AJ$1,2),""),VLOOKUP($D175,素材!$1:$1016,COLUMN($F$1),FALSE))),VLOOKUP($C175,装備品!$1:$998,COLUMN($O$1),FALSE)*VLOOKUP($D175,素材!$1:$1016,COLUMN($E$1),FALSE)/(LEN(VLOOKUP($D175,素材!$1:$1016,COLUMN($F$1),FALSE))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K175">
        <f>IF(ISNUMBER(SEARCH(SUBSTITUTE(AK$1,RIGHT(AK$1,2),""),VLOOKUP($D175,素材!$1:$1016,COLUMN($F$1),FALSE))),VLOOKUP($C175,装備品!$1:$998,COLUMN($O$1),FALSE)*VLOOKUP($D175,素材!$1:$1016,COLUMN($E$1),FALSE)/(LEN(VLOOKUP($D175,素材!$1:$1016,COLUMN($F$1),FALSE))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L175">
        <f>IF(ISNUMBER(SEARCH(SUBSTITUTE(AL$1,RIGHT(AL$1,2),""),VLOOKUP($D175,素材!$1:$1016,COLUMN($F$1),FALSE))),VLOOKUP($C175,装備品!$1:$998,COLUMN($O$1),FALSE)*VLOOKUP($D175,素材!$1:$1016,COLUMN($E$1),FALSE)/(LEN(VLOOKUP($D175,素材!$1:$1016,COLUMN($F$1),FALSE))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M175">
        <f>IF(ISNUMBER(SEARCH(SUBSTITUTE(AM$1,RIGHT(AM$1,2),""),VLOOKUP($D175,素材!$1:$1016,COLUMN($F$1),FALSE))),VLOOKUP($C175,装備品!$1:$998,COLUMN($O$1),FALSE)*VLOOKUP($D175,素材!$1:$1016,COLUMN($E$1),FALSE)/(LEN(VLOOKUP($D175,素材!$1:$1016,COLUMN($F$1),FALSE))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N175">
        <f>IF(ISNUMBER(SEARCH(SUBSTITUTE(AN$1,RIGHT(AN$1,2),""),VLOOKUP($D175,素材!$1:$1016,COLUMN($F$1),FALSE))),VLOOKUP($C175,装備品!$1:$998,COLUMN($O$1),FALSE)*VLOOKUP($D175,素材!$1:$1016,COLUMN($E$1),FALSE)/(LEN(VLOOKUP($D175,素材!$1:$1016,COLUMN($F$1),FALSE))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O175">
        <f>IF(ISNUMBER(SEARCH(SUBSTITUTE(AO$1,RIGHT(AO$1,2),""),VLOOKUP($D175,素材!$1:$1016,COLUMN($F$1),FALSE))),VLOOKUP($C175,装備品!$1:$998,COLUMN($O$1),FALSE)*VLOOKUP($D175,素材!$1:$1016,COLUMN($E$1),FALSE)/(LEN(VLOOKUP($D175,素材!$1:$1016,COLUMN($F$1),FALSE))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P175">
        <f>IF(ISNUMBER(SEARCH(SUBSTITUTE(AP$1,RIGHT(AP$1,2),""),VLOOKUP($D175,素材!$1:$1016,COLUMN($F$1),FALSE))),VLOOKUP($C175,装備品!$1:$998,COLUMN($O$1),FALSE)*VLOOKUP($D175,素材!$1:$1016,COLUMN($E$1),FALSE)/(LEN(VLOOKUP($D175,素材!$1:$1016,COLUMN($F$1),FALSE))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Q175">
        <f>IF(ISNUMBER(SEARCH(SUBSTITUTE(AQ$1,RIGHT(AQ$1,2),""),VLOOKUP($D175,素材!$1:$1016,COLUMN($F$1),FALSE))),VLOOKUP($C175,装備品!$1:$998,COLUMN($O$1),FALSE)*VLOOKUP($D175,素材!$1:$1016,COLUMN($E$1),FALSE)/(LEN(VLOOKUP($D175,素材!$1:$1016,COLUMN($F$1),FALSE))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R175">
        <f>IF(ISNUMBER(SEARCH(SUBSTITUTE(AR$1,RIGHT(AR$1,2),""),VLOOKUP($D175,素材!$1:$1016,COLUMN($F$1),FALSE))),VLOOKUP($C175,装備品!$1:$998,COLUMN($O$1),FALSE)*VLOOKUP($D175,素材!$1:$1016,COLUMN($E$1),FALSE)/(LEN(VLOOKUP($D175,素材!$1:$1016,COLUMN($F$1),FALSE))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S175">
        <f>IF(ISNUMBER(SEARCH(SUBSTITUTE(AS$1,RIGHT(AS$1,2),""),VLOOKUP($D175,素材!$1:$1016,COLUMN($F$1),FALSE))),VLOOKUP($C175,装備品!$1:$998,COLUMN($O$1),FALSE)*VLOOKUP($D175,素材!$1:$1016,COLUMN($E$1),FALSE)/(LEN(VLOOKUP($D175,素材!$1:$1016,COLUMN($F$1),FALSE))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T175">
        <f>IF(ISNUMBER(SEARCH(SUBSTITUTE(AT$1,RIGHT(AT$1,2),""),VLOOKUP($D175,素材!$1:$1016,COLUMN($F$1),FALSE))),VLOOKUP($C175,装備品!$1:$998,COLUMN($O$1),FALSE)*VLOOKUP($D175,素材!$1:$1016,COLUMN($E$1),FALSE)/(LEN(VLOOKUP($D175,素材!$1:$1016,COLUMN($F$1),FALSE))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U175">
        <f>IF(ISNUMBER(SEARCH(SUBSTITUTE(AU$1,RIGHT(AU$1,2),""),VLOOKUP($D175,素材!$1:$1016,COLUMN($F$1),FALSE))),VLOOKUP($C175,装備品!$1:$998,COLUMN($O$1),FALSE)*VLOOKUP($D175,素材!$1:$1016,COLUMN($E$1),FALSE)/(LEN(VLOOKUP($D175,素材!$1:$1016,COLUMN($F$1),FALSE))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V175">
        <f>IF(ISNUMBER(SEARCH(SUBSTITUTE(AV$1,RIGHT(AV$1,2),""),VLOOKUP($D175,素材!$1:$1016,COLUMN($F$1),FALSE))),VLOOKUP($C175,装備品!$1:$998,COLUMN($O$1),FALSE)*VLOOKUP($D175,素材!$1:$1016,COLUMN($E$1),FALSE)/(LEN(VLOOKUP($D175,素材!$1:$1016,COLUMN($F$1),FALSE))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W175">
        <f>IF(ISNUMBER(SEARCH(SUBSTITUTE(AW$1,RIGHT(AW$1,2),""),VLOOKUP($D175,素材!$1:$1016,COLUMN($F$1),FALSE))),VLOOKUP($C175,装備品!$1:$998,COLUMN($O$1),FALSE)*VLOOKUP($D175,素材!$1:$1016,COLUMN($E$1),FALSE)/(LEN(VLOOKUP($D175,素材!$1:$1016,COLUMN($F$1),FALSE))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X175">
        <f>IF(ISNUMBER(SEARCH(SUBSTITUTE(AX$1,RIGHT(AX$1,2),""),VLOOKUP($D175,素材!$1:$1016,COLUMN($F$1),FALSE))),VLOOKUP($C175,装備品!$1:$998,COLUMN($O$1),FALSE)*VLOOKUP($D175,素材!$1:$1016,COLUMN($E$1),FALSE)/(LEN(VLOOKUP($D175,素材!$1:$1016,COLUMN($F$1),FALSE))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Y175">
        <f>IF(ISNUMBER(SEARCH(SUBSTITUTE(AY$1,RIGHT(AY$1,2),""),VLOOKUP($D175,素材!$1:$1016,COLUMN($F$1),FALSE))),VLOOKUP($C175,装備品!$1:$998,COLUMN($O$1),FALSE)*VLOOKUP($D175,素材!$1:$1016,COLUMN($E$1),FALSE)/(LEN(VLOOKUP($D175,素材!$1:$1016,COLUMN($F$1),FALSE))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Z175">
        <f>IF(ISNUMBER(SEARCH(SUBSTITUTE(AZ$1,RIGHT(AZ$1,2),""),VLOOKUP($D175,素材!$1:$1016,COLUMN($F$1),FALSE))),VLOOKUP($C175,装備品!$1:$998,COLUMN($O$1),FALSE)*VLOOKUP($D175,素材!$1:$1016,COLUMN($E$1),FALSE)/(LEN(VLOOKUP($D175,素材!$1:$1016,COLUMN($F$1),FALSE))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BA175">
        <f>IF(ISNUMBER(SEARCH(SUBSTITUTE(BA$1,RIGHT(BA$1,2),""),VLOOKUP($D175,素材!$1:$1016,COLUMN($F$1),FALSE))),VLOOKUP($C175,装備品!$1:$998,COLUMN($O$1),FALSE)*VLOOKUP($D175,素材!$1:$1016,COLUMN($E$1),FALSE)/(LEN(VLOOKUP($D175,素材!$1:$1016,COLUMN($F$1),FALSE))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BB175">
        <f>IF(ISNUMBER(SEARCH(SUBSTITUTE(BB$1,RIGHT(BB$1,2),""),VLOOKUP($D175,素材!$1:$1016,COLUMN($F$1),FALSE))),VLOOKUP($C175,装備品!$1:$998,COLUMN($O$1),FALSE)*VLOOKUP($D175,素材!$1:$1016,COLUMN($E$1),FALSE)/(LEN(VLOOKUP($D175,素材!$1:$1016,COLUMN($F$1),FALSE))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BC175">
        <f>IF(ISNUMBER(SEARCH(SUBSTITUTE(BC$1,RIGHT(BC$1,2),""),VLOOKUP($D175,素材!$1:$1016,COLUMN($F$1),FALSE))),VLOOKUP($C175,装備品!$1:$998,COLUMN($O$1),FALSE)*VLOOKUP($D175,素材!$1:$1016,COLUMN($E$1),FALSE)/(LEN(VLOOKUP($D175,素材!$1:$1016,COLUMN($F$1),FALSE))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BD175">
        <f>IF(ISNUMBER(SEARCH(SUBSTITUTE(BD$1,RIGHT(BD$1,2),""),VLOOKUP($D175,素材!$1:$1016,COLUMN($F$1),FALSE))),VLOOKUP($C175,装備品!$1:$998,COLUMN($O$1),FALSE)*VLOOKUP($D175,素材!$1:$1016,COLUMN($E$1),FALSE)/(LEN(VLOOKUP($D175,素材!$1:$1016,COLUMN($F$1),FALSE))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BE175">
        <f>IF(ISNUMBER(SEARCH(SUBSTITUTE(BE$1,RIGHT(BE$1,2),""),VLOOKUP($D175,素材!$1:$1016,COLUMN($F$1),FALSE))),VLOOKUP($C175,装備品!$1:$998,COLUMN($O$1),FALSE)*VLOOKUP($D175,素材!$1:$1016,COLUMN($E$1),FALSE)/(LEN(VLOOKUP($D175,素材!$1:$1016,COLUMN($F$1),FALSE))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CL175">
        <f t="shared" si="19"/>
        <v>0</v>
      </c>
      <c r="CM175" s="22" t="e">
        <f t="shared" si="20"/>
        <v>#VALUE!</v>
      </c>
      <c r="CN175" t="str">
        <f>IFERROR(VLOOKUP($C175,装備品!$1:$998,COLUMN(V$1),FALSE)*VLOOKUP($D175,素材!$1:$1016,COLUMN(N$1),FALSE)+IF(CI175="",0,VLOOKUP($CI175,付与!$1:$1176,COLUMN($CK$1),FALSE)),"")</f>
        <v/>
      </c>
      <c r="CO175" t="e">
        <f>VLOOKUP(D175,素材!$A:$O,COLUMN(素材!O$1),FALSE)</f>
        <v>#N/A</v>
      </c>
      <c r="CP175" t="str">
        <f>VLOOKUP(C175,装備品!$A:$AB,COLUMN(装備品!AB$1),FALSE)</f>
        <v>鎌。農具を転用した武器で、鋭い斬撃を与える。</v>
      </c>
      <c r="CR175" t="str">
        <f t="shared" si="24"/>
        <v>e_175</v>
      </c>
      <c r="CS175" t="e">
        <f t="shared" si="28"/>
        <v>#VALUE!</v>
      </c>
    </row>
    <row r="176" spans="1:97" outlineLevel="1" x14ac:dyDescent="0.4">
      <c r="A176" t="str">
        <f t="shared" si="33"/>
        <v>黒鋼鉄の戦斧</v>
      </c>
      <c r="B176" t="str">
        <f>IFERROR(VLOOKUP($D176,素材!$1:$1016,COLUMN($B$1),FALSE)&amp;"・"&amp;VLOOKUP($C176,装備品!$1:$998,COLUMN(B$1),FALSE),"")</f>
        <v/>
      </c>
      <c r="C176" t="s">
        <v>223</v>
      </c>
      <c r="D176" s="24" t="s">
        <v>243</v>
      </c>
      <c r="E176" t="str">
        <f>IFERROR(VLOOKUP(C176,装備品!$1:$998,COLUMN(C$1),FALSE),"")</f>
        <v>武器</v>
      </c>
      <c r="F176" t="str">
        <f>IFERROR(ROUNDDOWN((VLOOKUP($C176,装備品!$1:$998,COLUMN(D$1),FALSE)+IFERROR(VLOOKUP($CI176,付与!$1:$1167,COLUMN(F$1),FALSE),0))*VLOOKUP($D176,素材!$1:$1016,COLUMN(D$1),FALSE),0),"")</f>
        <v/>
      </c>
      <c r="G176" t="str">
        <f>IFERROR(ROUNDDOWN((VLOOKUP($C176,装備品!$1:$998,COLUMN(E$1),FALSE)+IFERROR(VLOOKUP($CI176,付与!$1:$1167,COLUMN(G$1),FALSE),0))*VLOOKUP($D176,素材!$1:$1016,COLUMN($E$1),FALSE),0),"")</f>
        <v/>
      </c>
      <c r="H176" t="str">
        <f>IFERROR(ROUNDDOWN((VLOOKUP($C176,装備品!$1:$998,COLUMN(F$1),FALSE)+IFERROR(VLOOKUP($CI176,付与!$1:$1167,COLUMN(H$1),FALSE),0))*VLOOKUP($D176,素材!$1:$1016,COLUMN($E$1),FALSE),0),"")</f>
        <v/>
      </c>
      <c r="I176" t="str">
        <f>IFERROR(ROUNDDOWN((VLOOKUP($C176,装備品!$1:$998,COLUMN(G$1),FALSE)+IFERROR(VLOOKUP($CI176,付与!$1:$1167,COLUMN(I$1),FALSE),0))*VLOOKUP($D176,素材!$1:$1016,COLUMN($E$1),FALSE),0),"")</f>
        <v/>
      </c>
      <c r="J176" t="str">
        <f>IFERROR(ROUNDDOWN((VLOOKUP($C176,装備品!$1:$998,COLUMN(H$1),FALSE)+IFERROR(VLOOKUP($CI176,付与!$1:$1167,COLUMN(J$1),FALSE),0))*VLOOKUP($D176,素材!$1:$1016,COLUMN($E$1),FALSE),0),"")</f>
        <v/>
      </c>
      <c r="K176" t="str">
        <f>IFERROR(ROUNDDOWN((VLOOKUP($C176,装備品!$1:$998,COLUMN(I$1),FALSE)+IFERROR(VLOOKUP($CI176,付与!$1:$1167,COLUMN(K$1),FALSE),0))*VLOOKUP($D176,素材!$1:$1016,COLUMN($E$1),FALSE),0),"")</f>
        <v/>
      </c>
      <c r="L176" t="str">
        <f>IFERROR(VLOOKUP($D176,素材!$1:$1016,COLUMN($F$1),FALSE),"")</f>
        <v/>
      </c>
      <c r="M176" t="str">
        <f>IFERROR(VLOOKUP($C176,装備品!$1:$998,COLUMN(AA$1),FALSE)*VLOOKUP($D176,素材!$1:$1016,COLUMN($G$1),FALSE),"")</f>
        <v/>
      </c>
      <c r="N176">
        <f>IFERROR(VLOOKUP($C176,装備品!$1:$998,COLUMN(I$1),FALSE),"")</f>
        <v>0</v>
      </c>
      <c r="O176" s="23" t="str">
        <f>IFERROR((VLOOKUP($C176,装備品!$1:$998,COLUMN(K$1),FALSE)+VLOOKUP($D176,素材!$1:$1016,COLUMN(H$1),FALSE))*100+IFERROR(VLOOKUP($CI176,付与!$1:$1167,COLUMN(O$1),FALSE),0),"")</f>
        <v/>
      </c>
      <c r="P176" s="23" t="str">
        <f>IFERROR((VLOOKUP($C176,装備品!$1:$998,COLUMN(L$1),FALSE)+VLOOKUP($D176,素材!$1:$1016,COLUMN(I$1),FALSE))*100+IFERROR(VLOOKUP($CI176,付与!$1:$1167,COLUMN(P$1),FALSE),0),"")</f>
        <v/>
      </c>
      <c r="Q176" t="str">
        <f>IFERROR(ROUNDUP(VLOOKUP($C176,装備品!$1:$998,COLUMN(M$1),FALSE)*(VLOOKUP($D176,素材!$1:$1002,COLUMN(D$1),FALSE)/100),1),"")</f>
        <v/>
      </c>
      <c r="R176" t="str">
        <f>IFERROR(ROUNDUP(VLOOKUP($C176,装備品!$1:$998,COLUMN(N$1),FALSE)*(VLOOKUP($D176,素材!$1:$1002,COLUMN(D$1),FALSE)/100),1),"")</f>
        <v/>
      </c>
      <c r="S176">
        <f>IFERROR(VLOOKUP($C176,装備品!$1:$998,COLUMN(P$1),FALSE),"")</f>
        <v>0</v>
      </c>
      <c r="T176">
        <f>IFERROR(VLOOKUP($C176,装備品!$1:$998,COLUMN(Q$1),FALSE),"")</f>
        <v>0</v>
      </c>
      <c r="U176">
        <f>IFERROR(VLOOKUP($C176,装備品!$1:$998,COLUMN(R$1),FALSE),"")</f>
        <v>0</v>
      </c>
      <c r="V176">
        <f>IFERROR(VLOOKUP($C176,装備品!$1:$998,COLUMN(Q$1),FALSE),"")</f>
        <v>0</v>
      </c>
      <c r="W176">
        <f>IFERROR(VLOOKUP($C176,装備品!$1:$998,COLUMN(T$1),FALSE),"")</f>
        <v>0</v>
      </c>
      <c r="Y176">
        <f>IFERROR(VLOOKUP($C176,装備品!$1:$998,COLUMN(U$1),FALSE),"")</f>
        <v>0</v>
      </c>
      <c r="Z176" t="str">
        <f>IFERROR(ROUNDUP(VLOOKUP($C176,装備品!$1:$998,COLUMN(O$1),FALSE)*VLOOKUP($D176,素材!$1:$1016,COLUMN(E$1),FALSE),1),"")</f>
        <v/>
      </c>
      <c r="AA176">
        <f>IF(ISNUMBER(SEARCH(SUBSTITUTE(AA$1,RIGHT(AA$1,2),""),VLOOKUP($D176,素材!$1:$1016,COLUMN($F$1),FALSE))),VLOOKUP($C176,装備品!$1:$998,COLUMN($O$1),FALSE)*VLOOKUP($D176,素材!$1:$1016,COLUMN($E$1),FALSE)/(LEN(VLOOKUP($D176,素材!$1:$1016,COLUMN($F$1),FALSE))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B176">
        <f>IF(ISNUMBER(SEARCH(SUBSTITUTE(AB$1,RIGHT(AB$1,2),""),VLOOKUP($D176,素材!$1:$1016,COLUMN($F$1),FALSE))),VLOOKUP($C176,装備品!$1:$998,COLUMN($O$1),FALSE)*VLOOKUP($D176,素材!$1:$1016,COLUMN($E$1),FALSE)/(LEN(VLOOKUP($D176,素材!$1:$1016,COLUMN($F$1),FALSE))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C176">
        <f>IF(ISNUMBER(SEARCH(SUBSTITUTE(AC$1,RIGHT(AC$1,2),""),VLOOKUP($D176,素材!$1:$1016,COLUMN($F$1),FALSE))),VLOOKUP($C176,装備品!$1:$998,COLUMN($O$1),FALSE)*VLOOKUP($D176,素材!$1:$1016,COLUMN($E$1),FALSE)/(LEN(VLOOKUP($D176,素材!$1:$1016,COLUMN($F$1),FALSE))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D176">
        <f>IF(ISNUMBER(SEARCH(SUBSTITUTE(AD$1,RIGHT(AD$1,2),""),VLOOKUP($D176,素材!$1:$1016,COLUMN($F$1),FALSE))),VLOOKUP($C176,装備品!$1:$998,COLUMN($O$1),FALSE)*VLOOKUP($D176,素材!$1:$1016,COLUMN($E$1),FALSE)/(LEN(VLOOKUP($D176,素材!$1:$1016,COLUMN($F$1),FALSE))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E176">
        <f>IF(ISNUMBER(SEARCH(SUBSTITUTE(AE$1,RIGHT(AE$1,2),""),VLOOKUP($D176,素材!$1:$1016,COLUMN($F$1),FALSE))),VLOOKUP($C176,装備品!$1:$998,COLUMN($O$1),FALSE)*VLOOKUP($D176,素材!$1:$1016,COLUMN($E$1),FALSE)/(LEN(VLOOKUP($D176,素材!$1:$1016,COLUMN($F$1),FALSE))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F176">
        <f>IF(ISNUMBER(SEARCH(SUBSTITUTE(AF$1,RIGHT(AF$1,2),""),VLOOKUP($D176,素材!$1:$1016,COLUMN($F$1),FALSE))),VLOOKUP($C176,装備品!$1:$998,COLUMN($O$1),FALSE)*VLOOKUP($D176,素材!$1:$1016,COLUMN($E$1),FALSE)/(LEN(VLOOKUP($D176,素材!$1:$1016,COLUMN($F$1),FALSE))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G176">
        <f>IF(ISNUMBER(SEARCH(SUBSTITUTE(AG$1,RIGHT(AG$1,2),""),VLOOKUP($D176,素材!$1:$1016,COLUMN($F$1),FALSE))),VLOOKUP($C176,装備品!$1:$998,COLUMN($O$1),FALSE)*VLOOKUP($D176,素材!$1:$1016,COLUMN($E$1),FALSE)/(LEN(VLOOKUP($D176,素材!$1:$1016,COLUMN($F$1),FALSE))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H176">
        <f>IF(ISNUMBER(SEARCH(SUBSTITUTE(AH$1,RIGHT(AH$1,2),""),VLOOKUP($D176,素材!$1:$1016,COLUMN($F$1),FALSE))),VLOOKUP($C176,装備品!$1:$998,COLUMN($O$1),FALSE)*VLOOKUP($D176,素材!$1:$1016,COLUMN($E$1),FALSE)/(LEN(VLOOKUP($D176,素材!$1:$1016,COLUMN($F$1),FALSE))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I176">
        <f>IF(ISNUMBER(SEARCH(SUBSTITUTE(AI$1,RIGHT(AI$1,2),""),VLOOKUP($D176,素材!$1:$1016,COLUMN($F$1),FALSE))),VLOOKUP($C176,装備品!$1:$998,COLUMN($O$1),FALSE)*VLOOKUP($D176,素材!$1:$1016,COLUMN($E$1),FALSE)/(LEN(VLOOKUP($D176,素材!$1:$1016,COLUMN($F$1),FALSE))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J176">
        <f>IF(ISNUMBER(SEARCH(SUBSTITUTE(AJ$1,RIGHT(AJ$1,2),""),VLOOKUP($D176,素材!$1:$1016,COLUMN($F$1),FALSE))),VLOOKUP($C176,装備品!$1:$998,COLUMN($O$1),FALSE)*VLOOKUP($D176,素材!$1:$1016,COLUMN($E$1),FALSE)/(LEN(VLOOKUP($D176,素材!$1:$1016,COLUMN($F$1),FALSE))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K176">
        <f>IF(ISNUMBER(SEARCH(SUBSTITUTE(AK$1,RIGHT(AK$1,2),""),VLOOKUP($D176,素材!$1:$1016,COLUMN($F$1),FALSE))),VLOOKUP($C176,装備品!$1:$998,COLUMN($O$1),FALSE)*VLOOKUP($D176,素材!$1:$1016,COLUMN($E$1),FALSE)/(LEN(VLOOKUP($D176,素材!$1:$1016,COLUMN($F$1),FALSE))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L176">
        <f>IF(ISNUMBER(SEARCH(SUBSTITUTE(AL$1,RIGHT(AL$1,2),""),VLOOKUP($D176,素材!$1:$1016,COLUMN($F$1),FALSE))),VLOOKUP($C176,装備品!$1:$998,COLUMN($O$1),FALSE)*VLOOKUP($D176,素材!$1:$1016,COLUMN($E$1),FALSE)/(LEN(VLOOKUP($D176,素材!$1:$1016,COLUMN($F$1),FALSE))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M176">
        <f>IF(ISNUMBER(SEARCH(SUBSTITUTE(AM$1,RIGHT(AM$1,2),""),VLOOKUP($D176,素材!$1:$1016,COLUMN($F$1),FALSE))),VLOOKUP($C176,装備品!$1:$998,COLUMN($O$1),FALSE)*VLOOKUP($D176,素材!$1:$1016,COLUMN($E$1),FALSE)/(LEN(VLOOKUP($D176,素材!$1:$1016,COLUMN($F$1),FALSE))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N176">
        <f>IF(ISNUMBER(SEARCH(SUBSTITUTE(AN$1,RIGHT(AN$1,2),""),VLOOKUP($D176,素材!$1:$1016,COLUMN($F$1),FALSE))),VLOOKUP($C176,装備品!$1:$998,COLUMN($O$1),FALSE)*VLOOKUP($D176,素材!$1:$1016,COLUMN($E$1),FALSE)/(LEN(VLOOKUP($D176,素材!$1:$1016,COLUMN($F$1),FALSE))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O176">
        <f>IF(ISNUMBER(SEARCH(SUBSTITUTE(AO$1,RIGHT(AO$1,2),""),VLOOKUP($D176,素材!$1:$1016,COLUMN($F$1),FALSE))),VLOOKUP($C176,装備品!$1:$998,COLUMN($O$1),FALSE)*VLOOKUP($D176,素材!$1:$1016,COLUMN($E$1),FALSE)/(LEN(VLOOKUP($D176,素材!$1:$1016,COLUMN($F$1),FALSE))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P176">
        <f>IF(ISNUMBER(SEARCH(SUBSTITUTE(AP$1,RIGHT(AP$1,2),""),VLOOKUP($D176,素材!$1:$1016,COLUMN($F$1),FALSE))),VLOOKUP($C176,装備品!$1:$998,COLUMN($O$1),FALSE)*VLOOKUP($D176,素材!$1:$1016,COLUMN($E$1),FALSE)/(LEN(VLOOKUP($D176,素材!$1:$1016,COLUMN($F$1),FALSE))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Q176">
        <f>IF(ISNUMBER(SEARCH(SUBSTITUTE(AQ$1,RIGHT(AQ$1,2),""),VLOOKUP($D176,素材!$1:$1016,COLUMN($F$1),FALSE))),VLOOKUP($C176,装備品!$1:$998,COLUMN($O$1),FALSE)*VLOOKUP($D176,素材!$1:$1016,COLUMN($E$1),FALSE)/(LEN(VLOOKUP($D176,素材!$1:$1016,COLUMN($F$1),FALSE))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R176">
        <f>IF(ISNUMBER(SEARCH(SUBSTITUTE(AR$1,RIGHT(AR$1,2),""),VLOOKUP($D176,素材!$1:$1016,COLUMN($F$1),FALSE))),VLOOKUP($C176,装備品!$1:$998,COLUMN($O$1),FALSE)*VLOOKUP($D176,素材!$1:$1016,COLUMN($E$1),FALSE)/(LEN(VLOOKUP($D176,素材!$1:$1016,COLUMN($F$1),FALSE))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S176">
        <f>IF(ISNUMBER(SEARCH(SUBSTITUTE(AS$1,RIGHT(AS$1,2),""),VLOOKUP($D176,素材!$1:$1016,COLUMN($F$1),FALSE))),VLOOKUP($C176,装備品!$1:$998,COLUMN($O$1),FALSE)*VLOOKUP($D176,素材!$1:$1016,COLUMN($E$1),FALSE)/(LEN(VLOOKUP($D176,素材!$1:$1016,COLUMN($F$1),FALSE))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T176">
        <f>IF(ISNUMBER(SEARCH(SUBSTITUTE(AT$1,RIGHT(AT$1,2),""),VLOOKUP($D176,素材!$1:$1016,COLUMN($F$1),FALSE))),VLOOKUP($C176,装備品!$1:$998,COLUMN($O$1),FALSE)*VLOOKUP($D176,素材!$1:$1016,COLUMN($E$1),FALSE)/(LEN(VLOOKUP($D176,素材!$1:$1016,COLUMN($F$1),FALSE))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U176">
        <f>IF(ISNUMBER(SEARCH(SUBSTITUTE(AU$1,RIGHT(AU$1,2),""),VLOOKUP($D176,素材!$1:$1016,COLUMN($F$1),FALSE))),VLOOKUP($C176,装備品!$1:$998,COLUMN($O$1),FALSE)*VLOOKUP($D176,素材!$1:$1016,COLUMN($E$1),FALSE)/(LEN(VLOOKUP($D176,素材!$1:$1016,COLUMN($F$1),FALSE))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V176">
        <f>IF(ISNUMBER(SEARCH(SUBSTITUTE(AV$1,RIGHT(AV$1,2),""),VLOOKUP($D176,素材!$1:$1016,COLUMN($F$1),FALSE))),VLOOKUP($C176,装備品!$1:$998,COLUMN($O$1),FALSE)*VLOOKUP($D176,素材!$1:$1016,COLUMN($E$1),FALSE)/(LEN(VLOOKUP($D176,素材!$1:$1016,COLUMN($F$1),FALSE))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W176">
        <f>IF(ISNUMBER(SEARCH(SUBSTITUTE(AW$1,RIGHT(AW$1,2),""),VLOOKUP($D176,素材!$1:$1016,COLUMN($F$1),FALSE))),VLOOKUP($C176,装備品!$1:$998,COLUMN($O$1),FALSE)*VLOOKUP($D176,素材!$1:$1016,COLUMN($E$1),FALSE)/(LEN(VLOOKUP($D176,素材!$1:$1016,COLUMN($F$1),FALSE))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X176">
        <f>IF(ISNUMBER(SEARCH(SUBSTITUTE(AX$1,RIGHT(AX$1,2),""),VLOOKUP($D176,素材!$1:$1016,COLUMN($F$1),FALSE))),VLOOKUP($C176,装備品!$1:$998,COLUMN($O$1),FALSE)*VLOOKUP($D176,素材!$1:$1016,COLUMN($E$1),FALSE)/(LEN(VLOOKUP($D176,素材!$1:$1016,COLUMN($F$1),FALSE))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Y176">
        <f>IF(ISNUMBER(SEARCH(SUBSTITUTE(AY$1,RIGHT(AY$1,2),""),VLOOKUP($D176,素材!$1:$1016,COLUMN($F$1),FALSE))),VLOOKUP($C176,装備品!$1:$998,COLUMN($O$1),FALSE)*VLOOKUP($D176,素材!$1:$1016,COLUMN($E$1),FALSE)/(LEN(VLOOKUP($D176,素材!$1:$1016,COLUMN($F$1),FALSE))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Z176">
        <f>IF(ISNUMBER(SEARCH(SUBSTITUTE(AZ$1,RIGHT(AZ$1,2),""),VLOOKUP($D176,素材!$1:$1016,COLUMN($F$1),FALSE))),VLOOKUP($C176,装備品!$1:$998,COLUMN($O$1),FALSE)*VLOOKUP($D176,素材!$1:$1016,COLUMN($E$1),FALSE)/(LEN(VLOOKUP($D176,素材!$1:$1016,COLUMN($F$1),FALSE))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BA176">
        <f>IF(ISNUMBER(SEARCH(SUBSTITUTE(BA$1,RIGHT(BA$1,2),""),VLOOKUP($D176,素材!$1:$1016,COLUMN($F$1),FALSE))),VLOOKUP($C176,装備品!$1:$998,COLUMN($O$1),FALSE)*VLOOKUP($D176,素材!$1:$1016,COLUMN($E$1),FALSE)/(LEN(VLOOKUP($D176,素材!$1:$1016,COLUMN($F$1),FALSE))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BB176">
        <f>IF(ISNUMBER(SEARCH(SUBSTITUTE(BB$1,RIGHT(BB$1,2),""),VLOOKUP($D176,素材!$1:$1016,COLUMN($F$1),FALSE))),VLOOKUP($C176,装備品!$1:$998,COLUMN($O$1),FALSE)*VLOOKUP($D176,素材!$1:$1016,COLUMN($E$1),FALSE)/(LEN(VLOOKUP($D176,素材!$1:$1016,COLUMN($F$1),FALSE))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BC176">
        <f>IF(ISNUMBER(SEARCH(SUBSTITUTE(BC$1,RIGHT(BC$1,2),""),VLOOKUP($D176,素材!$1:$1016,COLUMN($F$1),FALSE))),VLOOKUP($C176,装備品!$1:$998,COLUMN($O$1),FALSE)*VLOOKUP($D176,素材!$1:$1016,COLUMN($E$1),FALSE)/(LEN(VLOOKUP($D176,素材!$1:$1016,COLUMN($F$1),FALSE))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BD176">
        <f>IF(ISNUMBER(SEARCH(SUBSTITUTE(BD$1,RIGHT(BD$1,2),""),VLOOKUP($D176,素材!$1:$1016,COLUMN($F$1),FALSE))),VLOOKUP($C176,装備品!$1:$998,COLUMN($O$1),FALSE)*VLOOKUP($D176,素材!$1:$1016,COLUMN($E$1),FALSE)/(LEN(VLOOKUP($D176,素材!$1:$1016,COLUMN($F$1),FALSE))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BE176">
        <f>IF(ISNUMBER(SEARCH(SUBSTITUTE(BE$1,RIGHT(BE$1,2),""),VLOOKUP($D176,素材!$1:$1016,COLUMN($F$1),FALSE))),VLOOKUP($C176,装備品!$1:$998,COLUMN($O$1),FALSE)*VLOOKUP($D176,素材!$1:$1016,COLUMN($E$1),FALSE)/(LEN(VLOOKUP($D176,素材!$1:$1016,COLUMN($F$1),FALSE))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CL176">
        <f t="shared" si="19"/>
        <v>0</v>
      </c>
      <c r="CM176" s="22" t="e">
        <f t="shared" si="20"/>
        <v>#VALUE!</v>
      </c>
      <c r="CN176" t="str">
        <f>IFERROR(VLOOKUP($C176,装備品!$1:$998,COLUMN(V$1),FALSE)*VLOOKUP($D176,素材!$1:$1016,COLUMN(N$1),FALSE)+IF(CI176="",0,VLOOKUP($CI176,付与!$1:$1176,COLUMN($CK$1),FALSE)),"")</f>
        <v/>
      </c>
      <c r="CO176" t="e">
        <f>VLOOKUP(D176,素材!$A:$O,COLUMN(素材!O$1),FALSE)</f>
        <v>#N/A</v>
      </c>
      <c r="CP176" t="str">
        <f>VLOOKUP(C176,装備品!$A:$AB,COLUMN(装備品!AB$1),FALSE)</f>
        <v>戦斧。攻撃力が高く、重いが信頼性がある武器。</v>
      </c>
      <c r="CR176" t="str">
        <f t="shared" si="24"/>
        <v>e_176</v>
      </c>
      <c r="CS176" t="e">
        <f t="shared" si="28"/>
        <v>#VALUE!</v>
      </c>
    </row>
    <row r="177" spans="1:97" outlineLevel="1" x14ac:dyDescent="0.4">
      <c r="A177" t="str">
        <f t="shared" si="33"/>
        <v>黒鋼鉄の鞭</v>
      </c>
      <c r="B177" t="str">
        <f>IFERROR(VLOOKUP($D177,素材!$1:$1016,COLUMN($B$1),FALSE)&amp;"・"&amp;VLOOKUP($C177,装備品!$1:$998,COLUMN(B$1),FALSE),"")</f>
        <v/>
      </c>
      <c r="C177" t="s">
        <v>222</v>
      </c>
      <c r="D177" s="24" t="s">
        <v>243</v>
      </c>
      <c r="E177" t="str">
        <f>IFERROR(VLOOKUP(C177,装備品!$1:$998,COLUMN(C$1),FALSE),"")</f>
        <v>武器</v>
      </c>
      <c r="F177" t="str">
        <f>IFERROR(ROUNDDOWN((VLOOKUP($C177,装備品!$1:$998,COLUMN(D$1),FALSE)+IFERROR(VLOOKUP($CI177,付与!$1:$1167,COLUMN(F$1),FALSE),0))*VLOOKUP($D177,素材!$1:$1016,COLUMN(D$1),FALSE),0),"")</f>
        <v/>
      </c>
      <c r="G177" t="str">
        <f>IFERROR(ROUNDDOWN((VLOOKUP($C177,装備品!$1:$998,COLUMN(E$1),FALSE)+IFERROR(VLOOKUP($CI177,付与!$1:$1167,COLUMN(G$1),FALSE),0))*VLOOKUP($D177,素材!$1:$1016,COLUMN($E$1),FALSE),0),"")</f>
        <v/>
      </c>
      <c r="H177" t="str">
        <f>IFERROR(ROUNDDOWN((VLOOKUP($C177,装備品!$1:$998,COLUMN(F$1),FALSE)+IFERROR(VLOOKUP($CI177,付与!$1:$1167,COLUMN(H$1),FALSE),0))*VLOOKUP($D177,素材!$1:$1016,COLUMN($E$1),FALSE),0),"")</f>
        <v/>
      </c>
      <c r="I177" t="str">
        <f>IFERROR(ROUNDDOWN((VLOOKUP($C177,装備品!$1:$998,COLUMN(G$1),FALSE)+IFERROR(VLOOKUP($CI177,付与!$1:$1167,COLUMN(I$1),FALSE),0))*VLOOKUP($D177,素材!$1:$1016,COLUMN($E$1),FALSE),0),"")</f>
        <v/>
      </c>
      <c r="J177" t="str">
        <f>IFERROR(ROUNDDOWN((VLOOKUP($C177,装備品!$1:$998,COLUMN(H$1),FALSE)+IFERROR(VLOOKUP($CI177,付与!$1:$1167,COLUMN(J$1),FALSE),0))*VLOOKUP($D177,素材!$1:$1016,COLUMN($E$1),FALSE),0),"")</f>
        <v/>
      </c>
      <c r="K177" t="str">
        <f>IFERROR(ROUNDDOWN((VLOOKUP($C177,装備品!$1:$998,COLUMN(I$1),FALSE)+IFERROR(VLOOKUP($CI177,付与!$1:$1167,COLUMN(K$1),FALSE),0))*VLOOKUP($D177,素材!$1:$1016,COLUMN($E$1),FALSE),0),"")</f>
        <v/>
      </c>
      <c r="L177" t="str">
        <f>IFERROR(VLOOKUP($D177,素材!$1:$1016,COLUMN($F$1),FALSE),"")</f>
        <v/>
      </c>
      <c r="M177" t="str">
        <f>IFERROR(VLOOKUP($C177,装備品!$1:$998,COLUMN(AA$1),FALSE)*VLOOKUP($D177,素材!$1:$1016,COLUMN($G$1),FALSE),"")</f>
        <v/>
      </c>
      <c r="N177">
        <f>IFERROR(VLOOKUP($C177,装備品!$1:$998,COLUMN(I$1),FALSE),"")</f>
        <v>0</v>
      </c>
      <c r="O177" s="23" t="str">
        <f>IFERROR((VLOOKUP($C177,装備品!$1:$998,COLUMN(K$1),FALSE)+VLOOKUP($D177,素材!$1:$1016,COLUMN(H$1),FALSE))*100+IFERROR(VLOOKUP($CI177,付与!$1:$1167,COLUMN(O$1),FALSE),0),"")</f>
        <v/>
      </c>
      <c r="P177" s="23" t="str">
        <f>IFERROR((VLOOKUP($C177,装備品!$1:$998,COLUMN(L$1),FALSE)+VLOOKUP($D177,素材!$1:$1016,COLUMN(I$1),FALSE))*100+IFERROR(VLOOKUP($CI177,付与!$1:$1167,COLUMN(P$1),FALSE),0),"")</f>
        <v/>
      </c>
      <c r="Q177" t="str">
        <f>IFERROR(ROUNDUP(VLOOKUP($C177,装備品!$1:$998,COLUMN(M$1),FALSE)*(VLOOKUP($D177,素材!$1:$1002,COLUMN(D$1),FALSE)/100),1),"")</f>
        <v/>
      </c>
      <c r="R177" t="str">
        <f>IFERROR(ROUNDUP(VLOOKUP($C177,装備品!$1:$998,COLUMN(N$1),FALSE)*(VLOOKUP($D177,素材!$1:$1002,COLUMN(D$1),FALSE)/100),1),"")</f>
        <v/>
      </c>
      <c r="S177">
        <f>IFERROR(VLOOKUP($C177,装備品!$1:$998,COLUMN(P$1),FALSE),"")</f>
        <v>0</v>
      </c>
      <c r="T177">
        <f>IFERROR(VLOOKUP($C177,装備品!$1:$998,COLUMN(Q$1),FALSE),"")</f>
        <v>0</v>
      </c>
      <c r="U177">
        <f>IFERROR(VLOOKUP($C177,装備品!$1:$998,COLUMN(R$1),FALSE),"")</f>
        <v>0</v>
      </c>
      <c r="V177">
        <f>IFERROR(VLOOKUP($C177,装備品!$1:$998,COLUMN(Q$1),FALSE),"")</f>
        <v>0</v>
      </c>
      <c r="W177">
        <f>IFERROR(VLOOKUP($C177,装備品!$1:$998,COLUMN(T$1),FALSE),"")</f>
        <v>0</v>
      </c>
      <c r="Y177">
        <f>IFERROR(VLOOKUP($C177,装備品!$1:$998,COLUMN(U$1),FALSE),"")</f>
        <v>1</v>
      </c>
      <c r="Z177" t="str">
        <f>IFERROR(ROUNDUP(VLOOKUP($C177,装備品!$1:$998,COLUMN(O$1),FALSE)*VLOOKUP($D177,素材!$1:$1016,COLUMN(E$1),FALSE),1),"")</f>
        <v/>
      </c>
      <c r="AA177">
        <f>IF(ISNUMBER(SEARCH(SUBSTITUTE(AA$1,RIGHT(AA$1,2),""),VLOOKUP($D177,素材!$1:$1016,COLUMN($F$1),FALSE))),VLOOKUP($C177,装備品!$1:$998,COLUMN($O$1),FALSE)*VLOOKUP($D177,素材!$1:$1016,COLUMN($E$1),FALSE)/(LEN(VLOOKUP($D177,素材!$1:$1016,COLUMN($F$1),FALSE))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B177">
        <f>IF(ISNUMBER(SEARCH(SUBSTITUTE(AB$1,RIGHT(AB$1,2),""),VLOOKUP($D177,素材!$1:$1016,COLUMN($F$1),FALSE))),VLOOKUP($C177,装備品!$1:$998,COLUMN($O$1),FALSE)*VLOOKUP($D177,素材!$1:$1016,COLUMN($E$1),FALSE)/(LEN(VLOOKUP($D177,素材!$1:$1016,COLUMN($F$1),FALSE))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C177">
        <f>IF(ISNUMBER(SEARCH(SUBSTITUTE(AC$1,RIGHT(AC$1,2),""),VLOOKUP($D177,素材!$1:$1016,COLUMN($F$1),FALSE))),VLOOKUP($C177,装備品!$1:$998,COLUMN($O$1),FALSE)*VLOOKUP($D177,素材!$1:$1016,COLUMN($E$1),FALSE)/(LEN(VLOOKUP($D177,素材!$1:$1016,COLUMN($F$1),FALSE))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D177">
        <f>IF(ISNUMBER(SEARCH(SUBSTITUTE(AD$1,RIGHT(AD$1,2),""),VLOOKUP($D177,素材!$1:$1016,COLUMN($F$1),FALSE))),VLOOKUP($C177,装備品!$1:$998,COLUMN($O$1),FALSE)*VLOOKUP($D177,素材!$1:$1016,COLUMN($E$1),FALSE)/(LEN(VLOOKUP($D177,素材!$1:$1016,COLUMN($F$1),FALSE))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E177">
        <f>IF(ISNUMBER(SEARCH(SUBSTITUTE(AE$1,RIGHT(AE$1,2),""),VLOOKUP($D177,素材!$1:$1016,COLUMN($F$1),FALSE))),VLOOKUP($C177,装備品!$1:$998,COLUMN($O$1),FALSE)*VLOOKUP($D177,素材!$1:$1016,COLUMN($E$1),FALSE)/(LEN(VLOOKUP($D177,素材!$1:$1016,COLUMN($F$1),FALSE))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F177">
        <f>IF(ISNUMBER(SEARCH(SUBSTITUTE(AF$1,RIGHT(AF$1,2),""),VLOOKUP($D177,素材!$1:$1016,COLUMN($F$1),FALSE))),VLOOKUP($C177,装備品!$1:$998,COLUMN($O$1),FALSE)*VLOOKUP($D177,素材!$1:$1016,COLUMN($E$1),FALSE)/(LEN(VLOOKUP($D177,素材!$1:$1016,COLUMN($F$1),FALSE))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G177">
        <f>IF(ISNUMBER(SEARCH(SUBSTITUTE(AG$1,RIGHT(AG$1,2),""),VLOOKUP($D177,素材!$1:$1016,COLUMN($F$1),FALSE))),VLOOKUP($C177,装備品!$1:$998,COLUMN($O$1),FALSE)*VLOOKUP($D177,素材!$1:$1016,COLUMN($E$1),FALSE)/(LEN(VLOOKUP($D177,素材!$1:$1016,COLUMN($F$1),FALSE))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H177">
        <f>IF(ISNUMBER(SEARCH(SUBSTITUTE(AH$1,RIGHT(AH$1,2),""),VLOOKUP($D177,素材!$1:$1016,COLUMN($F$1),FALSE))),VLOOKUP($C177,装備品!$1:$998,COLUMN($O$1),FALSE)*VLOOKUP($D177,素材!$1:$1016,COLUMN($E$1),FALSE)/(LEN(VLOOKUP($D177,素材!$1:$1016,COLUMN($F$1),FALSE))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I177">
        <f>IF(ISNUMBER(SEARCH(SUBSTITUTE(AI$1,RIGHT(AI$1,2),""),VLOOKUP($D177,素材!$1:$1016,COLUMN($F$1),FALSE))),VLOOKUP($C177,装備品!$1:$998,COLUMN($O$1),FALSE)*VLOOKUP($D177,素材!$1:$1016,COLUMN($E$1),FALSE)/(LEN(VLOOKUP($D177,素材!$1:$1016,COLUMN($F$1),FALSE))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J177">
        <f>IF(ISNUMBER(SEARCH(SUBSTITUTE(AJ$1,RIGHT(AJ$1,2),""),VLOOKUP($D177,素材!$1:$1016,COLUMN($F$1),FALSE))),VLOOKUP($C177,装備品!$1:$998,COLUMN($O$1),FALSE)*VLOOKUP($D177,素材!$1:$1016,COLUMN($E$1),FALSE)/(LEN(VLOOKUP($D177,素材!$1:$1016,COLUMN($F$1),FALSE))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K177">
        <f>IF(ISNUMBER(SEARCH(SUBSTITUTE(AK$1,RIGHT(AK$1,2),""),VLOOKUP($D177,素材!$1:$1016,COLUMN($F$1),FALSE))),VLOOKUP($C177,装備品!$1:$998,COLUMN($O$1),FALSE)*VLOOKUP($D177,素材!$1:$1016,COLUMN($E$1),FALSE)/(LEN(VLOOKUP($D177,素材!$1:$1016,COLUMN($F$1),FALSE))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L177">
        <f>IF(ISNUMBER(SEARCH(SUBSTITUTE(AL$1,RIGHT(AL$1,2),""),VLOOKUP($D177,素材!$1:$1016,COLUMN($F$1),FALSE))),VLOOKUP($C177,装備品!$1:$998,COLUMN($O$1),FALSE)*VLOOKUP($D177,素材!$1:$1016,COLUMN($E$1),FALSE)/(LEN(VLOOKUP($D177,素材!$1:$1016,COLUMN($F$1),FALSE))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M177">
        <f>IF(ISNUMBER(SEARCH(SUBSTITUTE(AM$1,RIGHT(AM$1,2),""),VLOOKUP($D177,素材!$1:$1016,COLUMN($F$1),FALSE))),VLOOKUP($C177,装備品!$1:$998,COLUMN($O$1),FALSE)*VLOOKUP($D177,素材!$1:$1016,COLUMN($E$1),FALSE)/(LEN(VLOOKUP($D177,素材!$1:$1016,COLUMN($F$1),FALSE))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N177">
        <f>IF(ISNUMBER(SEARCH(SUBSTITUTE(AN$1,RIGHT(AN$1,2),""),VLOOKUP($D177,素材!$1:$1016,COLUMN($F$1),FALSE))),VLOOKUP($C177,装備品!$1:$998,COLUMN($O$1),FALSE)*VLOOKUP($D177,素材!$1:$1016,COLUMN($E$1),FALSE)/(LEN(VLOOKUP($D177,素材!$1:$1016,COLUMN($F$1),FALSE))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O177">
        <f>IF(ISNUMBER(SEARCH(SUBSTITUTE(AO$1,RIGHT(AO$1,2),""),VLOOKUP($D177,素材!$1:$1016,COLUMN($F$1),FALSE))),VLOOKUP($C177,装備品!$1:$998,COLUMN($O$1),FALSE)*VLOOKUP($D177,素材!$1:$1016,COLUMN($E$1),FALSE)/(LEN(VLOOKUP($D177,素材!$1:$1016,COLUMN($F$1),FALSE))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P177">
        <f>IF(ISNUMBER(SEARCH(SUBSTITUTE(AP$1,RIGHT(AP$1,2),""),VLOOKUP($D177,素材!$1:$1016,COLUMN($F$1),FALSE))),VLOOKUP($C177,装備品!$1:$998,COLUMN($O$1),FALSE)*VLOOKUP($D177,素材!$1:$1016,COLUMN($E$1),FALSE)/(LEN(VLOOKUP($D177,素材!$1:$1016,COLUMN($F$1),FALSE))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Q177">
        <f>IF(ISNUMBER(SEARCH(SUBSTITUTE(AQ$1,RIGHT(AQ$1,2),""),VLOOKUP($D177,素材!$1:$1016,COLUMN($F$1),FALSE))),VLOOKUP($C177,装備品!$1:$998,COLUMN($O$1),FALSE)*VLOOKUP($D177,素材!$1:$1016,COLUMN($E$1),FALSE)/(LEN(VLOOKUP($D177,素材!$1:$1016,COLUMN($F$1),FALSE))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R177">
        <f>IF(ISNUMBER(SEARCH(SUBSTITUTE(AR$1,RIGHT(AR$1,2),""),VLOOKUP($D177,素材!$1:$1016,COLUMN($F$1),FALSE))),VLOOKUP($C177,装備品!$1:$998,COLUMN($O$1),FALSE)*VLOOKUP($D177,素材!$1:$1016,COLUMN($E$1),FALSE)/(LEN(VLOOKUP($D177,素材!$1:$1016,COLUMN($F$1),FALSE))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S177">
        <f>IF(ISNUMBER(SEARCH(SUBSTITUTE(AS$1,RIGHT(AS$1,2),""),VLOOKUP($D177,素材!$1:$1016,COLUMN($F$1),FALSE))),VLOOKUP($C177,装備品!$1:$998,COLUMN($O$1),FALSE)*VLOOKUP($D177,素材!$1:$1016,COLUMN($E$1),FALSE)/(LEN(VLOOKUP($D177,素材!$1:$1016,COLUMN($F$1),FALSE))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T177">
        <f>IF(ISNUMBER(SEARCH(SUBSTITUTE(AT$1,RIGHT(AT$1,2),""),VLOOKUP($D177,素材!$1:$1016,COLUMN($F$1),FALSE))),VLOOKUP($C177,装備品!$1:$998,COLUMN($O$1),FALSE)*VLOOKUP($D177,素材!$1:$1016,COLUMN($E$1),FALSE)/(LEN(VLOOKUP($D177,素材!$1:$1016,COLUMN($F$1),FALSE))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U177">
        <f>IF(ISNUMBER(SEARCH(SUBSTITUTE(AU$1,RIGHT(AU$1,2),""),VLOOKUP($D177,素材!$1:$1016,COLUMN($F$1),FALSE))),VLOOKUP($C177,装備品!$1:$998,COLUMN($O$1),FALSE)*VLOOKUP($D177,素材!$1:$1016,COLUMN($E$1),FALSE)/(LEN(VLOOKUP($D177,素材!$1:$1016,COLUMN($F$1),FALSE))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V177">
        <f>IF(ISNUMBER(SEARCH(SUBSTITUTE(AV$1,RIGHT(AV$1,2),""),VLOOKUP($D177,素材!$1:$1016,COLUMN($F$1),FALSE))),VLOOKUP($C177,装備品!$1:$998,COLUMN($O$1),FALSE)*VLOOKUP($D177,素材!$1:$1016,COLUMN($E$1),FALSE)/(LEN(VLOOKUP($D177,素材!$1:$1016,COLUMN($F$1),FALSE))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W177">
        <f>IF(ISNUMBER(SEARCH(SUBSTITUTE(AW$1,RIGHT(AW$1,2),""),VLOOKUP($D177,素材!$1:$1016,COLUMN($F$1),FALSE))),VLOOKUP($C177,装備品!$1:$998,COLUMN($O$1),FALSE)*VLOOKUP($D177,素材!$1:$1016,COLUMN($E$1),FALSE)/(LEN(VLOOKUP($D177,素材!$1:$1016,COLUMN($F$1),FALSE))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X177">
        <f>IF(ISNUMBER(SEARCH(SUBSTITUTE(AX$1,RIGHT(AX$1,2),""),VLOOKUP($D177,素材!$1:$1016,COLUMN($F$1),FALSE))),VLOOKUP($C177,装備品!$1:$998,COLUMN($O$1),FALSE)*VLOOKUP($D177,素材!$1:$1016,COLUMN($E$1),FALSE)/(LEN(VLOOKUP($D177,素材!$1:$1016,COLUMN($F$1),FALSE))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Y177">
        <f>IF(ISNUMBER(SEARCH(SUBSTITUTE(AY$1,RIGHT(AY$1,2),""),VLOOKUP($D177,素材!$1:$1016,COLUMN($F$1),FALSE))),VLOOKUP($C177,装備品!$1:$998,COLUMN($O$1),FALSE)*VLOOKUP($D177,素材!$1:$1016,COLUMN($E$1),FALSE)/(LEN(VLOOKUP($D177,素材!$1:$1016,COLUMN($F$1),FALSE))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Z177">
        <f>IF(ISNUMBER(SEARCH(SUBSTITUTE(AZ$1,RIGHT(AZ$1,2),""),VLOOKUP($D177,素材!$1:$1016,COLUMN($F$1),FALSE))),VLOOKUP($C177,装備品!$1:$998,COLUMN($O$1),FALSE)*VLOOKUP($D177,素材!$1:$1016,COLUMN($E$1),FALSE)/(LEN(VLOOKUP($D177,素材!$1:$1016,COLUMN($F$1),FALSE))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BA177">
        <f>IF(ISNUMBER(SEARCH(SUBSTITUTE(BA$1,RIGHT(BA$1,2),""),VLOOKUP($D177,素材!$1:$1016,COLUMN($F$1),FALSE))),VLOOKUP($C177,装備品!$1:$998,COLUMN($O$1),FALSE)*VLOOKUP($D177,素材!$1:$1016,COLUMN($E$1),FALSE)/(LEN(VLOOKUP($D177,素材!$1:$1016,COLUMN($F$1),FALSE))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BB177">
        <f>IF(ISNUMBER(SEARCH(SUBSTITUTE(BB$1,RIGHT(BB$1,2),""),VLOOKUP($D177,素材!$1:$1016,COLUMN($F$1),FALSE))),VLOOKUP($C177,装備品!$1:$998,COLUMN($O$1),FALSE)*VLOOKUP($D177,素材!$1:$1016,COLUMN($E$1),FALSE)/(LEN(VLOOKUP($D177,素材!$1:$1016,COLUMN($F$1),FALSE))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BC177">
        <f>IF(ISNUMBER(SEARCH(SUBSTITUTE(BC$1,RIGHT(BC$1,2),""),VLOOKUP($D177,素材!$1:$1016,COLUMN($F$1),FALSE))),VLOOKUP($C177,装備品!$1:$998,COLUMN($O$1),FALSE)*VLOOKUP($D177,素材!$1:$1016,COLUMN($E$1),FALSE)/(LEN(VLOOKUP($D177,素材!$1:$1016,COLUMN($F$1),FALSE))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BD177">
        <f>IF(ISNUMBER(SEARCH(SUBSTITUTE(BD$1,RIGHT(BD$1,2),""),VLOOKUP($D177,素材!$1:$1016,COLUMN($F$1),FALSE))),VLOOKUP($C177,装備品!$1:$998,COLUMN($O$1),FALSE)*VLOOKUP($D177,素材!$1:$1016,COLUMN($E$1),FALSE)/(LEN(VLOOKUP($D177,素材!$1:$1016,COLUMN($F$1),FALSE))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BE177">
        <f>IF(ISNUMBER(SEARCH(SUBSTITUTE(BE$1,RIGHT(BE$1,2),""),VLOOKUP($D177,素材!$1:$1016,COLUMN($F$1),FALSE))),VLOOKUP($C177,装備品!$1:$998,COLUMN($O$1),FALSE)*VLOOKUP($D177,素材!$1:$1016,COLUMN($E$1),FALSE)/(LEN(VLOOKUP($D177,素材!$1:$1016,COLUMN($F$1),FALSE))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CL177">
        <f t="shared" si="19"/>
        <v>0</v>
      </c>
      <c r="CM177" s="22" t="e">
        <f t="shared" si="20"/>
        <v>#VALUE!</v>
      </c>
      <c r="CN177" t="str">
        <f>IFERROR(VLOOKUP($C177,装備品!$1:$998,COLUMN(V$1),FALSE)*VLOOKUP($D177,素材!$1:$1016,COLUMN(N$1),FALSE)+IF(CI177="",0,VLOOKUP($CI177,付与!$1:$1176,COLUMN($CK$1),FALSE)),"")</f>
        <v/>
      </c>
      <c r="CO177" t="e">
        <f>VLOOKUP(D177,素材!$A:$O,COLUMN(素材!O$1),FALSE)</f>
        <v>#N/A</v>
      </c>
      <c r="CP177" t="str">
        <f>VLOOKUP(C177,装備品!$A:$AB,COLUMN(装備品!AB$1),FALSE)</f>
        <v>鞭。リーチが長く、敵を絡め取る戦闘に適する。</v>
      </c>
      <c r="CR177" t="str">
        <f t="shared" si="24"/>
        <v>e_177</v>
      </c>
      <c r="CS177" t="e">
        <f t="shared" si="28"/>
        <v>#VALUE!</v>
      </c>
    </row>
    <row r="178" spans="1:97" outlineLevel="1" x14ac:dyDescent="0.4">
      <c r="A178" t="str">
        <f t="shared" si="33"/>
        <v>黒鋼鉄の丸盾</v>
      </c>
      <c r="B178" t="str">
        <f>IFERROR(VLOOKUP($D178,素材!$1:$1016,COLUMN($B$1),FALSE)&amp;"・"&amp;VLOOKUP($C178,装備品!$1:$998,COLUMN(B$1),FALSE),"")</f>
        <v/>
      </c>
      <c r="C178" t="s">
        <v>221</v>
      </c>
      <c r="D178" s="24" t="s">
        <v>243</v>
      </c>
      <c r="E178" t="str">
        <f>IFERROR(VLOOKUP(C178,装備品!$1:$998,COLUMN(C$1),FALSE),"")</f>
        <v>盾</v>
      </c>
      <c r="F178" t="str">
        <f>IFERROR(ROUNDDOWN((VLOOKUP($C178,装備品!$1:$998,COLUMN(D$1),FALSE)+IFERROR(VLOOKUP($CI178,付与!$1:$1167,COLUMN(F$1),FALSE),0))*VLOOKUP($D178,素材!$1:$1016,COLUMN(D$1),FALSE),0),"")</f>
        <v/>
      </c>
      <c r="G178" t="str">
        <f>IFERROR(ROUNDDOWN((VLOOKUP($C178,装備品!$1:$998,COLUMN(E$1),FALSE)+IFERROR(VLOOKUP($CI178,付与!$1:$1167,COLUMN(G$1),FALSE),0))*VLOOKUP($D178,素材!$1:$1016,COLUMN($E$1),FALSE),0),"")</f>
        <v/>
      </c>
      <c r="H178" t="str">
        <f>IFERROR(ROUNDDOWN((VLOOKUP($C178,装備品!$1:$998,COLUMN(F$1),FALSE)+IFERROR(VLOOKUP($CI178,付与!$1:$1167,COLUMN(H$1),FALSE),0))*VLOOKUP($D178,素材!$1:$1016,COLUMN($E$1),FALSE),0),"")</f>
        <v/>
      </c>
      <c r="I178" t="str">
        <f>IFERROR(ROUNDDOWN((VLOOKUP($C178,装備品!$1:$998,COLUMN(G$1),FALSE)+IFERROR(VLOOKUP($CI178,付与!$1:$1167,COLUMN(I$1),FALSE),0))*VLOOKUP($D178,素材!$1:$1016,COLUMN($E$1),FALSE),0),"")</f>
        <v/>
      </c>
      <c r="J178" t="str">
        <f>IFERROR(ROUNDDOWN((VLOOKUP($C178,装備品!$1:$998,COLUMN(H$1),FALSE)+IFERROR(VLOOKUP($CI178,付与!$1:$1167,COLUMN(J$1),FALSE),0))*VLOOKUP($D178,素材!$1:$1016,COLUMN($E$1),FALSE),0),"")</f>
        <v/>
      </c>
      <c r="K178" t="str">
        <f>IFERROR(ROUNDDOWN((VLOOKUP($C178,装備品!$1:$998,COLUMN(I$1),FALSE)+IFERROR(VLOOKUP($CI178,付与!$1:$1167,COLUMN(K$1),FALSE),0))*VLOOKUP($D178,素材!$1:$1016,COLUMN($E$1),FALSE),0),"")</f>
        <v/>
      </c>
      <c r="L178" t="str">
        <f>IFERROR(VLOOKUP($D178,素材!$1:$1016,COLUMN($F$1),FALSE),"")</f>
        <v/>
      </c>
      <c r="M178" t="str">
        <f>IFERROR(VLOOKUP($C178,装備品!$1:$998,COLUMN(AA$1),FALSE)*VLOOKUP($D178,素材!$1:$1016,COLUMN($G$1),FALSE),"")</f>
        <v/>
      </c>
      <c r="N178">
        <f>IFERROR(VLOOKUP($C178,装備品!$1:$998,COLUMN(I$1),FALSE),"")</f>
        <v>0</v>
      </c>
      <c r="O178" s="23" t="str">
        <f>IFERROR((VLOOKUP($C178,装備品!$1:$998,COLUMN(K$1),FALSE)+VLOOKUP($D178,素材!$1:$1016,COLUMN(H$1),FALSE))*100+IFERROR(VLOOKUP($CI178,付与!$1:$1167,COLUMN(O$1),FALSE),0),"")</f>
        <v/>
      </c>
      <c r="P178" s="23" t="str">
        <f>IFERROR((VLOOKUP($C178,装備品!$1:$998,COLUMN(L$1),FALSE)+VLOOKUP($D178,素材!$1:$1016,COLUMN(I$1),FALSE))*100+IFERROR(VLOOKUP($CI178,付与!$1:$1167,COLUMN(P$1),FALSE),0),"")</f>
        <v/>
      </c>
      <c r="Q178" t="str">
        <f>IFERROR(ROUNDUP(VLOOKUP($C178,装備品!$1:$998,COLUMN(M$1),FALSE)*(VLOOKUP($D178,素材!$1:$1002,COLUMN(D$1),FALSE)/100),1),"")</f>
        <v/>
      </c>
      <c r="R178" t="str">
        <f>IFERROR(ROUNDUP(VLOOKUP($C178,装備品!$1:$998,COLUMN(N$1),FALSE)*(VLOOKUP($D178,素材!$1:$1002,COLUMN(D$1),FALSE)/100),1),"")</f>
        <v/>
      </c>
      <c r="S178">
        <f>IFERROR(VLOOKUP($C178,装備品!$1:$998,COLUMN(P$1),FALSE),"")</f>
        <v>0</v>
      </c>
      <c r="T178">
        <f>IFERROR(VLOOKUP($C178,装備品!$1:$998,COLUMN(Q$1),FALSE),"")</f>
        <v>0</v>
      </c>
      <c r="U178">
        <f>IFERROR(VLOOKUP($C178,装備品!$1:$998,COLUMN(R$1),FALSE),"")</f>
        <v>0</v>
      </c>
      <c r="V178">
        <f>IFERROR(VLOOKUP($C178,装備品!$1:$998,COLUMN(Q$1),FALSE),"")</f>
        <v>0</v>
      </c>
      <c r="W178">
        <f>IFERROR(VLOOKUP($C178,装備品!$1:$998,COLUMN(T$1),FALSE),"")</f>
        <v>0</v>
      </c>
      <c r="Y178">
        <f>IFERROR(VLOOKUP($C178,装備品!$1:$998,COLUMN(U$1),FALSE),"")</f>
        <v>0</v>
      </c>
      <c r="Z178" t="str">
        <f>IFERROR(ROUNDUP(VLOOKUP($C178,装備品!$1:$998,COLUMN(O$1),FALSE)*VLOOKUP($D178,素材!$1:$1016,COLUMN(E$1),FALSE),1),"")</f>
        <v/>
      </c>
      <c r="AA178">
        <f>IF(ISNUMBER(SEARCH(SUBSTITUTE(AA$1,RIGHT(AA$1,2),""),VLOOKUP($D178,素材!$1:$1016,COLUMN($F$1),FALSE))),VLOOKUP($C178,装備品!$1:$998,COLUMN($O$1),FALSE)*VLOOKUP($D178,素材!$1:$1016,COLUMN($E$1),FALSE)/(LEN(VLOOKUP($D178,素材!$1:$1016,COLUMN($F$1),FALSE))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B178">
        <f>IF(ISNUMBER(SEARCH(SUBSTITUTE(AB$1,RIGHT(AB$1,2),""),VLOOKUP($D178,素材!$1:$1016,COLUMN($F$1),FALSE))),VLOOKUP($C178,装備品!$1:$998,COLUMN($O$1),FALSE)*VLOOKUP($D178,素材!$1:$1016,COLUMN($E$1),FALSE)/(LEN(VLOOKUP($D178,素材!$1:$1016,COLUMN($F$1),FALSE))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C178">
        <f>IF(ISNUMBER(SEARCH(SUBSTITUTE(AC$1,RIGHT(AC$1,2),""),VLOOKUP($D178,素材!$1:$1016,COLUMN($F$1),FALSE))),VLOOKUP($C178,装備品!$1:$998,COLUMN($O$1),FALSE)*VLOOKUP($D178,素材!$1:$1016,COLUMN($E$1),FALSE)/(LEN(VLOOKUP($D178,素材!$1:$1016,COLUMN($F$1),FALSE))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D178">
        <f>IF(ISNUMBER(SEARCH(SUBSTITUTE(AD$1,RIGHT(AD$1,2),""),VLOOKUP($D178,素材!$1:$1016,COLUMN($F$1),FALSE))),VLOOKUP($C178,装備品!$1:$998,COLUMN($O$1),FALSE)*VLOOKUP($D178,素材!$1:$1016,COLUMN($E$1),FALSE)/(LEN(VLOOKUP($D178,素材!$1:$1016,COLUMN($F$1),FALSE))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E178">
        <f>IF(ISNUMBER(SEARCH(SUBSTITUTE(AE$1,RIGHT(AE$1,2),""),VLOOKUP($D178,素材!$1:$1016,COLUMN($F$1),FALSE))),VLOOKUP($C178,装備品!$1:$998,COLUMN($O$1),FALSE)*VLOOKUP($D178,素材!$1:$1016,COLUMN($E$1),FALSE)/(LEN(VLOOKUP($D178,素材!$1:$1016,COLUMN($F$1),FALSE))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F178">
        <f>IF(ISNUMBER(SEARCH(SUBSTITUTE(AF$1,RIGHT(AF$1,2),""),VLOOKUP($D178,素材!$1:$1016,COLUMN($F$1),FALSE))),VLOOKUP($C178,装備品!$1:$998,COLUMN($O$1),FALSE)*VLOOKUP($D178,素材!$1:$1016,COLUMN($E$1),FALSE)/(LEN(VLOOKUP($D178,素材!$1:$1016,COLUMN($F$1),FALSE))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G178">
        <f>IF(ISNUMBER(SEARCH(SUBSTITUTE(AG$1,RIGHT(AG$1,2),""),VLOOKUP($D178,素材!$1:$1016,COLUMN($F$1),FALSE))),VLOOKUP($C178,装備品!$1:$998,COLUMN($O$1),FALSE)*VLOOKUP($D178,素材!$1:$1016,COLUMN($E$1),FALSE)/(LEN(VLOOKUP($D178,素材!$1:$1016,COLUMN($F$1),FALSE))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H178">
        <f>IF(ISNUMBER(SEARCH(SUBSTITUTE(AH$1,RIGHT(AH$1,2),""),VLOOKUP($D178,素材!$1:$1016,COLUMN($F$1),FALSE))),VLOOKUP($C178,装備品!$1:$998,COLUMN($O$1),FALSE)*VLOOKUP($D178,素材!$1:$1016,COLUMN($E$1),FALSE)/(LEN(VLOOKUP($D178,素材!$1:$1016,COLUMN($F$1),FALSE))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I178">
        <f>IF(ISNUMBER(SEARCH(SUBSTITUTE(AI$1,RIGHT(AI$1,2),""),VLOOKUP($D178,素材!$1:$1016,COLUMN($F$1),FALSE))),VLOOKUP($C178,装備品!$1:$998,COLUMN($O$1),FALSE)*VLOOKUP($D178,素材!$1:$1016,COLUMN($E$1),FALSE)/(LEN(VLOOKUP($D178,素材!$1:$1016,COLUMN($F$1),FALSE))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J178">
        <f>IF(ISNUMBER(SEARCH(SUBSTITUTE(AJ$1,RIGHT(AJ$1,2),""),VLOOKUP($D178,素材!$1:$1016,COLUMN($F$1),FALSE))),VLOOKUP($C178,装備品!$1:$998,COLUMN($O$1),FALSE)*VLOOKUP($D178,素材!$1:$1016,COLUMN($E$1),FALSE)/(LEN(VLOOKUP($D178,素材!$1:$1016,COLUMN($F$1),FALSE))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K178">
        <f>IF(ISNUMBER(SEARCH(SUBSTITUTE(AK$1,RIGHT(AK$1,2),""),VLOOKUP($D178,素材!$1:$1016,COLUMN($F$1),FALSE))),VLOOKUP($C178,装備品!$1:$998,COLUMN($O$1),FALSE)*VLOOKUP($D178,素材!$1:$1016,COLUMN($E$1),FALSE)/(LEN(VLOOKUP($D178,素材!$1:$1016,COLUMN($F$1),FALSE))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L178">
        <f>IF(ISNUMBER(SEARCH(SUBSTITUTE(AL$1,RIGHT(AL$1,2),""),VLOOKUP($D178,素材!$1:$1016,COLUMN($F$1),FALSE))),VLOOKUP($C178,装備品!$1:$998,COLUMN($O$1),FALSE)*VLOOKUP($D178,素材!$1:$1016,COLUMN($E$1),FALSE)/(LEN(VLOOKUP($D178,素材!$1:$1016,COLUMN($F$1),FALSE))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M178">
        <f>IF(ISNUMBER(SEARCH(SUBSTITUTE(AM$1,RIGHT(AM$1,2),""),VLOOKUP($D178,素材!$1:$1016,COLUMN($F$1),FALSE))),VLOOKUP($C178,装備品!$1:$998,COLUMN($O$1),FALSE)*VLOOKUP($D178,素材!$1:$1016,COLUMN($E$1),FALSE)/(LEN(VLOOKUP($D178,素材!$1:$1016,COLUMN($F$1),FALSE))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N178">
        <f>IF(ISNUMBER(SEARCH(SUBSTITUTE(AN$1,RIGHT(AN$1,2),""),VLOOKUP($D178,素材!$1:$1016,COLUMN($F$1),FALSE))),VLOOKUP($C178,装備品!$1:$998,COLUMN($O$1),FALSE)*VLOOKUP($D178,素材!$1:$1016,COLUMN($E$1),FALSE)/(LEN(VLOOKUP($D178,素材!$1:$1016,COLUMN($F$1),FALSE))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O178">
        <f>IF(ISNUMBER(SEARCH(SUBSTITUTE(AO$1,RIGHT(AO$1,2),""),VLOOKUP($D178,素材!$1:$1016,COLUMN($F$1),FALSE))),VLOOKUP($C178,装備品!$1:$998,COLUMN($O$1),FALSE)*VLOOKUP($D178,素材!$1:$1016,COLUMN($E$1),FALSE)/(LEN(VLOOKUP($D178,素材!$1:$1016,COLUMN($F$1),FALSE))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P178">
        <f>IF(ISNUMBER(SEARCH(SUBSTITUTE(AP$1,RIGHT(AP$1,2),""),VLOOKUP($D178,素材!$1:$1016,COLUMN($F$1),FALSE))),VLOOKUP($C178,装備品!$1:$998,COLUMN($O$1),FALSE)*VLOOKUP($D178,素材!$1:$1016,COLUMN($E$1),FALSE)/(LEN(VLOOKUP($D178,素材!$1:$1016,COLUMN($F$1),FALSE))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Q178">
        <f>IF(ISNUMBER(SEARCH(SUBSTITUTE(AQ$1,RIGHT(AQ$1,2),""),VLOOKUP($D178,素材!$1:$1016,COLUMN($F$1),FALSE))),VLOOKUP($C178,装備品!$1:$998,COLUMN($O$1),FALSE)*VLOOKUP($D178,素材!$1:$1016,COLUMN($E$1),FALSE)/(LEN(VLOOKUP($D178,素材!$1:$1016,COLUMN($F$1),FALSE))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R178">
        <f>IF(ISNUMBER(SEARCH(SUBSTITUTE(AR$1,RIGHT(AR$1,2),""),VLOOKUP($D178,素材!$1:$1016,COLUMN($F$1),FALSE))),VLOOKUP($C178,装備品!$1:$998,COLUMN($O$1),FALSE)*VLOOKUP($D178,素材!$1:$1016,COLUMN($E$1),FALSE)/(LEN(VLOOKUP($D178,素材!$1:$1016,COLUMN($F$1),FALSE))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S178">
        <f>IF(ISNUMBER(SEARCH(SUBSTITUTE(AS$1,RIGHT(AS$1,2),""),VLOOKUP($D178,素材!$1:$1016,COLUMN($F$1),FALSE))),VLOOKUP($C178,装備品!$1:$998,COLUMN($O$1),FALSE)*VLOOKUP($D178,素材!$1:$1016,COLUMN($E$1),FALSE)/(LEN(VLOOKUP($D178,素材!$1:$1016,COLUMN($F$1),FALSE))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T178">
        <f>IF(ISNUMBER(SEARCH(SUBSTITUTE(AT$1,RIGHT(AT$1,2),""),VLOOKUP($D178,素材!$1:$1016,COLUMN($F$1),FALSE))),VLOOKUP($C178,装備品!$1:$998,COLUMN($O$1),FALSE)*VLOOKUP($D178,素材!$1:$1016,COLUMN($E$1),FALSE)/(LEN(VLOOKUP($D178,素材!$1:$1016,COLUMN($F$1),FALSE))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U178">
        <f>IF(ISNUMBER(SEARCH(SUBSTITUTE(AU$1,RIGHT(AU$1,2),""),VLOOKUP($D178,素材!$1:$1016,COLUMN($F$1),FALSE))),VLOOKUP($C178,装備品!$1:$998,COLUMN($O$1),FALSE)*VLOOKUP($D178,素材!$1:$1016,COLUMN($E$1),FALSE)/(LEN(VLOOKUP($D178,素材!$1:$1016,COLUMN($F$1),FALSE))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V178">
        <f>IF(ISNUMBER(SEARCH(SUBSTITUTE(AV$1,RIGHT(AV$1,2),""),VLOOKUP($D178,素材!$1:$1016,COLUMN($F$1),FALSE))),VLOOKUP($C178,装備品!$1:$998,COLUMN($O$1),FALSE)*VLOOKUP($D178,素材!$1:$1016,COLUMN($E$1),FALSE)/(LEN(VLOOKUP($D178,素材!$1:$1016,COLUMN($F$1),FALSE))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W178">
        <f>IF(ISNUMBER(SEARCH(SUBSTITUTE(AW$1,RIGHT(AW$1,2),""),VLOOKUP($D178,素材!$1:$1016,COLUMN($F$1),FALSE))),VLOOKUP($C178,装備品!$1:$998,COLUMN($O$1),FALSE)*VLOOKUP($D178,素材!$1:$1016,COLUMN($E$1),FALSE)/(LEN(VLOOKUP($D178,素材!$1:$1016,COLUMN($F$1),FALSE))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X178">
        <f>IF(ISNUMBER(SEARCH(SUBSTITUTE(AX$1,RIGHT(AX$1,2),""),VLOOKUP($D178,素材!$1:$1016,COLUMN($F$1),FALSE))),VLOOKUP($C178,装備品!$1:$998,COLUMN($O$1),FALSE)*VLOOKUP($D178,素材!$1:$1016,COLUMN($E$1),FALSE)/(LEN(VLOOKUP($D178,素材!$1:$1016,COLUMN($F$1),FALSE))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Y178">
        <f>IF(ISNUMBER(SEARCH(SUBSTITUTE(AY$1,RIGHT(AY$1,2),""),VLOOKUP($D178,素材!$1:$1016,COLUMN($F$1),FALSE))),VLOOKUP($C178,装備品!$1:$998,COLUMN($O$1),FALSE)*VLOOKUP($D178,素材!$1:$1016,COLUMN($E$1),FALSE)/(LEN(VLOOKUP($D178,素材!$1:$1016,COLUMN($F$1),FALSE))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Z178">
        <f>IF(ISNUMBER(SEARCH(SUBSTITUTE(AZ$1,RIGHT(AZ$1,2),""),VLOOKUP($D178,素材!$1:$1016,COLUMN($F$1),FALSE))),VLOOKUP($C178,装備品!$1:$998,COLUMN($O$1),FALSE)*VLOOKUP($D178,素材!$1:$1016,COLUMN($E$1),FALSE)/(LEN(VLOOKUP($D178,素材!$1:$1016,COLUMN($F$1),FALSE))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BA178">
        <f>IF(ISNUMBER(SEARCH(SUBSTITUTE(BA$1,RIGHT(BA$1,2),""),VLOOKUP($D178,素材!$1:$1016,COLUMN($F$1),FALSE))),VLOOKUP($C178,装備品!$1:$998,COLUMN($O$1),FALSE)*VLOOKUP($D178,素材!$1:$1016,COLUMN($E$1),FALSE)/(LEN(VLOOKUP($D178,素材!$1:$1016,COLUMN($F$1),FALSE))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BB178">
        <f>IF(ISNUMBER(SEARCH(SUBSTITUTE(BB$1,RIGHT(BB$1,2),""),VLOOKUP($D178,素材!$1:$1016,COLUMN($F$1),FALSE))),VLOOKUP($C178,装備品!$1:$998,COLUMN($O$1),FALSE)*VLOOKUP($D178,素材!$1:$1016,COLUMN($E$1),FALSE)/(LEN(VLOOKUP($D178,素材!$1:$1016,COLUMN($F$1),FALSE))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BC178">
        <f>IF(ISNUMBER(SEARCH(SUBSTITUTE(BC$1,RIGHT(BC$1,2),""),VLOOKUP($D178,素材!$1:$1016,COLUMN($F$1),FALSE))),VLOOKUP($C178,装備品!$1:$998,COLUMN($O$1),FALSE)*VLOOKUP($D178,素材!$1:$1016,COLUMN($E$1),FALSE)/(LEN(VLOOKUP($D178,素材!$1:$1016,COLUMN($F$1),FALSE))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BD178">
        <f>IF(ISNUMBER(SEARCH(SUBSTITUTE(BD$1,RIGHT(BD$1,2),""),VLOOKUP($D178,素材!$1:$1016,COLUMN($F$1),FALSE))),VLOOKUP($C178,装備品!$1:$998,COLUMN($O$1),FALSE)*VLOOKUP($D178,素材!$1:$1016,COLUMN($E$1),FALSE)/(LEN(VLOOKUP($D178,素材!$1:$1016,COLUMN($F$1),FALSE))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BE178">
        <f>IF(ISNUMBER(SEARCH(SUBSTITUTE(BE$1,RIGHT(BE$1,2),""),VLOOKUP($D178,素材!$1:$1016,COLUMN($F$1),FALSE))),VLOOKUP($C178,装備品!$1:$998,COLUMN($O$1),FALSE)*VLOOKUP($D178,素材!$1:$1016,COLUMN($E$1),FALSE)/(LEN(VLOOKUP($D178,素材!$1:$1016,COLUMN($F$1),FALSE))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CL178">
        <f t="shared" si="19"/>
        <v>0</v>
      </c>
      <c r="CM178" s="22" t="str">
        <f t="shared" si="20"/>
        <v>盾.webp</v>
      </c>
      <c r="CN178" t="str">
        <f>IFERROR(VLOOKUP($C178,装備品!$1:$998,COLUMN(V$1),FALSE)*VLOOKUP($D178,素材!$1:$1016,COLUMN(N$1),FALSE)+IF(CI178="",0,VLOOKUP($CI178,付与!$1:$1176,COLUMN($CK$1),FALSE)),"")</f>
        <v/>
      </c>
      <c r="CO178" t="e">
        <f>VLOOKUP(D178,素材!$A:$O,COLUMN(素材!O$1),FALSE)</f>
        <v>#N/A</v>
      </c>
      <c r="CP178" t="str">
        <f>VLOOKUP(C178,装備品!$A:$AB,COLUMN(装備品!AB$1),FALSE)</f>
        <v>丸盾。軽量で投擲にも使える盾。</v>
      </c>
      <c r="CR178" t="str">
        <f t="shared" si="24"/>
        <v>e_178</v>
      </c>
      <c r="CS178" t="e">
        <f t="shared" si="28"/>
        <v>#VALUE!</v>
      </c>
    </row>
    <row r="179" spans="1:97" outlineLevel="1" x14ac:dyDescent="0.4">
      <c r="A179" t="str">
        <f t="shared" si="33"/>
        <v>黒鋼鉄の盾</v>
      </c>
      <c r="B179" t="str">
        <f>IFERROR(VLOOKUP($D179,素材!$1:$1016,COLUMN($B$1),FALSE)&amp;"・"&amp;VLOOKUP($C179,装備品!$1:$998,COLUMN(B$1),FALSE),"")</f>
        <v/>
      </c>
      <c r="C179" t="s">
        <v>220</v>
      </c>
      <c r="D179" s="24" t="s">
        <v>243</v>
      </c>
      <c r="E179" t="str">
        <f>IFERROR(VLOOKUP(C179,装備品!$1:$998,COLUMN(C$1),FALSE),"")</f>
        <v>盾</v>
      </c>
      <c r="F179" t="str">
        <f>IFERROR(ROUNDDOWN((VLOOKUP($C179,装備品!$1:$998,COLUMN(D$1),FALSE)+IFERROR(VLOOKUP($CI179,付与!$1:$1167,COLUMN(F$1),FALSE),0))*VLOOKUP($D179,素材!$1:$1016,COLUMN(D$1),FALSE),0),"")</f>
        <v/>
      </c>
      <c r="G179" t="str">
        <f>IFERROR(ROUNDDOWN((VLOOKUP($C179,装備品!$1:$998,COLUMN(E$1),FALSE)+IFERROR(VLOOKUP($CI179,付与!$1:$1167,COLUMN(G$1),FALSE),0))*VLOOKUP($D179,素材!$1:$1016,COLUMN($E$1),FALSE),0),"")</f>
        <v/>
      </c>
      <c r="H179" t="str">
        <f>IFERROR(ROUNDDOWN((VLOOKUP($C179,装備品!$1:$998,COLUMN(F$1),FALSE)+IFERROR(VLOOKUP($CI179,付与!$1:$1167,COLUMN(H$1),FALSE),0))*VLOOKUP($D179,素材!$1:$1016,COLUMN($E$1),FALSE),0),"")</f>
        <v/>
      </c>
      <c r="I179" t="str">
        <f>IFERROR(ROUNDDOWN((VLOOKUP($C179,装備品!$1:$998,COLUMN(G$1),FALSE)+IFERROR(VLOOKUP($CI179,付与!$1:$1167,COLUMN(I$1),FALSE),0))*VLOOKUP($D179,素材!$1:$1016,COLUMN($E$1),FALSE),0),"")</f>
        <v/>
      </c>
      <c r="J179" t="str">
        <f>IFERROR(ROUNDDOWN((VLOOKUP($C179,装備品!$1:$998,COLUMN(H$1),FALSE)+IFERROR(VLOOKUP($CI179,付与!$1:$1167,COLUMN(J$1),FALSE),0))*VLOOKUP($D179,素材!$1:$1016,COLUMN($E$1),FALSE),0),"")</f>
        <v/>
      </c>
      <c r="K179" t="str">
        <f>IFERROR(ROUNDDOWN((VLOOKUP($C179,装備品!$1:$998,COLUMN(I$1),FALSE)+IFERROR(VLOOKUP($CI179,付与!$1:$1167,COLUMN(K$1),FALSE),0))*VLOOKUP($D179,素材!$1:$1016,COLUMN($E$1),FALSE),0),"")</f>
        <v/>
      </c>
      <c r="L179" t="str">
        <f>IFERROR(VLOOKUP($D179,素材!$1:$1016,COLUMN($F$1),FALSE),"")</f>
        <v/>
      </c>
      <c r="M179" t="str">
        <f>IFERROR(VLOOKUP($C179,装備品!$1:$998,COLUMN(AA$1),FALSE)*VLOOKUP($D179,素材!$1:$1016,COLUMN($G$1),FALSE),"")</f>
        <v/>
      </c>
      <c r="N179">
        <f>IFERROR(VLOOKUP($C179,装備品!$1:$998,COLUMN(I$1),FALSE),"")</f>
        <v>0</v>
      </c>
      <c r="O179" s="23" t="str">
        <f>IFERROR((VLOOKUP($C179,装備品!$1:$998,COLUMN(K$1),FALSE)+VLOOKUP($D179,素材!$1:$1016,COLUMN(H$1),FALSE))*100+IFERROR(VLOOKUP($CI179,付与!$1:$1167,COLUMN(O$1),FALSE),0),"")</f>
        <v/>
      </c>
      <c r="P179" s="23" t="str">
        <f>IFERROR((VLOOKUP($C179,装備品!$1:$998,COLUMN(L$1),FALSE)+VLOOKUP($D179,素材!$1:$1016,COLUMN(I$1),FALSE))*100+IFERROR(VLOOKUP($CI179,付与!$1:$1167,COLUMN(P$1),FALSE),0),"")</f>
        <v/>
      </c>
      <c r="Q179" t="str">
        <f>IFERROR(ROUNDUP(VLOOKUP($C179,装備品!$1:$998,COLUMN(M$1),FALSE)*(VLOOKUP($D179,素材!$1:$1002,COLUMN(D$1),FALSE)/100),1),"")</f>
        <v/>
      </c>
      <c r="R179" t="str">
        <f>IFERROR(ROUNDUP(VLOOKUP($C179,装備品!$1:$998,COLUMN(N$1),FALSE)*(VLOOKUP($D179,素材!$1:$1002,COLUMN(D$1),FALSE)/100),1),"")</f>
        <v/>
      </c>
      <c r="S179">
        <f>IFERROR(VLOOKUP($C179,装備品!$1:$998,COLUMN(P$1),FALSE),"")</f>
        <v>0</v>
      </c>
      <c r="T179">
        <f>IFERROR(VLOOKUP($C179,装備品!$1:$998,COLUMN(Q$1),FALSE),"")</f>
        <v>0</v>
      </c>
      <c r="U179">
        <f>IFERROR(VLOOKUP($C179,装備品!$1:$998,COLUMN(R$1),FALSE),"")</f>
        <v>0</v>
      </c>
      <c r="V179">
        <f>IFERROR(VLOOKUP($C179,装備品!$1:$998,COLUMN(Q$1),FALSE),"")</f>
        <v>0</v>
      </c>
      <c r="W179">
        <f>IFERROR(VLOOKUP($C179,装備品!$1:$998,COLUMN(T$1),FALSE),"")</f>
        <v>0</v>
      </c>
      <c r="Y179">
        <f>IFERROR(VLOOKUP($C179,装備品!$1:$998,COLUMN(U$1),FALSE),"")</f>
        <v>0</v>
      </c>
      <c r="Z179" t="str">
        <f>IFERROR(ROUNDUP(VLOOKUP($C179,装備品!$1:$998,COLUMN(O$1),FALSE)*VLOOKUP($D179,素材!$1:$1016,COLUMN(E$1),FALSE),1),"")</f>
        <v/>
      </c>
      <c r="AA179">
        <f>IF(ISNUMBER(SEARCH(SUBSTITUTE(AA$1,RIGHT(AA$1,2),""),VLOOKUP($D179,素材!$1:$1016,COLUMN($F$1),FALSE))),VLOOKUP($C179,装備品!$1:$998,COLUMN($O$1),FALSE)*VLOOKUP($D179,素材!$1:$1016,COLUMN($E$1),FALSE)/(LEN(VLOOKUP($D179,素材!$1:$1016,COLUMN($F$1),FALSE))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B179">
        <f>IF(ISNUMBER(SEARCH(SUBSTITUTE(AB$1,RIGHT(AB$1,2),""),VLOOKUP($D179,素材!$1:$1016,COLUMN($F$1),FALSE))),VLOOKUP($C179,装備品!$1:$998,COLUMN($O$1),FALSE)*VLOOKUP($D179,素材!$1:$1016,COLUMN($E$1),FALSE)/(LEN(VLOOKUP($D179,素材!$1:$1016,COLUMN($F$1),FALSE))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C179">
        <f>IF(ISNUMBER(SEARCH(SUBSTITUTE(AC$1,RIGHT(AC$1,2),""),VLOOKUP($D179,素材!$1:$1016,COLUMN($F$1),FALSE))),VLOOKUP($C179,装備品!$1:$998,COLUMN($O$1),FALSE)*VLOOKUP($D179,素材!$1:$1016,COLUMN($E$1),FALSE)/(LEN(VLOOKUP($D179,素材!$1:$1016,COLUMN($F$1),FALSE))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D179">
        <f>IF(ISNUMBER(SEARCH(SUBSTITUTE(AD$1,RIGHT(AD$1,2),""),VLOOKUP($D179,素材!$1:$1016,COLUMN($F$1),FALSE))),VLOOKUP($C179,装備品!$1:$998,COLUMN($O$1),FALSE)*VLOOKUP($D179,素材!$1:$1016,COLUMN($E$1),FALSE)/(LEN(VLOOKUP($D179,素材!$1:$1016,COLUMN($F$1),FALSE))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E179">
        <f>IF(ISNUMBER(SEARCH(SUBSTITUTE(AE$1,RIGHT(AE$1,2),""),VLOOKUP($D179,素材!$1:$1016,COLUMN($F$1),FALSE))),VLOOKUP($C179,装備品!$1:$998,COLUMN($O$1),FALSE)*VLOOKUP($D179,素材!$1:$1016,COLUMN($E$1),FALSE)/(LEN(VLOOKUP($D179,素材!$1:$1016,COLUMN($F$1),FALSE))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F179">
        <f>IF(ISNUMBER(SEARCH(SUBSTITUTE(AF$1,RIGHT(AF$1,2),""),VLOOKUP($D179,素材!$1:$1016,COLUMN($F$1),FALSE))),VLOOKUP($C179,装備品!$1:$998,COLUMN($O$1),FALSE)*VLOOKUP($D179,素材!$1:$1016,COLUMN($E$1),FALSE)/(LEN(VLOOKUP($D179,素材!$1:$1016,COLUMN($F$1),FALSE))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G179">
        <f>IF(ISNUMBER(SEARCH(SUBSTITUTE(AG$1,RIGHT(AG$1,2),""),VLOOKUP($D179,素材!$1:$1016,COLUMN($F$1),FALSE))),VLOOKUP($C179,装備品!$1:$998,COLUMN($O$1),FALSE)*VLOOKUP($D179,素材!$1:$1016,COLUMN($E$1),FALSE)/(LEN(VLOOKUP($D179,素材!$1:$1016,COLUMN($F$1),FALSE))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H179">
        <f>IF(ISNUMBER(SEARCH(SUBSTITUTE(AH$1,RIGHT(AH$1,2),""),VLOOKUP($D179,素材!$1:$1016,COLUMN($F$1),FALSE))),VLOOKUP($C179,装備品!$1:$998,COLUMN($O$1),FALSE)*VLOOKUP($D179,素材!$1:$1016,COLUMN($E$1),FALSE)/(LEN(VLOOKUP($D179,素材!$1:$1016,COLUMN($F$1),FALSE))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I179">
        <f>IF(ISNUMBER(SEARCH(SUBSTITUTE(AI$1,RIGHT(AI$1,2),""),VLOOKUP($D179,素材!$1:$1016,COLUMN($F$1),FALSE))),VLOOKUP($C179,装備品!$1:$998,COLUMN($O$1),FALSE)*VLOOKUP($D179,素材!$1:$1016,COLUMN($E$1),FALSE)/(LEN(VLOOKUP($D179,素材!$1:$1016,COLUMN($F$1),FALSE))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J179">
        <f>IF(ISNUMBER(SEARCH(SUBSTITUTE(AJ$1,RIGHT(AJ$1,2),""),VLOOKUP($D179,素材!$1:$1016,COLUMN($F$1),FALSE))),VLOOKUP($C179,装備品!$1:$998,COLUMN($O$1),FALSE)*VLOOKUP($D179,素材!$1:$1016,COLUMN($E$1),FALSE)/(LEN(VLOOKUP($D179,素材!$1:$1016,COLUMN($F$1),FALSE))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K179">
        <f>IF(ISNUMBER(SEARCH(SUBSTITUTE(AK$1,RIGHT(AK$1,2),""),VLOOKUP($D179,素材!$1:$1016,COLUMN($F$1),FALSE))),VLOOKUP($C179,装備品!$1:$998,COLUMN($O$1),FALSE)*VLOOKUP($D179,素材!$1:$1016,COLUMN($E$1),FALSE)/(LEN(VLOOKUP($D179,素材!$1:$1016,COLUMN($F$1),FALSE))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L179">
        <f>IF(ISNUMBER(SEARCH(SUBSTITUTE(AL$1,RIGHT(AL$1,2),""),VLOOKUP($D179,素材!$1:$1016,COLUMN($F$1),FALSE))),VLOOKUP($C179,装備品!$1:$998,COLUMN($O$1),FALSE)*VLOOKUP($D179,素材!$1:$1016,COLUMN($E$1),FALSE)/(LEN(VLOOKUP($D179,素材!$1:$1016,COLUMN($F$1),FALSE))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M179">
        <f>IF(ISNUMBER(SEARCH(SUBSTITUTE(AM$1,RIGHT(AM$1,2),""),VLOOKUP($D179,素材!$1:$1016,COLUMN($F$1),FALSE))),VLOOKUP($C179,装備品!$1:$998,COLUMN($O$1),FALSE)*VLOOKUP($D179,素材!$1:$1016,COLUMN($E$1),FALSE)/(LEN(VLOOKUP($D179,素材!$1:$1016,COLUMN($F$1),FALSE))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N179">
        <f>IF(ISNUMBER(SEARCH(SUBSTITUTE(AN$1,RIGHT(AN$1,2),""),VLOOKUP($D179,素材!$1:$1016,COLUMN($F$1),FALSE))),VLOOKUP($C179,装備品!$1:$998,COLUMN($O$1),FALSE)*VLOOKUP($D179,素材!$1:$1016,COLUMN($E$1),FALSE)/(LEN(VLOOKUP($D179,素材!$1:$1016,COLUMN($F$1),FALSE))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O179">
        <f>IF(ISNUMBER(SEARCH(SUBSTITUTE(AO$1,RIGHT(AO$1,2),""),VLOOKUP($D179,素材!$1:$1016,COLUMN($F$1),FALSE))),VLOOKUP($C179,装備品!$1:$998,COLUMN($O$1),FALSE)*VLOOKUP($D179,素材!$1:$1016,COLUMN($E$1),FALSE)/(LEN(VLOOKUP($D179,素材!$1:$1016,COLUMN($F$1),FALSE))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P179">
        <f>IF(ISNUMBER(SEARCH(SUBSTITUTE(AP$1,RIGHT(AP$1,2),""),VLOOKUP($D179,素材!$1:$1016,COLUMN($F$1),FALSE))),VLOOKUP($C179,装備品!$1:$998,COLUMN($O$1),FALSE)*VLOOKUP($D179,素材!$1:$1016,COLUMN($E$1),FALSE)/(LEN(VLOOKUP($D179,素材!$1:$1016,COLUMN($F$1),FALSE))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Q179">
        <f>IF(ISNUMBER(SEARCH(SUBSTITUTE(AQ$1,RIGHT(AQ$1,2),""),VLOOKUP($D179,素材!$1:$1016,COLUMN($F$1),FALSE))),VLOOKUP($C179,装備品!$1:$998,COLUMN($O$1),FALSE)*VLOOKUP($D179,素材!$1:$1016,COLUMN($E$1),FALSE)/(LEN(VLOOKUP($D179,素材!$1:$1016,COLUMN($F$1),FALSE))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R179">
        <f>IF(ISNUMBER(SEARCH(SUBSTITUTE(AR$1,RIGHT(AR$1,2),""),VLOOKUP($D179,素材!$1:$1016,COLUMN($F$1),FALSE))),VLOOKUP($C179,装備品!$1:$998,COLUMN($O$1),FALSE)*VLOOKUP($D179,素材!$1:$1016,COLUMN($E$1),FALSE)/(LEN(VLOOKUP($D179,素材!$1:$1016,COLUMN($F$1),FALSE))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S179">
        <f>IF(ISNUMBER(SEARCH(SUBSTITUTE(AS$1,RIGHT(AS$1,2),""),VLOOKUP($D179,素材!$1:$1016,COLUMN($F$1),FALSE))),VLOOKUP($C179,装備品!$1:$998,COLUMN($O$1),FALSE)*VLOOKUP($D179,素材!$1:$1016,COLUMN($E$1),FALSE)/(LEN(VLOOKUP($D179,素材!$1:$1016,COLUMN($F$1),FALSE))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T179">
        <f>IF(ISNUMBER(SEARCH(SUBSTITUTE(AT$1,RIGHT(AT$1,2),""),VLOOKUP($D179,素材!$1:$1016,COLUMN($F$1),FALSE))),VLOOKUP($C179,装備品!$1:$998,COLUMN($O$1),FALSE)*VLOOKUP($D179,素材!$1:$1016,COLUMN($E$1),FALSE)/(LEN(VLOOKUP($D179,素材!$1:$1016,COLUMN($F$1),FALSE))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U179">
        <f>IF(ISNUMBER(SEARCH(SUBSTITUTE(AU$1,RIGHT(AU$1,2),""),VLOOKUP($D179,素材!$1:$1016,COLUMN($F$1),FALSE))),VLOOKUP($C179,装備品!$1:$998,COLUMN($O$1),FALSE)*VLOOKUP($D179,素材!$1:$1016,COLUMN($E$1),FALSE)/(LEN(VLOOKUP($D179,素材!$1:$1016,COLUMN($F$1),FALSE))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V179">
        <f>IF(ISNUMBER(SEARCH(SUBSTITUTE(AV$1,RIGHT(AV$1,2),""),VLOOKUP($D179,素材!$1:$1016,COLUMN($F$1),FALSE))),VLOOKUP($C179,装備品!$1:$998,COLUMN($O$1),FALSE)*VLOOKUP($D179,素材!$1:$1016,COLUMN($E$1),FALSE)/(LEN(VLOOKUP($D179,素材!$1:$1016,COLUMN($F$1),FALSE))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W179">
        <f>IF(ISNUMBER(SEARCH(SUBSTITUTE(AW$1,RIGHT(AW$1,2),""),VLOOKUP($D179,素材!$1:$1016,COLUMN($F$1),FALSE))),VLOOKUP($C179,装備品!$1:$998,COLUMN($O$1),FALSE)*VLOOKUP($D179,素材!$1:$1016,COLUMN($E$1),FALSE)/(LEN(VLOOKUP($D179,素材!$1:$1016,COLUMN($F$1),FALSE))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X179">
        <f>IF(ISNUMBER(SEARCH(SUBSTITUTE(AX$1,RIGHT(AX$1,2),""),VLOOKUP($D179,素材!$1:$1016,COLUMN($F$1),FALSE))),VLOOKUP($C179,装備品!$1:$998,COLUMN($O$1),FALSE)*VLOOKUP($D179,素材!$1:$1016,COLUMN($E$1),FALSE)/(LEN(VLOOKUP($D179,素材!$1:$1016,COLUMN($F$1),FALSE))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Y179">
        <f>IF(ISNUMBER(SEARCH(SUBSTITUTE(AY$1,RIGHT(AY$1,2),""),VLOOKUP($D179,素材!$1:$1016,COLUMN($F$1),FALSE))),VLOOKUP($C179,装備品!$1:$998,COLUMN($O$1),FALSE)*VLOOKUP($D179,素材!$1:$1016,COLUMN($E$1),FALSE)/(LEN(VLOOKUP($D179,素材!$1:$1016,COLUMN($F$1),FALSE))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Z179">
        <f>IF(ISNUMBER(SEARCH(SUBSTITUTE(AZ$1,RIGHT(AZ$1,2),""),VLOOKUP($D179,素材!$1:$1016,COLUMN($F$1),FALSE))),VLOOKUP($C179,装備品!$1:$998,COLUMN($O$1),FALSE)*VLOOKUP($D179,素材!$1:$1016,COLUMN($E$1),FALSE)/(LEN(VLOOKUP($D179,素材!$1:$1016,COLUMN($F$1),FALSE))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BA179">
        <f>IF(ISNUMBER(SEARCH(SUBSTITUTE(BA$1,RIGHT(BA$1,2),""),VLOOKUP($D179,素材!$1:$1016,COLUMN($F$1),FALSE))),VLOOKUP($C179,装備品!$1:$998,COLUMN($O$1),FALSE)*VLOOKUP($D179,素材!$1:$1016,COLUMN($E$1),FALSE)/(LEN(VLOOKUP($D179,素材!$1:$1016,COLUMN($F$1),FALSE))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BB179">
        <f>IF(ISNUMBER(SEARCH(SUBSTITUTE(BB$1,RIGHT(BB$1,2),""),VLOOKUP($D179,素材!$1:$1016,COLUMN($F$1),FALSE))),VLOOKUP($C179,装備品!$1:$998,COLUMN($O$1),FALSE)*VLOOKUP($D179,素材!$1:$1016,COLUMN($E$1),FALSE)/(LEN(VLOOKUP($D179,素材!$1:$1016,COLUMN($F$1),FALSE))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BC179">
        <f>IF(ISNUMBER(SEARCH(SUBSTITUTE(BC$1,RIGHT(BC$1,2),""),VLOOKUP($D179,素材!$1:$1016,COLUMN($F$1),FALSE))),VLOOKUP($C179,装備品!$1:$998,COLUMN($O$1),FALSE)*VLOOKUP($D179,素材!$1:$1016,COLUMN($E$1),FALSE)/(LEN(VLOOKUP($D179,素材!$1:$1016,COLUMN($F$1),FALSE))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BD179">
        <f>IF(ISNUMBER(SEARCH(SUBSTITUTE(BD$1,RIGHT(BD$1,2),""),VLOOKUP($D179,素材!$1:$1016,COLUMN($F$1),FALSE))),VLOOKUP($C179,装備品!$1:$998,COLUMN($O$1),FALSE)*VLOOKUP($D179,素材!$1:$1016,COLUMN($E$1),FALSE)/(LEN(VLOOKUP($D179,素材!$1:$1016,COLUMN($F$1),FALSE))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BE179">
        <f>IF(ISNUMBER(SEARCH(SUBSTITUTE(BE$1,RIGHT(BE$1,2),""),VLOOKUP($D179,素材!$1:$1016,COLUMN($F$1),FALSE))),VLOOKUP($C179,装備品!$1:$998,COLUMN($O$1),FALSE)*VLOOKUP($D179,素材!$1:$1016,COLUMN($E$1),FALSE)/(LEN(VLOOKUP($D179,素材!$1:$1016,COLUMN($F$1),FALSE))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CL179">
        <f t="shared" si="19"/>
        <v>0</v>
      </c>
      <c r="CM179" s="22" t="str">
        <f t="shared" si="20"/>
        <v>盾.webp</v>
      </c>
      <c r="CN179" t="str">
        <f>IFERROR(VLOOKUP($C179,装備品!$1:$998,COLUMN(V$1),FALSE)*VLOOKUP($D179,素材!$1:$1016,COLUMN(N$1),FALSE)+IF(CI179="",0,VLOOKUP($CI179,付与!$1:$1176,COLUMN($CK$1),FALSE)),"")</f>
        <v/>
      </c>
      <c r="CO179" t="e">
        <f>VLOOKUP(D179,素材!$A:$O,COLUMN(素材!O$1),FALSE)</f>
        <v>#N/A</v>
      </c>
      <c r="CP179" t="str">
        <f>VLOOKUP(C179,装備品!$A:$AB,COLUMN(装備品!AB$1),FALSE)</f>
        <v>盾。防御力が高く、汎用性がある防具。</v>
      </c>
      <c r="CR179" t="str">
        <f t="shared" si="24"/>
        <v>e_179</v>
      </c>
      <c r="CS179" t="e">
        <f t="shared" si="28"/>
        <v>#VALUE!</v>
      </c>
    </row>
    <row r="180" spans="1:97" outlineLevel="1" x14ac:dyDescent="0.4">
      <c r="A180" t="str">
        <f t="shared" si="33"/>
        <v>黒鋼鉄の丸大盾</v>
      </c>
      <c r="B180" t="str">
        <f>IFERROR(VLOOKUP($D180,素材!$1:$1016,COLUMN($B$1),FALSE)&amp;"・"&amp;VLOOKUP($C180,装備品!$1:$998,COLUMN(B$1),FALSE),"")</f>
        <v/>
      </c>
      <c r="C180" t="s">
        <v>219</v>
      </c>
      <c r="D180" s="24" t="s">
        <v>243</v>
      </c>
      <c r="E180" t="str">
        <f>IFERROR(VLOOKUP(C180,装備品!$1:$998,COLUMN(C$1),FALSE),"")</f>
        <v>盾</v>
      </c>
      <c r="F180" t="str">
        <f>IFERROR(ROUNDDOWN((VLOOKUP($C180,装備品!$1:$998,COLUMN(D$1),FALSE)+IFERROR(VLOOKUP($CI180,付与!$1:$1167,COLUMN(F$1),FALSE),0))*VLOOKUP($D180,素材!$1:$1016,COLUMN(D$1),FALSE),0),"")</f>
        <v/>
      </c>
      <c r="G180" t="str">
        <f>IFERROR(ROUNDDOWN((VLOOKUP($C180,装備品!$1:$998,COLUMN(E$1),FALSE)+IFERROR(VLOOKUP($CI180,付与!$1:$1167,COLUMN(G$1),FALSE),0))*VLOOKUP($D180,素材!$1:$1016,COLUMN($E$1),FALSE),0),"")</f>
        <v/>
      </c>
      <c r="H180" t="str">
        <f>IFERROR(ROUNDDOWN((VLOOKUP($C180,装備品!$1:$998,COLUMN(F$1),FALSE)+IFERROR(VLOOKUP($CI180,付与!$1:$1167,COLUMN(H$1),FALSE),0))*VLOOKUP($D180,素材!$1:$1016,COLUMN($E$1),FALSE),0),"")</f>
        <v/>
      </c>
      <c r="I180" t="str">
        <f>IFERROR(ROUNDDOWN((VLOOKUP($C180,装備品!$1:$998,COLUMN(G$1),FALSE)+IFERROR(VLOOKUP($CI180,付与!$1:$1167,COLUMN(I$1),FALSE),0))*VLOOKUP($D180,素材!$1:$1016,COLUMN($E$1),FALSE),0),"")</f>
        <v/>
      </c>
      <c r="J180" t="str">
        <f>IFERROR(ROUNDDOWN((VLOOKUP($C180,装備品!$1:$998,COLUMN(H$1),FALSE)+IFERROR(VLOOKUP($CI180,付与!$1:$1167,COLUMN(J$1),FALSE),0))*VLOOKUP($D180,素材!$1:$1016,COLUMN($E$1),FALSE),0),"")</f>
        <v/>
      </c>
      <c r="K180" t="str">
        <f>IFERROR(ROUNDDOWN((VLOOKUP($C180,装備品!$1:$998,COLUMN(I$1),FALSE)+IFERROR(VLOOKUP($CI180,付与!$1:$1167,COLUMN(K$1),FALSE),0))*VLOOKUP($D180,素材!$1:$1016,COLUMN($E$1),FALSE),0),"")</f>
        <v/>
      </c>
      <c r="L180" t="str">
        <f>IFERROR(VLOOKUP($D180,素材!$1:$1016,COLUMN($F$1),FALSE),"")</f>
        <v/>
      </c>
      <c r="M180" t="str">
        <f>IFERROR(VLOOKUP($C180,装備品!$1:$998,COLUMN(AA$1),FALSE)*VLOOKUP($D180,素材!$1:$1016,COLUMN($G$1),FALSE),"")</f>
        <v/>
      </c>
      <c r="N180">
        <f>IFERROR(VLOOKUP($C180,装備品!$1:$998,COLUMN(I$1),FALSE),"")</f>
        <v>0</v>
      </c>
      <c r="O180" s="23" t="str">
        <f>IFERROR((VLOOKUP($C180,装備品!$1:$998,COLUMN(K$1),FALSE)+VLOOKUP($D180,素材!$1:$1016,COLUMN(H$1),FALSE))*100+IFERROR(VLOOKUP($CI180,付与!$1:$1167,COLUMN(O$1),FALSE),0),"")</f>
        <v/>
      </c>
      <c r="P180" s="23" t="str">
        <f>IFERROR((VLOOKUP($C180,装備品!$1:$998,COLUMN(L$1),FALSE)+VLOOKUP($D180,素材!$1:$1016,COLUMN(I$1),FALSE))*100+IFERROR(VLOOKUP($CI180,付与!$1:$1167,COLUMN(P$1),FALSE),0),"")</f>
        <v/>
      </c>
      <c r="Q180" t="str">
        <f>IFERROR(ROUNDUP(VLOOKUP($C180,装備品!$1:$998,COLUMN(M$1),FALSE)*(VLOOKUP($D180,素材!$1:$1002,COLUMN(D$1),FALSE)/100),1),"")</f>
        <v/>
      </c>
      <c r="R180" t="str">
        <f>IFERROR(ROUNDUP(VLOOKUP($C180,装備品!$1:$998,COLUMN(N$1),FALSE)*(VLOOKUP($D180,素材!$1:$1002,COLUMN(D$1),FALSE)/100),1),"")</f>
        <v/>
      </c>
      <c r="S180">
        <f>IFERROR(VLOOKUP($C180,装備品!$1:$998,COLUMN(P$1),FALSE),"")</f>
        <v>0</v>
      </c>
      <c r="T180">
        <f>IFERROR(VLOOKUP($C180,装備品!$1:$998,COLUMN(Q$1),FALSE),"")</f>
        <v>0</v>
      </c>
      <c r="U180">
        <f>IFERROR(VLOOKUP($C180,装備品!$1:$998,COLUMN(R$1),FALSE),"")</f>
        <v>0</v>
      </c>
      <c r="V180">
        <f>IFERROR(VLOOKUP($C180,装備品!$1:$998,COLUMN(Q$1),FALSE),"")</f>
        <v>0</v>
      </c>
      <c r="W180">
        <f>IFERROR(VLOOKUP($C180,装備品!$1:$998,COLUMN(T$1),FALSE),"")</f>
        <v>0</v>
      </c>
      <c r="Y180">
        <f>IFERROR(VLOOKUP($C180,装備品!$1:$998,COLUMN(U$1),FALSE),"")</f>
        <v>0</v>
      </c>
      <c r="Z180" t="str">
        <f>IFERROR(ROUNDUP(VLOOKUP($C180,装備品!$1:$998,COLUMN(O$1),FALSE)*VLOOKUP($D180,素材!$1:$1016,COLUMN(E$1),FALSE),1),"")</f>
        <v/>
      </c>
      <c r="AA180">
        <f>IF(ISNUMBER(SEARCH(SUBSTITUTE(AA$1,RIGHT(AA$1,2),""),VLOOKUP($D180,素材!$1:$1016,COLUMN($F$1),FALSE))),VLOOKUP($C180,装備品!$1:$998,COLUMN($O$1),FALSE)*VLOOKUP($D180,素材!$1:$1016,COLUMN($E$1),FALSE)/(LEN(VLOOKUP($D180,素材!$1:$1016,COLUMN($F$1),FALSE))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B180">
        <f>IF(ISNUMBER(SEARCH(SUBSTITUTE(AB$1,RIGHT(AB$1,2),""),VLOOKUP($D180,素材!$1:$1016,COLUMN($F$1),FALSE))),VLOOKUP($C180,装備品!$1:$998,COLUMN($O$1),FALSE)*VLOOKUP($D180,素材!$1:$1016,COLUMN($E$1),FALSE)/(LEN(VLOOKUP($D180,素材!$1:$1016,COLUMN($F$1),FALSE))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C180">
        <f>IF(ISNUMBER(SEARCH(SUBSTITUTE(AC$1,RIGHT(AC$1,2),""),VLOOKUP($D180,素材!$1:$1016,COLUMN($F$1),FALSE))),VLOOKUP($C180,装備品!$1:$998,COLUMN($O$1),FALSE)*VLOOKUP($D180,素材!$1:$1016,COLUMN($E$1),FALSE)/(LEN(VLOOKUP($D180,素材!$1:$1016,COLUMN($F$1),FALSE))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D180">
        <f>IF(ISNUMBER(SEARCH(SUBSTITUTE(AD$1,RIGHT(AD$1,2),""),VLOOKUP($D180,素材!$1:$1016,COLUMN($F$1),FALSE))),VLOOKUP($C180,装備品!$1:$998,COLUMN($O$1),FALSE)*VLOOKUP($D180,素材!$1:$1016,COLUMN($E$1),FALSE)/(LEN(VLOOKUP($D180,素材!$1:$1016,COLUMN($F$1),FALSE))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E180">
        <f>IF(ISNUMBER(SEARCH(SUBSTITUTE(AE$1,RIGHT(AE$1,2),""),VLOOKUP($D180,素材!$1:$1016,COLUMN($F$1),FALSE))),VLOOKUP($C180,装備品!$1:$998,COLUMN($O$1),FALSE)*VLOOKUP($D180,素材!$1:$1016,COLUMN($E$1),FALSE)/(LEN(VLOOKUP($D180,素材!$1:$1016,COLUMN($F$1),FALSE))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F180">
        <f>IF(ISNUMBER(SEARCH(SUBSTITUTE(AF$1,RIGHT(AF$1,2),""),VLOOKUP($D180,素材!$1:$1016,COLUMN($F$1),FALSE))),VLOOKUP($C180,装備品!$1:$998,COLUMN($O$1),FALSE)*VLOOKUP($D180,素材!$1:$1016,COLUMN($E$1),FALSE)/(LEN(VLOOKUP($D180,素材!$1:$1016,COLUMN($F$1),FALSE))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G180">
        <f>IF(ISNUMBER(SEARCH(SUBSTITUTE(AG$1,RIGHT(AG$1,2),""),VLOOKUP($D180,素材!$1:$1016,COLUMN($F$1),FALSE))),VLOOKUP($C180,装備品!$1:$998,COLUMN($O$1),FALSE)*VLOOKUP($D180,素材!$1:$1016,COLUMN($E$1),FALSE)/(LEN(VLOOKUP($D180,素材!$1:$1016,COLUMN($F$1),FALSE))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H180">
        <f>IF(ISNUMBER(SEARCH(SUBSTITUTE(AH$1,RIGHT(AH$1,2),""),VLOOKUP($D180,素材!$1:$1016,COLUMN($F$1),FALSE))),VLOOKUP($C180,装備品!$1:$998,COLUMN($O$1),FALSE)*VLOOKUP($D180,素材!$1:$1016,COLUMN($E$1),FALSE)/(LEN(VLOOKUP($D180,素材!$1:$1016,COLUMN($F$1),FALSE))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I180">
        <f>IF(ISNUMBER(SEARCH(SUBSTITUTE(AI$1,RIGHT(AI$1,2),""),VLOOKUP($D180,素材!$1:$1016,COLUMN($F$1),FALSE))),VLOOKUP($C180,装備品!$1:$998,COLUMN($O$1),FALSE)*VLOOKUP($D180,素材!$1:$1016,COLUMN($E$1),FALSE)/(LEN(VLOOKUP($D180,素材!$1:$1016,COLUMN($F$1),FALSE))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J180">
        <f>IF(ISNUMBER(SEARCH(SUBSTITUTE(AJ$1,RIGHT(AJ$1,2),""),VLOOKUP($D180,素材!$1:$1016,COLUMN($F$1),FALSE))),VLOOKUP($C180,装備品!$1:$998,COLUMN($O$1),FALSE)*VLOOKUP($D180,素材!$1:$1016,COLUMN($E$1),FALSE)/(LEN(VLOOKUP($D180,素材!$1:$1016,COLUMN($F$1),FALSE))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K180">
        <f>IF(ISNUMBER(SEARCH(SUBSTITUTE(AK$1,RIGHT(AK$1,2),""),VLOOKUP($D180,素材!$1:$1016,COLUMN($F$1),FALSE))),VLOOKUP($C180,装備品!$1:$998,COLUMN($O$1),FALSE)*VLOOKUP($D180,素材!$1:$1016,COLUMN($E$1),FALSE)/(LEN(VLOOKUP($D180,素材!$1:$1016,COLUMN($F$1),FALSE))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L180">
        <f>IF(ISNUMBER(SEARCH(SUBSTITUTE(AL$1,RIGHT(AL$1,2),""),VLOOKUP($D180,素材!$1:$1016,COLUMN($F$1),FALSE))),VLOOKUP($C180,装備品!$1:$998,COLUMN($O$1),FALSE)*VLOOKUP($D180,素材!$1:$1016,COLUMN($E$1),FALSE)/(LEN(VLOOKUP($D180,素材!$1:$1016,COLUMN($F$1),FALSE))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M180">
        <f>IF(ISNUMBER(SEARCH(SUBSTITUTE(AM$1,RIGHT(AM$1,2),""),VLOOKUP($D180,素材!$1:$1016,COLUMN($F$1),FALSE))),VLOOKUP($C180,装備品!$1:$998,COLUMN($O$1),FALSE)*VLOOKUP($D180,素材!$1:$1016,COLUMN($E$1),FALSE)/(LEN(VLOOKUP($D180,素材!$1:$1016,COLUMN($F$1),FALSE))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N180">
        <f>IF(ISNUMBER(SEARCH(SUBSTITUTE(AN$1,RIGHT(AN$1,2),""),VLOOKUP($D180,素材!$1:$1016,COLUMN($F$1),FALSE))),VLOOKUP($C180,装備品!$1:$998,COLUMN($O$1),FALSE)*VLOOKUP($D180,素材!$1:$1016,COLUMN($E$1),FALSE)/(LEN(VLOOKUP($D180,素材!$1:$1016,COLUMN($F$1),FALSE))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O180">
        <f>IF(ISNUMBER(SEARCH(SUBSTITUTE(AO$1,RIGHT(AO$1,2),""),VLOOKUP($D180,素材!$1:$1016,COLUMN($F$1),FALSE))),VLOOKUP($C180,装備品!$1:$998,COLUMN($O$1),FALSE)*VLOOKUP($D180,素材!$1:$1016,COLUMN($E$1),FALSE)/(LEN(VLOOKUP($D180,素材!$1:$1016,COLUMN($F$1),FALSE))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P180">
        <f>IF(ISNUMBER(SEARCH(SUBSTITUTE(AP$1,RIGHT(AP$1,2),""),VLOOKUP($D180,素材!$1:$1016,COLUMN($F$1),FALSE))),VLOOKUP($C180,装備品!$1:$998,COLUMN($O$1),FALSE)*VLOOKUP($D180,素材!$1:$1016,COLUMN($E$1),FALSE)/(LEN(VLOOKUP($D180,素材!$1:$1016,COLUMN($F$1),FALSE))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Q180">
        <f>IF(ISNUMBER(SEARCH(SUBSTITUTE(AQ$1,RIGHT(AQ$1,2),""),VLOOKUP($D180,素材!$1:$1016,COLUMN($F$1),FALSE))),VLOOKUP($C180,装備品!$1:$998,COLUMN($O$1),FALSE)*VLOOKUP($D180,素材!$1:$1016,COLUMN($E$1),FALSE)/(LEN(VLOOKUP($D180,素材!$1:$1016,COLUMN($F$1),FALSE))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R180">
        <f>IF(ISNUMBER(SEARCH(SUBSTITUTE(AR$1,RIGHT(AR$1,2),""),VLOOKUP($D180,素材!$1:$1016,COLUMN($F$1),FALSE))),VLOOKUP($C180,装備品!$1:$998,COLUMN($O$1),FALSE)*VLOOKUP($D180,素材!$1:$1016,COLUMN($E$1),FALSE)/(LEN(VLOOKUP($D180,素材!$1:$1016,COLUMN($F$1),FALSE))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S180">
        <f>IF(ISNUMBER(SEARCH(SUBSTITUTE(AS$1,RIGHT(AS$1,2),""),VLOOKUP($D180,素材!$1:$1016,COLUMN($F$1),FALSE))),VLOOKUP($C180,装備品!$1:$998,COLUMN($O$1),FALSE)*VLOOKUP($D180,素材!$1:$1016,COLUMN($E$1),FALSE)/(LEN(VLOOKUP($D180,素材!$1:$1016,COLUMN($F$1),FALSE))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T180">
        <f>IF(ISNUMBER(SEARCH(SUBSTITUTE(AT$1,RIGHT(AT$1,2),""),VLOOKUP($D180,素材!$1:$1016,COLUMN($F$1),FALSE))),VLOOKUP($C180,装備品!$1:$998,COLUMN($O$1),FALSE)*VLOOKUP($D180,素材!$1:$1016,COLUMN($E$1),FALSE)/(LEN(VLOOKUP($D180,素材!$1:$1016,COLUMN($F$1),FALSE))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U180">
        <f>IF(ISNUMBER(SEARCH(SUBSTITUTE(AU$1,RIGHT(AU$1,2),""),VLOOKUP($D180,素材!$1:$1016,COLUMN($F$1),FALSE))),VLOOKUP($C180,装備品!$1:$998,COLUMN($O$1),FALSE)*VLOOKUP($D180,素材!$1:$1016,COLUMN($E$1),FALSE)/(LEN(VLOOKUP($D180,素材!$1:$1016,COLUMN($F$1),FALSE))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V180">
        <f>IF(ISNUMBER(SEARCH(SUBSTITUTE(AV$1,RIGHT(AV$1,2),""),VLOOKUP($D180,素材!$1:$1016,COLUMN($F$1),FALSE))),VLOOKUP($C180,装備品!$1:$998,COLUMN($O$1),FALSE)*VLOOKUP($D180,素材!$1:$1016,COLUMN($E$1),FALSE)/(LEN(VLOOKUP($D180,素材!$1:$1016,COLUMN($F$1),FALSE))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W180">
        <f>IF(ISNUMBER(SEARCH(SUBSTITUTE(AW$1,RIGHT(AW$1,2),""),VLOOKUP($D180,素材!$1:$1016,COLUMN($F$1),FALSE))),VLOOKUP($C180,装備品!$1:$998,COLUMN($O$1),FALSE)*VLOOKUP($D180,素材!$1:$1016,COLUMN($E$1),FALSE)/(LEN(VLOOKUP($D180,素材!$1:$1016,COLUMN($F$1),FALSE))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X180">
        <f>IF(ISNUMBER(SEARCH(SUBSTITUTE(AX$1,RIGHT(AX$1,2),""),VLOOKUP($D180,素材!$1:$1016,COLUMN($F$1),FALSE))),VLOOKUP($C180,装備品!$1:$998,COLUMN($O$1),FALSE)*VLOOKUP($D180,素材!$1:$1016,COLUMN($E$1),FALSE)/(LEN(VLOOKUP($D180,素材!$1:$1016,COLUMN($F$1),FALSE))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Y180">
        <f>IF(ISNUMBER(SEARCH(SUBSTITUTE(AY$1,RIGHT(AY$1,2),""),VLOOKUP($D180,素材!$1:$1016,COLUMN($F$1),FALSE))),VLOOKUP($C180,装備品!$1:$998,COLUMN($O$1),FALSE)*VLOOKUP($D180,素材!$1:$1016,COLUMN($E$1),FALSE)/(LEN(VLOOKUP($D180,素材!$1:$1016,COLUMN($F$1),FALSE))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Z180">
        <f>IF(ISNUMBER(SEARCH(SUBSTITUTE(AZ$1,RIGHT(AZ$1,2),""),VLOOKUP($D180,素材!$1:$1016,COLUMN($F$1),FALSE))),VLOOKUP($C180,装備品!$1:$998,COLUMN($O$1),FALSE)*VLOOKUP($D180,素材!$1:$1016,COLUMN($E$1),FALSE)/(LEN(VLOOKUP($D180,素材!$1:$1016,COLUMN($F$1),FALSE))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BA180">
        <f>IF(ISNUMBER(SEARCH(SUBSTITUTE(BA$1,RIGHT(BA$1,2),""),VLOOKUP($D180,素材!$1:$1016,COLUMN($F$1),FALSE))),VLOOKUP($C180,装備品!$1:$998,COLUMN($O$1),FALSE)*VLOOKUP($D180,素材!$1:$1016,COLUMN($E$1),FALSE)/(LEN(VLOOKUP($D180,素材!$1:$1016,COLUMN($F$1),FALSE))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BB180">
        <f>IF(ISNUMBER(SEARCH(SUBSTITUTE(BB$1,RIGHT(BB$1,2),""),VLOOKUP($D180,素材!$1:$1016,COLUMN($F$1),FALSE))),VLOOKUP($C180,装備品!$1:$998,COLUMN($O$1),FALSE)*VLOOKUP($D180,素材!$1:$1016,COLUMN($E$1),FALSE)/(LEN(VLOOKUP($D180,素材!$1:$1016,COLUMN($F$1),FALSE))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BC180">
        <f>IF(ISNUMBER(SEARCH(SUBSTITUTE(BC$1,RIGHT(BC$1,2),""),VLOOKUP($D180,素材!$1:$1016,COLUMN($F$1),FALSE))),VLOOKUP($C180,装備品!$1:$998,COLUMN($O$1),FALSE)*VLOOKUP($D180,素材!$1:$1016,COLUMN($E$1),FALSE)/(LEN(VLOOKUP($D180,素材!$1:$1016,COLUMN($F$1),FALSE))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BD180">
        <f>IF(ISNUMBER(SEARCH(SUBSTITUTE(BD$1,RIGHT(BD$1,2),""),VLOOKUP($D180,素材!$1:$1016,COLUMN($F$1),FALSE))),VLOOKUP($C180,装備品!$1:$998,COLUMN($O$1),FALSE)*VLOOKUP($D180,素材!$1:$1016,COLUMN($E$1),FALSE)/(LEN(VLOOKUP($D180,素材!$1:$1016,COLUMN($F$1),FALSE))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BE180">
        <f>IF(ISNUMBER(SEARCH(SUBSTITUTE(BE$1,RIGHT(BE$1,2),""),VLOOKUP($D180,素材!$1:$1016,COLUMN($F$1),FALSE))),VLOOKUP($C180,装備品!$1:$998,COLUMN($O$1),FALSE)*VLOOKUP($D180,素材!$1:$1016,COLUMN($E$1),FALSE)/(LEN(VLOOKUP($D180,素材!$1:$1016,COLUMN($F$1),FALSE))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CL180">
        <f t="shared" si="19"/>
        <v>0</v>
      </c>
      <c r="CM180" s="22" t="str">
        <f t="shared" si="20"/>
        <v>盾.webp</v>
      </c>
      <c r="CN180" t="str">
        <f>IFERROR(VLOOKUP($C180,装備品!$1:$998,COLUMN(V$1),FALSE)*VLOOKUP($D180,素材!$1:$1016,COLUMN(N$1),FALSE)+IF(CI180="",0,VLOOKUP($CI180,付与!$1:$1176,COLUMN($CK$1),FALSE)),"")</f>
        <v/>
      </c>
      <c r="CO180" t="e">
        <f>VLOOKUP(D180,素材!$A:$O,COLUMN(素材!O$1),FALSE)</f>
        <v>#N/A</v>
      </c>
      <c r="CP180" t="str">
        <f>VLOOKUP(C180,装備品!$A:$AB,COLUMN(装備品!AB$1),FALSE)</f>
        <v>丸大盾。防御範囲が広く、投擲も可能。</v>
      </c>
      <c r="CR180" t="str">
        <f t="shared" si="24"/>
        <v>e_180</v>
      </c>
      <c r="CS180" t="e">
        <f t="shared" si="28"/>
        <v>#VALUE!</v>
      </c>
    </row>
    <row r="181" spans="1:97" outlineLevel="1" x14ac:dyDescent="0.4">
      <c r="A181" t="str">
        <f t="shared" si="33"/>
        <v>黒鋼鉄の大盾</v>
      </c>
      <c r="B181" t="str">
        <f>IFERROR(VLOOKUP($D181,素材!$1:$1016,COLUMN($B$1),FALSE)&amp;"・"&amp;VLOOKUP($C181,装備品!$1:$998,COLUMN(B$1),FALSE),"")</f>
        <v/>
      </c>
      <c r="C181" t="s">
        <v>218</v>
      </c>
      <c r="D181" s="24" t="s">
        <v>243</v>
      </c>
      <c r="E181" t="str">
        <f>IFERROR(VLOOKUP(C181,装備品!$1:$998,COLUMN(C$1),FALSE),"")</f>
        <v>盾</v>
      </c>
      <c r="F181" t="str">
        <f>IFERROR(ROUNDDOWN((VLOOKUP($C181,装備品!$1:$998,COLUMN(D$1),FALSE)+IFERROR(VLOOKUP($CI181,付与!$1:$1167,COLUMN(F$1),FALSE),0))*VLOOKUP($D181,素材!$1:$1016,COLUMN(D$1),FALSE),0),"")</f>
        <v/>
      </c>
      <c r="G181" t="str">
        <f>IFERROR(ROUNDDOWN((VLOOKUP($C181,装備品!$1:$998,COLUMN(E$1),FALSE)+IFERROR(VLOOKUP($CI181,付与!$1:$1167,COLUMN(G$1),FALSE),0))*VLOOKUP($D181,素材!$1:$1016,COLUMN($E$1),FALSE),0),"")</f>
        <v/>
      </c>
      <c r="H181" t="str">
        <f>IFERROR(ROUNDDOWN((VLOOKUP($C181,装備品!$1:$998,COLUMN(F$1),FALSE)+IFERROR(VLOOKUP($CI181,付与!$1:$1167,COLUMN(H$1),FALSE),0))*VLOOKUP($D181,素材!$1:$1016,COLUMN($E$1),FALSE),0),"")</f>
        <v/>
      </c>
      <c r="I181" t="str">
        <f>IFERROR(ROUNDDOWN((VLOOKUP($C181,装備品!$1:$998,COLUMN(G$1),FALSE)+IFERROR(VLOOKUP($CI181,付与!$1:$1167,COLUMN(I$1),FALSE),0))*VLOOKUP($D181,素材!$1:$1016,COLUMN($E$1),FALSE),0),"")</f>
        <v/>
      </c>
      <c r="J181" t="str">
        <f>IFERROR(ROUNDDOWN((VLOOKUP($C181,装備品!$1:$998,COLUMN(H$1),FALSE)+IFERROR(VLOOKUP($CI181,付与!$1:$1167,COLUMN(J$1),FALSE),0))*VLOOKUP($D181,素材!$1:$1016,COLUMN($E$1),FALSE),0),"")</f>
        <v/>
      </c>
      <c r="K181" t="str">
        <f>IFERROR(ROUNDDOWN((VLOOKUP($C181,装備品!$1:$998,COLUMN(I$1),FALSE)+IFERROR(VLOOKUP($CI181,付与!$1:$1167,COLUMN(K$1),FALSE),0))*VLOOKUP($D181,素材!$1:$1016,COLUMN($E$1),FALSE),0),"")</f>
        <v/>
      </c>
      <c r="L181" t="str">
        <f>IFERROR(VLOOKUP($D181,素材!$1:$1016,COLUMN($F$1),FALSE),"")</f>
        <v/>
      </c>
      <c r="M181" t="str">
        <f>IFERROR(VLOOKUP($C181,装備品!$1:$998,COLUMN(AA$1),FALSE)*VLOOKUP($D181,素材!$1:$1016,COLUMN($G$1),FALSE),"")</f>
        <v/>
      </c>
      <c r="N181">
        <f>IFERROR(VLOOKUP($C181,装備品!$1:$998,COLUMN(I$1),FALSE),"")</f>
        <v>0</v>
      </c>
      <c r="O181" s="23" t="str">
        <f>IFERROR((VLOOKUP($C181,装備品!$1:$998,COLUMN(K$1),FALSE)+VLOOKUP($D181,素材!$1:$1016,COLUMN(H$1),FALSE))*100+IFERROR(VLOOKUP($CI181,付与!$1:$1167,COLUMN(O$1),FALSE),0),"")</f>
        <v/>
      </c>
      <c r="P181" s="23" t="str">
        <f>IFERROR((VLOOKUP($C181,装備品!$1:$998,COLUMN(L$1),FALSE)+VLOOKUP($D181,素材!$1:$1016,COLUMN(I$1),FALSE))*100+IFERROR(VLOOKUP($CI181,付与!$1:$1167,COLUMN(P$1),FALSE),0),"")</f>
        <v/>
      </c>
      <c r="Q181" t="str">
        <f>IFERROR(ROUNDUP(VLOOKUP($C181,装備品!$1:$998,COLUMN(M$1),FALSE)*(VLOOKUP($D181,素材!$1:$1002,COLUMN(D$1),FALSE)/100),1),"")</f>
        <v/>
      </c>
      <c r="R181" t="str">
        <f>IFERROR(ROUNDUP(VLOOKUP($C181,装備品!$1:$998,COLUMN(N$1),FALSE)*(VLOOKUP($D181,素材!$1:$1002,COLUMN(D$1),FALSE)/100),1),"")</f>
        <v/>
      </c>
      <c r="S181">
        <f>IFERROR(VLOOKUP($C181,装備品!$1:$998,COLUMN(P$1),FALSE),"")</f>
        <v>0</v>
      </c>
      <c r="T181">
        <f>IFERROR(VLOOKUP($C181,装備品!$1:$998,COLUMN(Q$1),FALSE),"")</f>
        <v>0</v>
      </c>
      <c r="U181">
        <f>IFERROR(VLOOKUP($C181,装備品!$1:$998,COLUMN(R$1),FALSE),"")</f>
        <v>0</v>
      </c>
      <c r="V181">
        <f>IFERROR(VLOOKUP($C181,装備品!$1:$998,COLUMN(Q$1),FALSE),"")</f>
        <v>0</v>
      </c>
      <c r="W181">
        <f>IFERROR(VLOOKUP($C181,装備品!$1:$998,COLUMN(T$1),FALSE),"")</f>
        <v>0</v>
      </c>
      <c r="Y181">
        <f>IFERROR(VLOOKUP($C181,装備品!$1:$998,COLUMN(U$1),FALSE),"")</f>
        <v>0</v>
      </c>
      <c r="Z181" t="str">
        <f>IFERROR(ROUNDUP(VLOOKUP($C181,装備品!$1:$998,COLUMN(O$1),FALSE)*VLOOKUP($D181,素材!$1:$1016,COLUMN(E$1),FALSE),1),"")</f>
        <v/>
      </c>
      <c r="AA181">
        <f>IF(ISNUMBER(SEARCH(SUBSTITUTE(AA$1,RIGHT(AA$1,2),""),VLOOKUP($D181,素材!$1:$1016,COLUMN($F$1),FALSE))),VLOOKUP($C181,装備品!$1:$998,COLUMN($O$1),FALSE)*VLOOKUP($D181,素材!$1:$1016,COLUMN($E$1),FALSE)/(LEN(VLOOKUP($D181,素材!$1:$1016,COLUMN($F$1),FALSE))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B181">
        <f>IF(ISNUMBER(SEARCH(SUBSTITUTE(AB$1,RIGHT(AB$1,2),""),VLOOKUP($D181,素材!$1:$1016,COLUMN($F$1),FALSE))),VLOOKUP($C181,装備品!$1:$998,COLUMN($O$1),FALSE)*VLOOKUP($D181,素材!$1:$1016,COLUMN($E$1),FALSE)/(LEN(VLOOKUP($D181,素材!$1:$1016,COLUMN($F$1),FALSE))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C181">
        <f>IF(ISNUMBER(SEARCH(SUBSTITUTE(AC$1,RIGHT(AC$1,2),""),VLOOKUP($D181,素材!$1:$1016,COLUMN($F$1),FALSE))),VLOOKUP($C181,装備品!$1:$998,COLUMN($O$1),FALSE)*VLOOKUP($D181,素材!$1:$1016,COLUMN($E$1),FALSE)/(LEN(VLOOKUP($D181,素材!$1:$1016,COLUMN($F$1),FALSE))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D181">
        <f>IF(ISNUMBER(SEARCH(SUBSTITUTE(AD$1,RIGHT(AD$1,2),""),VLOOKUP($D181,素材!$1:$1016,COLUMN($F$1),FALSE))),VLOOKUP($C181,装備品!$1:$998,COLUMN($O$1),FALSE)*VLOOKUP($D181,素材!$1:$1016,COLUMN($E$1),FALSE)/(LEN(VLOOKUP($D181,素材!$1:$1016,COLUMN($F$1),FALSE))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E181">
        <f>IF(ISNUMBER(SEARCH(SUBSTITUTE(AE$1,RIGHT(AE$1,2),""),VLOOKUP($D181,素材!$1:$1016,COLUMN($F$1),FALSE))),VLOOKUP($C181,装備品!$1:$998,COLUMN($O$1),FALSE)*VLOOKUP($D181,素材!$1:$1016,COLUMN($E$1),FALSE)/(LEN(VLOOKUP($D181,素材!$1:$1016,COLUMN($F$1),FALSE))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F181">
        <f>IF(ISNUMBER(SEARCH(SUBSTITUTE(AF$1,RIGHT(AF$1,2),""),VLOOKUP($D181,素材!$1:$1016,COLUMN($F$1),FALSE))),VLOOKUP($C181,装備品!$1:$998,COLUMN($O$1),FALSE)*VLOOKUP($D181,素材!$1:$1016,COLUMN($E$1),FALSE)/(LEN(VLOOKUP($D181,素材!$1:$1016,COLUMN($F$1),FALSE))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G181">
        <f>IF(ISNUMBER(SEARCH(SUBSTITUTE(AG$1,RIGHT(AG$1,2),""),VLOOKUP($D181,素材!$1:$1016,COLUMN($F$1),FALSE))),VLOOKUP($C181,装備品!$1:$998,COLUMN($O$1),FALSE)*VLOOKUP($D181,素材!$1:$1016,COLUMN($E$1),FALSE)/(LEN(VLOOKUP($D181,素材!$1:$1016,COLUMN($F$1),FALSE))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H181">
        <f>IF(ISNUMBER(SEARCH(SUBSTITUTE(AH$1,RIGHT(AH$1,2),""),VLOOKUP($D181,素材!$1:$1016,COLUMN($F$1),FALSE))),VLOOKUP($C181,装備品!$1:$998,COLUMN($O$1),FALSE)*VLOOKUP($D181,素材!$1:$1016,COLUMN($E$1),FALSE)/(LEN(VLOOKUP($D181,素材!$1:$1016,COLUMN($F$1),FALSE))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I181">
        <f>IF(ISNUMBER(SEARCH(SUBSTITUTE(AI$1,RIGHT(AI$1,2),""),VLOOKUP($D181,素材!$1:$1016,COLUMN($F$1),FALSE))),VLOOKUP($C181,装備品!$1:$998,COLUMN($O$1),FALSE)*VLOOKUP($D181,素材!$1:$1016,COLUMN($E$1),FALSE)/(LEN(VLOOKUP($D181,素材!$1:$1016,COLUMN($F$1),FALSE))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J181">
        <f>IF(ISNUMBER(SEARCH(SUBSTITUTE(AJ$1,RIGHT(AJ$1,2),""),VLOOKUP($D181,素材!$1:$1016,COLUMN($F$1),FALSE))),VLOOKUP($C181,装備品!$1:$998,COLUMN($O$1),FALSE)*VLOOKUP($D181,素材!$1:$1016,COLUMN($E$1),FALSE)/(LEN(VLOOKUP($D181,素材!$1:$1016,COLUMN($F$1),FALSE))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K181">
        <f>IF(ISNUMBER(SEARCH(SUBSTITUTE(AK$1,RIGHT(AK$1,2),""),VLOOKUP($D181,素材!$1:$1016,COLUMN($F$1),FALSE))),VLOOKUP($C181,装備品!$1:$998,COLUMN($O$1),FALSE)*VLOOKUP($D181,素材!$1:$1016,COLUMN($E$1),FALSE)/(LEN(VLOOKUP($D181,素材!$1:$1016,COLUMN($F$1),FALSE))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L181">
        <f>IF(ISNUMBER(SEARCH(SUBSTITUTE(AL$1,RIGHT(AL$1,2),""),VLOOKUP($D181,素材!$1:$1016,COLUMN($F$1),FALSE))),VLOOKUP($C181,装備品!$1:$998,COLUMN($O$1),FALSE)*VLOOKUP($D181,素材!$1:$1016,COLUMN($E$1),FALSE)/(LEN(VLOOKUP($D181,素材!$1:$1016,COLUMN($F$1),FALSE))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M181">
        <f>IF(ISNUMBER(SEARCH(SUBSTITUTE(AM$1,RIGHT(AM$1,2),""),VLOOKUP($D181,素材!$1:$1016,COLUMN($F$1),FALSE))),VLOOKUP($C181,装備品!$1:$998,COLUMN($O$1),FALSE)*VLOOKUP($D181,素材!$1:$1016,COLUMN($E$1),FALSE)/(LEN(VLOOKUP($D181,素材!$1:$1016,COLUMN($F$1),FALSE))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N181">
        <f>IF(ISNUMBER(SEARCH(SUBSTITUTE(AN$1,RIGHT(AN$1,2),""),VLOOKUP($D181,素材!$1:$1016,COLUMN($F$1),FALSE))),VLOOKUP($C181,装備品!$1:$998,COLUMN($O$1),FALSE)*VLOOKUP($D181,素材!$1:$1016,COLUMN($E$1),FALSE)/(LEN(VLOOKUP($D181,素材!$1:$1016,COLUMN($F$1),FALSE))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O181">
        <f>IF(ISNUMBER(SEARCH(SUBSTITUTE(AO$1,RIGHT(AO$1,2),""),VLOOKUP($D181,素材!$1:$1016,COLUMN($F$1),FALSE))),VLOOKUP($C181,装備品!$1:$998,COLUMN($O$1),FALSE)*VLOOKUP($D181,素材!$1:$1016,COLUMN($E$1),FALSE)/(LEN(VLOOKUP($D181,素材!$1:$1016,COLUMN($F$1),FALSE))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P181">
        <f>IF(ISNUMBER(SEARCH(SUBSTITUTE(AP$1,RIGHT(AP$1,2),""),VLOOKUP($D181,素材!$1:$1016,COLUMN($F$1),FALSE))),VLOOKUP($C181,装備品!$1:$998,COLUMN($O$1),FALSE)*VLOOKUP($D181,素材!$1:$1016,COLUMN($E$1),FALSE)/(LEN(VLOOKUP($D181,素材!$1:$1016,COLUMN($F$1),FALSE))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Q181">
        <f>IF(ISNUMBER(SEARCH(SUBSTITUTE(AQ$1,RIGHT(AQ$1,2),""),VLOOKUP($D181,素材!$1:$1016,COLUMN($F$1),FALSE))),VLOOKUP($C181,装備品!$1:$998,COLUMN($O$1),FALSE)*VLOOKUP($D181,素材!$1:$1016,COLUMN($E$1),FALSE)/(LEN(VLOOKUP($D181,素材!$1:$1016,COLUMN($F$1),FALSE))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R181">
        <f>IF(ISNUMBER(SEARCH(SUBSTITUTE(AR$1,RIGHT(AR$1,2),""),VLOOKUP($D181,素材!$1:$1016,COLUMN($F$1),FALSE))),VLOOKUP($C181,装備品!$1:$998,COLUMN($O$1),FALSE)*VLOOKUP($D181,素材!$1:$1016,COLUMN($E$1),FALSE)/(LEN(VLOOKUP($D181,素材!$1:$1016,COLUMN($F$1),FALSE))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S181">
        <f>IF(ISNUMBER(SEARCH(SUBSTITUTE(AS$1,RIGHT(AS$1,2),""),VLOOKUP($D181,素材!$1:$1016,COLUMN($F$1),FALSE))),VLOOKUP($C181,装備品!$1:$998,COLUMN($O$1),FALSE)*VLOOKUP($D181,素材!$1:$1016,COLUMN($E$1),FALSE)/(LEN(VLOOKUP($D181,素材!$1:$1016,COLUMN($F$1),FALSE))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T181">
        <f>IF(ISNUMBER(SEARCH(SUBSTITUTE(AT$1,RIGHT(AT$1,2),""),VLOOKUP($D181,素材!$1:$1016,COLUMN($F$1),FALSE))),VLOOKUP($C181,装備品!$1:$998,COLUMN($O$1),FALSE)*VLOOKUP($D181,素材!$1:$1016,COLUMN($E$1),FALSE)/(LEN(VLOOKUP($D181,素材!$1:$1016,COLUMN($F$1),FALSE))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U181">
        <f>IF(ISNUMBER(SEARCH(SUBSTITUTE(AU$1,RIGHT(AU$1,2),""),VLOOKUP($D181,素材!$1:$1016,COLUMN($F$1),FALSE))),VLOOKUP($C181,装備品!$1:$998,COLUMN($O$1),FALSE)*VLOOKUP($D181,素材!$1:$1016,COLUMN($E$1),FALSE)/(LEN(VLOOKUP($D181,素材!$1:$1016,COLUMN($F$1),FALSE))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V181">
        <f>IF(ISNUMBER(SEARCH(SUBSTITUTE(AV$1,RIGHT(AV$1,2),""),VLOOKUP($D181,素材!$1:$1016,COLUMN($F$1),FALSE))),VLOOKUP($C181,装備品!$1:$998,COLUMN($O$1),FALSE)*VLOOKUP($D181,素材!$1:$1016,COLUMN($E$1),FALSE)/(LEN(VLOOKUP($D181,素材!$1:$1016,COLUMN($F$1),FALSE))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W181">
        <f>IF(ISNUMBER(SEARCH(SUBSTITUTE(AW$1,RIGHT(AW$1,2),""),VLOOKUP($D181,素材!$1:$1016,COLUMN($F$1),FALSE))),VLOOKUP($C181,装備品!$1:$998,COLUMN($O$1),FALSE)*VLOOKUP($D181,素材!$1:$1016,COLUMN($E$1),FALSE)/(LEN(VLOOKUP($D181,素材!$1:$1016,COLUMN($F$1),FALSE))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X181">
        <f>IF(ISNUMBER(SEARCH(SUBSTITUTE(AX$1,RIGHT(AX$1,2),""),VLOOKUP($D181,素材!$1:$1016,COLUMN($F$1),FALSE))),VLOOKUP($C181,装備品!$1:$998,COLUMN($O$1),FALSE)*VLOOKUP($D181,素材!$1:$1016,COLUMN($E$1),FALSE)/(LEN(VLOOKUP($D181,素材!$1:$1016,COLUMN($F$1),FALSE))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Y181">
        <f>IF(ISNUMBER(SEARCH(SUBSTITUTE(AY$1,RIGHT(AY$1,2),""),VLOOKUP($D181,素材!$1:$1016,COLUMN($F$1),FALSE))),VLOOKUP($C181,装備品!$1:$998,COLUMN($O$1),FALSE)*VLOOKUP($D181,素材!$1:$1016,COLUMN($E$1),FALSE)/(LEN(VLOOKUP($D181,素材!$1:$1016,COLUMN($F$1),FALSE))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Z181">
        <f>IF(ISNUMBER(SEARCH(SUBSTITUTE(AZ$1,RIGHT(AZ$1,2),""),VLOOKUP($D181,素材!$1:$1016,COLUMN($F$1),FALSE))),VLOOKUP($C181,装備品!$1:$998,COLUMN($O$1),FALSE)*VLOOKUP($D181,素材!$1:$1016,COLUMN($E$1),FALSE)/(LEN(VLOOKUP($D181,素材!$1:$1016,COLUMN($F$1),FALSE))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BA181">
        <f>IF(ISNUMBER(SEARCH(SUBSTITUTE(BA$1,RIGHT(BA$1,2),""),VLOOKUP($D181,素材!$1:$1016,COLUMN($F$1),FALSE))),VLOOKUP($C181,装備品!$1:$998,COLUMN($O$1),FALSE)*VLOOKUP($D181,素材!$1:$1016,COLUMN($E$1),FALSE)/(LEN(VLOOKUP($D181,素材!$1:$1016,COLUMN($F$1),FALSE))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BB181">
        <f>IF(ISNUMBER(SEARCH(SUBSTITUTE(BB$1,RIGHT(BB$1,2),""),VLOOKUP($D181,素材!$1:$1016,COLUMN($F$1),FALSE))),VLOOKUP($C181,装備品!$1:$998,COLUMN($O$1),FALSE)*VLOOKUP($D181,素材!$1:$1016,COLUMN($E$1),FALSE)/(LEN(VLOOKUP($D181,素材!$1:$1016,COLUMN($F$1),FALSE))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BC181">
        <f>IF(ISNUMBER(SEARCH(SUBSTITUTE(BC$1,RIGHT(BC$1,2),""),VLOOKUP($D181,素材!$1:$1016,COLUMN($F$1),FALSE))),VLOOKUP($C181,装備品!$1:$998,COLUMN($O$1),FALSE)*VLOOKUP($D181,素材!$1:$1016,COLUMN($E$1),FALSE)/(LEN(VLOOKUP($D181,素材!$1:$1016,COLUMN($F$1),FALSE))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BD181">
        <f>IF(ISNUMBER(SEARCH(SUBSTITUTE(BD$1,RIGHT(BD$1,2),""),VLOOKUP($D181,素材!$1:$1016,COLUMN($F$1),FALSE))),VLOOKUP($C181,装備品!$1:$998,COLUMN($O$1),FALSE)*VLOOKUP($D181,素材!$1:$1016,COLUMN($E$1),FALSE)/(LEN(VLOOKUP($D181,素材!$1:$1016,COLUMN($F$1),FALSE))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BE181">
        <f>IF(ISNUMBER(SEARCH(SUBSTITUTE(BE$1,RIGHT(BE$1,2),""),VLOOKUP($D181,素材!$1:$1016,COLUMN($F$1),FALSE))),VLOOKUP($C181,装備品!$1:$998,COLUMN($O$1),FALSE)*VLOOKUP($D181,素材!$1:$1016,COLUMN($E$1),FALSE)/(LEN(VLOOKUP($D181,素材!$1:$1016,COLUMN($F$1),FALSE))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CL181">
        <f t="shared" si="19"/>
        <v>0</v>
      </c>
      <c r="CM181" s="22" t="str">
        <f t="shared" si="20"/>
        <v>盾.webp</v>
      </c>
      <c r="CN181" t="str">
        <f>IFERROR(VLOOKUP($C181,装備品!$1:$998,COLUMN(V$1),FALSE)*VLOOKUP($D181,素材!$1:$1016,COLUMN(N$1),FALSE)+IF(CI181="",0,VLOOKUP($CI181,付与!$1:$1176,COLUMN($CK$1),FALSE)),"")</f>
        <v/>
      </c>
      <c r="CO181" t="e">
        <f>VLOOKUP(D181,素材!$A:$O,COLUMN(素材!O$1),FALSE)</f>
        <v>#N/A</v>
      </c>
      <c r="CP181" t="str">
        <f>VLOOKUP(C181,装備品!$A:$AB,COLUMN(装備品!AB$1),FALSE)</f>
        <v>大盾。さらに大きな盾で、高い防御力を持つ。</v>
      </c>
      <c r="CR181" t="str">
        <f t="shared" si="24"/>
        <v>e_181</v>
      </c>
      <c r="CS181" t="e">
        <f t="shared" si="28"/>
        <v>#VALUE!</v>
      </c>
    </row>
    <row r="182" spans="1:97" outlineLevel="1" x14ac:dyDescent="0.4">
      <c r="A182" t="str">
        <f t="shared" si="33"/>
        <v>黒鋼鉄の短弓</v>
      </c>
      <c r="B182" t="str">
        <f>IFERROR(VLOOKUP($D182,素材!$1:$1016,COLUMN($B$1),FALSE)&amp;"・"&amp;VLOOKUP($C182,装備品!$1:$998,COLUMN(B$1),FALSE),"")</f>
        <v/>
      </c>
      <c r="C182" t="s">
        <v>217</v>
      </c>
      <c r="D182" s="24" t="s">
        <v>243</v>
      </c>
      <c r="E182" t="str">
        <f>IFERROR(VLOOKUP(C182,装備品!$1:$998,COLUMN(C$1),FALSE),"")</f>
        <v>武器</v>
      </c>
      <c r="F182" t="str">
        <f>IFERROR(ROUNDDOWN((VLOOKUP($C182,装備品!$1:$998,COLUMN(D$1),FALSE)+IFERROR(VLOOKUP($CI182,付与!$1:$1167,COLUMN(F$1),FALSE),0))*VLOOKUP($D182,素材!$1:$1016,COLUMN(D$1),FALSE),0),"")</f>
        <v/>
      </c>
      <c r="G182" t="str">
        <f>IFERROR(ROUNDDOWN((VLOOKUP($C182,装備品!$1:$998,COLUMN(E$1),FALSE)+IFERROR(VLOOKUP($CI182,付与!$1:$1167,COLUMN(G$1),FALSE),0))*VLOOKUP($D182,素材!$1:$1016,COLUMN($E$1),FALSE),0),"")</f>
        <v/>
      </c>
      <c r="H182" t="str">
        <f>IFERROR(ROUNDDOWN((VLOOKUP($C182,装備品!$1:$998,COLUMN(F$1),FALSE)+IFERROR(VLOOKUP($CI182,付与!$1:$1167,COLUMN(H$1),FALSE),0))*VLOOKUP($D182,素材!$1:$1016,COLUMN($E$1),FALSE),0),"")</f>
        <v/>
      </c>
      <c r="I182" t="str">
        <f>IFERROR(ROUNDDOWN((VLOOKUP($C182,装備品!$1:$998,COLUMN(G$1),FALSE)+IFERROR(VLOOKUP($CI182,付与!$1:$1167,COLUMN(I$1),FALSE),0))*VLOOKUP($D182,素材!$1:$1016,COLUMN($E$1),FALSE),0),"")</f>
        <v/>
      </c>
      <c r="J182" t="str">
        <f>IFERROR(ROUNDDOWN((VLOOKUP($C182,装備品!$1:$998,COLUMN(H$1),FALSE)+IFERROR(VLOOKUP($CI182,付与!$1:$1167,COLUMN(J$1),FALSE),0))*VLOOKUP($D182,素材!$1:$1016,COLUMN($E$1),FALSE),0),"")</f>
        <v/>
      </c>
      <c r="K182" t="str">
        <f>IFERROR(ROUNDDOWN((VLOOKUP($C182,装備品!$1:$998,COLUMN(I$1),FALSE)+IFERROR(VLOOKUP($CI182,付与!$1:$1167,COLUMN(K$1),FALSE),0))*VLOOKUP($D182,素材!$1:$1016,COLUMN($E$1),FALSE),0),"")</f>
        <v/>
      </c>
      <c r="L182" t="str">
        <f>IFERROR(VLOOKUP($D182,素材!$1:$1016,COLUMN($F$1),FALSE),"")</f>
        <v/>
      </c>
      <c r="M182" t="str">
        <f>IFERROR(VLOOKUP($C182,装備品!$1:$998,COLUMN(AA$1),FALSE)*VLOOKUP($D182,素材!$1:$1016,COLUMN($G$1),FALSE),"")</f>
        <v/>
      </c>
      <c r="N182">
        <f>IFERROR(VLOOKUP($C182,装備品!$1:$998,COLUMN(I$1),FALSE),"")</f>
        <v>1</v>
      </c>
      <c r="O182" s="23" t="str">
        <f>IFERROR((VLOOKUP($C182,装備品!$1:$998,COLUMN(K$1),FALSE)+VLOOKUP($D182,素材!$1:$1016,COLUMN(H$1),FALSE))*100+IFERROR(VLOOKUP($CI182,付与!$1:$1167,COLUMN(O$1),FALSE),0),"")</f>
        <v/>
      </c>
      <c r="P182" s="23" t="str">
        <f>IFERROR((VLOOKUP($C182,装備品!$1:$998,COLUMN(L$1),FALSE)+VLOOKUP($D182,素材!$1:$1016,COLUMN(I$1),FALSE))*100+IFERROR(VLOOKUP($CI182,付与!$1:$1167,COLUMN(P$1),FALSE),0),"")</f>
        <v/>
      </c>
      <c r="Q182" t="str">
        <f>IFERROR(ROUNDUP(VLOOKUP($C182,装備品!$1:$998,COLUMN(M$1),FALSE)*(VLOOKUP($D182,素材!$1:$1002,COLUMN(D$1),FALSE)/100),1),"")</f>
        <v/>
      </c>
      <c r="R182" t="str">
        <f>IFERROR(ROUNDUP(VLOOKUP($C182,装備品!$1:$998,COLUMN(N$1),FALSE)*(VLOOKUP($D182,素材!$1:$1002,COLUMN(D$1),FALSE)/100),1),"")</f>
        <v/>
      </c>
      <c r="S182">
        <f>IFERROR(VLOOKUP($C182,装備品!$1:$998,COLUMN(P$1),FALSE),"")</f>
        <v>0</v>
      </c>
      <c r="T182">
        <f>IFERROR(VLOOKUP($C182,装備品!$1:$998,COLUMN(Q$1),FALSE),"")</f>
        <v>0</v>
      </c>
      <c r="U182">
        <f>IFERROR(VLOOKUP($C182,装備品!$1:$998,COLUMN(R$1),FALSE),"")</f>
        <v>0</v>
      </c>
      <c r="V182">
        <f>IFERROR(VLOOKUP($C182,装備品!$1:$998,COLUMN(Q$1),FALSE),"")</f>
        <v>0</v>
      </c>
      <c r="W182">
        <f>IFERROR(VLOOKUP($C182,装備品!$1:$998,COLUMN(T$1),FALSE),"")</f>
        <v>0</v>
      </c>
      <c r="Y182">
        <f>IFERROR(VLOOKUP($C182,装備品!$1:$998,COLUMN(U$1),FALSE),"")</f>
        <v>2</v>
      </c>
      <c r="Z182" t="str">
        <f>IFERROR(ROUNDUP(VLOOKUP($C182,装備品!$1:$998,COLUMN(O$1),FALSE)*VLOOKUP($D182,素材!$1:$1016,COLUMN(E$1),FALSE),1),"")</f>
        <v/>
      </c>
      <c r="AA182">
        <f>IF(ISNUMBER(SEARCH(SUBSTITUTE(AA$1,RIGHT(AA$1,2),""),VLOOKUP($D182,素材!$1:$1016,COLUMN($F$1),FALSE))),VLOOKUP($C182,装備品!$1:$998,COLUMN($O$1),FALSE)*VLOOKUP($D182,素材!$1:$1016,COLUMN($E$1),FALSE)/(LEN(VLOOKUP($D182,素材!$1:$1016,COLUMN($F$1),FALSE))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B182">
        <f>IF(ISNUMBER(SEARCH(SUBSTITUTE(AB$1,RIGHT(AB$1,2),""),VLOOKUP($D182,素材!$1:$1016,COLUMN($F$1),FALSE))),VLOOKUP($C182,装備品!$1:$998,COLUMN($O$1),FALSE)*VLOOKUP($D182,素材!$1:$1016,COLUMN($E$1),FALSE)/(LEN(VLOOKUP($D182,素材!$1:$1016,COLUMN($F$1),FALSE))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C182">
        <f>IF(ISNUMBER(SEARCH(SUBSTITUTE(AC$1,RIGHT(AC$1,2),""),VLOOKUP($D182,素材!$1:$1016,COLUMN($F$1),FALSE))),VLOOKUP($C182,装備品!$1:$998,COLUMN($O$1),FALSE)*VLOOKUP($D182,素材!$1:$1016,COLUMN($E$1),FALSE)/(LEN(VLOOKUP($D182,素材!$1:$1016,COLUMN($F$1),FALSE))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D182">
        <f>IF(ISNUMBER(SEARCH(SUBSTITUTE(AD$1,RIGHT(AD$1,2),""),VLOOKUP($D182,素材!$1:$1016,COLUMN($F$1),FALSE))),VLOOKUP($C182,装備品!$1:$998,COLUMN($O$1),FALSE)*VLOOKUP($D182,素材!$1:$1016,COLUMN($E$1),FALSE)/(LEN(VLOOKUP($D182,素材!$1:$1016,COLUMN($F$1),FALSE))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E182">
        <f>IF(ISNUMBER(SEARCH(SUBSTITUTE(AE$1,RIGHT(AE$1,2),""),VLOOKUP($D182,素材!$1:$1016,COLUMN($F$1),FALSE))),VLOOKUP($C182,装備品!$1:$998,COLUMN($O$1),FALSE)*VLOOKUP($D182,素材!$1:$1016,COLUMN($E$1),FALSE)/(LEN(VLOOKUP($D182,素材!$1:$1016,COLUMN($F$1),FALSE))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F182">
        <f>IF(ISNUMBER(SEARCH(SUBSTITUTE(AF$1,RIGHT(AF$1,2),""),VLOOKUP($D182,素材!$1:$1016,COLUMN($F$1),FALSE))),VLOOKUP($C182,装備品!$1:$998,COLUMN($O$1),FALSE)*VLOOKUP($D182,素材!$1:$1016,COLUMN($E$1),FALSE)/(LEN(VLOOKUP($D182,素材!$1:$1016,COLUMN($F$1),FALSE))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G182">
        <f>IF(ISNUMBER(SEARCH(SUBSTITUTE(AG$1,RIGHT(AG$1,2),""),VLOOKUP($D182,素材!$1:$1016,COLUMN($F$1),FALSE))),VLOOKUP($C182,装備品!$1:$998,COLUMN($O$1),FALSE)*VLOOKUP($D182,素材!$1:$1016,COLUMN($E$1),FALSE)/(LEN(VLOOKUP($D182,素材!$1:$1016,COLUMN($F$1),FALSE))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H182">
        <f>IF(ISNUMBER(SEARCH(SUBSTITUTE(AH$1,RIGHT(AH$1,2),""),VLOOKUP($D182,素材!$1:$1016,COLUMN($F$1),FALSE))),VLOOKUP($C182,装備品!$1:$998,COLUMN($O$1),FALSE)*VLOOKUP($D182,素材!$1:$1016,COLUMN($E$1),FALSE)/(LEN(VLOOKUP($D182,素材!$1:$1016,COLUMN($F$1),FALSE))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I182">
        <f>IF(ISNUMBER(SEARCH(SUBSTITUTE(AI$1,RIGHT(AI$1,2),""),VLOOKUP($D182,素材!$1:$1016,COLUMN($F$1),FALSE))),VLOOKUP($C182,装備品!$1:$998,COLUMN($O$1),FALSE)*VLOOKUP($D182,素材!$1:$1016,COLUMN($E$1),FALSE)/(LEN(VLOOKUP($D182,素材!$1:$1016,COLUMN($F$1),FALSE))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J182">
        <f>IF(ISNUMBER(SEARCH(SUBSTITUTE(AJ$1,RIGHT(AJ$1,2),""),VLOOKUP($D182,素材!$1:$1016,COLUMN($F$1),FALSE))),VLOOKUP($C182,装備品!$1:$998,COLUMN($O$1),FALSE)*VLOOKUP($D182,素材!$1:$1016,COLUMN($E$1),FALSE)/(LEN(VLOOKUP($D182,素材!$1:$1016,COLUMN($F$1),FALSE))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K182">
        <f>IF(ISNUMBER(SEARCH(SUBSTITUTE(AK$1,RIGHT(AK$1,2),""),VLOOKUP($D182,素材!$1:$1016,COLUMN($F$1),FALSE))),VLOOKUP($C182,装備品!$1:$998,COLUMN($O$1),FALSE)*VLOOKUP($D182,素材!$1:$1016,COLUMN($E$1),FALSE)/(LEN(VLOOKUP($D182,素材!$1:$1016,COLUMN($F$1),FALSE))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L182">
        <f>IF(ISNUMBER(SEARCH(SUBSTITUTE(AL$1,RIGHT(AL$1,2),""),VLOOKUP($D182,素材!$1:$1016,COLUMN($F$1),FALSE))),VLOOKUP($C182,装備品!$1:$998,COLUMN($O$1),FALSE)*VLOOKUP($D182,素材!$1:$1016,COLUMN($E$1),FALSE)/(LEN(VLOOKUP($D182,素材!$1:$1016,COLUMN($F$1),FALSE))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M182">
        <f>IF(ISNUMBER(SEARCH(SUBSTITUTE(AM$1,RIGHT(AM$1,2),""),VLOOKUP($D182,素材!$1:$1016,COLUMN($F$1),FALSE))),VLOOKUP($C182,装備品!$1:$998,COLUMN($O$1),FALSE)*VLOOKUP($D182,素材!$1:$1016,COLUMN($E$1),FALSE)/(LEN(VLOOKUP($D182,素材!$1:$1016,COLUMN($F$1),FALSE))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N182">
        <f>IF(ISNUMBER(SEARCH(SUBSTITUTE(AN$1,RIGHT(AN$1,2),""),VLOOKUP($D182,素材!$1:$1016,COLUMN($F$1),FALSE))),VLOOKUP($C182,装備品!$1:$998,COLUMN($O$1),FALSE)*VLOOKUP($D182,素材!$1:$1016,COLUMN($E$1),FALSE)/(LEN(VLOOKUP($D182,素材!$1:$1016,COLUMN($F$1),FALSE))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O182">
        <f>IF(ISNUMBER(SEARCH(SUBSTITUTE(AO$1,RIGHT(AO$1,2),""),VLOOKUP($D182,素材!$1:$1016,COLUMN($F$1),FALSE))),VLOOKUP($C182,装備品!$1:$998,COLUMN($O$1),FALSE)*VLOOKUP($D182,素材!$1:$1016,COLUMN($E$1),FALSE)/(LEN(VLOOKUP($D182,素材!$1:$1016,COLUMN($F$1),FALSE))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P182">
        <f>IF(ISNUMBER(SEARCH(SUBSTITUTE(AP$1,RIGHT(AP$1,2),""),VLOOKUP($D182,素材!$1:$1016,COLUMN($F$1),FALSE))),VLOOKUP($C182,装備品!$1:$998,COLUMN($O$1),FALSE)*VLOOKUP($D182,素材!$1:$1016,COLUMN($E$1),FALSE)/(LEN(VLOOKUP($D182,素材!$1:$1016,COLUMN($F$1),FALSE))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Q182">
        <f>IF(ISNUMBER(SEARCH(SUBSTITUTE(AQ$1,RIGHT(AQ$1,2),""),VLOOKUP($D182,素材!$1:$1016,COLUMN($F$1),FALSE))),VLOOKUP($C182,装備品!$1:$998,COLUMN($O$1),FALSE)*VLOOKUP($D182,素材!$1:$1016,COLUMN($E$1),FALSE)/(LEN(VLOOKUP($D182,素材!$1:$1016,COLUMN($F$1),FALSE))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R182">
        <f>IF(ISNUMBER(SEARCH(SUBSTITUTE(AR$1,RIGHT(AR$1,2),""),VLOOKUP($D182,素材!$1:$1016,COLUMN($F$1),FALSE))),VLOOKUP($C182,装備品!$1:$998,COLUMN($O$1),FALSE)*VLOOKUP($D182,素材!$1:$1016,COLUMN($E$1),FALSE)/(LEN(VLOOKUP($D182,素材!$1:$1016,COLUMN($F$1),FALSE))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S182">
        <f>IF(ISNUMBER(SEARCH(SUBSTITUTE(AS$1,RIGHT(AS$1,2),""),VLOOKUP($D182,素材!$1:$1016,COLUMN($F$1),FALSE))),VLOOKUP($C182,装備品!$1:$998,COLUMN($O$1),FALSE)*VLOOKUP($D182,素材!$1:$1016,COLUMN($E$1),FALSE)/(LEN(VLOOKUP($D182,素材!$1:$1016,COLUMN($F$1),FALSE))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T182">
        <f>IF(ISNUMBER(SEARCH(SUBSTITUTE(AT$1,RIGHT(AT$1,2),""),VLOOKUP($D182,素材!$1:$1016,COLUMN($F$1),FALSE))),VLOOKUP($C182,装備品!$1:$998,COLUMN($O$1),FALSE)*VLOOKUP($D182,素材!$1:$1016,COLUMN($E$1),FALSE)/(LEN(VLOOKUP($D182,素材!$1:$1016,COLUMN($F$1),FALSE))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U182">
        <f>IF(ISNUMBER(SEARCH(SUBSTITUTE(AU$1,RIGHT(AU$1,2),""),VLOOKUP($D182,素材!$1:$1016,COLUMN($F$1),FALSE))),VLOOKUP($C182,装備品!$1:$998,COLUMN($O$1),FALSE)*VLOOKUP($D182,素材!$1:$1016,COLUMN($E$1),FALSE)/(LEN(VLOOKUP($D182,素材!$1:$1016,COLUMN($F$1),FALSE))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V182">
        <f>IF(ISNUMBER(SEARCH(SUBSTITUTE(AV$1,RIGHT(AV$1,2),""),VLOOKUP($D182,素材!$1:$1016,COLUMN($F$1),FALSE))),VLOOKUP($C182,装備品!$1:$998,COLUMN($O$1),FALSE)*VLOOKUP($D182,素材!$1:$1016,COLUMN($E$1),FALSE)/(LEN(VLOOKUP($D182,素材!$1:$1016,COLUMN($F$1),FALSE))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W182">
        <f>IF(ISNUMBER(SEARCH(SUBSTITUTE(AW$1,RIGHT(AW$1,2),""),VLOOKUP($D182,素材!$1:$1016,COLUMN($F$1),FALSE))),VLOOKUP($C182,装備品!$1:$998,COLUMN($O$1),FALSE)*VLOOKUP($D182,素材!$1:$1016,COLUMN($E$1),FALSE)/(LEN(VLOOKUP($D182,素材!$1:$1016,COLUMN($F$1),FALSE))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X182">
        <f>IF(ISNUMBER(SEARCH(SUBSTITUTE(AX$1,RIGHT(AX$1,2),""),VLOOKUP($D182,素材!$1:$1016,COLUMN($F$1),FALSE))),VLOOKUP($C182,装備品!$1:$998,COLUMN($O$1),FALSE)*VLOOKUP($D182,素材!$1:$1016,COLUMN($E$1),FALSE)/(LEN(VLOOKUP($D182,素材!$1:$1016,COLUMN($F$1),FALSE))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Y182">
        <f>IF(ISNUMBER(SEARCH(SUBSTITUTE(AY$1,RIGHT(AY$1,2),""),VLOOKUP($D182,素材!$1:$1016,COLUMN($F$1),FALSE))),VLOOKUP($C182,装備品!$1:$998,COLUMN($O$1),FALSE)*VLOOKUP($D182,素材!$1:$1016,COLUMN($E$1),FALSE)/(LEN(VLOOKUP($D182,素材!$1:$1016,COLUMN($F$1),FALSE))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Z182">
        <f>IF(ISNUMBER(SEARCH(SUBSTITUTE(AZ$1,RIGHT(AZ$1,2),""),VLOOKUP($D182,素材!$1:$1016,COLUMN($F$1),FALSE))),VLOOKUP($C182,装備品!$1:$998,COLUMN($O$1),FALSE)*VLOOKUP($D182,素材!$1:$1016,COLUMN($E$1),FALSE)/(LEN(VLOOKUP($D182,素材!$1:$1016,COLUMN($F$1),FALSE))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BA182">
        <f>IF(ISNUMBER(SEARCH(SUBSTITUTE(BA$1,RIGHT(BA$1,2),""),VLOOKUP($D182,素材!$1:$1016,COLUMN($F$1),FALSE))),VLOOKUP($C182,装備品!$1:$998,COLUMN($O$1),FALSE)*VLOOKUP($D182,素材!$1:$1016,COLUMN($E$1),FALSE)/(LEN(VLOOKUP($D182,素材!$1:$1016,COLUMN($F$1),FALSE))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BB182">
        <f>IF(ISNUMBER(SEARCH(SUBSTITUTE(BB$1,RIGHT(BB$1,2),""),VLOOKUP($D182,素材!$1:$1016,COLUMN($F$1),FALSE))),VLOOKUP($C182,装備品!$1:$998,COLUMN($O$1),FALSE)*VLOOKUP($D182,素材!$1:$1016,COLUMN($E$1),FALSE)/(LEN(VLOOKUP($D182,素材!$1:$1016,COLUMN($F$1),FALSE))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BC182">
        <f>IF(ISNUMBER(SEARCH(SUBSTITUTE(BC$1,RIGHT(BC$1,2),""),VLOOKUP($D182,素材!$1:$1016,COLUMN($F$1),FALSE))),VLOOKUP($C182,装備品!$1:$998,COLUMN($O$1),FALSE)*VLOOKUP($D182,素材!$1:$1016,COLUMN($E$1),FALSE)/(LEN(VLOOKUP($D182,素材!$1:$1016,COLUMN($F$1),FALSE))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BD182">
        <f>IF(ISNUMBER(SEARCH(SUBSTITUTE(BD$1,RIGHT(BD$1,2),""),VLOOKUP($D182,素材!$1:$1016,COLUMN($F$1),FALSE))),VLOOKUP($C182,装備品!$1:$998,COLUMN($O$1),FALSE)*VLOOKUP($D182,素材!$1:$1016,COLUMN($E$1),FALSE)/(LEN(VLOOKUP($D182,素材!$1:$1016,COLUMN($F$1),FALSE))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BE182">
        <f>IF(ISNUMBER(SEARCH(SUBSTITUTE(BE$1,RIGHT(BE$1,2),""),VLOOKUP($D182,素材!$1:$1016,COLUMN($F$1),FALSE))),VLOOKUP($C182,装備品!$1:$998,COLUMN($O$1),FALSE)*VLOOKUP($D182,素材!$1:$1016,COLUMN($E$1),FALSE)/(LEN(VLOOKUP($D182,素材!$1:$1016,COLUMN($F$1),FALSE))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CL182">
        <f t="shared" si="19"/>
        <v>0</v>
      </c>
      <c r="CM182" s="22" t="e">
        <f t="shared" si="20"/>
        <v>#VALUE!</v>
      </c>
      <c r="CN182" t="str">
        <f>IFERROR(VLOOKUP($C182,装備品!$1:$998,COLUMN(V$1),FALSE)*VLOOKUP($D182,素材!$1:$1016,COLUMN(N$1),FALSE)+IF(CI182="",0,VLOOKUP($CI182,付与!$1:$1176,COLUMN($CK$1),FALSE)),"")</f>
        <v/>
      </c>
      <c r="CO182" t="e">
        <f>VLOOKUP(D182,素材!$A:$O,COLUMN(素材!O$1),FALSE)</f>
        <v>#N/A</v>
      </c>
      <c r="CP182" t="str">
        <f>VLOOKUP(C182,装備品!$A:$AB,COLUMN(装備品!AB$1),FALSE)</f>
        <v>短弓。軽量で扱いやすい遠距離武器。</v>
      </c>
      <c r="CR182" t="str">
        <f t="shared" si="24"/>
        <v>e_182</v>
      </c>
      <c r="CS182" t="e">
        <f t="shared" si="28"/>
        <v>#VALUE!</v>
      </c>
    </row>
    <row r="183" spans="1:97" outlineLevel="1" x14ac:dyDescent="0.4">
      <c r="A183" t="str">
        <f t="shared" si="33"/>
        <v>黒鋼鉄の長弓</v>
      </c>
      <c r="B183" t="str">
        <f>IFERROR(VLOOKUP($D183,素材!$1:$1016,COLUMN($B$1),FALSE)&amp;"・"&amp;VLOOKUP($C183,装備品!$1:$998,COLUMN(B$1),FALSE),"")</f>
        <v/>
      </c>
      <c r="C183" t="s">
        <v>216</v>
      </c>
      <c r="D183" s="24" t="s">
        <v>243</v>
      </c>
      <c r="E183" t="str">
        <f>IFERROR(VLOOKUP(C183,装備品!$1:$998,COLUMN(C$1),FALSE),"")</f>
        <v>武器</v>
      </c>
      <c r="F183" t="str">
        <f>IFERROR(ROUNDDOWN((VLOOKUP($C183,装備品!$1:$998,COLUMN(D$1),FALSE)+IFERROR(VLOOKUP($CI183,付与!$1:$1167,COLUMN(F$1),FALSE),0))*VLOOKUP($D183,素材!$1:$1016,COLUMN(D$1),FALSE),0),"")</f>
        <v/>
      </c>
      <c r="G183" t="str">
        <f>IFERROR(ROUNDDOWN((VLOOKUP($C183,装備品!$1:$998,COLUMN(E$1),FALSE)+IFERROR(VLOOKUP($CI183,付与!$1:$1167,COLUMN(G$1),FALSE),0))*VLOOKUP($D183,素材!$1:$1016,COLUMN($E$1),FALSE),0),"")</f>
        <v/>
      </c>
      <c r="H183" t="str">
        <f>IFERROR(ROUNDDOWN((VLOOKUP($C183,装備品!$1:$998,COLUMN(F$1),FALSE)+IFERROR(VLOOKUP($CI183,付与!$1:$1167,COLUMN(H$1),FALSE),0))*VLOOKUP($D183,素材!$1:$1016,COLUMN($E$1),FALSE),0),"")</f>
        <v/>
      </c>
      <c r="I183" t="str">
        <f>IFERROR(ROUNDDOWN((VLOOKUP($C183,装備品!$1:$998,COLUMN(G$1),FALSE)+IFERROR(VLOOKUP($CI183,付与!$1:$1167,COLUMN(I$1),FALSE),0))*VLOOKUP($D183,素材!$1:$1016,COLUMN($E$1),FALSE),0),"")</f>
        <v/>
      </c>
      <c r="J183" t="str">
        <f>IFERROR(ROUNDDOWN((VLOOKUP($C183,装備品!$1:$998,COLUMN(H$1),FALSE)+IFERROR(VLOOKUP($CI183,付与!$1:$1167,COLUMN(J$1),FALSE),0))*VLOOKUP($D183,素材!$1:$1016,COLUMN($E$1),FALSE),0),"")</f>
        <v/>
      </c>
      <c r="K183" t="str">
        <f>IFERROR(ROUNDDOWN((VLOOKUP($C183,装備品!$1:$998,COLUMN(I$1),FALSE)+IFERROR(VLOOKUP($CI183,付与!$1:$1167,COLUMN(K$1),FALSE),0))*VLOOKUP($D183,素材!$1:$1016,COLUMN($E$1),FALSE),0),"")</f>
        <v/>
      </c>
      <c r="L183" t="str">
        <f>IFERROR(VLOOKUP($D183,素材!$1:$1016,COLUMN($F$1),FALSE),"")</f>
        <v/>
      </c>
      <c r="M183" t="str">
        <f>IFERROR(VLOOKUP($C183,装備品!$1:$998,COLUMN(AA$1),FALSE)*VLOOKUP($D183,素材!$1:$1016,COLUMN($G$1),FALSE),"")</f>
        <v/>
      </c>
      <c r="N183">
        <f>IFERROR(VLOOKUP($C183,装備品!$1:$998,COLUMN(I$1),FALSE),"")</f>
        <v>1.1499999999999999</v>
      </c>
      <c r="O183" s="23" t="str">
        <f>IFERROR((VLOOKUP($C183,装備品!$1:$998,COLUMN(K$1),FALSE)+VLOOKUP($D183,素材!$1:$1016,COLUMN(H$1),FALSE))*100+IFERROR(VLOOKUP($CI183,付与!$1:$1167,COLUMN(O$1),FALSE),0),"")</f>
        <v/>
      </c>
      <c r="P183" s="23" t="str">
        <f>IFERROR((VLOOKUP($C183,装備品!$1:$998,COLUMN(L$1),FALSE)+VLOOKUP($D183,素材!$1:$1016,COLUMN(I$1),FALSE))*100+IFERROR(VLOOKUP($CI183,付与!$1:$1167,COLUMN(P$1),FALSE),0),"")</f>
        <v/>
      </c>
      <c r="Q183" t="str">
        <f>IFERROR(ROUNDUP(VLOOKUP($C183,装備品!$1:$998,COLUMN(M$1),FALSE)*(VLOOKUP($D183,素材!$1:$1002,COLUMN(D$1),FALSE)/100),1),"")</f>
        <v/>
      </c>
      <c r="R183" t="str">
        <f>IFERROR(ROUNDUP(VLOOKUP($C183,装備品!$1:$998,COLUMN(N$1),FALSE)*(VLOOKUP($D183,素材!$1:$1002,COLUMN(D$1),FALSE)/100),1),"")</f>
        <v/>
      </c>
      <c r="S183">
        <f>IFERROR(VLOOKUP($C183,装備品!$1:$998,COLUMN(P$1),FALSE),"")</f>
        <v>0</v>
      </c>
      <c r="T183">
        <f>IFERROR(VLOOKUP($C183,装備品!$1:$998,COLUMN(Q$1),FALSE),"")</f>
        <v>0</v>
      </c>
      <c r="U183">
        <f>IFERROR(VLOOKUP($C183,装備品!$1:$998,COLUMN(R$1),FALSE),"")</f>
        <v>0</v>
      </c>
      <c r="V183">
        <f>IFERROR(VLOOKUP($C183,装備品!$1:$998,COLUMN(Q$1),FALSE),"")</f>
        <v>0</v>
      </c>
      <c r="W183">
        <f>IFERROR(VLOOKUP($C183,装備品!$1:$998,COLUMN(T$1),FALSE),"")</f>
        <v>0</v>
      </c>
      <c r="Y183">
        <f>IFERROR(VLOOKUP($C183,装備品!$1:$998,COLUMN(U$1),FALSE),"")</f>
        <v>2</v>
      </c>
      <c r="Z183" t="str">
        <f>IFERROR(ROUNDUP(VLOOKUP($C183,装備品!$1:$998,COLUMN(O$1),FALSE)*VLOOKUP($D183,素材!$1:$1016,COLUMN(E$1),FALSE),1),"")</f>
        <v/>
      </c>
      <c r="AA183">
        <f>IF(ISNUMBER(SEARCH(SUBSTITUTE(AA$1,RIGHT(AA$1,2),""),VLOOKUP($D183,素材!$1:$1016,COLUMN($F$1),FALSE))),VLOOKUP($C183,装備品!$1:$998,COLUMN($O$1),FALSE)*VLOOKUP($D183,素材!$1:$1016,COLUMN($E$1),FALSE)/(LEN(VLOOKUP($D183,素材!$1:$1016,COLUMN($F$1),FALSE))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B183">
        <f>IF(ISNUMBER(SEARCH(SUBSTITUTE(AB$1,RIGHT(AB$1,2),""),VLOOKUP($D183,素材!$1:$1016,COLUMN($F$1),FALSE))),VLOOKUP($C183,装備品!$1:$998,COLUMN($O$1),FALSE)*VLOOKUP($D183,素材!$1:$1016,COLUMN($E$1),FALSE)/(LEN(VLOOKUP($D183,素材!$1:$1016,COLUMN($F$1),FALSE))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C183">
        <f>IF(ISNUMBER(SEARCH(SUBSTITUTE(AC$1,RIGHT(AC$1,2),""),VLOOKUP($D183,素材!$1:$1016,COLUMN($F$1),FALSE))),VLOOKUP($C183,装備品!$1:$998,COLUMN($O$1),FALSE)*VLOOKUP($D183,素材!$1:$1016,COLUMN($E$1),FALSE)/(LEN(VLOOKUP($D183,素材!$1:$1016,COLUMN($F$1),FALSE))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D183">
        <f>IF(ISNUMBER(SEARCH(SUBSTITUTE(AD$1,RIGHT(AD$1,2),""),VLOOKUP($D183,素材!$1:$1016,COLUMN($F$1),FALSE))),VLOOKUP($C183,装備品!$1:$998,COLUMN($O$1),FALSE)*VLOOKUP($D183,素材!$1:$1016,COLUMN($E$1),FALSE)/(LEN(VLOOKUP($D183,素材!$1:$1016,COLUMN($F$1),FALSE))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E183">
        <f>IF(ISNUMBER(SEARCH(SUBSTITUTE(AE$1,RIGHT(AE$1,2),""),VLOOKUP($D183,素材!$1:$1016,COLUMN($F$1),FALSE))),VLOOKUP($C183,装備品!$1:$998,COLUMN($O$1),FALSE)*VLOOKUP($D183,素材!$1:$1016,COLUMN($E$1),FALSE)/(LEN(VLOOKUP($D183,素材!$1:$1016,COLUMN($F$1),FALSE))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F183">
        <f>IF(ISNUMBER(SEARCH(SUBSTITUTE(AF$1,RIGHT(AF$1,2),""),VLOOKUP($D183,素材!$1:$1016,COLUMN($F$1),FALSE))),VLOOKUP($C183,装備品!$1:$998,COLUMN($O$1),FALSE)*VLOOKUP($D183,素材!$1:$1016,COLUMN($E$1),FALSE)/(LEN(VLOOKUP($D183,素材!$1:$1016,COLUMN($F$1),FALSE))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G183">
        <f>IF(ISNUMBER(SEARCH(SUBSTITUTE(AG$1,RIGHT(AG$1,2),""),VLOOKUP($D183,素材!$1:$1016,COLUMN($F$1),FALSE))),VLOOKUP($C183,装備品!$1:$998,COLUMN($O$1),FALSE)*VLOOKUP($D183,素材!$1:$1016,COLUMN($E$1),FALSE)/(LEN(VLOOKUP($D183,素材!$1:$1016,COLUMN($F$1),FALSE))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H183">
        <f>IF(ISNUMBER(SEARCH(SUBSTITUTE(AH$1,RIGHT(AH$1,2),""),VLOOKUP($D183,素材!$1:$1016,COLUMN($F$1),FALSE))),VLOOKUP($C183,装備品!$1:$998,COLUMN($O$1),FALSE)*VLOOKUP($D183,素材!$1:$1016,COLUMN($E$1),FALSE)/(LEN(VLOOKUP($D183,素材!$1:$1016,COLUMN($F$1),FALSE))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I183">
        <f>IF(ISNUMBER(SEARCH(SUBSTITUTE(AI$1,RIGHT(AI$1,2),""),VLOOKUP($D183,素材!$1:$1016,COLUMN($F$1),FALSE))),VLOOKUP($C183,装備品!$1:$998,COLUMN($O$1),FALSE)*VLOOKUP($D183,素材!$1:$1016,COLUMN($E$1),FALSE)/(LEN(VLOOKUP($D183,素材!$1:$1016,COLUMN($F$1),FALSE))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J183">
        <f>IF(ISNUMBER(SEARCH(SUBSTITUTE(AJ$1,RIGHT(AJ$1,2),""),VLOOKUP($D183,素材!$1:$1016,COLUMN($F$1),FALSE))),VLOOKUP($C183,装備品!$1:$998,COLUMN($O$1),FALSE)*VLOOKUP($D183,素材!$1:$1016,COLUMN($E$1),FALSE)/(LEN(VLOOKUP($D183,素材!$1:$1016,COLUMN($F$1),FALSE))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K183">
        <f>IF(ISNUMBER(SEARCH(SUBSTITUTE(AK$1,RIGHT(AK$1,2),""),VLOOKUP($D183,素材!$1:$1016,COLUMN($F$1),FALSE))),VLOOKUP($C183,装備品!$1:$998,COLUMN($O$1),FALSE)*VLOOKUP($D183,素材!$1:$1016,COLUMN($E$1),FALSE)/(LEN(VLOOKUP($D183,素材!$1:$1016,COLUMN($F$1),FALSE))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L183">
        <f>IF(ISNUMBER(SEARCH(SUBSTITUTE(AL$1,RIGHT(AL$1,2),""),VLOOKUP($D183,素材!$1:$1016,COLUMN($F$1),FALSE))),VLOOKUP($C183,装備品!$1:$998,COLUMN($O$1),FALSE)*VLOOKUP($D183,素材!$1:$1016,COLUMN($E$1),FALSE)/(LEN(VLOOKUP($D183,素材!$1:$1016,COLUMN($F$1),FALSE))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M183">
        <f>IF(ISNUMBER(SEARCH(SUBSTITUTE(AM$1,RIGHT(AM$1,2),""),VLOOKUP($D183,素材!$1:$1016,COLUMN($F$1),FALSE))),VLOOKUP($C183,装備品!$1:$998,COLUMN($O$1),FALSE)*VLOOKUP($D183,素材!$1:$1016,COLUMN($E$1),FALSE)/(LEN(VLOOKUP($D183,素材!$1:$1016,COLUMN($F$1),FALSE))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N183">
        <f>IF(ISNUMBER(SEARCH(SUBSTITUTE(AN$1,RIGHT(AN$1,2),""),VLOOKUP($D183,素材!$1:$1016,COLUMN($F$1),FALSE))),VLOOKUP($C183,装備品!$1:$998,COLUMN($O$1),FALSE)*VLOOKUP($D183,素材!$1:$1016,COLUMN($E$1),FALSE)/(LEN(VLOOKUP($D183,素材!$1:$1016,COLUMN($F$1),FALSE))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O183">
        <f>IF(ISNUMBER(SEARCH(SUBSTITUTE(AO$1,RIGHT(AO$1,2),""),VLOOKUP($D183,素材!$1:$1016,COLUMN($F$1),FALSE))),VLOOKUP($C183,装備品!$1:$998,COLUMN($O$1),FALSE)*VLOOKUP($D183,素材!$1:$1016,COLUMN($E$1),FALSE)/(LEN(VLOOKUP($D183,素材!$1:$1016,COLUMN($F$1),FALSE))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P183">
        <f>IF(ISNUMBER(SEARCH(SUBSTITUTE(AP$1,RIGHT(AP$1,2),""),VLOOKUP($D183,素材!$1:$1016,COLUMN($F$1),FALSE))),VLOOKUP($C183,装備品!$1:$998,COLUMN($O$1),FALSE)*VLOOKUP($D183,素材!$1:$1016,COLUMN($E$1),FALSE)/(LEN(VLOOKUP($D183,素材!$1:$1016,COLUMN($F$1),FALSE))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Q183">
        <f>IF(ISNUMBER(SEARCH(SUBSTITUTE(AQ$1,RIGHT(AQ$1,2),""),VLOOKUP($D183,素材!$1:$1016,COLUMN($F$1),FALSE))),VLOOKUP($C183,装備品!$1:$998,COLUMN($O$1),FALSE)*VLOOKUP($D183,素材!$1:$1016,COLUMN($E$1),FALSE)/(LEN(VLOOKUP($D183,素材!$1:$1016,COLUMN($F$1),FALSE))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R183">
        <f>IF(ISNUMBER(SEARCH(SUBSTITUTE(AR$1,RIGHT(AR$1,2),""),VLOOKUP($D183,素材!$1:$1016,COLUMN($F$1),FALSE))),VLOOKUP($C183,装備品!$1:$998,COLUMN($O$1),FALSE)*VLOOKUP($D183,素材!$1:$1016,COLUMN($E$1),FALSE)/(LEN(VLOOKUP($D183,素材!$1:$1016,COLUMN($F$1),FALSE))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S183">
        <f>IF(ISNUMBER(SEARCH(SUBSTITUTE(AS$1,RIGHT(AS$1,2),""),VLOOKUP($D183,素材!$1:$1016,COLUMN($F$1),FALSE))),VLOOKUP($C183,装備品!$1:$998,COLUMN($O$1),FALSE)*VLOOKUP($D183,素材!$1:$1016,COLUMN($E$1),FALSE)/(LEN(VLOOKUP($D183,素材!$1:$1016,COLUMN($F$1),FALSE))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T183">
        <f>IF(ISNUMBER(SEARCH(SUBSTITUTE(AT$1,RIGHT(AT$1,2),""),VLOOKUP($D183,素材!$1:$1016,COLUMN($F$1),FALSE))),VLOOKUP($C183,装備品!$1:$998,COLUMN($O$1),FALSE)*VLOOKUP($D183,素材!$1:$1016,COLUMN($E$1),FALSE)/(LEN(VLOOKUP($D183,素材!$1:$1016,COLUMN($F$1),FALSE))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U183">
        <f>IF(ISNUMBER(SEARCH(SUBSTITUTE(AU$1,RIGHT(AU$1,2),""),VLOOKUP($D183,素材!$1:$1016,COLUMN($F$1),FALSE))),VLOOKUP($C183,装備品!$1:$998,COLUMN($O$1),FALSE)*VLOOKUP($D183,素材!$1:$1016,COLUMN($E$1),FALSE)/(LEN(VLOOKUP($D183,素材!$1:$1016,COLUMN($F$1),FALSE))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V183">
        <f>IF(ISNUMBER(SEARCH(SUBSTITUTE(AV$1,RIGHT(AV$1,2),""),VLOOKUP($D183,素材!$1:$1016,COLUMN($F$1),FALSE))),VLOOKUP($C183,装備品!$1:$998,COLUMN($O$1),FALSE)*VLOOKUP($D183,素材!$1:$1016,COLUMN($E$1),FALSE)/(LEN(VLOOKUP($D183,素材!$1:$1016,COLUMN($F$1),FALSE))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W183">
        <f>IF(ISNUMBER(SEARCH(SUBSTITUTE(AW$1,RIGHT(AW$1,2),""),VLOOKUP($D183,素材!$1:$1016,COLUMN($F$1),FALSE))),VLOOKUP($C183,装備品!$1:$998,COLUMN($O$1),FALSE)*VLOOKUP($D183,素材!$1:$1016,COLUMN($E$1),FALSE)/(LEN(VLOOKUP($D183,素材!$1:$1016,COLUMN($F$1),FALSE))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X183">
        <f>IF(ISNUMBER(SEARCH(SUBSTITUTE(AX$1,RIGHT(AX$1,2),""),VLOOKUP($D183,素材!$1:$1016,COLUMN($F$1),FALSE))),VLOOKUP($C183,装備品!$1:$998,COLUMN($O$1),FALSE)*VLOOKUP($D183,素材!$1:$1016,COLUMN($E$1),FALSE)/(LEN(VLOOKUP($D183,素材!$1:$1016,COLUMN($F$1),FALSE))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Y183">
        <f>IF(ISNUMBER(SEARCH(SUBSTITUTE(AY$1,RIGHT(AY$1,2),""),VLOOKUP($D183,素材!$1:$1016,COLUMN($F$1),FALSE))),VLOOKUP($C183,装備品!$1:$998,COLUMN($O$1),FALSE)*VLOOKUP($D183,素材!$1:$1016,COLUMN($E$1),FALSE)/(LEN(VLOOKUP($D183,素材!$1:$1016,COLUMN($F$1),FALSE))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Z183">
        <f>IF(ISNUMBER(SEARCH(SUBSTITUTE(AZ$1,RIGHT(AZ$1,2),""),VLOOKUP($D183,素材!$1:$1016,COLUMN($F$1),FALSE))),VLOOKUP($C183,装備品!$1:$998,COLUMN($O$1),FALSE)*VLOOKUP($D183,素材!$1:$1016,COLUMN($E$1),FALSE)/(LEN(VLOOKUP($D183,素材!$1:$1016,COLUMN($F$1),FALSE))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BA183">
        <f>IF(ISNUMBER(SEARCH(SUBSTITUTE(BA$1,RIGHT(BA$1,2),""),VLOOKUP($D183,素材!$1:$1016,COLUMN($F$1),FALSE))),VLOOKUP($C183,装備品!$1:$998,COLUMN($O$1),FALSE)*VLOOKUP($D183,素材!$1:$1016,COLUMN($E$1),FALSE)/(LEN(VLOOKUP($D183,素材!$1:$1016,COLUMN($F$1),FALSE))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BB183">
        <f>IF(ISNUMBER(SEARCH(SUBSTITUTE(BB$1,RIGHT(BB$1,2),""),VLOOKUP($D183,素材!$1:$1016,COLUMN($F$1),FALSE))),VLOOKUP($C183,装備品!$1:$998,COLUMN($O$1),FALSE)*VLOOKUP($D183,素材!$1:$1016,COLUMN($E$1),FALSE)/(LEN(VLOOKUP($D183,素材!$1:$1016,COLUMN($F$1),FALSE))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BC183">
        <f>IF(ISNUMBER(SEARCH(SUBSTITUTE(BC$1,RIGHT(BC$1,2),""),VLOOKUP($D183,素材!$1:$1016,COLUMN($F$1),FALSE))),VLOOKUP($C183,装備品!$1:$998,COLUMN($O$1),FALSE)*VLOOKUP($D183,素材!$1:$1016,COLUMN($E$1),FALSE)/(LEN(VLOOKUP($D183,素材!$1:$1016,COLUMN($F$1),FALSE))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BD183">
        <f>IF(ISNUMBER(SEARCH(SUBSTITUTE(BD$1,RIGHT(BD$1,2),""),VLOOKUP($D183,素材!$1:$1016,COLUMN($F$1),FALSE))),VLOOKUP($C183,装備品!$1:$998,COLUMN($O$1),FALSE)*VLOOKUP($D183,素材!$1:$1016,COLUMN($E$1),FALSE)/(LEN(VLOOKUP($D183,素材!$1:$1016,COLUMN($F$1),FALSE))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BE183">
        <f>IF(ISNUMBER(SEARCH(SUBSTITUTE(BE$1,RIGHT(BE$1,2),""),VLOOKUP($D183,素材!$1:$1016,COLUMN($F$1),FALSE))),VLOOKUP($C183,装備品!$1:$998,COLUMN($O$1),FALSE)*VLOOKUP($D183,素材!$1:$1016,COLUMN($E$1),FALSE)/(LEN(VLOOKUP($D183,素材!$1:$1016,COLUMN($F$1),FALSE))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CL183">
        <f t="shared" si="19"/>
        <v>0</v>
      </c>
      <c r="CM183" s="22" t="e">
        <f t="shared" si="20"/>
        <v>#VALUE!</v>
      </c>
      <c r="CN183" t="str">
        <f>IFERROR(VLOOKUP($C183,装備品!$1:$998,COLUMN(V$1),FALSE)*VLOOKUP($D183,素材!$1:$1016,COLUMN(N$1),FALSE)+IF(CI183="",0,VLOOKUP($CI183,付与!$1:$1176,COLUMN($CK$1),FALSE)),"")</f>
        <v/>
      </c>
      <c r="CO183" t="e">
        <f>VLOOKUP(D183,素材!$A:$O,COLUMN(素材!O$1),FALSE)</f>
        <v>#N/A</v>
      </c>
      <c r="CP183" t="str">
        <f>VLOOKUP(C183,装備品!$A:$AB,COLUMN(装備品!AB$1),FALSE)</f>
        <v>長弓。射程が長く、高い威力を持つ。</v>
      </c>
      <c r="CR183" t="str">
        <f t="shared" si="24"/>
        <v>e_183</v>
      </c>
      <c r="CS183" t="e">
        <f t="shared" si="28"/>
        <v>#VALUE!</v>
      </c>
    </row>
    <row r="184" spans="1:97" outlineLevel="1" x14ac:dyDescent="0.4">
      <c r="A184" t="str">
        <f t="shared" si="33"/>
        <v>黒鋼鉄の杖</v>
      </c>
      <c r="B184" t="str">
        <f>IFERROR(VLOOKUP($D184,素材!$1:$1016,COLUMN($B$1),FALSE)&amp;"・"&amp;VLOOKUP($C184,装備品!$1:$998,COLUMN(B$1),FALSE),"")</f>
        <v/>
      </c>
      <c r="C184" t="s">
        <v>215</v>
      </c>
      <c r="D184" s="24" t="s">
        <v>243</v>
      </c>
      <c r="E184" t="str">
        <f>IFERROR(VLOOKUP(C184,装備品!$1:$998,COLUMN(C$1),FALSE),"")</f>
        <v>杖</v>
      </c>
      <c r="F184" t="str">
        <f>IFERROR(ROUNDDOWN((VLOOKUP($C184,装備品!$1:$998,COLUMN(D$1),FALSE)+IFERROR(VLOOKUP($CI184,付与!$1:$1167,COLUMN(F$1),FALSE),0))*VLOOKUP($D184,素材!$1:$1016,COLUMN(D$1),FALSE),0),"")</f>
        <v/>
      </c>
      <c r="G184" t="str">
        <f>IFERROR(ROUNDDOWN((VLOOKUP($C184,装備品!$1:$998,COLUMN(E$1),FALSE)+IFERROR(VLOOKUP($CI184,付与!$1:$1167,COLUMN(G$1),FALSE),0))*VLOOKUP($D184,素材!$1:$1016,COLUMN($E$1),FALSE),0),"")</f>
        <v/>
      </c>
      <c r="H184" t="str">
        <f>IFERROR(ROUNDDOWN((VLOOKUP($C184,装備品!$1:$998,COLUMN(F$1),FALSE)+IFERROR(VLOOKUP($CI184,付与!$1:$1167,COLUMN(H$1),FALSE),0))*VLOOKUP($D184,素材!$1:$1016,COLUMN($E$1),FALSE),0),"")</f>
        <v/>
      </c>
      <c r="I184" t="str">
        <f>IFERROR(ROUNDDOWN((VLOOKUP($C184,装備品!$1:$998,COLUMN(G$1),FALSE)+IFERROR(VLOOKUP($CI184,付与!$1:$1167,COLUMN(I$1),FALSE),0))*VLOOKUP($D184,素材!$1:$1016,COLUMN($E$1),FALSE),0),"")</f>
        <v/>
      </c>
      <c r="J184" t="str">
        <f>IFERROR(ROUNDDOWN((VLOOKUP($C184,装備品!$1:$998,COLUMN(H$1),FALSE)+IFERROR(VLOOKUP($CI184,付与!$1:$1167,COLUMN(J$1),FALSE),0))*VLOOKUP($D184,素材!$1:$1016,COLUMN($E$1),FALSE),0),"")</f>
        <v/>
      </c>
      <c r="K184" t="str">
        <f>IFERROR(ROUNDDOWN((VLOOKUP($C184,装備品!$1:$998,COLUMN(I$1),FALSE)+IFERROR(VLOOKUP($CI184,付与!$1:$1167,COLUMN(K$1),FALSE),0))*VLOOKUP($D184,素材!$1:$1016,COLUMN($E$1),FALSE),0),"")</f>
        <v/>
      </c>
      <c r="L184" t="str">
        <f>IFERROR(VLOOKUP($D184,素材!$1:$1016,COLUMN($F$1),FALSE),"")</f>
        <v/>
      </c>
      <c r="M184" t="str">
        <f>IFERROR(VLOOKUP($C184,装備品!$1:$998,COLUMN(AA$1),FALSE)*VLOOKUP($D184,素材!$1:$1016,COLUMN($G$1),FALSE),"")</f>
        <v/>
      </c>
      <c r="N184">
        <f>IFERROR(VLOOKUP($C184,装備品!$1:$998,COLUMN(I$1),FALSE),"")</f>
        <v>0</v>
      </c>
      <c r="O184" s="23" t="str">
        <f>IFERROR((VLOOKUP($C184,装備品!$1:$998,COLUMN(K$1),FALSE)+VLOOKUP($D184,素材!$1:$1016,COLUMN(H$1),FALSE))*100+IFERROR(VLOOKUP($CI184,付与!$1:$1167,COLUMN(O$1),FALSE),0),"")</f>
        <v/>
      </c>
      <c r="P184" s="23" t="str">
        <f>IFERROR((VLOOKUP($C184,装備品!$1:$998,COLUMN(L$1),FALSE)+VLOOKUP($D184,素材!$1:$1016,COLUMN(I$1),FALSE))*100+IFERROR(VLOOKUP($CI184,付与!$1:$1167,COLUMN(P$1),FALSE),0),"")</f>
        <v/>
      </c>
      <c r="Q184" t="str">
        <f>IFERROR(ROUNDUP(VLOOKUP($C184,装備品!$1:$998,COLUMN(M$1),FALSE)*(VLOOKUP($D184,素材!$1:$1002,COLUMN(D$1),FALSE)/100),1),"")</f>
        <v/>
      </c>
      <c r="R184" t="str">
        <f>IFERROR(ROUNDUP(VLOOKUP($C184,装備品!$1:$998,COLUMN(N$1),FALSE)*(VLOOKUP($D184,素材!$1:$1002,COLUMN(D$1),FALSE)/100),1),"")</f>
        <v/>
      </c>
      <c r="S184">
        <f>IFERROR(VLOOKUP($C184,装備品!$1:$998,COLUMN(P$1),FALSE),"")</f>
        <v>0</v>
      </c>
      <c r="T184">
        <f>IFERROR(VLOOKUP($C184,装備品!$1:$998,COLUMN(Q$1),FALSE),"")</f>
        <v>0</v>
      </c>
      <c r="U184">
        <f>IFERROR(VLOOKUP($C184,装備品!$1:$998,COLUMN(R$1),FALSE),"")</f>
        <v>0</v>
      </c>
      <c r="V184">
        <f>IFERROR(VLOOKUP($C184,装備品!$1:$998,COLUMN(Q$1),FALSE),"")</f>
        <v>0</v>
      </c>
      <c r="W184">
        <f>IFERROR(VLOOKUP($C184,装備品!$1:$998,COLUMN(T$1),FALSE),"")</f>
        <v>0</v>
      </c>
      <c r="Y184">
        <f>IFERROR(VLOOKUP($C184,装備品!$1:$998,COLUMN(U$1),FALSE),"")</f>
        <v>0</v>
      </c>
      <c r="Z184" t="str">
        <f>IFERROR(ROUNDUP(VLOOKUP($C184,装備品!$1:$998,COLUMN(O$1),FALSE)*VLOOKUP($D184,素材!$1:$1016,COLUMN(E$1),FALSE),1),"")</f>
        <v/>
      </c>
      <c r="AA184">
        <f>IF(ISNUMBER(SEARCH(SUBSTITUTE(AA$1,RIGHT(AA$1,2),""),VLOOKUP($D184,素材!$1:$1016,COLUMN($F$1),FALSE))),VLOOKUP($C184,装備品!$1:$998,COLUMN($O$1),FALSE)*VLOOKUP($D184,素材!$1:$1016,COLUMN($E$1),FALSE)/(LEN(VLOOKUP($D184,素材!$1:$1016,COLUMN($F$1),FALSE))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B184">
        <f>IF(ISNUMBER(SEARCH(SUBSTITUTE(AB$1,RIGHT(AB$1,2),""),VLOOKUP($D184,素材!$1:$1016,COLUMN($F$1),FALSE))),VLOOKUP($C184,装備品!$1:$998,COLUMN($O$1),FALSE)*VLOOKUP($D184,素材!$1:$1016,COLUMN($E$1),FALSE)/(LEN(VLOOKUP($D184,素材!$1:$1016,COLUMN($F$1),FALSE))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C184">
        <f>IF(ISNUMBER(SEARCH(SUBSTITUTE(AC$1,RIGHT(AC$1,2),""),VLOOKUP($D184,素材!$1:$1016,COLUMN($F$1),FALSE))),VLOOKUP($C184,装備品!$1:$998,COLUMN($O$1),FALSE)*VLOOKUP($D184,素材!$1:$1016,COLUMN($E$1),FALSE)/(LEN(VLOOKUP($D184,素材!$1:$1016,COLUMN($F$1),FALSE))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D184">
        <f>IF(ISNUMBER(SEARCH(SUBSTITUTE(AD$1,RIGHT(AD$1,2),""),VLOOKUP($D184,素材!$1:$1016,COLUMN($F$1),FALSE))),VLOOKUP($C184,装備品!$1:$998,COLUMN($O$1),FALSE)*VLOOKUP($D184,素材!$1:$1016,COLUMN($E$1),FALSE)/(LEN(VLOOKUP($D184,素材!$1:$1016,COLUMN($F$1),FALSE))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E184">
        <f>IF(ISNUMBER(SEARCH(SUBSTITUTE(AE$1,RIGHT(AE$1,2),""),VLOOKUP($D184,素材!$1:$1016,COLUMN($F$1),FALSE))),VLOOKUP($C184,装備品!$1:$998,COLUMN($O$1),FALSE)*VLOOKUP($D184,素材!$1:$1016,COLUMN($E$1),FALSE)/(LEN(VLOOKUP($D184,素材!$1:$1016,COLUMN($F$1),FALSE))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F184">
        <f>IF(ISNUMBER(SEARCH(SUBSTITUTE(AF$1,RIGHT(AF$1,2),""),VLOOKUP($D184,素材!$1:$1016,COLUMN($F$1),FALSE))),VLOOKUP($C184,装備品!$1:$998,COLUMN($O$1),FALSE)*VLOOKUP($D184,素材!$1:$1016,COLUMN($E$1),FALSE)/(LEN(VLOOKUP($D184,素材!$1:$1016,COLUMN($F$1),FALSE))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G184">
        <f>IF(ISNUMBER(SEARCH(SUBSTITUTE(AG$1,RIGHT(AG$1,2),""),VLOOKUP($D184,素材!$1:$1016,COLUMN($F$1),FALSE))),VLOOKUP($C184,装備品!$1:$998,COLUMN($O$1),FALSE)*VLOOKUP($D184,素材!$1:$1016,COLUMN($E$1),FALSE)/(LEN(VLOOKUP($D184,素材!$1:$1016,COLUMN($F$1),FALSE))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H184">
        <f>IF(ISNUMBER(SEARCH(SUBSTITUTE(AH$1,RIGHT(AH$1,2),""),VLOOKUP($D184,素材!$1:$1016,COLUMN($F$1),FALSE))),VLOOKUP($C184,装備品!$1:$998,COLUMN($O$1),FALSE)*VLOOKUP($D184,素材!$1:$1016,COLUMN($E$1),FALSE)/(LEN(VLOOKUP($D184,素材!$1:$1016,COLUMN($F$1),FALSE))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I184">
        <f>IF(ISNUMBER(SEARCH(SUBSTITUTE(AI$1,RIGHT(AI$1,2),""),VLOOKUP($D184,素材!$1:$1016,COLUMN($F$1),FALSE))),VLOOKUP($C184,装備品!$1:$998,COLUMN($O$1),FALSE)*VLOOKUP($D184,素材!$1:$1016,COLUMN($E$1),FALSE)/(LEN(VLOOKUP($D184,素材!$1:$1016,COLUMN($F$1),FALSE))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J184">
        <f>IF(ISNUMBER(SEARCH(SUBSTITUTE(AJ$1,RIGHT(AJ$1,2),""),VLOOKUP($D184,素材!$1:$1016,COLUMN($F$1),FALSE))),VLOOKUP($C184,装備品!$1:$998,COLUMN($O$1),FALSE)*VLOOKUP($D184,素材!$1:$1016,COLUMN($E$1),FALSE)/(LEN(VLOOKUP($D184,素材!$1:$1016,COLUMN($F$1),FALSE))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K184">
        <f>IF(ISNUMBER(SEARCH(SUBSTITUTE(AK$1,RIGHT(AK$1,2),""),VLOOKUP($D184,素材!$1:$1016,COLUMN($F$1),FALSE))),VLOOKUP($C184,装備品!$1:$998,COLUMN($O$1),FALSE)*VLOOKUP($D184,素材!$1:$1016,COLUMN($E$1),FALSE)/(LEN(VLOOKUP($D184,素材!$1:$1016,COLUMN($F$1),FALSE))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L184">
        <f>IF(ISNUMBER(SEARCH(SUBSTITUTE(AL$1,RIGHT(AL$1,2),""),VLOOKUP($D184,素材!$1:$1016,COLUMN($F$1),FALSE))),VLOOKUP($C184,装備品!$1:$998,COLUMN($O$1),FALSE)*VLOOKUP($D184,素材!$1:$1016,COLUMN($E$1),FALSE)/(LEN(VLOOKUP($D184,素材!$1:$1016,COLUMN($F$1),FALSE))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M184">
        <f>IF(ISNUMBER(SEARCH(SUBSTITUTE(AM$1,RIGHT(AM$1,2),""),VLOOKUP($D184,素材!$1:$1016,COLUMN($F$1),FALSE))),VLOOKUP($C184,装備品!$1:$998,COLUMN($O$1),FALSE)*VLOOKUP($D184,素材!$1:$1016,COLUMN($E$1),FALSE)/(LEN(VLOOKUP($D184,素材!$1:$1016,COLUMN($F$1),FALSE))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N184">
        <f>IF(ISNUMBER(SEARCH(SUBSTITUTE(AN$1,RIGHT(AN$1,2),""),VLOOKUP($D184,素材!$1:$1016,COLUMN($F$1),FALSE))),VLOOKUP($C184,装備品!$1:$998,COLUMN($O$1),FALSE)*VLOOKUP($D184,素材!$1:$1016,COLUMN($E$1),FALSE)/(LEN(VLOOKUP($D184,素材!$1:$1016,COLUMN($F$1),FALSE))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O184">
        <f>IF(ISNUMBER(SEARCH(SUBSTITUTE(AO$1,RIGHT(AO$1,2),""),VLOOKUP($D184,素材!$1:$1016,COLUMN($F$1),FALSE))),VLOOKUP($C184,装備品!$1:$998,COLUMN($O$1),FALSE)*VLOOKUP($D184,素材!$1:$1016,COLUMN($E$1),FALSE)/(LEN(VLOOKUP($D184,素材!$1:$1016,COLUMN($F$1),FALSE))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P184">
        <f>IF(ISNUMBER(SEARCH(SUBSTITUTE(AP$1,RIGHT(AP$1,2),""),VLOOKUP($D184,素材!$1:$1016,COLUMN($F$1),FALSE))),VLOOKUP($C184,装備品!$1:$998,COLUMN($O$1),FALSE)*VLOOKUP($D184,素材!$1:$1016,COLUMN($E$1),FALSE)/(LEN(VLOOKUP($D184,素材!$1:$1016,COLUMN($F$1),FALSE))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Q184">
        <f>IF(ISNUMBER(SEARCH(SUBSTITUTE(AQ$1,RIGHT(AQ$1,2),""),VLOOKUP($D184,素材!$1:$1016,COLUMN($F$1),FALSE))),VLOOKUP($C184,装備品!$1:$998,COLUMN($O$1),FALSE)*VLOOKUP($D184,素材!$1:$1016,COLUMN($E$1),FALSE)/(LEN(VLOOKUP($D184,素材!$1:$1016,COLUMN($F$1),FALSE))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R184">
        <f>IF(ISNUMBER(SEARCH(SUBSTITUTE(AR$1,RIGHT(AR$1,2),""),VLOOKUP($D184,素材!$1:$1016,COLUMN($F$1),FALSE))),VLOOKUP($C184,装備品!$1:$998,COLUMN($O$1),FALSE)*VLOOKUP($D184,素材!$1:$1016,COLUMN($E$1),FALSE)/(LEN(VLOOKUP($D184,素材!$1:$1016,COLUMN($F$1),FALSE))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S184">
        <f>IF(ISNUMBER(SEARCH(SUBSTITUTE(AS$1,RIGHT(AS$1,2),""),VLOOKUP($D184,素材!$1:$1016,COLUMN($F$1),FALSE))),VLOOKUP($C184,装備品!$1:$998,COLUMN($O$1),FALSE)*VLOOKUP($D184,素材!$1:$1016,COLUMN($E$1),FALSE)/(LEN(VLOOKUP($D184,素材!$1:$1016,COLUMN($F$1),FALSE))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T184">
        <f>IF(ISNUMBER(SEARCH(SUBSTITUTE(AT$1,RIGHT(AT$1,2),""),VLOOKUP($D184,素材!$1:$1016,COLUMN($F$1),FALSE))),VLOOKUP($C184,装備品!$1:$998,COLUMN($O$1),FALSE)*VLOOKUP($D184,素材!$1:$1016,COLUMN($E$1),FALSE)/(LEN(VLOOKUP($D184,素材!$1:$1016,COLUMN($F$1),FALSE))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U184">
        <f>IF(ISNUMBER(SEARCH(SUBSTITUTE(AU$1,RIGHT(AU$1,2),""),VLOOKUP($D184,素材!$1:$1016,COLUMN($F$1),FALSE))),VLOOKUP($C184,装備品!$1:$998,COLUMN($O$1),FALSE)*VLOOKUP($D184,素材!$1:$1016,COLUMN($E$1),FALSE)/(LEN(VLOOKUP($D184,素材!$1:$1016,COLUMN($F$1),FALSE))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V184">
        <f>IF(ISNUMBER(SEARCH(SUBSTITUTE(AV$1,RIGHT(AV$1,2),""),VLOOKUP($D184,素材!$1:$1016,COLUMN($F$1),FALSE))),VLOOKUP($C184,装備品!$1:$998,COLUMN($O$1),FALSE)*VLOOKUP($D184,素材!$1:$1016,COLUMN($E$1),FALSE)/(LEN(VLOOKUP($D184,素材!$1:$1016,COLUMN($F$1),FALSE))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W184">
        <f>IF(ISNUMBER(SEARCH(SUBSTITUTE(AW$1,RIGHT(AW$1,2),""),VLOOKUP($D184,素材!$1:$1016,COLUMN($F$1),FALSE))),VLOOKUP($C184,装備品!$1:$998,COLUMN($O$1),FALSE)*VLOOKUP($D184,素材!$1:$1016,COLUMN($E$1),FALSE)/(LEN(VLOOKUP($D184,素材!$1:$1016,COLUMN($F$1),FALSE))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X184">
        <f>IF(ISNUMBER(SEARCH(SUBSTITUTE(AX$1,RIGHT(AX$1,2),""),VLOOKUP($D184,素材!$1:$1016,COLUMN($F$1),FALSE))),VLOOKUP($C184,装備品!$1:$998,COLUMN($O$1),FALSE)*VLOOKUP($D184,素材!$1:$1016,COLUMN($E$1),FALSE)/(LEN(VLOOKUP($D184,素材!$1:$1016,COLUMN($F$1),FALSE))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Y184">
        <f>IF(ISNUMBER(SEARCH(SUBSTITUTE(AY$1,RIGHT(AY$1,2),""),VLOOKUP($D184,素材!$1:$1016,COLUMN($F$1),FALSE))),VLOOKUP($C184,装備品!$1:$998,COLUMN($O$1),FALSE)*VLOOKUP($D184,素材!$1:$1016,COLUMN($E$1),FALSE)/(LEN(VLOOKUP($D184,素材!$1:$1016,COLUMN($F$1),FALSE))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Z184">
        <f>IF(ISNUMBER(SEARCH(SUBSTITUTE(AZ$1,RIGHT(AZ$1,2),""),VLOOKUP($D184,素材!$1:$1016,COLUMN($F$1),FALSE))),VLOOKUP($C184,装備品!$1:$998,COLUMN($O$1),FALSE)*VLOOKUP($D184,素材!$1:$1016,COLUMN($E$1),FALSE)/(LEN(VLOOKUP($D184,素材!$1:$1016,COLUMN($F$1),FALSE))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BA184">
        <f>IF(ISNUMBER(SEARCH(SUBSTITUTE(BA$1,RIGHT(BA$1,2),""),VLOOKUP($D184,素材!$1:$1016,COLUMN($F$1),FALSE))),VLOOKUP($C184,装備品!$1:$998,COLUMN($O$1),FALSE)*VLOOKUP($D184,素材!$1:$1016,COLUMN($E$1),FALSE)/(LEN(VLOOKUP($D184,素材!$1:$1016,COLUMN($F$1),FALSE))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BB184">
        <f>IF(ISNUMBER(SEARCH(SUBSTITUTE(BB$1,RIGHT(BB$1,2),""),VLOOKUP($D184,素材!$1:$1016,COLUMN($F$1),FALSE))),VLOOKUP($C184,装備品!$1:$998,COLUMN($O$1),FALSE)*VLOOKUP($D184,素材!$1:$1016,COLUMN($E$1),FALSE)/(LEN(VLOOKUP($D184,素材!$1:$1016,COLUMN($F$1),FALSE))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BC184">
        <f>IF(ISNUMBER(SEARCH(SUBSTITUTE(BC$1,RIGHT(BC$1,2),""),VLOOKUP($D184,素材!$1:$1016,COLUMN($F$1),FALSE))),VLOOKUP($C184,装備品!$1:$998,COLUMN($O$1),FALSE)*VLOOKUP($D184,素材!$1:$1016,COLUMN($E$1),FALSE)/(LEN(VLOOKUP($D184,素材!$1:$1016,COLUMN($F$1),FALSE))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BD184">
        <f>IF(ISNUMBER(SEARCH(SUBSTITUTE(BD$1,RIGHT(BD$1,2),""),VLOOKUP($D184,素材!$1:$1016,COLUMN($F$1),FALSE))),VLOOKUP($C184,装備品!$1:$998,COLUMN($O$1),FALSE)*VLOOKUP($D184,素材!$1:$1016,COLUMN($E$1),FALSE)/(LEN(VLOOKUP($D184,素材!$1:$1016,COLUMN($F$1),FALSE))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BE184">
        <f>IF(ISNUMBER(SEARCH(SUBSTITUTE(BE$1,RIGHT(BE$1,2),""),VLOOKUP($D184,素材!$1:$1016,COLUMN($F$1),FALSE))),VLOOKUP($C184,装備品!$1:$998,COLUMN($O$1),FALSE)*VLOOKUP($D184,素材!$1:$1016,COLUMN($E$1),FALSE)/(LEN(VLOOKUP($D184,素材!$1:$1016,COLUMN($F$1),FALSE))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CL184">
        <f t="shared" si="19"/>
        <v>0</v>
      </c>
      <c r="CM184" s="22" t="str">
        <f t="shared" si="20"/>
        <v>杖.webp</v>
      </c>
      <c r="CN184" t="str">
        <f>IFERROR(VLOOKUP($C184,装備品!$1:$998,COLUMN(V$1),FALSE)*VLOOKUP($D184,素材!$1:$1016,COLUMN(N$1),FALSE)+IF(CI184="",0,VLOOKUP($CI184,付与!$1:$1176,COLUMN($CK$1),FALSE)),"")</f>
        <v/>
      </c>
      <c r="CO184" t="e">
        <f>VLOOKUP(D184,素材!$A:$O,COLUMN(素材!O$1),FALSE)</f>
        <v>#N/A</v>
      </c>
      <c r="CP184" t="str">
        <f>VLOOKUP(C184,装備品!$A:$AB,COLUMN(装備品!AB$1),FALSE)</f>
        <v>杖。バランスの取れた魔法武器。</v>
      </c>
      <c r="CR184" t="str">
        <f t="shared" si="24"/>
        <v>e_184</v>
      </c>
      <c r="CS184" t="e">
        <f t="shared" si="28"/>
        <v>#VALUE!</v>
      </c>
    </row>
    <row r="185" spans="1:97" outlineLevel="1" x14ac:dyDescent="0.4">
      <c r="A185" t="str">
        <f t="shared" si="33"/>
        <v>黒鋼鉄の長杖</v>
      </c>
      <c r="B185" t="str">
        <f>IFERROR(VLOOKUP($D185,素材!$1:$1016,COLUMN($B$1),FALSE)&amp;"・"&amp;VLOOKUP($C185,装備品!$1:$998,COLUMN(B$1),FALSE),"")</f>
        <v/>
      </c>
      <c r="C185" t="s">
        <v>214</v>
      </c>
      <c r="D185" s="24" t="s">
        <v>243</v>
      </c>
      <c r="E185" t="str">
        <f>IFERROR(VLOOKUP(C185,装備品!$1:$998,COLUMN(C$1),FALSE),"")</f>
        <v>杖</v>
      </c>
      <c r="F185" t="str">
        <f>IFERROR(ROUNDDOWN((VLOOKUP($C185,装備品!$1:$998,COLUMN(D$1),FALSE)+IFERROR(VLOOKUP($CI185,付与!$1:$1167,COLUMN(F$1),FALSE),0))*VLOOKUP($D185,素材!$1:$1016,COLUMN(D$1),FALSE),0),"")</f>
        <v/>
      </c>
      <c r="G185" t="str">
        <f>IFERROR(ROUNDDOWN((VLOOKUP($C185,装備品!$1:$998,COLUMN(E$1),FALSE)+IFERROR(VLOOKUP($CI185,付与!$1:$1167,COLUMN(G$1),FALSE),0))*VLOOKUP($D185,素材!$1:$1016,COLUMN($E$1),FALSE),0),"")</f>
        <v/>
      </c>
      <c r="H185" t="str">
        <f>IFERROR(ROUNDDOWN((VLOOKUP($C185,装備品!$1:$998,COLUMN(F$1),FALSE)+IFERROR(VLOOKUP($CI185,付与!$1:$1167,COLUMN(H$1),FALSE),0))*VLOOKUP($D185,素材!$1:$1016,COLUMN($E$1),FALSE),0),"")</f>
        <v/>
      </c>
      <c r="I185" t="str">
        <f>IFERROR(ROUNDDOWN((VLOOKUP($C185,装備品!$1:$998,COLUMN(G$1),FALSE)+IFERROR(VLOOKUP($CI185,付与!$1:$1167,COLUMN(I$1),FALSE),0))*VLOOKUP($D185,素材!$1:$1016,COLUMN($E$1),FALSE),0),"")</f>
        <v/>
      </c>
      <c r="J185" t="str">
        <f>IFERROR(ROUNDDOWN((VLOOKUP($C185,装備品!$1:$998,COLUMN(H$1),FALSE)+IFERROR(VLOOKUP($CI185,付与!$1:$1167,COLUMN(J$1),FALSE),0))*VLOOKUP($D185,素材!$1:$1016,COLUMN($E$1),FALSE),0),"")</f>
        <v/>
      </c>
      <c r="K185" t="str">
        <f>IFERROR(ROUNDDOWN((VLOOKUP($C185,装備品!$1:$998,COLUMN(I$1),FALSE)+IFERROR(VLOOKUP($CI185,付与!$1:$1167,COLUMN(K$1),FALSE),0))*VLOOKUP($D185,素材!$1:$1016,COLUMN($E$1),FALSE),0),"")</f>
        <v/>
      </c>
      <c r="L185" t="str">
        <f>IFERROR(VLOOKUP($D185,素材!$1:$1016,COLUMN($F$1),FALSE),"")</f>
        <v/>
      </c>
      <c r="M185" t="str">
        <f>IFERROR(VLOOKUP($C185,装備品!$1:$998,COLUMN(AA$1),FALSE)*VLOOKUP($D185,素材!$1:$1016,COLUMN($G$1),FALSE),"")</f>
        <v/>
      </c>
      <c r="N185">
        <f>IFERROR(VLOOKUP($C185,装備品!$1:$998,COLUMN(I$1),FALSE),"")</f>
        <v>0</v>
      </c>
      <c r="O185" s="23" t="str">
        <f>IFERROR((VLOOKUP($C185,装備品!$1:$998,COLUMN(K$1),FALSE)+VLOOKUP($D185,素材!$1:$1016,COLUMN(H$1),FALSE))*100+IFERROR(VLOOKUP($CI185,付与!$1:$1167,COLUMN(O$1),FALSE),0),"")</f>
        <v/>
      </c>
      <c r="P185" s="23" t="str">
        <f>IFERROR((VLOOKUP($C185,装備品!$1:$998,COLUMN(L$1),FALSE)+VLOOKUP($D185,素材!$1:$1016,COLUMN(I$1),FALSE))*100+IFERROR(VLOOKUP($CI185,付与!$1:$1167,COLUMN(P$1),FALSE),0),"")</f>
        <v/>
      </c>
      <c r="Q185" t="str">
        <f>IFERROR(ROUNDUP(VLOOKUP($C185,装備品!$1:$998,COLUMN(M$1),FALSE)*(VLOOKUP($D185,素材!$1:$1002,COLUMN(D$1),FALSE)/100),1),"")</f>
        <v/>
      </c>
      <c r="R185" t="str">
        <f>IFERROR(ROUNDUP(VLOOKUP($C185,装備品!$1:$998,COLUMN(N$1),FALSE)*(VLOOKUP($D185,素材!$1:$1002,COLUMN(D$1),FALSE)/100),1),"")</f>
        <v/>
      </c>
      <c r="S185">
        <f>IFERROR(VLOOKUP($C185,装備品!$1:$998,COLUMN(P$1),FALSE),"")</f>
        <v>0</v>
      </c>
      <c r="T185">
        <f>IFERROR(VLOOKUP($C185,装備品!$1:$998,COLUMN(Q$1),FALSE),"")</f>
        <v>0</v>
      </c>
      <c r="U185">
        <f>IFERROR(VLOOKUP($C185,装備品!$1:$998,COLUMN(R$1),FALSE),"")</f>
        <v>0</v>
      </c>
      <c r="V185">
        <f>IFERROR(VLOOKUP($C185,装備品!$1:$998,COLUMN(Q$1),FALSE),"")</f>
        <v>0</v>
      </c>
      <c r="W185">
        <f>IFERROR(VLOOKUP($C185,装備品!$1:$998,COLUMN(T$1),FALSE),"")</f>
        <v>0</v>
      </c>
      <c r="Y185">
        <f>IFERROR(VLOOKUP($C185,装備品!$1:$998,COLUMN(U$1),FALSE),"")</f>
        <v>0</v>
      </c>
      <c r="Z185" t="str">
        <f>IFERROR(ROUNDUP(VLOOKUP($C185,装備品!$1:$998,COLUMN(O$1),FALSE)*VLOOKUP($D185,素材!$1:$1016,COLUMN(E$1),FALSE),1),"")</f>
        <v/>
      </c>
      <c r="AA185">
        <f>IF(ISNUMBER(SEARCH(SUBSTITUTE(AA$1,RIGHT(AA$1,2),""),VLOOKUP($D185,素材!$1:$1016,COLUMN($F$1),FALSE))),VLOOKUP($C185,装備品!$1:$998,COLUMN($O$1),FALSE)*VLOOKUP($D185,素材!$1:$1016,COLUMN($E$1),FALSE)/(LEN(VLOOKUP($D185,素材!$1:$1016,COLUMN($F$1),FALSE))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B185">
        <f>IF(ISNUMBER(SEARCH(SUBSTITUTE(AB$1,RIGHT(AB$1,2),""),VLOOKUP($D185,素材!$1:$1016,COLUMN($F$1),FALSE))),VLOOKUP($C185,装備品!$1:$998,COLUMN($O$1),FALSE)*VLOOKUP($D185,素材!$1:$1016,COLUMN($E$1),FALSE)/(LEN(VLOOKUP($D185,素材!$1:$1016,COLUMN($F$1),FALSE))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C185">
        <f>IF(ISNUMBER(SEARCH(SUBSTITUTE(AC$1,RIGHT(AC$1,2),""),VLOOKUP($D185,素材!$1:$1016,COLUMN($F$1),FALSE))),VLOOKUP($C185,装備品!$1:$998,COLUMN($O$1),FALSE)*VLOOKUP($D185,素材!$1:$1016,COLUMN($E$1),FALSE)/(LEN(VLOOKUP($D185,素材!$1:$1016,COLUMN($F$1),FALSE))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D185">
        <f>IF(ISNUMBER(SEARCH(SUBSTITUTE(AD$1,RIGHT(AD$1,2),""),VLOOKUP($D185,素材!$1:$1016,COLUMN($F$1),FALSE))),VLOOKUP($C185,装備品!$1:$998,COLUMN($O$1),FALSE)*VLOOKUP($D185,素材!$1:$1016,COLUMN($E$1),FALSE)/(LEN(VLOOKUP($D185,素材!$1:$1016,COLUMN($F$1),FALSE))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E185">
        <f>IF(ISNUMBER(SEARCH(SUBSTITUTE(AE$1,RIGHT(AE$1,2),""),VLOOKUP($D185,素材!$1:$1016,COLUMN($F$1),FALSE))),VLOOKUP($C185,装備品!$1:$998,COLUMN($O$1),FALSE)*VLOOKUP($D185,素材!$1:$1016,COLUMN($E$1),FALSE)/(LEN(VLOOKUP($D185,素材!$1:$1016,COLUMN($F$1),FALSE))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F185">
        <f>IF(ISNUMBER(SEARCH(SUBSTITUTE(AF$1,RIGHT(AF$1,2),""),VLOOKUP($D185,素材!$1:$1016,COLUMN($F$1),FALSE))),VLOOKUP($C185,装備品!$1:$998,COLUMN($O$1),FALSE)*VLOOKUP($D185,素材!$1:$1016,COLUMN($E$1),FALSE)/(LEN(VLOOKUP($D185,素材!$1:$1016,COLUMN($F$1),FALSE))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G185">
        <f>IF(ISNUMBER(SEARCH(SUBSTITUTE(AG$1,RIGHT(AG$1,2),""),VLOOKUP($D185,素材!$1:$1016,COLUMN($F$1),FALSE))),VLOOKUP($C185,装備品!$1:$998,COLUMN($O$1),FALSE)*VLOOKUP($D185,素材!$1:$1016,COLUMN($E$1),FALSE)/(LEN(VLOOKUP($D185,素材!$1:$1016,COLUMN($F$1),FALSE))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H185">
        <f>IF(ISNUMBER(SEARCH(SUBSTITUTE(AH$1,RIGHT(AH$1,2),""),VLOOKUP($D185,素材!$1:$1016,COLUMN($F$1),FALSE))),VLOOKUP($C185,装備品!$1:$998,COLUMN($O$1),FALSE)*VLOOKUP($D185,素材!$1:$1016,COLUMN($E$1),FALSE)/(LEN(VLOOKUP($D185,素材!$1:$1016,COLUMN($F$1),FALSE))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I185">
        <f>IF(ISNUMBER(SEARCH(SUBSTITUTE(AI$1,RIGHT(AI$1,2),""),VLOOKUP($D185,素材!$1:$1016,COLUMN($F$1),FALSE))),VLOOKUP($C185,装備品!$1:$998,COLUMN($O$1),FALSE)*VLOOKUP($D185,素材!$1:$1016,COLUMN($E$1),FALSE)/(LEN(VLOOKUP($D185,素材!$1:$1016,COLUMN($F$1),FALSE))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J185">
        <f>IF(ISNUMBER(SEARCH(SUBSTITUTE(AJ$1,RIGHT(AJ$1,2),""),VLOOKUP($D185,素材!$1:$1016,COLUMN($F$1),FALSE))),VLOOKUP($C185,装備品!$1:$998,COLUMN($O$1),FALSE)*VLOOKUP($D185,素材!$1:$1016,COLUMN($E$1),FALSE)/(LEN(VLOOKUP($D185,素材!$1:$1016,COLUMN($F$1),FALSE))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K185">
        <f>IF(ISNUMBER(SEARCH(SUBSTITUTE(AK$1,RIGHT(AK$1,2),""),VLOOKUP($D185,素材!$1:$1016,COLUMN($F$1),FALSE))),VLOOKUP($C185,装備品!$1:$998,COLUMN($O$1),FALSE)*VLOOKUP($D185,素材!$1:$1016,COLUMN($E$1),FALSE)/(LEN(VLOOKUP($D185,素材!$1:$1016,COLUMN($F$1),FALSE))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L185">
        <f>IF(ISNUMBER(SEARCH(SUBSTITUTE(AL$1,RIGHT(AL$1,2),""),VLOOKUP($D185,素材!$1:$1016,COLUMN($F$1),FALSE))),VLOOKUP($C185,装備品!$1:$998,COLUMN($O$1),FALSE)*VLOOKUP($D185,素材!$1:$1016,COLUMN($E$1),FALSE)/(LEN(VLOOKUP($D185,素材!$1:$1016,COLUMN($F$1),FALSE))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M185">
        <f>IF(ISNUMBER(SEARCH(SUBSTITUTE(AM$1,RIGHT(AM$1,2),""),VLOOKUP($D185,素材!$1:$1016,COLUMN($F$1),FALSE))),VLOOKUP($C185,装備品!$1:$998,COLUMN($O$1),FALSE)*VLOOKUP($D185,素材!$1:$1016,COLUMN($E$1),FALSE)/(LEN(VLOOKUP($D185,素材!$1:$1016,COLUMN($F$1),FALSE))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N185">
        <f>IF(ISNUMBER(SEARCH(SUBSTITUTE(AN$1,RIGHT(AN$1,2),""),VLOOKUP($D185,素材!$1:$1016,COLUMN($F$1),FALSE))),VLOOKUP($C185,装備品!$1:$998,COLUMN($O$1),FALSE)*VLOOKUP($D185,素材!$1:$1016,COLUMN($E$1),FALSE)/(LEN(VLOOKUP($D185,素材!$1:$1016,COLUMN($F$1),FALSE))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O185">
        <f>IF(ISNUMBER(SEARCH(SUBSTITUTE(AO$1,RIGHT(AO$1,2),""),VLOOKUP($D185,素材!$1:$1016,COLUMN($F$1),FALSE))),VLOOKUP($C185,装備品!$1:$998,COLUMN($O$1),FALSE)*VLOOKUP($D185,素材!$1:$1016,COLUMN($E$1),FALSE)/(LEN(VLOOKUP($D185,素材!$1:$1016,COLUMN($F$1),FALSE))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P185">
        <f>IF(ISNUMBER(SEARCH(SUBSTITUTE(AP$1,RIGHT(AP$1,2),""),VLOOKUP($D185,素材!$1:$1016,COLUMN($F$1),FALSE))),VLOOKUP($C185,装備品!$1:$998,COLUMN($O$1),FALSE)*VLOOKUP($D185,素材!$1:$1016,COLUMN($E$1),FALSE)/(LEN(VLOOKUP($D185,素材!$1:$1016,COLUMN($F$1),FALSE))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Q185">
        <f>IF(ISNUMBER(SEARCH(SUBSTITUTE(AQ$1,RIGHT(AQ$1,2),""),VLOOKUP($D185,素材!$1:$1016,COLUMN($F$1),FALSE))),VLOOKUP($C185,装備品!$1:$998,COLUMN($O$1),FALSE)*VLOOKUP($D185,素材!$1:$1016,COLUMN($E$1),FALSE)/(LEN(VLOOKUP($D185,素材!$1:$1016,COLUMN($F$1),FALSE))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R185">
        <f>IF(ISNUMBER(SEARCH(SUBSTITUTE(AR$1,RIGHT(AR$1,2),""),VLOOKUP($D185,素材!$1:$1016,COLUMN($F$1),FALSE))),VLOOKUP($C185,装備品!$1:$998,COLUMN($O$1),FALSE)*VLOOKUP($D185,素材!$1:$1016,COLUMN($E$1),FALSE)/(LEN(VLOOKUP($D185,素材!$1:$1016,COLUMN($F$1),FALSE))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S185">
        <f>IF(ISNUMBER(SEARCH(SUBSTITUTE(AS$1,RIGHT(AS$1,2),""),VLOOKUP($D185,素材!$1:$1016,COLUMN($F$1),FALSE))),VLOOKUP($C185,装備品!$1:$998,COLUMN($O$1),FALSE)*VLOOKUP($D185,素材!$1:$1016,COLUMN($E$1),FALSE)/(LEN(VLOOKUP($D185,素材!$1:$1016,COLUMN($F$1),FALSE))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T185">
        <f>IF(ISNUMBER(SEARCH(SUBSTITUTE(AT$1,RIGHT(AT$1,2),""),VLOOKUP($D185,素材!$1:$1016,COLUMN($F$1),FALSE))),VLOOKUP($C185,装備品!$1:$998,COLUMN($O$1),FALSE)*VLOOKUP($D185,素材!$1:$1016,COLUMN($E$1),FALSE)/(LEN(VLOOKUP($D185,素材!$1:$1016,COLUMN($F$1),FALSE))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U185">
        <f>IF(ISNUMBER(SEARCH(SUBSTITUTE(AU$1,RIGHT(AU$1,2),""),VLOOKUP($D185,素材!$1:$1016,COLUMN($F$1),FALSE))),VLOOKUP($C185,装備品!$1:$998,COLUMN($O$1),FALSE)*VLOOKUP($D185,素材!$1:$1016,COLUMN($E$1),FALSE)/(LEN(VLOOKUP($D185,素材!$1:$1016,COLUMN($F$1),FALSE))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V185">
        <f>IF(ISNUMBER(SEARCH(SUBSTITUTE(AV$1,RIGHT(AV$1,2),""),VLOOKUP($D185,素材!$1:$1016,COLUMN($F$1),FALSE))),VLOOKUP($C185,装備品!$1:$998,COLUMN($O$1),FALSE)*VLOOKUP($D185,素材!$1:$1016,COLUMN($E$1),FALSE)/(LEN(VLOOKUP($D185,素材!$1:$1016,COLUMN($F$1),FALSE))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W185">
        <f>IF(ISNUMBER(SEARCH(SUBSTITUTE(AW$1,RIGHT(AW$1,2),""),VLOOKUP($D185,素材!$1:$1016,COLUMN($F$1),FALSE))),VLOOKUP($C185,装備品!$1:$998,COLUMN($O$1),FALSE)*VLOOKUP($D185,素材!$1:$1016,COLUMN($E$1),FALSE)/(LEN(VLOOKUP($D185,素材!$1:$1016,COLUMN($F$1),FALSE))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X185">
        <f>IF(ISNUMBER(SEARCH(SUBSTITUTE(AX$1,RIGHT(AX$1,2),""),VLOOKUP($D185,素材!$1:$1016,COLUMN($F$1),FALSE))),VLOOKUP($C185,装備品!$1:$998,COLUMN($O$1),FALSE)*VLOOKUP($D185,素材!$1:$1016,COLUMN($E$1),FALSE)/(LEN(VLOOKUP($D185,素材!$1:$1016,COLUMN($F$1),FALSE))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Y185">
        <f>IF(ISNUMBER(SEARCH(SUBSTITUTE(AY$1,RIGHT(AY$1,2),""),VLOOKUP($D185,素材!$1:$1016,COLUMN($F$1),FALSE))),VLOOKUP($C185,装備品!$1:$998,COLUMN($O$1),FALSE)*VLOOKUP($D185,素材!$1:$1016,COLUMN($E$1),FALSE)/(LEN(VLOOKUP($D185,素材!$1:$1016,COLUMN($F$1),FALSE))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Z185">
        <f>IF(ISNUMBER(SEARCH(SUBSTITUTE(AZ$1,RIGHT(AZ$1,2),""),VLOOKUP($D185,素材!$1:$1016,COLUMN($F$1),FALSE))),VLOOKUP($C185,装備品!$1:$998,COLUMN($O$1),FALSE)*VLOOKUP($D185,素材!$1:$1016,COLUMN($E$1),FALSE)/(LEN(VLOOKUP($D185,素材!$1:$1016,COLUMN($F$1),FALSE))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BA185">
        <f>IF(ISNUMBER(SEARCH(SUBSTITUTE(BA$1,RIGHT(BA$1,2),""),VLOOKUP($D185,素材!$1:$1016,COLUMN($F$1),FALSE))),VLOOKUP($C185,装備品!$1:$998,COLUMN($O$1),FALSE)*VLOOKUP($D185,素材!$1:$1016,COLUMN($E$1),FALSE)/(LEN(VLOOKUP($D185,素材!$1:$1016,COLUMN($F$1),FALSE))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BB185">
        <f>IF(ISNUMBER(SEARCH(SUBSTITUTE(BB$1,RIGHT(BB$1,2),""),VLOOKUP($D185,素材!$1:$1016,COLUMN($F$1),FALSE))),VLOOKUP($C185,装備品!$1:$998,COLUMN($O$1),FALSE)*VLOOKUP($D185,素材!$1:$1016,COLUMN($E$1),FALSE)/(LEN(VLOOKUP($D185,素材!$1:$1016,COLUMN($F$1),FALSE))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BC185">
        <f>IF(ISNUMBER(SEARCH(SUBSTITUTE(BC$1,RIGHT(BC$1,2),""),VLOOKUP($D185,素材!$1:$1016,COLUMN($F$1),FALSE))),VLOOKUP($C185,装備品!$1:$998,COLUMN($O$1),FALSE)*VLOOKUP($D185,素材!$1:$1016,COLUMN($E$1),FALSE)/(LEN(VLOOKUP($D185,素材!$1:$1016,COLUMN($F$1),FALSE))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BD185">
        <f>IF(ISNUMBER(SEARCH(SUBSTITUTE(BD$1,RIGHT(BD$1,2),""),VLOOKUP($D185,素材!$1:$1016,COLUMN($F$1),FALSE))),VLOOKUP($C185,装備品!$1:$998,COLUMN($O$1),FALSE)*VLOOKUP($D185,素材!$1:$1016,COLUMN($E$1),FALSE)/(LEN(VLOOKUP($D185,素材!$1:$1016,COLUMN($F$1),FALSE))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BE185">
        <f>IF(ISNUMBER(SEARCH(SUBSTITUTE(BE$1,RIGHT(BE$1,2),""),VLOOKUP($D185,素材!$1:$1016,COLUMN($F$1),FALSE))),VLOOKUP($C185,装備品!$1:$998,COLUMN($O$1),FALSE)*VLOOKUP($D185,素材!$1:$1016,COLUMN($E$1),FALSE)/(LEN(VLOOKUP($D185,素材!$1:$1016,COLUMN($F$1),FALSE))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CL185">
        <f t="shared" si="19"/>
        <v>0</v>
      </c>
      <c r="CM185" s="22" t="str">
        <f t="shared" si="20"/>
        <v>杖.webp</v>
      </c>
      <c r="CN185" t="str">
        <f>IFERROR(VLOOKUP($C185,装備品!$1:$998,COLUMN(V$1),FALSE)*VLOOKUP($D185,素材!$1:$1016,COLUMN(N$1),FALSE)+IF(CI185="",0,VLOOKUP($CI185,付与!$1:$1176,COLUMN($CK$1),FALSE)),"")</f>
        <v/>
      </c>
      <c r="CO185" t="e">
        <f>VLOOKUP(D185,素材!$A:$O,COLUMN(素材!O$1),FALSE)</f>
        <v>#N/A</v>
      </c>
      <c r="CP185" t="str">
        <f>VLOOKUP(C185,装備品!$A:$AB,COLUMN(装備品!AB$1),FALSE)</f>
        <v>長杖。強力な魔法を扱える杖だが、重い。</v>
      </c>
      <c r="CR185" t="str">
        <f t="shared" si="24"/>
        <v>e_185</v>
      </c>
      <c r="CS185" t="e">
        <f t="shared" si="28"/>
        <v>#VALUE!</v>
      </c>
    </row>
    <row r="186" spans="1:97" outlineLevel="1" x14ac:dyDescent="0.4">
      <c r="A186" t="str">
        <f t="shared" si="33"/>
        <v>黒鋼鉄の軽射出弓</v>
      </c>
      <c r="B186" t="str">
        <f>IFERROR(VLOOKUP($D186,素材!$1:$1016,COLUMN($B$1),FALSE)&amp;"・"&amp;VLOOKUP($C186,装備品!$1:$998,COLUMN(B$1),FALSE),"")</f>
        <v/>
      </c>
      <c r="C186" t="s">
        <v>213</v>
      </c>
      <c r="D186" s="24" t="s">
        <v>243</v>
      </c>
      <c r="E186" t="str">
        <f>IFERROR(VLOOKUP(C186,装備品!$1:$998,COLUMN(C$1),FALSE),"")</f>
        <v>銃</v>
      </c>
      <c r="F186" t="str">
        <f>IFERROR(ROUNDDOWN((VLOOKUP($C186,装備品!$1:$998,COLUMN(D$1),FALSE)+IFERROR(VLOOKUP($CI186,付与!$1:$1167,COLUMN(F$1),FALSE),0))*VLOOKUP($D186,素材!$1:$1016,COLUMN(D$1),FALSE),0),"")</f>
        <v/>
      </c>
      <c r="G186" t="str">
        <f>IFERROR(ROUNDDOWN((VLOOKUP($C186,装備品!$1:$998,COLUMN(E$1),FALSE)+IFERROR(VLOOKUP($CI186,付与!$1:$1167,COLUMN(G$1),FALSE),0))*VLOOKUP($D186,素材!$1:$1016,COLUMN($E$1),FALSE),0),"")</f>
        <v/>
      </c>
      <c r="H186" t="str">
        <f>IFERROR(ROUNDDOWN((VLOOKUP($C186,装備品!$1:$998,COLUMN(F$1),FALSE)+IFERROR(VLOOKUP($CI186,付与!$1:$1167,COLUMN(H$1),FALSE),0))*VLOOKUP($D186,素材!$1:$1016,COLUMN($E$1),FALSE),0),"")</f>
        <v/>
      </c>
      <c r="I186" t="str">
        <f>IFERROR(ROUNDDOWN((VLOOKUP($C186,装備品!$1:$998,COLUMN(G$1),FALSE)+IFERROR(VLOOKUP($CI186,付与!$1:$1167,COLUMN(I$1),FALSE),0))*VLOOKUP($D186,素材!$1:$1016,COLUMN($E$1),FALSE),0),"")</f>
        <v/>
      </c>
      <c r="J186" t="str">
        <f>IFERROR(ROUNDDOWN((VLOOKUP($C186,装備品!$1:$998,COLUMN(H$1),FALSE)+IFERROR(VLOOKUP($CI186,付与!$1:$1167,COLUMN(J$1),FALSE),0))*VLOOKUP($D186,素材!$1:$1016,COLUMN($E$1),FALSE),0),"")</f>
        <v/>
      </c>
      <c r="K186" t="str">
        <f>IFERROR(ROUNDDOWN((VLOOKUP($C186,装備品!$1:$998,COLUMN(I$1),FALSE)+IFERROR(VLOOKUP($CI186,付与!$1:$1167,COLUMN(K$1),FALSE),0))*VLOOKUP($D186,素材!$1:$1016,COLUMN($E$1),FALSE),0),"")</f>
        <v/>
      </c>
      <c r="L186" t="str">
        <f>IFERROR(VLOOKUP($D186,素材!$1:$1016,COLUMN($F$1),FALSE),"")</f>
        <v/>
      </c>
      <c r="M186" t="str">
        <f>IFERROR(VLOOKUP($C186,装備品!$1:$998,COLUMN(AA$1),FALSE)*VLOOKUP($D186,素材!$1:$1016,COLUMN($G$1),FALSE),"")</f>
        <v/>
      </c>
      <c r="N186">
        <f>IFERROR(VLOOKUP($C186,装備品!$1:$998,COLUMN(I$1),FALSE),"")</f>
        <v>2.7</v>
      </c>
      <c r="O186" s="23" t="str">
        <f>IFERROR((VLOOKUP($C186,装備品!$1:$998,COLUMN(K$1),FALSE)+VLOOKUP($D186,素材!$1:$1016,COLUMN(H$1),FALSE))*100+IFERROR(VLOOKUP($CI186,付与!$1:$1167,COLUMN(O$1),FALSE),0),"")</f>
        <v/>
      </c>
      <c r="P186" s="23" t="str">
        <f>IFERROR((VLOOKUP($C186,装備品!$1:$998,COLUMN(L$1),FALSE)+VLOOKUP($D186,素材!$1:$1016,COLUMN(I$1),FALSE))*100+IFERROR(VLOOKUP($CI186,付与!$1:$1167,COLUMN(P$1),FALSE),0),"")</f>
        <v/>
      </c>
      <c r="Q186" t="str">
        <f>IFERROR(ROUNDUP(VLOOKUP($C186,装備品!$1:$998,COLUMN(M$1),FALSE)*(VLOOKUP($D186,素材!$1:$1002,COLUMN(D$1),FALSE)/100),1),"")</f>
        <v/>
      </c>
      <c r="R186" t="str">
        <f>IFERROR(ROUNDUP(VLOOKUP($C186,装備品!$1:$998,COLUMN(N$1),FALSE)*(VLOOKUP($D186,素材!$1:$1002,COLUMN(D$1),FALSE)/100),1),"")</f>
        <v/>
      </c>
      <c r="S186">
        <f>IFERROR(VLOOKUP($C186,装備品!$1:$998,COLUMN(P$1),FALSE),"")</f>
        <v>0</v>
      </c>
      <c r="T186">
        <f>IFERROR(VLOOKUP($C186,装備品!$1:$998,COLUMN(Q$1),FALSE),"")</f>
        <v>0</v>
      </c>
      <c r="U186">
        <f>IFERROR(VLOOKUP($C186,装備品!$1:$998,COLUMN(R$1),FALSE),"")</f>
        <v>0</v>
      </c>
      <c r="V186">
        <f>IFERROR(VLOOKUP($C186,装備品!$1:$998,COLUMN(Q$1),FALSE),"")</f>
        <v>0</v>
      </c>
      <c r="W186">
        <f>IFERROR(VLOOKUP($C186,装備品!$1:$998,COLUMN(T$1),FALSE),"")</f>
        <v>0</v>
      </c>
      <c r="Y186">
        <f>IFERROR(VLOOKUP($C186,装備品!$1:$998,COLUMN(U$1),FALSE),"")</f>
        <v>0</v>
      </c>
      <c r="Z186" t="str">
        <f>IFERROR(ROUNDUP(VLOOKUP($C186,装備品!$1:$998,COLUMN(O$1),FALSE)*VLOOKUP($D186,素材!$1:$1016,COLUMN(E$1),FALSE),1),"")</f>
        <v/>
      </c>
      <c r="AA186">
        <f>IF(ISNUMBER(SEARCH(SUBSTITUTE(AA$1,RIGHT(AA$1,2),""),VLOOKUP($D186,素材!$1:$1016,COLUMN($F$1),FALSE))),VLOOKUP($C186,装備品!$1:$998,COLUMN($O$1),FALSE)*VLOOKUP($D186,素材!$1:$1016,COLUMN($E$1),FALSE)/(LEN(VLOOKUP($D186,素材!$1:$1016,COLUMN($F$1),FALSE))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B186">
        <f>IF(ISNUMBER(SEARCH(SUBSTITUTE(AB$1,RIGHT(AB$1,2),""),VLOOKUP($D186,素材!$1:$1016,COLUMN($F$1),FALSE))),VLOOKUP($C186,装備品!$1:$998,COLUMN($O$1),FALSE)*VLOOKUP($D186,素材!$1:$1016,COLUMN($E$1),FALSE)/(LEN(VLOOKUP($D186,素材!$1:$1016,COLUMN($F$1),FALSE))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C186">
        <f>IF(ISNUMBER(SEARCH(SUBSTITUTE(AC$1,RIGHT(AC$1,2),""),VLOOKUP($D186,素材!$1:$1016,COLUMN($F$1),FALSE))),VLOOKUP($C186,装備品!$1:$998,COLUMN($O$1),FALSE)*VLOOKUP($D186,素材!$1:$1016,COLUMN($E$1),FALSE)/(LEN(VLOOKUP($D186,素材!$1:$1016,COLUMN($F$1),FALSE))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D186">
        <f>IF(ISNUMBER(SEARCH(SUBSTITUTE(AD$1,RIGHT(AD$1,2),""),VLOOKUP($D186,素材!$1:$1016,COLUMN($F$1),FALSE))),VLOOKUP($C186,装備品!$1:$998,COLUMN($O$1),FALSE)*VLOOKUP($D186,素材!$1:$1016,COLUMN($E$1),FALSE)/(LEN(VLOOKUP($D186,素材!$1:$1016,COLUMN($F$1),FALSE))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E186">
        <f>IF(ISNUMBER(SEARCH(SUBSTITUTE(AE$1,RIGHT(AE$1,2),""),VLOOKUP($D186,素材!$1:$1016,COLUMN($F$1),FALSE))),VLOOKUP($C186,装備品!$1:$998,COLUMN($O$1),FALSE)*VLOOKUP($D186,素材!$1:$1016,COLUMN($E$1),FALSE)/(LEN(VLOOKUP($D186,素材!$1:$1016,COLUMN($F$1),FALSE))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F186">
        <f>IF(ISNUMBER(SEARCH(SUBSTITUTE(AF$1,RIGHT(AF$1,2),""),VLOOKUP($D186,素材!$1:$1016,COLUMN($F$1),FALSE))),VLOOKUP($C186,装備品!$1:$998,COLUMN($O$1),FALSE)*VLOOKUP($D186,素材!$1:$1016,COLUMN($E$1),FALSE)/(LEN(VLOOKUP($D186,素材!$1:$1016,COLUMN($F$1),FALSE))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G186">
        <f>IF(ISNUMBER(SEARCH(SUBSTITUTE(AG$1,RIGHT(AG$1,2),""),VLOOKUP($D186,素材!$1:$1016,COLUMN($F$1),FALSE))),VLOOKUP($C186,装備品!$1:$998,COLUMN($O$1),FALSE)*VLOOKUP($D186,素材!$1:$1016,COLUMN($E$1),FALSE)/(LEN(VLOOKUP($D186,素材!$1:$1016,COLUMN($F$1),FALSE))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H186">
        <f>IF(ISNUMBER(SEARCH(SUBSTITUTE(AH$1,RIGHT(AH$1,2),""),VLOOKUP($D186,素材!$1:$1016,COLUMN($F$1),FALSE))),VLOOKUP($C186,装備品!$1:$998,COLUMN($O$1),FALSE)*VLOOKUP($D186,素材!$1:$1016,COLUMN($E$1),FALSE)/(LEN(VLOOKUP($D186,素材!$1:$1016,COLUMN($F$1),FALSE))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I186">
        <f>IF(ISNUMBER(SEARCH(SUBSTITUTE(AI$1,RIGHT(AI$1,2),""),VLOOKUP($D186,素材!$1:$1016,COLUMN($F$1),FALSE))),VLOOKUP($C186,装備品!$1:$998,COLUMN($O$1),FALSE)*VLOOKUP($D186,素材!$1:$1016,COLUMN($E$1),FALSE)/(LEN(VLOOKUP($D186,素材!$1:$1016,COLUMN($F$1),FALSE))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J186">
        <f>IF(ISNUMBER(SEARCH(SUBSTITUTE(AJ$1,RIGHT(AJ$1,2),""),VLOOKUP($D186,素材!$1:$1016,COLUMN($F$1),FALSE))),VLOOKUP($C186,装備品!$1:$998,COLUMN($O$1),FALSE)*VLOOKUP($D186,素材!$1:$1016,COLUMN($E$1),FALSE)/(LEN(VLOOKUP($D186,素材!$1:$1016,COLUMN($F$1),FALSE))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K186">
        <f>IF(ISNUMBER(SEARCH(SUBSTITUTE(AK$1,RIGHT(AK$1,2),""),VLOOKUP($D186,素材!$1:$1016,COLUMN($F$1),FALSE))),VLOOKUP($C186,装備品!$1:$998,COLUMN($O$1),FALSE)*VLOOKUP($D186,素材!$1:$1016,COLUMN($E$1),FALSE)/(LEN(VLOOKUP($D186,素材!$1:$1016,COLUMN($F$1),FALSE))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L186">
        <f>IF(ISNUMBER(SEARCH(SUBSTITUTE(AL$1,RIGHT(AL$1,2),""),VLOOKUP($D186,素材!$1:$1016,COLUMN($F$1),FALSE))),VLOOKUP($C186,装備品!$1:$998,COLUMN($O$1),FALSE)*VLOOKUP($D186,素材!$1:$1016,COLUMN($E$1),FALSE)/(LEN(VLOOKUP($D186,素材!$1:$1016,COLUMN($F$1),FALSE))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M186">
        <f>IF(ISNUMBER(SEARCH(SUBSTITUTE(AM$1,RIGHT(AM$1,2),""),VLOOKUP($D186,素材!$1:$1016,COLUMN($F$1),FALSE))),VLOOKUP($C186,装備品!$1:$998,COLUMN($O$1),FALSE)*VLOOKUP($D186,素材!$1:$1016,COLUMN($E$1),FALSE)/(LEN(VLOOKUP($D186,素材!$1:$1016,COLUMN($F$1),FALSE))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N186">
        <f>IF(ISNUMBER(SEARCH(SUBSTITUTE(AN$1,RIGHT(AN$1,2),""),VLOOKUP($D186,素材!$1:$1016,COLUMN($F$1),FALSE))),VLOOKUP($C186,装備品!$1:$998,COLUMN($O$1),FALSE)*VLOOKUP($D186,素材!$1:$1016,COLUMN($E$1),FALSE)/(LEN(VLOOKUP($D186,素材!$1:$1016,COLUMN($F$1),FALSE))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O186">
        <f>IF(ISNUMBER(SEARCH(SUBSTITUTE(AO$1,RIGHT(AO$1,2),""),VLOOKUP($D186,素材!$1:$1016,COLUMN($F$1),FALSE))),VLOOKUP($C186,装備品!$1:$998,COLUMN($O$1),FALSE)*VLOOKUP($D186,素材!$1:$1016,COLUMN($E$1),FALSE)/(LEN(VLOOKUP($D186,素材!$1:$1016,COLUMN($F$1),FALSE))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P186">
        <f>IF(ISNUMBER(SEARCH(SUBSTITUTE(AP$1,RIGHT(AP$1,2),""),VLOOKUP($D186,素材!$1:$1016,COLUMN($F$1),FALSE))),VLOOKUP($C186,装備品!$1:$998,COLUMN($O$1),FALSE)*VLOOKUP($D186,素材!$1:$1016,COLUMN($E$1),FALSE)/(LEN(VLOOKUP($D186,素材!$1:$1016,COLUMN($F$1),FALSE))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Q186">
        <f>IF(ISNUMBER(SEARCH(SUBSTITUTE(AQ$1,RIGHT(AQ$1,2),""),VLOOKUP($D186,素材!$1:$1016,COLUMN($F$1),FALSE))),VLOOKUP($C186,装備品!$1:$998,COLUMN($O$1),FALSE)*VLOOKUP($D186,素材!$1:$1016,COLUMN($E$1),FALSE)/(LEN(VLOOKUP($D186,素材!$1:$1016,COLUMN($F$1),FALSE))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R186">
        <f>IF(ISNUMBER(SEARCH(SUBSTITUTE(AR$1,RIGHT(AR$1,2),""),VLOOKUP($D186,素材!$1:$1016,COLUMN($F$1),FALSE))),VLOOKUP($C186,装備品!$1:$998,COLUMN($O$1),FALSE)*VLOOKUP($D186,素材!$1:$1016,COLUMN($E$1),FALSE)/(LEN(VLOOKUP($D186,素材!$1:$1016,COLUMN($F$1),FALSE))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S186">
        <f>IF(ISNUMBER(SEARCH(SUBSTITUTE(AS$1,RIGHT(AS$1,2),""),VLOOKUP($D186,素材!$1:$1016,COLUMN($F$1),FALSE))),VLOOKUP($C186,装備品!$1:$998,COLUMN($O$1),FALSE)*VLOOKUP($D186,素材!$1:$1016,COLUMN($E$1),FALSE)/(LEN(VLOOKUP($D186,素材!$1:$1016,COLUMN($F$1),FALSE))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T186">
        <f>IF(ISNUMBER(SEARCH(SUBSTITUTE(AT$1,RIGHT(AT$1,2),""),VLOOKUP($D186,素材!$1:$1016,COLUMN($F$1),FALSE))),VLOOKUP($C186,装備品!$1:$998,COLUMN($O$1),FALSE)*VLOOKUP($D186,素材!$1:$1016,COLUMN($E$1),FALSE)/(LEN(VLOOKUP($D186,素材!$1:$1016,COLUMN($F$1),FALSE))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U186">
        <f>IF(ISNUMBER(SEARCH(SUBSTITUTE(AU$1,RIGHT(AU$1,2),""),VLOOKUP($D186,素材!$1:$1016,COLUMN($F$1),FALSE))),VLOOKUP($C186,装備品!$1:$998,COLUMN($O$1),FALSE)*VLOOKUP($D186,素材!$1:$1016,COLUMN($E$1),FALSE)/(LEN(VLOOKUP($D186,素材!$1:$1016,COLUMN($F$1),FALSE))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V186">
        <f>IF(ISNUMBER(SEARCH(SUBSTITUTE(AV$1,RIGHT(AV$1,2),""),VLOOKUP($D186,素材!$1:$1016,COLUMN($F$1),FALSE))),VLOOKUP($C186,装備品!$1:$998,COLUMN($O$1),FALSE)*VLOOKUP($D186,素材!$1:$1016,COLUMN($E$1),FALSE)/(LEN(VLOOKUP($D186,素材!$1:$1016,COLUMN($F$1),FALSE))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W186">
        <f>IF(ISNUMBER(SEARCH(SUBSTITUTE(AW$1,RIGHT(AW$1,2),""),VLOOKUP($D186,素材!$1:$1016,COLUMN($F$1),FALSE))),VLOOKUP($C186,装備品!$1:$998,COLUMN($O$1),FALSE)*VLOOKUP($D186,素材!$1:$1016,COLUMN($E$1),FALSE)/(LEN(VLOOKUP($D186,素材!$1:$1016,COLUMN($F$1),FALSE))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X186">
        <f>IF(ISNUMBER(SEARCH(SUBSTITUTE(AX$1,RIGHT(AX$1,2),""),VLOOKUP($D186,素材!$1:$1016,COLUMN($F$1),FALSE))),VLOOKUP($C186,装備品!$1:$998,COLUMN($O$1),FALSE)*VLOOKUP($D186,素材!$1:$1016,COLUMN($E$1),FALSE)/(LEN(VLOOKUP($D186,素材!$1:$1016,COLUMN($F$1),FALSE))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Y186">
        <f>IF(ISNUMBER(SEARCH(SUBSTITUTE(AY$1,RIGHT(AY$1,2),""),VLOOKUP($D186,素材!$1:$1016,COLUMN($F$1),FALSE))),VLOOKUP($C186,装備品!$1:$998,COLUMN($O$1),FALSE)*VLOOKUP($D186,素材!$1:$1016,COLUMN($E$1),FALSE)/(LEN(VLOOKUP($D186,素材!$1:$1016,COLUMN($F$1),FALSE))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Z186">
        <f>IF(ISNUMBER(SEARCH(SUBSTITUTE(AZ$1,RIGHT(AZ$1,2),""),VLOOKUP($D186,素材!$1:$1016,COLUMN($F$1),FALSE))),VLOOKUP($C186,装備品!$1:$998,COLUMN($O$1),FALSE)*VLOOKUP($D186,素材!$1:$1016,COLUMN($E$1),FALSE)/(LEN(VLOOKUP($D186,素材!$1:$1016,COLUMN($F$1),FALSE))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BA186">
        <f>IF(ISNUMBER(SEARCH(SUBSTITUTE(BA$1,RIGHT(BA$1,2),""),VLOOKUP($D186,素材!$1:$1016,COLUMN($F$1),FALSE))),VLOOKUP($C186,装備品!$1:$998,COLUMN($O$1),FALSE)*VLOOKUP($D186,素材!$1:$1016,COLUMN($E$1),FALSE)/(LEN(VLOOKUP($D186,素材!$1:$1016,COLUMN($F$1),FALSE))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BB186">
        <f>IF(ISNUMBER(SEARCH(SUBSTITUTE(BB$1,RIGHT(BB$1,2),""),VLOOKUP($D186,素材!$1:$1016,COLUMN($F$1),FALSE))),VLOOKUP($C186,装備品!$1:$998,COLUMN($O$1),FALSE)*VLOOKUP($D186,素材!$1:$1016,COLUMN($E$1),FALSE)/(LEN(VLOOKUP($D186,素材!$1:$1016,COLUMN($F$1),FALSE))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BC186">
        <f>IF(ISNUMBER(SEARCH(SUBSTITUTE(BC$1,RIGHT(BC$1,2),""),VLOOKUP($D186,素材!$1:$1016,COLUMN($F$1),FALSE))),VLOOKUP($C186,装備品!$1:$998,COLUMN($O$1),FALSE)*VLOOKUP($D186,素材!$1:$1016,COLUMN($E$1),FALSE)/(LEN(VLOOKUP($D186,素材!$1:$1016,COLUMN($F$1),FALSE))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BD186">
        <f>IF(ISNUMBER(SEARCH(SUBSTITUTE(BD$1,RIGHT(BD$1,2),""),VLOOKUP($D186,素材!$1:$1016,COLUMN($F$1),FALSE))),VLOOKUP($C186,装備品!$1:$998,COLUMN($O$1),FALSE)*VLOOKUP($D186,素材!$1:$1016,COLUMN($E$1),FALSE)/(LEN(VLOOKUP($D186,素材!$1:$1016,COLUMN($F$1),FALSE))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BE186">
        <f>IF(ISNUMBER(SEARCH(SUBSTITUTE(BE$1,RIGHT(BE$1,2),""),VLOOKUP($D186,素材!$1:$1016,COLUMN($F$1),FALSE))),VLOOKUP($C186,装備品!$1:$998,COLUMN($O$1),FALSE)*VLOOKUP($D186,素材!$1:$1016,COLUMN($E$1),FALSE)/(LEN(VLOOKUP($D186,素材!$1:$1016,COLUMN($F$1),FALSE))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CL186">
        <f t="shared" si="19"/>
        <v>0</v>
      </c>
      <c r="CM186" s="22" t="str">
        <f t="shared" si="20"/>
        <v>銃.webp</v>
      </c>
      <c r="CN186" t="str">
        <f>IFERROR(VLOOKUP($C186,装備品!$1:$998,COLUMN(V$1),FALSE)*VLOOKUP($D186,素材!$1:$1016,COLUMN(N$1),FALSE)+IF(CI186="",0,VLOOKUP($CI186,付与!$1:$1176,COLUMN($CK$1),FALSE)),"")</f>
        <v/>
      </c>
      <c r="CO186" t="e">
        <f>VLOOKUP(D186,素材!$A:$O,COLUMN(素材!O$1),FALSE)</f>
        <v>#N/A</v>
      </c>
      <c r="CP186" t="str">
        <f>VLOOKUP(C186,装備品!$A:$AB,COLUMN(装備品!AB$1),FALSE)</f>
        <v/>
      </c>
      <c r="CR186" t="str">
        <f t="shared" si="24"/>
        <v>e_186</v>
      </c>
      <c r="CS186" t="e">
        <f t="shared" si="28"/>
        <v>#VALUE!</v>
      </c>
    </row>
    <row r="187" spans="1:97" outlineLevel="1" x14ac:dyDescent="0.4">
      <c r="A187" t="str">
        <f t="shared" si="33"/>
        <v>黒鋼鉄の射出弓</v>
      </c>
      <c r="B187" t="str">
        <f>IFERROR(VLOOKUP($D187,素材!$1:$1016,COLUMN($B$1),FALSE)&amp;"・"&amp;VLOOKUP($C187,装備品!$1:$998,COLUMN(B$1),FALSE),"")</f>
        <v/>
      </c>
      <c r="C187" t="s">
        <v>212</v>
      </c>
      <c r="D187" s="24" t="s">
        <v>243</v>
      </c>
      <c r="E187" t="str">
        <f>IFERROR(VLOOKUP(C187,装備品!$1:$998,COLUMN(C$1),FALSE),"")</f>
        <v>銃</v>
      </c>
      <c r="F187" t="str">
        <f>IFERROR(ROUNDDOWN((VLOOKUP($C187,装備品!$1:$998,COLUMN(D$1),FALSE)+IFERROR(VLOOKUP($CI187,付与!$1:$1167,COLUMN(F$1),FALSE),0))*VLOOKUP($D187,素材!$1:$1016,COLUMN(D$1),FALSE),0),"")</f>
        <v/>
      </c>
      <c r="G187" t="str">
        <f>IFERROR(ROUNDDOWN((VLOOKUP($C187,装備品!$1:$998,COLUMN(E$1),FALSE)+IFERROR(VLOOKUP($CI187,付与!$1:$1167,COLUMN(G$1),FALSE),0))*VLOOKUP($D187,素材!$1:$1016,COLUMN($E$1),FALSE),0),"")</f>
        <v/>
      </c>
      <c r="H187" t="str">
        <f>IFERROR(ROUNDDOWN((VLOOKUP($C187,装備品!$1:$998,COLUMN(F$1),FALSE)+IFERROR(VLOOKUP($CI187,付与!$1:$1167,COLUMN(H$1),FALSE),0))*VLOOKUP($D187,素材!$1:$1016,COLUMN($E$1),FALSE),0),"")</f>
        <v/>
      </c>
      <c r="I187" t="str">
        <f>IFERROR(ROUNDDOWN((VLOOKUP($C187,装備品!$1:$998,COLUMN(G$1),FALSE)+IFERROR(VLOOKUP($CI187,付与!$1:$1167,COLUMN(I$1),FALSE),0))*VLOOKUP($D187,素材!$1:$1016,COLUMN($E$1),FALSE),0),"")</f>
        <v/>
      </c>
      <c r="J187" t="str">
        <f>IFERROR(ROUNDDOWN((VLOOKUP($C187,装備品!$1:$998,COLUMN(H$1),FALSE)+IFERROR(VLOOKUP($CI187,付与!$1:$1167,COLUMN(J$1),FALSE),0))*VLOOKUP($D187,素材!$1:$1016,COLUMN($E$1),FALSE),0),"")</f>
        <v/>
      </c>
      <c r="K187" t="str">
        <f>IFERROR(ROUNDDOWN((VLOOKUP($C187,装備品!$1:$998,COLUMN(I$1),FALSE)+IFERROR(VLOOKUP($CI187,付与!$1:$1167,COLUMN(K$1),FALSE),0))*VLOOKUP($D187,素材!$1:$1016,COLUMN($E$1),FALSE),0),"")</f>
        <v/>
      </c>
      <c r="L187" t="str">
        <f>IFERROR(VLOOKUP($D187,素材!$1:$1016,COLUMN($F$1),FALSE),"")</f>
        <v/>
      </c>
      <c r="M187" t="str">
        <f>IFERROR(VLOOKUP($C187,装備品!$1:$998,COLUMN(AA$1),FALSE)*VLOOKUP($D187,素材!$1:$1016,COLUMN($G$1),FALSE),"")</f>
        <v/>
      </c>
      <c r="N187">
        <f>IFERROR(VLOOKUP($C187,装備品!$1:$998,COLUMN(I$1),FALSE),"")</f>
        <v>3.9</v>
      </c>
      <c r="O187" s="23" t="str">
        <f>IFERROR((VLOOKUP($C187,装備品!$1:$998,COLUMN(K$1),FALSE)+VLOOKUP($D187,素材!$1:$1016,COLUMN(H$1),FALSE))*100+IFERROR(VLOOKUP($CI187,付与!$1:$1167,COLUMN(O$1),FALSE),0),"")</f>
        <v/>
      </c>
      <c r="P187" s="23" t="str">
        <f>IFERROR((VLOOKUP($C187,装備品!$1:$998,COLUMN(L$1),FALSE)+VLOOKUP($D187,素材!$1:$1016,COLUMN(I$1),FALSE))*100+IFERROR(VLOOKUP($CI187,付与!$1:$1167,COLUMN(P$1),FALSE),0),"")</f>
        <v/>
      </c>
      <c r="Q187" t="str">
        <f>IFERROR(ROUNDUP(VLOOKUP($C187,装備品!$1:$998,COLUMN(M$1),FALSE)*(VLOOKUP($D187,素材!$1:$1002,COLUMN(D$1),FALSE)/100),1),"")</f>
        <v/>
      </c>
      <c r="R187" t="str">
        <f>IFERROR(ROUNDUP(VLOOKUP($C187,装備品!$1:$998,COLUMN(N$1),FALSE)*(VLOOKUP($D187,素材!$1:$1002,COLUMN(D$1),FALSE)/100),1),"")</f>
        <v/>
      </c>
      <c r="S187">
        <f>IFERROR(VLOOKUP($C187,装備品!$1:$998,COLUMN(P$1),FALSE),"")</f>
        <v>0</v>
      </c>
      <c r="T187">
        <f>IFERROR(VLOOKUP($C187,装備品!$1:$998,COLUMN(Q$1),FALSE),"")</f>
        <v>0</v>
      </c>
      <c r="U187">
        <f>IFERROR(VLOOKUP($C187,装備品!$1:$998,COLUMN(R$1),FALSE),"")</f>
        <v>0</v>
      </c>
      <c r="V187">
        <f>IFERROR(VLOOKUP($C187,装備品!$1:$998,COLUMN(Q$1),FALSE),"")</f>
        <v>0</v>
      </c>
      <c r="W187">
        <f>IFERROR(VLOOKUP($C187,装備品!$1:$998,COLUMN(T$1),FALSE),"")</f>
        <v>0</v>
      </c>
      <c r="Y187">
        <f>IFERROR(VLOOKUP($C187,装備品!$1:$998,COLUMN(U$1),FALSE),"")</f>
        <v>0</v>
      </c>
      <c r="Z187" t="str">
        <f>IFERROR(ROUNDUP(VLOOKUP($C187,装備品!$1:$998,COLUMN(O$1),FALSE)*VLOOKUP($D187,素材!$1:$1016,COLUMN(E$1),FALSE),1),"")</f>
        <v/>
      </c>
      <c r="AA187">
        <f>IF(ISNUMBER(SEARCH(SUBSTITUTE(AA$1,RIGHT(AA$1,2),""),VLOOKUP($D187,素材!$1:$1016,COLUMN($F$1),FALSE))),VLOOKUP($C187,装備品!$1:$998,COLUMN($O$1),FALSE)*VLOOKUP($D187,素材!$1:$1016,COLUMN($E$1),FALSE)/(LEN(VLOOKUP($D187,素材!$1:$1016,COLUMN($F$1),FALSE))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B187">
        <f>IF(ISNUMBER(SEARCH(SUBSTITUTE(AB$1,RIGHT(AB$1,2),""),VLOOKUP($D187,素材!$1:$1016,COLUMN($F$1),FALSE))),VLOOKUP($C187,装備品!$1:$998,COLUMN($O$1),FALSE)*VLOOKUP($D187,素材!$1:$1016,COLUMN($E$1),FALSE)/(LEN(VLOOKUP($D187,素材!$1:$1016,COLUMN($F$1),FALSE))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C187">
        <f>IF(ISNUMBER(SEARCH(SUBSTITUTE(AC$1,RIGHT(AC$1,2),""),VLOOKUP($D187,素材!$1:$1016,COLUMN($F$1),FALSE))),VLOOKUP($C187,装備品!$1:$998,COLUMN($O$1),FALSE)*VLOOKUP($D187,素材!$1:$1016,COLUMN($E$1),FALSE)/(LEN(VLOOKUP($D187,素材!$1:$1016,COLUMN($F$1),FALSE))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D187">
        <f>IF(ISNUMBER(SEARCH(SUBSTITUTE(AD$1,RIGHT(AD$1,2),""),VLOOKUP($D187,素材!$1:$1016,COLUMN($F$1),FALSE))),VLOOKUP($C187,装備品!$1:$998,COLUMN($O$1),FALSE)*VLOOKUP($D187,素材!$1:$1016,COLUMN($E$1),FALSE)/(LEN(VLOOKUP($D187,素材!$1:$1016,COLUMN($F$1),FALSE))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E187">
        <f>IF(ISNUMBER(SEARCH(SUBSTITUTE(AE$1,RIGHT(AE$1,2),""),VLOOKUP($D187,素材!$1:$1016,COLUMN($F$1),FALSE))),VLOOKUP($C187,装備品!$1:$998,COLUMN($O$1),FALSE)*VLOOKUP($D187,素材!$1:$1016,COLUMN($E$1),FALSE)/(LEN(VLOOKUP($D187,素材!$1:$1016,COLUMN($F$1),FALSE))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F187">
        <f>IF(ISNUMBER(SEARCH(SUBSTITUTE(AF$1,RIGHT(AF$1,2),""),VLOOKUP($D187,素材!$1:$1016,COLUMN($F$1),FALSE))),VLOOKUP($C187,装備品!$1:$998,COLUMN($O$1),FALSE)*VLOOKUP($D187,素材!$1:$1016,COLUMN($E$1),FALSE)/(LEN(VLOOKUP($D187,素材!$1:$1016,COLUMN($F$1),FALSE))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G187">
        <f>IF(ISNUMBER(SEARCH(SUBSTITUTE(AG$1,RIGHT(AG$1,2),""),VLOOKUP($D187,素材!$1:$1016,COLUMN($F$1),FALSE))),VLOOKUP($C187,装備品!$1:$998,COLUMN($O$1),FALSE)*VLOOKUP($D187,素材!$1:$1016,COLUMN($E$1),FALSE)/(LEN(VLOOKUP($D187,素材!$1:$1016,COLUMN($F$1),FALSE))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H187">
        <f>IF(ISNUMBER(SEARCH(SUBSTITUTE(AH$1,RIGHT(AH$1,2),""),VLOOKUP($D187,素材!$1:$1016,COLUMN($F$1),FALSE))),VLOOKUP($C187,装備品!$1:$998,COLUMN($O$1),FALSE)*VLOOKUP($D187,素材!$1:$1016,COLUMN($E$1),FALSE)/(LEN(VLOOKUP($D187,素材!$1:$1016,COLUMN($F$1),FALSE))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I187">
        <f>IF(ISNUMBER(SEARCH(SUBSTITUTE(AI$1,RIGHT(AI$1,2),""),VLOOKUP($D187,素材!$1:$1016,COLUMN($F$1),FALSE))),VLOOKUP($C187,装備品!$1:$998,COLUMN($O$1),FALSE)*VLOOKUP($D187,素材!$1:$1016,COLUMN($E$1),FALSE)/(LEN(VLOOKUP($D187,素材!$1:$1016,COLUMN($F$1),FALSE))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J187">
        <f>IF(ISNUMBER(SEARCH(SUBSTITUTE(AJ$1,RIGHT(AJ$1,2),""),VLOOKUP($D187,素材!$1:$1016,COLUMN($F$1),FALSE))),VLOOKUP($C187,装備品!$1:$998,COLUMN($O$1),FALSE)*VLOOKUP($D187,素材!$1:$1016,COLUMN($E$1),FALSE)/(LEN(VLOOKUP($D187,素材!$1:$1016,COLUMN($F$1),FALSE))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K187">
        <f>IF(ISNUMBER(SEARCH(SUBSTITUTE(AK$1,RIGHT(AK$1,2),""),VLOOKUP($D187,素材!$1:$1016,COLUMN($F$1),FALSE))),VLOOKUP($C187,装備品!$1:$998,COLUMN($O$1),FALSE)*VLOOKUP($D187,素材!$1:$1016,COLUMN($E$1),FALSE)/(LEN(VLOOKUP($D187,素材!$1:$1016,COLUMN($F$1),FALSE))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L187">
        <f>IF(ISNUMBER(SEARCH(SUBSTITUTE(AL$1,RIGHT(AL$1,2),""),VLOOKUP($D187,素材!$1:$1016,COLUMN($F$1),FALSE))),VLOOKUP($C187,装備品!$1:$998,COLUMN($O$1),FALSE)*VLOOKUP($D187,素材!$1:$1016,COLUMN($E$1),FALSE)/(LEN(VLOOKUP($D187,素材!$1:$1016,COLUMN($F$1),FALSE))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M187">
        <f>IF(ISNUMBER(SEARCH(SUBSTITUTE(AM$1,RIGHT(AM$1,2),""),VLOOKUP($D187,素材!$1:$1016,COLUMN($F$1),FALSE))),VLOOKUP($C187,装備品!$1:$998,COLUMN($O$1),FALSE)*VLOOKUP($D187,素材!$1:$1016,COLUMN($E$1),FALSE)/(LEN(VLOOKUP($D187,素材!$1:$1016,COLUMN($F$1),FALSE))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N187">
        <f>IF(ISNUMBER(SEARCH(SUBSTITUTE(AN$1,RIGHT(AN$1,2),""),VLOOKUP($D187,素材!$1:$1016,COLUMN($F$1),FALSE))),VLOOKUP($C187,装備品!$1:$998,COLUMN($O$1),FALSE)*VLOOKUP($D187,素材!$1:$1016,COLUMN($E$1),FALSE)/(LEN(VLOOKUP($D187,素材!$1:$1016,COLUMN($F$1),FALSE))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O187">
        <f>IF(ISNUMBER(SEARCH(SUBSTITUTE(AO$1,RIGHT(AO$1,2),""),VLOOKUP($D187,素材!$1:$1016,COLUMN($F$1),FALSE))),VLOOKUP($C187,装備品!$1:$998,COLUMN($O$1),FALSE)*VLOOKUP($D187,素材!$1:$1016,COLUMN($E$1),FALSE)/(LEN(VLOOKUP($D187,素材!$1:$1016,COLUMN($F$1),FALSE))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P187">
        <f>IF(ISNUMBER(SEARCH(SUBSTITUTE(AP$1,RIGHT(AP$1,2),""),VLOOKUP($D187,素材!$1:$1016,COLUMN($F$1),FALSE))),VLOOKUP($C187,装備品!$1:$998,COLUMN($O$1),FALSE)*VLOOKUP($D187,素材!$1:$1016,COLUMN($E$1),FALSE)/(LEN(VLOOKUP($D187,素材!$1:$1016,COLUMN($F$1),FALSE))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Q187">
        <f>IF(ISNUMBER(SEARCH(SUBSTITUTE(AQ$1,RIGHT(AQ$1,2),""),VLOOKUP($D187,素材!$1:$1016,COLUMN($F$1),FALSE))),VLOOKUP($C187,装備品!$1:$998,COLUMN($O$1),FALSE)*VLOOKUP($D187,素材!$1:$1016,COLUMN($E$1),FALSE)/(LEN(VLOOKUP($D187,素材!$1:$1016,COLUMN($F$1),FALSE))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R187">
        <f>IF(ISNUMBER(SEARCH(SUBSTITUTE(AR$1,RIGHT(AR$1,2),""),VLOOKUP($D187,素材!$1:$1016,COLUMN($F$1),FALSE))),VLOOKUP($C187,装備品!$1:$998,COLUMN($O$1),FALSE)*VLOOKUP($D187,素材!$1:$1016,COLUMN($E$1),FALSE)/(LEN(VLOOKUP($D187,素材!$1:$1016,COLUMN($F$1),FALSE))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S187">
        <f>IF(ISNUMBER(SEARCH(SUBSTITUTE(AS$1,RIGHT(AS$1,2),""),VLOOKUP($D187,素材!$1:$1016,COLUMN($F$1),FALSE))),VLOOKUP($C187,装備品!$1:$998,COLUMN($O$1),FALSE)*VLOOKUP($D187,素材!$1:$1016,COLUMN($E$1),FALSE)/(LEN(VLOOKUP($D187,素材!$1:$1016,COLUMN($F$1),FALSE))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T187">
        <f>IF(ISNUMBER(SEARCH(SUBSTITUTE(AT$1,RIGHT(AT$1,2),""),VLOOKUP($D187,素材!$1:$1016,COLUMN($F$1),FALSE))),VLOOKUP($C187,装備品!$1:$998,COLUMN($O$1),FALSE)*VLOOKUP($D187,素材!$1:$1016,COLUMN($E$1),FALSE)/(LEN(VLOOKUP($D187,素材!$1:$1016,COLUMN($F$1),FALSE))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U187">
        <f>IF(ISNUMBER(SEARCH(SUBSTITUTE(AU$1,RIGHT(AU$1,2),""),VLOOKUP($D187,素材!$1:$1016,COLUMN($F$1),FALSE))),VLOOKUP($C187,装備品!$1:$998,COLUMN($O$1),FALSE)*VLOOKUP($D187,素材!$1:$1016,COLUMN($E$1),FALSE)/(LEN(VLOOKUP($D187,素材!$1:$1016,COLUMN($F$1),FALSE))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V187">
        <f>IF(ISNUMBER(SEARCH(SUBSTITUTE(AV$1,RIGHT(AV$1,2),""),VLOOKUP($D187,素材!$1:$1016,COLUMN($F$1),FALSE))),VLOOKUP($C187,装備品!$1:$998,COLUMN($O$1),FALSE)*VLOOKUP($D187,素材!$1:$1016,COLUMN($E$1),FALSE)/(LEN(VLOOKUP($D187,素材!$1:$1016,COLUMN($F$1),FALSE))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W187">
        <f>IF(ISNUMBER(SEARCH(SUBSTITUTE(AW$1,RIGHT(AW$1,2),""),VLOOKUP($D187,素材!$1:$1016,COLUMN($F$1),FALSE))),VLOOKUP($C187,装備品!$1:$998,COLUMN($O$1),FALSE)*VLOOKUP($D187,素材!$1:$1016,COLUMN($E$1),FALSE)/(LEN(VLOOKUP($D187,素材!$1:$1016,COLUMN($F$1),FALSE))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X187">
        <f>IF(ISNUMBER(SEARCH(SUBSTITUTE(AX$1,RIGHT(AX$1,2),""),VLOOKUP($D187,素材!$1:$1016,COLUMN($F$1),FALSE))),VLOOKUP($C187,装備品!$1:$998,COLUMN($O$1),FALSE)*VLOOKUP($D187,素材!$1:$1016,COLUMN($E$1),FALSE)/(LEN(VLOOKUP($D187,素材!$1:$1016,COLUMN($F$1),FALSE))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Y187">
        <f>IF(ISNUMBER(SEARCH(SUBSTITUTE(AY$1,RIGHT(AY$1,2),""),VLOOKUP($D187,素材!$1:$1016,COLUMN($F$1),FALSE))),VLOOKUP($C187,装備品!$1:$998,COLUMN($O$1),FALSE)*VLOOKUP($D187,素材!$1:$1016,COLUMN($E$1),FALSE)/(LEN(VLOOKUP($D187,素材!$1:$1016,COLUMN($F$1),FALSE))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Z187">
        <f>IF(ISNUMBER(SEARCH(SUBSTITUTE(AZ$1,RIGHT(AZ$1,2),""),VLOOKUP($D187,素材!$1:$1016,COLUMN($F$1),FALSE))),VLOOKUP($C187,装備品!$1:$998,COLUMN($O$1),FALSE)*VLOOKUP($D187,素材!$1:$1016,COLUMN($E$1),FALSE)/(LEN(VLOOKUP($D187,素材!$1:$1016,COLUMN($F$1),FALSE))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BA187">
        <f>IF(ISNUMBER(SEARCH(SUBSTITUTE(BA$1,RIGHT(BA$1,2),""),VLOOKUP($D187,素材!$1:$1016,COLUMN($F$1),FALSE))),VLOOKUP($C187,装備品!$1:$998,COLUMN($O$1),FALSE)*VLOOKUP($D187,素材!$1:$1016,COLUMN($E$1),FALSE)/(LEN(VLOOKUP($D187,素材!$1:$1016,COLUMN($F$1),FALSE))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BB187">
        <f>IF(ISNUMBER(SEARCH(SUBSTITUTE(BB$1,RIGHT(BB$1,2),""),VLOOKUP($D187,素材!$1:$1016,COLUMN($F$1),FALSE))),VLOOKUP($C187,装備品!$1:$998,COLUMN($O$1),FALSE)*VLOOKUP($D187,素材!$1:$1016,COLUMN($E$1),FALSE)/(LEN(VLOOKUP($D187,素材!$1:$1016,COLUMN($F$1),FALSE))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BC187">
        <f>IF(ISNUMBER(SEARCH(SUBSTITUTE(BC$1,RIGHT(BC$1,2),""),VLOOKUP($D187,素材!$1:$1016,COLUMN($F$1),FALSE))),VLOOKUP($C187,装備品!$1:$998,COLUMN($O$1),FALSE)*VLOOKUP($D187,素材!$1:$1016,COLUMN($E$1),FALSE)/(LEN(VLOOKUP($D187,素材!$1:$1016,COLUMN($F$1),FALSE))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BD187">
        <f>IF(ISNUMBER(SEARCH(SUBSTITUTE(BD$1,RIGHT(BD$1,2),""),VLOOKUP($D187,素材!$1:$1016,COLUMN($F$1),FALSE))),VLOOKUP($C187,装備品!$1:$998,COLUMN($O$1),FALSE)*VLOOKUP($D187,素材!$1:$1016,COLUMN($E$1),FALSE)/(LEN(VLOOKUP($D187,素材!$1:$1016,COLUMN($F$1),FALSE))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BE187">
        <f>IF(ISNUMBER(SEARCH(SUBSTITUTE(BE$1,RIGHT(BE$1,2),""),VLOOKUP($D187,素材!$1:$1016,COLUMN($F$1),FALSE))),VLOOKUP($C187,装備品!$1:$998,COLUMN($O$1),FALSE)*VLOOKUP($D187,素材!$1:$1016,COLUMN($E$1),FALSE)/(LEN(VLOOKUP($D187,素材!$1:$1016,COLUMN($F$1),FALSE))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CL187">
        <f t="shared" si="19"/>
        <v>0</v>
      </c>
      <c r="CM187" s="22" t="str">
        <f t="shared" si="20"/>
        <v>銃.webp</v>
      </c>
      <c r="CN187" t="str">
        <f>IFERROR(VLOOKUP($C187,装備品!$1:$998,COLUMN(V$1),FALSE)*VLOOKUP($D187,素材!$1:$1016,COLUMN(N$1),FALSE)+IF(CI187="",0,VLOOKUP($CI187,付与!$1:$1176,COLUMN($CK$1),FALSE)),"")</f>
        <v/>
      </c>
      <c r="CO187" t="e">
        <f>VLOOKUP(D187,素材!$A:$O,COLUMN(素材!O$1),FALSE)</f>
        <v>#N/A</v>
      </c>
      <c r="CP187" t="str">
        <f>VLOOKUP(C187,装備品!$A:$AB,COLUMN(装備品!AB$1),FALSE)</f>
        <v/>
      </c>
      <c r="CR187" t="str">
        <f t="shared" si="24"/>
        <v>e_187</v>
      </c>
      <c r="CS187" t="e">
        <f t="shared" si="28"/>
        <v>#VALUE!</v>
      </c>
    </row>
    <row r="188" spans="1:97" outlineLevel="1" x14ac:dyDescent="0.4">
      <c r="A188" t="str">
        <f t="shared" si="33"/>
        <v>黒鋼鉄の回転式拳銃</v>
      </c>
      <c r="B188" t="str">
        <f>IFERROR(VLOOKUP($D188,素材!$1:$1016,COLUMN($B$1),FALSE)&amp;"・"&amp;VLOOKUP($C188,装備品!$1:$998,COLUMN(B$1),FALSE),"")</f>
        <v/>
      </c>
      <c r="C188" t="s">
        <v>211</v>
      </c>
      <c r="D188" s="24" t="s">
        <v>243</v>
      </c>
      <c r="E188" t="str">
        <f>IFERROR(VLOOKUP(C188,装備品!$1:$998,COLUMN(C$1),FALSE),"")</f>
        <v>銃</v>
      </c>
      <c r="F188" t="str">
        <f>IFERROR(ROUNDDOWN((VLOOKUP($C188,装備品!$1:$998,COLUMN(D$1),FALSE)+IFERROR(VLOOKUP($CI188,付与!$1:$1167,COLUMN(F$1),FALSE),0))*VLOOKUP($D188,素材!$1:$1016,COLUMN(D$1),FALSE),0),"")</f>
        <v/>
      </c>
      <c r="G188" t="str">
        <f>IFERROR(ROUNDDOWN((VLOOKUP($C188,装備品!$1:$998,COLUMN(E$1),FALSE)+IFERROR(VLOOKUP($CI188,付与!$1:$1167,COLUMN(G$1),FALSE),0))*VLOOKUP($D188,素材!$1:$1016,COLUMN($E$1),FALSE),0),"")</f>
        <v/>
      </c>
      <c r="H188" t="str">
        <f>IFERROR(ROUNDDOWN((VLOOKUP($C188,装備品!$1:$998,COLUMN(F$1),FALSE)+IFERROR(VLOOKUP($CI188,付与!$1:$1167,COLUMN(H$1),FALSE),0))*VLOOKUP($D188,素材!$1:$1016,COLUMN($E$1),FALSE),0),"")</f>
        <v/>
      </c>
      <c r="I188" t="str">
        <f>IFERROR(ROUNDDOWN((VLOOKUP($C188,装備品!$1:$998,COLUMN(G$1),FALSE)+IFERROR(VLOOKUP($CI188,付与!$1:$1167,COLUMN(I$1),FALSE),0))*VLOOKUP($D188,素材!$1:$1016,COLUMN($E$1),FALSE),0),"")</f>
        <v/>
      </c>
      <c r="J188" t="str">
        <f>IFERROR(ROUNDDOWN((VLOOKUP($C188,装備品!$1:$998,COLUMN(H$1),FALSE)+IFERROR(VLOOKUP($CI188,付与!$1:$1167,COLUMN(J$1),FALSE),0))*VLOOKUP($D188,素材!$1:$1016,COLUMN($E$1),FALSE),0),"")</f>
        <v/>
      </c>
      <c r="K188" t="str">
        <f>IFERROR(ROUNDDOWN((VLOOKUP($C188,装備品!$1:$998,COLUMN(I$1),FALSE)+IFERROR(VLOOKUP($CI188,付与!$1:$1167,COLUMN(K$1),FALSE),0))*VLOOKUP($D188,素材!$1:$1016,COLUMN($E$1),FALSE),0),"")</f>
        <v/>
      </c>
      <c r="L188" t="str">
        <f>IFERROR(VLOOKUP($D188,素材!$1:$1016,COLUMN($F$1),FALSE),"")</f>
        <v/>
      </c>
      <c r="M188" t="str">
        <f>IFERROR(VLOOKUP($C188,装備品!$1:$998,COLUMN(AA$1),FALSE)*VLOOKUP($D188,素材!$1:$1016,COLUMN($G$1),FALSE),"")</f>
        <v/>
      </c>
      <c r="N188">
        <f>IFERROR(VLOOKUP($C188,装備品!$1:$998,COLUMN(I$1),FALSE),"")</f>
        <v>2.5700000000000003</v>
      </c>
      <c r="O188" s="23" t="str">
        <f>IFERROR((VLOOKUP($C188,装備品!$1:$998,COLUMN(K$1),FALSE)+VLOOKUP($D188,素材!$1:$1016,COLUMN(H$1),FALSE))*100+IFERROR(VLOOKUP($CI188,付与!$1:$1167,COLUMN(O$1),FALSE),0),"")</f>
        <v/>
      </c>
      <c r="P188" s="23" t="str">
        <f>IFERROR((VLOOKUP($C188,装備品!$1:$998,COLUMN(L$1),FALSE)+VLOOKUP($D188,素材!$1:$1016,COLUMN(I$1),FALSE))*100+IFERROR(VLOOKUP($CI188,付与!$1:$1167,COLUMN(P$1),FALSE),0),"")</f>
        <v/>
      </c>
      <c r="Q188" t="str">
        <f>IFERROR(ROUNDUP(VLOOKUP($C188,装備品!$1:$998,COLUMN(M$1),FALSE)*(VLOOKUP($D188,素材!$1:$1002,COLUMN(D$1),FALSE)/100),1),"")</f>
        <v/>
      </c>
      <c r="R188" t="str">
        <f>IFERROR(ROUNDUP(VLOOKUP($C188,装備品!$1:$998,COLUMN(N$1),FALSE)*(VLOOKUP($D188,素材!$1:$1002,COLUMN(D$1),FALSE)/100),1),"")</f>
        <v/>
      </c>
      <c r="S188">
        <f>IFERROR(VLOOKUP($C188,装備品!$1:$998,COLUMN(P$1),FALSE),"")</f>
        <v>0</v>
      </c>
      <c r="T188">
        <f>IFERROR(VLOOKUP($C188,装備品!$1:$998,COLUMN(Q$1),FALSE),"")</f>
        <v>0</v>
      </c>
      <c r="U188">
        <f>IFERROR(VLOOKUP($C188,装備品!$1:$998,COLUMN(R$1),FALSE),"")</f>
        <v>0</v>
      </c>
      <c r="V188">
        <f>IFERROR(VLOOKUP($C188,装備品!$1:$998,COLUMN(Q$1),FALSE),"")</f>
        <v>0</v>
      </c>
      <c r="W188">
        <f>IFERROR(VLOOKUP($C188,装備品!$1:$998,COLUMN(T$1),FALSE),"")</f>
        <v>0</v>
      </c>
      <c r="Y188">
        <f>IFERROR(VLOOKUP($C188,装備品!$1:$998,COLUMN(U$1),FALSE),"")</f>
        <v>0</v>
      </c>
      <c r="Z188" t="str">
        <f>IFERROR(ROUNDUP(VLOOKUP($C188,装備品!$1:$998,COLUMN(O$1),FALSE)*VLOOKUP($D188,素材!$1:$1016,COLUMN(E$1),FALSE),1),"")</f>
        <v/>
      </c>
      <c r="AA188">
        <f>IF(ISNUMBER(SEARCH(SUBSTITUTE(AA$1,RIGHT(AA$1,2),""),VLOOKUP($D188,素材!$1:$1016,COLUMN($F$1),FALSE))),VLOOKUP($C188,装備品!$1:$998,COLUMN($O$1),FALSE)*VLOOKUP($D188,素材!$1:$1016,COLUMN($E$1),FALSE)/(LEN(VLOOKUP($D188,素材!$1:$1016,COLUMN($F$1),FALSE))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B188">
        <f>IF(ISNUMBER(SEARCH(SUBSTITUTE(AB$1,RIGHT(AB$1,2),""),VLOOKUP($D188,素材!$1:$1016,COLUMN($F$1),FALSE))),VLOOKUP($C188,装備品!$1:$998,COLUMN($O$1),FALSE)*VLOOKUP($D188,素材!$1:$1016,COLUMN($E$1),FALSE)/(LEN(VLOOKUP($D188,素材!$1:$1016,COLUMN($F$1),FALSE))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C188">
        <f>IF(ISNUMBER(SEARCH(SUBSTITUTE(AC$1,RIGHT(AC$1,2),""),VLOOKUP($D188,素材!$1:$1016,COLUMN($F$1),FALSE))),VLOOKUP($C188,装備品!$1:$998,COLUMN($O$1),FALSE)*VLOOKUP($D188,素材!$1:$1016,COLUMN($E$1),FALSE)/(LEN(VLOOKUP($D188,素材!$1:$1016,COLUMN($F$1),FALSE))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D188">
        <f>IF(ISNUMBER(SEARCH(SUBSTITUTE(AD$1,RIGHT(AD$1,2),""),VLOOKUP($D188,素材!$1:$1016,COLUMN($F$1),FALSE))),VLOOKUP($C188,装備品!$1:$998,COLUMN($O$1),FALSE)*VLOOKUP($D188,素材!$1:$1016,COLUMN($E$1),FALSE)/(LEN(VLOOKUP($D188,素材!$1:$1016,COLUMN($F$1),FALSE))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E188">
        <f>IF(ISNUMBER(SEARCH(SUBSTITUTE(AE$1,RIGHT(AE$1,2),""),VLOOKUP($D188,素材!$1:$1016,COLUMN($F$1),FALSE))),VLOOKUP($C188,装備品!$1:$998,COLUMN($O$1),FALSE)*VLOOKUP($D188,素材!$1:$1016,COLUMN($E$1),FALSE)/(LEN(VLOOKUP($D188,素材!$1:$1016,COLUMN($F$1),FALSE))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F188">
        <f>IF(ISNUMBER(SEARCH(SUBSTITUTE(AF$1,RIGHT(AF$1,2),""),VLOOKUP($D188,素材!$1:$1016,COLUMN($F$1),FALSE))),VLOOKUP($C188,装備品!$1:$998,COLUMN($O$1),FALSE)*VLOOKUP($D188,素材!$1:$1016,COLUMN($E$1),FALSE)/(LEN(VLOOKUP($D188,素材!$1:$1016,COLUMN($F$1),FALSE))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G188">
        <f>IF(ISNUMBER(SEARCH(SUBSTITUTE(AG$1,RIGHT(AG$1,2),""),VLOOKUP($D188,素材!$1:$1016,COLUMN($F$1),FALSE))),VLOOKUP($C188,装備品!$1:$998,COLUMN($O$1),FALSE)*VLOOKUP($D188,素材!$1:$1016,COLUMN($E$1),FALSE)/(LEN(VLOOKUP($D188,素材!$1:$1016,COLUMN($F$1),FALSE))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H188">
        <f>IF(ISNUMBER(SEARCH(SUBSTITUTE(AH$1,RIGHT(AH$1,2),""),VLOOKUP($D188,素材!$1:$1016,COLUMN($F$1),FALSE))),VLOOKUP($C188,装備品!$1:$998,COLUMN($O$1),FALSE)*VLOOKUP($D188,素材!$1:$1016,COLUMN($E$1),FALSE)/(LEN(VLOOKUP($D188,素材!$1:$1016,COLUMN($F$1),FALSE))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I188">
        <f>IF(ISNUMBER(SEARCH(SUBSTITUTE(AI$1,RIGHT(AI$1,2),""),VLOOKUP($D188,素材!$1:$1016,COLUMN($F$1),FALSE))),VLOOKUP($C188,装備品!$1:$998,COLUMN($O$1),FALSE)*VLOOKUP($D188,素材!$1:$1016,COLUMN($E$1),FALSE)/(LEN(VLOOKUP($D188,素材!$1:$1016,COLUMN($F$1),FALSE))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J188">
        <f>IF(ISNUMBER(SEARCH(SUBSTITUTE(AJ$1,RIGHT(AJ$1,2),""),VLOOKUP($D188,素材!$1:$1016,COLUMN($F$1),FALSE))),VLOOKUP($C188,装備品!$1:$998,COLUMN($O$1),FALSE)*VLOOKUP($D188,素材!$1:$1016,COLUMN($E$1),FALSE)/(LEN(VLOOKUP($D188,素材!$1:$1016,COLUMN($F$1),FALSE))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K188">
        <f>IF(ISNUMBER(SEARCH(SUBSTITUTE(AK$1,RIGHT(AK$1,2),""),VLOOKUP($D188,素材!$1:$1016,COLUMN($F$1),FALSE))),VLOOKUP($C188,装備品!$1:$998,COLUMN($O$1),FALSE)*VLOOKUP($D188,素材!$1:$1016,COLUMN($E$1),FALSE)/(LEN(VLOOKUP($D188,素材!$1:$1016,COLUMN($F$1),FALSE))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L188">
        <f>IF(ISNUMBER(SEARCH(SUBSTITUTE(AL$1,RIGHT(AL$1,2),""),VLOOKUP($D188,素材!$1:$1016,COLUMN($F$1),FALSE))),VLOOKUP($C188,装備品!$1:$998,COLUMN($O$1),FALSE)*VLOOKUP($D188,素材!$1:$1016,COLUMN($E$1),FALSE)/(LEN(VLOOKUP($D188,素材!$1:$1016,COLUMN($F$1),FALSE))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M188">
        <f>IF(ISNUMBER(SEARCH(SUBSTITUTE(AM$1,RIGHT(AM$1,2),""),VLOOKUP($D188,素材!$1:$1016,COLUMN($F$1),FALSE))),VLOOKUP($C188,装備品!$1:$998,COLUMN($O$1),FALSE)*VLOOKUP($D188,素材!$1:$1016,COLUMN($E$1),FALSE)/(LEN(VLOOKUP($D188,素材!$1:$1016,COLUMN($F$1),FALSE))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N188">
        <f>IF(ISNUMBER(SEARCH(SUBSTITUTE(AN$1,RIGHT(AN$1,2),""),VLOOKUP($D188,素材!$1:$1016,COLUMN($F$1),FALSE))),VLOOKUP($C188,装備品!$1:$998,COLUMN($O$1),FALSE)*VLOOKUP($D188,素材!$1:$1016,COLUMN($E$1),FALSE)/(LEN(VLOOKUP($D188,素材!$1:$1016,COLUMN($F$1),FALSE))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O188">
        <f>IF(ISNUMBER(SEARCH(SUBSTITUTE(AO$1,RIGHT(AO$1,2),""),VLOOKUP($D188,素材!$1:$1016,COLUMN($F$1),FALSE))),VLOOKUP($C188,装備品!$1:$998,COLUMN($O$1),FALSE)*VLOOKUP($D188,素材!$1:$1016,COLUMN($E$1),FALSE)/(LEN(VLOOKUP($D188,素材!$1:$1016,COLUMN($F$1),FALSE))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P188">
        <f>IF(ISNUMBER(SEARCH(SUBSTITUTE(AP$1,RIGHT(AP$1,2),""),VLOOKUP($D188,素材!$1:$1016,COLUMN($F$1),FALSE))),VLOOKUP($C188,装備品!$1:$998,COLUMN($O$1),FALSE)*VLOOKUP($D188,素材!$1:$1016,COLUMN($E$1),FALSE)/(LEN(VLOOKUP($D188,素材!$1:$1016,COLUMN($F$1),FALSE))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Q188">
        <f>IF(ISNUMBER(SEARCH(SUBSTITUTE(AQ$1,RIGHT(AQ$1,2),""),VLOOKUP($D188,素材!$1:$1016,COLUMN($F$1),FALSE))),VLOOKUP($C188,装備品!$1:$998,COLUMN($O$1),FALSE)*VLOOKUP($D188,素材!$1:$1016,COLUMN($E$1),FALSE)/(LEN(VLOOKUP($D188,素材!$1:$1016,COLUMN($F$1),FALSE))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R188">
        <f>IF(ISNUMBER(SEARCH(SUBSTITUTE(AR$1,RIGHT(AR$1,2),""),VLOOKUP($D188,素材!$1:$1016,COLUMN($F$1),FALSE))),VLOOKUP($C188,装備品!$1:$998,COLUMN($O$1),FALSE)*VLOOKUP($D188,素材!$1:$1016,COLUMN($E$1),FALSE)/(LEN(VLOOKUP($D188,素材!$1:$1016,COLUMN($F$1),FALSE))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S188">
        <f>IF(ISNUMBER(SEARCH(SUBSTITUTE(AS$1,RIGHT(AS$1,2),""),VLOOKUP($D188,素材!$1:$1016,COLUMN($F$1),FALSE))),VLOOKUP($C188,装備品!$1:$998,COLUMN($O$1),FALSE)*VLOOKUP($D188,素材!$1:$1016,COLUMN($E$1),FALSE)/(LEN(VLOOKUP($D188,素材!$1:$1016,COLUMN($F$1),FALSE))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T188">
        <f>IF(ISNUMBER(SEARCH(SUBSTITUTE(AT$1,RIGHT(AT$1,2),""),VLOOKUP($D188,素材!$1:$1016,COLUMN($F$1),FALSE))),VLOOKUP($C188,装備品!$1:$998,COLUMN($O$1),FALSE)*VLOOKUP($D188,素材!$1:$1016,COLUMN($E$1),FALSE)/(LEN(VLOOKUP($D188,素材!$1:$1016,COLUMN($F$1),FALSE))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U188">
        <f>IF(ISNUMBER(SEARCH(SUBSTITUTE(AU$1,RIGHT(AU$1,2),""),VLOOKUP($D188,素材!$1:$1016,COLUMN($F$1),FALSE))),VLOOKUP($C188,装備品!$1:$998,COLUMN($O$1),FALSE)*VLOOKUP($D188,素材!$1:$1016,COLUMN($E$1),FALSE)/(LEN(VLOOKUP($D188,素材!$1:$1016,COLUMN($F$1),FALSE))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V188">
        <f>IF(ISNUMBER(SEARCH(SUBSTITUTE(AV$1,RIGHT(AV$1,2),""),VLOOKUP($D188,素材!$1:$1016,COLUMN($F$1),FALSE))),VLOOKUP($C188,装備品!$1:$998,COLUMN($O$1),FALSE)*VLOOKUP($D188,素材!$1:$1016,COLUMN($E$1),FALSE)/(LEN(VLOOKUP($D188,素材!$1:$1016,COLUMN($F$1),FALSE))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W188">
        <f>IF(ISNUMBER(SEARCH(SUBSTITUTE(AW$1,RIGHT(AW$1,2),""),VLOOKUP($D188,素材!$1:$1016,COLUMN($F$1),FALSE))),VLOOKUP($C188,装備品!$1:$998,COLUMN($O$1),FALSE)*VLOOKUP($D188,素材!$1:$1016,COLUMN($E$1),FALSE)/(LEN(VLOOKUP($D188,素材!$1:$1016,COLUMN($F$1),FALSE))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X188">
        <f>IF(ISNUMBER(SEARCH(SUBSTITUTE(AX$1,RIGHT(AX$1,2),""),VLOOKUP($D188,素材!$1:$1016,COLUMN($F$1),FALSE))),VLOOKUP($C188,装備品!$1:$998,COLUMN($O$1),FALSE)*VLOOKUP($D188,素材!$1:$1016,COLUMN($E$1),FALSE)/(LEN(VLOOKUP($D188,素材!$1:$1016,COLUMN($F$1),FALSE))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Y188">
        <f>IF(ISNUMBER(SEARCH(SUBSTITUTE(AY$1,RIGHT(AY$1,2),""),VLOOKUP($D188,素材!$1:$1016,COLUMN($F$1),FALSE))),VLOOKUP($C188,装備品!$1:$998,COLUMN($O$1),FALSE)*VLOOKUP($D188,素材!$1:$1016,COLUMN($E$1),FALSE)/(LEN(VLOOKUP($D188,素材!$1:$1016,COLUMN($F$1),FALSE))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Z188">
        <f>IF(ISNUMBER(SEARCH(SUBSTITUTE(AZ$1,RIGHT(AZ$1,2),""),VLOOKUP($D188,素材!$1:$1016,COLUMN($F$1),FALSE))),VLOOKUP($C188,装備品!$1:$998,COLUMN($O$1),FALSE)*VLOOKUP($D188,素材!$1:$1016,COLUMN($E$1),FALSE)/(LEN(VLOOKUP($D188,素材!$1:$1016,COLUMN($F$1),FALSE))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BA188">
        <f>IF(ISNUMBER(SEARCH(SUBSTITUTE(BA$1,RIGHT(BA$1,2),""),VLOOKUP($D188,素材!$1:$1016,COLUMN($F$1),FALSE))),VLOOKUP($C188,装備品!$1:$998,COLUMN($O$1),FALSE)*VLOOKUP($D188,素材!$1:$1016,COLUMN($E$1),FALSE)/(LEN(VLOOKUP($D188,素材!$1:$1016,COLUMN($F$1),FALSE))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BB188">
        <f>IF(ISNUMBER(SEARCH(SUBSTITUTE(BB$1,RIGHT(BB$1,2),""),VLOOKUP($D188,素材!$1:$1016,COLUMN($F$1),FALSE))),VLOOKUP($C188,装備品!$1:$998,COLUMN($O$1),FALSE)*VLOOKUP($D188,素材!$1:$1016,COLUMN($E$1),FALSE)/(LEN(VLOOKUP($D188,素材!$1:$1016,COLUMN($F$1),FALSE))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BC188">
        <f>IF(ISNUMBER(SEARCH(SUBSTITUTE(BC$1,RIGHT(BC$1,2),""),VLOOKUP($D188,素材!$1:$1016,COLUMN($F$1),FALSE))),VLOOKUP($C188,装備品!$1:$998,COLUMN($O$1),FALSE)*VLOOKUP($D188,素材!$1:$1016,COLUMN($E$1),FALSE)/(LEN(VLOOKUP($D188,素材!$1:$1016,COLUMN($F$1),FALSE))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BD188">
        <f>IF(ISNUMBER(SEARCH(SUBSTITUTE(BD$1,RIGHT(BD$1,2),""),VLOOKUP($D188,素材!$1:$1016,COLUMN($F$1),FALSE))),VLOOKUP($C188,装備品!$1:$998,COLUMN($O$1),FALSE)*VLOOKUP($D188,素材!$1:$1016,COLUMN($E$1),FALSE)/(LEN(VLOOKUP($D188,素材!$1:$1016,COLUMN($F$1),FALSE))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BE188">
        <f>IF(ISNUMBER(SEARCH(SUBSTITUTE(BE$1,RIGHT(BE$1,2),""),VLOOKUP($D188,素材!$1:$1016,COLUMN($F$1),FALSE))),VLOOKUP($C188,装備品!$1:$998,COLUMN($O$1),FALSE)*VLOOKUP($D188,素材!$1:$1016,COLUMN($E$1),FALSE)/(LEN(VLOOKUP($D188,素材!$1:$1016,COLUMN($F$1),FALSE))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CL188">
        <f t="shared" si="19"/>
        <v>0</v>
      </c>
      <c r="CM188" s="22" t="str">
        <f t="shared" si="20"/>
        <v>銃.webp</v>
      </c>
      <c r="CN188" t="str">
        <f>IFERROR(VLOOKUP($C188,装備品!$1:$998,COLUMN(V$1),FALSE)*VLOOKUP($D188,素材!$1:$1016,COLUMN(N$1),FALSE)+IF(CI188="",0,VLOOKUP($CI188,付与!$1:$1176,COLUMN($CK$1),FALSE)),"")</f>
        <v/>
      </c>
      <c r="CO188" t="e">
        <f>VLOOKUP(D188,素材!$A:$O,COLUMN(素材!O$1),FALSE)</f>
        <v>#N/A</v>
      </c>
      <c r="CP188" t="str">
        <f>VLOOKUP(C188,装備品!$A:$AB,COLUMN(装備品!AB$1),FALSE)</f>
        <v/>
      </c>
      <c r="CR188" t="str">
        <f t="shared" si="24"/>
        <v>e_188</v>
      </c>
      <c r="CS188" t="e">
        <f t="shared" si="28"/>
        <v>#VALUE!</v>
      </c>
    </row>
    <row r="189" spans="1:97" outlineLevel="1" x14ac:dyDescent="0.4">
      <c r="A189" t="str">
        <f t="shared" si="33"/>
        <v>黒鋼鉄の拳銃</v>
      </c>
      <c r="B189" t="str">
        <f>IFERROR(VLOOKUP($D189,素材!$1:$1016,COLUMN($B$1),FALSE)&amp;"・"&amp;VLOOKUP($C189,装備品!$1:$998,COLUMN(B$1),FALSE),"")</f>
        <v/>
      </c>
      <c r="C189" t="s">
        <v>210</v>
      </c>
      <c r="D189" s="24" t="s">
        <v>243</v>
      </c>
      <c r="E189" t="str">
        <f>IFERROR(VLOOKUP(C189,装備品!$1:$998,COLUMN(C$1),FALSE),"")</f>
        <v>銃</v>
      </c>
      <c r="F189" t="str">
        <f>IFERROR(ROUNDDOWN((VLOOKUP($C189,装備品!$1:$998,COLUMN(D$1),FALSE)+IFERROR(VLOOKUP($CI189,付与!$1:$1167,COLUMN(F$1),FALSE),0))*VLOOKUP($D189,素材!$1:$1016,COLUMN(D$1),FALSE),0),"")</f>
        <v/>
      </c>
      <c r="G189" t="str">
        <f>IFERROR(ROUNDDOWN((VLOOKUP($C189,装備品!$1:$998,COLUMN(E$1),FALSE)+IFERROR(VLOOKUP($CI189,付与!$1:$1167,COLUMN(G$1),FALSE),0))*VLOOKUP($D189,素材!$1:$1016,COLUMN($E$1),FALSE),0),"")</f>
        <v/>
      </c>
      <c r="H189" t="str">
        <f>IFERROR(ROUNDDOWN((VLOOKUP($C189,装備品!$1:$998,COLUMN(F$1),FALSE)+IFERROR(VLOOKUP($CI189,付与!$1:$1167,COLUMN(H$1),FALSE),0))*VLOOKUP($D189,素材!$1:$1016,COLUMN($E$1),FALSE),0),"")</f>
        <v/>
      </c>
      <c r="I189" t="str">
        <f>IFERROR(ROUNDDOWN((VLOOKUP($C189,装備品!$1:$998,COLUMN(G$1),FALSE)+IFERROR(VLOOKUP($CI189,付与!$1:$1167,COLUMN(I$1),FALSE),0))*VLOOKUP($D189,素材!$1:$1016,COLUMN($E$1),FALSE),0),"")</f>
        <v/>
      </c>
      <c r="J189" t="str">
        <f>IFERROR(ROUNDDOWN((VLOOKUP($C189,装備品!$1:$998,COLUMN(H$1),FALSE)+IFERROR(VLOOKUP($CI189,付与!$1:$1167,COLUMN(J$1),FALSE),0))*VLOOKUP($D189,素材!$1:$1016,COLUMN($E$1),FALSE),0),"")</f>
        <v/>
      </c>
      <c r="K189" t="str">
        <f>IFERROR(ROUNDDOWN((VLOOKUP($C189,装備品!$1:$998,COLUMN(I$1),FALSE)+IFERROR(VLOOKUP($CI189,付与!$1:$1167,COLUMN(K$1),FALSE),0))*VLOOKUP($D189,素材!$1:$1016,COLUMN($E$1),FALSE),0),"")</f>
        <v/>
      </c>
      <c r="L189" t="str">
        <f>IFERROR(VLOOKUP($D189,素材!$1:$1016,COLUMN($F$1),FALSE),"")</f>
        <v/>
      </c>
      <c r="M189" t="str">
        <f>IFERROR(VLOOKUP($C189,装備品!$1:$998,COLUMN(AA$1),FALSE)*VLOOKUP($D189,素材!$1:$1016,COLUMN($G$1),FALSE),"")</f>
        <v/>
      </c>
      <c r="N189">
        <f>IFERROR(VLOOKUP($C189,装備品!$1:$998,COLUMN(I$1),FALSE),"")</f>
        <v>1.8</v>
      </c>
      <c r="O189" s="23" t="str">
        <f>IFERROR((VLOOKUP($C189,装備品!$1:$998,COLUMN(K$1),FALSE)+VLOOKUP($D189,素材!$1:$1016,COLUMN(H$1),FALSE))*100+IFERROR(VLOOKUP($CI189,付与!$1:$1167,COLUMN(O$1),FALSE),0),"")</f>
        <v/>
      </c>
      <c r="P189" s="23" t="str">
        <f>IFERROR((VLOOKUP($C189,装備品!$1:$998,COLUMN(L$1),FALSE)+VLOOKUP($D189,素材!$1:$1016,COLUMN(I$1),FALSE))*100+IFERROR(VLOOKUP($CI189,付与!$1:$1167,COLUMN(P$1),FALSE),0),"")</f>
        <v/>
      </c>
      <c r="Q189" t="str">
        <f>IFERROR(ROUNDUP(VLOOKUP($C189,装備品!$1:$998,COLUMN(M$1),FALSE)*(VLOOKUP($D189,素材!$1:$1002,COLUMN(D$1),FALSE)/100),1),"")</f>
        <v/>
      </c>
      <c r="R189" t="str">
        <f>IFERROR(ROUNDUP(VLOOKUP($C189,装備品!$1:$998,COLUMN(N$1),FALSE)*(VLOOKUP($D189,素材!$1:$1002,COLUMN(D$1),FALSE)/100),1),"")</f>
        <v/>
      </c>
      <c r="S189">
        <f>IFERROR(VLOOKUP($C189,装備品!$1:$998,COLUMN(P$1),FALSE),"")</f>
        <v>0</v>
      </c>
      <c r="T189">
        <f>IFERROR(VLOOKUP($C189,装備品!$1:$998,COLUMN(Q$1),FALSE),"")</f>
        <v>0</v>
      </c>
      <c r="U189">
        <f>IFERROR(VLOOKUP($C189,装備品!$1:$998,COLUMN(R$1),FALSE),"")</f>
        <v>0</v>
      </c>
      <c r="V189">
        <f>IFERROR(VLOOKUP($C189,装備品!$1:$998,COLUMN(Q$1),FALSE),"")</f>
        <v>0</v>
      </c>
      <c r="W189">
        <f>IFERROR(VLOOKUP($C189,装備品!$1:$998,COLUMN(T$1),FALSE),"")</f>
        <v>0</v>
      </c>
      <c r="Y189">
        <f>IFERROR(VLOOKUP($C189,装備品!$1:$998,COLUMN(U$1),FALSE),"")</f>
        <v>0</v>
      </c>
      <c r="Z189" t="str">
        <f>IFERROR(ROUNDUP(VLOOKUP($C189,装備品!$1:$998,COLUMN(O$1),FALSE)*VLOOKUP($D189,素材!$1:$1016,COLUMN(E$1),FALSE),1),"")</f>
        <v/>
      </c>
      <c r="AA189">
        <f>IF(ISNUMBER(SEARCH(SUBSTITUTE(AA$1,RIGHT(AA$1,2),""),VLOOKUP($D189,素材!$1:$1016,COLUMN($F$1),FALSE))),VLOOKUP($C189,装備品!$1:$998,COLUMN($O$1),FALSE)*VLOOKUP($D189,素材!$1:$1016,COLUMN($E$1),FALSE)/(LEN(VLOOKUP($D189,素材!$1:$1016,COLUMN($F$1),FALSE))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B189">
        <f>IF(ISNUMBER(SEARCH(SUBSTITUTE(AB$1,RIGHT(AB$1,2),""),VLOOKUP($D189,素材!$1:$1016,COLUMN($F$1),FALSE))),VLOOKUP($C189,装備品!$1:$998,COLUMN($O$1),FALSE)*VLOOKUP($D189,素材!$1:$1016,COLUMN($E$1),FALSE)/(LEN(VLOOKUP($D189,素材!$1:$1016,COLUMN($F$1),FALSE))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C189">
        <f>IF(ISNUMBER(SEARCH(SUBSTITUTE(AC$1,RIGHT(AC$1,2),""),VLOOKUP($D189,素材!$1:$1016,COLUMN($F$1),FALSE))),VLOOKUP($C189,装備品!$1:$998,COLUMN($O$1),FALSE)*VLOOKUP($D189,素材!$1:$1016,COLUMN($E$1),FALSE)/(LEN(VLOOKUP($D189,素材!$1:$1016,COLUMN($F$1),FALSE))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D189">
        <f>IF(ISNUMBER(SEARCH(SUBSTITUTE(AD$1,RIGHT(AD$1,2),""),VLOOKUP($D189,素材!$1:$1016,COLUMN($F$1),FALSE))),VLOOKUP($C189,装備品!$1:$998,COLUMN($O$1),FALSE)*VLOOKUP($D189,素材!$1:$1016,COLUMN($E$1),FALSE)/(LEN(VLOOKUP($D189,素材!$1:$1016,COLUMN($F$1),FALSE))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E189">
        <f>IF(ISNUMBER(SEARCH(SUBSTITUTE(AE$1,RIGHT(AE$1,2),""),VLOOKUP($D189,素材!$1:$1016,COLUMN($F$1),FALSE))),VLOOKUP($C189,装備品!$1:$998,COLUMN($O$1),FALSE)*VLOOKUP($D189,素材!$1:$1016,COLUMN($E$1),FALSE)/(LEN(VLOOKUP($D189,素材!$1:$1016,COLUMN($F$1),FALSE))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F189">
        <f>IF(ISNUMBER(SEARCH(SUBSTITUTE(AF$1,RIGHT(AF$1,2),""),VLOOKUP($D189,素材!$1:$1016,COLUMN($F$1),FALSE))),VLOOKUP($C189,装備品!$1:$998,COLUMN($O$1),FALSE)*VLOOKUP($D189,素材!$1:$1016,COLUMN($E$1),FALSE)/(LEN(VLOOKUP($D189,素材!$1:$1016,COLUMN($F$1),FALSE))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G189">
        <f>IF(ISNUMBER(SEARCH(SUBSTITUTE(AG$1,RIGHT(AG$1,2),""),VLOOKUP($D189,素材!$1:$1016,COLUMN($F$1),FALSE))),VLOOKUP($C189,装備品!$1:$998,COLUMN($O$1),FALSE)*VLOOKUP($D189,素材!$1:$1016,COLUMN($E$1),FALSE)/(LEN(VLOOKUP($D189,素材!$1:$1016,COLUMN($F$1),FALSE))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H189">
        <f>IF(ISNUMBER(SEARCH(SUBSTITUTE(AH$1,RIGHT(AH$1,2),""),VLOOKUP($D189,素材!$1:$1016,COLUMN($F$1),FALSE))),VLOOKUP($C189,装備品!$1:$998,COLUMN($O$1),FALSE)*VLOOKUP($D189,素材!$1:$1016,COLUMN($E$1),FALSE)/(LEN(VLOOKUP($D189,素材!$1:$1016,COLUMN($F$1),FALSE))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I189">
        <f>IF(ISNUMBER(SEARCH(SUBSTITUTE(AI$1,RIGHT(AI$1,2),""),VLOOKUP($D189,素材!$1:$1016,COLUMN($F$1),FALSE))),VLOOKUP($C189,装備品!$1:$998,COLUMN($O$1),FALSE)*VLOOKUP($D189,素材!$1:$1016,COLUMN($E$1),FALSE)/(LEN(VLOOKUP($D189,素材!$1:$1016,COLUMN($F$1),FALSE))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J189">
        <f>IF(ISNUMBER(SEARCH(SUBSTITUTE(AJ$1,RIGHT(AJ$1,2),""),VLOOKUP($D189,素材!$1:$1016,COLUMN($F$1),FALSE))),VLOOKUP($C189,装備品!$1:$998,COLUMN($O$1),FALSE)*VLOOKUP($D189,素材!$1:$1016,COLUMN($E$1),FALSE)/(LEN(VLOOKUP($D189,素材!$1:$1016,COLUMN($F$1),FALSE))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K189">
        <f>IF(ISNUMBER(SEARCH(SUBSTITUTE(AK$1,RIGHT(AK$1,2),""),VLOOKUP($D189,素材!$1:$1016,COLUMN($F$1),FALSE))),VLOOKUP($C189,装備品!$1:$998,COLUMN($O$1),FALSE)*VLOOKUP($D189,素材!$1:$1016,COLUMN($E$1),FALSE)/(LEN(VLOOKUP($D189,素材!$1:$1016,COLUMN($F$1),FALSE))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L189">
        <f>IF(ISNUMBER(SEARCH(SUBSTITUTE(AL$1,RIGHT(AL$1,2),""),VLOOKUP($D189,素材!$1:$1016,COLUMN($F$1),FALSE))),VLOOKUP($C189,装備品!$1:$998,COLUMN($O$1),FALSE)*VLOOKUP($D189,素材!$1:$1016,COLUMN($E$1),FALSE)/(LEN(VLOOKUP($D189,素材!$1:$1016,COLUMN($F$1),FALSE))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M189">
        <f>IF(ISNUMBER(SEARCH(SUBSTITUTE(AM$1,RIGHT(AM$1,2),""),VLOOKUP($D189,素材!$1:$1016,COLUMN($F$1),FALSE))),VLOOKUP($C189,装備品!$1:$998,COLUMN($O$1),FALSE)*VLOOKUP($D189,素材!$1:$1016,COLUMN($E$1),FALSE)/(LEN(VLOOKUP($D189,素材!$1:$1016,COLUMN($F$1),FALSE))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N189">
        <f>IF(ISNUMBER(SEARCH(SUBSTITUTE(AN$1,RIGHT(AN$1,2),""),VLOOKUP($D189,素材!$1:$1016,COLUMN($F$1),FALSE))),VLOOKUP($C189,装備品!$1:$998,COLUMN($O$1),FALSE)*VLOOKUP($D189,素材!$1:$1016,COLUMN($E$1),FALSE)/(LEN(VLOOKUP($D189,素材!$1:$1016,COLUMN($F$1),FALSE))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O189">
        <f>IF(ISNUMBER(SEARCH(SUBSTITUTE(AO$1,RIGHT(AO$1,2),""),VLOOKUP($D189,素材!$1:$1016,COLUMN($F$1),FALSE))),VLOOKUP($C189,装備品!$1:$998,COLUMN($O$1),FALSE)*VLOOKUP($D189,素材!$1:$1016,COLUMN($E$1),FALSE)/(LEN(VLOOKUP($D189,素材!$1:$1016,COLUMN($F$1),FALSE))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P189">
        <f>IF(ISNUMBER(SEARCH(SUBSTITUTE(AP$1,RIGHT(AP$1,2),""),VLOOKUP($D189,素材!$1:$1016,COLUMN($F$1),FALSE))),VLOOKUP($C189,装備品!$1:$998,COLUMN($O$1),FALSE)*VLOOKUP($D189,素材!$1:$1016,COLUMN($E$1),FALSE)/(LEN(VLOOKUP($D189,素材!$1:$1016,COLUMN($F$1),FALSE))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Q189">
        <f>IF(ISNUMBER(SEARCH(SUBSTITUTE(AQ$1,RIGHT(AQ$1,2),""),VLOOKUP($D189,素材!$1:$1016,COLUMN($F$1),FALSE))),VLOOKUP($C189,装備品!$1:$998,COLUMN($O$1),FALSE)*VLOOKUP($D189,素材!$1:$1016,COLUMN($E$1),FALSE)/(LEN(VLOOKUP($D189,素材!$1:$1016,COLUMN($F$1),FALSE))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R189">
        <f>IF(ISNUMBER(SEARCH(SUBSTITUTE(AR$1,RIGHT(AR$1,2),""),VLOOKUP($D189,素材!$1:$1016,COLUMN($F$1),FALSE))),VLOOKUP($C189,装備品!$1:$998,COLUMN($O$1),FALSE)*VLOOKUP($D189,素材!$1:$1016,COLUMN($E$1),FALSE)/(LEN(VLOOKUP($D189,素材!$1:$1016,COLUMN($F$1),FALSE))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S189">
        <f>IF(ISNUMBER(SEARCH(SUBSTITUTE(AS$1,RIGHT(AS$1,2),""),VLOOKUP($D189,素材!$1:$1016,COLUMN($F$1),FALSE))),VLOOKUP($C189,装備品!$1:$998,COLUMN($O$1),FALSE)*VLOOKUP($D189,素材!$1:$1016,COLUMN($E$1),FALSE)/(LEN(VLOOKUP($D189,素材!$1:$1016,COLUMN($F$1),FALSE))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T189">
        <f>IF(ISNUMBER(SEARCH(SUBSTITUTE(AT$1,RIGHT(AT$1,2),""),VLOOKUP($D189,素材!$1:$1016,COLUMN($F$1),FALSE))),VLOOKUP($C189,装備品!$1:$998,COLUMN($O$1),FALSE)*VLOOKUP($D189,素材!$1:$1016,COLUMN($E$1),FALSE)/(LEN(VLOOKUP($D189,素材!$1:$1016,COLUMN($F$1),FALSE))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U189">
        <f>IF(ISNUMBER(SEARCH(SUBSTITUTE(AU$1,RIGHT(AU$1,2),""),VLOOKUP($D189,素材!$1:$1016,COLUMN($F$1),FALSE))),VLOOKUP($C189,装備品!$1:$998,COLUMN($O$1),FALSE)*VLOOKUP($D189,素材!$1:$1016,COLUMN($E$1),FALSE)/(LEN(VLOOKUP($D189,素材!$1:$1016,COLUMN($F$1),FALSE))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V189">
        <f>IF(ISNUMBER(SEARCH(SUBSTITUTE(AV$1,RIGHT(AV$1,2),""),VLOOKUP($D189,素材!$1:$1016,COLUMN($F$1),FALSE))),VLOOKUP($C189,装備品!$1:$998,COLUMN($O$1),FALSE)*VLOOKUP($D189,素材!$1:$1016,COLUMN($E$1),FALSE)/(LEN(VLOOKUP($D189,素材!$1:$1016,COLUMN($F$1),FALSE))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W189">
        <f>IF(ISNUMBER(SEARCH(SUBSTITUTE(AW$1,RIGHT(AW$1,2),""),VLOOKUP($D189,素材!$1:$1016,COLUMN($F$1),FALSE))),VLOOKUP($C189,装備品!$1:$998,COLUMN($O$1),FALSE)*VLOOKUP($D189,素材!$1:$1016,COLUMN($E$1),FALSE)/(LEN(VLOOKUP($D189,素材!$1:$1016,COLUMN($F$1),FALSE))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X189">
        <f>IF(ISNUMBER(SEARCH(SUBSTITUTE(AX$1,RIGHT(AX$1,2),""),VLOOKUP($D189,素材!$1:$1016,COLUMN($F$1),FALSE))),VLOOKUP($C189,装備品!$1:$998,COLUMN($O$1),FALSE)*VLOOKUP($D189,素材!$1:$1016,COLUMN($E$1),FALSE)/(LEN(VLOOKUP($D189,素材!$1:$1016,COLUMN($F$1),FALSE))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Y189">
        <f>IF(ISNUMBER(SEARCH(SUBSTITUTE(AY$1,RIGHT(AY$1,2),""),VLOOKUP($D189,素材!$1:$1016,COLUMN($F$1),FALSE))),VLOOKUP($C189,装備品!$1:$998,COLUMN($O$1),FALSE)*VLOOKUP($D189,素材!$1:$1016,COLUMN($E$1),FALSE)/(LEN(VLOOKUP($D189,素材!$1:$1016,COLUMN($F$1),FALSE))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Z189">
        <f>IF(ISNUMBER(SEARCH(SUBSTITUTE(AZ$1,RIGHT(AZ$1,2),""),VLOOKUP($D189,素材!$1:$1016,COLUMN($F$1),FALSE))),VLOOKUP($C189,装備品!$1:$998,COLUMN($O$1),FALSE)*VLOOKUP($D189,素材!$1:$1016,COLUMN($E$1),FALSE)/(LEN(VLOOKUP($D189,素材!$1:$1016,COLUMN($F$1),FALSE))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BA189">
        <f>IF(ISNUMBER(SEARCH(SUBSTITUTE(BA$1,RIGHT(BA$1,2),""),VLOOKUP($D189,素材!$1:$1016,COLUMN($F$1),FALSE))),VLOOKUP($C189,装備品!$1:$998,COLUMN($O$1),FALSE)*VLOOKUP($D189,素材!$1:$1016,COLUMN($E$1),FALSE)/(LEN(VLOOKUP($D189,素材!$1:$1016,COLUMN($F$1),FALSE))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BB189">
        <f>IF(ISNUMBER(SEARCH(SUBSTITUTE(BB$1,RIGHT(BB$1,2),""),VLOOKUP($D189,素材!$1:$1016,COLUMN($F$1),FALSE))),VLOOKUP($C189,装備品!$1:$998,COLUMN($O$1),FALSE)*VLOOKUP($D189,素材!$1:$1016,COLUMN($E$1),FALSE)/(LEN(VLOOKUP($D189,素材!$1:$1016,COLUMN($F$1),FALSE))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BC189">
        <f>IF(ISNUMBER(SEARCH(SUBSTITUTE(BC$1,RIGHT(BC$1,2),""),VLOOKUP($D189,素材!$1:$1016,COLUMN($F$1),FALSE))),VLOOKUP($C189,装備品!$1:$998,COLUMN($O$1),FALSE)*VLOOKUP($D189,素材!$1:$1016,COLUMN($E$1),FALSE)/(LEN(VLOOKUP($D189,素材!$1:$1016,COLUMN($F$1),FALSE))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BD189">
        <f>IF(ISNUMBER(SEARCH(SUBSTITUTE(BD$1,RIGHT(BD$1,2),""),VLOOKUP($D189,素材!$1:$1016,COLUMN($F$1),FALSE))),VLOOKUP($C189,装備品!$1:$998,COLUMN($O$1),FALSE)*VLOOKUP($D189,素材!$1:$1016,COLUMN($E$1),FALSE)/(LEN(VLOOKUP($D189,素材!$1:$1016,COLUMN($F$1),FALSE))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BE189">
        <f>IF(ISNUMBER(SEARCH(SUBSTITUTE(BE$1,RIGHT(BE$1,2),""),VLOOKUP($D189,素材!$1:$1016,COLUMN($F$1),FALSE))),VLOOKUP($C189,装備品!$1:$998,COLUMN($O$1),FALSE)*VLOOKUP($D189,素材!$1:$1016,COLUMN($E$1),FALSE)/(LEN(VLOOKUP($D189,素材!$1:$1016,COLUMN($F$1),FALSE))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CL189">
        <f t="shared" si="19"/>
        <v>0</v>
      </c>
      <c r="CM189" s="22" t="str">
        <f t="shared" si="20"/>
        <v>銃.webp</v>
      </c>
      <c r="CN189" t="str">
        <f>IFERROR(VLOOKUP($C189,装備品!$1:$998,COLUMN(V$1),FALSE)*VLOOKUP($D189,素材!$1:$1016,COLUMN(N$1),FALSE)+IF(CI189="",0,VLOOKUP($CI189,付与!$1:$1176,COLUMN($CK$1),FALSE)),"")</f>
        <v/>
      </c>
      <c r="CO189" t="e">
        <f>VLOOKUP(D189,素材!$A:$O,COLUMN(素材!O$1),FALSE)</f>
        <v>#N/A</v>
      </c>
      <c r="CP189" t="str">
        <f>VLOOKUP(C189,装備品!$A:$AB,COLUMN(装備品!AB$1),FALSE)</f>
        <v/>
      </c>
      <c r="CR189" t="str">
        <f t="shared" si="24"/>
        <v>e_189</v>
      </c>
      <c r="CS189" t="e">
        <f t="shared" si="28"/>
        <v>#VALUE!</v>
      </c>
    </row>
    <row r="190" spans="1:97" outlineLevel="1" x14ac:dyDescent="0.4">
      <c r="A190" t="str">
        <f t="shared" ref="A190:A221" si="34">D190&amp;"の"&amp;C190</f>
        <v>黒鋼鉄の面兜</v>
      </c>
      <c r="B190" t="str">
        <f>IFERROR(VLOOKUP($D190,素材!$1:$1016,COLUMN($B$1),FALSE)&amp;"・"&amp;VLOOKUP($C190,装備品!$1:$998,COLUMN(B$1),FALSE),"")</f>
        <v/>
      </c>
      <c r="C190" t="s">
        <v>209</v>
      </c>
      <c r="D190" s="24" t="s">
        <v>243</v>
      </c>
      <c r="E190" t="str">
        <f>IFERROR(VLOOKUP(C190,装備品!$1:$998,COLUMN(C$1),FALSE),"")</f>
        <v>頭</v>
      </c>
      <c r="F190" t="str">
        <f>IFERROR(ROUNDDOWN((VLOOKUP($C190,装備品!$1:$998,COLUMN(D$1),FALSE)+IFERROR(VLOOKUP($CI190,付与!$1:$1167,COLUMN(F$1),FALSE),0))*VLOOKUP($D190,素材!$1:$1016,COLUMN(D$1),FALSE),0),"")</f>
        <v/>
      </c>
      <c r="G190" t="str">
        <f>IFERROR(ROUNDDOWN((VLOOKUP($C190,装備品!$1:$998,COLUMN(E$1),FALSE)+IFERROR(VLOOKUP($CI190,付与!$1:$1167,COLUMN(G$1),FALSE),0))*VLOOKUP($D190,素材!$1:$1016,COLUMN($E$1),FALSE),0),"")</f>
        <v/>
      </c>
      <c r="H190" t="str">
        <f>IFERROR(ROUNDDOWN((VLOOKUP($C190,装備品!$1:$998,COLUMN(F$1),FALSE)+IFERROR(VLOOKUP($CI190,付与!$1:$1167,COLUMN(H$1),FALSE),0))*VLOOKUP($D190,素材!$1:$1016,COLUMN($E$1),FALSE),0),"")</f>
        <v/>
      </c>
      <c r="I190" t="str">
        <f>IFERROR(ROUNDDOWN((VLOOKUP($C190,装備品!$1:$998,COLUMN(G$1),FALSE)+IFERROR(VLOOKUP($CI190,付与!$1:$1167,COLUMN(I$1),FALSE),0))*VLOOKUP($D190,素材!$1:$1016,COLUMN($E$1),FALSE),0),"")</f>
        <v/>
      </c>
      <c r="J190" t="str">
        <f>IFERROR(ROUNDDOWN((VLOOKUP($C190,装備品!$1:$998,COLUMN(H$1),FALSE)+IFERROR(VLOOKUP($CI190,付与!$1:$1167,COLUMN(J$1),FALSE),0))*VLOOKUP($D190,素材!$1:$1016,COLUMN($E$1),FALSE),0),"")</f>
        <v/>
      </c>
      <c r="K190" t="str">
        <f>IFERROR(ROUNDDOWN((VLOOKUP($C190,装備品!$1:$998,COLUMN(I$1),FALSE)+IFERROR(VLOOKUP($CI190,付与!$1:$1167,COLUMN(K$1),FALSE),0))*VLOOKUP($D190,素材!$1:$1016,COLUMN($E$1),FALSE),0),"")</f>
        <v/>
      </c>
      <c r="L190" t="str">
        <f>IFERROR(VLOOKUP($D190,素材!$1:$1016,COLUMN($F$1),FALSE),"")</f>
        <v/>
      </c>
      <c r="M190" t="str">
        <f>IFERROR(VLOOKUP($C190,装備品!$1:$998,COLUMN(AA$1),FALSE)*VLOOKUP($D190,素材!$1:$1016,COLUMN($G$1),FALSE),"")</f>
        <v/>
      </c>
      <c r="N190">
        <f>IFERROR(VLOOKUP($C190,装備品!$1:$998,COLUMN(I$1),FALSE),"")</f>
        <v>0</v>
      </c>
      <c r="O190" s="23" t="str">
        <f>IFERROR((VLOOKUP($C190,装備品!$1:$998,COLUMN(K$1),FALSE)+VLOOKUP($D190,素材!$1:$1016,COLUMN(H$1),FALSE))*100+IFERROR(VLOOKUP($CI190,付与!$1:$1167,COLUMN(O$1),FALSE),0),"")</f>
        <v/>
      </c>
      <c r="P190" s="23" t="str">
        <f>IFERROR((VLOOKUP($C190,装備品!$1:$998,COLUMN(L$1),FALSE)+VLOOKUP($D190,素材!$1:$1016,COLUMN(I$1),FALSE))*100+IFERROR(VLOOKUP($CI190,付与!$1:$1167,COLUMN(P$1),FALSE),0),"")</f>
        <v/>
      </c>
      <c r="Q190" t="str">
        <f>IFERROR(ROUNDUP(VLOOKUP($C190,装備品!$1:$998,COLUMN(M$1),FALSE)*(VLOOKUP($D190,素材!$1:$1002,COLUMN(D$1),FALSE)/100),1),"")</f>
        <v/>
      </c>
      <c r="R190" t="str">
        <f>IFERROR(ROUNDUP(VLOOKUP($C190,装備品!$1:$998,COLUMN(N$1),FALSE)*(VLOOKUP($D190,素材!$1:$1002,COLUMN(D$1),FALSE)/100),1),"")</f>
        <v/>
      </c>
      <c r="S190">
        <f>IFERROR(VLOOKUP($C190,装備品!$1:$998,COLUMN(P$1),FALSE),"")</f>
        <v>0</v>
      </c>
      <c r="T190">
        <f>IFERROR(VLOOKUP($C190,装備品!$1:$998,COLUMN(Q$1),FALSE),"")</f>
        <v>0</v>
      </c>
      <c r="U190">
        <f>IFERROR(VLOOKUP($C190,装備品!$1:$998,COLUMN(R$1),FALSE),"")</f>
        <v>0</v>
      </c>
      <c r="V190">
        <f>IFERROR(VLOOKUP($C190,装備品!$1:$998,COLUMN(Q$1),FALSE),"")</f>
        <v>0</v>
      </c>
      <c r="W190">
        <f>IFERROR(VLOOKUP($C190,装備品!$1:$998,COLUMN(T$1),FALSE),"")</f>
        <v>0.35</v>
      </c>
      <c r="Y190">
        <f>IFERROR(VLOOKUP($C190,装備品!$1:$998,COLUMN(U$1),FALSE),"")</f>
        <v>0</v>
      </c>
      <c r="Z190" t="str">
        <f>IFERROR(ROUNDUP(VLOOKUP($C190,装備品!$1:$998,COLUMN(O$1),FALSE)*VLOOKUP($D190,素材!$1:$1016,COLUMN(E$1),FALSE),1),"")</f>
        <v/>
      </c>
      <c r="AA190">
        <f>IF(ISNUMBER(SEARCH(SUBSTITUTE(AA$1,RIGHT(AA$1,2),""),VLOOKUP($D190,素材!$1:$1016,COLUMN($F$1),FALSE))),VLOOKUP($C190,装備品!$1:$998,COLUMN($O$1),FALSE)*VLOOKUP($D190,素材!$1:$1016,COLUMN($E$1),FALSE)/(LEN(VLOOKUP($D190,素材!$1:$1016,COLUMN($F$1),FALSE))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B190">
        <f>IF(ISNUMBER(SEARCH(SUBSTITUTE(AB$1,RIGHT(AB$1,2),""),VLOOKUP($D190,素材!$1:$1016,COLUMN($F$1),FALSE))),VLOOKUP($C190,装備品!$1:$998,COLUMN($O$1),FALSE)*VLOOKUP($D190,素材!$1:$1016,COLUMN($E$1),FALSE)/(LEN(VLOOKUP($D190,素材!$1:$1016,COLUMN($F$1),FALSE))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C190">
        <f>IF(ISNUMBER(SEARCH(SUBSTITUTE(AC$1,RIGHT(AC$1,2),""),VLOOKUP($D190,素材!$1:$1016,COLUMN($F$1),FALSE))),VLOOKUP($C190,装備品!$1:$998,COLUMN($O$1),FALSE)*VLOOKUP($D190,素材!$1:$1016,COLUMN($E$1),FALSE)/(LEN(VLOOKUP($D190,素材!$1:$1016,COLUMN($F$1),FALSE))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D190">
        <f>IF(ISNUMBER(SEARCH(SUBSTITUTE(AD$1,RIGHT(AD$1,2),""),VLOOKUP($D190,素材!$1:$1016,COLUMN($F$1),FALSE))),VLOOKUP($C190,装備品!$1:$998,COLUMN($O$1),FALSE)*VLOOKUP($D190,素材!$1:$1016,COLUMN($E$1),FALSE)/(LEN(VLOOKUP($D190,素材!$1:$1016,COLUMN($F$1),FALSE))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E190">
        <f>IF(ISNUMBER(SEARCH(SUBSTITUTE(AE$1,RIGHT(AE$1,2),""),VLOOKUP($D190,素材!$1:$1016,COLUMN($F$1),FALSE))),VLOOKUP($C190,装備品!$1:$998,COLUMN($O$1),FALSE)*VLOOKUP($D190,素材!$1:$1016,COLUMN($E$1),FALSE)/(LEN(VLOOKUP($D190,素材!$1:$1016,COLUMN($F$1),FALSE))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F190">
        <f>IF(ISNUMBER(SEARCH(SUBSTITUTE(AF$1,RIGHT(AF$1,2),""),VLOOKUP($D190,素材!$1:$1016,COLUMN($F$1),FALSE))),VLOOKUP($C190,装備品!$1:$998,COLUMN($O$1),FALSE)*VLOOKUP($D190,素材!$1:$1016,COLUMN($E$1),FALSE)/(LEN(VLOOKUP($D190,素材!$1:$1016,COLUMN($F$1),FALSE))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G190">
        <f>IF(ISNUMBER(SEARCH(SUBSTITUTE(AG$1,RIGHT(AG$1,2),""),VLOOKUP($D190,素材!$1:$1016,COLUMN($F$1),FALSE))),VLOOKUP($C190,装備品!$1:$998,COLUMN($O$1),FALSE)*VLOOKUP($D190,素材!$1:$1016,COLUMN($E$1),FALSE)/(LEN(VLOOKUP($D190,素材!$1:$1016,COLUMN($F$1),FALSE))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H190">
        <f>IF(ISNUMBER(SEARCH(SUBSTITUTE(AH$1,RIGHT(AH$1,2),""),VLOOKUP($D190,素材!$1:$1016,COLUMN($F$1),FALSE))),VLOOKUP($C190,装備品!$1:$998,COLUMN($O$1),FALSE)*VLOOKUP($D190,素材!$1:$1016,COLUMN($E$1),FALSE)/(LEN(VLOOKUP($D190,素材!$1:$1016,COLUMN($F$1),FALSE))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I190">
        <f>IF(ISNUMBER(SEARCH(SUBSTITUTE(AI$1,RIGHT(AI$1,2),""),VLOOKUP($D190,素材!$1:$1016,COLUMN($F$1),FALSE))),VLOOKUP($C190,装備品!$1:$998,COLUMN($O$1),FALSE)*VLOOKUP($D190,素材!$1:$1016,COLUMN($E$1),FALSE)/(LEN(VLOOKUP($D190,素材!$1:$1016,COLUMN($F$1),FALSE))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J190">
        <f>IF(ISNUMBER(SEARCH(SUBSTITUTE(AJ$1,RIGHT(AJ$1,2),""),VLOOKUP($D190,素材!$1:$1016,COLUMN($F$1),FALSE))),VLOOKUP($C190,装備品!$1:$998,COLUMN($O$1),FALSE)*VLOOKUP($D190,素材!$1:$1016,COLUMN($E$1),FALSE)/(LEN(VLOOKUP($D190,素材!$1:$1016,COLUMN($F$1),FALSE))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K190">
        <f>IF(ISNUMBER(SEARCH(SUBSTITUTE(AK$1,RIGHT(AK$1,2),""),VLOOKUP($D190,素材!$1:$1016,COLUMN($F$1),FALSE))),VLOOKUP($C190,装備品!$1:$998,COLUMN($O$1),FALSE)*VLOOKUP($D190,素材!$1:$1016,COLUMN($E$1),FALSE)/(LEN(VLOOKUP($D190,素材!$1:$1016,COLUMN($F$1),FALSE))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L190">
        <f>IF(ISNUMBER(SEARCH(SUBSTITUTE(AL$1,RIGHT(AL$1,2),""),VLOOKUP($D190,素材!$1:$1016,COLUMN($F$1),FALSE))),VLOOKUP($C190,装備品!$1:$998,COLUMN($O$1),FALSE)*VLOOKUP($D190,素材!$1:$1016,COLUMN($E$1),FALSE)/(LEN(VLOOKUP($D190,素材!$1:$1016,COLUMN($F$1),FALSE))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M190">
        <f>IF(ISNUMBER(SEARCH(SUBSTITUTE(AM$1,RIGHT(AM$1,2),""),VLOOKUP($D190,素材!$1:$1016,COLUMN($F$1),FALSE))),VLOOKUP($C190,装備品!$1:$998,COLUMN($O$1),FALSE)*VLOOKUP($D190,素材!$1:$1016,COLUMN($E$1),FALSE)/(LEN(VLOOKUP($D190,素材!$1:$1016,COLUMN($F$1),FALSE))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N190">
        <f>IF(ISNUMBER(SEARCH(SUBSTITUTE(AN$1,RIGHT(AN$1,2),""),VLOOKUP($D190,素材!$1:$1016,COLUMN($F$1),FALSE))),VLOOKUP($C190,装備品!$1:$998,COLUMN($O$1),FALSE)*VLOOKUP($D190,素材!$1:$1016,COLUMN($E$1),FALSE)/(LEN(VLOOKUP($D190,素材!$1:$1016,COLUMN($F$1),FALSE))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O190">
        <f>IF(ISNUMBER(SEARCH(SUBSTITUTE(AO$1,RIGHT(AO$1,2),""),VLOOKUP($D190,素材!$1:$1016,COLUMN($F$1),FALSE))),VLOOKUP($C190,装備品!$1:$998,COLUMN($O$1),FALSE)*VLOOKUP($D190,素材!$1:$1016,COLUMN($E$1),FALSE)/(LEN(VLOOKUP($D190,素材!$1:$1016,COLUMN($F$1),FALSE))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P190">
        <f>IF(ISNUMBER(SEARCH(SUBSTITUTE(AP$1,RIGHT(AP$1,2),""),VLOOKUP($D190,素材!$1:$1016,COLUMN($F$1),FALSE))),VLOOKUP($C190,装備品!$1:$998,COLUMN($O$1),FALSE)*VLOOKUP($D190,素材!$1:$1016,COLUMN($E$1),FALSE)/(LEN(VLOOKUP($D190,素材!$1:$1016,COLUMN($F$1),FALSE))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Q190">
        <f>IF(ISNUMBER(SEARCH(SUBSTITUTE(AQ$1,RIGHT(AQ$1,2),""),VLOOKUP($D190,素材!$1:$1016,COLUMN($F$1),FALSE))),VLOOKUP($C190,装備品!$1:$998,COLUMN($O$1),FALSE)*VLOOKUP($D190,素材!$1:$1016,COLUMN($E$1),FALSE)/(LEN(VLOOKUP($D190,素材!$1:$1016,COLUMN($F$1),FALSE))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R190">
        <f>IF(ISNUMBER(SEARCH(SUBSTITUTE(AR$1,RIGHT(AR$1,2),""),VLOOKUP($D190,素材!$1:$1016,COLUMN($F$1),FALSE))),VLOOKUP($C190,装備品!$1:$998,COLUMN($O$1),FALSE)*VLOOKUP($D190,素材!$1:$1016,COLUMN($E$1),FALSE)/(LEN(VLOOKUP($D190,素材!$1:$1016,COLUMN($F$1),FALSE))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S190">
        <f>IF(ISNUMBER(SEARCH(SUBSTITUTE(AS$1,RIGHT(AS$1,2),""),VLOOKUP($D190,素材!$1:$1016,COLUMN($F$1),FALSE))),VLOOKUP($C190,装備品!$1:$998,COLUMN($O$1),FALSE)*VLOOKUP($D190,素材!$1:$1016,COLUMN($E$1),FALSE)/(LEN(VLOOKUP($D190,素材!$1:$1016,COLUMN($F$1),FALSE))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T190">
        <f>IF(ISNUMBER(SEARCH(SUBSTITUTE(AT$1,RIGHT(AT$1,2),""),VLOOKUP($D190,素材!$1:$1016,COLUMN($F$1),FALSE))),VLOOKUP($C190,装備品!$1:$998,COLUMN($O$1),FALSE)*VLOOKUP($D190,素材!$1:$1016,COLUMN($E$1),FALSE)/(LEN(VLOOKUP($D190,素材!$1:$1016,COLUMN($F$1),FALSE))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U190">
        <f>IF(ISNUMBER(SEARCH(SUBSTITUTE(AU$1,RIGHT(AU$1,2),""),VLOOKUP($D190,素材!$1:$1016,COLUMN($F$1),FALSE))),VLOOKUP($C190,装備品!$1:$998,COLUMN($O$1),FALSE)*VLOOKUP($D190,素材!$1:$1016,COLUMN($E$1),FALSE)/(LEN(VLOOKUP($D190,素材!$1:$1016,COLUMN($F$1),FALSE))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V190">
        <f>IF(ISNUMBER(SEARCH(SUBSTITUTE(AV$1,RIGHT(AV$1,2),""),VLOOKUP($D190,素材!$1:$1016,COLUMN($F$1),FALSE))),VLOOKUP($C190,装備品!$1:$998,COLUMN($O$1),FALSE)*VLOOKUP($D190,素材!$1:$1016,COLUMN($E$1),FALSE)/(LEN(VLOOKUP($D190,素材!$1:$1016,COLUMN($F$1),FALSE))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W190">
        <f>IF(ISNUMBER(SEARCH(SUBSTITUTE(AW$1,RIGHT(AW$1,2),""),VLOOKUP($D190,素材!$1:$1016,COLUMN($F$1),FALSE))),VLOOKUP($C190,装備品!$1:$998,COLUMN($O$1),FALSE)*VLOOKUP($D190,素材!$1:$1016,COLUMN($E$1),FALSE)/(LEN(VLOOKUP($D190,素材!$1:$1016,COLUMN($F$1),FALSE))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X190">
        <f>IF(ISNUMBER(SEARCH(SUBSTITUTE(AX$1,RIGHT(AX$1,2),""),VLOOKUP($D190,素材!$1:$1016,COLUMN($F$1),FALSE))),VLOOKUP($C190,装備品!$1:$998,COLUMN($O$1),FALSE)*VLOOKUP($D190,素材!$1:$1016,COLUMN($E$1),FALSE)/(LEN(VLOOKUP($D190,素材!$1:$1016,COLUMN($F$1),FALSE))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Y190">
        <f>IF(ISNUMBER(SEARCH(SUBSTITUTE(AY$1,RIGHT(AY$1,2),""),VLOOKUP($D190,素材!$1:$1016,COLUMN($F$1),FALSE))),VLOOKUP($C190,装備品!$1:$998,COLUMN($O$1),FALSE)*VLOOKUP($D190,素材!$1:$1016,COLUMN($E$1),FALSE)/(LEN(VLOOKUP($D190,素材!$1:$1016,COLUMN($F$1),FALSE))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Z190">
        <f>IF(ISNUMBER(SEARCH(SUBSTITUTE(AZ$1,RIGHT(AZ$1,2),""),VLOOKUP($D190,素材!$1:$1016,COLUMN($F$1),FALSE))),VLOOKUP($C190,装備品!$1:$998,COLUMN($O$1),FALSE)*VLOOKUP($D190,素材!$1:$1016,COLUMN($E$1),FALSE)/(LEN(VLOOKUP($D190,素材!$1:$1016,COLUMN($F$1),FALSE))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BA190">
        <f>IF(ISNUMBER(SEARCH(SUBSTITUTE(BA$1,RIGHT(BA$1,2),""),VLOOKUP($D190,素材!$1:$1016,COLUMN($F$1),FALSE))),VLOOKUP($C190,装備品!$1:$998,COLUMN($O$1),FALSE)*VLOOKUP($D190,素材!$1:$1016,COLUMN($E$1),FALSE)/(LEN(VLOOKUP($D190,素材!$1:$1016,COLUMN($F$1),FALSE))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BB190">
        <f>IF(ISNUMBER(SEARCH(SUBSTITUTE(BB$1,RIGHT(BB$1,2),""),VLOOKUP($D190,素材!$1:$1016,COLUMN($F$1),FALSE))),VLOOKUP($C190,装備品!$1:$998,COLUMN($O$1),FALSE)*VLOOKUP($D190,素材!$1:$1016,COLUMN($E$1),FALSE)/(LEN(VLOOKUP($D190,素材!$1:$1016,COLUMN($F$1),FALSE))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BC190">
        <f>IF(ISNUMBER(SEARCH(SUBSTITUTE(BC$1,RIGHT(BC$1,2),""),VLOOKUP($D190,素材!$1:$1016,COLUMN($F$1),FALSE))),VLOOKUP($C190,装備品!$1:$998,COLUMN($O$1),FALSE)*VLOOKUP($D190,素材!$1:$1016,COLUMN($E$1),FALSE)/(LEN(VLOOKUP($D190,素材!$1:$1016,COLUMN($F$1),FALSE))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BD190">
        <f>IF(ISNUMBER(SEARCH(SUBSTITUTE(BD$1,RIGHT(BD$1,2),""),VLOOKUP($D190,素材!$1:$1016,COLUMN($F$1),FALSE))),VLOOKUP($C190,装備品!$1:$998,COLUMN($O$1),FALSE)*VLOOKUP($D190,素材!$1:$1016,COLUMN($E$1),FALSE)/(LEN(VLOOKUP($D190,素材!$1:$1016,COLUMN($F$1),FALSE))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BE190">
        <f>IF(ISNUMBER(SEARCH(SUBSTITUTE(BE$1,RIGHT(BE$1,2),""),VLOOKUP($D190,素材!$1:$1016,COLUMN($F$1),FALSE))),VLOOKUP($C190,装備品!$1:$998,COLUMN($O$1),FALSE)*VLOOKUP($D190,素材!$1:$1016,COLUMN($E$1),FALSE)/(LEN(VLOOKUP($D190,素材!$1:$1016,COLUMN($F$1),FALSE))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CL190">
        <f t="shared" si="19"/>
        <v>0</v>
      </c>
      <c r="CM190" s="22" t="str">
        <f t="shared" si="20"/>
        <v>頭.webp</v>
      </c>
      <c r="CN190" t="str">
        <f>IFERROR(VLOOKUP($C190,装備品!$1:$998,COLUMN(V$1),FALSE)*VLOOKUP($D190,素材!$1:$1016,COLUMN(N$1),FALSE)+IF(CI190="",0,VLOOKUP($CI190,付与!$1:$1176,COLUMN($CK$1),FALSE)),"")</f>
        <v/>
      </c>
      <c r="CO190" t="e">
        <f>VLOOKUP(D190,素材!$A:$O,COLUMN(素材!O$1),FALSE)</f>
        <v>#N/A</v>
      </c>
      <c r="CP190" t="str">
        <f>VLOOKUP(C190,装備品!$A:$AB,COLUMN(装備品!AB$1),FALSE)</f>
        <v>命中 魔防 Cr</v>
      </c>
      <c r="CR190" t="str">
        <f t="shared" si="24"/>
        <v>e_190</v>
      </c>
      <c r="CS190" t="e">
        <f t="shared" si="28"/>
        <v>#VALUE!</v>
      </c>
    </row>
    <row r="191" spans="1:97" outlineLevel="1" x14ac:dyDescent="0.4">
      <c r="A191" t="str">
        <f t="shared" si="34"/>
        <v>黒鋼鉄の兜</v>
      </c>
      <c r="B191" t="str">
        <f>IFERROR(VLOOKUP($D191,素材!$1:$1016,COLUMN($B$1),FALSE)&amp;"・"&amp;VLOOKUP($C191,装備品!$1:$998,COLUMN(B$1),FALSE),"")</f>
        <v/>
      </c>
      <c r="C191" t="s">
        <v>208</v>
      </c>
      <c r="D191" s="24" t="s">
        <v>243</v>
      </c>
      <c r="E191" t="str">
        <f>IFERROR(VLOOKUP(C191,装備品!$1:$998,COLUMN(C$1),FALSE),"")</f>
        <v>頭</v>
      </c>
      <c r="F191" t="str">
        <f>IFERROR(ROUNDDOWN((VLOOKUP($C191,装備品!$1:$998,COLUMN(D$1),FALSE)+IFERROR(VLOOKUP($CI191,付与!$1:$1167,COLUMN(F$1),FALSE),0))*VLOOKUP($D191,素材!$1:$1016,COLUMN(D$1),FALSE),0),"")</f>
        <v/>
      </c>
      <c r="G191" t="str">
        <f>IFERROR(ROUNDDOWN((VLOOKUP($C191,装備品!$1:$998,COLUMN(E$1),FALSE)+IFERROR(VLOOKUP($CI191,付与!$1:$1167,COLUMN(G$1),FALSE),0))*VLOOKUP($D191,素材!$1:$1016,COLUMN($E$1),FALSE),0),"")</f>
        <v/>
      </c>
      <c r="H191" t="str">
        <f>IFERROR(ROUNDDOWN((VLOOKUP($C191,装備品!$1:$998,COLUMN(F$1),FALSE)+IFERROR(VLOOKUP($CI191,付与!$1:$1167,COLUMN(H$1),FALSE),0))*VLOOKUP($D191,素材!$1:$1016,COLUMN($E$1),FALSE),0),"")</f>
        <v/>
      </c>
      <c r="I191" t="str">
        <f>IFERROR(ROUNDDOWN((VLOOKUP($C191,装備品!$1:$998,COLUMN(G$1),FALSE)+IFERROR(VLOOKUP($CI191,付与!$1:$1167,COLUMN(I$1),FALSE),0))*VLOOKUP($D191,素材!$1:$1016,COLUMN($E$1),FALSE),0),"")</f>
        <v/>
      </c>
      <c r="J191" t="str">
        <f>IFERROR(ROUNDDOWN((VLOOKUP($C191,装備品!$1:$998,COLUMN(H$1),FALSE)+IFERROR(VLOOKUP($CI191,付与!$1:$1167,COLUMN(J$1),FALSE),0))*VLOOKUP($D191,素材!$1:$1016,COLUMN($E$1),FALSE),0),"")</f>
        <v/>
      </c>
      <c r="K191" t="str">
        <f>IFERROR(ROUNDDOWN((VLOOKUP($C191,装備品!$1:$998,COLUMN(I$1),FALSE)+IFERROR(VLOOKUP($CI191,付与!$1:$1167,COLUMN(K$1),FALSE),0))*VLOOKUP($D191,素材!$1:$1016,COLUMN($E$1),FALSE),0),"")</f>
        <v/>
      </c>
      <c r="L191" t="str">
        <f>IFERROR(VLOOKUP($D191,素材!$1:$1016,COLUMN($F$1),FALSE),"")</f>
        <v/>
      </c>
      <c r="M191" t="str">
        <f>IFERROR(VLOOKUP($C191,装備品!$1:$998,COLUMN(AA$1),FALSE)*VLOOKUP($D191,素材!$1:$1016,COLUMN($G$1),FALSE),"")</f>
        <v/>
      </c>
      <c r="N191">
        <f>IFERROR(VLOOKUP($C191,装備品!$1:$998,COLUMN(I$1),FALSE),"")</f>
        <v>0</v>
      </c>
      <c r="O191" s="23" t="str">
        <f>IFERROR((VLOOKUP($C191,装備品!$1:$998,COLUMN(K$1),FALSE)+VLOOKUP($D191,素材!$1:$1016,COLUMN(H$1),FALSE))*100+IFERROR(VLOOKUP($CI191,付与!$1:$1167,COLUMN(O$1),FALSE),0),"")</f>
        <v/>
      </c>
      <c r="P191" s="23" t="str">
        <f>IFERROR((VLOOKUP($C191,装備品!$1:$998,COLUMN(L$1),FALSE)+VLOOKUP($D191,素材!$1:$1016,COLUMN(I$1),FALSE))*100+IFERROR(VLOOKUP($CI191,付与!$1:$1167,COLUMN(P$1),FALSE),0),"")</f>
        <v/>
      </c>
      <c r="Q191" t="str">
        <f>IFERROR(ROUNDUP(VLOOKUP($C191,装備品!$1:$998,COLUMN(M$1),FALSE)*(VLOOKUP($D191,素材!$1:$1002,COLUMN(D$1),FALSE)/100),1),"")</f>
        <v/>
      </c>
      <c r="R191" t="str">
        <f>IFERROR(ROUNDUP(VLOOKUP($C191,装備品!$1:$998,COLUMN(N$1),FALSE)*(VLOOKUP($D191,素材!$1:$1002,COLUMN(D$1),FALSE)/100),1),"")</f>
        <v/>
      </c>
      <c r="S191">
        <f>IFERROR(VLOOKUP($C191,装備品!$1:$998,COLUMN(P$1),FALSE),"")</f>
        <v>0</v>
      </c>
      <c r="T191">
        <f>IFERROR(VLOOKUP($C191,装備品!$1:$998,COLUMN(Q$1),FALSE),"")</f>
        <v>0</v>
      </c>
      <c r="U191">
        <f>IFERROR(VLOOKUP($C191,装備品!$1:$998,COLUMN(R$1),FALSE),"")</f>
        <v>0</v>
      </c>
      <c r="V191">
        <f>IFERROR(VLOOKUP($C191,装備品!$1:$998,COLUMN(Q$1),FALSE),"")</f>
        <v>0</v>
      </c>
      <c r="W191">
        <f>IFERROR(VLOOKUP($C191,装備品!$1:$998,COLUMN(T$1),FALSE),"")</f>
        <v>0.25</v>
      </c>
      <c r="Y191">
        <f>IFERROR(VLOOKUP($C191,装備品!$1:$998,COLUMN(U$1),FALSE),"")</f>
        <v>0</v>
      </c>
      <c r="Z191" t="str">
        <f>IFERROR(ROUNDUP(VLOOKUP($C191,装備品!$1:$998,COLUMN(O$1),FALSE)*VLOOKUP($D191,素材!$1:$1016,COLUMN(E$1),FALSE),1),"")</f>
        <v/>
      </c>
      <c r="AA191">
        <f>IF(ISNUMBER(SEARCH(SUBSTITUTE(AA$1,RIGHT(AA$1,2),""),VLOOKUP($D191,素材!$1:$1016,COLUMN($F$1),FALSE))),VLOOKUP($C191,装備品!$1:$998,COLUMN($O$1),FALSE)*VLOOKUP($D191,素材!$1:$1016,COLUMN($E$1),FALSE)/(LEN(VLOOKUP($D191,素材!$1:$1016,COLUMN($F$1),FALSE))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B191">
        <f>IF(ISNUMBER(SEARCH(SUBSTITUTE(AB$1,RIGHT(AB$1,2),""),VLOOKUP($D191,素材!$1:$1016,COLUMN($F$1),FALSE))),VLOOKUP($C191,装備品!$1:$998,COLUMN($O$1),FALSE)*VLOOKUP($D191,素材!$1:$1016,COLUMN($E$1),FALSE)/(LEN(VLOOKUP($D191,素材!$1:$1016,COLUMN($F$1),FALSE))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C191">
        <f>IF(ISNUMBER(SEARCH(SUBSTITUTE(AC$1,RIGHT(AC$1,2),""),VLOOKUP($D191,素材!$1:$1016,COLUMN($F$1),FALSE))),VLOOKUP($C191,装備品!$1:$998,COLUMN($O$1),FALSE)*VLOOKUP($D191,素材!$1:$1016,COLUMN($E$1),FALSE)/(LEN(VLOOKUP($D191,素材!$1:$1016,COLUMN($F$1),FALSE))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D191">
        <f>IF(ISNUMBER(SEARCH(SUBSTITUTE(AD$1,RIGHT(AD$1,2),""),VLOOKUP($D191,素材!$1:$1016,COLUMN($F$1),FALSE))),VLOOKUP($C191,装備品!$1:$998,COLUMN($O$1),FALSE)*VLOOKUP($D191,素材!$1:$1016,COLUMN($E$1),FALSE)/(LEN(VLOOKUP($D191,素材!$1:$1016,COLUMN($F$1),FALSE))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E191">
        <f>IF(ISNUMBER(SEARCH(SUBSTITUTE(AE$1,RIGHT(AE$1,2),""),VLOOKUP($D191,素材!$1:$1016,COLUMN($F$1),FALSE))),VLOOKUP($C191,装備品!$1:$998,COLUMN($O$1),FALSE)*VLOOKUP($D191,素材!$1:$1016,COLUMN($E$1),FALSE)/(LEN(VLOOKUP($D191,素材!$1:$1016,COLUMN($F$1),FALSE))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F191">
        <f>IF(ISNUMBER(SEARCH(SUBSTITUTE(AF$1,RIGHT(AF$1,2),""),VLOOKUP($D191,素材!$1:$1016,COLUMN($F$1),FALSE))),VLOOKUP($C191,装備品!$1:$998,COLUMN($O$1),FALSE)*VLOOKUP($D191,素材!$1:$1016,COLUMN($E$1),FALSE)/(LEN(VLOOKUP($D191,素材!$1:$1016,COLUMN($F$1),FALSE))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G191">
        <f>IF(ISNUMBER(SEARCH(SUBSTITUTE(AG$1,RIGHT(AG$1,2),""),VLOOKUP($D191,素材!$1:$1016,COLUMN($F$1),FALSE))),VLOOKUP($C191,装備品!$1:$998,COLUMN($O$1),FALSE)*VLOOKUP($D191,素材!$1:$1016,COLUMN($E$1),FALSE)/(LEN(VLOOKUP($D191,素材!$1:$1016,COLUMN($F$1),FALSE))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H191">
        <f>IF(ISNUMBER(SEARCH(SUBSTITUTE(AH$1,RIGHT(AH$1,2),""),VLOOKUP($D191,素材!$1:$1016,COLUMN($F$1),FALSE))),VLOOKUP($C191,装備品!$1:$998,COLUMN($O$1),FALSE)*VLOOKUP($D191,素材!$1:$1016,COLUMN($E$1),FALSE)/(LEN(VLOOKUP($D191,素材!$1:$1016,COLUMN($F$1),FALSE))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I191">
        <f>IF(ISNUMBER(SEARCH(SUBSTITUTE(AI$1,RIGHT(AI$1,2),""),VLOOKUP($D191,素材!$1:$1016,COLUMN($F$1),FALSE))),VLOOKUP($C191,装備品!$1:$998,COLUMN($O$1),FALSE)*VLOOKUP($D191,素材!$1:$1016,COLUMN($E$1),FALSE)/(LEN(VLOOKUP($D191,素材!$1:$1016,COLUMN($F$1),FALSE))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J191">
        <f>IF(ISNUMBER(SEARCH(SUBSTITUTE(AJ$1,RIGHT(AJ$1,2),""),VLOOKUP($D191,素材!$1:$1016,COLUMN($F$1),FALSE))),VLOOKUP($C191,装備品!$1:$998,COLUMN($O$1),FALSE)*VLOOKUP($D191,素材!$1:$1016,COLUMN($E$1),FALSE)/(LEN(VLOOKUP($D191,素材!$1:$1016,COLUMN($F$1),FALSE))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K191">
        <f>IF(ISNUMBER(SEARCH(SUBSTITUTE(AK$1,RIGHT(AK$1,2),""),VLOOKUP($D191,素材!$1:$1016,COLUMN($F$1),FALSE))),VLOOKUP($C191,装備品!$1:$998,COLUMN($O$1),FALSE)*VLOOKUP($D191,素材!$1:$1016,COLUMN($E$1),FALSE)/(LEN(VLOOKUP($D191,素材!$1:$1016,COLUMN($F$1),FALSE))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L191">
        <f>IF(ISNUMBER(SEARCH(SUBSTITUTE(AL$1,RIGHT(AL$1,2),""),VLOOKUP($D191,素材!$1:$1016,COLUMN($F$1),FALSE))),VLOOKUP($C191,装備品!$1:$998,COLUMN($O$1),FALSE)*VLOOKUP($D191,素材!$1:$1016,COLUMN($E$1),FALSE)/(LEN(VLOOKUP($D191,素材!$1:$1016,COLUMN($F$1),FALSE))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M191">
        <f>IF(ISNUMBER(SEARCH(SUBSTITUTE(AM$1,RIGHT(AM$1,2),""),VLOOKUP($D191,素材!$1:$1016,COLUMN($F$1),FALSE))),VLOOKUP($C191,装備品!$1:$998,COLUMN($O$1),FALSE)*VLOOKUP($D191,素材!$1:$1016,COLUMN($E$1),FALSE)/(LEN(VLOOKUP($D191,素材!$1:$1016,COLUMN($F$1),FALSE))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N191">
        <f>IF(ISNUMBER(SEARCH(SUBSTITUTE(AN$1,RIGHT(AN$1,2),""),VLOOKUP($D191,素材!$1:$1016,COLUMN($F$1),FALSE))),VLOOKUP($C191,装備品!$1:$998,COLUMN($O$1),FALSE)*VLOOKUP($D191,素材!$1:$1016,COLUMN($E$1),FALSE)/(LEN(VLOOKUP($D191,素材!$1:$1016,COLUMN($F$1),FALSE))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O191">
        <f>IF(ISNUMBER(SEARCH(SUBSTITUTE(AO$1,RIGHT(AO$1,2),""),VLOOKUP($D191,素材!$1:$1016,COLUMN($F$1),FALSE))),VLOOKUP($C191,装備品!$1:$998,COLUMN($O$1),FALSE)*VLOOKUP($D191,素材!$1:$1016,COLUMN($E$1),FALSE)/(LEN(VLOOKUP($D191,素材!$1:$1016,COLUMN($F$1),FALSE))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P191">
        <f>IF(ISNUMBER(SEARCH(SUBSTITUTE(AP$1,RIGHT(AP$1,2),""),VLOOKUP($D191,素材!$1:$1016,COLUMN($F$1),FALSE))),VLOOKUP($C191,装備品!$1:$998,COLUMN($O$1),FALSE)*VLOOKUP($D191,素材!$1:$1016,COLUMN($E$1),FALSE)/(LEN(VLOOKUP($D191,素材!$1:$1016,COLUMN($F$1),FALSE))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Q191">
        <f>IF(ISNUMBER(SEARCH(SUBSTITUTE(AQ$1,RIGHT(AQ$1,2),""),VLOOKUP($D191,素材!$1:$1016,COLUMN($F$1),FALSE))),VLOOKUP($C191,装備品!$1:$998,COLUMN($O$1),FALSE)*VLOOKUP($D191,素材!$1:$1016,COLUMN($E$1),FALSE)/(LEN(VLOOKUP($D191,素材!$1:$1016,COLUMN($F$1),FALSE))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R191">
        <f>IF(ISNUMBER(SEARCH(SUBSTITUTE(AR$1,RIGHT(AR$1,2),""),VLOOKUP($D191,素材!$1:$1016,COLUMN($F$1),FALSE))),VLOOKUP($C191,装備品!$1:$998,COLUMN($O$1),FALSE)*VLOOKUP($D191,素材!$1:$1016,COLUMN($E$1),FALSE)/(LEN(VLOOKUP($D191,素材!$1:$1016,COLUMN($F$1),FALSE))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S191">
        <f>IF(ISNUMBER(SEARCH(SUBSTITUTE(AS$1,RIGHT(AS$1,2),""),VLOOKUP($D191,素材!$1:$1016,COLUMN($F$1),FALSE))),VLOOKUP($C191,装備品!$1:$998,COLUMN($O$1),FALSE)*VLOOKUP($D191,素材!$1:$1016,COLUMN($E$1),FALSE)/(LEN(VLOOKUP($D191,素材!$1:$1016,COLUMN($F$1),FALSE))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T191">
        <f>IF(ISNUMBER(SEARCH(SUBSTITUTE(AT$1,RIGHT(AT$1,2),""),VLOOKUP($D191,素材!$1:$1016,COLUMN($F$1),FALSE))),VLOOKUP($C191,装備品!$1:$998,COLUMN($O$1),FALSE)*VLOOKUP($D191,素材!$1:$1016,COLUMN($E$1),FALSE)/(LEN(VLOOKUP($D191,素材!$1:$1016,COLUMN($F$1),FALSE))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U191">
        <f>IF(ISNUMBER(SEARCH(SUBSTITUTE(AU$1,RIGHT(AU$1,2),""),VLOOKUP($D191,素材!$1:$1016,COLUMN($F$1),FALSE))),VLOOKUP($C191,装備品!$1:$998,COLUMN($O$1),FALSE)*VLOOKUP($D191,素材!$1:$1016,COLUMN($E$1),FALSE)/(LEN(VLOOKUP($D191,素材!$1:$1016,COLUMN($F$1),FALSE))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V191">
        <f>IF(ISNUMBER(SEARCH(SUBSTITUTE(AV$1,RIGHT(AV$1,2),""),VLOOKUP($D191,素材!$1:$1016,COLUMN($F$1),FALSE))),VLOOKUP($C191,装備品!$1:$998,COLUMN($O$1),FALSE)*VLOOKUP($D191,素材!$1:$1016,COLUMN($E$1),FALSE)/(LEN(VLOOKUP($D191,素材!$1:$1016,COLUMN($F$1),FALSE))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W191">
        <f>IF(ISNUMBER(SEARCH(SUBSTITUTE(AW$1,RIGHT(AW$1,2),""),VLOOKUP($D191,素材!$1:$1016,COLUMN($F$1),FALSE))),VLOOKUP($C191,装備品!$1:$998,COLUMN($O$1),FALSE)*VLOOKUP($D191,素材!$1:$1016,COLUMN($E$1),FALSE)/(LEN(VLOOKUP($D191,素材!$1:$1016,COLUMN($F$1),FALSE))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X191">
        <f>IF(ISNUMBER(SEARCH(SUBSTITUTE(AX$1,RIGHT(AX$1,2),""),VLOOKUP($D191,素材!$1:$1016,COLUMN($F$1),FALSE))),VLOOKUP($C191,装備品!$1:$998,COLUMN($O$1),FALSE)*VLOOKUP($D191,素材!$1:$1016,COLUMN($E$1),FALSE)/(LEN(VLOOKUP($D191,素材!$1:$1016,COLUMN($F$1),FALSE))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Y191">
        <f>IF(ISNUMBER(SEARCH(SUBSTITUTE(AY$1,RIGHT(AY$1,2),""),VLOOKUP($D191,素材!$1:$1016,COLUMN($F$1),FALSE))),VLOOKUP($C191,装備品!$1:$998,COLUMN($O$1),FALSE)*VLOOKUP($D191,素材!$1:$1016,COLUMN($E$1),FALSE)/(LEN(VLOOKUP($D191,素材!$1:$1016,COLUMN($F$1),FALSE))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Z191">
        <f>IF(ISNUMBER(SEARCH(SUBSTITUTE(AZ$1,RIGHT(AZ$1,2),""),VLOOKUP($D191,素材!$1:$1016,COLUMN($F$1),FALSE))),VLOOKUP($C191,装備品!$1:$998,COLUMN($O$1),FALSE)*VLOOKUP($D191,素材!$1:$1016,COLUMN($E$1),FALSE)/(LEN(VLOOKUP($D191,素材!$1:$1016,COLUMN($F$1),FALSE))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BA191">
        <f>IF(ISNUMBER(SEARCH(SUBSTITUTE(BA$1,RIGHT(BA$1,2),""),VLOOKUP($D191,素材!$1:$1016,COLUMN($F$1),FALSE))),VLOOKUP($C191,装備品!$1:$998,COLUMN($O$1),FALSE)*VLOOKUP($D191,素材!$1:$1016,COLUMN($E$1),FALSE)/(LEN(VLOOKUP($D191,素材!$1:$1016,COLUMN($F$1),FALSE))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BB191">
        <f>IF(ISNUMBER(SEARCH(SUBSTITUTE(BB$1,RIGHT(BB$1,2),""),VLOOKUP($D191,素材!$1:$1016,COLUMN($F$1),FALSE))),VLOOKUP($C191,装備品!$1:$998,COLUMN($O$1),FALSE)*VLOOKUP($D191,素材!$1:$1016,COLUMN($E$1),FALSE)/(LEN(VLOOKUP($D191,素材!$1:$1016,COLUMN($F$1),FALSE))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BC191">
        <f>IF(ISNUMBER(SEARCH(SUBSTITUTE(BC$1,RIGHT(BC$1,2),""),VLOOKUP($D191,素材!$1:$1016,COLUMN($F$1),FALSE))),VLOOKUP($C191,装備品!$1:$998,COLUMN($O$1),FALSE)*VLOOKUP($D191,素材!$1:$1016,COLUMN($E$1),FALSE)/(LEN(VLOOKUP($D191,素材!$1:$1016,COLUMN($F$1),FALSE))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BD191">
        <f>IF(ISNUMBER(SEARCH(SUBSTITUTE(BD$1,RIGHT(BD$1,2),""),VLOOKUP($D191,素材!$1:$1016,COLUMN($F$1),FALSE))),VLOOKUP($C191,装備品!$1:$998,COLUMN($O$1),FALSE)*VLOOKUP($D191,素材!$1:$1016,COLUMN($E$1),FALSE)/(LEN(VLOOKUP($D191,素材!$1:$1016,COLUMN($F$1),FALSE))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BE191">
        <f>IF(ISNUMBER(SEARCH(SUBSTITUTE(BE$1,RIGHT(BE$1,2),""),VLOOKUP($D191,素材!$1:$1016,COLUMN($F$1),FALSE))),VLOOKUP($C191,装備品!$1:$998,COLUMN($O$1),FALSE)*VLOOKUP($D191,素材!$1:$1016,COLUMN($E$1),FALSE)/(LEN(VLOOKUP($D191,素材!$1:$1016,COLUMN($F$1),FALSE))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CL191">
        <f t="shared" si="19"/>
        <v>0</v>
      </c>
      <c r="CM191" s="22" t="str">
        <f t="shared" si="20"/>
        <v>頭.webp</v>
      </c>
      <c r="CN191" t="str">
        <f>IFERROR(VLOOKUP($C191,装備品!$1:$998,COLUMN(V$1),FALSE)*VLOOKUP($D191,素材!$1:$1016,COLUMN(N$1),FALSE)+IF(CI191="",0,VLOOKUP($CI191,付与!$1:$1176,COLUMN($CK$1),FALSE)),"")</f>
        <v/>
      </c>
      <c r="CO191" t="e">
        <f>VLOOKUP(D191,素材!$A:$O,COLUMN(素材!O$1),FALSE)</f>
        <v>#N/A</v>
      </c>
      <c r="CP191" t="str">
        <f>VLOOKUP(C191,装備品!$A:$AB,COLUMN(装備品!AB$1),FALSE)</f>
        <v>命中 魔防 Cr</v>
      </c>
      <c r="CR191" t="str">
        <f t="shared" si="24"/>
        <v>e_191</v>
      </c>
      <c r="CS191" t="e">
        <f t="shared" si="28"/>
        <v>#VALUE!</v>
      </c>
    </row>
    <row r="192" spans="1:97" outlineLevel="1" x14ac:dyDescent="0.4">
      <c r="A192" t="str">
        <f t="shared" si="34"/>
        <v>黒鋼鉄の鎧</v>
      </c>
      <c r="B192" t="str">
        <f>IFERROR(VLOOKUP($D192,素材!$1:$1016,COLUMN($B$1),FALSE)&amp;"・"&amp;VLOOKUP($C192,装備品!$1:$998,COLUMN(B$1),FALSE),"")</f>
        <v/>
      </c>
      <c r="C192" t="s">
        <v>207</v>
      </c>
      <c r="D192" s="24" t="s">
        <v>243</v>
      </c>
      <c r="E192" t="str">
        <f>IFERROR(VLOOKUP(C192,装備品!$1:$998,COLUMN(C$1),FALSE),"")</f>
        <v>体</v>
      </c>
      <c r="F192" t="str">
        <f>IFERROR(ROUNDDOWN((VLOOKUP($C192,装備品!$1:$998,COLUMN(D$1),FALSE)+IFERROR(VLOOKUP($CI192,付与!$1:$1167,COLUMN(F$1),FALSE),0))*VLOOKUP($D192,素材!$1:$1016,COLUMN(D$1),FALSE),0),"")</f>
        <v/>
      </c>
      <c r="G192" t="str">
        <f>IFERROR(ROUNDDOWN((VLOOKUP($C192,装備品!$1:$998,COLUMN(E$1),FALSE)+IFERROR(VLOOKUP($CI192,付与!$1:$1167,COLUMN(G$1),FALSE),0))*VLOOKUP($D192,素材!$1:$1016,COLUMN($E$1),FALSE),0),"")</f>
        <v/>
      </c>
      <c r="H192" t="str">
        <f>IFERROR(ROUNDDOWN((VLOOKUP($C192,装備品!$1:$998,COLUMN(F$1),FALSE)+IFERROR(VLOOKUP($CI192,付与!$1:$1167,COLUMN(H$1),FALSE),0))*VLOOKUP($D192,素材!$1:$1016,COLUMN($E$1),FALSE),0),"")</f>
        <v/>
      </c>
      <c r="I192" t="str">
        <f>IFERROR(ROUNDDOWN((VLOOKUP($C192,装備品!$1:$998,COLUMN(G$1),FALSE)+IFERROR(VLOOKUP($CI192,付与!$1:$1167,COLUMN(I$1),FALSE),0))*VLOOKUP($D192,素材!$1:$1016,COLUMN($E$1),FALSE),0),"")</f>
        <v/>
      </c>
      <c r="J192" t="str">
        <f>IFERROR(ROUNDDOWN((VLOOKUP($C192,装備品!$1:$998,COLUMN(H$1),FALSE)+IFERROR(VLOOKUP($CI192,付与!$1:$1167,COLUMN(J$1),FALSE),0))*VLOOKUP($D192,素材!$1:$1016,COLUMN($E$1),FALSE),0),"")</f>
        <v/>
      </c>
      <c r="K192" t="str">
        <f>IFERROR(ROUNDDOWN((VLOOKUP($C192,装備品!$1:$998,COLUMN(I$1),FALSE)+IFERROR(VLOOKUP($CI192,付与!$1:$1167,COLUMN(K$1),FALSE),0))*VLOOKUP($D192,素材!$1:$1016,COLUMN($E$1),FALSE),0),"")</f>
        <v/>
      </c>
      <c r="L192" t="str">
        <f>IFERROR(VLOOKUP($D192,素材!$1:$1016,COLUMN($F$1),FALSE),"")</f>
        <v/>
      </c>
      <c r="M192" t="str">
        <f>IFERROR(VLOOKUP($C192,装備品!$1:$998,COLUMN(AA$1),FALSE)*VLOOKUP($D192,素材!$1:$1016,COLUMN($G$1),FALSE),"")</f>
        <v/>
      </c>
      <c r="N192">
        <f>IFERROR(VLOOKUP($C192,装備品!$1:$998,COLUMN(I$1),FALSE),"")</f>
        <v>0</v>
      </c>
      <c r="O192" s="23" t="str">
        <f>IFERROR((VLOOKUP($C192,装備品!$1:$998,COLUMN(K$1),FALSE)+VLOOKUP($D192,素材!$1:$1016,COLUMN(H$1),FALSE))*100+IFERROR(VLOOKUP($CI192,付与!$1:$1167,COLUMN(O$1),FALSE),0),"")</f>
        <v/>
      </c>
      <c r="P192" s="23" t="str">
        <f>IFERROR((VLOOKUP($C192,装備品!$1:$998,COLUMN(L$1),FALSE)+VLOOKUP($D192,素材!$1:$1016,COLUMN(I$1),FALSE))*100+IFERROR(VLOOKUP($CI192,付与!$1:$1167,COLUMN(P$1),FALSE),0),"")</f>
        <v/>
      </c>
      <c r="Q192" t="str">
        <f>IFERROR(ROUNDUP(VLOOKUP($C192,装備品!$1:$998,COLUMN(M$1),FALSE)*(VLOOKUP($D192,素材!$1:$1002,COLUMN(D$1),FALSE)/100),1),"")</f>
        <v/>
      </c>
      <c r="R192" t="str">
        <f>IFERROR(ROUNDUP(VLOOKUP($C192,装備品!$1:$998,COLUMN(N$1),FALSE)*(VLOOKUP($D192,素材!$1:$1002,COLUMN(D$1),FALSE)/100),1),"")</f>
        <v/>
      </c>
      <c r="S192">
        <f>IFERROR(VLOOKUP($C192,装備品!$1:$998,COLUMN(P$1),FALSE),"")</f>
        <v>-35</v>
      </c>
      <c r="T192">
        <f>IFERROR(VLOOKUP($C192,装備品!$1:$998,COLUMN(Q$1),FALSE),"")</f>
        <v>0</v>
      </c>
      <c r="U192">
        <f>IFERROR(VLOOKUP($C192,装備品!$1:$998,COLUMN(R$1),FALSE),"")</f>
        <v>0</v>
      </c>
      <c r="V192">
        <f>IFERROR(VLOOKUP($C192,装備品!$1:$998,COLUMN(Q$1),FALSE),"")</f>
        <v>0</v>
      </c>
      <c r="W192">
        <f>IFERROR(VLOOKUP($C192,装備品!$1:$998,COLUMN(T$1),FALSE),"")</f>
        <v>0.7</v>
      </c>
      <c r="Y192">
        <f>IFERROR(VLOOKUP($C192,装備品!$1:$998,COLUMN(U$1),FALSE),"")</f>
        <v>0</v>
      </c>
      <c r="Z192" t="str">
        <f>IFERROR(ROUNDUP(VLOOKUP($C192,装備品!$1:$998,COLUMN(O$1),FALSE)*VLOOKUP($D192,素材!$1:$1016,COLUMN(E$1),FALSE),1),"")</f>
        <v/>
      </c>
      <c r="AA192">
        <f>IF(ISNUMBER(SEARCH(SUBSTITUTE(AA$1,RIGHT(AA$1,2),""),VLOOKUP($D192,素材!$1:$1016,COLUMN($F$1),FALSE))),VLOOKUP($C192,装備品!$1:$998,COLUMN($O$1),FALSE)*VLOOKUP($D192,素材!$1:$1016,COLUMN($E$1),FALSE)/(LEN(VLOOKUP($D192,素材!$1:$1016,COLUMN($F$1),FALSE))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B192">
        <f>IF(ISNUMBER(SEARCH(SUBSTITUTE(AB$1,RIGHT(AB$1,2),""),VLOOKUP($D192,素材!$1:$1016,COLUMN($F$1),FALSE))),VLOOKUP($C192,装備品!$1:$998,COLUMN($O$1),FALSE)*VLOOKUP($D192,素材!$1:$1016,COLUMN($E$1),FALSE)/(LEN(VLOOKUP($D192,素材!$1:$1016,COLUMN($F$1),FALSE))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C192">
        <f>IF(ISNUMBER(SEARCH(SUBSTITUTE(AC$1,RIGHT(AC$1,2),""),VLOOKUP($D192,素材!$1:$1016,COLUMN($F$1),FALSE))),VLOOKUP($C192,装備品!$1:$998,COLUMN($O$1),FALSE)*VLOOKUP($D192,素材!$1:$1016,COLUMN($E$1),FALSE)/(LEN(VLOOKUP($D192,素材!$1:$1016,COLUMN($F$1),FALSE))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D192">
        <f>IF(ISNUMBER(SEARCH(SUBSTITUTE(AD$1,RIGHT(AD$1,2),""),VLOOKUP($D192,素材!$1:$1016,COLUMN($F$1),FALSE))),VLOOKUP($C192,装備品!$1:$998,COLUMN($O$1),FALSE)*VLOOKUP($D192,素材!$1:$1016,COLUMN($E$1),FALSE)/(LEN(VLOOKUP($D192,素材!$1:$1016,COLUMN($F$1),FALSE))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E192">
        <f>IF(ISNUMBER(SEARCH(SUBSTITUTE(AE$1,RIGHT(AE$1,2),""),VLOOKUP($D192,素材!$1:$1016,COLUMN($F$1),FALSE))),VLOOKUP($C192,装備品!$1:$998,COLUMN($O$1),FALSE)*VLOOKUP($D192,素材!$1:$1016,COLUMN($E$1),FALSE)/(LEN(VLOOKUP($D192,素材!$1:$1016,COLUMN($F$1),FALSE))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F192">
        <f>IF(ISNUMBER(SEARCH(SUBSTITUTE(AF$1,RIGHT(AF$1,2),""),VLOOKUP($D192,素材!$1:$1016,COLUMN($F$1),FALSE))),VLOOKUP($C192,装備品!$1:$998,COLUMN($O$1),FALSE)*VLOOKUP($D192,素材!$1:$1016,COLUMN($E$1),FALSE)/(LEN(VLOOKUP($D192,素材!$1:$1016,COLUMN($F$1),FALSE))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G192">
        <f>IF(ISNUMBER(SEARCH(SUBSTITUTE(AG$1,RIGHT(AG$1,2),""),VLOOKUP($D192,素材!$1:$1016,COLUMN($F$1),FALSE))),VLOOKUP($C192,装備品!$1:$998,COLUMN($O$1),FALSE)*VLOOKUP($D192,素材!$1:$1016,COLUMN($E$1),FALSE)/(LEN(VLOOKUP($D192,素材!$1:$1016,COLUMN($F$1),FALSE))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H192">
        <f>IF(ISNUMBER(SEARCH(SUBSTITUTE(AH$1,RIGHT(AH$1,2),""),VLOOKUP($D192,素材!$1:$1016,COLUMN($F$1),FALSE))),VLOOKUP($C192,装備品!$1:$998,COLUMN($O$1),FALSE)*VLOOKUP($D192,素材!$1:$1016,COLUMN($E$1),FALSE)/(LEN(VLOOKUP($D192,素材!$1:$1016,COLUMN($F$1),FALSE))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I192">
        <f>IF(ISNUMBER(SEARCH(SUBSTITUTE(AI$1,RIGHT(AI$1,2),""),VLOOKUP($D192,素材!$1:$1016,COLUMN($F$1),FALSE))),VLOOKUP($C192,装備品!$1:$998,COLUMN($O$1),FALSE)*VLOOKUP($D192,素材!$1:$1016,COLUMN($E$1),FALSE)/(LEN(VLOOKUP($D192,素材!$1:$1016,COLUMN($F$1),FALSE))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J192">
        <f>IF(ISNUMBER(SEARCH(SUBSTITUTE(AJ$1,RIGHT(AJ$1,2),""),VLOOKUP($D192,素材!$1:$1016,COLUMN($F$1),FALSE))),VLOOKUP($C192,装備品!$1:$998,COLUMN($O$1),FALSE)*VLOOKUP($D192,素材!$1:$1016,COLUMN($E$1),FALSE)/(LEN(VLOOKUP($D192,素材!$1:$1016,COLUMN($F$1),FALSE))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K192">
        <f>IF(ISNUMBER(SEARCH(SUBSTITUTE(AK$1,RIGHT(AK$1,2),""),VLOOKUP($D192,素材!$1:$1016,COLUMN($F$1),FALSE))),VLOOKUP($C192,装備品!$1:$998,COLUMN($O$1),FALSE)*VLOOKUP($D192,素材!$1:$1016,COLUMN($E$1),FALSE)/(LEN(VLOOKUP($D192,素材!$1:$1016,COLUMN($F$1),FALSE))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L192">
        <f>IF(ISNUMBER(SEARCH(SUBSTITUTE(AL$1,RIGHT(AL$1,2),""),VLOOKUP($D192,素材!$1:$1016,COLUMN($F$1),FALSE))),VLOOKUP($C192,装備品!$1:$998,COLUMN($O$1),FALSE)*VLOOKUP($D192,素材!$1:$1016,COLUMN($E$1),FALSE)/(LEN(VLOOKUP($D192,素材!$1:$1016,COLUMN($F$1),FALSE))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M192">
        <f>IF(ISNUMBER(SEARCH(SUBSTITUTE(AM$1,RIGHT(AM$1,2),""),VLOOKUP($D192,素材!$1:$1016,COLUMN($F$1),FALSE))),VLOOKUP($C192,装備品!$1:$998,COLUMN($O$1),FALSE)*VLOOKUP($D192,素材!$1:$1016,COLUMN($E$1),FALSE)/(LEN(VLOOKUP($D192,素材!$1:$1016,COLUMN($F$1),FALSE))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N192">
        <f>IF(ISNUMBER(SEARCH(SUBSTITUTE(AN$1,RIGHT(AN$1,2),""),VLOOKUP($D192,素材!$1:$1016,COLUMN($F$1),FALSE))),VLOOKUP($C192,装備品!$1:$998,COLUMN($O$1),FALSE)*VLOOKUP($D192,素材!$1:$1016,COLUMN($E$1),FALSE)/(LEN(VLOOKUP($D192,素材!$1:$1016,COLUMN($F$1),FALSE))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O192">
        <f>IF(ISNUMBER(SEARCH(SUBSTITUTE(AO$1,RIGHT(AO$1,2),""),VLOOKUP($D192,素材!$1:$1016,COLUMN($F$1),FALSE))),VLOOKUP($C192,装備品!$1:$998,COLUMN($O$1),FALSE)*VLOOKUP($D192,素材!$1:$1016,COLUMN($E$1),FALSE)/(LEN(VLOOKUP($D192,素材!$1:$1016,COLUMN($F$1),FALSE))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P192">
        <f>IF(ISNUMBER(SEARCH(SUBSTITUTE(AP$1,RIGHT(AP$1,2),""),VLOOKUP($D192,素材!$1:$1016,COLUMN($F$1),FALSE))),VLOOKUP($C192,装備品!$1:$998,COLUMN($O$1),FALSE)*VLOOKUP($D192,素材!$1:$1016,COLUMN($E$1),FALSE)/(LEN(VLOOKUP($D192,素材!$1:$1016,COLUMN($F$1),FALSE))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Q192">
        <f>IF(ISNUMBER(SEARCH(SUBSTITUTE(AQ$1,RIGHT(AQ$1,2),""),VLOOKUP($D192,素材!$1:$1016,COLUMN($F$1),FALSE))),VLOOKUP($C192,装備品!$1:$998,COLUMN($O$1),FALSE)*VLOOKUP($D192,素材!$1:$1016,COLUMN($E$1),FALSE)/(LEN(VLOOKUP($D192,素材!$1:$1016,COLUMN($F$1),FALSE))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R192">
        <f>IF(ISNUMBER(SEARCH(SUBSTITUTE(AR$1,RIGHT(AR$1,2),""),VLOOKUP($D192,素材!$1:$1016,COLUMN($F$1),FALSE))),VLOOKUP($C192,装備品!$1:$998,COLUMN($O$1),FALSE)*VLOOKUP($D192,素材!$1:$1016,COLUMN($E$1),FALSE)/(LEN(VLOOKUP($D192,素材!$1:$1016,COLUMN($F$1),FALSE))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S192">
        <f>IF(ISNUMBER(SEARCH(SUBSTITUTE(AS$1,RIGHT(AS$1,2),""),VLOOKUP($D192,素材!$1:$1016,COLUMN($F$1),FALSE))),VLOOKUP($C192,装備品!$1:$998,COLUMN($O$1),FALSE)*VLOOKUP($D192,素材!$1:$1016,COLUMN($E$1),FALSE)/(LEN(VLOOKUP($D192,素材!$1:$1016,COLUMN($F$1),FALSE))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T192">
        <f>IF(ISNUMBER(SEARCH(SUBSTITUTE(AT$1,RIGHT(AT$1,2),""),VLOOKUP($D192,素材!$1:$1016,COLUMN($F$1),FALSE))),VLOOKUP($C192,装備品!$1:$998,COLUMN($O$1),FALSE)*VLOOKUP($D192,素材!$1:$1016,COLUMN($E$1),FALSE)/(LEN(VLOOKUP($D192,素材!$1:$1016,COLUMN($F$1),FALSE))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U192">
        <f>IF(ISNUMBER(SEARCH(SUBSTITUTE(AU$1,RIGHT(AU$1,2),""),VLOOKUP($D192,素材!$1:$1016,COLUMN($F$1),FALSE))),VLOOKUP($C192,装備品!$1:$998,COLUMN($O$1),FALSE)*VLOOKUP($D192,素材!$1:$1016,COLUMN($E$1),FALSE)/(LEN(VLOOKUP($D192,素材!$1:$1016,COLUMN($F$1),FALSE))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V192">
        <f>IF(ISNUMBER(SEARCH(SUBSTITUTE(AV$1,RIGHT(AV$1,2),""),VLOOKUP($D192,素材!$1:$1016,COLUMN($F$1),FALSE))),VLOOKUP($C192,装備品!$1:$998,COLUMN($O$1),FALSE)*VLOOKUP($D192,素材!$1:$1016,COLUMN($E$1),FALSE)/(LEN(VLOOKUP($D192,素材!$1:$1016,COLUMN($F$1),FALSE))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W192">
        <f>IF(ISNUMBER(SEARCH(SUBSTITUTE(AW$1,RIGHT(AW$1,2),""),VLOOKUP($D192,素材!$1:$1016,COLUMN($F$1),FALSE))),VLOOKUP($C192,装備品!$1:$998,COLUMN($O$1),FALSE)*VLOOKUP($D192,素材!$1:$1016,COLUMN($E$1),FALSE)/(LEN(VLOOKUP($D192,素材!$1:$1016,COLUMN($F$1),FALSE))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X192">
        <f>IF(ISNUMBER(SEARCH(SUBSTITUTE(AX$1,RIGHT(AX$1,2),""),VLOOKUP($D192,素材!$1:$1016,COLUMN($F$1),FALSE))),VLOOKUP($C192,装備品!$1:$998,COLUMN($O$1),FALSE)*VLOOKUP($D192,素材!$1:$1016,COLUMN($E$1),FALSE)/(LEN(VLOOKUP($D192,素材!$1:$1016,COLUMN($F$1),FALSE))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Y192">
        <f>IF(ISNUMBER(SEARCH(SUBSTITUTE(AY$1,RIGHT(AY$1,2),""),VLOOKUP($D192,素材!$1:$1016,COLUMN($F$1),FALSE))),VLOOKUP($C192,装備品!$1:$998,COLUMN($O$1),FALSE)*VLOOKUP($D192,素材!$1:$1016,COLUMN($E$1),FALSE)/(LEN(VLOOKUP($D192,素材!$1:$1016,COLUMN($F$1),FALSE))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Z192">
        <f>IF(ISNUMBER(SEARCH(SUBSTITUTE(AZ$1,RIGHT(AZ$1,2),""),VLOOKUP($D192,素材!$1:$1016,COLUMN($F$1),FALSE))),VLOOKUP($C192,装備品!$1:$998,COLUMN($O$1),FALSE)*VLOOKUP($D192,素材!$1:$1016,COLUMN($E$1),FALSE)/(LEN(VLOOKUP($D192,素材!$1:$1016,COLUMN($F$1),FALSE))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BA192">
        <f>IF(ISNUMBER(SEARCH(SUBSTITUTE(BA$1,RIGHT(BA$1,2),""),VLOOKUP($D192,素材!$1:$1016,COLUMN($F$1),FALSE))),VLOOKUP($C192,装備品!$1:$998,COLUMN($O$1),FALSE)*VLOOKUP($D192,素材!$1:$1016,COLUMN($E$1),FALSE)/(LEN(VLOOKUP($D192,素材!$1:$1016,COLUMN($F$1),FALSE))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BB192">
        <f>IF(ISNUMBER(SEARCH(SUBSTITUTE(BB$1,RIGHT(BB$1,2),""),VLOOKUP($D192,素材!$1:$1016,COLUMN($F$1),FALSE))),VLOOKUP($C192,装備品!$1:$998,COLUMN($O$1),FALSE)*VLOOKUP($D192,素材!$1:$1016,COLUMN($E$1),FALSE)/(LEN(VLOOKUP($D192,素材!$1:$1016,COLUMN($F$1),FALSE))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BC192">
        <f>IF(ISNUMBER(SEARCH(SUBSTITUTE(BC$1,RIGHT(BC$1,2),""),VLOOKUP($D192,素材!$1:$1016,COLUMN($F$1),FALSE))),VLOOKUP($C192,装備品!$1:$998,COLUMN($O$1),FALSE)*VLOOKUP($D192,素材!$1:$1016,COLUMN($E$1),FALSE)/(LEN(VLOOKUP($D192,素材!$1:$1016,COLUMN($F$1),FALSE))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BD192">
        <f>IF(ISNUMBER(SEARCH(SUBSTITUTE(BD$1,RIGHT(BD$1,2),""),VLOOKUP($D192,素材!$1:$1016,COLUMN($F$1),FALSE))),VLOOKUP($C192,装備品!$1:$998,COLUMN($O$1),FALSE)*VLOOKUP($D192,素材!$1:$1016,COLUMN($E$1),FALSE)/(LEN(VLOOKUP($D192,素材!$1:$1016,COLUMN($F$1),FALSE))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BE192">
        <f>IF(ISNUMBER(SEARCH(SUBSTITUTE(BE$1,RIGHT(BE$1,2),""),VLOOKUP($D192,素材!$1:$1016,COLUMN($F$1),FALSE))),VLOOKUP($C192,装備品!$1:$998,COLUMN($O$1),FALSE)*VLOOKUP($D192,素材!$1:$1016,COLUMN($E$1),FALSE)/(LEN(VLOOKUP($D192,素材!$1:$1016,COLUMN($F$1),FALSE))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CL192">
        <f t="shared" si="19"/>
        <v>0</v>
      </c>
      <c r="CM192" s="22" t="str">
        <f t="shared" si="20"/>
        <v>体.webp</v>
      </c>
      <c r="CN192" t="str">
        <f>IFERROR(VLOOKUP($C192,装備品!$1:$998,COLUMN(V$1),FALSE)*VLOOKUP($D192,素材!$1:$1016,COLUMN(N$1),FALSE)+IF(CI192="",0,VLOOKUP($CI192,付与!$1:$1176,COLUMN($CK$1),FALSE)),"")</f>
        <v/>
      </c>
      <c r="CO192" t="e">
        <f>VLOOKUP(D192,素材!$A:$O,COLUMN(素材!O$1),FALSE)</f>
        <v>#N/A</v>
      </c>
      <c r="CP192" t="str">
        <f>VLOOKUP(C192,装備品!$A:$AB,COLUMN(装備品!AB$1),FALSE)</f>
        <v>HP 物理 魔法 体幹 出血 疲労 Cr</v>
      </c>
      <c r="CR192" t="str">
        <f t="shared" si="24"/>
        <v>e_192</v>
      </c>
      <c r="CS192" t="e">
        <f t="shared" si="28"/>
        <v>#VALUE!</v>
      </c>
    </row>
    <row r="193" spans="1:97" outlineLevel="1" x14ac:dyDescent="0.4">
      <c r="A193" t="str">
        <f t="shared" si="34"/>
        <v>黒鋼鉄の胴衣</v>
      </c>
      <c r="B193" t="str">
        <f>IFERROR(VLOOKUP($D193,素材!$1:$1016,COLUMN($B$1),FALSE)&amp;"・"&amp;VLOOKUP($C193,装備品!$1:$998,COLUMN(B$1),FALSE),"")</f>
        <v/>
      </c>
      <c r="C193" t="s">
        <v>206</v>
      </c>
      <c r="D193" s="24" t="s">
        <v>243</v>
      </c>
      <c r="E193" t="str">
        <f>IFERROR(VLOOKUP(C193,装備品!$1:$998,COLUMN(C$1),FALSE),"")</f>
        <v>体</v>
      </c>
      <c r="F193" t="str">
        <f>IFERROR(ROUNDDOWN((VLOOKUP($C193,装備品!$1:$998,COLUMN(D$1),FALSE)+IFERROR(VLOOKUP($CI193,付与!$1:$1167,COLUMN(F$1),FALSE),0))*VLOOKUP($D193,素材!$1:$1016,COLUMN(D$1),FALSE),0),"")</f>
        <v/>
      </c>
      <c r="G193" t="str">
        <f>IFERROR(ROUNDDOWN((VLOOKUP($C193,装備品!$1:$998,COLUMN(E$1),FALSE)+IFERROR(VLOOKUP($CI193,付与!$1:$1167,COLUMN(G$1),FALSE),0))*VLOOKUP($D193,素材!$1:$1016,COLUMN($E$1),FALSE),0),"")</f>
        <v/>
      </c>
      <c r="H193" t="str">
        <f>IFERROR(ROUNDDOWN((VLOOKUP($C193,装備品!$1:$998,COLUMN(F$1),FALSE)+IFERROR(VLOOKUP($CI193,付与!$1:$1167,COLUMN(H$1),FALSE),0))*VLOOKUP($D193,素材!$1:$1016,COLUMN($E$1),FALSE),0),"")</f>
        <v/>
      </c>
      <c r="I193" t="str">
        <f>IFERROR(ROUNDDOWN((VLOOKUP($C193,装備品!$1:$998,COLUMN(G$1),FALSE)+IFERROR(VLOOKUP($CI193,付与!$1:$1167,COLUMN(I$1),FALSE),0))*VLOOKUP($D193,素材!$1:$1016,COLUMN($E$1),FALSE),0),"")</f>
        <v/>
      </c>
      <c r="J193" t="str">
        <f>IFERROR(ROUNDDOWN((VLOOKUP($C193,装備品!$1:$998,COLUMN(H$1),FALSE)+IFERROR(VLOOKUP($CI193,付与!$1:$1167,COLUMN(J$1),FALSE),0))*VLOOKUP($D193,素材!$1:$1016,COLUMN($E$1),FALSE),0),"")</f>
        <v/>
      </c>
      <c r="K193" t="str">
        <f>IFERROR(ROUNDDOWN((VLOOKUP($C193,装備品!$1:$998,COLUMN(I$1),FALSE)+IFERROR(VLOOKUP($CI193,付与!$1:$1167,COLUMN(K$1),FALSE),0))*VLOOKUP($D193,素材!$1:$1016,COLUMN($E$1),FALSE),0),"")</f>
        <v/>
      </c>
      <c r="L193" t="str">
        <f>IFERROR(VLOOKUP($D193,素材!$1:$1016,COLUMN($F$1),FALSE),"")</f>
        <v/>
      </c>
      <c r="M193" t="str">
        <f>IFERROR(VLOOKUP($C193,装備品!$1:$998,COLUMN(AA$1),FALSE)*VLOOKUP($D193,素材!$1:$1016,COLUMN($G$1),FALSE),"")</f>
        <v/>
      </c>
      <c r="N193">
        <f>IFERROR(VLOOKUP($C193,装備品!$1:$998,COLUMN(I$1),FALSE),"")</f>
        <v>0</v>
      </c>
      <c r="O193" s="23" t="str">
        <f>IFERROR((VLOOKUP($C193,装備品!$1:$998,COLUMN(K$1),FALSE)+VLOOKUP($D193,素材!$1:$1016,COLUMN(H$1),FALSE))*100+IFERROR(VLOOKUP($CI193,付与!$1:$1167,COLUMN(O$1),FALSE),0),"")</f>
        <v/>
      </c>
      <c r="P193" s="23" t="str">
        <f>IFERROR((VLOOKUP($C193,装備品!$1:$998,COLUMN(L$1),FALSE)+VLOOKUP($D193,素材!$1:$1016,COLUMN(I$1),FALSE))*100+IFERROR(VLOOKUP($CI193,付与!$1:$1167,COLUMN(P$1),FALSE),0),"")</f>
        <v/>
      </c>
      <c r="Q193" t="str">
        <f>IFERROR(ROUNDUP(VLOOKUP($C193,装備品!$1:$998,COLUMN(M$1),FALSE)*(VLOOKUP($D193,素材!$1:$1002,COLUMN(D$1),FALSE)/100),1),"")</f>
        <v/>
      </c>
      <c r="R193" t="str">
        <f>IFERROR(ROUNDUP(VLOOKUP($C193,装備品!$1:$998,COLUMN(N$1),FALSE)*(VLOOKUP($D193,素材!$1:$1002,COLUMN(D$1),FALSE)/100),1),"")</f>
        <v/>
      </c>
      <c r="S193">
        <f>IFERROR(VLOOKUP($C193,装備品!$1:$998,COLUMN(P$1),FALSE),"")</f>
        <v>-15</v>
      </c>
      <c r="T193">
        <f>IFERROR(VLOOKUP($C193,装備品!$1:$998,COLUMN(Q$1),FALSE),"")</f>
        <v>0</v>
      </c>
      <c r="U193">
        <f>IFERROR(VLOOKUP($C193,装備品!$1:$998,COLUMN(R$1),FALSE),"")</f>
        <v>0</v>
      </c>
      <c r="V193">
        <f>IFERROR(VLOOKUP($C193,装備品!$1:$998,COLUMN(Q$1),FALSE),"")</f>
        <v>0</v>
      </c>
      <c r="W193">
        <f>IFERROR(VLOOKUP($C193,装備品!$1:$998,COLUMN(T$1),FALSE),"")</f>
        <v>0.5</v>
      </c>
      <c r="Y193">
        <f>IFERROR(VLOOKUP($C193,装備品!$1:$998,COLUMN(U$1),FALSE),"")</f>
        <v>0</v>
      </c>
      <c r="Z193" t="str">
        <f>IFERROR(ROUNDUP(VLOOKUP($C193,装備品!$1:$998,COLUMN(O$1),FALSE)*VLOOKUP($D193,素材!$1:$1016,COLUMN(E$1),FALSE),1),"")</f>
        <v/>
      </c>
      <c r="AA193">
        <f>IF(ISNUMBER(SEARCH(SUBSTITUTE(AA$1,RIGHT(AA$1,2),""),VLOOKUP($D193,素材!$1:$1016,COLUMN($F$1),FALSE))),VLOOKUP($C193,装備品!$1:$998,COLUMN($O$1),FALSE)*VLOOKUP($D193,素材!$1:$1016,COLUMN($E$1),FALSE)/(LEN(VLOOKUP($D193,素材!$1:$1016,COLUMN($F$1),FALSE))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B193">
        <f>IF(ISNUMBER(SEARCH(SUBSTITUTE(AB$1,RIGHT(AB$1,2),""),VLOOKUP($D193,素材!$1:$1016,COLUMN($F$1),FALSE))),VLOOKUP($C193,装備品!$1:$998,COLUMN($O$1),FALSE)*VLOOKUP($D193,素材!$1:$1016,COLUMN($E$1),FALSE)/(LEN(VLOOKUP($D193,素材!$1:$1016,COLUMN($F$1),FALSE))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C193">
        <f>IF(ISNUMBER(SEARCH(SUBSTITUTE(AC$1,RIGHT(AC$1,2),""),VLOOKUP($D193,素材!$1:$1016,COLUMN($F$1),FALSE))),VLOOKUP($C193,装備品!$1:$998,COLUMN($O$1),FALSE)*VLOOKUP($D193,素材!$1:$1016,COLUMN($E$1),FALSE)/(LEN(VLOOKUP($D193,素材!$1:$1016,COLUMN($F$1),FALSE))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D193">
        <f>IF(ISNUMBER(SEARCH(SUBSTITUTE(AD$1,RIGHT(AD$1,2),""),VLOOKUP($D193,素材!$1:$1016,COLUMN($F$1),FALSE))),VLOOKUP($C193,装備品!$1:$998,COLUMN($O$1),FALSE)*VLOOKUP($D193,素材!$1:$1016,COLUMN($E$1),FALSE)/(LEN(VLOOKUP($D193,素材!$1:$1016,COLUMN($F$1),FALSE))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E193">
        <f>IF(ISNUMBER(SEARCH(SUBSTITUTE(AE$1,RIGHT(AE$1,2),""),VLOOKUP($D193,素材!$1:$1016,COLUMN($F$1),FALSE))),VLOOKUP($C193,装備品!$1:$998,COLUMN($O$1),FALSE)*VLOOKUP($D193,素材!$1:$1016,COLUMN($E$1),FALSE)/(LEN(VLOOKUP($D193,素材!$1:$1016,COLUMN($F$1),FALSE))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F193">
        <f>IF(ISNUMBER(SEARCH(SUBSTITUTE(AF$1,RIGHT(AF$1,2),""),VLOOKUP($D193,素材!$1:$1016,COLUMN($F$1),FALSE))),VLOOKUP($C193,装備品!$1:$998,COLUMN($O$1),FALSE)*VLOOKUP($D193,素材!$1:$1016,COLUMN($E$1),FALSE)/(LEN(VLOOKUP($D193,素材!$1:$1016,COLUMN($F$1),FALSE))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G193">
        <f>IF(ISNUMBER(SEARCH(SUBSTITUTE(AG$1,RIGHT(AG$1,2),""),VLOOKUP($D193,素材!$1:$1016,COLUMN($F$1),FALSE))),VLOOKUP($C193,装備品!$1:$998,COLUMN($O$1),FALSE)*VLOOKUP($D193,素材!$1:$1016,COLUMN($E$1),FALSE)/(LEN(VLOOKUP($D193,素材!$1:$1016,COLUMN($F$1),FALSE))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H193">
        <f>IF(ISNUMBER(SEARCH(SUBSTITUTE(AH$1,RIGHT(AH$1,2),""),VLOOKUP($D193,素材!$1:$1016,COLUMN($F$1),FALSE))),VLOOKUP($C193,装備品!$1:$998,COLUMN($O$1),FALSE)*VLOOKUP($D193,素材!$1:$1016,COLUMN($E$1),FALSE)/(LEN(VLOOKUP($D193,素材!$1:$1016,COLUMN($F$1),FALSE))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I193">
        <f>IF(ISNUMBER(SEARCH(SUBSTITUTE(AI$1,RIGHT(AI$1,2),""),VLOOKUP($D193,素材!$1:$1016,COLUMN($F$1),FALSE))),VLOOKUP($C193,装備品!$1:$998,COLUMN($O$1),FALSE)*VLOOKUP($D193,素材!$1:$1016,COLUMN($E$1),FALSE)/(LEN(VLOOKUP($D193,素材!$1:$1016,COLUMN($F$1),FALSE))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J193">
        <f>IF(ISNUMBER(SEARCH(SUBSTITUTE(AJ$1,RIGHT(AJ$1,2),""),VLOOKUP($D193,素材!$1:$1016,COLUMN($F$1),FALSE))),VLOOKUP($C193,装備品!$1:$998,COLUMN($O$1),FALSE)*VLOOKUP($D193,素材!$1:$1016,COLUMN($E$1),FALSE)/(LEN(VLOOKUP($D193,素材!$1:$1016,COLUMN($F$1),FALSE))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K193">
        <f>IF(ISNUMBER(SEARCH(SUBSTITUTE(AK$1,RIGHT(AK$1,2),""),VLOOKUP($D193,素材!$1:$1016,COLUMN($F$1),FALSE))),VLOOKUP($C193,装備品!$1:$998,COLUMN($O$1),FALSE)*VLOOKUP($D193,素材!$1:$1016,COLUMN($E$1),FALSE)/(LEN(VLOOKUP($D193,素材!$1:$1016,COLUMN($F$1),FALSE))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L193">
        <f>IF(ISNUMBER(SEARCH(SUBSTITUTE(AL$1,RIGHT(AL$1,2),""),VLOOKUP($D193,素材!$1:$1016,COLUMN($F$1),FALSE))),VLOOKUP($C193,装備品!$1:$998,COLUMN($O$1),FALSE)*VLOOKUP($D193,素材!$1:$1016,COLUMN($E$1),FALSE)/(LEN(VLOOKUP($D193,素材!$1:$1016,COLUMN($F$1),FALSE))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M193">
        <f>IF(ISNUMBER(SEARCH(SUBSTITUTE(AM$1,RIGHT(AM$1,2),""),VLOOKUP($D193,素材!$1:$1016,COLUMN($F$1),FALSE))),VLOOKUP($C193,装備品!$1:$998,COLUMN($O$1),FALSE)*VLOOKUP($D193,素材!$1:$1016,COLUMN($E$1),FALSE)/(LEN(VLOOKUP($D193,素材!$1:$1016,COLUMN($F$1),FALSE))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N193">
        <f>IF(ISNUMBER(SEARCH(SUBSTITUTE(AN$1,RIGHT(AN$1,2),""),VLOOKUP($D193,素材!$1:$1016,COLUMN($F$1),FALSE))),VLOOKUP($C193,装備品!$1:$998,COLUMN($O$1),FALSE)*VLOOKUP($D193,素材!$1:$1016,COLUMN($E$1),FALSE)/(LEN(VLOOKUP($D193,素材!$1:$1016,COLUMN($F$1),FALSE))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O193">
        <f>IF(ISNUMBER(SEARCH(SUBSTITUTE(AO$1,RIGHT(AO$1,2),""),VLOOKUP($D193,素材!$1:$1016,COLUMN($F$1),FALSE))),VLOOKUP($C193,装備品!$1:$998,COLUMN($O$1),FALSE)*VLOOKUP($D193,素材!$1:$1016,COLUMN($E$1),FALSE)/(LEN(VLOOKUP($D193,素材!$1:$1016,COLUMN($F$1),FALSE))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P193">
        <f>IF(ISNUMBER(SEARCH(SUBSTITUTE(AP$1,RIGHT(AP$1,2),""),VLOOKUP($D193,素材!$1:$1016,COLUMN($F$1),FALSE))),VLOOKUP($C193,装備品!$1:$998,COLUMN($O$1),FALSE)*VLOOKUP($D193,素材!$1:$1016,COLUMN($E$1),FALSE)/(LEN(VLOOKUP($D193,素材!$1:$1016,COLUMN($F$1),FALSE))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Q193">
        <f>IF(ISNUMBER(SEARCH(SUBSTITUTE(AQ$1,RIGHT(AQ$1,2),""),VLOOKUP($D193,素材!$1:$1016,COLUMN($F$1),FALSE))),VLOOKUP($C193,装備品!$1:$998,COLUMN($O$1),FALSE)*VLOOKUP($D193,素材!$1:$1016,COLUMN($E$1),FALSE)/(LEN(VLOOKUP($D193,素材!$1:$1016,COLUMN($F$1),FALSE))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R193">
        <f>IF(ISNUMBER(SEARCH(SUBSTITUTE(AR$1,RIGHT(AR$1,2),""),VLOOKUP($D193,素材!$1:$1016,COLUMN($F$1),FALSE))),VLOOKUP($C193,装備品!$1:$998,COLUMN($O$1),FALSE)*VLOOKUP($D193,素材!$1:$1016,COLUMN($E$1),FALSE)/(LEN(VLOOKUP($D193,素材!$1:$1016,COLUMN($F$1),FALSE))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S193">
        <f>IF(ISNUMBER(SEARCH(SUBSTITUTE(AS$1,RIGHT(AS$1,2),""),VLOOKUP($D193,素材!$1:$1016,COLUMN($F$1),FALSE))),VLOOKUP($C193,装備品!$1:$998,COLUMN($O$1),FALSE)*VLOOKUP($D193,素材!$1:$1016,COLUMN($E$1),FALSE)/(LEN(VLOOKUP($D193,素材!$1:$1016,COLUMN($F$1),FALSE))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T193">
        <f>IF(ISNUMBER(SEARCH(SUBSTITUTE(AT$1,RIGHT(AT$1,2),""),VLOOKUP($D193,素材!$1:$1016,COLUMN($F$1),FALSE))),VLOOKUP($C193,装備品!$1:$998,COLUMN($O$1),FALSE)*VLOOKUP($D193,素材!$1:$1016,COLUMN($E$1),FALSE)/(LEN(VLOOKUP($D193,素材!$1:$1016,COLUMN($F$1),FALSE))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U193">
        <f>IF(ISNUMBER(SEARCH(SUBSTITUTE(AU$1,RIGHT(AU$1,2),""),VLOOKUP($D193,素材!$1:$1016,COLUMN($F$1),FALSE))),VLOOKUP($C193,装備品!$1:$998,COLUMN($O$1),FALSE)*VLOOKUP($D193,素材!$1:$1016,COLUMN($E$1),FALSE)/(LEN(VLOOKUP($D193,素材!$1:$1016,COLUMN($F$1),FALSE))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V193">
        <f>IF(ISNUMBER(SEARCH(SUBSTITUTE(AV$1,RIGHT(AV$1,2),""),VLOOKUP($D193,素材!$1:$1016,COLUMN($F$1),FALSE))),VLOOKUP($C193,装備品!$1:$998,COLUMN($O$1),FALSE)*VLOOKUP($D193,素材!$1:$1016,COLUMN($E$1),FALSE)/(LEN(VLOOKUP($D193,素材!$1:$1016,COLUMN($F$1),FALSE))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W193">
        <f>IF(ISNUMBER(SEARCH(SUBSTITUTE(AW$1,RIGHT(AW$1,2),""),VLOOKUP($D193,素材!$1:$1016,COLUMN($F$1),FALSE))),VLOOKUP($C193,装備品!$1:$998,COLUMN($O$1),FALSE)*VLOOKUP($D193,素材!$1:$1016,COLUMN($E$1),FALSE)/(LEN(VLOOKUP($D193,素材!$1:$1016,COLUMN($F$1),FALSE))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X193">
        <f>IF(ISNUMBER(SEARCH(SUBSTITUTE(AX$1,RIGHT(AX$1,2),""),VLOOKUP($D193,素材!$1:$1016,COLUMN($F$1),FALSE))),VLOOKUP($C193,装備品!$1:$998,COLUMN($O$1),FALSE)*VLOOKUP($D193,素材!$1:$1016,COLUMN($E$1),FALSE)/(LEN(VLOOKUP($D193,素材!$1:$1016,COLUMN($F$1),FALSE))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Y193">
        <f>IF(ISNUMBER(SEARCH(SUBSTITUTE(AY$1,RIGHT(AY$1,2),""),VLOOKUP($D193,素材!$1:$1016,COLUMN($F$1),FALSE))),VLOOKUP($C193,装備品!$1:$998,COLUMN($O$1),FALSE)*VLOOKUP($D193,素材!$1:$1016,COLUMN($E$1),FALSE)/(LEN(VLOOKUP($D193,素材!$1:$1016,COLUMN($F$1),FALSE))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Z193">
        <f>IF(ISNUMBER(SEARCH(SUBSTITUTE(AZ$1,RIGHT(AZ$1,2),""),VLOOKUP($D193,素材!$1:$1016,COLUMN($F$1),FALSE))),VLOOKUP($C193,装備品!$1:$998,COLUMN($O$1),FALSE)*VLOOKUP($D193,素材!$1:$1016,COLUMN($E$1),FALSE)/(LEN(VLOOKUP($D193,素材!$1:$1016,COLUMN($F$1),FALSE))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BA193">
        <f>IF(ISNUMBER(SEARCH(SUBSTITUTE(BA$1,RIGHT(BA$1,2),""),VLOOKUP($D193,素材!$1:$1016,COLUMN($F$1),FALSE))),VLOOKUP($C193,装備品!$1:$998,COLUMN($O$1),FALSE)*VLOOKUP($D193,素材!$1:$1016,COLUMN($E$1),FALSE)/(LEN(VLOOKUP($D193,素材!$1:$1016,COLUMN($F$1),FALSE))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BB193">
        <f>IF(ISNUMBER(SEARCH(SUBSTITUTE(BB$1,RIGHT(BB$1,2),""),VLOOKUP($D193,素材!$1:$1016,COLUMN($F$1),FALSE))),VLOOKUP($C193,装備品!$1:$998,COLUMN($O$1),FALSE)*VLOOKUP($D193,素材!$1:$1016,COLUMN($E$1),FALSE)/(LEN(VLOOKUP($D193,素材!$1:$1016,COLUMN($F$1),FALSE))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BC193">
        <f>IF(ISNUMBER(SEARCH(SUBSTITUTE(BC$1,RIGHT(BC$1,2),""),VLOOKUP($D193,素材!$1:$1016,COLUMN($F$1),FALSE))),VLOOKUP($C193,装備品!$1:$998,COLUMN($O$1),FALSE)*VLOOKUP($D193,素材!$1:$1016,COLUMN($E$1),FALSE)/(LEN(VLOOKUP($D193,素材!$1:$1016,COLUMN($F$1),FALSE))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BD193">
        <f>IF(ISNUMBER(SEARCH(SUBSTITUTE(BD$1,RIGHT(BD$1,2),""),VLOOKUP($D193,素材!$1:$1016,COLUMN($F$1),FALSE))),VLOOKUP($C193,装備品!$1:$998,COLUMN($O$1),FALSE)*VLOOKUP($D193,素材!$1:$1016,COLUMN($E$1),FALSE)/(LEN(VLOOKUP($D193,素材!$1:$1016,COLUMN($F$1),FALSE))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BE193">
        <f>IF(ISNUMBER(SEARCH(SUBSTITUTE(BE$1,RIGHT(BE$1,2),""),VLOOKUP($D193,素材!$1:$1016,COLUMN($F$1),FALSE))),VLOOKUP($C193,装備品!$1:$998,COLUMN($O$1),FALSE)*VLOOKUP($D193,素材!$1:$1016,COLUMN($E$1),FALSE)/(LEN(VLOOKUP($D193,素材!$1:$1016,COLUMN($F$1),FALSE))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CL193">
        <f t="shared" si="19"/>
        <v>0</v>
      </c>
      <c r="CM193" s="22" t="str">
        <f t="shared" si="20"/>
        <v>体.webp</v>
      </c>
      <c r="CN193" t="str">
        <f>IFERROR(VLOOKUP($C193,装備品!$1:$998,COLUMN(V$1),FALSE)*VLOOKUP($D193,素材!$1:$1016,COLUMN(N$1),FALSE)+IF(CI193="",0,VLOOKUP($CI193,付与!$1:$1176,COLUMN($CK$1),FALSE)),"")</f>
        <v/>
      </c>
      <c r="CO193" t="e">
        <f>VLOOKUP(D193,素材!$A:$O,COLUMN(素材!O$1),FALSE)</f>
        <v>#N/A</v>
      </c>
      <c r="CP193" t="str">
        <f>VLOOKUP(C193,装備品!$A:$AB,COLUMN(装備品!AB$1),FALSE)</f>
        <v>HP 物理 魔法 体幹 出血 疲労 Cr</v>
      </c>
      <c r="CR193" t="str">
        <f t="shared" si="24"/>
        <v>e_193</v>
      </c>
      <c r="CS193" t="e">
        <f t="shared" si="28"/>
        <v>#VALUE!</v>
      </c>
    </row>
    <row r="194" spans="1:97" outlineLevel="1" x14ac:dyDescent="0.4">
      <c r="A194" t="str">
        <f t="shared" si="34"/>
        <v>黒鋼鉄の靴</v>
      </c>
      <c r="B194" t="str">
        <f>IFERROR(VLOOKUP($D194,素材!$1:$1016,COLUMN($B$1),FALSE)&amp;"・"&amp;VLOOKUP($C194,装備品!$1:$998,COLUMN(B$1),FALSE),"")</f>
        <v/>
      </c>
      <c r="C194" t="s">
        <v>205</v>
      </c>
      <c r="D194" s="24" t="s">
        <v>243</v>
      </c>
      <c r="E194" t="str">
        <f>IFERROR(VLOOKUP(C194,装備品!$1:$998,COLUMN(C$1),FALSE),"")</f>
        <v>足</v>
      </c>
      <c r="F194" t="str">
        <f>IFERROR(ROUNDDOWN((VLOOKUP($C194,装備品!$1:$998,COLUMN(D$1),FALSE)+IFERROR(VLOOKUP($CI194,付与!$1:$1167,COLUMN(F$1),FALSE),0))*VLOOKUP($D194,素材!$1:$1016,COLUMN(D$1),FALSE),0),"")</f>
        <v/>
      </c>
      <c r="G194" t="str">
        <f>IFERROR(ROUNDDOWN((VLOOKUP($C194,装備品!$1:$998,COLUMN(E$1),FALSE)+IFERROR(VLOOKUP($CI194,付与!$1:$1167,COLUMN(G$1),FALSE),0))*VLOOKUP($D194,素材!$1:$1016,COLUMN($E$1),FALSE),0),"")</f>
        <v/>
      </c>
      <c r="H194" t="str">
        <f>IFERROR(ROUNDDOWN((VLOOKUP($C194,装備品!$1:$998,COLUMN(F$1),FALSE)+IFERROR(VLOOKUP($CI194,付与!$1:$1167,COLUMN(H$1),FALSE),0))*VLOOKUP($D194,素材!$1:$1016,COLUMN($E$1),FALSE),0),"")</f>
        <v/>
      </c>
      <c r="I194" t="str">
        <f>IFERROR(ROUNDDOWN((VLOOKUP($C194,装備品!$1:$998,COLUMN(G$1),FALSE)+IFERROR(VLOOKUP($CI194,付与!$1:$1167,COLUMN(I$1),FALSE),0))*VLOOKUP($D194,素材!$1:$1016,COLUMN($E$1),FALSE),0),"")</f>
        <v/>
      </c>
      <c r="J194" t="str">
        <f>IFERROR(ROUNDDOWN((VLOOKUP($C194,装備品!$1:$998,COLUMN(H$1),FALSE)+IFERROR(VLOOKUP($CI194,付与!$1:$1167,COLUMN(J$1),FALSE),0))*VLOOKUP($D194,素材!$1:$1016,COLUMN($E$1),FALSE),0),"")</f>
        <v/>
      </c>
      <c r="K194" t="str">
        <f>IFERROR(ROUNDDOWN((VLOOKUP($C194,装備品!$1:$998,COLUMN(I$1),FALSE)+IFERROR(VLOOKUP($CI194,付与!$1:$1167,COLUMN(K$1),FALSE),0))*VLOOKUP($D194,素材!$1:$1016,COLUMN($E$1),FALSE),0),"")</f>
        <v/>
      </c>
      <c r="L194" t="str">
        <f>IFERROR(VLOOKUP($D194,素材!$1:$1016,COLUMN($F$1),FALSE),"")</f>
        <v/>
      </c>
      <c r="M194" t="str">
        <f>IFERROR(VLOOKUP($C194,装備品!$1:$998,COLUMN(AA$1),FALSE)*VLOOKUP($D194,素材!$1:$1016,COLUMN($G$1),FALSE),"")</f>
        <v/>
      </c>
      <c r="N194">
        <f>IFERROR(VLOOKUP($C194,装備品!$1:$998,COLUMN(I$1),FALSE),"")</f>
        <v>0</v>
      </c>
      <c r="O194" s="23" t="str">
        <f>IFERROR((VLOOKUP($C194,装備品!$1:$998,COLUMN(K$1),FALSE)+VLOOKUP($D194,素材!$1:$1016,COLUMN(H$1),FALSE))*100+IFERROR(VLOOKUP($CI194,付与!$1:$1167,COLUMN(O$1),FALSE),0),"")</f>
        <v/>
      </c>
      <c r="P194" s="23" t="str">
        <f>IFERROR((VLOOKUP($C194,装備品!$1:$998,COLUMN(L$1),FALSE)+VLOOKUP($D194,素材!$1:$1016,COLUMN(I$1),FALSE))*100+IFERROR(VLOOKUP($CI194,付与!$1:$1167,COLUMN(P$1),FALSE),0),"")</f>
        <v/>
      </c>
      <c r="Q194" t="str">
        <f>IFERROR(ROUNDUP(VLOOKUP($C194,装備品!$1:$998,COLUMN(M$1),FALSE)*(VLOOKUP($D194,素材!$1:$1002,COLUMN(D$1),FALSE)/100),1),"")</f>
        <v/>
      </c>
      <c r="R194" t="str">
        <f>IFERROR(ROUNDUP(VLOOKUP($C194,装備品!$1:$998,COLUMN(N$1),FALSE)*(VLOOKUP($D194,素材!$1:$1002,COLUMN(D$1),FALSE)/100),1),"")</f>
        <v/>
      </c>
      <c r="S194">
        <f>IFERROR(VLOOKUP($C194,装備品!$1:$998,COLUMN(P$1),FALSE),"")</f>
        <v>0</v>
      </c>
      <c r="T194">
        <f>IFERROR(VLOOKUP($C194,装備品!$1:$998,COLUMN(Q$1),FALSE),"")</f>
        <v>0</v>
      </c>
      <c r="U194">
        <f>IFERROR(VLOOKUP($C194,装備品!$1:$998,COLUMN(R$1),FALSE),"")</f>
        <v>0</v>
      </c>
      <c r="V194">
        <f>IFERROR(VLOOKUP($C194,装備品!$1:$998,COLUMN(Q$1),FALSE),"")</f>
        <v>0</v>
      </c>
      <c r="W194">
        <f>IFERROR(VLOOKUP($C194,装備品!$1:$998,COLUMN(T$1),FALSE),"")</f>
        <v>0.15</v>
      </c>
      <c r="Y194">
        <f>IFERROR(VLOOKUP($C194,装備品!$1:$998,COLUMN(U$1),FALSE),"")</f>
        <v>0</v>
      </c>
      <c r="Z194" t="str">
        <f>IFERROR(ROUNDUP(VLOOKUP($C194,装備品!$1:$998,COLUMN(O$1),FALSE)*VLOOKUP($D194,素材!$1:$1016,COLUMN(E$1),FALSE),1),"")</f>
        <v/>
      </c>
      <c r="AA194">
        <f>IF(ISNUMBER(SEARCH(SUBSTITUTE(AA$1,RIGHT(AA$1,2),""),VLOOKUP($D194,素材!$1:$1016,COLUMN($F$1),FALSE))),VLOOKUP($C194,装備品!$1:$998,COLUMN($O$1),FALSE)*VLOOKUP($D194,素材!$1:$1016,COLUMN($E$1),FALSE)/(LEN(VLOOKUP($D194,素材!$1:$1016,COLUMN($F$1),FALSE))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B194">
        <f>IF(ISNUMBER(SEARCH(SUBSTITUTE(AB$1,RIGHT(AB$1,2),""),VLOOKUP($D194,素材!$1:$1016,COLUMN($F$1),FALSE))),VLOOKUP($C194,装備品!$1:$998,COLUMN($O$1),FALSE)*VLOOKUP($D194,素材!$1:$1016,COLUMN($E$1),FALSE)/(LEN(VLOOKUP($D194,素材!$1:$1016,COLUMN($F$1),FALSE))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C194">
        <f>IF(ISNUMBER(SEARCH(SUBSTITUTE(AC$1,RIGHT(AC$1,2),""),VLOOKUP($D194,素材!$1:$1016,COLUMN($F$1),FALSE))),VLOOKUP($C194,装備品!$1:$998,COLUMN($O$1),FALSE)*VLOOKUP($D194,素材!$1:$1016,COLUMN($E$1),FALSE)/(LEN(VLOOKUP($D194,素材!$1:$1016,COLUMN($F$1),FALSE))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D194">
        <f>IF(ISNUMBER(SEARCH(SUBSTITUTE(AD$1,RIGHT(AD$1,2),""),VLOOKUP($D194,素材!$1:$1016,COLUMN($F$1),FALSE))),VLOOKUP($C194,装備品!$1:$998,COLUMN($O$1),FALSE)*VLOOKUP($D194,素材!$1:$1016,COLUMN($E$1),FALSE)/(LEN(VLOOKUP($D194,素材!$1:$1016,COLUMN($F$1),FALSE))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E194">
        <f>IF(ISNUMBER(SEARCH(SUBSTITUTE(AE$1,RIGHT(AE$1,2),""),VLOOKUP($D194,素材!$1:$1016,COLUMN($F$1),FALSE))),VLOOKUP($C194,装備品!$1:$998,COLUMN($O$1),FALSE)*VLOOKUP($D194,素材!$1:$1016,COLUMN($E$1),FALSE)/(LEN(VLOOKUP($D194,素材!$1:$1016,COLUMN($F$1),FALSE))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F194">
        <f>IF(ISNUMBER(SEARCH(SUBSTITUTE(AF$1,RIGHT(AF$1,2),""),VLOOKUP($D194,素材!$1:$1016,COLUMN($F$1),FALSE))),VLOOKUP($C194,装備品!$1:$998,COLUMN($O$1),FALSE)*VLOOKUP($D194,素材!$1:$1016,COLUMN($E$1),FALSE)/(LEN(VLOOKUP($D194,素材!$1:$1016,COLUMN($F$1),FALSE))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G194">
        <f>IF(ISNUMBER(SEARCH(SUBSTITUTE(AG$1,RIGHT(AG$1,2),""),VLOOKUP($D194,素材!$1:$1016,COLUMN($F$1),FALSE))),VLOOKUP($C194,装備品!$1:$998,COLUMN($O$1),FALSE)*VLOOKUP($D194,素材!$1:$1016,COLUMN($E$1),FALSE)/(LEN(VLOOKUP($D194,素材!$1:$1016,COLUMN($F$1),FALSE))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H194">
        <f>IF(ISNUMBER(SEARCH(SUBSTITUTE(AH$1,RIGHT(AH$1,2),""),VLOOKUP($D194,素材!$1:$1016,COLUMN($F$1),FALSE))),VLOOKUP($C194,装備品!$1:$998,COLUMN($O$1),FALSE)*VLOOKUP($D194,素材!$1:$1016,COLUMN($E$1),FALSE)/(LEN(VLOOKUP($D194,素材!$1:$1016,COLUMN($F$1),FALSE))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I194">
        <f>IF(ISNUMBER(SEARCH(SUBSTITUTE(AI$1,RIGHT(AI$1,2),""),VLOOKUP($D194,素材!$1:$1016,COLUMN($F$1),FALSE))),VLOOKUP($C194,装備品!$1:$998,COLUMN($O$1),FALSE)*VLOOKUP($D194,素材!$1:$1016,COLUMN($E$1),FALSE)/(LEN(VLOOKUP($D194,素材!$1:$1016,COLUMN($F$1),FALSE))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J194">
        <f>IF(ISNUMBER(SEARCH(SUBSTITUTE(AJ$1,RIGHT(AJ$1,2),""),VLOOKUP($D194,素材!$1:$1016,COLUMN($F$1),FALSE))),VLOOKUP($C194,装備品!$1:$998,COLUMN($O$1),FALSE)*VLOOKUP($D194,素材!$1:$1016,COLUMN($E$1),FALSE)/(LEN(VLOOKUP($D194,素材!$1:$1016,COLUMN($F$1),FALSE))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K194">
        <f>IF(ISNUMBER(SEARCH(SUBSTITUTE(AK$1,RIGHT(AK$1,2),""),VLOOKUP($D194,素材!$1:$1016,COLUMN($F$1),FALSE))),VLOOKUP($C194,装備品!$1:$998,COLUMN($O$1),FALSE)*VLOOKUP($D194,素材!$1:$1016,COLUMN($E$1),FALSE)/(LEN(VLOOKUP($D194,素材!$1:$1016,COLUMN($F$1),FALSE))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L194">
        <f>IF(ISNUMBER(SEARCH(SUBSTITUTE(AL$1,RIGHT(AL$1,2),""),VLOOKUP($D194,素材!$1:$1016,COLUMN($F$1),FALSE))),VLOOKUP($C194,装備品!$1:$998,COLUMN($O$1),FALSE)*VLOOKUP($D194,素材!$1:$1016,COLUMN($E$1),FALSE)/(LEN(VLOOKUP($D194,素材!$1:$1016,COLUMN($F$1),FALSE))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M194">
        <f>IF(ISNUMBER(SEARCH(SUBSTITUTE(AM$1,RIGHT(AM$1,2),""),VLOOKUP($D194,素材!$1:$1016,COLUMN($F$1),FALSE))),VLOOKUP($C194,装備品!$1:$998,COLUMN($O$1),FALSE)*VLOOKUP($D194,素材!$1:$1016,COLUMN($E$1),FALSE)/(LEN(VLOOKUP($D194,素材!$1:$1016,COLUMN($F$1),FALSE))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N194">
        <f>IF(ISNUMBER(SEARCH(SUBSTITUTE(AN$1,RIGHT(AN$1,2),""),VLOOKUP($D194,素材!$1:$1016,COLUMN($F$1),FALSE))),VLOOKUP($C194,装備品!$1:$998,COLUMN($O$1),FALSE)*VLOOKUP($D194,素材!$1:$1016,COLUMN($E$1),FALSE)/(LEN(VLOOKUP($D194,素材!$1:$1016,COLUMN($F$1),FALSE))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O194">
        <f>IF(ISNUMBER(SEARCH(SUBSTITUTE(AO$1,RIGHT(AO$1,2),""),VLOOKUP($D194,素材!$1:$1016,COLUMN($F$1),FALSE))),VLOOKUP($C194,装備品!$1:$998,COLUMN($O$1),FALSE)*VLOOKUP($D194,素材!$1:$1016,COLUMN($E$1),FALSE)/(LEN(VLOOKUP($D194,素材!$1:$1016,COLUMN($F$1),FALSE))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P194">
        <f>IF(ISNUMBER(SEARCH(SUBSTITUTE(AP$1,RIGHT(AP$1,2),""),VLOOKUP($D194,素材!$1:$1016,COLUMN($F$1),FALSE))),VLOOKUP($C194,装備品!$1:$998,COLUMN($O$1),FALSE)*VLOOKUP($D194,素材!$1:$1016,COLUMN($E$1),FALSE)/(LEN(VLOOKUP($D194,素材!$1:$1016,COLUMN($F$1),FALSE))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Q194">
        <f>IF(ISNUMBER(SEARCH(SUBSTITUTE(AQ$1,RIGHT(AQ$1,2),""),VLOOKUP($D194,素材!$1:$1016,COLUMN($F$1),FALSE))),VLOOKUP($C194,装備品!$1:$998,COLUMN($O$1),FALSE)*VLOOKUP($D194,素材!$1:$1016,COLUMN($E$1),FALSE)/(LEN(VLOOKUP($D194,素材!$1:$1016,COLUMN($F$1),FALSE))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R194">
        <f>IF(ISNUMBER(SEARCH(SUBSTITUTE(AR$1,RIGHT(AR$1,2),""),VLOOKUP($D194,素材!$1:$1016,COLUMN($F$1),FALSE))),VLOOKUP($C194,装備品!$1:$998,COLUMN($O$1),FALSE)*VLOOKUP($D194,素材!$1:$1016,COLUMN($E$1),FALSE)/(LEN(VLOOKUP($D194,素材!$1:$1016,COLUMN($F$1),FALSE))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S194">
        <f>IF(ISNUMBER(SEARCH(SUBSTITUTE(AS$1,RIGHT(AS$1,2),""),VLOOKUP($D194,素材!$1:$1016,COLUMN($F$1),FALSE))),VLOOKUP($C194,装備品!$1:$998,COLUMN($O$1),FALSE)*VLOOKUP($D194,素材!$1:$1016,COLUMN($E$1),FALSE)/(LEN(VLOOKUP($D194,素材!$1:$1016,COLUMN($F$1),FALSE))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T194">
        <f>IF(ISNUMBER(SEARCH(SUBSTITUTE(AT$1,RIGHT(AT$1,2),""),VLOOKUP($D194,素材!$1:$1016,COLUMN($F$1),FALSE))),VLOOKUP($C194,装備品!$1:$998,COLUMN($O$1),FALSE)*VLOOKUP($D194,素材!$1:$1016,COLUMN($E$1),FALSE)/(LEN(VLOOKUP($D194,素材!$1:$1016,COLUMN($F$1),FALSE))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U194">
        <f>IF(ISNUMBER(SEARCH(SUBSTITUTE(AU$1,RIGHT(AU$1,2),""),VLOOKUP($D194,素材!$1:$1016,COLUMN($F$1),FALSE))),VLOOKUP($C194,装備品!$1:$998,COLUMN($O$1),FALSE)*VLOOKUP($D194,素材!$1:$1016,COLUMN($E$1),FALSE)/(LEN(VLOOKUP($D194,素材!$1:$1016,COLUMN($F$1),FALSE))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V194">
        <f>IF(ISNUMBER(SEARCH(SUBSTITUTE(AV$1,RIGHT(AV$1,2),""),VLOOKUP($D194,素材!$1:$1016,COLUMN($F$1),FALSE))),VLOOKUP($C194,装備品!$1:$998,COLUMN($O$1),FALSE)*VLOOKUP($D194,素材!$1:$1016,COLUMN($E$1),FALSE)/(LEN(VLOOKUP($D194,素材!$1:$1016,COLUMN($F$1),FALSE))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W194">
        <f>IF(ISNUMBER(SEARCH(SUBSTITUTE(AW$1,RIGHT(AW$1,2),""),VLOOKUP($D194,素材!$1:$1016,COLUMN($F$1),FALSE))),VLOOKUP($C194,装備品!$1:$998,COLUMN($O$1),FALSE)*VLOOKUP($D194,素材!$1:$1016,COLUMN($E$1),FALSE)/(LEN(VLOOKUP($D194,素材!$1:$1016,COLUMN($F$1),FALSE))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X194">
        <f>IF(ISNUMBER(SEARCH(SUBSTITUTE(AX$1,RIGHT(AX$1,2),""),VLOOKUP($D194,素材!$1:$1016,COLUMN($F$1),FALSE))),VLOOKUP($C194,装備品!$1:$998,COLUMN($O$1),FALSE)*VLOOKUP($D194,素材!$1:$1016,COLUMN($E$1),FALSE)/(LEN(VLOOKUP($D194,素材!$1:$1016,COLUMN($F$1),FALSE))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Y194">
        <f>IF(ISNUMBER(SEARCH(SUBSTITUTE(AY$1,RIGHT(AY$1,2),""),VLOOKUP($D194,素材!$1:$1016,COLUMN($F$1),FALSE))),VLOOKUP($C194,装備品!$1:$998,COLUMN($O$1),FALSE)*VLOOKUP($D194,素材!$1:$1016,COLUMN($E$1),FALSE)/(LEN(VLOOKUP($D194,素材!$1:$1016,COLUMN($F$1),FALSE))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Z194">
        <f>IF(ISNUMBER(SEARCH(SUBSTITUTE(AZ$1,RIGHT(AZ$1,2),""),VLOOKUP($D194,素材!$1:$1016,COLUMN($F$1),FALSE))),VLOOKUP($C194,装備品!$1:$998,COLUMN($O$1),FALSE)*VLOOKUP($D194,素材!$1:$1016,COLUMN($E$1),FALSE)/(LEN(VLOOKUP($D194,素材!$1:$1016,COLUMN($F$1),FALSE))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BA194">
        <f>IF(ISNUMBER(SEARCH(SUBSTITUTE(BA$1,RIGHT(BA$1,2),""),VLOOKUP($D194,素材!$1:$1016,COLUMN($F$1),FALSE))),VLOOKUP($C194,装備品!$1:$998,COLUMN($O$1),FALSE)*VLOOKUP($D194,素材!$1:$1016,COLUMN($E$1),FALSE)/(LEN(VLOOKUP($D194,素材!$1:$1016,COLUMN($F$1),FALSE))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BB194">
        <f>IF(ISNUMBER(SEARCH(SUBSTITUTE(BB$1,RIGHT(BB$1,2),""),VLOOKUP($D194,素材!$1:$1016,COLUMN($F$1),FALSE))),VLOOKUP($C194,装備品!$1:$998,COLUMN($O$1),FALSE)*VLOOKUP($D194,素材!$1:$1016,COLUMN($E$1),FALSE)/(LEN(VLOOKUP($D194,素材!$1:$1016,COLUMN($F$1),FALSE))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BC194">
        <f>IF(ISNUMBER(SEARCH(SUBSTITUTE(BC$1,RIGHT(BC$1,2),""),VLOOKUP($D194,素材!$1:$1016,COLUMN($F$1),FALSE))),VLOOKUP($C194,装備品!$1:$998,COLUMN($O$1),FALSE)*VLOOKUP($D194,素材!$1:$1016,COLUMN($E$1),FALSE)/(LEN(VLOOKUP($D194,素材!$1:$1016,COLUMN($F$1),FALSE))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BD194">
        <f>IF(ISNUMBER(SEARCH(SUBSTITUTE(BD$1,RIGHT(BD$1,2),""),VLOOKUP($D194,素材!$1:$1016,COLUMN($F$1),FALSE))),VLOOKUP($C194,装備品!$1:$998,COLUMN($O$1),FALSE)*VLOOKUP($D194,素材!$1:$1016,COLUMN($E$1),FALSE)/(LEN(VLOOKUP($D194,素材!$1:$1016,COLUMN($F$1),FALSE))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BE194">
        <f>IF(ISNUMBER(SEARCH(SUBSTITUTE(BE$1,RIGHT(BE$1,2),""),VLOOKUP($D194,素材!$1:$1016,COLUMN($F$1),FALSE))),VLOOKUP($C194,装備品!$1:$998,COLUMN($O$1),FALSE)*VLOOKUP($D194,素材!$1:$1016,COLUMN($E$1),FALSE)/(LEN(VLOOKUP($D194,素材!$1:$1016,COLUMN($F$1),FALSE))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CL194">
        <f t="shared" si="19"/>
        <v>0</v>
      </c>
      <c r="CM194" s="22" t="str">
        <f t="shared" si="20"/>
        <v>足.webp</v>
      </c>
      <c r="CN194" t="str">
        <f>IFERROR(VLOOKUP($C194,装備品!$1:$998,COLUMN(V$1),FALSE)*VLOOKUP($D194,素材!$1:$1016,COLUMN(N$1),FALSE)+IF(CI194="",0,VLOOKUP($CI194,付与!$1:$1176,COLUMN($CK$1),FALSE)),"")</f>
        <v/>
      </c>
      <c r="CO194" t="e">
        <f>VLOOKUP(D194,素材!$A:$O,COLUMN(素材!O$1),FALSE)</f>
        <v>#N/A</v>
      </c>
      <c r="CP194" t="str">
        <f>VLOOKUP(C194,装備品!$A:$AB,COLUMN(装備品!AB$1),FALSE)</f>
        <v>速度 隠密 軽業 体幹</v>
      </c>
      <c r="CR194" t="str">
        <f t="shared" si="24"/>
        <v>e_194</v>
      </c>
      <c r="CS194" t="e">
        <f t="shared" si="28"/>
        <v>#VALUE!</v>
      </c>
    </row>
    <row r="195" spans="1:97" outlineLevel="1" x14ac:dyDescent="0.4">
      <c r="A195" t="str">
        <f t="shared" si="34"/>
        <v>冷気鉄の短刀</v>
      </c>
      <c r="B195" t="str">
        <f>IFERROR(VLOOKUP($D195,素材!$1:$1016,COLUMN($B$1),FALSE)&amp;"・"&amp;VLOOKUP($C195,装備品!$1:$998,COLUMN(B$1),FALSE),"")</f>
        <v>ドゥララン・ナイフ</v>
      </c>
      <c r="C195" s="24" t="s">
        <v>241</v>
      </c>
      <c r="D195" s="24" t="s">
        <v>242</v>
      </c>
      <c r="E195" t="str">
        <f>IFERROR(VLOOKUP(C195,装備品!$1:$998,COLUMN(C$1),FALSE),"")</f>
        <v>武器</v>
      </c>
      <c r="F195">
        <f>IFERROR(ROUNDDOWN((VLOOKUP($C195,装備品!$1:$998,COLUMN(D$1),FALSE)+IFERROR(VLOOKUP($CI195,付与!$1:$1167,COLUMN(F$1),FALSE),0))*VLOOKUP($D195,素材!$1:$1016,COLUMN(D$1),FALSE),0),"")</f>
        <v>100</v>
      </c>
      <c r="G195">
        <f>IFERROR(ROUNDDOWN((VLOOKUP($C195,装備品!$1:$998,COLUMN(E$1),FALSE)+IFERROR(VLOOKUP($CI195,付与!$1:$1167,COLUMN(G$1),FALSE),0))*VLOOKUP($D195,素材!$1:$1016,COLUMN($E$1),FALSE),0),"")</f>
        <v>10</v>
      </c>
      <c r="H195">
        <f>IFERROR(ROUNDDOWN((VLOOKUP($C195,装備品!$1:$998,COLUMN(F$1),FALSE)+IFERROR(VLOOKUP($CI195,付与!$1:$1167,COLUMN(H$1),FALSE),0))*VLOOKUP($D195,素材!$1:$1016,COLUMN($E$1),FALSE),0),"")</f>
        <v>8</v>
      </c>
      <c r="I195">
        <f>IFERROR(ROUNDDOWN((VLOOKUP($C195,装備品!$1:$998,COLUMN(G$1),FALSE)+IFERROR(VLOOKUP($CI195,付与!$1:$1167,COLUMN(I$1),FALSE),0))*VLOOKUP($D195,素材!$1:$1016,COLUMN($E$1),FALSE),0),"")</f>
        <v>2</v>
      </c>
      <c r="J195">
        <f>IFERROR(ROUNDDOWN((VLOOKUP($C195,装備品!$1:$998,COLUMN(H$1),FALSE)+IFERROR(VLOOKUP($CI195,付与!$1:$1167,COLUMN(J$1),FALSE),0))*VLOOKUP($D195,素材!$1:$1016,COLUMN($E$1),FALSE),0),"")</f>
        <v>13</v>
      </c>
      <c r="K195">
        <f>IFERROR(ROUNDDOWN((VLOOKUP($C195,装備品!$1:$998,COLUMN(I$1),FALSE)+IFERROR(VLOOKUP($CI195,付与!$1:$1167,COLUMN(K$1),FALSE),0))*VLOOKUP($D195,素材!$1:$1016,COLUMN($E$1),FALSE),0),"")</f>
        <v>0</v>
      </c>
      <c r="L195" t="str">
        <f>IFERROR(VLOOKUP($D195,素材!$1:$1016,COLUMN($F$1),FALSE),"")</f>
        <v>氷</v>
      </c>
      <c r="M195">
        <f>IFERROR(VLOOKUP($C195,装備品!$1:$998,COLUMN(AA$1),FALSE)*VLOOKUP($D195,素材!$1:$1016,COLUMN($G$1),FALSE),"")</f>
        <v>35</v>
      </c>
      <c r="N195">
        <f>IFERROR(VLOOKUP($C195,装備品!$1:$998,COLUMN(I$1),FALSE),"")</f>
        <v>0</v>
      </c>
      <c r="O195" s="23">
        <f>IFERROR((VLOOKUP($C195,装備品!$1:$998,COLUMN(K$1),FALSE)+VLOOKUP($D195,素材!$1:$1016,COLUMN(H$1),FALSE))*100+IFERROR(VLOOKUP($CI195,付与!$1:$1167,COLUMN(O$1),FALSE),0),"")</f>
        <v>10</v>
      </c>
      <c r="P195" s="23">
        <f>IFERROR((VLOOKUP($C195,装備品!$1:$998,COLUMN(L$1),FALSE)+VLOOKUP($D195,素材!$1:$1016,COLUMN(I$1),FALSE))*100+IFERROR(VLOOKUP($CI195,付与!$1:$1167,COLUMN(P$1),FALSE),0),"")</f>
        <v>175</v>
      </c>
      <c r="Q195">
        <f>IFERROR(ROUNDUP(VLOOKUP($C195,装備品!$1:$998,COLUMN(M$1),FALSE)*(VLOOKUP($D195,素材!$1:$1002,COLUMN(D$1),FALSE)/100),1),"")</f>
        <v>0</v>
      </c>
      <c r="R195">
        <f>IFERROR(ROUNDUP(VLOOKUP($C195,装備品!$1:$998,COLUMN(N$1),FALSE)*(VLOOKUP($D195,素材!$1:$1002,COLUMN(D$1),FALSE)/100),1),"")</f>
        <v>0</v>
      </c>
      <c r="S195">
        <f>IFERROR(VLOOKUP($C195,装備品!$1:$998,COLUMN(P$1),FALSE),"")</f>
        <v>0</v>
      </c>
      <c r="T195">
        <f>IFERROR(VLOOKUP($C195,装備品!$1:$998,COLUMN(Q$1),FALSE),"")</f>
        <v>0</v>
      </c>
      <c r="U195">
        <f>IFERROR(VLOOKUP($C195,装備品!$1:$998,COLUMN(R$1),FALSE),"")</f>
        <v>0</v>
      </c>
      <c r="V195">
        <f>IFERROR(VLOOKUP($C195,装備品!$1:$998,COLUMN(Q$1),FALSE),"")</f>
        <v>0</v>
      </c>
      <c r="W195">
        <f>IFERROR(VLOOKUP($C195,装備品!$1:$998,COLUMN(T$1),FALSE),"")</f>
        <v>0</v>
      </c>
      <c r="Y195">
        <f>IFERROR(VLOOKUP($C195,装備品!$1:$998,COLUMN(U$1),FALSE),"")</f>
        <v>0</v>
      </c>
      <c r="Z195">
        <f>IFERROR(ROUNDUP(VLOOKUP($C195,装備品!$1:$998,COLUMN(O$1),FALSE)*VLOOKUP($D195,素材!$1:$1016,COLUMN(E$1),FALSE),1),"")</f>
        <v>0</v>
      </c>
      <c r="AA195">
        <f>IF(ISNUMBER(SEARCH(SUBSTITUTE(AA$1,RIGHT(AA$1,2),""),VLOOKUP($D195,素材!$1:$1016,COLUMN($F$1),FALSE))),VLOOKUP($C195,装備品!$1:$998,COLUMN($O$1),FALSE)*VLOOKUP($D195,素材!$1:$1016,COLUMN($E$1),FALSE)/(LEN(VLOOKUP($D195,素材!$1:$1016,COLUMN($F$1),FALSE))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B195">
        <f>IF(ISNUMBER(SEARCH(SUBSTITUTE(AB$1,RIGHT(AB$1,2),""),VLOOKUP($D195,素材!$1:$1016,COLUMN($F$1),FALSE))),VLOOKUP($C195,装備品!$1:$998,COLUMN($O$1),FALSE)*VLOOKUP($D195,素材!$1:$1016,COLUMN($E$1),FALSE)/(LEN(VLOOKUP($D195,素材!$1:$1016,COLUMN($F$1),FALSE))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C195">
        <f>IF(ISNUMBER(SEARCH(SUBSTITUTE(AC$1,RIGHT(AC$1,2),""),VLOOKUP($D195,素材!$1:$1016,COLUMN($F$1),FALSE))),VLOOKUP($C195,装備品!$1:$998,COLUMN($O$1),FALSE)*VLOOKUP($D195,素材!$1:$1016,COLUMN($E$1),FALSE)/(LEN(VLOOKUP($D195,素材!$1:$1016,COLUMN($F$1),FALSE))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D195">
        <f>IF(ISNUMBER(SEARCH(SUBSTITUTE(AD$1,RIGHT(AD$1,2),""),VLOOKUP($D195,素材!$1:$1016,COLUMN($F$1),FALSE))),VLOOKUP($C195,装備品!$1:$998,COLUMN($O$1),FALSE)*VLOOKUP($D195,素材!$1:$1016,COLUMN($E$1),FALSE)/(LEN(VLOOKUP($D195,素材!$1:$1016,COLUMN($F$1),FALSE))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E195">
        <f>IF(ISNUMBER(SEARCH(SUBSTITUTE(AE$1,RIGHT(AE$1,2),""),VLOOKUP($D195,素材!$1:$1016,COLUMN($F$1),FALSE))),VLOOKUP($C195,装備品!$1:$998,COLUMN($O$1),FALSE)*VLOOKUP($D195,素材!$1:$1016,COLUMN($E$1),FALSE)/(LEN(VLOOKUP($D195,素材!$1:$1016,COLUMN($F$1),FALSE))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F195">
        <f>IF(ISNUMBER(SEARCH(SUBSTITUTE(AF$1,RIGHT(AF$1,2),""),VLOOKUP($D195,素材!$1:$1016,COLUMN($F$1),FALSE))),VLOOKUP($C195,装備品!$1:$998,COLUMN($O$1),FALSE)*VLOOKUP($D195,素材!$1:$1016,COLUMN($E$1),FALSE)/(LEN(VLOOKUP($D195,素材!$1:$1016,COLUMN($F$1),FALSE))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G195">
        <f>IF(ISNUMBER(SEARCH(SUBSTITUTE(AG$1,RIGHT(AG$1,2),""),VLOOKUP($D195,素材!$1:$1016,COLUMN($F$1),FALSE))),VLOOKUP($C195,装備品!$1:$998,COLUMN($O$1),FALSE)*VLOOKUP($D195,素材!$1:$1016,COLUMN($E$1),FALSE)/(LEN(VLOOKUP($D195,素材!$1:$1016,COLUMN($F$1),FALSE))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H195">
        <f>IF(ISNUMBER(SEARCH(SUBSTITUTE(AH$1,RIGHT(AH$1,2),""),VLOOKUP($D195,素材!$1:$1016,COLUMN($F$1),FALSE))),VLOOKUP($C195,装備品!$1:$998,COLUMN($O$1),FALSE)*VLOOKUP($D195,素材!$1:$1016,COLUMN($E$1),FALSE)/(LEN(VLOOKUP($D195,素材!$1:$1016,COLUMN($F$1),FALSE))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I195">
        <f>IF(ISNUMBER(SEARCH(SUBSTITUTE(AI$1,RIGHT(AI$1,2),""),VLOOKUP($D195,素材!$1:$1016,COLUMN($F$1),FALSE))),VLOOKUP($C195,装備品!$1:$998,COLUMN($O$1),FALSE)*VLOOKUP($D195,素材!$1:$1016,COLUMN($E$1),FALSE)/(LEN(VLOOKUP($D195,素材!$1:$1016,COLUMN($F$1),FALSE))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J195">
        <f>IF(ISNUMBER(SEARCH(SUBSTITUTE(AJ$1,RIGHT(AJ$1,2),""),VLOOKUP($D195,素材!$1:$1016,COLUMN($F$1),FALSE))),VLOOKUP($C195,装備品!$1:$998,COLUMN($O$1),FALSE)*VLOOKUP($D195,素材!$1:$1016,COLUMN($E$1),FALSE)/(LEN(VLOOKUP($D195,素材!$1:$1016,COLUMN($F$1),FALSE))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K195">
        <f>IF(ISNUMBER(SEARCH(SUBSTITUTE(AK$1,RIGHT(AK$1,2),""),VLOOKUP($D195,素材!$1:$1016,COLUMN($F$1),FALSE))),VLOOKUP($C195,装備品!$1:$998,COLUMN($O$1),FALSE)*VLOOKUP($D195,素材!$1:$1016,COLUMN($E$1),FALSE)/(LEN(VLOOKUP($D195,素材!$1:$1016,COLUMN($F$1),FALSE))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L195">
        <f>IF(ISNUMBER(SEARCH(SUBSTITUTE(AL$1,RIGHT(AL$1,2),""),VLOOKUP($D195,素材!$1:$1016,COLUMN($F$1),FALSE))),VLOOKUP($C195,装備品!$1:$998,COLUMN($O$1),FALSE)*VLOOKUP($D195,素材!$1:$1016,COLUMN($E$1),FALSE)/(LEN(VLOOKUP($D195,素材!$1:$1016,COLUMN($F$1),FALSE))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M195">
        <f>IF(ISNUMBER(SEARCH(SUBSTITUTE(AM$1,RIGHT(AM$1,2),""),VLOOKUP($D195,素材!$1:$1016,COLUMN($F$1),FALSE))),VLOOKUP($C195,装備品!$1:$998,COLUMN($O$1),FALSE)*VLOOKUP($D195,素材!$1:$1016,COLUMN($E$1),FALSE)/(LEN(VLOOKUP($D195,素材!$1:$1016,COLUMN($F$1),FALSE))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N195">
        <f>IF(ISNUMBER(SEARCH(SUBSTITUTE(AN$1,RIGHT(AN$1,2),""),VLOOKUP($D195,素材!$1:$1016,COLUMN($F$1),FALSE))),VLOOKUP($C195,装備品!$1:$998,COLUMN($O$1),FALSE)*VLOOKUP($D195,素材!$1:$1016,COLUMN($E$1),FALSE)/(LEN(VLOOKUP($D195,素材!$1:$1016,COLUMN($F$1),FALSE))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O195">
        <f>IF(ISNUMBER(SEARCH(SUBSTITUTE(AO$1,RIGHT(AO$1,2),""),VLOOKUP($D195,素材!$1:$1016,COLUMN($F$1),FALSE))),VLOOKUP($C195,装備品!$1:$998,COLUMN($O$1),FALSE)*VLOOKUP($D195,素材!$1:$1016,COLUMN($E$1),FALSE)/(LEN(VLOOKUP($D195,素材!$1:$1016,COLUMN($F$1),FALSE))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P195">
        <f>IF(ISNUMBER(SEARCH(SUBSTITUTE(AP$1,RIGHT(AP$1,2),""),VLOOKUP($D195,素材!$1:$1016,COLUMN($F$1),FALSE))),VLOOKUP($C195,装備品!$1:$998,COLUMN($O$1),FALSE)*VLOOKUP($D195,素材!$1:$1016,COLUMN($E$1),FALSE)/(LEN(VLOOKUP($D195,素材!$1:$1016,COLUMN($F$1),FALSE))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Q195">
        <f>IF(ISNUMBER(SEARCH(SUBSTITUTE(AQ$1,RIGHT(AQ$1,2),""),VLOOKUP($D195,素材!$1:$1016,COLUMN($F$1),FALSE))),VLOOKUP($C195,装備品!$1:$998,COLUMN($O$1),FALSE)*VLOOKUP($D195,素材!$1:$1016,COLUMN($E$1),FALSE)/(LEN(VLOOKUP($D195,素材!$1:$1016,COLUMN($F$1),FALSE))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R195">
        <f>IF(ISNUMBER(SEARCH(SUBSTITUTE(AR$1,RIGHT(AR$1,2),""),VLOOKUP($D195,素材!$1:$1016,COLUMN($F$1),FALSE))),VLOOKUP($C195,装備品!$1:$998,COLUMN($O$1),FALSE)*VLOOKUP($D195,素材!$1:$1016,COLUMN($E$1),FALSE)/(LEN(VLOOKUP($D195,素材!$1:$1016,COLUMN($F$1),FALSE))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S195">
        <f>IF(ISNUMBER(SEARCH(SUBSTITUTE(AS$1,RIGHT(AS$1,2),""),VLOOKUP($D195,素材!$1:$1016,COLUMN($F$1),FALSE))),VLOOKUP($C195,装備品!$1:$998,COLUMN($O$1),FALSE)*VLOOKUP($D195,素材!$1:$1016,COLUMN($E$1),FALSE)/(LEN(VLOOKUP($D195,素材!$1:$1016,COLUMN($F$1),FALSE))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T195">
        <f>IF(ISNUMBER(SEARCH(SUBSTITUTE(AT$1,RIGHT(AT$1,2),""),VLOOKUP($D195,素材!$1:$1016,COLUMN($F$1),FALSE))),VLOOKUP($C195,装備品!$1:$998,COLUMN($O$1),FALSE)*VLOOKUP($D195,素材!$1:$1016,COLUMN($E$1),FALSE)/(LEN(VLOOKUP($D195,素材!$1:$1016,COLUMN($F$1),FALSE))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U195">
        <f>IF(ISNUMBER(SEARCH(SUBSTITUTE(AU$1,RIGHT(AU$1,2),""),VLOOKUP($D195,素材!$1:$1016,COLUMN($F$1),FALSE))),VLOOKUP($C195,装備品!$1:$998,COLUMN($O$1),FALSE)*VLOOKUP($D195,素材!$1:$1016,COLUMN($E$1),FALSE)/(LEN(VLOOKUP($D195,素材!$1:$1016,COLUMN($F$1),FALSE))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V195">
        <f>IF(ISNUMBER(SEARCH(SUBSTITUTE(AV$1,RIGHT(AV$1,2),""),VLOOKUP($D195,素材!$1:$1016,COLUMN($F$1),FALSE))),VLOOKUP($C195,装備品!$1:$998,COLUMN($O$1),FALSE)*VLOOKUP($D195,素材!$1:$1016,COLUMN($E$1),FALSE)/(LEN(VLOOKUP($D195,素材!$1:$1016,COLUMN($F$1),FALSE))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W195">
        <f>IF(ISNUMBER(SEARCH(SUBSTITUTE(AW$1,RIGHT(AW$1,2),""),VLOOKUP($D195,素材!$1:$1016,COLUMN($F$1),FALSE))),VLOOKUP($C195,装備品!$1:$998,COLUMN($O$1),FALSE)*VLOOKUP($D195,素材!$1:$1016,COLUMN($E$1),FALSE)/(LEN(VLOOKUP($D195,素材!$1:$1016,COLUMN($F$1),FALSE))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X195">
        <f>IF(ISNUMBER(SEARCH(SUBSTITUTE(AX$1,RIGHT(AX$1,2),""),VLOOKUP($D195,素材!$1:$1016,COLUMN($F$1),FALSE))),VLOOKUP($C195,装備品!$1:$998,COLUMN($O$1),FALSE)*VLOOKUP($D195,素材!$1:$1016,COLUMN($E$1),FALSE)/(LEN(VLOOKUP($D195,素材!$1:$1016,COLUMN($F$1),FALSE))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Y195">
        <f>IF(ISNUMBER(SEARCH(SUBSTITUTE(AY$1,RIGHT(AY$1,2),""),VLOOKUP($D195,素材!$1:$1016,COLUMN($F$1),FALSE))),VLOOKUP($C195,装備品!$1:$998,COLUMN($O$1),FALSE)*VLOOKUP($D195,素材!$1:$1016,COLUMN($E$1),FALSE)/(LEN(VLOOKUP($D195,素材!$1:$1016,COLUMN($F$1),FALSE))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Z195">
        <f>IF(ISNUMBER(SEARCH(SUBSTITUTE(AZ$1,RIGHT(AZ$1,2),""),VLOOKUP($D195,素材!$1:$1016,COLUMN($F$1),FALSE))),VLOOKUP($C195,装備品!$1:$998,COLUMN($O$1),FALSE)*VLOOKUP($D195,素材!$1:$1016,COLUMN($E$1),FALSE)/(LEN(VLOOKUP($D195,素材!$1:$1016,COLUMN($F$1),FALSE))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BA195">
        <f>IF(ISNUMBER(SEARCH(SUBSTITUTE(BA$1,RIGHT(BA$1,2),""),VLOOKUP($D195,素材!$1:$1016,COLUMN($F$1),FALSE))),VLOOKUP($C195,装備品!$1:$998,COLUMN($O$1),FALSE)*VLOOKUP($D195,素材!$1:$1016,COLUMN($E$1),FALSE)/(LEN(VLOOKUP($D195,素材!$1:$1016,COLUMN($F$1),FALSE))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BB195">
        <f>IF(ISNUMBER(SEARCH(SUBSTITUTE(BB$1,RIGHT(BB$1,2),""),VLOOKUP($D195,素材!$1:$1016,COLUMN($F$1),FALSE))),VLOOKUP($C195,装備品!$1:$998,COLUMN($O$1),FALSE)*VLOOKUP($D195,素材!$1:$1016,COLUMN($E$1),FALSE)/(LEN(VLOOKUP($D195,素材!$1:$1016,COLUMN($F$1),FALSE))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BC195">
        <f>IF(ISNUMBER(SEARCH(SUBSTITUTE(BC$1,RIGHT(BC$1,2),""),VLOOKUP($D195,素材!$1:$1016,COLUMN($F$1),FALSE))),VLOOKUP($C195,装備品!$1:$998,COLUMN($O$1),FALSE)*VLOOKUP($D195,素材!$1:$1016,COLUMN($E$1),FALSE)/(LEN(VLOOKUP($D195,素材!$1:$1016,COLUMN($F$1),FALSE))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BD195">
        <f>IF(ISNUMBER(SEARCH(SUBSTITUTE(BD$1,RIGHT(BD$1,2),""),VLOOKUP($D195,素材!$1:$1016,COLUMN($F$1),FALSE))),VLOOKUP($C195,装備品!$1:$998,COLUMN($O$1),FALSE)*VLOOKUP($D195,素材!$1:$1016,COLUMN($E$1),FALSE)/(LEN(VLOOKUP($D195,素材!$1:$1016,COLUMN($F$1),FALSE))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BE195">
        <f>IF(ISNUMBER(SEARCH(SUBSTITUTE(BE$1,RIGHT(BE$1,2),""),VLOOKUP($D195,素材!$1:$1016,COLUMN($F$1),FALSE))),VLOOKUP($C195,装備品!$1:$998,COLUMN($O$1),FALSE)*VLOOKUP($D195,素材!$1:$1016,COLUMN($E$1),FALSE)/(LEN(VLOOKUP($D195,素材!$1:$1016,COLUMN($F$1),FALSE))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CL195">
        <f t="shared" ref="CL195:CL258" si="35">SUM(G195:I195)</f>
        <v>20</v>
      </c>
      <c r="CM195" s="22" t="str">
        <f t="shared" ref="CM195:CM258" si="36">IF(E195="武器",IF(J195-1&gt;SUM(G195:I195),"盾",IF(MAX(G195:I195)=G195,"切断",IF(MAX(G195:I195)=H195,"貫通",IF(MAX(G195:I195)=I195,"打撃","射撃")))),E195)&amp;".webp"</f>
        <v>切断.webp</v>
      </c>
      <c r="CN195">
        <f>IFERROR(VLOOKUP($C195,装備品!$1:$998,COLUMN(V$1),FALSE)*VLOOKUP($D195,素材!$1:$1016,COLUMN(N$1),FALSE)+IF(CI195="",0,VLOOKUP($CI195,付与!$1:$1176,COLUMN($CK$1),FALSE)),"")</f>
        <v>0</v>
      </c>
      <c r="CO195">
        <f>VLOOKUP(D195,素材!$A:$O,COLUMN(素材!O$1),FALSE)</f>
        <v>0</v>
      </c>
      <c r="CP195" t="str">
        <f>VLOOKUP(C195,装備品!$A:$AB,COLUMN(装備品!AB$1),FALSE)</f>
        <v>短刀。暗殺向けの武器で、軽量かつ片手操作に適する。Cr威力が高い</v>
      </c>
      <c r="CR195" t="str">
        <f t="shared" si="24"/>
        <v>e_195</v>
      </c>
      <c r="CS195">
        <f t="shared" si="28"/>
        <v>0</v>
      </c>
    </row>
    <row r="196" spans="1:97" outlineLevel="1" x14ac:dyDescent="0.4">
      <c r="A196" t="str">
        <f t="shared" si="34"/>
        <v>冷気鉄の刀</v>
      </c>
      <c r="B196" t="str">
        <f>IFERROR(VLOOKUP($D196,素材!$1:$1016,COLUMN($B$1),FALSE)&amp;"・"&amp;VLOOKUP($C196,装備品!$1:$998,COLUMN(B$1),FALSE),"")</f>
        <v>ドゥララン・カタナ</v>
      </c>
      <c r="C196" s="24" t="s">
        <v>240</v>
      </c>
      <c r="D196" s="24" t="s">
        <v>242</v>
      </c>
      <c r="E196" t="str">
        <f>IFERROR(VLOOKUP(C196,装備品!$1:$998,COLUMN(C$1),FALSE),"")</f>
        <v>武器</v>
      </c>
      <c r="F196">
        <f>IFERROR(ROUNDDOWN((VLOOKUP($C196,装備品!$1:$998,COLUMN(D$1),FALSE)+IFERROR(VLOOKUP($CI196,付与!$1:$1167,COLUMN(F$1),FALSE),0))*VLOOKUP($D196,素材!$1:$1016,COLUMN(D$1),FALSE),0),"")</f>
        <v>105</v>
      </c>
      <c r="G196">
        <f>IFERROR(ROUNDDOWN((VLOOKUP($C196,装備品!$1:$998,COLUMN(E$1),FALSE)+IFERROR(VLOOKUP($CI196,付与!$1:$1167,COLUMN(G$1),FALSE),0))*VLOOKUP($D196,素材!$1:$1016,COLUMN($E$1),FALSE),0),"")</f>
        <v>14</v>
      </c>
      <c r="H196">
        <f>IFERROR(ROUNDDOWN((VLOOKUP($C196,装備品!$1:$998,COLUMN(F$1),FALSE)+IFERROR(VLOOKUP($CI196,付与!$1:$1167,COLUMN(H$1),FALSE),0))*VLOOKUP($D196,素材!$1:$1016,COLUMN($E$1),FALSE),0),"")</f>
        <v>8</v>
      </c>
      <c r="I196">
        <f>IFERROR(ROUNDDOWN((VLOOKUP($C196,装備品!$1:$998,COLUMN(G$1),FALSE)+IFERROR(VLOOKUP($CI196,付与!$1:$1167,COLUMN(I$1),FALSE),0))*VLOOKUP($D196,素材!$1:$1016,COLUMN($E$1),FALSE),0),"")</f>
        <v>2</v>
      </c>
      <c r="J196">
        <f>IFERROR(ROUNDDOWN((VLOOKUP($C196,装備品!$1:$998,COLUMN(H$1),FALSE)+IFERROR(VLOOKUP($CI196,付与!$1:$1167,COLUMN(J$1),FALSE),0))*VLOOKUP($D196,素材!$1:$1016,COLUMN($E$1),FALSE),0),"")</f>
        <v>17</v>
      </c>
      <c r="K196">
        <f>IFERROR(ROUNDDOWN((VLOOKUP($C196,装備品!$1:$998,COLUMN(I$1),FALSE)+IFERROR(VLOOKUP($CI196,付与!$1:$1167,COLUMN(K$1),FALSE),0))*VLOOKUP($D196,素材!$1:$1016,COLUMN($E$1),FALSE),0),"")</f>
        <v>0</v>
      </c>
      <c r="L196" t="str">
        <f>IFERROR(VLOOKUP($D196,素材!$1:$1016,COLUMN($F$1),FALSE),"")</f>
        <v>氷</v>
      </c>
      <c r="M196">
        <f>IFERROR(VLOOKUP($C196,装備品!$1:$998,COLUMN(AA$1),FALSE)*VLOOKUP($D196,素材!$1:$1016,COLUMN($G$1),FALSE),"")</f>
        <v>70</v>
      </c>
      <c r="N196">
        <f>IFERROR(VLOOKUP($C196,装備品!$1:$998,COLUMN(I$1),FALSE),"")</f>
        <v>0</v>
      </c>
      <c r="O196" s="23">
        <f>IFERROR((VLOOKUP($C196,装備品!$1:$998,COLUMN(K$1),FALSE)+VLOOKUP($D196,素材!$1:$1016,COLUMN(H$1),FALSE))*100+IFERROR(VLOOKUP($CI196,付与!$1:$1167,COLUMN(O$1),FALSE),0),"")</f>
        <v>10</v>
      </c>
      <c r="P196" s="23">
        <f>IFERROR((VLOOKUP($C196,装備品!$1:$998,COLUMN(L$1),FALSE)+VLOOKUP($D196,素材!$1:$1016,COLUMN(I$1),FALSE))*100+IFERROR(VLOOKUP($CI196,付与!$1:$1167,COLUMN(P$1),FALSE),0),"")</f>
        <v>175</v>
      </c>
      <c r="Q196">
        <f>IFERROR(ROUNDUP(VLOOKUP($C196,装備品!$1:$998,COLUMN(M$1),FALSE)*(VLOOKUP($D196,素材!$1:$1002,COLUMN(D$1),FALSE)/100),1),"")</f>
        <v>0</v>
      </c>
      <c r="R196">
        <f>IFERROR(ROUNDUP(VLOOKUP($C196,装備品!$1:$998,COLUMN(N$1),FALSE)*(VLOOKUP($D196,素材!$1:$1002,COLUMN(D$1),FALSE)/100),1),"")</f>
        <v>0</v>
      </c>
      <c r="S196">
        <f>IFERROR(VLOOKUP($C196,装備品!$1:$998,COLUMN(P$1),FALSE),"")</f>
        <v>0</v>
      </c>
      <c r="T196">
        <f>IFERROR(VLOOKUP($C196,装備品!$1:$998,COLUMN(Q$1),FALSE),"")</f>
        <v>0</v>
      </c>
      <c r="U196">
        <f>IFERROR(VLOOKUP($C196,装備品!$1:$998,COLUMN(R$1),FALSE),"")</f>
        <v>0</v>
      </c>
      <c r="V196">
        <f>IFERROR(VLOOKUP($C196,装備品!$1:$998,COLUMN(Q$1),FALSE),"")</f>
        <v>0</v>
      </c>
      <c r="W196">
        <f>IFERROR(VLOOKUP($C196,装備品!$1:$998,COLUMN(T$1),FALSE),"")</f>
        <v>0</v>
      </c>
      <c r="Y196">
        <f>IFERROR(VLOOKUP($C196,装備品!$1:$998,COLUMN(U$1),FALSE),"")</f>
        <v>0</v>
      </c>
      <c r="Z196">
        <f>IFERROR(ROUNDUP(VLOOKUP($C196,装備品!$1:$998,COLUMN(O$1),FALSE)*VLOOKUP($D196,素材!$1:$1016,COLUMN(E$1),FALSE),1),"")</f>
        <v>0</v>
      </c>
      <c r="AA196">
        <f>IF(ISNUMBER(SEARCH(SUBSTITUTE(AA$1,RIGHT(AA$1,2),""),VLOOKUP($D196,素材!$1:$1016,COLUMN($F$1),FALSE))),VLOOKUP($C196,装備品!$1:$998,COLUMN($O$1),FALSE)*VLOOKUP($D196,素材!$1:$1016,COLUMN($E$1),FALSE)/(LEN(VLOOKUP($D196,素材!$1:$1016,COLUMN($F$1),FALSE))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B196">
        <f>IF(ISNUMBER(SEARCH(SUBSTITUTE(AB$1,RIGHT(AB$1,2),""),VLOOKUP($D196,素材!$1:$1016,COLUMN($F$1),FALSE))),VLOOKUP($C196,装備品!$1:$998,COLUMN($O$1),FALSE)*VLOOKUP($D196,素材!$1:$1016,COLUMN($E$1),FALSE)/(LEN(VLOOKUP($D196,素材!$1:$1016,COLUMN($F$1),FALSE))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C196">
        <f>IF(ISNUMBER(SEARCH(SUBSTITUTE(AC$1,RIGHT(AC$1,2),""),VLOOKUP($D196,素材!$1:$1016,COLUMN($F$1),FALSE))),VLOOKUP($C196,装備品!$1:$998,COLUMN($O$1),FALSE)*VLOOKUP($D196,素材!$1:$1016,COLUMN($E$1),FALSE)/(LEN(VLOOKUP($D196,素材!$1:$1016,COLUMN($F$1),FALSE))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D196">
        <f>IF(ISNUMBER(SEARCH(SUBSTITUTE(AD$1,RIGHT(AD$1,2),""),VLOOKUP($D196,素材!$1:$1016,COLUMN($F$1),FALSE))),VLOOKUP($C196,装備品!$1:$998,COLUMN($O$1),FALSE)*VLOOKUP($D196,素材!$1:$1016,COLUMN($E$1),FALSE)/(LEN(VLOOKUP($D196,素材!$1:$1016,COLUMN($F$1),FALSE))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E196">
        <f>IF(ISNUMBER(SEARCH(SUBSTITUTE(AE$1,RIGHT(AE$1,2),""),VLOOKUP($D196,素材!$1:$1016,COLUMN($F$1),FALSE))),VLOOKUP($C196,装備品!$1:$998,COLUMN($O$1),FALSE)*VLOOKUP($D196,素材!$1:$1016,COLUMN($E$1),FALSE)/(LEN(VLOOKUP($D196,素材!$1:$1016,COLUMN($F$1),FALSE))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F196">
        <f>IF(ISNUMBER(SEARCH(SUBSTITUTE(AF$1,RIGHT(AF$1,2),""),VLOOKUP($D196,素材!$1:$1016,COLUMN($F$1),FALSE))),VLOOKUP($C196,装備品!$1:$998,COLUMN($O$1),FALSE)*VLOOKUP($D196,素材!$1:$1016,COLUMN($E$1),FALSE)/(LEN(VLOOKUP($D196,素材!$1:$1016,COLUMN($F$1),FALSE))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G196">
        <f>IF(ISNUMBER(SEARCH(SUBSTITUTE(AG$1,RIGHT(AG$1,2),""),VLOOKUP($D196,素材!$1:$1016,COLUMN($F$1),FALSE))),VLOOKUP($C196,装備品!$1:$998,COLUMN($O$1),FALSE)*VLOOKUP($D196,素材!$1:$1016,COLUMN($E$1),FALSE)/(LEN(VLOOKUP($D196,素材!$1:$1016,COLUMN($F$1),FALSE))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H196">
        <f>IF(ISNUMBER(SEARCH(SUBSTITUTE(AH$1,RIGHT(AH$1,2),""),VLOOKUP($D196,素材!$1:$1016,COLUMN($F$1),FALSE))),VLOOKUP($C196,装備品!$1:$998,COLUMN($O$1),FALSE)*VLOOKUP($D196,素材!$1:$1016,COLUMN($E$1),FALSE)/(LEN(VLOOKUP($D196,素材!$1:$1016,COLUMN($F$1),FALSE))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I196">
        <f>IF(ISNUMBER(SEARCH(SUBSTITUTE(AI$1,RIGHT(AI$1,2),""),VLOOKUP($D196,素材!$1:$1016,COLUMN($F$1),FALSE))),VLOOKUP($C196,装備品!$1:$998,COLUMN($O$1),FALSE)*VLOOKUP($D196,素材!$1:$1016,COLUMN($E$1),FALSE)/(LEN(VLOOKUP($D196,素材!$1:$1016,COLUMN($F$1),FALSE))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J196">
        <f>IF(ISNUMBER(SEARCH(SUBSTITUTE(AJ$1,RIGHT(AJ$1,2),""),VLOOKUP($D196,素材!$1:$1016,COLUMN($F$1),FALSE))),VLOOKUP($C196,装備品!$1:$998,COLUMN($O$1),FALSE)*VLOOKUP($D196,素材!$1:$1016,COLUMN($E$1),FALSE)/(LEN(VLOOKUP($D196,素材!$1:$1016,COLUMN($F$1),FALSE))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K196">
        <f>IF(ISNUMBER(SEARCH(SUBSTITUTE(AK$1,RIGHT(AK$1,2),""),VLOOKUP($D196,素材!$1:$1016,COLUMN($F$1),FALSE))),VLOOKUP($C196,装備品!$1:$998,COLUMN($O$1),FALSE)*VLOOKUP($D196,素材!$1:$1016,COLUMN($E$1),FALSE)/(LEN(VLOOKUP($D196,素材!$1:$1016,COLUMN($F$1),FALSE))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L196">
        <f>IF(ISNUMBER(SEARCH(SUBSTITUTE(AL$1,RIGHT(AL$1,2),""),VLOOKUP($D196,素材!$1:$1016,COLUMN($F$1),FALSE))),VLOOKUP($C196,装備品!$1:$998,COLUMN($O$1),FALSE)*VLOOKUP($D196,素材!$1:$1016,COLUMN($E$1),FALSE)/(LEN(VLOOKUP($D196,素材!$1:$1016,COLUMN($F$1),FALSE))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M196">
        <f>IF(ISNUMBER(SEARCH(SUBSTITUTE(AM$1,RIGHT(AM$1,2),""),VLOOKUP($D196,素材!$1:$1016,COLUMN($F$1),FALSE))),VLOOKUP($C196,装備品!$1:$998,COLUMN($O$1),FALSE)*VLOOKUP($D196,素材!$1:$1016,COLUMN($E$1),FALSE)/(LEN(VLOOKUP($D196,素材!$1:$1016,COLUMN($F$1),FALSE))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N196">
        <f>IF(ISNUMBER(SEARCH(SUBSTITUTE(AN$1,RIGHT(AN$1,2),""),VLOOKUP($D196,素材!$1:$1016,COLUMN($F$1),FALSE))),VLOOKUP($C196,装備品!$1:$998,COLUMN($O$1),FALSE)*VLOOKUP($D196,素材!$1:$1016,COLUMN($E$1),FALSE)/(LEN(VLOOKUP($D196,素材!$1:$1016,COLUMN($F$1),FALSE))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O196">
        <f>IF(ISNUMBER(SEARCH(SUBSTITUTE(AO$1,RIGHT(AO$1,2),""),VLOOKUP($D196,素材!$1:$1016,COLUMN($F$1),FALSE))),VLOOKUP($C196,装備品!$1:$998,COLUMN($O$1),FALSE)*VLOOKUP($D196,素材!$1:$1016,COLUMN($E$1),FALSE)/(LEN(VLOOKUP($D196,素材!$1:$1016,COLUMN($F$1),FALSE))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P196">
        <f>IF(ISNUMBER(SEARCH(SUBSTITUTE(AP$1,RIGHT(AP$1,2),""),VLOOKUP($D196,素材!$1:$1016,COLUMN($F$1),FALSE))),VLOOKUP($C196,装備品!$1:$998,COLUMN($O$1),FALSE)*VLOOKUP($D196,素材!$1:$1016,COLUMN($E$1),FALSE)/(LEN(VLOOKUP($D196,素材!$1:$1016,COLUMN($F$1),FALSE))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Q196">
        <f>IF(ISNUMBER(SEARCH(SUBSTITUTE(AQ$1,RIGHT(AQ$1,2),""),VLOOKUP($D196,素材!$1:$1016,COLUMN($F$1),FALSE))),VLOOKUP($C196,装備品!$1:$998,COLUMN($O$1),FALSE)*VLOOKUP($D196,素材!$1:$1016,COLUMN($E$1),FALSE)/(LEN(VLOOKUP($D196,素材!$1:$1016,COLUMN($F$1),FALSE))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R196">
        <f>IF(ISNUMBER(SEARCH(SUBSTITUTE(AR$1,RIGHT(AR$1,2),""),VLOOKUP($D196,素材!$1:$1016,COLUMN($F$1),FALSE))),VLOOKUP($C196,装備品!$1:$998,COLUMN($O$1),FALSE)*VLOOKUP($D196,素材!$1:$1016,COLUMN($E$1),FALSE)/(LEN(VLOOKUP($D196,素材!$1:$1016,COLUMN($F$1),FALSE))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S196">
        <f>IF(ISNUMBER(SEARCH(SUBSTITUTE(AS$1,RIGHT(AS$1,2),""),VLOOKUP($D196,素材!$1:$1016,COLUMN($F$1),FALSE))),VLOOKUP($C196,装備品!$1:$998,COLUMN($O$1),FALSE)*VLOOKUP($D196,素材!$1:$1016,COLUMN($E$1),FALSE)/(LEN(VLOOKUP($D196,素材!$1:$1016,COLUMN($F$1),FALSE))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T196">
        <f>IF(ISNUMBER(SEARCH(SUBSTITUTE(AT$1,RIGHT(AT$1,2),""),VLOOKUP($D196,素材!$1:$1016,COLUMN($F$1),FALSE))),VLOOKUP($C196,装備品!$1:$998,COLUMN($O$1),FALSE)*VLOOKUP($D196,素材!$1:$1016,COLUMN($E$1),FALSE)/(LEN(VLOOKUP($D196,素材!$1:$1016,COLUMN($F$1),FALSE))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U196">
        <f>IF(ISNUMBER(SEARCH(SUBSTITUTE(AU$1,RIGHT(AU$1,2),""),VLOOKUP($D196,素材!$1:$1016,COLUMN($F$1),FALSE))),VLOOKUP($C196,装備品!$1:$998,COLUMN($O$1),FALSE)*VLOOKUP($D196,素材!$1:$1016,COLUMN($E$1),FALSE)/(LEN(VLOOKUP($D196,素材!$1:$1016,COLUMN($F$1),FALSE))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V196">
        <f>IF(ISNUMBER(SEARCH(SUBSTITUTE(AV$1,RIGHT(AV$1,2),""),VLOOKUP($D196,素材!$1:$1016,COLUMN($F$1),FALSE))),VLOOKUP($C196,装備品!$1:$998,COLUMN($O$1),FALSE)*VLOOKUP($D196,素材!$1:$1016,COLUMN($E$1),FALSE)/(LEN(VLOOKUP($D196,素材!$1:$1016,COLUMN($F$1),FALSE))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W196">
        <f>IF(ISNUMBER(SEARCH(SUBSTITUTE(AW$1,RIGHT(AW$1,2),""),VLOOKUP($D196,素材!$1:$1016,COLUMN($F$1),FALSE))),VLOOKUP($C196,装備品!$1:$998,COLUMN($O$1),FALSE)*VLOOKUP($D196,素材!$1:$1016,COLUMN($E$1),FALSE)/(LEN(VLOOKUP($D196,素材!$1:$1016,COLUMN($F$1),FALSE))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X196">
        <f>IF(ISNUMBER(SEARCH(SUBSTITUTE(AX$1,RIGHT(AX$1,2),""),VLOOKUP($D196,素材!$1:$1016,COLUMN($F$1),FALSE))),VLOOKUP($C196,装備品!$1:$998,COLUMN($O$1),FALSE)*VLOOKUP($D196,素材!$1:$1016,COLUMN($E$1),FALSE)/(LEN(VLOOKUP($D196,素材!$1:$1016,COLUMN($F$1),FALSE))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Y196">
        <f>IF(ISNUMBER(SEARCH(SUBSTITUTE(AY$1,RIGHT(AY$1,2),""),VLOOKUP($D196,素材!$1:$1016,COLUMN($F$1),FALSE))),VLOOKUP($C196,装備品!$1:$998,COLUMN($O$1),FALSE)*VLOOKUP($D196,素材!$1:$1016,COLUMN($E$1),FALSE)/(LEN(VLOOKUP($D196,素材!$1:$1016,COLUMN($F$1),FALSE))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Z196">
        <f>IF(ISNUMBER(SEARCH(SUBSTITUTE(AZ$1,RIGHT(AZ$1,2),""),VLOOKUP($D196,素材!$1:$1016,COLUMN($F$1),FALSE))),VLOOKUP($C196,装備品!$1:$998,COLUMN($O$1),FALSE)*VLOOKUP($D196,素材!$1:$1016,COLUMN($E$1),FALSE)/(LEN(VLOOKUP($D196,素材!$1:$1016,COLUMN($F$1),FALSE))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BA196">
        <f>IF(ISNUMBER(SEARCH(SUBSTITUTE(BA$1,RIGHT(BA$1,2),""),VLOOKUP($D196,素材!$1:$1016,COLUMN($F$1),FALSE))),VLOOKUP($C196,装備品!$1:$998,COLUMN($O$1),FALSE)*VLOOKUP($D196,素材!$1:$1016,COLUMN($E$1),FALSE)/(LEN(VLOOKUP($D196,素材!$1:$1016,COLUMN($F$1),FALSE))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BB196">
        <f>IF(ISNUMBER(SEARCH(SUBSTITUTE(BB$1,RIGHT(BB$1,2),""),VLOOKUP($D196,素材!$1:$1016,COLUMN($F$1),FALSE))),VLOOKUP($C196,装備品!$1:$998,COLUMN($O$1),FALSE)*VLOOKUP($D196,素材!$1:$1016,COLUMN($E$1),FALSE)/(LEN(VLOOKUP($D196,素材!$1:$1016,COLUMN($F$1),FALSE))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BC196">
        <f>IF(ISNUMBER(SEARCH(SUBSTITUTE(BC$1,RIGHT(BC$1,2),""),VLOOKUP($D196,素材!$1:$1016,COLUMN($F$1),FALSE))),VLOOKUP($C196,装備品!$1:$998,COLUMN($O$1),FALSE)*VLOOKUP($D196,素材!$1:$1016,COLUMN($E$1),FALSE)/(LEN(VLOOKUP($D196,素材!$1:$1016,COLUMN($F$1),FALSE))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BD196">
        <f>IF(ISNUMBER(SEARCH(SUBSTITUTE(BD$1,RIGHT(BD$1,2),""),VLOOKUP($D196,素材!$1:$1016,COLUMN($F$1),FALSE))),VLOOKUP($C196,装備品!$1:$998,COLUMN($O$1),FALSE)*VLOOKUP($D196,素材!$1:$1016,COLUMN($E$1),FALSE)/(LEN(VLOOKUP($D196,素材!$1:$1016,COLUMN($F$1),FALSE))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BE196">
        <f>IF(ISNUMBER(SEARCH(SUBSTITUTE(BE$1,RIGHT(BE$1,2),""),VLOOKUP($D196,素材!$1:$1016,COLUMN($F$1),FALSE))),VLOOKUP($C196,装備品!$1:$998,COLUMN($O$1),FALSE)*VLOOKUP($D196,素材!$1:$1016,COLUMN($E$1),FALSE)/(LEN(VLOOKUP($D196,素材!$1:$1016,COLUMN($F$1),FALSE))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CL196">
        <f t="shared" si="35"/>
        <v>24</v>
      </c>
      <c r="CM196" s="22" t="str">
        <f t="shared" si="36"/>
        <v>切断.webp</v>
      </c>
      <c r="CN196">
        <f>IFERROR(VLOOKUP($C196,装備品!$1:$998,COLUMN(V$1),FALSE)*VLOOKUP($D196,素材!$1:$1016,COLUMN(N$1),FALSE)+IF(CI196="",0,VLOOKUP($CI196,付与!$1:$1176,COLUMN($CK$1),FALSE)),"")</f>
        <v>0</v>
      </c>
      <c r="CO196">
        <f>VLOOKUP(D196,素材!$A:$O,COLUMN(素材!O$1),FALSE)</f>
        <v>0</v>
      </c>
      <c r="CP196" t="str">
        <f>VLOOKUP(C196,装備品!$A:$AB,COLUMN(装備品!AB$1),FALSE)</f>
        <v>刀。切断力に優れた武器で、Cr威力が高い</v>
      </c>
      <c r="CR196" t="str">
        <f t="shared" si="24"/>
        <v>e_196</v>
      </c>
      <c r="CS196">
        <f t="shared" si="28"/>
        <v>0</v>
      </c>
    </row>
    <row r="197" spans="1:97" outlineLevel="1" x14ac:dyDescent="0.4">
      <c r="A197" t="str">
        <f t="shared" si="34"/>
        <v>冷気鉄の剣</v>
      </c>
      <c r="B197" t="str">
        <f>IFERROR(VLOOKUP($D197,素材!$1:$1016,COLUMN($B$1),FALSE)&amp;"・"&amp;VLOOKUP($C197,装備品!$1:$998,COLUMN(B$1),FALSE),"")</f>
        <v>ドゥララン・ソード</v>
      </c>
      <c r="C197" s="24" t="s">
        <v>239</v>
      </c>
      <c r="D197" s="24" t="s">
        <v>242</v>
      </c>
      <c r="E197" t="str">
        <f>IFERROR(VLOOKUP(C197,装備品!$1:$998,COLUMN(C$1),FALSE),"")</f>
        <v>武器</v>
      </c>
      <c r="F197">
        <f>IFERROR(ROUNDDOWN((VLOOKUP($C197,装備品!$1:$998,COLUMN(D$1),FALSE)+IFERROR(VLOOKUP($CI197,付与!$1:$1167,COLUMN(F$1),FALSE),0))*VLOOKUP($D197,素材!$1:$1016,COLUMN(D$1),FALSE),0),"")</f>
        <v>100</v>
      </c>
      <c r="G197">
        <f>IFERROR(ROUNDDOWN((VLOOKUP($C197,装備品!$1:$998,COLUMN(E$1),FALSE)+IFERROR(VLOOKUP($CI197,付与!$1:$1167,COLUMN(G$1),FALSE),0))*VLOOKUP($D197,素材!$1:$1016,COLUMN($E$1),FALSE),0),"")</f>
        <v>12</v>
      </c>
      <c r="H197">
        <f>IFERROR(ROUNDDOWN((VLOOKUP($C197,装備品!$1:$998,COLUMN(F$1),FALSE)+IFERROR(VLOOKUP($CI197,付与!$1:$1167,COLUMN(H$1),FALSE),0))*VLOOKUP($D197,素材!$1:$1016,COLUMN($E$1),FALSE),0),"")</f>
        <v>9</v>
      </c>
      <c r="I197">
        <f>IFERROR(ROUNDDOWN((VLOOKUP($C197,装備品!$1:$998,COLUMN(G$1),FALSE)+IFERROR(VLOOKUP($CI197,付与!$1:$1167,COLUMN(I$1),FALSE),0))*VLOOKUP($D197,素材!$1:$1016,COLUMN($E$1),FALSE),0),"")</f>
        <v>3</v>
      </c>
      <c r="J197">
        <f>IFERROR(ROUNDDOWN((VLOOKUP($C197,装備品!$1:$998,COLUMN(H$1),FALSE)+IFERROR(VLOOKUP($CI197,付与!$1:$1167,COLUMN(J$1),FALSE),0))*VLOOKUP($D197,素材!$1:$1016,COLUMN($E$1),FALSE),0),"")</f>
        <v>19</v>
      </c>
      <c r="K197">
        <f>IFERROR(ROUNDDOWN((VLOOKUP($C197,装備品!$1:$998,COLUMN(I$1),FALSE)+IFERROR(VLOOKUP($CI197,付与!$1:$1167,COLUMN(K$1),FALSE),0))*VLOOKUP($D197,素材!$1:$1016,COLUMN($E$1),FALSE),0),"")</f>
        <v>0</v>
      </c>
      <c r="L197" t="str">
        <f>IFERROR(VLOOKUP($D197,素材!$1:$1016,COLUMN($F$1),FALSE),"")</f>
        <v>氷</v>
      </c>
      <c r="M197">
        <f>IFERROR(VLOOKUP($C197,装備品!$1:$998,COLUMN(AA$1),FALSE)*VLOOKUP($D197,素材!$1:$1016,COLUMN($G$1),FALSE),"")</f>
        <v>52.5</v>
      </c>
      <c r="N197">
        <f>IFERROR(VLOOKUP($C197,装備品!$1:$998,COLUMN(I$1),FALSE),"")</f>
        <v>0</v>
      </c>
      <c r="O197" s="23">
        <f>IFERROR((VLOOKUP($C197,装備品!$1:$998,COLUMN(K$1),FALSE)+VLOOKUP($D197,素材!$1:$1016,COLUMN(H$1),FALSE))*100+IFERROR(VLOOKUP($CI197,付与!$1:$1167,COLUMN(O$1),FALSE),0),"")</f>
        <v>10</v>
      </c>
      <c r="P197" s="23">
        <f>IFERROR((VLOOKUP($C197,装備品!$1:$998,COLUMN(L$1),FALSE)+VLOOKUP($D197,素材!$1:$1016,COLUMN(I$1),FALSE))*100+IFERROR(VLOOKUP($CI197,付与!$1:$1167,COLUMN(P$1),FALSE),0),"")</f>
        <v>150</v>
      </c>
      <c r="Q197">
        <f>IFERROR(ROUNDUP(VLOOKUP($C197,装備品!$1:$998,COLUMN(M$1),FALSE)*(VLOOKUP($D197,素材!$1:$1002,COLUMN(D$1),FALSE)/100),1),"")</f>
        <v>0</v>
      </c>
      <c r="R197">
        <f>IFERROR(ROUNDUP(VLOOKUP($C197,装備品!$1:$998,COLUMN(N$1),FALSE)*(VLOOKUP($D197,素材!$1:$1002,COLUMN(D$1),FALSE)/100),1),"")</f>
        <v>0</v>
      </c>
      <c r="S197">
        <f>IFERROR(VLOOKUP($C197,装備品!$1:$998,COLUMN(P$1),FALSE),"")</f>
        <v>0</v>
      </c>
      <c r="T197">
        <f>IFERROR(VLOOKUP($C197,装備品!$1:$998,COLUMN(Q$1),FALSE),"")</f>
        <v>0</v>
      </c>
      <c r="U197">
        <f>IFERROR(VLOOKUP($C197,装備品!$1:$998,COLUMN(R$1),FALSE),"")</f>
        <v>0</v>
      </c>
      <c r="V197">
        <f>IFERROR(VLOOKUP($C197,装備品!$1:$998,COLUMN(Q$1),FALSE),"")</f>
        <v>0</v>
      </c>
      <c r="W197">
        <f>IFERROR(VLOOKUP($C197,装備品!$1:$998,COLUMN(T$1),FALSE),"")</f>
        <v>0</v>
      </c>
      <c r="Y197">
        <f>IFERROR(VLOOKUP($C197,装備品!$1:$998,COLUMN(U$1),FALSE),"")</f>
        <v>0</v>
      </c>
      <c r="Z197">
        <f>IFERROR(ROUNDUP(VLOOKUP($C197,装備品!$1:$998,COLUMN(O$1),FALSE)*VLOOKUP($D197,素材!$1:$1016,COLUMN(E$1),FALSE),1),"")</f>
        <v>0</v>
      </c>
      <c r="AA197">
        <f>IF(ISNUMBER(SEARCH(SUBSTITUTE(AA$1,RIGHT(AA$1,2),""),VLOOKUP($D197,素材!$1:$1016,COLUMN($F$1),FALSE))),VLOOKUP($C197,装備品!$1:$998,COLUMN($O$1),FALSE)*VLOOKUP($D197,素材!$1:$1016,COLUMN($E$1),FALSE)/(LEN(VLOOKUP($D197,素材!$1:$1016,COLUMN($F$1),FALSE))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B197">
        <f>IF(ISNUMBER(SEARCH(SUBSTITUTE(AB$1,RIGHT(AB$1,2),""),VLOOKUP($D197,素材!$1:$1016,COLUMN($F$1),FALSE))),VLOOKUP($C197,装備品!$1:$998,COLUMN($O$1),FALSE)*VLOOKUP($D197,素材!$1:$1016,COLUMN($E$1),FALSE)/(LEN(VLOOKUP($D197,素材!$1:$1016,COLUMN($F$1),FALSE))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C197">
        <f>IF(ISNUMBER(SEARCH(SUBSTITUTE(AC$1,RIGHT(AC$1,2),""),VLOOKUP($D197,素材!$1:$1016,COLUMN($F$1),FALSE))),VLOOKUP($C197,装備品!$1:$998,COLUMN($O$1),FALSE)*VLOOKUP($D197,素材!$1:$1016,COLUMN($E$1),FALSE)/(LEN(VLOOKUP($D197,素材!$1:$1016,COLUMN($F$1),FALSE))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D197">
        <f>IF(ISNUMBER(SEARCH(SUBSTITUTE(AD$1,RIGHT(AD$1,2),""),VLOOKUP($D197,素材!$1:$1016,COLUMN($F$1),FALSE))),VLOOKUP($C197,装備品!$1:$998,COLUMN($O$1),FALSE)*VLOOKUP($D197,素材!$1:$1016,COLUMN($E$1),FALSE)/(LEN(VLOOKUP($D197,素材!$1:$1016,COLUMN($F$1),FALSE))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E197">
        <f>IF(ISNUMBER(SEARCH(SUBSTITUTE(AE$1,RIGHT(AE$1,2),""),VLOOKUP($D197,素材!$1:$1016,COLUMN($F$1),FALSE))),VLOOKUP($C197,装備品!$1:$998,COLUMN($O$1),FALSE)*VLOOKUP($D197,素材!$1:$1016,COLUMN($E$1),FALSE)/(LEN(VLOOKUP($D197,素材!$1:$1016,COLUMN($F$1),FALSE))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F197">
        <f>IF(ISNUMBER(SEARCH(SUBSTITUTE(AF$1,RIGHT(AF$1,2),""),VLOOKUP($D197,素材!$1:$1016,COLUMN($F$1),FALSE))),VLOOKUP($C197,装備品!$1:$998,COLUMN($O$1),FALSE)*VLOOKUP($D197,素材!$1:$1016,COLUMN($E$1),FALSE)/(LEN(VLOOKUP($D197,素材!$1:$1016,COLUMN($F$1),FALSE))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G197">
        <f>IF(ISNUMBER(SEARCH(SUBSTITUTE(AG$1,RIGHT(AG$1,2),""),VLOOKUP($D197,素材!$1:$1016,COLUMN($F$1),FALSE))),VLOOKUP($C197,装備品!$1:$998,COLUMN($O$1),FALSE)*VLOOKUP($D197,素材!$1:$1016,COLUMN($E$1),FALSE)/(LEN(VLOOKUP($D197,素材!$1:$1016,COLUMN($F$1),FALSE))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H197">
        <f>IF(ISNUMBER(SEARCH(SUBSTITUTE(AH$1,RIGHT(AH$1,2),""),VLOOKUP($D197,素材!$1:$1016,COLUMN($F$1),FALSE))),VLOOKUP($C197,装備品!$1:$998,COLUMN($O$1),FALSE)*VLOOKUP($D197,素材!$1:$1016,COLUMN($E$1),FALSE)/(LEN(VLOOKUP($D197,素材!$1:$1016,COLUMN($F$1),FALSE))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I197">
        <f>IF(ISNUMBER(SEARCH(SUBSTITUTE(AI$1,RIGHT(AI$1,2),""),VLOOKUP($D197,素材!$1:$1016,COLUMN($F$1),FALSE))),VLOOKUP($C197,装備品!$1:$998,COLUMN($O$1),FALSE)*VLOOKUP($D197,素材!$1:$1016,COLUMN($E$1),FALSE)/(LEN(VLOOKUP($D197,素材!$1:$1016,COLUMN($F$1),FALSE))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J197">
        <f>IF(ISNUMBER(SEARCH(SUBSTITUTE(AJ$1,RIGHT(AJ$1,2),""),VLOOKUP($D197,素材!$1:$1016,COLUMN($F$1),FALSE))),VLOOKUP($C197,装備品!$1:$998,COLUMN($O$1),FALSE)*VLOOKUP($D197,素材!$1:$1016,COLUMN($E$1),FALSE)/(LEN(VLOOKUP($D197,素材!$1:$1016,COLUMN($F$1),FALSE))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K197">
        <f>IF(ISNUMBER(SEARCH(SUBSTITUTE(AK$1,RIGHT(AK$1,2),""),VLOOKUP($D197,素材!$1:$1016,COLUMN($F$1),FALSE))),VLOOKUP($C197,装備品!$1:$998,COLUMN($O$1),FALSE)*VLOOKUP($D197,素材!$1:$1016,COLUMN($E$1),FALSE)/(LEN(VLOOKUP($D197,素材!$1:$1016,COLUMN($F$1),FALSE))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L197">
        <f>IF(ISNUMBER(SEARCH(SUBSTITUTE(AL$1,RIGHT(AL$1,2),""),VLOOKUP($D197,素材!$1:$1016,COLUMN($F$1),FALSE))),VLOOKUP($C197,装備品!$1:$998,COLUMN($O$1),FALSE)*VLOOKUP($D197,素材!$1:$1016,COLUMN($E$1),FALSE)/(LEN(VLOOKUP($D197,素材!$1:$1016,COLUMN($F$1),FALSE))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M197">
        <f>IF(ISNUMBER(SEARCH(SUBSTITUTE(AM$1,RIGHT(AM$1,2),""),VLOOKUP($D197,素材!$1:$1016,COLUMN($F$1),FALSE))),VLOOKUP($C197,装備品!$1:$998,COLUMN($O$1),FALSE)*VLOOKUP($D197,素材!$1:$1016,COLUMN($E$1),FALSE)/(LEN(VLOOKUP($D197,素材!$1:$1016,COLUMN($F$1),FALSE))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N197">
        <f>IF(ISNUMBER(SEARCH(SUBSTITUTE(AN$1,RIGHT(AN$1,2),""),VLOOKUP($D197,素材!$1:$1016,COLUMN($F$1),FALSE))),VLOOKUP($C197,装備品!$1:$998,COLUMN($O$1),FALSE)*VLOOKUP($D197,素材!$1:$1016,COLUMN($E$1),FALSE)/(LEN(VLOOKUP($D197,素材!$1:$1016,COLUMN($F$1),FALSE))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O197">
        <f>IF(ISNUMBER(SEARCH(SUBSTITUTE(AO$1,RIGHT(AO$1,2),""),VLOOKUP($D197,素材!$1:$1016,COLUMN($F$1),FALSE))),VLOOKUP($C197,装備品!$1:$998,COLUMN($O$1),FALSE)*VLOOKUP($D197,素材!$1:$1016,COLUMN($E$1),FALSE)/(LEN(VLOOKUP($D197,素材!$1:$1016,COLUMN($F$1),FALSE))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P197">
        <f>IF(ISNUMBER(SEARCH(SUBSTITUTE(AP$1,RIGHT(AP$1,2),""),VLOOKUP($D197,素材!$1:$1016,COLUMN($F$1),FALSE))),VLOOKUP($C197,装備品!$1:$998,COLUMN($O$1),FALSE)*VLOOKUP($D197,素材!$1:$1016,COLUMN($E$1),FALSE)/(LEN(VLOOKUP($D197,素材!$1:$1016,COLUMN($F$1),FALSE))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Q197">
        <f>IF(ISNUMBER(SEARCH(SUBSTITUTE(AQ$1,RIGHT(AQ$1,2),""),VLOOKUP($D197,素材!$1:$1016,COLUMN($F$1),FALSE))),VLOOKUP($C197,装備品!$1:$998,COLUMN($O$1),FALSE)*VLOOKUP($D197,素材!$1:$1016,COLUMN($E$1),FALSE)/(LEN(VLOOKUP($D197,素材!$1:$1016,COLUMN($F$1),FALSE))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R197">
        <f>IF(ISNUMBER(SEARCH(SUBSTITUTE(AR$1,RIGHT(AR$1,2),""),VLOOKUP($D197,素材!$1:$1016,COLUMN($F$1),FALSE))),VLOOKUP($C197,装備品!$1:$998,COLUMN($O$1),FALSE)*VLOOKUP($D197,素材!$1:$1016,COLUMN($E$1),FALSE)/(LEN(VLOOKUP($D197,素材!$1:$1016,COLUMN($F$1),FALSE))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S197">
        <f>IF(ISNUMBER(SEARCH(SUBSTITUTE(AS$1,RIGHT(AS$1,2),""),VLOOKUP($D197,素材!$1:$1016,COLUMN($F$1),FALSE))),VLOOKUP($C197,装備品!$1:$998,COLUMN($O$1),FALSE)*VLOOKUP($D197,素材!$1:$1016,COLUMN($E$1),FALSE)/(LEN(VLOOKUP($D197,素材!$1:$1016,COLUMN($F$1),FALSE))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T197">
        <f>IF(ISNUMBER(SEARCH(SUBSTITUTE(AT$1,RIGHT(AT$1,2),""),VLOOKUP($D197,素材!$1:$1016,COLUMN($F$1),FALSE))),VLOOKUP($C197,装備品!$1:$998,COLUMN($O$1),FALSE)*VLOOKUP($D197,素材!$1:$1016,COLUMN($E$1),FALSE)/(LEN(VLOOKUP($D197,素材!$1:$1016,COLUMN($F$1),FALSE))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U197">
        <f>IF(ISNUMBER(SEARCH(SUBSTITUTE(AU$1,RIGHT(AU$1,2),""),VLOOKUP($D197,素材!$1:$1016,COLUMN($F$1),FALSE))),VLOOKUP($C197,装備品!$1:$998,COLUMN($O$1),FALSE)*VLOOKUP($D197,素材!$1:$1016,COLUMN($E$1),FALSE)/(LEN(VLOOKUP($D197,素材!$1:$1016,COLUMN($F$1),FALSE))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V197">
        <f>IF(ISNUMBER(SEARCH(SUBSTITUTE(AV$1,RIGHT(AV$1,2),""),VLOOKUP($D197,素材!$1:$1016,COLUMN($F$1),FALSE))),VLOOKUP($C197,装備品!$1:$998,COLUMN($O$1),FALSE)*VLOOKUP($D197,素材!$1:$1016,COLUMN($E$1),FALSE)/(LEN(VLOOKUP($D197,素材!$1:$1016,COLUMN($F$1),FALSE))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W197">
        <f>IF(ISNUMBER(SEARCH(SUBSTITUTE(AW$1,RIGHT(AW$1,2),""),VLOOKUP($D197,素材!$1:$1016,COLUMN($F$1),FALSE))),VLOOKUP($C197,装備品!$1:$998,COLUMN($O$1),FALSE)*VLOOKUP($D197,素材!$1:$1016,COLUMN($E$1),FALSE)/(LEN(VLOOKUP($D197,素材!$1:$1016,COLUMN($F$1),FALSE))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X197">
        <f>IF(ISNUMBER(SEARCH(SUBSTITUTE(AX$1,RIGHT(AX$1,2),""),VLOOKUP($D197,素材!$1:$1016,COLUMN($F$1),FALSE))),VLOOKUP($C197,装備品!$1:$998,COLUMN($O$1),FALSE)*VLOOKUP($D197,素材!$1:$1016,COLUMN($E$1),FALSE)/(LEN(VLOOKUP($D197,素材!$1:$1016,COLUMN($F$1),FALSE))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Y197">
        <f>IF(ISNUMBER(SEARCH(SUBSTITUTE(AY$1,RIGHT(AY$1,2),""),VLOOKUP($D197,素材!$1:$1016,COLUMN($F$1),FALSE))),VLOOKUP($C197,装備品!$1:$998,COLUMN($O$1),FALSE)*VLOOKUP($D197,素材!$1:$1016,COLUMN($E$1),FALSE)/(LEN(VLOOKUP($D197,素材!$1:$1016,COLUMN($F$1),FALSE))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Z197">
        <f>IF(ISNUMBER(SEARCH(SUBSTITUTE(AZ$1,RIGHT(AZ$1,2),""),VLOOKUP($D197,素材!$1:$1016,COLUMN($F$1),FALSE))),VLOOKUP($C197,装備品!$1:$998,COLUMN($O$1),FALSE)*VLOOKUP($D197,素材!$1:$1016,COLUMN($E$1),FALSE)/(LEN(VLOOKUP($D197,素材!$1:$1016,COLUMN($F$1),FALSE))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BA197">
        <f>IF(ISNUMBER(SEARCH(SUBSTITUTE(BA$1,RIGHT(BA$1,2),""),VLOOKUP($D197,素材!$1:$1016,COLUMN($F$1),FALSE))),VLOOKUP($C197,装備品!$1:$998,COLUMN($O$1),FALSE)*VLOOKUP($D197,素材!$1:$1016,COLUMN($E$1),FALSE)/(LEN(VLOOKUP($D197,素材!$1:$1016,COLUMN($F$1),FALSE))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BB197">
        <f>IF(ISNUMBER(SEARCH(SUBSTITUTE(BB$1,RIGHT(BB$1,2),""),VLOOKUP($D197,素材!$1:$1016,COLUMN($F$1),FALSE))),VLOOKUP($C197,装備品!$1:$998,COLUMN($O$1),FALSE)*VLOOKUP($D197,素材!$1:$1016,COLUMN($E$1),FALSE)/(LEN(VLOOKUP($D197,素材!$1:$1016,COLUMN($F$1),FALSE))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BC197">
        <f>IF(ISNUMBER(SEARCH(SUBSTITUTE(BC$1,RIGHT(BC$1,2),""),VLOOKUP($D197,素材!$1:$1016,COLUMN($F$1),FALSE))),VLOOKUP($C197,装備品!$1:$998,COLUMN($O$1),FALSE)*VLOOKUP($D197,素材!$1:$1016,COLUMN($E$1),FALSE)/(LEN(VLOOKUP($D197,素材!$1:$1016,COLUMN($F$1),FALSE))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BD197">
        <f>IF(ISNUMBER(SEARCH(SUBSTITUTE(BD$1,RIGHT(BD$1,2),""),VLOOKUP($D197,素材!$1:$1016,COLUMN($F$1),FALSE))),VLOOKUP($C197,装備品!$1:$998,COLUMN($O$1),FALSE)*VLOOKUP($D197,素材!$1:$1016,COLUMN($E$1),FALSE)/(LEN(VLOOKUP($D197,素材!$1:$1016,COLUMN($F$1),FALSE))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BE197">
        <f>IF(ISNUMBER(SEARCH(SUBSTITUTE(BE$1,RIGHT(BE$1,2),""),VLOOKUP($D197,素材!$1:$1016,COLUMN($F$1),FALSE))),VLOOKUP($C197,装備品!$1:$998,COLUMN($O$1),FALSE)*VLOOKUP($D197,素材!$1:$1016,COLUMN($E$1),FALSE)/(LEN(VLOOKUP($D197,素材!$1:$1016,COLUMN($F$1),FALSE))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CL197">
        <f t="shared" si="35"/>
        <v>24</v>
      </c>
      <c r="CM197" s="22" t="str">
        <f t="shared" si="36"/>
        <v>切断.webp</v>
      </c>
      <c r="CN197">
        <f>IFERROR(VLOOKUP($C197,装備品!$1:$998,COLUMN(V$1),FALSE)*VLOOKUP($D197,素材!$1:$1016,COLUMN(N$1),FALSE)+IF(CI197="",0,VLOOKUP($CI197,付与!$1:$1176,COLUMN($CK$1),FALSE)),"")</f>
        <v>0</v>
      </c>
      <c r="CO197">
        <f>VLOOKUP(D197,素材!$A:$O,COLUMN(素材!O$1),FALSE)</f>
        <v>0</v>
      </c>
      <c r="CP197" t="str">
        <f>VLOOKUP(C197,装備品!$A:$AB,COLUMN(装備品!AB$1),FALSE)</f>
        <v>剣。短い剣で片手で扱いやすく、初心者向けの武器。</v>
      </c>
      <c r="CR197" t="str">
        <f t="shared" si="24"/>
        <v>e_197</v>
      </c>
      <c r="CS197">
        <f t="shared" si="28"/>
        <v>0</v>
      </c>
    </row>
    <row r="198" spans="1:97" outlineLevel="1" x14ac:dyDescent="0.4">
      <c r="A198" t="str">
        <f t="shared" si="34"/>
        <v>冷気鉄の広剣</v>
      </c>
      <c r="B198" t="str">
        <f>IFERROR(VLOOKUP($D198,素材!$1:$1016,COLUMN($B$1),FALSE)&amp;"・"&amp;VLOOKUP($C198,装備品!$1:$998,COLUMN(B$1),FALSE),"")</f>
        <v>ドゥララン・ブロードソード</v>
      </c>
      <c r="C198" s="24" t="s">
        <v>238</v>
      </c>
      <c r="D198" s="24" t="s">
        <v>242</v>
      </c>
      <c r="E198" t="str">
        <f>IFERROR(VLOOKUP(C198,装備品!$1:$998,COLUMN(C$1),FALSE),"")</f>
        <v>武器</v>
      </c>
      <c r="F198">
        <f>IFERROR(ROUNDDOWN((VLOOKUP($C198,装備品!$1:$998,COLUMN(D$1),FALSE)+IFERROR(VLOOKUP($CI198,付与!$1:$1167,COLUMN(F$1),FALSE),0))*VLOOKUP($D198,素材!$1:$1016,COLUMN(D$1),FALSE),0),"")</f>
        <v>110</v>
      </c>
      <c r="G198">
        <f>IFERROR(ROUNDDOWN((VLOOKUP($C198,装備品!$1:$998,COLUMN(E$1),FALSE)+IFERROR(VLOOKUP($CI198,付与!$1:$1167,COLUMN(G$1),FALSE),0))*VLOOKUP($D198,素材!$1:$1016,COLUMN($E$1),FALSE),0),"")</f>
        <v>12</v>
      </c>
      <c r="H198">
        <f>IFERROR(ROUNDDOWN((VLOOKUP($C198,装備品!$1:$998,COLUMN(F$1),FALSE)+IFERROR(VLOOKUP($CI198,付与!$1:$1167,COLUMN(H$1),FALSE),0))*VLOOKUP($D198,素材!$1:$1016,COLUMN($E$1),FALSE),0),"")</f>
        <v>8</v>
      </c>
      <c r="I198">
        <f>IFERROR(ROUNDDOWN((VLOOKUP($C198,装備品!$1:$998,COLUMN(G$1),FALSE)+IFERROR(VLOOKUP($CI198,付与!$1:$1167,COLUMN(I$1),FALSE),0))*VLOOKUP($D198,素材!$1:$1016,COLUMN($E$1),FALSE),0),"")</f>
        <v>3</v>
      </c>
      <c r="J198">
        <f>IFERROR(ROUNDDOWN((VLOOKUP($C198,装備品!$1:$998,COLUMN(H$1),FALSE)+IFERROR(VLOOKUP($CI198,付与!$1:$1167,COLUMN(J$1),FALSE),0))*VLOOKUP($D198,素材!$1:$1016,COLUMN($E$1),FALSE),0),"")</f>
        <v>23</v>
      </c>
      <c r="K198">
        <f>IFERROR(ROUNDDOWN((VLOOKUP($C198,装備品!$1:$998,COLUMN(I$1),FALSE)+IFERROR(VLOOKUP($CI198,付与!$1:$1167,COLUMN(K$1),FALSE),0))*VLOOKUP($D198,素材!$1:$1016,COLUMN($E$1),FALSE),0),"")</f>
        <v>0</v>
      </c>
      <c r="L198" t="str">
        <f>IFERROR(VLOOKUP($D198,素材!$1:$1016,COLUMN($F$1),FALSE),"")</f>
        <v>氷</v>
      </c>
      <c r="M198">
        <f>IFERROR(VLOOKUP($C198,装備品!$1:$998,COLUMN(AA$1),FALSE)*VLOOKUP($D198,素材!$1:$1016,COLUMN($G$1),FALSE),"")</f>
        <v>70</v>
      </c>
      <c r="N198">
        <f>IFERROR(VLOOKUP($C198,装備品!$1:$998,COLUMN(I$1),FALSE),"")</f>
        <v>0</v>
      </c>
      <c r="O198" s="23">
        <f>IFERROR((VLOOKUP($C198,装備品!$1:$998,COLUMN(K$1),FALSE)+VLOOKUP($D198,素材!$1:$1016,COLUMN(H$1),FALSE))*100+IFERROR(VLOOKUP($CI198,付与!$1:$1167,COLUMN(O$1),FALSE),0),"")</f>
        <v>10</v>
      </c>
      <c r="P198" s="23">
        <f>IFERROR((VLOOKUP($C198,装備品!$1:$998,COLUMN(L$1),FALSE)+VLOOKUP($D198,素材!$1:$1016,COLUMN(I$1),FALSE))*100+IFERROR(VLOOKUP($CI198,付与!$1:$1167,COLUMN(P$1),FALSE),0),"")</f>
        <v>150</v>
      </c>
      <c r="Q198">
        <f>IFERROR(ROUNDUP(VLOOKUP($C198,装備品!$1:$998,COLUMN(M$1),FALSE)*(VLOOKUP($D198,素材!$1:$1002,COLUMN(D$1),FALSE)/100),1),"")</f>
        <v>-2.5</v>
      </c>
      <c r="R198">
        <f>IFERROR(ROUNDUP(VLOOKUP($C198,装備品!$1:$998,COLUMN(N$1),FALSE)*(VLOOKUP($D198,素材!$1:$1002,COLUMN(D$1),FALSE)/100),1),"")</f>
        <v>-2.5</v>
      </c>
      <c r="S198">
        <f>IFERROR(VLOOKUP($C198,装備品!$1:$998,COLUMN(P$1),FALSE),"")</f>
        <v>0</v>
      </c>
      <c r="T198">
        <f>IFERROR(VLOOKUP($C198,装備品!$1:$998,COLUMN(Q$1),FALSE),"")</f>
        <v>0</v>
      </c>
      <c r="U198">
        <f>IFERROR(VLOOKUP($C198,装備品!$1:$998,COLUMN(R$1),FALSE),"")</f>
        <v>0</v>
      </c>
      <c r="V198">
        <f>IFERROR(VLOOKUP($C198,装備品!$1:$998,COLUMN(Q$1),FALSE),"")</f>
        <v>0</v>
      </c>
      <c r="W198">
        <f>IFERROR(VLOOKUP($C198,装備品!$1:$998,COLUMN(T$1),FALSE),"")</f>
        <v>0</v>
      </c>
      <c r="Y198">
        <f>IFERROR(VLOOKUP($C198,装備品!$1:$998,COLUMN(U$1),FALSE),"")</f>
        <v>0</v>
      </c>
      <c r="Z198">
        <f>IFERROR(ROUNDUP(VLOOKUP($C198,装備品!$1:$998,COLUMN(O$1),FALSE)*VLOOKUP($D198,素材!$1:$1016,COLUMN(E$1),FALSE),1),"")</f>
        <v>0</v>
      </c>
      <c r="AA198">
        <f>IF(ISNUMBER(SEARCH(SUBSTITUTE(AA$1,RIGHT(AA$1,2),""),VLOOKUP($D198,素材!$1:$1016,COLUMN($F$1),FALSE))),VLOOKUP($C198,装備品!$1:$998,COLUMN($O$1),FALSE)*VLOOKUP($D198,素材!$1:$1016,COLUMN($E$1),FALSE)/(LEN(VLOOKUP($D198,素材!$1:$1016,COLUMN($F$1),FALSE))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B198">
        <f>IF(ISNUMBER(SEARCH(SUBSTITUTE(AB$1,RIGHT(AB$1,2),""),VLOOKUP($D198,素材!$1:$1016,COLUMN($F$1),FALSE))),VLOOKUP($C198,装備品!$1:$998,COLUMN($O$1),FALSE)*VLOOKUP($D198,素材!$1:$1016,COLUMN($E$1),FALSE)/(LEN(VLOOKUP($D198,素材!$1:$1016,COLUMN($F$1),FALSE))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C198">
        <f>IF(ISNUMBER(SEARCH(SUBSTITUTE(AC$1,RIGHT(AC$1,2),""),VLOOKUP($D198,素材!$1:$1016,COLUMN($F$1),FALSE))),VLOOKUP($C198,装備品!$1:$998,COLUMN($O$1),FALSE)*VLOOKUP($D198,素材!$1:$1016,COLUMN($E$1),FALSE)/(LEN(VLOOKUP($D198,素材!$1:$1016,COLUMN($F$1),FALSE))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D198">
        <f>IF(ISNUMBER(SEARCH(SUBSTITUTE(AD$1,RIGHT(AD$1,2),""),VLOOKUP($D198,素材!$1:$1016,COLUMN($F$1),FALSE))),VLOOKUP($C198,装備品!$1:$998,COLUMN($O$1),FALSE)*VLOOKUP($D198,素材!$1:$1016,COLUMN($E$1),FALSE)/(LEN(VLOOKUP($D198,素材!$1:$1016,COLUMN($F$1),FALSE))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E198">
        <f>IF(ISNUMBER(SEARCH(SUBSTITUTE(AE$1,RIGHT(AE$1,2),""),VLOOKUP($D198,素材!$1:$1016,COLUMN($F$1),FALSE))),VLOOKUP($C198,装備品!$1:$998,COLUMN($O$1),FALSE)*VLOOKUP($D198,素材!$1:$1016,COLUMN($E$1),FALSE)/(LEN(VLOOKUP($D198,素材!$1:$1016,COLUMN($F$1),FALSE))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F198">
        <f>IF(ISNUMBER(SEARCH(SUBSTITUTE(AF$1,RIGHT(AF$1,2),""),VLOOKUP($D198,素材!$1:$1016,COLUMN($F$1),FALSE))),VLOOKUP($C198,装備品!$1:$998,COLUMN($O$1),FALSE)*VLOOKUP($D198,素材!$1:$1016,COLUMN($E$1),FALSE)/(LEN(VLOOKUP($D198,素材!$1:$1016,COLUMN($F$1),FALSE))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G198">
        <f>IF(ISNUMBER(SEARCH(SUBSTITUTE(AG$1,RIGHT(AG$1,2),""),VLOOKUP($D198,素材!$1:$1016,COLUMN($F$1),FALSE))),VLOOKUP($C198,装備品!$1:$998,COLUMN($O$1),FALSE)*VLOOKUP($D198,素材!$1:$1016,COLUMN($E$1),FALSE)/(LEN(VLOOKUP($D198,素材!$1:$1016,COLUMN($F$1),FALSE))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H198">
        <f>IF(ISNUMBER(SEARCH(SUBSTITUTE(AH$1,RIGHT(AH$1,2),""),VLOOKUP($D198,素材!$1:$1016,COLUMN($F$1),FALSE))),VLOOKUP($C198,装備品!$1:$998,COLUMN($O$1),FALSE)*VLOOKUP($D198,素材!$1:$1016,COLUMN($E$1),FALSE)/(LEN(VLOOKUP($D198,素材!$1:$1016,COLUMN($F$1),FALSE))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I198">
        <f>IF(ISNUMBER(SEARCH(SUBSTITUTE(AI$1,RIGHT(AI$1,2),""),VLOOKUP($D198,素材!$1:$1016,COLUMN($F$1),FALSE))),VLOOKUP($C198,装備品!$1:$998,COLUMN($O$1),FALSE)*VLOOKUP($D198,素材!$1:$1016,COLUMN($E$1),FALSE)/(LEN(VLOOKUP($D198,素材!$1:$1016,COLUMN($F$1),FALSE))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J198">
        <f>IF(ISNUMBER(SEARCH(SUBSTITUTE(AJ$1,RIGHT(AJ$1,2),""),VLOOKUP($D198,素材!$1:$1016,COLUMN($F$1),FALSE))),VLOOKUP($C198,装備品!$1:$998,COLUMN($O$1),FALSE)*VLOOKUP($D198,素材!$1:$1016,COLUMN($E$1),FALSE)/(LEN(VLOOKUP($D198,素材!$1:$1016,COLUMN($F$1),FALSE))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K198">
        <f>IF(ISNUMBER(SEARCH(SUBSTITUTE(AK$1,RIGHT(AK$1,2),""),VLOOKUP($D198,素材!$1:$1016,COLUMN($F$1),FALSE))),VLOOKUP($C198,装備品!$1:$998,COLUMN($O$1),FALSE)*VLOOKUP($D198,素材!$1:$1016,COLUMN($E$1),FALSE)/(LEN(VLOOKUP($D198,素材!$1:$1016,COLUMN($F$1),FALSE))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L198">
        <f>IF(ISNUMBER(SEARCH(SUBSTITUTE(AL$1,RIGHT(AL$1,2),""),VLOOKUP($D198,素材!$1:$1016,COLUMN($F$1),FALSE))),VLOOKUP($C198,装備品!$1:$998,COLUMN($O$1),FALSE)*VLOOKUP($D198,素材!$1:$1016,COLUMN($E$1),FALSE)/(LEN(VLOOKUP($D198,素材!$1:$1016,COLUMN($F$1),FALSE))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M198">
        <f>IF(ISNUMBER(SEARCH(SUBSTITUTE(AM$1,RIGHT(AM$1,2),""),VLOOKUP($D198,素材!$1:$1016,COLUMN($F$1),FALSE))),VLOOKUP($C198,装備品!$1:$998,COLUMN($O$1),FALSE)*VLOOKUP($D198,素材!$1:$1016,COLUMN($E$1),FALSE)/(LEN(VLOOKUP($D198,素材!$1:$1016,COLUMN($F$1),FALSE))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N198">
        <f>IF(ISNUMBER(SEARCH(SUBSTITUTE(AN$1,RIGHT(AN$1,2),""),VLOOKUP($D198,素材!$1:$1016,COLUMN($F$1),FALSE))),VLOOKUP($C198,装備品!$1:$998,COLUMN($O$1),FALSE)*VLOOKUP($D198,素材!$1:$1016,COLUMN($E$1),FALSE)/(LEN(VLOOKUP($D198,素材!$1:$1016,COLUMN($F$1),FALSE))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O198">
        <f>IF(ISNUMBER(SEARCH(SUBSTITUTE(AO$1,RIGHT(AO$1,2),""),VLOOKUP($D198,素材!$1:$1016,COLUMN($F$1),FALSE))),VLOOKUP($C198,装備品!$1:$998,COLUMN($O$1),FALSE)*VLOOKUP($D198,素材!$1:$1016,COLUMN($E$1),FALSE)/(LEN(VLOOKUP($D198,素材!$1:$1016,COLUMN($F$1),FALSE))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P198">
        <f>IF(ISNUMBER(SEARCH(SUBSTITUTE(AP$1,RIGHT(AP$1,2),""),VLOOKUP($D198,素材!$1:$1016,COLUMN($F$1),FALSE))),VLOOKUP($C198,装備品!$1:$998,COLUMN($O$1),FALSE)*VLOOKUP($D198,素材!$1:$1016,COLUMN($E$1),FALSE)/(LEN(VLOOKUP($D198,素材!$1:$1016,COLUMN($F$1),FALSE))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Q198">
        <f>IF(ISNUMBER(SEARCH(SUBSTITUTE(AQ$1,RIGHT(AQ$1,2),""),VLOOKUP($D198,素材!$1:$1016,COLUMN($F$1),FALSE))),VLOOKUP($C198,装備品!$1:$998,COLUMN($O$1),FALSE)*VLOOKUP($D198,素材!$1:$1016,COLUMN($E$1),FALSE)/(LEN(VLOOKUP($D198,素材!$1:$1016,COLUMN($F$1),FALSE))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R198">
        <f>IF(ISNUMBER(SEARCH(SUBSTITUTE(AR$1,RIGHT(AR$1,2),""),VLOOKUP($D198,素材!$1:$1016,COLUMN($F$1),FALSE))),VLOOKUP($C198,装備品!$1:$998,COLUMN($O$1),FALSE)*VLOOKUP($D198,素材!$1:$1016,COLUMN($E$1),FALSE)/(LEN(VLOOKUP($D198,素材!$1:$1016,COLUMN($F$1),FALSE))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S198">
        <f>IF(ISNUMBER(SEARCH(SUBSTITUTE(AS$1,RIGHT(AS$1,2),""),VLOOKUP($D198,素材!$1:$1016,COLUMN($F$1),FALSE))),VLOOKUP($C198,装備品!$1:$998,COLUMN($O$1),FALSE)*VLOOKUP($D198,素材!$1:$1016,COLUMN($E$1),FALSE)/(LEN(VLOOKUP($D198,素材!$1:$1016,COLUMN($F$1),FALSE))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T198">
        <f>IF(ISNUMBER(SEARCH(SUBSTITUTE(AT$1,RIGHT(AT$1,2),""),VLOOKUP($D198,素材!$1:$1016,COLUMN($F$1),FALSE))),VLOOKUP($C198,装備品!$1:$998,COLUMN($O$1),FALSE)*VLOOKUP($D198,素材!$1:$1016,COLUMN($E$1),FALSE)/(LEN(VLOOKUP($D198,素材!$1:$1016,COLUMN($F$1),FALSE))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U198">
        <f>IF(ISNUMBER(SEARCH(SUBSTITUTE(AU$1,RIGHT(AU$1,2),""),VLOOKUP($D198,素材!$1:$1016,COLUMN($F$1),FALSE))),VLOOKUP($C198,装備品!$1:$998,COLUMN($O$1),FALSE)*VLOOKUP($D198,素材!$1:$1016,COLUMN($E$1),FALSE)/(LEN(VLOOKUP($D198,素材!$1:$1016,COLUMN($F$1),FALSE))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V198">
        <f>IF(ISNUMBER(SEARCH(SUBSTITUTE(AV$1,RIGHT(AV$1,2),""),VLOOKUP($D198,素材!$1:$1016,COLUMN($F$1),FALSE))),VLOOKUP($C198,装備品!$1:$998,COLUMN($O$1),FALSE)*VLOOKUP($D198,素材!$1:$1016,COLUMN($E$1),FALSE)/(LEN(VLOOKUP($D198,素材!$1:$1016,COLUMN($F$1),FALSE))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W198">
        <f>IF(ISNUMBER(SEARCH(SUBSTITUTE(AW$1,RIGHT(AW$1,2),""),VLOOKUP($D198,素材!$1:$1016,COLUMN($F$1),FALSE))),VLOOKUP($C198,装備品!$1:$998,COLUMN($O$1),FALSE)*VLOOKUP($D198,素材!$1:$1016,COLUMN($E$1),FALSE)/(LEN(VLOOKUP($D198,素材!$1:$1016,COLUMN($F$1),FALSE))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X198">
        <f>IF(ISNUMBER(SEARCH(SUBSTITUTE(AX$1,RIGHT(AX$1,2),""),VLOOKUP($D198,素材!$1:$1016,COLUMN($F$1),FALSE))),VLOOKUP($C198,装備品!$1:$998,COLUMN($O$1),FALSE)*VLOOKUP($D198,素材!$1:$1016,COLUMN($E$1),FALSE)/(LEN(VLOOKUP($D198,素材!$1:$1016,COLUMN($F$1),FALSE))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Y198">
        <f>IF(ISNUMBER(SEARCH(SUBSTITUTE(AY$1,RIGHT(AY$1,2),""),VLOOKUP($D198,素材!$1:$1016,COLUMN($F$1),FALSE))),VLOOKUP($C198,装備品!$1:$998,COLUMN($O$1),FALSE)*VLOOKUP($D198,素材!$1:$1016,COLUMN($E$1),FALSE)/(LEN(VLOOKUP($D198,素材!$1:$1016,COLUMN($F$1),FALSE))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Z198">
        <f>IF(ISNUMBER(SEARCH(SUBSTITUTE(AZ$1,RIGHT(AZ$1,2),""),VLOOKUP($D198,素材!$1:$1016,COLUMN($F$1),FALSE))),VLOOKUP($C198,装備品!$1:$998,COLUMN($O$1),FALSE)*VLOOKUP($D198,素材!$1:$1016,COLUMN($E$1),FALSE)/(LEN(VLOOKUP($D198,素材!$1:$1016,COLUMN($F$1),FALSE))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BA198">
        <f>IF(ISNUMBER(SEARCH(SUBSTITUTE(BA$1,RIGHT(BA$1,2),""),VLOOKUP($D198,素材!$1:$1016,COLUMN($F$1),FALSE))),VLOOKUP($C198,装備品!$1:$998,COLUMN($O$1),FALSE)*VLOOKUP($D198,素材!$1:$1016,COLUMN($E$1),FALSE)/(LEN(VLOOKUP($D198,素材!$1:$1016,COLUMN($F$1),FALSE))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BB198">
        <f>IF(ISNUMBER(SEARCH(SUBSTITUTE(BB$1,RIGHT(BB$1,2),""),VLOOKUP($D198,素材!$1:$1016,COLUMN($F$1),FALSE))),VLOOKUP($C198,装備品!$1:$998,COLUMN($O$1),FALSE)*VLOOKUP($D198,素材!$1:$1016,COLUMN($E$1),FALSE)/(LEN(VLOOKUP($D198,素材!$1:$1016,COLUMN($F$1),FALSE))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BC198">
        <f>IF(ISNUMBER(SEARCH(SUBSTITUTE(BC$1,RIGHT(BC$1,2),""),VLOOKUP($D198,素材!$1:$1016,COLUMN($F$1),FALSE))),VLOOKUP($C198,装備品!$1:$998,COLUMN($O$1),FALSE)*VLOOKUP($D198,素材!$1:$1016,COLUMN($E$1),FALSE)/(LEN(VLOOKUP($D198,素材!$1:$1016,COLUMN($F$1),FALSE))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BD198">
        <f>IF(ISNUMBER(SEARCH(SUBSTITUTE(BD$1,RIGHT(BD$1,2),""),VLOOKUP($D198,素材!$1:$1016,COLUMN($F$1),FALSE))),VLOOKUP($C198,装備品!$1:$998,COLUMN($O$1),FALSE)*VLOOKUP($D198,素材!$1:$1016,COLUMN($E$1),FALSE)/(LEN(VLOOKUP($D198,素材!$1:$1016,COLUMN($F$1),FALSE))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BE198">
        <f>IF(ISNUMBER(SEARCH(SUBSTITUTE(BE$1,RIGHT(BE$1,2),""),VLOOKUP($D198,素材!$1:$1016,COLUMN($F$1),FALSE))),VLOOKUP($C198,装備品!$1:$998,COLUMN($O$1),FALSE)*VLOOKUP($D198,素材!$1:$1016,COLUMN($E$1),FALSE)/(LEN(VLOOKUP($D198,素材!$1:$1016,COLUMN($F$1),FALSE))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CL198">
        <f t="shared" si="35"/>
        <v>23</v>
      </c>
      <c r="CM198" s="22" t="str">
        <f t="shared" si="36"/>
        <v>切断.webp</v>
      </c>
      <c r="CN198">
        <f>IFERROR(VLOOKUP($C198,装備品!$1:$998,COLUMN(V$1),FALSE)*VLOOKUP($D198,素材!$1:$1016,COLUMN(N$1),FALSE)+IF(CI198="",0,VLOOKUP($CI198,付与!$1:$1176,COLUMN($CK$1),FALSE)),"")</f>
        <v>0</v>
      </c>
      <c r="CO198">
        <f>VLOOKUP(D198,素材!$A:$O,COLUMN(素材!O$1),FALSE)</f>
        <v>0</v>
      </c>
      <c r="CP198" t="str">
        <f>VLOOKUP(C198,装備品!$A:$AB,COLUMN(装備品!AB$1),FALSE)</f>
        <v>幅の広い剣。扱いにくいが攻撃と防御にも優れている。状況に合わせて立ち回ろう。</v>
      </c>
      <c r="CR198" t="str">
        <f t="shared" si="24"/>
        <v>e_198</v>
      </c>
      <c r="CS198">
        <f t="shared" si="28"/>
        <v>0</v>
      </c>
    </row>
    <row r="199" spans="1:97" outlineLevel="1" x14ac:dyDescent="0.4">
      <c r="A199" t="str">
        <f t="shared" si="34"/>
        <v>冷気鉄の長剣</v>
      </c>
      <c r="B199" t="str">
        <f>IFERROR(VLOOKUP($D199,素材!$1:$1016,COLUMN($B$1),FALSE)&amp;"・"&amp;VLOOKUP($C199,装備品!$1:$998,COLUMN(B$1),FALSE),"")</f>
        <v>ドゥララン・ロングソード</v>
      </c>
      <c r="C199" s="24" t="s">
        <v>237</v>
      </c>
      <c r="D199" s="24" t="s">
        <v>242</v>
      </c>
      <c r="E199" t="str">
        <f>IFERROR(VLOOKUP(C199,装備品!$1:$998,COLUMN(C$1),FALSE),"")</f>
        <v>武器</v>
      </c>
      <c r="F199">
        <f>IFERROR(ROUNDDOWN((VLOOKUP($C199,装備品!$1:$998,COLUMN(D$1),FALSE)+IFERROR(VLOOKUP($CI199,付与!$1:$1167,COLUMN(F$1),FALSE),0))*VLOOKUP($D199,素材!$1:$1016,COLUMN(D$1),FALSE),0),"")</f>
        <v>115</v>
      </c>
      <c r="G199">
        <f>IFERROR(ROUNDDOWN((VLOOKUP($C199,装備品!$1:$998,COLUMN(E$1),FALSE)+IFERROR(VLOOKUP($CI199,付与!$1:$1167,COLUMN(G$1),FALSE),0))*VLOOKUP($D199,素材!$1:$1016,COLUMN($E$1),FALSE),0),"")</f>
        <v>15</v>
      </c>
      <c r="H199">
        <f>IFERROR(ROUNDDOWN((VLOOKUP($C199,装備品!$1:$998,COLUMN(F$1),FALSE)+IFERROR(VLOOKUP($CI199,付与!$1:$1167,COLUMN(H$1),FALSE),0))*VLOOKUP($D199,素材!$1:$1016,COLUMN($E$1),FALSE),0),"")</f>
        <v>9</v>
      </c>
      <c r="I199">
        <f>IFERROR(ROUNDDOWN((VLOOKUP($C199,装備品!$1:$998,COLUMN(G$1),FALSE)+IFERROR(VLOOKUP($CI199,付与!$1:$1167,COLUMN(I$1),FALSE),0))*VLOOKUP($D199,素材!$1:$1016,COLUMN($E$1),FALSE),0),"")</f>
        <v>3</v>
      </c>
      <c r="J199">
        <f>IFERROR(ROUNDDOWN((VLOOKUP($C199,装備品!$1:$998,COLUMN(H$1),FALSE)+IFERROR(VLOOKUP($CI199,付与!$1:$1167,COLUMN(J$1),FALSE),0))*VLOOKUP($D199,素材!$1:$1016,COLUMN($E$1),FALSE),0),"")</f>
        <v>20</v>
      </c>
      <c r="K199">
        <f>IFERROR(ROUNDDOWN((VLOOKUP($C199,装備品!$1:$998,COLUMN(I$1),FALSE)+IFERROR(VLOOKUP($CI199,付与!$1:$1167,COLUMN(K$1),FALSE),0))*VLOOKUP($D199,素材!$1:$1016,COLUMN($E$1),FALSE),0),"")</f>
        <v>0</v>
      </c>
      <c r="L199" t="str">
        <f>IFERROR(VLOOKUP($D199,素材!$1:$1016,COLUMN($F$1),FALSE),"")</f>
        <v>氷</v>
      </c>
      <c r="M199">
        <f>IFERROR(VLOOKUP($C199,装備品!$1:$998,COLUMN(AA$1),FALSE)*VLOOKUP($D199,素材!$1:$1016,COLUMN($G$1),FALSE),"")</f>
        <v>70</v>
      </c>
      <c r="N199">
        <f>IFERROR(VLOOKUP($C199,装備品!$1:$998,COLUMN(I$1),FALSE),"")</f>
        <v>0</v>
      </c>
      <c r="O199" s="23">
        <f>IFERROR((VLOOKUP($C199,装備品!$1:$998,COLUMN(K$1),FALSE)+VLOOKUP($D199,素材!$1:$1016,COLUMN(H$1),FALSE))*100+IFERROR(VLOOKUP($CI199,付与!$1:$1167,COLUMN(O$1),FALSE),0),"")</f>
        <v>10</v>
      </c>
      <c r="P199" s="23">
        <f>IFERROR((VLOOKUP($C199,装備品!$1:$998,COLUMN(L$1),FALSE)+VLOOKUP($D199,素材!$1:$1016,COLUMN(I$1),FALSE))*100+IFERROR(VLOOKUP($CI199,付与!$1:$1167,COLUMN(P$1),FALSE),0),"")</f>
        <v>150</v>
      </c>
      <c r="Q199">
        <f>IFERROR(ROUNDUP(VLOOKUP($C199,装備品!$1:$998,COLUMN(M$1),FALSE)*(VLOOKUP($D199,素材!$1:$1002,COLUMN(D$1),FALSE)/100),1),"")</f>
        <v>-2.5</v>
      </c>
      <c r="R199">
        <f>IFERROR(ROUNDUP(VLOOKUP($C199,装備品!$1:$998,COLUMN(N$1),FALSE)*(VLOOKUP($D199,素材!$1:$1002,COLUMN(D$1),FALSE)/100),1),"")</f>
        <v>-2.5</v>
      </c>
      <c r="S199">
        <f>IFERROR(VLOOKUP($C199,装備品!$1:$998,COLUMN(P$1),FALSE),"")</f>
        <v>0</v>
      </c>
      <c r="T199">
        <f>IFERROR(VLOOKUP($C199,装備品!$1:$998,COLUMN(Q$1),FALSE),"")</f>
        <v>0</v>
      </c>
      <c r="U199">
        <f>IFERROR(VLOOKUP($C199,装備品!$1:$998,COLUMN(R$1),FALSE),"")</f>
        <v>0</v>
      </c>
      <c r="V199">
        <f>IFERROR(VLOOKUP($C199,装備品!$1:$998,COLUMN(Q$1),FALSE),"")</f>
        <v>0</v>
      </c>
      <c r="W199">
        <f>IFERROR(VLOOKUP($C199,装備品!$1:$998,COLUMN(T$1),FALSE),"")</f>
        <v>0</v>
      </c>
      <c r="Y199">
        <f>IFERROR(VLOOKUP($C199,装備品!$1:$998,COLUMN(U$1),FALSE),"")</f>
        <v>0</v>
      </c>
      <c r="Z199">
        <f>IFERROR(ROUNDUP(VLOOKUP($C199,装備品!$1:$998,COLUMN(O$1),FALSE)*VLOOKUP($D199,素材!$1:$1016,COLUMN(E$1),FALSE),1),"")</f>
        <v>0</v>
      </c>
      <c r="AA199">
        <f>IF(ISNUMBER(SEARCH(SUBSTITUTE(AA$1,RIGHT(AA$1,2),""),VLOOKUP($D199,素材!$1:$1016,COLUMN($F$1),FALSE))),VLOOKUP($C199,装備品!$1:$998,COLUMN($O$1),FALSE)*VLOOKUP($D199,素材!$1:$1016,COLUMN($E$1),FALSE)/(LEN(VLOOKUP($D199,素材!$1:$1016,COLUMN($F$1),FALSE))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B199">
        <f>IF(ISNUMBER(SEARCH(SUBSTITUTE(AB$1,RIGHT(AB$1,2),""),VLOOKUP($D199,素材!$1:$1016,COLUMN($F$1),FALSE))),VLOOKUP($C199,装備品!$1:$998,COLUMN($O$1),FALSE)*VLOOKUP($D199,素材!$1:$1016,COLUMN($E$1),FALSE)/(LEN(VLOOKUP($D199,素材!$1:$1016,COLUMN($F$1),FALSE))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C199">
        <f>IF(ISNUMBER(SEARCH(SUBSTITUTE(AC$1,RIGHT(AC$1,2),""),VLOOKUP($D199,素材!$1:$1016,COLUMN($F$1),FALSE))),VLOOKUP($C199,装備品!$1:$998,COLUMN($O$1),FALSE)*VLOOKUP($D199,素材!$1:$1016,COLUMN($E$1),FALSE)/(LEN(VLOOKUP($D199,素材!$1:$1016,COLUMN($F$1),FALSE))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D199">
        <f>IF(ISNUMBER(SEARCH(SUBSTITUTE(AD$1,RIGHT(AD$1,2),""),VLOOKUP($D199,素材!$1:$1016,COLUMN($F$1),FALSE))),VLOOKUP($C199,装備品!$1:$998,COLUMN($O$1),FALSE)*VLOOKUP($D199,素材!$1:$1016,COLUMN($E$1),FALSE)/(LEN(VLOOKUP($D199,素材!$1:$1016,COLUMN($F$1),FALSE))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E199">
        <f>IF(ISNUMBER(SEARCH(SUBSTITUTE(AE$1,RIGHT(AE$1,2),""),VLOOKUP($D199,素材!$1:$1016,COLUMN($F$1),FALSE))),VLOOKUP($C199,装備品!$1:$998,COLUMN($O$1),FALSE)*VLOOKUP($D199,素材!$1:$1016,COLUMN($E$1),FALSE)/(LEN(VLOOKUP($D199,素材!$1:$1016,COLUMN($F$1),FALSE))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F199">
        <f>IF(ISNUMBER(SEARCH(SUBSTITUTE(AF$1,RIGHT(AF$1,2),""),VLOOKUP($D199,素材!$1:$1016,COLUMN($F$1),FALSE))),VLOOKUP($C199,装備品!$1:$998,COLUMN($O$1),FALSE)*VLOOKUP($D199,素材!$1:$1016,COLUMN($E$1),FALSE)/(LEN(VLOOKUP($D199,素材!$1:$1016,COLUMN($F$1),FALSE))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G199">
        <f>IF(ISNUMBER(SEARCH(SUBSTITUTE(AG$1,RIGHT(AG$1,2),""),VLOOKUP($D199,素材!$1:$1016,COLUMN($F$1),FALSE))),VLOOKUP($C199,装備品!$1:$998,COLUMN($O$1),FALSE)*VLOOKUP($D199,素材!$1:$1016,COLUMN($E$1),FALSE)/(LEN(VLOOKUP($D199,素材!$1:$1016,COLUMN($F$1),FALSE))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H199">
        <f>IF(ISNUMBER(SEARCH(SUBSTITUTE(AH$1,RIGHT(AH$1,2),""),VLOOKUP($D199,素材!$1:$1016,COLUMN($F$1),FALSE))),VLOOKUP($C199,装備品!$1:$998,COLUMN($O$1),FALSE)*VLOOKUP($D199,素材!$1:$1016,COLUMN($E$1),FALSE)/(LEN(VLOOKUP($D199,素材!$1:$1016,COLUMN($F$1),FALSE))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I199">
        <f>IF(ISNUMBER(SEARCH(SUBSTITUTE(AI$1,RIGHT(AI$1,2),""),VLOOKUP($D199,素材!$1:$1016,COLUMN($F$1),FALSE))),VLOOKUP($C199,装備品!$1:$998,COLUMN($O$1),FALSE)*VLOOKUP($D199,素材!$1:$1016,COLUMN($E$1),FALSE)/(LEN(VLOOKUP($D199,素材!$1:$1016,COLUMN($F$1),FALSE))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J199">
        <f>IF(ISNUMBER(SEARCH(SUBSTITUTE(AJ$1,RIGHT(AJ$1,2),""),VLOOKUP($D199,素材!$1:$1016,COLUMN($F$1),FALSE))),VLOOKUP($C199,装備品!$1:$998,COLUMN($O$1),FALSE)*VLOOKUP($D199,素材!$1:$1016,COLUMN($E$1),FALSE)/(LEN(VLOOKUP($D199,素材!$1:$1016,COLUMN($F$1),FALSE))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K199">
        <f>IF(ISNUMBER(SEARCH(SUBSTITUTE(AK$1,RIGHT(AK$1,2),""),VLOOKUP($D199,素材!$1:$1016,COLUMN($F$1),FALSE))),VLOOKUP($C199,装備品!$1:$998,COLUMN($O$1),FALSE)*VLOOKUP($D199,素材!$1:$1016,COLUMN($E$1),FALSE)/(LEN(VLOOKUP($D199,素材!$1:$1016,COLUMN($F$1),FALSE))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L199">
        <f>IF(ISNUMBER(SEARCH(SUBSTITUTE(AL$1,RIGHT(AL$1,2),""),VLOOKUP($D199,素材!$1:$1016,COLUMN($F$1),FALSE))),VLOOKUP($C199,装備品!$1:$998,COLUMN($O$1),FALSE)*VLOOKUP($D199,素材!$1:$1016,COLUMN($E$1),FALSE)/(LEN(VLOOKUP($D199,素材!$1:$1016,COLUMN($F$1),FALSE))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M199">
        <f>IF(ISNUMBER(SEARCH(SUBSTITUTE(AM$1,RIGHT(AM$1,2),""),VLOOKUP($D199,素材!$1:$1016,COLUMN($F$1),FALSE))),VLOOKUP($C199,装備品!$1:$998,COLUMN($O$1),FALSE)*VLOOKUP($D199,素材!$1:$1016,COLUMN($E$1),FALSE)/(LEN(VLOOKUP($D199,素材!$1:$1016,COLUMN($F$1),FALSE))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N199">
        <f>IF(ISNUMBER(SEARCH(SUBSTITUTE(AN$1,RIGHT(AN$1,2),""),VLOOKUP($D199,素材!$1:$1016,COLUMN($F$1),FALSE))),VLOOKUP($C199,装備品!$1:$998,COLUMN($O$1),FALSE)*VLOOKUP($D199,素材!$1:$1016,COLUMN($E$1),FALSE)/(LEN(VLOOKUP($D199,素材!$1:$1016,COLUMN($F$1),FALSE))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O199">
        <f>IF(ISNUMBER(SEARCH(SUBSTITUTE(AO$1,RIGHT(AO$1,2),""),VLOOKUP($D199,素材!$1:$1016,COLUMN($F$1),FALSE))),VLOOKUP($C199,装備品!$1:$998,COLUMN($O$1),FALSE)*VLOOKUP($D199,素材!$1:$1016,COLUMN($E$1),FALSE)/(LEN(VLOOKUP($D199,素材!$1:$1016,COLUMN($F$1),FALSE))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P199">
        <f>IF(ISNUMBER(SEARCH(SUBSTITUTE(AP$1,RIGHT(AP$1,2),""),VLOOKUP($D199,素材!$1:$1016,COLUMN($F$1),FALSE))),VLOOKUP($C199,装備品!$1:$998,COLUMN($O$1),FALSE)*VLOOKUP($D199,素材!$1:$1016,COLUMN($E$1),FALSE)/(LEN(VLOOKUP($D199,素材!$1:$1016,COLUMN($F$1),FALSE))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Q199">
        <f>IF(ISNUMBER(SEARCH(SUBSTITUTE(AQ$1,RIGHT(AQ$1,2),""),VLOOKUP($D199,素材!$1:$1016,COLUMN($F$1),FALSE))),VLOOKUP($C199,装備品!$1:$998,COLUMN($O$1),FALSE)*VLOOKUP($D199,素材!$1:$1016,COLUMN($E$1),FALSE)/(LEN(VLOOKUP($D199,素材!$1:$1016,COLUMN($F$1),FALSE))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R199">
        <f>IF(ISNUMBER(SEARCH(SUBSTITUTE(AR$1,RIGHT(AR$1,2),""),VLOOKUP($D199,素材!$1:$1016,COLUMN($F$1),FALSE))),VLOOKUP($C199,装備品!$1:$998,COLUMN($O$1),FALSE)*VLOOKUP($D199,素材!$1:$1016,COLUMN($E$1),FALSE)/(LEN(VLOOKUP($D199,素材!$1:$1016,COLUMN($F$1),FALSE))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S199">
        <f>IF(ISNUMBER(SEARCH(SUBSTITUTE(AS$1,RIGHT(AS$1,2),""),VLOOKUP($D199,素材!$1:$1016,COLUMN($F$1),FALSE))),VLOOKUP($C199,装備品!$1:$998,COLUMN($O$1),FALSE)*VLOOKUP($D199,素材!$1:$1016,COLUMN($E$1),FALSE)/(LEN(VLOOKUP($D199,素材!$1:$1016,COLUMN($F$1),FALSE))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T199">
        <f>IF(ISNUMBER(SEARCH(SUBSTITUTE(AT$1,RIGHT(AT$1,2),""),VLOOKUP($D199,素材!$1:$1016,COLUMN($F$1),FALSE))),VLOOKUP($C199,装備品!$1:$998,COLUMN($O$1),FALSE)*VLOOKUP($D199,素材!$1:$1016,COLUMN($E$1),FALSE)/(LEN(VLOOKUP($D199,素材!$1:$1016,COLUMN($F$1),FALSE))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U199">
        <f>IF(ISNUMBER(SEARCH(SUBSTITUTE(AU$1,RIGHT(AU$1,2),""),VLOOKUP($D199,素材!$1:$1016,COLUMN($F$1),FALSE))),VLOOKUP($C199,装備品!$1:$998,COLUMN($O$1),FALSE)*VLOOKUP($D199,素材!$1:$1016,COLUMN($E$1),FALSE)/(LEN(VLOOKUP($D199,素材!$1:$1016,COLUMN($F$1),FALSE))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V199">
        <f>IF(ISNUMBER(SEARCH(SUBSTITUTE(AV$1,RIGHT(AV$1,2),""),VLOOKUP($D199,素材!$1:$1016,COLUMN($F$1),FALSE))),VLOOKUP($C199,装備品!$1:$998,COLUMN($O$1),FALSE)*VLOOKUP($D199,素材!$1:$1016,COLUMN($E$1),FALSE)/(LEN(VLOOKUP($D199,素材!$1:$1016,COLUMN($F$1),FALSE))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W199">
        <f>IF(ISNUMBER(SEARCH(SUBSTITUTE(AW$1,RIGHT(AW$1,2),""),VLOOKUP($D199,素材!$1:$1016,COLUMN($F$1),FALSE))),VLOOKUP($C199,装備品!$1:$998,COLUMN($O$1),FALSE)*VLOOKUP($D199,素材!$1:$1016,COLUMN($E$1),FALSE)/(LEN(VLOOKUP($D199,素材!$1:$1016,COLUMN($F$1),FALSE))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X199">
        <f>IF(ISNUMBER(SEARCH(SUBSTITUTE(AX$1,RIGHT(AX$1,2),""),VLOOKUP($D199,素材!$1:$1016,COLUMN($F$1),FALSE))),VLOOKUP($C199,装備品!$1:$998,COLUMN($O$1),FALSE)*VLOOKUP($D199,素材!$1:$1016,COLUMN($E$1),FALSE)/(LEN(VLOOKUP($D199,素材!$1:$1016,COLUMN($F$1),FALSE))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Y199">
        <f>IF(ISNUMBER(SEARCH(SUBSTITUTE(AY$1,RIGHT(AY$1,2),""),VLOOKUP($D199,素材!$1:$1016,COLUMN($F$1),FALSE))),VLOOKUP($C199,装備品!$1:$998,COLUMN($O$1),FALSE)*VLOOKUP($D199,素材!$1:$1016,COLUMN($E$1),FALSE)/(LEN(VLOOKUP($D199,素材!$1:$1016,COLUMN($F$1),FALSE))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Z199">
        <f>IF(ISNUMBER(SEARCH(SUBSTITUTE(AZ$1,RIGHT(AZ$1,2),""),VLOOKUP($D199,素材!$1:$1016,COLUMN($F$1),FALSE))),VLOOKUP($C199,装備品!$1:$998,COLUMN($O$1),FALSE)*VLOOKUP($D199,素材!$1:$1016,COLUMN($E$1),FALSE)/(LEN(VLOOKUP($D199,素材!$1:$1016,COLUMN($F$1),FALSE))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BA199">
        <f>IF(ISNUMBER(SEARCH(SUBSTITUTE(BA$1,RIGHT(BA$1,2),""),VLOOKUP($D199,素材!$1:$1016,COLUMN($F$1),FALSE))),VLOOKUP($C199,装備品!$1:$998,COLUMN($O$1),FALSE)*VLOOKUP($D199,素材!$1:$1016,COLUMN($E$1),FALSE)/(LEN(VLOOKUP($D199,素材!$1:$1016,COLUMN($F$1),FALSE))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BB199">
        <f>IF(ISNUMBER(SEARCH(SUBSTITUTE(BB$1,RIGHT(BB$1,2),""),VLOOKUP($D199,素材!$1:$1016,COLUMN($F$1),FALSE))),VLOOKUP($C199,装備品!$1:$998,COLUMN($O$1),FALSE)*VLOOKUP($D199,素材!$1:$1016,COLUMN($E$1),FALSE)/(LEN(VLOOKUP($D199,素材!$1:$1016,COLUMN($F$1),FALSE))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BC199">
        <f>IF(ISNUMBER(SEARCH(SUBSTITUTE(BC$1,RIGHT(BC$1,2),""),VLOOKUP($D199,素材!$1:$1016,COLUMN($F$1),FALSE))),VLOOKUP($C199,装備品!$1:$998,COLUMN($O$1),FALSE)*VLOOKUP($D199,素材!$1:$1016,COLUMN($E$1),FALSE)/(LEN(VLOOKUP($D199,素材!$1:$1016,COLUMN($F$1),FALSE))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BD199">
        <f>IF(ISNUMBER(SEARCH(SUBSTITUTE(BD$1,RIGHT(BD$1,2),""),VLOOKUP($D199,素材!$1:$1016,COLUMN($F$1),FALSE))),VLOOKUP($C199,装備品!$1:$998,COLUMN($O$1),FALSE)*VLOOKUP($D199,素材!$1:$1016,COLUMN($E$1),FALSE)/(LEN(VLOOKUP($D199,素材!$1:$1016,COLUMN($F$1),FALSE))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BE199">
        <f>IF(ISNUMBER(SEARCH(SUBSTITUTE(BE$1,RIGHT(BE$1,2),""),VLOOKUP($D199,素材!$1:$1016,COLUMN($F$1),FALSE))),VLOOKUP($C199,装備品!$1:$998,COLUMN($O$1),FALSE)*VLOOKUP($D199,素材!$1:$1016,COLUMN($E$1),FALSE)/(LEN(VLOOKUP($D199,素材!$1:$1016,COLUMN($F$1),FALSE))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CL199">
        <f t="shared" si="35"/>
        <v>27</v>
      </c>
      <c r="CM199" s="22" t="str">
        <f t="shared" si="36"/>
        <v>切断.webp</v>
      </c>
      <c r="CN199">
        <f>IFERROR(VLOOKUP($C199,装備品!$1:$998,COLUMN(V$1),FALSE)*VLOOKUP($D199,素材!$1:$1016,COLUMN(N$1),FALSE)+IF(CI199="",0,VLOOKUP($CI199,付与!$1:$1176,COLUMN($CK$1),FALSE)),"")</f>
        <v>0</v>
      </c>
      <c r="CO199">
        <f>VLOOKUP(D199,素材!$A:$O,COLUMN(素材!O$1),FALSE)</f>
        <v>0</v>
      </c>
      <c r="CP199" t="str">
        <f>VLOOKUP(C199,装備品!$A:$AB,COLUMN(装備品!AB$1),FALSE)</f>
        <v>長剣。長く重い分扱いにくいが威力が高い。</v>
      </c>
      <c r="CR199" t="str">
        <f t="shared" si="24"/>
        <v>e_199</v>
      </c>
      <c r="CS199">
        <f t="shared" si="28"/>
        <v>0</v>
      </c>
    </row>
    <row r="200" spans="1:97" outlineLevel="1" x14ac:dyDescent="0.4">
      <c r="A200" t="str">
        <f t="shared" si="34"/>
        <v>冷気鉄の大剣</v>
      </c>
      <c r="B200" t="str">
        <f>IFERROR(VLOOKUP($D200,素材!$1:$1016,COLUMN($B$1),FALSE)&amp;"・"&amp;VLOOKUP($C200,装備品!$1:$998,COLUMN(B$1),FALSE),"")</f>
        <v>ドゥララン・バスターソード</v>
      </c>
      <c r="C200" s="24" t="s">
        <v>236</v>
      </c>
      <c r="D200" s="24" t="s">
        <v>242</v>
      </c>
      <c r="E200" t="str">
        <f>IFERROR(VLOOKUP(C200,装備品!$1:$998,COLUMN(C$1),FALSE),"")</f>
        <v>武器</v>
      </c>
      <c r="F200">
        <f>IFERROR(ROUNDDOWN((VLOOKUP($C200,装備品!$1:$998,COLUMN(D$1),FALSE)+IFERROR(VLOOKUP($CI200,付与!$1:$1167,COLUMN(F$1),FALSE),0))*VLOOKUP($D200,素材!$1:$1016,COLUMN(D$1),FALSE),0),"")</f>
        <v>125</v>
      </c>
      <c r="G200">
        <f>IFERROR(ROUNDDOWN((VLOOKUP($C200,装備品!$1:$998,COLUMN(E$1),FALSE)+IFERROR(VLOOKUP($CI200,付与!$1:$1167,COLUMN(G$1),FALSE),0))*VLOOKUP($D200,素材!$1:$1016,COLUMN($E$1),FALSE),0),"")</f>
        <v>18</v>
      </c>
      <c r="H200">
        <f>IFERROR(ROUNDDOWN((VLOOKUP($C200,装備品!$1:$998,COLUMN(F$1),FALSE)+IFERROR(VLOOKUP($CI200,付与!$1:$1167,COLUMN(H$1),FALSE),0))*VLOOKUP($D200,素材!$1:$1016,COLUMN($E$1),FALSE),0),"")</f>
        <v>9</v>
      </c>
      <c r="I200">
        <f>IFERROR(ROUNDDOWN((VLOOKUP($C200,装備品!$1:$998,COLUMN(G$1),FALSE)+IFERROR(VLOOKUP($CI200,付与!$1:$1167,COLUMN(I$1),FALSE),0))*VLOOKUP($D200,素材!$1:$1016,COLUMN($E$1),FALSE),0),"")</f>
        <v>4</v>
      </c>
      <c r="J200">
        <f>IFERROR(ROUNDDOWN((VLOOKUP($C200,装備品!$1:$998,COLUMN(H$1),FALSE)+IFERROR(VLOOKUP($CI200,付与!$1:$1167,COLUMN(J$1),FALSE),0))*VLOOKUP($D200,素材!$1:$1016,COLUMN($E$1),FALSE),0),"")</f>
        <v>22</v>
      </c>
      <c r="K200">
        <f>IFERROR(ROUNDDOWN((VLOOKUP($C200,装備品!$1:$998,COLUMN(I$1),FALSE)+IFERROR(VLOOKUP($CI200,付与!$1:$1167,COLUMN(K$1),FALSE),0))*VLOOKUP($D200,素材!$1:$1016,COLUMN($E$1),FALSE),0),"")</f>
        <v>0</v>
      </c>
      <c r="L200" t="str">
        <f>IFERROR(VLOOKUP($D200,素材!$1:$1016,COLUMN($F$1),FALSE),"")</f>
        <v>氷</v>
      </c>
      <c r="M200">
        <f>IFERROR(VLOOKUP($C200,装備品!$1:$998,COLUMN(AA$1),FALSE)*VLOOKUP($D200,素材!$1:$1016,COLUMN($G$1),FALSE),"")</f>
        <v>105</v>
      </c>
      <c r="N200">
        <f>IFERROR(VLOOKUP($C200,装備品!$1:$998,COLUMN(I$1),FALSE),"")</f>
        <v>0</v>
      </c>
      <c r="O200" s="23">
        <f>IFERROR((VLOOKUP($C200,装備品!$1:$998,COLUMN(K$1),FALSE)+VLOOKUP($D200,素材!$1:$1016,COLUMN(H$1),FALSE))*100+IFERROR(VLOOKUP($CI200,付与!$1:$1167,COLUMN(O$1),FALSE),0),"")</f>
        <v>10</v>
      </c>
      <c r="P200" s="23">
        <f>IFERROR((VLOOKUP($C200,装備品!$1:$998,COLUMN(L$1),FALSE)+VLOOKUP($D200,素材!$1:$1016,COLUMN(I$1),FALSE))*100+IFERROR(VLOOKUP($CI200,付与!$1:$1167,COLUMN(P$1),FALSE),0),"")</f>
        <v>150</v>
      </c>
      <c r="Q200">
        <f>IFERROR(ROUNDUP(VLOOKUP($C200,装備品!$1:$998,COLUMN(M$1),FALSE)*(VLOOKUP($D200,素材!$1:$1002,COLUMN(D$1),FALSE)/100),1),"")</f>
        <v>-7.5</v>
      </c>
      <c r="R200">
        <f>IFERROR(ROUNDUP(VLOOKUP($C200,装備品!$1:$998,COLUMN(N$1),FALSE)*(VLOOKUP($D200,素材!$1:$1002,COLUMN(D$1),FALSE)/100),1),"")</f>
        <v>-7.5</v>
      </c>
      <c r="S200">
        <f>IFERROR(VLOOKUP($C200,装備品!$1:$998,COLUMN(P$1),FALSE),"")</f>
        <v>0</v>
      </c>
      <c r="T200">
        <f>IFERROR(VLOOKUP($C200,装備品!$1:$998,COLUMN(Q$1),FALSE),"")</f>
        <v>0</v>
      </c>
      <c r="U200">
        <f>IFERROR(VLOOKUP($C200,装備品!$1:$998,COLUMN(R$1),FALSE),"")</f>
        <v>-15</v>
      </c>
      <c r="V200">
        <f>IFERROR(VLOOKUP($C200,装備品!$1:$998,COLUMN(Q$1),FALSE),"")</f>
        <v>0</v>
      </c>
      <c r="W200">
        <f>IFERROR(VLOOKUP($C200,装備品!$1:$998,COLUMN(T$1),FALSE),"")</f>
        <v>0</v>
      </c>
      <c r="Y200">
        <f>IFERROR(VLOOKUP($C200,装備品!$1:$998,COLUMN(U$1),FALSE),"")</f>
        <v>0</v>
      </c>
      <c r="Z200">
        <f>IFERROR(ROUNDUP(VLOOKUP($C200,装備品!$1:$998,COLUMN(O$1),FALSE)*VLOOKUP($D200,素材!$1:$1016,COLUMN(E$1),FALSE),1),"")</f>
        <v>0</v>
      </c>
      <c r="AA200">
        <f>IF(ISNUMBER(SEARCH(SUBSTITUTE(AA$1,RIGHT(AA$1,2),""),VLOOKUP($D200,素材!$1:$1016,COLUMN($F$1),FALSE))),VLOOKUP($C200,装備品!$1:$998,COLUMN($O$1),FALSE)*VLOOKUP($D200,素材!$1:$1016,COLUMN($E$1),FALSE)/(LEN(VLOOKUP($D200,素材!$1:$1016,COLUMN($F$1),FALSE))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B200">
        <f>IF(ISNUMBER(SEARCH(SUBSTITUTE(AB$1,RIGHT(AB$1,2),""),VLOOKUP($D200,素材!$1:$1016,COLUMN($F$1),FALSE))),VLOOKUP($C200,装備品!$1:$998,COLUMN($O$1),FALSE)*VLOOKUP($D200,素材!$1:$1016,COLUMN($E$1),FALSE)/(LEN(VLOOKUP($D200,素材!$1:$1016,COLUMN($F$1),FALSE))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C200">
        <f>IF(ISNUMBER(SEARCH(SUBSTITUTE(AC$1,RIGHT(AC$1,2),""),VLOOKUP($D200,素材!$1:$1016,COLUMN($F$1),FALSE))),VLOOKUP($C200,装備品!$1:$998,COLUMN($O$1),FALSE)*VLOOKUP($D200,素材!$1:$1016,COLUMN($E$1),FALSE)/(LEN(VLOOKUP($D200,素材!$1:$1016,COLUMN($F$1),FALSE))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D200">
        <f>IF(ISNUMBER(SEARCH(SUBSTITUTE(AD$1,RIGHT(AD$1,2),""),VLOOKUP($D200,素材!$1:$1016,COLUMN($F$1),FALSE))),VLOOKUP($C200,装備品!$1:$998,COLUMN($O$1),FALSE)*VLOOKUP($D200,素材!$1:$1016,COLUMN($E$1),FALSE)/(LEN(VLOOKUP($D200,素材!$1:$1016,COLUMN($F$1),FALSE))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E200">
        <f>IF(ISNUMBER(SEARCH(SUBSTITUTE(AE$1,RIGHT(AE$1,2),""),VLOOKUP($D200,素材!$1:$1016,COLUMN($F$1),FALSE))),VLOOKUP($C200,装備品!$1:$998,COLUMN($O$1),FALSE)*VLOOKUP($D200,素材!$1:$1016,COLUMN($E$1),FALSE)/(LEN(VLOOKUP($D200,素材!$1:$1016,COLUMN($F$1),FALSE))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F200">
        <f>IF(ISNUMBER(SEARCH(SUBSTITUTE(AF$1,RIGHT(AF$1,2),""),VLOOKUP($D200,素材!$1:$1016,COLUMN($F$1),FALSE))),VLOOKUP($C200,装備品!$1:$998,COLUMN($O$1),FALSE)*VLOOKUP($D200,素材!$1:$1016,COLUMN($E$1),FALSE)/(LEN(VLOOKUP($D200,素材!$1:$1016,COLUMN($F$1),FALSE))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G200">
        <f>IF(ISNUMBER(SEARCH(SUBSTITUTE(AG$1,RIGHT(AG$1,2),""),VLOOKUP($D200,素材!$1:$1016,COLUMN($F$1),FALSE))),VLOOKUP($C200,装備品!$1:$998,COLUMN($O$1),FALSE)*VLOOKUP($D200,素材!$1:$1016,COLUMN($E$1),FALSE)/(LEN(VLOOKUP($D200,素材!$1:$1016,COLUMN($F$1),FALSE))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H200">
        <f>IF(ISNUMBER(SEARCH(SUBSTITUTE(AH$1,RIGHT(AH$1,2),""),VLOOKUP($D200,素材!$1:$1016,COLUMN($F$1),FALSE))),VLOOKUP($C200,装備品!$1:$998,COLUMN($O$1),FALSE)*VLOOKUP($D200,素材!$1:$1016,COLUMN($E$1),FALSE)/(LEN(VLOOKUP($D200,素材!$1:$1016,COLUMN($F$1),FALSE))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I200">
        <f>IF(ISNUMBER(SEARCH(SUBSTITUTE(AI$1,RIGHT(AI$1,2),""),VLOOKUP($D200,素材!$1:$1016,COLUMN($F$1),FALSE))),VLOOKUP($C200,装備品!$1:$998,COLUMN($O$1),FALSE)*VLOOKUP($D200,素材!$1:$1016,COLUMN($E$1),FALSE)/(LEN(VLOOKUP($D200,素材!$1:$1016,COLUMN($F$1),FALSE))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J200">
        <f>IF(ISNUMBER(SEARCH(SUBSTITUTE(AJ$1,RIGHT(AJ$1,2),""),VLOOKUP($D200,素材!$1:$1016,COLUMN($F$1),FALSE))),VLOOKUP($C200,装備品!$1:$998,COLUMN($O$1),FALSE)*VLOOKUP($D200,素材!$1:$1016,COLUMN($E$1),FALSE)/(LEN(VLOOKUP($D200,素材!$1:$1016,COLUMN($F$1),FALSE))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K200">
        <f>IF(ISNUMBER(SEARCH(SUBSTITUTE(AK$1,RIGHT(AK$1,2),""),VLOOKUP($D200,素材!$1:$1016,COLUMN($F$1),FALSE))),VLOOKUP($C200,装備品!$1:$998,COLUMN($O$1),FALSE)*VLOOKUP($D200,素材!$1:$1016,COLUMN($E$1),FALSE)/(LEN(VLOOKUP($D200,素材!$1:$1016,COLUMN($F$1),FALSE))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L200">
        <f>IF(ISNUMBER(SEARCH(SUBSTITUTE(AL$1,RIGHT(AL$1,2),""),VLOOKUP($D200,素材!$1:$1016,COLUMN($F$1),FALSE))),VLOOKUP($C200,装備品!$1:$998,COLUMN($O$1),FALSE)*VLOOKUP($D200,素材!$1:$1016,COLUMN($E$1),FALSE)/(LEN(VLOOKUP($D200,素材!$1:$1016,COLUMN($F$1),FALSE))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M200">
        <f>IF(ISNUMBER(SEARCH(SUBSTITUTE(AM$1,RIGHT(AM$1,2),""),VLOOKUP($D200,素材!$1:$1016,COLUMN($F$1),FALSE))),VLOOKUP($C200,装備品!$1:$998,COLUMN($O$1),FALSE)*VLOOKUP($D200,素材!$1:$1016,COLUMN($E$1),FALSE)/(LEN(VLOOKUP($D200,素材!$1:$1016,COLUMN($F$1),FALSE))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N200">
        <f>IF(ISNUMBER(SEARCH(SUBSTITUTE(AN$1,RIGHT(AN$1,2),""),VLOOKUP($D200,素材!$1:$1016,COLUMN($F$1),FALSE))),VLOOKUP($C200,装備品!$1:$998,COLUMN($O$1),FALSE)*VLOOKUP($D200,素材!$1:$1016,COLUMN($E$1),FALSE)/(LEN(VLOOKUP($D200,素材!$1:$1016,COLUMN($F$1),FALSE))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O200">
        <f>IF(ISNUMBER(SEARCH(SUBSTITUTE(AO$1,RIGHT(AO$1,2),""),VLOOKUP($D200,素材!$1:$1016,COLUMN($F$1),FALSE))),VLOOKUP($C200,装備品!$1:$998,COLUMN($O$1),FALSE)*VLOOKUP($D200,素材!$1:$1016,COLUMN($E$1),FALSE)/(LEN(VLOOKUP($D200,素材!$1:$1016,COLUMN($F$1),FALSE))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P200">
        <f>IF(ISNUMBER(SEARCH(SUBSTITUTE(AP$1,RIGHT(AP$1,2),""),VLOOKUP($D200,素材!$1:$1016,COLUMN($F$1),FALSE))),VLOOKUP($C200,装備品!$1:$998,COLUMN($O$1),FALSE)*VLOOKUP($D200,素材!$1:$1016,COLUMN($E$1),FALSE)/(LEN(VLOOKUP($D200,素材!$1:$1016,COLUMN($F$1),FALSE))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Q200">
        <f>IF(ISNUMBER(SEARCH(SUBSTITUTE(AQ$1,RIGHT(AQ$1,2),""),VLOOKUP($D200,素材!$1:$1016,COLUMN($F$1),FALSE))),VLOOKUP($C200,装備品!$1:$998,COLUMN($O$1),FALSE)*VLOOKUP($D200,素材!$1:$1016,COLUMN($E$1),FALSE)/(LEN(VLOOKUP($D200,素材!$1:$1016,COLUMN($F$1),FALSE))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R200">
        <f>IF(ISNUMBER(SEARCH(SUBSTITUTE(AR$1,RIGHT(AR$1,2),""),VLOOKUP($D200,素材!$1:$1016,COLUMN($F$1),FALSE))),VLOOKUP($C200,装備品!$1:$998,COLUMN($O$1),FALSE)*VLOOKUP($D200,素材!$1:$1016,COLUMN($E$1),FALSE)/(LEN(VLOOKUP($D200,素材!$1:$1016,COLUMN($F$1),FALSE))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S200">
        <f>IF(ISNUMBER(SEARCH(SUBSTITUTE(AS$1,RIGHT(AS$1,2),""),VLOOKUP($D200,素材!$1:$1016,COLUMN($F$1),FALSE))),VLOOKUP($C200,装備品!$1:$998,COLUMN($O$1),FALSE)*VLOOKUP($D200,素材!$1:$1016,COLUMN($E$1),FALSE)/(LEN(VLOOKUP($D200,素材!$1:$1016,COLUMN($F$1),FALSE))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T200">
        <f>IF(ISNUMBER(SEARCH(SUBSTITUTE(AT$1,RIGHT(AT$1,2),""),VLOOKUP($D200,素材!$1:$1016,COLUMN($F$1),FALSE))),VLOOKUP($C200,装備品!$1:$998,COLUMN($O$1),FALSE)*VLOOKUP($D200,素材!$1:$1016,COLUMN($E$1),FALSE)/(LEN(VLOOKUP($D200,素材!$1:$1016,COLUMN($F$1),FALSE))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U200">
        <f>IF(ISNUMBER(SEARCH(SUBSTITUTE(AU$1,RIGHT(AU$1,2),""),VLOOKUP($D200,素材!$1:$1016,COLUMN($F$1),FALSE))),VLOOKUP($C200,装備品!$1:$998,COLUMN($O$1),FALSE)*VLOOKUP($D200,素材!$1:$1016,COLUMN($E$1),FALSE)/(LEN(VLOOKUP($D200,素材!$1:$1016,COLUMN($F$1),FALSE))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V200">
        <f>IF(ISNUMBER(SEARCH(SUBSTITUTE(AV$1,RIGHT(AV$1,2),""),VLOOKUP($D200,素材!$1:$1016,COLUMN($F$1),FALSE))),VLOOKUP($C200,装備品!$1:$998,COLUMN($O$1),FALSE)*VLOOKUP($D200,素材!$1:$1016,COLUMN($E$1),FALSE)/(LEN(VLOOKUP($D200,素材!$1:$1016,COLUMN($F$1),FALSE))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W200">
        <f>IF(ISNUMBER(SEARCH(SUBSTITUTE(AW$1,RIGHT(AW$1,2),""),VLOOKUP($D200,素材!$1:$1016,COLUMN($F$1),FALSE))),VLOOKUP($C200,装備品!$1:$998,COLUMN($O$1),FALSE)*VLOOKUP($D200,素材!$1:$1016,COLUMN($E$1),FALSE)/(LEN(VLOOKUP($D200,素材!$1:$1016,COLUMN($F$1),FALSE))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X200">
        <f>IF(ISNUMBER(SEARCH(SUBSTITUTE(AX$1,RIGHT(AX$1,2),""),VLOOKUP($D200,素材!$1:$1016,COLUMN($F$1),FALSE))),VLOOKUP($C200,装備品!$1:$998,COLUMN($O$1),FALSE)*VLOOKUP($D200,素材!$1:$1016,COLUMN($E$1),FALSE)/(LEN(VLOOKUP($D200,素材!$1:$1016,COLUMN($F$1),FALSE))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Y200">
        <f>IF(ISNUMBER(SEARCH(SUBSTITUTE(AY$1,RIGHT(AY$1,2),""),VLOOKUP($D200,素材!$1:$1016,COLUMN($F$1),FALSE))),VLOOKUP($C200,装備品!$1:$998,COLUMN($O$1),FALSE)*VLOOKUP($D200,素材!$1:$1016,COLUMN($E$1),FALSE)/(LEN(VLOOKUP($D200,素材!$1:$1016,COLUMN($F$1),FALSE))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Z200">
        <f>IF(ISNUMBER(SEARCH(SUBSTITUTE(AZ$1,RIGHT(AZ$1,2),""),VLOOKUP($D200,素材!$1:$1016,COLUMN($F$1),FALSE))),VLOOKUP($C200,装備品!$1:$998,COLUMN($O$1),FALSE)*VLOOKUP($D200,素材!$1:$1016,COLUMN($E$1),FALSE)/(LEN(VLOOKUP($D200,素材!$1:$1016,COLUMN($F$1),FALSE))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BA200">
        <f>IF(ISNUMBER(SEARCH(SUBSTITUTE(BA$1,RIGHT(BA$1,2),""),VLOOKUP($D200,素材!$1:$1016,COLUMN($F$1),FALSE))),VLOOKUP($C200,装備品!$1:$998,COLUMN($O$1),FALSE)*VLOOKUP($D200,素材!$1:$1016,COLUMN($E$1),FALSE)/(LEN(VLOOKUP($D200,素材!$1:$1016,COLUMN($F$1),FALSE))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BB200">
        <f>IF(ISNUMBER(SEARCH(SUBSTITUTE(BB$1,RIGHT(BB$1,2),""),VLOOKUP($D200,素材!$1:$1016,COLUMN($F$1),FALSE))),VLOOKUP($C200,装備品!$1:$998,COLUMN($O$1),FALSE)*VLOOKUP($D200,素材!$1:$1016,COLUMN($E$1),FALSE)/(LEN(VLOOKUP($D200,素材!$1:$1016,COLUMN($F$1),FALSE))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BC200">
        <f>IF(ISNUMBER(SEARCH(SUBSTITUTE(BC$1,RIGHT(BC$1,2),""),VLOOKUP($D200,素材!$1:$1016,COLUMN($F$1),FALSE))),VLOOKUP($C200,装備品!$1:$998,COLUMN($O$1),FALSE)*VLOOKUP($D200,素材!$1:$1016,COLUMN($E$1),FALSE)/(LEN(VLOOKUP($D200,素材!$1:$1016,COLUMN($F$1),FALSE))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BD200">
        <f>IF(ISNUMBER(SEARCH(SUBSTITUTE(BD$1,RIGHT(BD$1,2),""),VLOOKUP($D200,素材!$1:$1016,COLUMN($F$1),FALSE))),VLOOKUP($C200,装備品!$1:$998,COLUMN($O$1),FALSE)*VLOOKUP($D200,素材!$1:$1016,COLUMN($E$1),FALSE)/(LEN(VLOOKUP($D200,素材!$1:$1016,COLUMN($F$1),FALSE))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BE200">
        <f>IF(ISNUMBER(SEARCH(SUBSTITUTE(BE$1,RIGHT(BE$1,2),""),VLOOKUP($D200,素材!$1:$1016,COLUMN($F$1),FALSE))),VLOOKUP($C200,装備品!$1:$998,COLUMN($O$1),FALSE)*VLOOKUP($D200,素材!$1:$1016,COLUMN($E$1),FALSE)/(LEN(VLOOKUP($D200,素材!$1:$1016,COLUMN($F$1),FALSE))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CL200">
        <f t="shared" si="35"/>
        <v>31</v>
      </c>
      <c r="CM200" s="22" t="str">
        <f t="shared" si="36"/>
        <v>切断.webp</v>
      </c>
      <c r="CN200">
        <f>IFERROR(VLOOKUP($C200,装備品!$1:$998,COLUMN(V$1),FALSE)*VLOOKUP($D200,素材!$1:$1016,COLUMN(N$1),FALSE)+IF(CI200="",0,VLOOKUP($CI200,付与!$1:$1176,COLUMN($CK$1),FALSE)),"")</f>
        <v>0</v>
      </c>
      <c r="CO200">
        <f>VLOOKUP(D200,素材!$A:$O,COLUMN(素材!O$1),FALSE)</f>
        <v>0</v>
      </c>
      <c r="CP200" t="str">
        <f>VLOOKUP(C200,装備品!$A:$AB,COLUMN(装備品!AB$1),FALSE)</f>
        <v>大剣。非常に重いが威力が突出して高い武器。大きい分ガードにも向いている</v>
      </c>
      <c r="CR200" t="str">
        <f t="shared" si="24"/>
        <v>e_200</v>
      </c>
      <c r="CS200">
        <f t="shared" si="28"/>
        <v>0</v>
      </c>
    </row>
    <row r="201" spans="1:97" outlineLevel="1" x14ac:dyDescent="0.4">
      <c r="A201" t="str">
        <f t="shared" si="34"/>
        <v>冷気鉄の細剣</v>
      </c>
      <c r="B201" t="str">
        <f>IFERROR(VLOOKUP($D201,素材!$1:$1016,COLUMN($B$1),FALSE)&amp;"・"&amp;VLOOKUP($C201,装備品!$1:$998,COLUMN(B$1),FALSE),"")</f>
        <v>ドゥララン・レイピア</v>
      </c>
      <c r="C201" s="24" t="s">
        <v>235</v>
      </c>
      <c r="D201" s="24" t="s">
        <v>242</v>
      </c>
      <c r="E201" t="str">
        <f>IFERROR(VLOOKUP(C201,装備品!$1:$998,COLUMN(C$1),FALSE),"")</f>
        <v>武器</v>
      </c>
      <c r="F201">
        <f>IFERROR(ROUNDDOWN((VLOOKUP($C201,装備品!$1:$998,COLUMN(D$1),FALSE)+IFERROR(VLOOKUP($CI201,付与!$1:$1167,COLUMN(F$1),FALSE),0))*VLOOKUP($D201,素材!$1:$1016,COLUMN(D$1),FALSE),0),"")</f>
        <v>100</v>
      </c>
      <c r="G201">
        <f>IFERROR(ROUNDDOWN((VLOOKUP($C201,装備品!$1:$998,COLUMN(E$1),FALSE)+IFERROR(VLOOKUP($CI201,付与!$1:$1167,COLUMN(G$1),FALSE),0))*VLOOKUP($D201,素材!$1:$1016,COLUMN($E$1),FALSE),0),"")</f>
        <v>9</v>
      </c>
      <c r="H201">
        <f>IFERROR(ROUNDDOWN((VLOOKUP($C201,装備品!$1:$998,COLUMN(F$1),FALSE)+IFERROR(VLOOKUP($CI201,付与!$1:$1167,COLUMN(H$1),FALSE),0))*VLOOKUP($D201,素材!$1:$1016,COLUMN($E$1),FALSE),0),"")</f>
        <v>13</v>
      </c>
      <c r="I201">
        <f>IFERROR(ROUNDDOWN((VLOOKUP($C201,装備品!$1:$998,COLUMN(G$1),FALSE)+IFERROR(VLOOKUP($CI201,付与!$1:$1167,COLUMN(I$1),FALSE),0))*VLOOKUP($D201,素材!$1:$1016,COLUMN($E$1),FALSE),0),"")</f>
        <v>0</v>
      </c>
      <c r="J201">
        <f>IFERROR(ROUNDDOWN((VLOOKUP($C201,装備品!$1:$998,COLUMN(H$1),FALSE)+IFERROR(VLOOKUP($CI201,付与!$1:$1167,COLUMN(J$1),FALSE),0))*VLOOKUP($D201,素材!$1:$1016,COLUMN($E$1),FALSE),0),"")</f>
        <v>16</v>
      </c>
      <c r="K201">
        <f>IFERROR(ROUNDDOWN((VLOOKUP($C201,装備品!$1:$998,COLUMN(I$1),FALSE)+IFERROR(VLOOKUP($CI201,付与!$1:$1167,COLUMN(K$1),FALSE),0))*VLOOKUP($D201,素材!$1:$1016,COLUMN($E$1),FALSE),0),"")</f>
        <v>0</v>
      </c>
      <c r="L201" t="str">
        <f>IFERROR(VLOOKUP($D201,素材!$1:$1016,COLUMN($F$1),FALSE),"")</f>
        <v>氷</v>
      </c>
      <c r="M201">
        <f>IFERROR(VLOOKUP($C201,装備品!$1:$998,COLUMN(AA$1),FALSE)*VLOOKUP($D201,素材!$1:$1016,COLUMN($G$1),FALSE),"")</f>
        <v>70</v>
      </c>
      <c r="N201">
        <f>IFERROR(VLOOKUP($C201,装備品!$1:$998,COLUMN(I$1),FALSE),"")</f>
        <v>0</v>
      </c>
      <c r="O201" s="23">
        <f>IFERROR((VLOOKUP($C201,装備品!$1:$998,COLUMN(K$1),FALSE)+VLOOKUP($D201,素材!$1:$1016,COLUMN(H$1),FALSE))*100+IFERROR(VLOOKUP($CI201,付与!$1:$1167,COLUMN(O$1),FALSE),0),"")</f>
        <v>15</v>
      </c>
      <c r="P201" s="23">
        <f>IFERROR((VLOOKUP($C201,装備品!$1:$998,COLUMN(L$1),FALSE)+VLOOKUP($D201,素材!$1:$1016,COLUMN(I$1),FALSE))*100+IFERROR(VLOOKUP($CI201,付与!$1:$1167,COLUMN(P$1),FALSE),0),"")</f>
        <v>125</v>
      </c>
      <c r="Q201">
        <f>IFERROR(ROUNDUP(VLOOKUP($C201,装備品!$1:$998,COLUMN(M$1),FALSE)*(VLOOKUP($D201,素材!$1:$1002,COLUMN(D$1),FALSE)/100),1),"")</f>
        <v>0</v>
      </c>
      <c r="R201">
        <f>IFERROR(ROUNDUP(VLOOKUP($C201,装備品!$1:$998,COLUMN(N$1),FALSE)*(VLOOKUP($D201,素材!$1:$1002,COLUMN(D$1),FALSE)/100),1),"")</f>
        <v>0</v>
      </c>
      <c r="S201">
        <f>IFERROR(VLOOKUP($C201,装備品!$1:$998,COLUMN(P$1),FALSE),"")</f>
        <v>0</v>
      </c>
      <c r="T201">
        <f>IFERROR(VLOOKUP($C201,装備品!$1:$998,COLUMN(Q$1),FALSE),"")</f>
        <v>0</v>
      </c>
      <c r="U201">
        <f>IFERROR(VLOOKUP($C201,装備品!$1:$998,COLUMN(R$1),FALSE),"")</f>
        <v>0</v>
      </c>
      <c r="V201">
        <f>IFERROR(VLOOKUP($C201,装備品!$1:$998,COLUMN(Q$1),FALSE),"")</f>
        <v>0</v>
      </c>
      <c r="W201">
        <f>IFERROR(VLOOKUP($C201,装備品!$1:$998,COLUMN(T$1),FALSE),"")</f>
        <v>0</v>
      </c>
      <c r="Y201">
        <f>IFERROR(VLOOKUP($C201,装備品!$1:$998,COLUMN(U$1),FALSE),"")</f>
        <v>0</v>
      </c>
      <c r="Z201">
        <f>IFERROR(ROUNDUP(VLOOKUP($C201,装備品!$1:$998,COLUMN(O$1),FALSE)*VLOOKUP($D201,素材!$1:$1016,COLUMN(E$1),FALSE),1),"")</f>
        <v>0</v>
      </c>
      <c r="AA201">
        <f>IF(ISNUMBER(SEARCH(SUBSTITUTE(AA$1,RIGHT(AA$1,2),""),VLOOKUP($D201,素材!$1:$1016,COLUMN($F$1),FALSE))),VLOOKUP($C201,装備品!$1:$998,COLUMN($O$1),FALSE)*VLOOKUP($D201,素材!$1:$1016,COLUMN($E$1),FALSE)/(LEN(VLOOKUP($D201,素材!$1:$1016,COLUMN($F$1),FALSE))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B201">
        <f>IF(ISNUMBER(SEARCH(SUBSTITUTE(AB$1,RIGHT(AB$1,2),""),VLOOKUP($D201,素材!$1:$1016,COLUMN($F$1),FALSE))),VLOOKUP($C201,装備品!$1:$998,COLUMN($O$1),FALSE)*VLOOKUP($D201,素材!$1:$1016,COLUMN($E$1),FALSE)/(LEN(VLOOKUP($D201,素材!$1:$1016,COLUMN($F$1),FALSE))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C201">
        <f>IF(ISNUMBER(SEARCH(SUBSTITUTE(AC$1,RIGHT(AC$1,2),""),VLOOKUP($D201,素材!$1:$1016,COLUMN($F$1),FALSE))),VLOOKUP($C201,装備品!$1:$998,COLUMN($O$1),FALSE)*VLOOKUP($D201,素材!$1:$1016,COLUMN($E$1),FALSE)/(LEN(VLOOKUP($D201,素材!$1:$1016,COLUMN($F$1),FALSE))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D201">
        <f>IF(ISNUMBER(SEARCH(SUBSTITUTE(AD$1,RIGHT(AD$1,2),""),VLOOKUP($D201,素材!$1:$1016,COLUMN($F$1),FALSE))),VLOOKUP($C201,装備品!$1:$998,COLUMN($O$1),FALSE)*VLOOKUP($D201,素材!$1:$1016,COLUMN($E$1),FALSE)/(LEN(VLOOKUP($D201,素材!$1:$1016,COLUMN($F$1),FALSE))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E201">
        <f>IF(ISNUMBER(SEARCH(SUBSTITUTE(AE$1,RIGHT(AE$1,2),""),VLOOKUP($D201,素材!$1:$1016,COLUMN($F$1),FALSE))),VLOOKUP($C201,装備品!$1:$998,COLUMN($O$1),FALSE)*VLOOKUP($D201,素材!$1:$1016,COLUMN($E$1),FALSE)/(LEN(VLOOKUP($D201,素材!$1:$1016,COLUMN($F$1),FALSE))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F201">
        <f>IF(ISNUMBER(SEARCH(SUBSTITUTE(AF$1,RIGHT(AF$1,2),""),VLOOKUP($D201,素材!$1:$1016,COLUMN($F$1),FALSE))),VLOOKUP($C201,装備品!$1:$998,COLUMN($O$1),FALSE)*VLOOKUP($D201,素材!$1:$1016,COLUMN($E$1),FALSE)/(LEN(VLOOKUP($D201,素材!$1:$1016,COLUMN($F$1),FALSE))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G201">
        <f>IF(ISNUMBER(SEARCH(SUBSTITUTE(AG$1,RIGHT(AG$1,2),""),VLOOKUP($D201,素材!$1:$1016,COLUMN($F$1),FALSE))),VLOOKUP($C201,装備品!$1:$998,COLUMN($O$1),FALSE)*VLOOKUP($D201,素材!$1:$1016,COLUMN($E$1),FALSE)/(LEN(VLOOKUP($D201,素材!$1:$1016,COLUMN($F$1),FALSE))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H201">
        <f>IF(ISNUMBER(SEARCH(SUBSTITUTE(AH$1,RIGHT(AH$1,2),""),VLOOKUP($D201,素材!$1:$1016,COLUMN($F$1),FALSE))),VLOOKUP($C201,装備品!$1:$998,COLUMN($O$1),FALSE)*VLOOKUP($D201,素材!$1:$1016,COLUMN($E$1),FALSE)/(LEN(VLOOKUP($D201,素材!$1:$1016,COLUMN($F$1),FALSE))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I201">
        <f>IF(ISNUMBER(SEARCH(SUBSTITUTE(AI$1,RIGHT(AI$1,2),""),VLOOKUP($D201,素材!$1:$1016,COLUMN($F$1),FALSE))),VLOOKUP($C201,装備品!$1:$998,COLUMN($O$1),FALSE)*VLOOKUP($D201,素材!$1:$1016,COLUMN($E$1),FALSE)/(LEN(VLOOKUP($D201,素材!$1:$1016,COLUMN($F$1),FALSE))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J201">
        <f>IF(ISNUMBER(SEARCH(SUBSTITUTE(AJ$1,RIGHT(AJ$1,2),""),VLOOKUP($D201,素材!$1:$1016,COLUMN($F$1),FALSE))),VLOOKUP($C201,装備品!$1:$998,COLUMN($O$1),FALSE)*VLOOKUP($D201,素材!$1:$1016,COLUMN($E$1),FALSE)/(LEN(VLOOKUP($D201,素材!$1:$1016,COLUMN($F$1),FALSE))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K201">
        <f>IF(ISNUMBER(SEARCH(SUBSTITUTE(AK$1,RIGHT(AK$1,2),""),VLOOKUP($D201,素材!$1:$1016,COLUMN($F$1),FALSE))),VLOOKUP($C201,装備品!$1:$998,COLUMN($O$1),FALSE)*VLOOKUP($D201,素材!$1:$1016,COLUMN($E$1),FALSE)/(LEN(VLOOKUP($D201,素材!$1:$1016,COLUMN($F$1),FALSE))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L201">
        <f>IF(ISNUMBER(SEARCH(SUBSTITUTE(AL$1,RIGHT(AL$1,2),""),VLOOKUP($D201,素材!$1:$1016,COLUMN($F$1),FALSE))),VLOOKUP($C201,装備品!$1:$998,COLUMN($O$1),FALSE)*VLOOKUP($D201,素材!$1:$1016,COLUMN($E$1),FALSE)/(LEN(VLOOKUP($D201,素材!$1:$1016,COLUMN($F$1),FALSE))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M201">
        <f>IF(ISNUMBER(SEARCH(SUBSTITUTE(AM$1,RIGHT(AM$1,2),""),VLOOKUP($D201,素材!$1:$1016,COLUMN($F$1),FALSE))),VLOOKUP($C201,装備品!$1:$998,COLUMN($O$1),FALSE)*VLOOKUP($D201,素材!$1:$1016,COLUMN($E$1),FALSE)/(LEN(VLOOKUP($D201,素材!$1:$1016,COLUMN($F$1),FALSE))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N201">
        <f>IF(ISNUMBER(SEARCH(SUBSTITUTE(AN$1,RIGHT(AN$1,2),""),VLOOKUP($D201,素材!$1:$1016,COLUMN($F$1),FALSE))),VLOOKUP($C201,装備品!$1:$998,COLUMN($O$1),FALSE)*VLOOKUP($D201,素材!$1:$1016,COLUMN($E$1),FALSE)/(LEN(VLOOKUP($D201,素材!$1:$1016,COLUMN($F$1),FALSE))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O201">
        <f>IF(ISNUMBER(SEARCH(SUBSTITUTE(AO$1,RIGHT(AO$1,2),""),VLOOKUP($D201,素材!$1:$1016,COLUMN($F$1),FALSE))),VLOOKUP($C201,装備品!$1:$998,COLUMN($O$1),FALSE)*VLOOKUP($D201,素材!$1:$1016,COLUMN($E$1),FALSE)/(LEN(VLOOKUP($D201,素材!$1:$1016,COLUMN($F$1),FALSE))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P201">
        <f>IF(ISNUMBER(SEARCH(SUBSTITUTE(AP$1,RIGHT(AP$1,2),""),VLOOKUP($D201,素材!$1:$1016,COLUMN($F$1),FALSE))),VLOOKUP($C201,装備品!$1:$998,COLUMN($O$1),FALSE)*VLOOKUP($D201,素材!$1:$1016,COLUMN($E$1),FALSE)/(LEN(VLOOKUP($D201,素材!$1:$1016,COLUMN($F$1),FALSE))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Q201">
        <f>IF(ISNUMBER(SEARCH(SUBSTITUTE(AQ$1,RIGHT(AQ$1,2),""),VLOOKUP($D201,素材!$1:$1016,COLUMN($F$1),FALSE))),VLOOKUP($C201,装備品!$1:$998,COLUMN($O$1),FALSE)*VLOOKUP($D201,素材!$1:$1016,COLUMN($E$1),FALSE)/(LEN(VLOOKUP($D201,素材!$1:$1016,COLUMN($F$1),FALSE))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R201">
        <f>IF(ISNUMBER(SEARCH(SUBSTITUTE(AR$1,RIGHT(AR$1,2),""),VLOOKUP($D201,素材!$1:$1016,COLUMN($F$1),FALSE))),VLOOKUP($C201,装備品!$1:$998,COLUMN($O$1),FALSE)*VLOOKUP($D201,素材!$1:$1016,COLUMN($E$1),FALSE)/(LEN(VLOOKUP($D201,素材!$1:$1016,COLUMN($F$1),FALSE))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S201">
        <f>IF(ISNUMBER(SEARCH(SUBSTITUTE(AS$1,RIGHT(AS$1,2),""),VLOOKUP($D201,素材!$1:$1016,COLUMN($F$1),FALSE))),VLOOKUP($C201,装備品!$1:$998,COLUMN($O$1),FALSE)*VLOOKUP($D201,素材!$1:$1016,COLUMN($E$1),FALSE)/(LEN(VLOOKUP($D201,素材!$1:$1016,COLUMN($F$1),FALSE))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T201">
        <f>IF(ISNUMBER(SEARCH(SUBSTITUTE(AT$1,RIGHT(AT$1,2),""),VLOOKUP($D201,素材!$1:$1016,COLUMN($F$1),FALSE))),VLOOKUP($C201,装備品!$1:$998,COLUMN($O$1),FALSE)*VLOOKUP($D201,素材!$1:$1016,COLUMN($E$1),FALSE)/(LEN(VLOOKUP($D201,素材!$1:$1016,COLUMN($F$1),FALSE))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U201">
        <f>IF(ISNUMBER(SEARCH(SUBSTITUTE(AU$1,RIGHT(AU$1,2),""),VLOOKUP($D201,素材!$1:$1016,COLUMN($F$1),FALSE))),VLOOKUP($C201,装備品!$1:$998,COLUMN($O$1),FALSE)*VLOOKUP($D201,素材!$1:$1016,COLUMN($E$1),FALSE)/(LEN(VLOOKUP($D201,素材!$1:$1016,COLUMN($F$1),FALSE))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V201">
        <f>IF(ISNUMBER(SEARCH(SUBSTITUTE(AV$1,RIGHT(AV$1,2),""),VLOOKUP($D201,素材!$1:$1016,COLUMN($F$1),FALSE))),VLOOKUP($C201,装備品!$1:$998,COLUMN($O$1),FALSE)*VLOOKUP($D201,素材!$1:$1016,COLUMN($E$1),FALSE)/(LEN(VLOOKUP($D201,素材!$1:$1016,COLUMN($F$1),FALSE))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W201">
        <f>IF(ISNUMBER(SEARCH(SUBSTITUTE(AW$1,RIGHT(AW$1,2),""),VLOOKUP($D201,素材!$1:$1016,COLUMN($F$1),FALSE))),VLOOKUP($C201,装備品!$1:$998,COLUMN($O$1),FALSE)*VLOOKUP($D201,素材!$1:$1016,COLUMN($E$1),FALSE)/(LEN(VLOOKUP($D201,素材!$1:$1016,COLUMN($F$1),FALSE))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X201">
        <f>IF(ISNUMBER(SEARCH(SUBSTITUTE(AX$1,RIGHT(AX$1,2),""),VLOOKUP($D201,素材!$1:$1016,COLUMN($F$1),FALSE))),VLOOKUP($C201,装備品!$1:$998,COLUMN($O$1),FALSE)*VLOOKUP($D201,素材!$1:$1016,COLUMN($E$1),FALSE)/(LEN(VLOOKUP($D201,素材!$1:$1016,COLUMN($F$1),FALSE))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Y201">
        <f>IF(ISNUMBER(SEARCH(SUBSTITUTE(AY$1,RIGHT(AY$1,2),""),VLOOKUP($D201,素材!$1:$1016,COLUMN($F$1),FALSE))),VLOOKUP($C201,装備品!$1:$998,COLUMN($O$1),FALSE)*VLOOKUP($D201,素材!$1:$1016,COLUMN($E$1),FALSE)/(LEN(VLOOKUP($D201,素材!$1:$1016,COLUMN($F$1),FALSE))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Z201">
        <f>IF(ISNUMBER(SEARCH(SUBSTITUTE(AZ$1,RIGHT(AZ$1,2),""),VLOOKUP($D201,素材!$1:$1016,COLUMN($F$1),FALSE))),VLOOKUP($C201,装備品!$1:$998,COLUMN($O$1),FALSE)*VLOOKUP($D201,素材!$1:$1016,COLUMN($E$1),FALSE)/(LEN(VLOOKUP($D201,素材!$1:$1016,COLUMN($F$1),FALSE))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BA201">
        <f>IF(ISNUMBER(SEARCH(SUBSTITUTE(BA$1,RIGHT(BA$1,2),""),VLOOKUP($D201,素材!$1:$1016,COLUMN($F$1),FALSE))),VLOOKUP($C201,装備品!$1:$998,COLUMN($O$1),FALSE)*VLOOKUP($D201,素材!$1:$1016,COLUMN($E$1),FALSE)/(LEN(VLOOKUP($D201,素材!$1:$1016,COLUMN($F$1),FALSE))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BB201">
        <f>IF(ISNUMBER(SEARCH(SUBSTITUTE(BB$1,RIGHT(BB$1,2),""),VLOOKUP($D201,素材!$1:$1016,COLUMN($F$1),FALSE))),VLOOKUP($C201,装備品!$1:$998,COLUMN($O$1),FALSE)*VLOOKUP($D201,素材!$1:$1016,COLUMN($E$1),FALSE)/(LEN(VLOOKUP($D201,素材!$1:$1016,COLUMN($F$1),FALSE))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BC201">
        <f>IF(ISNUMBER(SEARCH(SUBSTITUTE(BC$1,RIGHT(BC$1,2),""),VLOOKUP($D201,素材!$1:$1016,COLUMN($F$1),FALSE))),VLOOKUP($C201,装備品!$1:$998,COLUMN($O$1),FALSE)*VLOOKUP($D201,素材!$1:$1016,COLUMN($E$1),FALSE)/(LEN(VLOOKUP($D201,素材!$1:$1016,COLUMN($F$1),FALSE))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BD201">
        <f>IF(ISNUMBER(SEARCH(SUBSTITUTE(BD$1,RIGHT(BD$1,2),""),VLOOKUP($D201,素材!$1:$1016,COLUMN($F$1),FALSE))),VLOOKUP($C201,装備品!$1:$998,COLUMN($O$1),FALSE)*VLOOKUP($D201,素材!$1:$1016,COLUMN($E$1),FALSE)/(LEN(VLOOKUP($D201,素材!$1:$1016,COLUMN($F$1),FALSE))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BE201">
        <f>IF(ISNUMBER(SEARCH(SUBSTITUTE(BE$1,RIGHT(BE$1,2),""),VLOOKUP($D201,素材!$1:$1016,COLUMN($F$1),FALSE))),VLOOKUP($C201,装備品!$1:$998,COLUMN($O$1),FALSE)*VLOOKUP($D201,素材!$1:$1016,COLUMN($E$1),FALSE)/(LEN(VLOOKUP($D201,素材!$1:$1016,COLUMN($F$1),FALSE))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CL201">
        <f t="shared" si="35"/>
        <v>22</v>
      </c>
      <c r="CM201" s="22" t="str">
        <f t="shared" si="36"/>
        <v>貫通.webp</v>
      </c>
      <c r="CN201">
        <f>IFERROR(VLOOKUP($C201,装備品!$1:$998,COLUMN(V$1),FALSE)*VLOOKUP($D201,素材!$1:$1016,COLUMN(N$1),FALSE)+IF(CI201="",0,VLOOKUP($CI201,付与!$1:$1176,COLUMN($CK$1),FALSE)),"")</f>
        <v>0</v>
      </c>
      <c r="CO201">
        <f>VLOOKUP(D201,素材!$A:$O,COLUMN(素材!O$1),FALSE)</f>
        <v>0</v>
      </c>
      <c r="CP201" t="str">
        <f>VLOOKUP(C201,装備品!$A:$AB,COLUMN(装備品!AB$1),FALSE)</f>
        <v>細剣。刺突に優れた武器でCr率が高い</v>
      </c>
      <c r="CR201" t="str">
        <f t="shared" si="24"/>
        <v>e_201</v>
      </c>
      <c r="CS201">
        <f t="shared" si="28"/>
        <v>0</v>
      </c>
    </row>
    <row r="202" spans="1:97" outlineLevel="1" x14ac:dyDescent="0.4">
      <c r="A202" t="str">
        <f t="shared" si="34"/>
        <v>冷気鉄の刺剣</v>
      </c>
      <c r="B202" t="str">
        <f>IFERROR(VLOOKUP($D202,素材!$1:$1016,COLUMN($B$1),FALSE)&amp;"・"&amp;VLOOKUP($C202,装備品!$1:$998,COLUMN(B$1),FALSE),"")</f>
        <v>ドゥララン・スティレット</v>
      </c>
      <c r="C202" s="24" t="s">
        <v>234</v>
      </c>
      <c r="D202" s="24" t="s">
        <v>242</v>
      </c>
      <c r="E202" t="str">
        <f>IFERROR(VLOOKUP(C202,装備品!$1:$998,COLUMN(C$1),FALSE),"")</f>
        <v>武器</v>
      </c>
      <c r="F202">
        <f>IFERROR(ROUNDDOWN((VLOOKUP($C202,装備品!$1:$998,COLUMN(D$1),FALSE)+IFERROR(VLOOKUP($CI202,付与!$1:$1167,COLUMN(F$1),FALSE),0))*VLOOKUP($D202,素材!$1:$1016,COLUMN(D$1),FALSE),0),"")</f>
        <v>110</v>
      </c>
      <c r="G202">
        <f>IFERROR(ROUNDDOWN((VLOOKUP($C202,装備品!$1:$998,COLUMN(E$1),FALSE)+IFERROR(VLOOKUP($CI202,付与!$1:$1167,COLUMN(G$1),FALSE),0))*VLOOKUP($D202,素材!$1:$1016,COLUMN($E$1),FALSE),0),"")</f>
        <v>4</v>
      </c>
      <c r="H202">
        <f>IFERROR(ROUNDDOWN((VLOOKUP($C202,装備品!$1:$998,COLUMN(F$1),FALSE)+IFERROR(VLOOKUP($CI202,付与!$1:$1167,COLUMN(H$1),FALSE),0))*VLOOKUP($D202,素材!$1:$1016,COLUMN($E$1),FALSE),0),"")</f>
        <v>18</v>
      </c>
      <c r="I202">
        <f>IFERROR(ROUNDDOWN((VLOOKUP($C202,装備品!$1:$998,COLUMN(G$1),FALSE)+IFERROR(VLOOKUP($CI202,付与!$1:$1167,COLUMN(I$1),FALSE),0))*VLOOKUP($D202,素材!$1:$1016,COLUMN($E$1),FALSE),0),"")</f>
        <v>0</v>
      </c>
      <c r="J202">
        <f>IFERROR(ROUNDDOWN((VLOOKUP($C202,装備品!$1:$998,COLUMN(H$1),FALSE)+IFERROR(VLOOKUP($CI202,付与!$1:$1167,COLUMN(J$1),FALSE),0))*VLOOKUP($D202,素材!$1:$1016,COLUMN($E$1),FALSE),0),"")</f>
        <v>17</v>
      </c>
      <c r="K202">
        <f>IFERROR(ROUNDDOWN((VLOOKUP($C202,装備品!$1:$998,COLUMN(I$1),FALSE)+IFERROR(VLOOKUP($CI202,付与!$1:$1167,COLUMN(K$1),FALSE),0))*VLOOKUP($D202,素材!$1:$1016,COLUMN($E$1),FALSE),0),"")</f>
        <v>0</v>
      </c>
      <c r="L202" t="str">
        <f>IFERROR(VLOOKUP($D202,素材!$1:$1016,COLUMN($F$1),FALSE),"")</f>
        <v>氷</v>
      </c>
      <c r="M202">
        <f>IFERROR(VLOOKUP($C202,装備品!$1:$998,COLUMN(AA$1),FALSE)*VLOOKUP($D202,素材!$1:$1016,COLUMN($G$1),FALSE),"")</f>
        <v>52.5</v>
      </c>
      <c r="N202">
        <f>IFERROR(VLOOKUP($C202,装備品!$1:$998,COLUMN(I$1),FALSE),"")</f>
        <v>0</v>
      </c>
      <c r="O202" s="23">
        <f>IFERROR((VLOOKUP($C202,装備品!$1:$998,COLUMN(K$1),FALSE)+VLOOKUP($D202,素材!$1:$1016,COLUMN(H$1),FALSE))*100+IFERROR(VLOOKUP($CI202,付与!$1:$1167,COLUMN(O$1),FALSE),0),"")</f>
        <v>10</v>
      </c>
      <c r="P202" s="23">
        <f>IFERROR((VLOOKUP($C202,装備品!$1:$998,COLUMN(L$1),FALSE)+VLOOKUP($D202,素材!$1:$1016,COLUMN(I$1),FALSE))*100+IFERROR(VLOOKUP($CI202,付与!$1:$1167,COLUMN(P$1),FALSE),0),"")</f>
        <v>150</v>
      </c>
      <c r="Q202">
        <f>IFERROR(ROUNDUP(VLOOKUP($C202,装備品!$1:$998,COLUMN(M$1),FALSE)*(VLOOKUP($D202,素材!$1:$1002,COLUMN(D$1),FALSE)/100),1),"")</f>
        <v>0</v>
      </c>
      <c r="R202">
        <f>IFERROR(ROUNDUP(VLOOKUP($C202,装備品!$1:$998,COLUMN(N$1),FALSE)*(VLOOKUP($D202,素材!$1:$1002,COLUMN(D$1),FALSE)/100),1),"")</f>
        <v>0</v>
      </c>
      <c r="S202">
        <f>IFERROR(VLOOKUP($C202,装備品!$1:$998,COLUMN(P$1),FALSE),"")</f>
        <v>0</v>
      </c>
      <c r="T202">
        <f>IFERROR(VLOOKUP($C202,装備品!$1:$998,COLUMN(Q$1),FALSE),"")</f>
        <v>0</v>
      </c>
      <c r="U202">
        <f>IFERROR(VLOOKUP($C202,装備品!$1:$998,COLUMN(R$1),FALSE),"")</f>
        <v>0</v>
      </c>
      <c r="V202">
        <f>IFERROR(VLOOKUP($C202,装備品!$1:$998,COLUMN(Q$1),FALSE),"")</f>
        <v>0</v>
      </c>
      <c r="W202">
        <f>IFERROR(VLOOKUP($C202,装備品!$1:$998,COLUMN(T$1),FALSE),"")</f>
        <v>0</v>
      </c>
      <c r="Y202">
        <f>IFERROR(VLOOKUP($C202,装備品!$1:$998,COLUMN(U$1),FALSE),"")</f>
        <v>0</v>
      </c>
      <c r="Z202">
        <f>IFERROR(ROUNDUP(VLOOKUP($C202,装備品!$1:$998,COLUMN(O$1),FALSE)*VLOOKUP($D202,素材!$1:$1016,COLUMN(E$1),FALSE),1),"")</f>
        <v>0</v>
      </c>
      <c r="AA202">
        <f>IF(ISNUMBER(SEARCH(SUBSTITUTE(AA$1,RIGHT(AA$1,2),""),VLOOKUP($D202,素材!$1:$1016,COLUMN($F$1),FALSE))),VLOOKUP($C202,装備品!$1:$998,COLUMN($O$1),FALSE)*VLOOKUP($D202,素材!$1:$1016,COLUMN($E$1),FALSE)/(LEN(VLOOKUP($D202,素材!$1:$1016,COLUMN($F$1),FALSE))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B202">
        <f>IF(ISNUMBER(SEARCH(SUBSTITUTE(AB$1,RIGHT(AB$1,2),""),VLOOKUP($D202,素材!$1:$1016,COLUMN($F$1),FALSE))),VLOOKUP($C202,装備品!$1:$998,COLUMN($O$1),FALSE)*VLOOKUP($D202,素材!$1:$1016,COLUMN($E$1),FALSE)/(LEN(VLOOKUP($D202,素材!$1:$1016,COLUMN($F$1),FALSE))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C202">
        <f>IF(ISNUMBER(SEARCH(SUBSTITUTE(AC$1,RIGHT(AC$1,2),""),VLOOKUP($D202,素材!$1:$1016,COLUMN($F$1),FALSE))),VLOOKUP($C202,装備品!$1:$998,COLUMN($O$1),FALSE)*VLOOKUP($D202,素材!$1:$1016,COLUMN($E$1),FALSE)/(LEN(VLOOKUP($D202,素材!$1:$1016,COLUMN($F$1),FALSE))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D202">
        <f>IF(ISNUMBER(SEARCH(SUBSTITUTE(AD$1,RIGHT(AD$1,2),""),VLOOKUP($D202,素材!$1:$1016,COLUMN($F$1),FALSE))),VLOOKUP($C202,装備品!$1:$998,COLUMN($O$1),FALSE)*VLOOKUP($D202,素材!$1:$1016,COLUMN($E$1),FALSE)/(LEN(VLOOKUP($D202,素材!$1:$1016,COLUMN($F$1),FALSE))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E202">
        <f>IF(ISNUMBER(SEARCH(SUBSTITUTE(AE$1,RIGHT(AE$1,2),""),VLOOKUP($D202,素材!$1:$1016,COLUMN($F$1),FALSE))),VLOOKUP($C202,装備品!$1:$998,COLUMN($O$1),FALSE)*VLOOKUP($D202,素材!$1:$1016,COLUMN($E$1),FALSE)/(LEN(VLOOKUP($D202,素材!$1:$1016,COLUMN($F$1),FALSE))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F202">
        <f>IF(ISNUMBER(SEARCH(SUBSTITUTE(AF$1,RIGHT(AF$1,2),""),VLOOKUP($D202,素材!$1:$1016,COLUMN($F$1),FALSE))),VLOOKUP($C202,装備品!$1:$998,COLUMN($O$1),FALSE)*VLOOKUP($D202,素材!$1:$1016,COLUMN($E$1),FALSE)/(LEN(VLOOKUP($D202,素材!$1:$1016,COLUMN($F$1),FALSE))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G202">
        <f>IF(ISNUMBER(SEARCH(SUBSTITUTE(AG$1,RIGHT(AG$1,2),""),VLOOKUP($D202,素材!$1:$1016,COLUMN($F$1),FALSE))),VLOOKUP($C202,装備品!$1:$998,COLUMN($O$1),FALSE)*VLOOKUP($D202,素材!$1:$1016,COLUMN($E$1),FALSE)/(LEN(VLOOKUP($D202,素材!$1:$1016,COLUMN($F$1),FALSE))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H202">
        <f>IF(ISNUMBER(SEARCH(SUBSTITUTE(AH$1,RIGHT(AH$1,2),""),VLOOKUP($D202,素材!$1:$1016,COLUMN($F$1),FALSE))),VLOOKUP($C202,装備品!$1:$998,COLUMN($O$1),FALSE)*VLOOKUP($D202,素材!$1:$1016,COLUMN($E$1),FALSE)/(LEN(VLOOKUP($D202,素材!$1:$1016,COLUMN($F$1),FALSE))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I202">
        <f>IF(ISNUMBER(SEARCH(SUBSTITUTE(AI$1,RIGHT(AI$1,2),""),VLOOKUP($D202,素材!$1:$1016,COLUMN($F$1),FALSE))),VLOOKUP($C202,装備品!$1:$998,COLUMN($O$1),FALSE)*VLOOKUP($D202,素材!$1:$1016,COLUMN($E$1),FALSE)/(LEN(VLOOKUP($D202,素材!$1:$1016,COLUMN($F$1),FALSE))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J202">
        <f>IF(ISNUMBER(SEARCH(SUBSTITUTE(AJ$1,RIGHT(AJ$1,2),""),VLOOKUP($D202,素材!$1:$1016,COLUMN($F$1),FALSE))),VLOOKUP($C202,装備品!$1:$998,COLUMN($O$1),FALSE)*VLOOKUP($D202,素材!$1:$1016,COLUMN($E$1),FALSE)/(LEN(VLOOKUP($D202,素材!$1:$1016,COLUMN($F$1),FALSE))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K202">
        <f>IF(ISNUMBER(SEARCH(SUBSTITUTE(AK$1,RIGHT(AK$1,2),""),VLOOKUP($D202,素材!$1:$1016,COLUMN($F$1),FALSE))),VLOOKUP($C202,装備品!$1:$998,COLUMN($O$1),FALSE)*VLOOKUP($D202,素材!$1:$1016,COLUMN($E$1),FALSE)/(LEN(VLOOKUP($D202,素材!$1:$1016,COLUMN($F$1),FALSE))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L202">
        <f>IF(ISNUMBER(SEARCH(SUBSTITUTE(AL$1,RIGHT(AL$1,2),""),VLOOKUP($D202,素材!$1:$1016,COLUMN($F$1),FALSE))),VLOOKUP($C202,装備品!$1:$998,COLUMN($O$1),FALSE)*VLOOKUP($D202,素材!$1:$1016,COLUMN($E$1),FALSE)/(LEN(VLOOKUP($D202,素材!$1:$1016,COLUMN($F$1),FALSE))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M202">
        <f>IF(ISNUMBER(SEARCH(SUBSTITUTE(AM$1,RIGHT(AM$1,2),""),VLOOKUP($D202,素材!$1:$1016,COLUMN($F$1),FALSE))),VLOOKUP($C202,装備品!$1:$998,COLUMN($O$1),FALSE)*VLOOKUP($D202,素材!$1:$1016,COLUMN($E$1),FALSE)/(LEN(VLOOKUP($D202,素材!$1:$1016,COLUMN($F$1),FALSE))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N202">
        <f>IF(ISNUMBER(SEARCH(SUBSTITUTE(AN$1,RIGHT(AN$1,2),""),VLOOKUP($D202,素材!$1:$1016,COLUMN($F$1),FALSE))),VLOOKUP($C202,装備品!$1:$998,COLUMN($O$1),FALSE)*VLOOKUP($D202,素材!$1:$1016,COLUMN($E$1),FALSE)/(LEN(VLOOKUP($D202,素材!$1:$1016,COLUMN($F$1),FALSE))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O202">
        <f>IF(ISNUMBER(SEARCH(SUBSTITUTE(AO$1,RIGHT(AO$1,2),""),VLOOKUP($D202,素材!$1:$1016,COLUMN($F$1),FALSE))),VLOOKUP($C202,装備品!$1:$998,COLUMN($O$1),FALSE)*VLOOKUP($D202,素材!$1:$1016,COLUMN($E$1),FALSE)/(LEN(VLOOKUP($D202,素材!$1:$1016,COLUMN($F$1),FALSE))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P202">
        <f>IF(ISNUMBER(SEARCH(SUBSTITUTE(AP$1,RIGHT(AP$1,2),""),VLOOKUP($D202,素材!$1:$1016,COLUMN($F$1),FALSE))),VLOOKUP($C202,装備品!$1:$998,COLUMN($O$1),FALSE)*VLOOKUP($D202,素材!$1:$1016,COLUMN($E$1),FALSE)/(LEN(VLOOKUP($D202,素材!$1:$1016,COLUMN($F$1),FALSE))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Q202">
        <f>IF(ISNUMBER(SEARCH(SUBSTITUTE(AQ$1,RIGHT(AQ$1,2),""),VLOOKUP($D202,素材!$1:$1016,COLUMN($F$1),FALSE))),VLOOKUP($C202,装備品!$1:$998,COLUMN($O$1),FALSE)*VLOOKUP($D202,素材!$1:$1016,COLUMN($E$1),FALSE)/(LEN(VLOOKUP($D202,素材!$1:$1016,COLUMN($F$1),FALSE))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R202">
        <f>IF(ISNUMBER(SEARCH(SUBSTITUTE(AR$1,RIGHT(AR$1,2),""),VLOOKUP($D202,素材!$1:$1016,COLUMN($F$1),FALSE))),VLOOKUP($C202,装備品!$1:$998,COLUMN($O$1),FALSE)*VLOOKUP($D202,素材!$1:$1016,COLUMN($E$1),FALSE)/(LEN(VLOOKUP($D202,素材!$1:$1016,COLUMN($F$1),FALSE))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S202">
        <f>IF(ISNUMBER(SEARCH(SUBSTITUTE(AS$1,RIGHT(AS$1,2),""),VLOOKUP($D202,素材!$1:$1016,COLUMN($F$1),FALSE))),VLOOKUP($C202,装備品!$1:$998,COLUMN($O$1),FALSE)*VLOOKUP($D202,素材!$1:$1016,COLUMN($E$1),FALSE)/(LEN(VLOOKUP($D202,素材!$1:$1016,COLUMN($F$1),FALSE))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T202">
        <f>IF(ISNUMBER(SEARCH(SUBSTITUTE(AT$1,RIGHT(AT$1,2),""),VLOOKUP($D202,素材!$1:$1016,COLUMN($F$1),FALSE))),VLOOKUP($C202,装備品!$1:$998,COLUMN($O$1),FALSE)*VLOOKUP($D202,素材!$1:$1016,COLUMN($E$1),FALSE)/(LEN(VLOOKUP($D202,素材!$1:$1016,COLUMN($F$1),FALSE))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U202">
        <f>IF(ISNUMBER(SEARCH(SUBSTITUTE(AU$1,RIGHT(AU$1,2),""),VLOOKUP($D202,素材!$1:$1016,COLUMN($F$1),FALSE))),VLOOKUP($C202,装備品!$1:$998,COLUMN($O$1),FALSE)*VLOOKUP($D202,素材!$1:$1016,COLUMN($E$1),FALSE)/(LEN(VLOOKUP($D202,素材!$1:$1016,COLUMN($F$1),FALSE))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V202">
        <f>IF(ISNUMBER(SEARCH(SUBSTITUTE(AV$1,RIGHT(AV$1,2),""),VLOOKUP($D202,素材!$1:$1016,COLUMN($F$1),FALSE))),VLOOKUP($C202,装備品!$1:$998,COLUMN($O$1),FALSE)*VLOOKUP($D202,素材!$1:$1016,COLUMN($E$1),FALSE)/(LEN(VLOOKUP($D202,素材!$1:$1016,COLUMN($F$1),FALSE))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W202">
        <f>IF(ISNUMBER(SEARCH(SUBSTITUTE(AW$1,RIGHT(AW$1,2),""),VLOOKUP($D202,素材!$1:$1016,COLUMN($F$1),FALSE))),VLOOKUP($C202,装備品!$1:$998,COLUMN($O$1),FALSE)*VLOOKUP($D202,素材!$1:$1016,COLUMN($E$1),FALSE)/(LEN(VLOOKUP($D202,素材!$1:$1016,COLUMN($F$1),FALSE))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X202">
        <f>IF(ISNUMBER(SEARCH(SUBSTITUTE(AX$1,RIGHT(AX$1,2),""),VLOOKUP($D202,素材!$1:$1016,COLUMN($F$1),FALSE))),VLOOKUP($C202,装備品!$1:$998,COLUMN($O$1),FALSE)*VLOOKUP($D202,素材!$1:$1016,COLUMN($E$1),FALSE)/(LEN(VLOOKUP($D202,素材!$1:$1016,COLUMN($F$1),FALSE))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Y202">
        <f>IF(ISNUMBER(SEARCH(SUBSTITUTE(AY$1,RIGHT(AY$1,2),""),VLOOKUP($D202,素材!$1:$1016,COLUMN($F$1),FALSE))),VLOOKUP($C202,装備品!$1:$998,COLUMN($O$1),FALSE)*VLOOKUP($D202,素材!$1:$1016,COLUMN($E$1),FALSE)/(LEN(VLOOKUP($D202,素材!$1:$1016,COLUMN($F$1),FALSE))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Z202">
        <f>IF(ISNUMBER(SEARCH(SUBSTITUTE(AZ$1,RIGHT(AZ$1,2),""),VLOOKUP($D202,素材!$1:$1016,COLUMN($F$1),FALSE))),VLOOKUP($C202,装備品!$1:$998,COLUMN($O$1),FALSE)*VLOOKUP($D202,素材!$1:$1016,COLUMN($E$1),FALSE)/(LEN(VLOOKUP($D202,素材!$1:$1016,COLUMN($F$1),FALSE))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BA202">
        <f>IF(ISNUMBER(SEARCH(SUBSTITUTE(BA$1,RIGHT(BA$1,2),""),VLOOKUP($D202,素材!$1:$1016,COLUMN($F$1),FALSE))),VLOOKUP($C202,装備品!$1:$998,COLUMN($O$1),FALSE)*VLOOKUP($D202,素材!$1:$1016,COLUMN($E$1),FALSE)/(LEN(VLOOKUP($D202,素材!$1:$1016,COLUMN($F$1),FALSE))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BB202">
        <f>IF(ISNUMBER(SEARCH(SUBSTITUTE(BB$1,RIGHT(BB$1,2),""),VLOOKUP($D202,素材!$1:$1016,COLUMN($F$1),FALSE))),VLOOKUP($C202,装備品!$1:$998,COLUMN($O$1),FALSE)*VLOOKUP($D202,素材!$1:$1016,COLUMN($E$1),FALSE)/(LEN(VLOOKUP($D202,素材!$1:$1016,COLUMN($F$1),FALSE))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BC202">
        <f>IF(ISNUMBER(SEARCH(SUBSTITUTE(BC$1,RIGHT(BC$1,2),""),VLOOKUP($D202,素材!$1:$1016,COLUMN($F$1),FALSE))),VLOOKUP($C202,装備品!$1:$998,COLUMN($O$1),FALSE)*VLOOKUP($D202,素材!$1:$1016,COLUMN($E$1),FALSE)/(LEN(VLOOKUP($D202,素材!$1:$1016,COLUMN($F$1),FALSE))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BD202">
        <f>IF(ISNUMBER(SEARCH(SUBSTITUTE(BD$1,RIGHT(BD$1,2),""),VLOOKUP($D202,素材!$1:$1016,COLUMN($F$1),FALSE))),VLOOKUP($C202,装備品!$1:$998,COLUMN($O$1),FALSE)*VLOOKUP($D202,素材!$1:$1016,COLUMN($E$1),FALSE)/(LEN(VLOOKUP($D202,素材!$1:$1016,COLUMN($F$1),FALSE))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BE202">
        <f>IF(ISNUMBER(SEARCH(SUBSTITUTE(BE$1,RIGHT(BE$1,2),""),VLOOKUP($D202,素材!$1:$1016,COLUMN($F$1),FALSE))),VLOOKUP($C202,装備品!$1:$998,COLUMN($O$1),FALSE)*VLOOKUP($D202,素材!$1:$1016,COLUMN($E$1),FALSE)/(LEN(VLOOKUP($D202,素材!$1:$1016,COLUMN($F$1),FALSE))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CL202">
        <f t="shared" si="35"/>
        <v>22</v>
      </c>
      <c r="CM202" s="22" t="str">
        <f t="shared" si="36"/>
        <v>貫通.webp</v>
      </c>
      <c r="CN202">
        <f>IFERROR(VLOOKUP($C202,装備品!$1:$998,COLUMN(V$1),FALSE)*VLOOKUP($D202,素材!$1:$1016,COLUMN(N$1),FALSE)+IF(CI202="",0,VLOOKUP($CI202,付与!$1:$1176,COLUMN($CK$1),FALSE)),"")</f>
        <v>0</v>
      </c>
      <c r="CO202">
        <f>VLOOKUP(D202,素材!$A:$O,COLUMN(素材!O$1),FALSE)</f>
        <v>0</v>
      </c>
      <c r="CP202" t="str">
        <f>VLOOKUP(C202,装備品!$A:$AB,COLUMN(装備品!AB$1),FALSE)</f>
        <v>刺剣。小型で精密な攻撃が可能な武器。</v>
      </c>
      <c r="CR202" t="str">
        <f t="shared" si="24"/>
        <v>e_202</v>
      </c>
      <c r="CS202">
        <f t="shared" si="28"/>
        <v>0</v>
      </c>
    </row>
    <row r="203" spans="1:97" outlineLevel="1" x14ac:dyDescent="0.4">
      <c r="A203" t="str">
        <f t="shared" si="34"/>
        <v>冷気鉄の短槍</v>
      </c>
      <c r="B203" t="str">
        <f>IFERROR(VLOOKUP($D203,素材!$1:$1016,COLUMN($B$1),FALSE)&amp;"・"&amp;VLOOKUP($C203,装備品!$1:$998,COLUMN(B$1),FALSE),"")</f>
        <v>ドゥララン・ショートスピア</v>
      </c>
      <c r="C203" s="24" t="s">
        <v>233</v>
      </c>
      <c r="D203" s="24" t="s">
        <v>242</v>
      </c>
      <c r="E203" t="str">
        <f>IFERROR(VLOOKUP(C203,装備品!$1:$998,COLUMN(C$1),FALSE),"")</f>
        <v>武器</v>
      </c>
      <c r="F203">
        <f>IFERROR(ROUNDDOWN((VLOOKUP($C203,装備品!$1:$998,COLUMN(D$1),FALSE)+IFERROR(VLOOKUP($CI203,付与!$1:$1167,COLUMN(F$1),FALSE),0))*VLOOKUP($D203,素材!$1:$1016,COLUMN(D$1),FALSE),0),"")</f>
        <v>105</v>
      </c>
      <c r="G203">
        <f>IFERROR(ROUNDDOWN((VLOOKUP($C203,装備品!$1:$998,COLUMN(E$1),FALSE)+IFERROR(VLOOKUP($CI203,付与!$1:$1167,COLUMN(G$1),FALSE),0))*VLOOKUP($D203,素材!$1:$1016,COLUMN($E$1),FALSE),0),"")</f>
        <v>8</v>
      </c>
      <c r="H203">
        <f>IFERROR(ROUNDDOWN((VLOOKUP($C203,装備品!$1:$998,COLUMN(F$1),FALSE)+IFERROR(VLOOKUP($CI203,付与!$1:$1167,COLUMN(H$1),FALSE),0))*VLOOKUP($D203,素材!$1:$1016,COLUMN($E$1),FALSE),0),"")</f>
        <v>14</v>
      </c>
      <c r="I203">
        <f>IFERROR(ROUNDDOWN((VLOOKUP($C203,装備品!$1:$998,COLUMN(G$1),FALSE)+IFERROR(VLOOKUP($CI203,付与!$1:$1167,COLUMN(I$1),FALSE),0))*VLOOKUP($D203,素材!$1:$1016,COLUMN($E$1),FALSE),0),"")</f>
        <v>3</v>
      </c>
      <c r="J203">
        <f>IFERROR(ROUNDDOWN((VLOOKUP($C203,装備品!$1:$998,COLUMN(H$1),FALSE)+IFERROR(VLOOKUP($CI203,付与!$1:$1167,COLUMN(J$1),FALSE),0))*VLOOKUP($D203,素材!$1:$1016,COLUMN($E$1),FALSE),0),"")</f>
        <v>17</v>
      </c>
      <c r="K203">
        <f>IFERROR(ROUNDDOWN((VLOOKUP($C203,装備品!$1:$998,COLUMN(I$1),FALSE)+IFERROR(VLOOKUP($CI203,付与!$1:$1167,COLUMN(K$1),FALSE),0))*VLOOKUP($D203,素材!$1:$1016,COLUMN($E$1),FALSE),0),"")</f>
        <v>0</v>
      </c>
      <c r="L203" t="str">
        <f>IFERROR(VLOOKUP($D203,素材!$1:$1016,COLUMN($F$1),FALSE),"")</f>
        <v>氷</v>
      </c>
      <c r="M203">
        <f>IFERROR(VLOOKUP($C203,装備品!$1:$998,COLUMN(AA$1),FALSE)*VLOOKUP($D203,素材!$1:$1016,COLUMN($G$1),FALSE),"")</f>
        <v>52.5</v>
      </c>
      <c r="N203">
        <f>IFERROR(VLOOKUP($C203,装備品!$1:$998,COLUMN(I$1),FALSE),"")</f>
        <v>0</v>
      </c>
      <c r="O203" s="23">
        <f>IFERROR((VLOOKUP($C203,装備品!$1:$998,COLUMN(K$1),FALSE)+VLOOKUP($D203,素材!$1:$1016,COLUMN(H$1),FALSE))*100+IFERROR(VLOOKUP($CI203,付与!$1:$1167,COLUMN(O$1),FALSE),0),"")</f>
        <v>10</v>
      </c>
      <c r="P203" s="23">
        <f>IFERROR((VLOOKUP($C203,装備品!$1:$998,COLUMN(L$1),FALSE)+VLOOKUP($D203,素材!$1:$1016,COLUMN(I$1),FALSE))*100+IFERROR(VLOOKUP($CI203,付与!$1:$1167,COLUMN(P$1),FALSE),0),"")</f>
        <v>150</v>
      </c>
      <c r="Q203">
        <f>IFERROR(ROUNDUP(VLOOKUP($C203,装備品!$1:$998,COLUMN(M$1),FALSE)*(VLOOKUP($D203,素材!$1:$1002,COLUMN(D$1),FALSE)/100),1),"")</f>
        <v>0</v>
      </c>
      <c r="R203">
        <f>IFERROR(ROUNDUP(VLOOKUP($C203,装備品!$1:$998,COLUMN(N$1),FALSE)*(VLOOKUP($D203,素材!$1:$1002,COLUMN(D$1),FALSE)/100),1),"")</f>
        <v>0</v>
      </c>
      <c r="S203">
        <f>IFERROR(VLOOKUP($C203,装備品!$1:$998,COLUMN(P$1),FALSE),"")</f>
        <v>0</v>
      </c>
      <c r="T203">
        <f>IFERROR(VLOOKUP($C203,装備品!$1:$998,COLUMN(Q$1),FALSE),"")</f>
        <v>0</v>
      </c>
      <c r="U203">
        <f>IFERROR(VLOOKUP($C203,装備品!$1:$998,COLUMN(R$1),FALSE),"")</f>
        <v>0</v>
      </c>
      <c r="V203">
        <f>IFERROR(VLOOKUP($C203,装備品!$1:$998,COLUMN(Q$1),FALSE),"")</f>
        <v>0</v>
      </c>
      <c r="W203">
        <f>IFERROR(VLOOKUP($C203,装備品!$1:$998,COLUMN(T$1),FALSE),"")</f>
        <v>0</v>
      </c>
      <c r="Y203">
        <f>IFERROR(VLOOKUP($C203,装備品!$1:$998,COLUMN(U$1),FALSE),"")</f>
        <v>0</v>
      </c>
      <c r="Z203">
        <f>IFERROR(ROUNDUP(VLOOKUP($C203,装備品!$1:$998,COLUMN(O$1),FALSE)*VLOOKUP($D203,素材!$1:$1016,COLUMN(E$1),FALSE),1),"")</f>
        <v>0</v>
      </c>
      <c r="AA203">
        <f>IF(ISNUMBER(SEARCH(SUBSTITUTE(AA$1,RIGHT(AA$1,2),""),VLOOKUP($D203,素材!$1:$1016,COLUMN($F$1),FALSE))),VLOOKUP($C203,装備品!$1:$998,COLUMN($O$1),FALSE)*VLOOKUP($D203,素材!$1:$1016,COLUMN($E$1),FALSE)/(LEN(VLOOKUP($D203,素材!$1:$1016,COLUMN($F$1),FALSE))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B203">
        <f>IF(ISNUMBER(SEARCH(SUBSTITUTE(AB$1,RIGHT(AB$1,2),""),VLOOKUP($D203,素材!$1:$1016,COLUMN($F$1),FALSE))),VLOOKUP($C203,装備品!$1:$998,COLUMN($O$1),FALSE)*VLOOKUP($D203,素材!$1:$1016,COLUMN($E$1),FALSE)/(LEN(VLOOKUP($D203,素材!$1:$1016,COLUMN($F$1),FALSE))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C203">
        <f>IF(ISNUMBER(SEARCH(SUBSTITUTE(AC$1,RIGHT(AC$1,2),""),VLOOKUP($D203,素材!$1:$1016,COLUMN($F$1),FALSE))),VLOOKUP($C203,装備品!$1:$998,COLUMN($O$1),FALSE)*VLOOKUP($D203,素材!$1:$1016,COLUMN($E$1),FALSE)/(LEN(VLOOKUP($D203,素材!$1:$1016,COLUMN($F$1),FALSE))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D203">
        <f>IF(ISNUMBER(SEARCH(SUBSTITUTE(AD$1,RIGHT(AD$1,2),""),VLOOKUP($D203,素材!$1:$1016,COLUMN($F$1),FALSE))),VLOOKUP($C203,装備品!$1:$998,COLUMN($O$1),FALSE)*VLOOKUP($D203,素材!$1:$1016,COLUMN($E$1),FALSE)/(LEN(VLOOKUP($D203,素材!$1:$1016,COLUMN($F$1),FALSE))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E203">
        <f>IF(ISNUMBER(SEARCH(SUBSTITUTE(AE$1,RIGHT(AE$1,2),""),VLOOKUP($D203,素材!$1:$1016,COLUMN($F$1),FALSE))),VLOOKUP($C203,装備品!$1:$998,COLUMN($O$1),FALSE)*VLOOKUP($D203,素材!$1:$1016,COLUMN($E$1),FALSE)/(LEN(VLOOKUP($D203,素材!$1:$1016,COLUMN($F$1),FALSE))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F203">
        <f>IF(ISNUMBER(SEARCH(SUBSTITUTE(AF$1,RIGHT(AF$1,2),""),VLOOKUP($D203,素材!$1:$1016,COLUMN($F$1),FALSE))),VLOOKUP($C203,装備品!$1:$998,COLUMN($O$1),FALSE)*VLOOKUP($D203,素材!$1:$1016,COLUMN($E$1),FALSE)/(LEN(VLOOKUP($D203,素材!$1:$1016,COLUMN($F$1),FALSE))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G203">
        <f>IF(ISNUMBER(SEARCH(SUBSTITUTE(AG$1,RIGHT(AG$1,2),""),VLOOKUP($D203,素材!$1:$1016,COLUMN($F$1),FALSE))),VLOOKUP($C203,装備品!$1:$998,COLUMN($O$1),FALSE)*VLOOKUP($D203,素材!$1:$1016,COLUMN($E$1),FALSE)/(LEN(VLOOKUP($D203,素材!$1:$1016,COLUMN($F$1),FALSE))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H203">
        <f>IF(ISNUMBER(SEARCH(SUBSTITUTE(AH$1,RIGHT(AH$1,2),""),VLOOKUP($D203,素材!$1:$1016,COLUMN($F$1),FALSE))),VLOOKUP($C203,装備品!$1:$998,COLUMN($O$1),FALSE)*VLOOKUP($D203,素材!$1:$1016,COLUMN($E$1),FALSE)/(LEN(VLOOKUP($D203,素材!$1:$1016,COLUMN($F$1),FALSE))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I203">
        <f>IF(ISNUMBER(SEARCH(SUBSTITUTE(AI$1,RIGHT(AI$1,2),""),VLOOKUP($D203,素材!$1:$1016,COLUMN($F$1),FALSE))),VLOOKUP($C203,装備品!$1:$998,COLUMN($O$1),FALSE)*VLOOKUP($D203,素材!$1:$1016,COLUMN($E$1),FALSE)/(LEN(VLOOKUP($D203,素材!$1:$1016,COLUMN($F$1),FALSE))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J203">
        <f>IF(ISNUMBER(SEARCH(SUBSTITUTE(AJ$1,RIGHT(AJ$1,2),""),VLOOKUP($D203,素材!$1:$1016,COLUMN($F$1),FALSE))),VLOOKUP($C203,装備品!$1:$998,COLUMN($O$1),FALSE)*VLOOKUP($D203,素材!$1:$1016,COLUMN($E$1),FALSE)/(LEN(VLOOKUP($D203,素材!$1:$1016,COLUMN($F$1),FALSE))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K203">
        <f>IF(ISNUMBER(SEARCH(SUBSTITUTE(AK$1,RIGHT(AK$1,2),""),VLOOKUP($D203,素材!$1:$1016,COLUMN($F$1),FALSE))),VLOOKUP($C203,装備品!$1:$998,COLUMN($O$1),FALSE)*VLOOKUP($D203,素材!$1:$1016,COLUMN($E$1),FALSE)/(LEN(VLOOKUP($D203,素材!$1:$1016,COLUMN($F$1),FALSE))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L203">
        <f>IF(ISNUMBER(SEARCH(SUBSTITUTE(AL$1,RIGHT(AL$1,2),""),VLOOKUP($D203,素材!$1:$1016,COLUMN($F$1),FALSE))),VLOOKUP($C203,装備品!$1:$998,COLUMN($O$1),FALSE)*VLOOKUP($D203,素材!$1:$1016,COLUMN($E$1),FALSE)/(LEN(VLOOKUP($D203,素材!$1:$1016,COLUMN($F$1),FALSE))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M203">
        <f>IF(ISNUMBER(SEARCH(SUBSTITUTE(AM$1,RIGHT(AM$1,2),""),VLOOKUP($D203,素材!$1:$1016,COLUMN($F$1),FALSE))),VLOOKUP($C203,装備品!$1:$998,COLUMN($O$1),FALSE)*VLOOKUP($D203,素材!$1:$1016,COLUMN($E$1),FALSE)/(LEN(VLOOKUP($D203,素材!$1:$1016,COLUMN($F$1),FALSE))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N203">
        <f>IF(ISNUMBER(SEARCH(SUBSTITUTE(AN$1,RIGHT(AN$1,2),""),VLOOKUP($D203,素材!$1:$1016,COLUMN($F$1),FALSE))),VLOOKUP($C203,装備品!$1:$998,COLUMN($O$1),FALSE)*VLOOKUP($D203,素材!$1:$1016,COLUMN($E$1),FALSE)/(LEN(VLOOKUP($D203,素材!$1:$1016,COLUMN($F$1),FALSE))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O203">
        <f>IF(ISNUMBER(SEARCH(SUBSTITUTE(AO$1,RIGHT(AO$1,2),""),VLOOKUP($D203,素材!$1:$1016,COLUMN($F$1),FALSE))),VLOOKUP($C203,装備品!$1:$998,COLUMN($O$1),FALSE)*VLOOKUP($D203,素材!$1:$1016,COLUMN($E$1),FALSE)/(LEN(VLOOKUP($D203,素材!$1:$1016,COLUMN($F$1),FALSE))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P203">
        <f>IF(ISNUMBER(SEARCH(SUBSTITUTE(AP$1,RIGHT(AP$1,2),""),VLOOKUP($D203,素材!$1:$1016,COLUMN($F$1),FALSE))),VLOOKUP($C203,装備品!$1:$998,COLUMN($O$1),FALSE)*VLOOKUP($D203,素材!$1:$1016,COLUMN($E$1),FALSE)/(LEN(VLOOKUP($D203,素材!$1:$1016,COLUMN($F$1),FALSE))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Q203">
        <f>IF(ISNUMBER(SEARCH(SUBSTITUTE(AQ$1,RIGHT(AQ$1,2),""),VLOOKUP($D203,素材!$1:$1016,COLUMN($F$1),FALSE))),VLOOKUP($C203,装備品!$1:$998,COLUMN($O$1),FALSE)*VLOOKUP($D203,素材!$1:$1016,COLUMN($E$1),FALSE)/(LEN(VLOOKUP($D203,素材!$1:$1016,COLUMN($F$1),FALSE))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R203">
        <f>IF(ISNUMBER(SEARCH(SUBSTITUTE(AR$1,RIGHT(AR$1,2),""),VLOOKUP($D203,素材!$1:$1016,COLUMN($F$1),FALSE))),VLOOKUP($C203,装備品!$1:$998,COLUMN($O$1),FALSE)*VLOOKUP($D203,素材!$1:$1016,COLUMN($E$1),FALSE)/(LEN(VLOOKUP($D203,素材!$1:$1016,COLUMN($F$1),FALSE))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S203">
        <f>IF(ISNUMBER(SEARCH(SUBSTITUTE(AS$1,RIGHT(AS$1,2),""),VLOOKUP($D203,素材!$1:$1016,COLUMN($F$1),FALSE))),VLOOKUP($C203,装備品!$1:$998,COLUMN($O$1),FALSE)*VLOOKUP($D203,素材!$1:$1016,COLUMN($E$1),FALSE)/(LEN(VLOOKUP($D203,素材!$1:$1016,COLUMN($F$1),FALSE))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T203">
        <f>IF(ISNUMBER(SEARCH(SUBSTITUTE(AT$1,RIGHT(AT$1,2),""),VLOOKUP($D203,素材!$1:$1016,COLUMN($F$1),FALSE))),VLOOKUP($C203,装備品!$1:$998,COLUMN($O$1),FALSE)*VLOOKUP($D203,素材!$1:$1016,COLUMN($E$1),FALSE)/(LEN(VLOOKUP($D203,素材!$1:$1016,COLUMN($F$1),FALSE))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U203">
        <f>IF(ISNUMBER(SEARCH(SUBSTITUTE(AU$1,RIGHT(AU$1,2),""),VLOOKUP($D203,素材!$1:$1016,COLUMN($F$1),FALSE))),VLOOKUP($C203,装備品!$1:$998,COLUMN($O$1),FALSE)*VLOOKUP($D203,素材!$1:$1016,COLUMN($E$1),FALSE)/(LEN(VLOOKUP($D203,素材!$1:$1016,COLUMN($F$1),FALSE))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V203">
        <f>IF(ISNUMBER(SEARCH(SUBSTITUTE(AV$1,RIGHT(AV$1,2),""),VLOOKUP($D203,素材!$1:$1016,COLUMN($F$1),FALSE))),VLOOKUP($C203,装備品!$1:$998,COLUMN($O$1),FALSE)*VLOOKUP($D203,素材!$1:$1016,COLUMN($E$1),FALSE)/(LEN(VLOOKUP($D203,素材!$1:$1016,COLUMN($F$1),FALSE))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W203">
        <f>IF(ISNUMBER(SEARCH(SUBSTITUTE(AW$1,RIGHT(AW$1,2),""),VLOOKUP($D203,素材!$1:$1016,COLUMN($F$1),FALSE))),VLOOKUP($C203,装備品!$1:$998,COLUMN($O$1),FALSE)*VLOOKUP($D203,素材!$1:$1016,COLUMN($E$1),FALSE)/(LEN(VLOOKUP($D203,素材!$1:$1016,COLUMN($F$1),FALSE))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X203">
        <f>IF(ISNUMBER(SEARCH(SUBSTITUTE(AX$1,RIGHT(AX$1,2),""),VLOOKUP($D203,素材!$1:$1016,COLUMN($F$1),FALSE))),VLOOKUP($C203,装備品!$1:$998,COLUMN($O$1),FALSE)*VLOOKUP($D203,素材!$1:$1016,COLUMN($E$1),FALSE)/(LEN(VLOOKUP($D203,素材!$1:$1016,COLUMN($F$1),FALSE))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Y203">
        <f>IF(ISNUMBER(SEARCH(SUBSTITUTE(AY$1,RIGHT(AY$1,2),""),VLOOKUP($D203,素材!$1:$1016,COLUMN($F$1),FALSE))),VLOOKUP($C203,装備品!$1:$998,COLUMN($O$1),FALSE)*VLOOKUP($D203,素材!$1:$1016,COLUMN($E$1),FALSE)/(LEN(VLOOKUP($D203,素材!$1:$1016,COLUMN($F$1),FALSE))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Z203">
        <f>IF(ISNUMBER(SEARCH(SUBSTITUTE(AZ$1,RIGHT(AZ$1,2),""),VLOOKUP($D203,素材!$1:$1016,COLUMN($F$1),FALSE))),VLOOKUP($C203,装備品!$1:$998,COLUMN($O$1),FALSE)*VLOOKUP($D203,素材!$1:$1016,COLUMN($E$1),FALSE)/(LEN(VLOOKUP($D203,素材!$1:$1016,COLUMN($F$1),FALSE))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BA203">
        <f>IF(ISNUMBER(SEARCH(SUBSTITUTE(BA$1,RIGHT(BA$1,2),""),VLOOKUP($D203,素材!$1:$1016,COLUMN($F$1),FALSE))),VLOOKUP($C203,装備品!$1:$998,COLUMN($O$1),FALSE)*VLOOKUP($D203,素材!$1:$1016,COLUMN($E$1),FALSE)/(LEN(VLOOKUP($D203,素材!$1:$1016,COLUMN($F$1),FALSE))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BB203">
        <f>IF(ISNUMBER(SEARCH(SUBSTITUTE(BB$1,RIGHT(BB$1,2),""),VLOOKUP($D203,素材!$1:$1016,COLUMN($F$1),FALSE))),VLOOKUP($C203,装備品!$1:$998,COLUMN($O$1),FALSE)*VLOOKUP($D203,素材!$1:$1016,COLUMN($E$1),FALSE)/(LEN(VLOOKUP($D203,素材!$1:$1016,COLUMN($F$1),FALSE))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BC203">
        <f>IF(ISNUMBER(SEARCH(SUBSTITUTE(BC$1,RIGHT(BC$1,2),""),VLOOKUP($D203,素材!$1:$1016,COLUMN($F$1),FALSE))),VLOOKUP($C203,装備品!$1:$998,COLUMN($O$1),FALSE)*VLOOKUP($D203,素材!$1:$1016,COLUMN($E$1),FALSE)/(LEN(VLOOKUP($D203,素材!$1:$1016,COLUMN($F$1),FALSE))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BD203">
        <f>IF(ISNUMBER(SEARCH(SUBSTITUTE(BD$1,RIGHT(BD$1,2),""),VLOOKUP($D203,素材!$1:$1016,COLUMN($F$1),FALSE))),VLOOKUP($C203,装備品!$1:$998,COLUMN($O$1),FALSE)*VLOOKUP($D203,素材!$1:$1016,COLUMN($E$1),FALSE)/(LEN(VLOOKUP($D203,素材!$1:$1016,COLUMN($F$1),FALSE))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BE203">
        <f>IF(ISNUMBER(SEARCH(SUBSTITUTE(BE$1,RIGHT(BE$1,2),""),VLOOKUP($D203,素材!$1:$1016,COLUMN($F$1),FALSE))),VLOOKUP($C203,装備品!$1:$998,COLUMN($O$1),FALSE)*VLOOKUP($D203,素材!$1:$1016,COLUMN($E$1),FALSE)/(LEN(VLOOKUP($D203,素材!$1:$1016,COLUMN($F$1),FALSE))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CL203">
        <f t="shared" si="35"/>
        <v>25</v>
      </c>
      <c r="CM203" s="22" t="str">
        <f t="shared" si="36"/>
        <v>貫通.webp</v>
      </c>
      <c r="CN203">
        <f>IFERROR(VLOOKUP($C203,装備品!$1:$998,COLUMN(V$1),FALSE)*VLOOKUP($D203,素材!$1:$1016,COLUMN(N$1),FALSE)+IF(CI203="",0,VLOOKUP($CI203,付与!$1:$1176,COLUMN($CK$1),FALSE)),"")</f>
        <v>0</v>
      </c>
      <c r="CO203">
        <f>VLOOKUP(D203,素材!$A:$O,COLUMN(素材!O$1),FALSE)</f>
        <v>0</v>
      </c>
      <c r="CP203" t="str">
        <f>VLOOKUP(C203,装備品!$A:$AB,COLUMN(装備品!AB$1),FALSE)</f>
        <v>短槍。短く扱いやすい槍で、投擲にも対応。</v>
      </c>
      <c r="CR203" t="str">
        <f t="shared" si="24"/>
        <v>e_203</v>
      </c>
      <c r="CS203">
        <f t="shared" si="28"/>
        <v>0</v>
      </c>
    </row>
    <row r="204" spans="1:97" outlineLevel="1" x14ac:dyDescent="0.4">
      <c r="A204" t="str">
        <f t="shared" si="34"/>
        <v>冷気鉄の槍</v>
      </c>
      <c r="B204" t="str">
        <f>IFERROR(VLOOKUP($D204,素材!$1:$1016,COLUMN($B$1),FALSE)&amp;"・"&amp;VLOOKUP($C204,装備品!$1:$998,COLUMN(B$1),FALSE),"")</f>
        <v>ドゥララン・スピア</v>
      </c>
      <c r="C204" s="24" t="s">
        <v>232</v>
      </c>
      <c r="D204" s="24" t="s">
        <v>242</v>
      </c>
      <c r="E204" t="str">
        <f>IFERROR(VLOOKUP(C204,装備品!$1:$998,COLUMN(C$1),FALSE),"")</f>
        <v>武器</v>
      </c>
      <c r="F204">
        <f>IFERROR(ROUNDDOWN((VLOOKUP($C204,装備品!$1:$998,COLUMN(D$1),FALSE)+IFERROR(VLOOKUP($CI204,付与!$1:$1167,COLUMN(F$1),FALSE),0))*VLOOKUP($D204,素材!$1:$1016,COLUMN(D$1),FALSE),0),"")</f>
        <v>115</v>
      </c>
      <c r="G204">
        <f>IFERROR(ROUNDDOWN((VLOOKUP($C204,装備品!$1:$998,COLUMN(E$1),FALSE)+IFERROR(VLOOKUP($CI204,付与!$1:$1167,COLUMN(G$1),FALSE),0))*VLOOKUP($D204,素材!$1:$1016,COLUMN($E$1),FALSE),0),"")</f>
        <v>8</v>
      </c>
      <c r="H204">
        <f>IFERROR(ROUNDDOWN((VLOOKUP($C204,装備品!$1:$998,COLUMN(F$1),FALSE)+IFERROR(VLOOKUP($CI204,付与!$1:$1167,COLUMN(H$1),FALSE),0))*VLOOKUP($D204,素材!$1:$1016,COLUMN($E$1),FALSE),0),"")</f>
        <v>16</v>
      </c>
      <c r="I204">
        <f>IFERROR(ROUNDDOWN((VLOOKUP($C204,装備品!$1:$998,COLUMN(G$1),FALSE)+IFERROR(VLOOKUP($CI204,付与!$1:$1167,COLUMN(I$1),FALSE),0))*VLOOKUP($D204,素材!$1:$1016,COLUMN($E$1),FALSE),0),"")</f>
        <v>3</v>
      </c>
      <c r="J204">
        <f>IFERROR(ROUNDDOWN((VLOOKUP($C204,装備品!$1:$998,COLUMN(H$1),FALSE)+IFERROR(VLOOKUP($CI204,付与!$1:$1167,COLUMN(J$1),FALSE),0))*VLOOKUP($D204,素材!$1:$1016,COLUMN($E$1),FALSE),0),"")</f>
        <v>17</v>
      </c>
      <c r="K204">
        <f>IFERROR(ROUNDDOWN((VLOOKUP($C204,装備品!$1:$998,COLUMN(I$1),FALSE)+IFERROR(VLOOKUP($CI204,付与!$1:$1167,COLUMN(K$1),FALSE),0))*VLOOKUP($D204,素材!$1:$1016,COLUMN($E$1),FALSE),0),"")</f>
        <v>0</v>
      </c>
      <c r="L204" t="str">
        <f>IFERROR(VLOOKUP($D204,素材!$1:$1016,COLUMN($F$1),FALSE),"")</f>
        <v>氷</v>
      </c>
      <c r="M204">
        <f>IFERROR(VLOOKUP($C204,装備品!$1:$998,COLUMN(AA$1),FALSE)*VLOOKUP($D204,素材!$1:$1016,COLUMN($G$1),FALSE),"")</f>
        <v>70</v>
      </c>
      <c r="N204">
        <f>IFERROR(VLOOKUP($C204,装備品!$1:$998,COLUMN(I$1),FALSE),"")</f>
        <v>0</v>
      </c>
      <c r="O204" s="23">
        <f>IFERROR((VLOOKUP($C204,装備品!$1:$998,COLUMN(K$1),FALSE)+VLOOKUP($D204,素材!$1:$1016,COLUMN(H$1),FALSE))*100+IFERROR(VLOOKUP($CI204,付与!$1:$1167,COLUMN(O$1),FALSE),0),"")</f>
        <v>10</v>
      </c>
      <c r="P204" s="23">
        <f>IFERROR((VLOOKUP($C204,装備品!$1:$998,COLUMN(L$1),FALSE)+VLOOKUP($D204,素材!$1:$1016,COLUMN(I$1),FALSE))*100+IFERROR(VLOOKUP($CI204,付与!$1:$1167,COLUMN(P$1),FALSE),0),"")</f>
        <v>150</v>
      </c>
      <c r="Q204">
        <f>IFERROR(ROUNDUP(VLOOKUP($C204,装備品!$1:$998,COLUMN(M$1),FALSE)*(VLOOKUP($D204,素材!$1:$1002,COLUMN(D$1),FALSE)/100),1),"")</f>
        <v>0</v>
      </c>
      <c r="R204">
        <f>IFERROR(ROUNDUP(VLOOKUP($C204,装備品!$1:$998,COLUMN(N$1),FALSE)*(VLOOKUP($D204,素材!$1:$1002,COLUMN(D$1),FALSE)/100),1),"")</f>
        <v>-5</v>
      </c>
      <c r="S204">
        <f>IFERROR(VLOOKUP($C204,装備品!$1:$998,COLUMN(P$1),FALSE),"")</f>
        <v>0</v>
      </c>
      <c r="T204">
        <f>IFERROR(VLOOKUP($C204,装備品!$1:$998,COLUMN(Q$1),FALSE),"")</f>
        <v>0</v>
      </c>
      <c r="U204">
        <f>IFERROR(VLOOKUP($C204,装備品!$1:$998,COLUMN(R$1),FALSE),"")</f>
        <v>0</v>
      </c>
      <c r="V204">
        <f>IFERROR(VLOOKUP($C204,装備品!$1:$998,COLUMN(Q$1),FALSE),"")</f>
        <v>0</v>
      </c>
      <c r="W204">
        <f>IFERROR(VLOOKUP($C204,装備品!$1:$998,COLUMN(T$1),FALSE),"")</f>
        <v>0</v>
      </c>
      <c r="Y204">
        <f>IFERROR(VLOOKUP($C204,装備品!$1:$998,COLUMN(U$1),FALSE),"")</f>
        <v>0</v>
      </c>
      <c r="Z204">
        <f>IFERROR(ROUNDUP(VLOOKUP($C204,装備品!$1:$998,COLUMN(O$1),FALSE)*VLOOKUP($D204,素材!$1:$1016,COLUMN(E$1),FALSE),1),"")</f>
        <v>0</v>
      </c>
      <c r="AA204">
        <f>IF(ISNUMBER(SEARCH(SUBSTITUTE(AA$1,RIGHT(AA$1,2),""),VLOOKUP($D204,素材!$1:$1016,COLUMN($F$1),FALSE))),VLOOKUP($C204,装備品!$1:$998,COLUMN($O$1),FALSE)*VLOOKUP($D204,素材!$1:$1016,COLUMN($E$1),FALSE)/(LEN(VLOOKUP($D204,素材!$1:$1016,COLUMN($F$1),FALSE))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B204">
        <f>IF(ISNUMBER(SEARCH(SUBSTITUTE(AB$1,RIGHT(AB$1,2),""),VLOOKUP($D204,素材!$1:$1016,COLUMN($F$1),FALSE))),VLOOKUP($C204,装備品!$1:$998,COLUMN($O$1),FALSE)*VLOOKUP($D204,素材!$1:$1016,COLUMN($E$1),FALSE)/(LEN(VLOOKUP($D204,素材!$1:$1016,COLUMN($F$1),FALSE))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C204">
        <f>IF(ISNUMBER(SEARCH(SUBSTITUTE(AC$1,RIGHT(AC$1,2),""),VLOOKUP($D204,素材!$1:$1016,COLUMN($F$1),FALSE))),VLOOKUP($C204,装備品!$1:$998,COLUMN($O$1),FALSE)*VLOOKUP($D204,素材!$1:$1016,COLUMN($E$1),FALSE)/(LEN(VLOOKUP($D204,素材!$1:$1016,COLUMN($F$1),FALSE))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D204">
        <f>IF(ISNUMBER(SEARCH(SUBSTITUTE(AD$1,RIGHT(AD$1,2),""),VLOOKUP($D204,素材!$1:$1016,COLUMN($F$1),FALSE))),VLOOKUP($C204,装備品!$1:$998,COLUMN($O$1),FALSE)*VLOOKUP($D204,素材!$1:$1016,COLUMN($E$1),FALSE)/(LEN(VLOOKUP($D204,素材!$1:$1016,COLUMN($F$1),FALSE))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E204">
        <f>IF(ISNUMBER(SEARCH(SUBSTITUTE(AE$1,RIGHT(AE$1,2),""),VLOOKUP($D204,素材!$1:$1016,COLUMN($F$1),FALSE))),VLOOKUP($C204,装備品!$1:$998,COLUMN($O$1),FALSE)*VLOOKUP($D204,素材!$1:$1016,COLUMN($E$1),FALSE)/(LEN(VLOOKUP($D204,素材!$1:$1016,COLUMN($F$1),FALSE))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F204">
        <f>IF(ISNUMBER(SEARCH(SUBSTITUTE(AF$1,RIGHT(AF$1,2),""),VLOOKUP($D204,素材!$1:$1016,COLUMN($F$1),FALSE))),VLOOKUP($C204,装備品!$1:$998,COLUMN($O$1),FALSE)*VLOOKUP($D204,素材!$1:$1016,COLUMN($E$1),FALSE)/(LEN(VLOOKUP($D204,素材!$1:$1016,COLUMN($F$1),FALSE))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G204">
        <f>IF(ISNUMBER(SEARCH(SUBSTITUTE(AG$1,RIGHT(AG$1,2),""),VLOOKUP($D204,素材!$1:$1016,COLUMN($F$1),FALSE))),VLOOKUP($C204,装備品!$1:$998,COLUMN($O$1),FALSE)*VLOOKUP($D204,素材!$1:$1016,COLUMN($E$1),FALSE)/(LEN(VLOOKUP($D204,素材!$1:$1016,COLUMN($F$1),FALSE))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H204">
        <f>IF(ISNUMBER(SEARCH(SUBSTITUTE(AH$1,RIGHT(AH$1,2),""),VLOOKUP($D204,素材!$1:$1016,COLUMN($F$1),FALSE))),VLOOKUP($C204,装備品!$1:$998,COLUMN($O$1),FALSE)*VLOOKUP($D204,素材!$1:$1016,COLUMN($E$1),FALSE)/(LEN(VLOOKUP($D204,素材!$1:$1016,COLUMN($F$1),FALSE))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I204">
        <f>IF(ISNUMBER(SEARCH(SUBSTITUTE(AI$1,RIGHT(AI$1,2),""),VLOOKUP($D204,素材!$1:$1016,COLUMN($F$1),FALSE))),VLOOKUP($C204,装備品!$1:$998,COLUMN($O$1),FALSE)*VLOOKUP($D204,素材!$1:$1016,COLUMN($E$1),FALSE)/(LEN(VLOOKUP($D204,素材!$1:$1016,COLUMN($F$1),FALSE))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J204">
        <f>IF(ISNUMBER(SEARCH(SUBSTITUTE(AJ$1,RIGHT(AJ$1,2),""),VLOOKUP($D204,素材!$1:$1016,COLUMN($F$1),FALSE))),VLOOKUP($C204,装備品!$1:$998,COLUMN($O$1),FALSE)*VLOOKUP($D204,素材!$1:$1016,COLUMN($E$1),FALSE)/(LEN(VLOOKUP($D204,素材!$1:$1016,COLUMN($F$1),FALSE))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K204">
        <f>IF(ISNUMBER(SEARCH(SUBSTITUTE(AK$1,RIGHT(AK$1,2),""),VLOOKUP($D204,素材!$1:$1016,COLUMN($F$1),FALSE))),VLOOKUP($C204,装備品!$1:$998,COLUMN($O$1),FALSE)*VLOOKUP($D204,素材!$1:$1016,COLUMN($E$1),FALSE)/(LEN(VLOOKUP($D204,素材!$1:$1016,COLUMN($F$1),FALSE))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L204">
        <f>IF(ISNUMBER(SEARCH(SUBSTITUTE(AL$1,RIGHT(AL$1,2),""),VLOOKUP($D204,素材!$1:$1016,COLUMN($F$1),FALSE))),VLOOKUP($C204,装備品!$1:$998,COLUMN($O$1),FALSE)*VLOOKUP($D204,素材!$1:$1016,COLUMN($E$1),FALSE)/(LEN(VLOOKUP($D204,素材!$1:$1016,COLUMN($F$1),FALSE))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M204">
        <f>IF(ISNUMBER(SEARCH(SUBSTITUTE(AM$1,RIGHT(AM$1,2),""),VLOOKUP($D204,素材!$1:$1016,COLUMN($F$1),FALSE))),VLOOKUP($C204,装備品!$1:$998,COLUMN($O$1),FALSE)*VLOOKUP($D204,素材!$1:$1016,COLUMN($E$1),FALSE)/(LEN(VLOOKUP($D204,素材!$1:$1016,COLUMN($F$1),FALSE))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N204">
        <f>IF(ISNUMBER(SEARCH(SUBSTITUTE(AN$1,RIGHT(AN$1,2),""),VLOOKUP($D204,素材!$1:$1016,COLUMN($F$1),FALSE))),VLOOKUP($C204,装備品!$1:$998,COLUMN($O$1),FALSE)*VLOOKUP($D204,素材!$1:$1016,COLUMN($E$1),FALSE)/(LEN(VLOOKUP($D204,素材!$1:$1016,COLUMN($F$1),FALSE))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O204">
        <f>IF(ISNUMBER(SEARCH(SUBSTITUTE(AO$1,RIGHT(AO$1,2),""),VLOOKUP($D204,素材!$1:$1016,COLUMN($F$1),FALSE))),VLOOKUP($C204,装備品!$1:$998,COLUMN($O$1),FALSE)*VLOOKUP($D204,素材!$1:$1016,COLUMN($E$1),FALSE)/(LEN(VLOOKUP($D204,素材!$1:$1016,COLUMN($F$1),FALSE))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P204">
        <f>IF(ISNUMBER(SEARCH(SUBSTITUTE(AP$1,RIGHT(AP$1,2),""),VLOOKUP($D204,素材!$1:$1016,COLUMN($F$1),FALSE))),VLOOKUP($C204,装備品!$1:$998,COLUMN($O$1),FALSE)*VLOOKUP($D204,素材!$1:$1016,COLUMN($E$1),FALSE)/(LEN(VLOOKUP($D204,素材!$1:$1016,COLUMN($F$1),FALSE))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Q204">
        <f>IF(ISNUMBER(SEARCH(SUBSTITUTE(AQ$1,RIGHT(AQ$1,2),""),VLOOKUP($D204,素材!$1:$1016,COLUMN($F$1),FALSE))),VLOOKUP($C204,装備品!$1:$998,COLUMN($O$1),FALSE)*VLOOKUP($D204,素材!$1:$1016,COLUMN($E$1),FALSE)/(LEN(VLOOKUP($D204,素材!$1:$1016,COLUMN($F$1),FALSE))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R204">
        <f>IF(ISNUMBER(SEARCH(SUBSTITUTE(AR$1,RIGHT(AR$1,2),""),VLOOKUP($D204,素材!$1:$1016,COLUMN($F$1),FALSE))),VLOOKUP($C204,装備品!$1:$998,COLUMN($O$1),FALSE)*VLOOKUP($D204,素材!$1:$1016,COLUMN($E$1),FALSE)/(LEN(VLOOKUP($D204,素材!$1:$1016,COLUMN($F$1),FALSE))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S204">
        <f>IF(ISNUMBER(SEARCH(SUBSTITUTE(AS$1,RIGHT(AS$1,2),""),VLOOKUP($D204,素材!$1:$1016,COLUMN($F$1),FALSE))),VLOOKUP($C204,装備品!$1:$998,COLUMN($O$1),FALSE)*VLOOKUP($D204,素材!$1:$1016,COLUMN($E$1),FALSE)/(LEN(VLOOKUP($D204,素材!$1:$1016,COLUMN($F$1),FALSE))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T204">
        <f>IF(ISNUMBER(SEARCH(SUBSTITUTE(AT$1,RIGHT(AT$1,2),""),VLOOKUP($D204,素材!$1:$1016,COLUMN($F$1),FALSE))),VLOOKUP($C204,装備品!$1:$998,COLUMN($O$1),FALSE)*VLOOKUP($D204,素材!$1:$1016,COLUMN($E$1),FALSE)/(LEN(VLOOKUP($D204,素材!$1:$1016,COLUMN($F$1),FALSE))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U204">
        <f>IF(ISNUMBER(SEARCH(SUBSTITUTE(AU$1,RIGHT(AU$1,2),""),VLOOKUP($D204,素材!$1:$1016,COLUMN($F$1),FALSE))),VLOOKUP($C204,装備品!$1:$998,COLUMN($O$1),FALSE)*VLOOKUP($D204,素材!$1:$1016,COLUMN($E$1),FALSE)/(LEN(VLOOKUP($D204,素材!$1:$1016,COLUMN($F$1),FALSE))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V204">
        <f>IF(ISNUMBER(SEARCH(SUBSTITUTE(AV$1,RIGHT(AV$1,2),""),VLOOKUP($D204,素材!$1:$1016,COLUMN($F$1),FALSE))),VLOOKUP($C204,装備品!$1:$998,COLUMN($O$1),FALSE)*VLOOKUP($D204,素材!$1:$1016,COLUMN($E$1),FALSE)/(LEN(VLOOKUP($D204,素材!$1:$1016,COLUMN($F$1),FALSE))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W204">
        <f>IF(ISNUMBER(SEARCH(SUBSTITUTE(AW$1,RIGHT(AW$1,2),""),VLOOKUP($D204,素材!$1:$1016,COLUMN($F$1),FALSE))),VLOOKUP($C204,装備品!$1:$998,COLUMN($O$1),FALSE)*VLOOKUP($D204,素材!$1:$1016,COLUMN($E$1),FALSE)/(LEN(VLOOKUP($D204,素材!$1:$1016,COLUMN($F$1),FALSE))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X204">
        <f>IF(ISNUMBER(SEARCH(SUBSTITUTE(AX$1,RIGHT(AX$1,2),""),VLOOKUP($D204,素材!$1:$1016,COLUMN($F$1),FALSE))),VLOOKUP($C204,装備品!$1:$998,COLUMN($O$1),FALSE)*VLOOKUP($D204,素材!$1:$1016,COLUMN($E$1),FALSE)/(LEN(VLOOKUP($D204,素材!$1:$1016,COLUMN($F$1),FALSE))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Y204">
        <f>IF(ISNUMBER(SEARCH(SUBSTITUTE(AY$1,RIGHT(AY$1,2),""),VLOOKUP($D204,素材!$1:$1016,COLUMN($F$1),FALSE))),VLOOKUP($C204,装備品!$1:$998,COLUMN($O$1),FALSE)*VLOOKUP($D204,素材!$1:$1016,COLUMN($E$1),FALSE)/(LEN(VLOOKUP($D204,素材!$1:$1016,COLUMN($F$1),FALSE))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Z204">
        <f>IF(ISNUMBER(SEARCH(SUBSTITUTE(AZ$1,RIGHT(AZ$1,2),""),VLOOKUP($D204,素材!$1:$1016,COLUMN($F$1),FALSE))),VLOOKUP($C204,装備品!$1:$998,COLUMN($O$1),FALSE)*VLOOKUP($D204,素材!$1:$1016,COLUMN($E$1),FALSE)/(LEN(VLOOKUP($D204,素材!$1:$1016,COLUMN($F$1),FALSE))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BA204">
        <f>IF(ISNUMBER(SEARCH(SUBSTITUTE(BA$1,RIGHT(BA$1,2),""),VLOOKUP($D204,素材!$1:$1016,COLUMN($F$1),FALSE))),VLOOKUP($C204,装備品!$1:$998,COLUMN($O$1),FALSE)*VLOOKUP($D204,素材!$1:$1016,COLUMN($E$1),FALSE)/(LEN(VLOOKUP($D204,素材!$1:$1016,COLUMN($F$1),FALSE))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BB204">
        <f>IF(ISNUMBER(SEARCH(SUBSTITUTE(BB$1,RIGHT(BB$1,2),""),VLOOKUP($D204,素材!$1:$1016,COLUMN($F$1),FALSE))),VLOOKUP($C204,装備品!$1:$998,COLUMN($O$1),FALSE)*VLOOKUP($D204,素材!$1:$1016,COLUMN($E$1),FALSE)/(LEN(VLOOKUP($D204,素材!$1:$1016,COLUMN($F$1),FALSE))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BC204">
        <f>IF(ISNUMBER(SEARCH(SUBSTITUTE(BC$1,RIGHT(BC$1,2),""),VLOOKUP($D204,素材!$1:$1016,COLUMN($F$1),FALSE))),VLOOKUP($C204,装備品!$1:$998,COLUMN($O$1),FALSE)*VLOOKUP($D204,素材!$1:$1016,COLUMN($E$1),FALSE)/(LEN(VLOOKUP($D204,素材!$1:$1016,COLUMN($F$1),FALSE))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BD204">
        <f>IF(ISNUMBER(SEARCH(SUBSTITUTE(BD$1,RIGHT(BD$1,2),""),VLOOKUP($D204,素材!$1:$1016,COLUMN($F$1),FALSE))),VLOOKUP($C204,装備品!$1:$998,COLUMN($O$1),FALSE)*VLOOKUP($D204,素材!$1:$1016,COLUMN($E$1),FALSE)/(LEN(VLOOKUP($D204,素材!$1:$1016,COLUMN($F$1),FALSE))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BE204">
        <f>IF(ISNUMBER(SEARCH(SUBSTITUTE(BE$1,RIGHT(BE$1,2),""),VLOOKUP($D204,素材!$1:$1016,COLUMN($F$1),FALSE))),VLOOKUP($C204,装備品!$1:$998,COLUMN($O$1),FALSE)*VLOOKUP($D204,素材!$1:$1016,COLUMN($E$1),FALSE)/(LEN(VLOOKUP($D204,素材!$1:$1016,COLUMN($F$1),FALSE))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CL204">
        <f t="shared" si="35"/>
        <v>27</v>
      </c>
      <c r="CM204" s="22" t="str">
        <f t="shared" si="36"/>
        <v>貫通.webp</v>
      </c>
      <c r="CN204">
        <f>IFERROR(VLOOKUP($C204,装備品!$1:$998,COLUMN(V$1),FALSE)*VLOOKUP($D204,素材!$1:$1016,COLUMN(N$1),FALSE)+IF(CI204="",0,VLOOKUP($CI204,付与!$1:$1176,COLUMN($CK$1),FALSE)),"")</f>
        <v>0</v>
      </c>
      <c r="CO204">
        <f>VLOOKUP(D204,素材!$A:$O,COLUMN(素材!O$1),FALSE)</f>
        <v>0</v>
      </c>
      <c r="CP204" t="str">
        <f>VLOOKUP(C204,装備品!$A:$AB,COLUMN(装備品!AB$1),FALSE)</f>
        <v>槍。リーチが長く、刺突に優れる武器。</v>
      </c>
      <c r="CR204" t="str">
        <f t="shared" si="24"/>
        <v>e_204</v>
      </c>
      <c r="CS204">
        <f t="shared" si="28"/>
        <v>0</v>
      </c>
    </row>
    <row r="205" spans="1:97" outlineLevel="1" x14ac:dyDescent="0.4">
      <c r="A205" t="str">
        <f t="shared" si="34"/>
        <v>冷気鉄の騎士槍</v>
      </c>
      <c r="B205" t="str">
        <f>IFERROR(VLOOKUP($D205,素材!$1:$1016,COLUMN($B$1),FALSE)&amp;"・"&amp;VLOOKUP($C205,装備品!$1:$998,COLUMN(B$1),FALSE),"")</f>
        <v>ドゥララン・ランス</v>
      </c>
      <c r="C205" s="24" t="s">
        <v>231</v>
      </c>
      <c r="D205" s="24" t="s">
        <v>242</v>
      </c>
      <c r="E205" t="str">
        <f>IFERROR(VLOOKUP(C205,装備品!$1:$998,COLUMN(C$1),FALSE),"")</f>
        <v>武器</v>
      </c>
      <c r="F205">
        <f>IFERROR(ROUNDDOWN((VLOOKUP($C205,装備品!$1:$998,COLUMN(D$1),FALSE)+IFERROR(VLOOKUP($CI205,付与!$1:$1167,COLUMN(F$1),FALSE),0))*VLOOKUP($D205,素材!$1:$1016,COLUMN(D$1),FALSE),0),"")</f>
        <v>115</v>
      </c>
      <c r="G205">
        <f>IFERROR(ROUNDDOWN((VLOOKUP($C205,装備品!$1:$998,COLUMN(E$1),FALSE)+IFERROR(VLOOKUP($CI205,付与!$1:$1167,COLUMN(G$1),FALSE),0))*VLOOKUP($D205,素材!$1:$1016,COLUMN($E$1),FALSE),0),"")</f>
        <v>0</v>
      </c>
      <c r="H205">
        <f>IFERROR(ROUNDDOWN((VLOOKUP($C205,装備品!$1:$998,COLUMN(F$1),FALSE)+IFERROR(VLOOKUP($CI205,付与!$1:$1167,COLUMN(H$1),FALSE),0))*VLOOKUP($D205,素材!$1:$1016,COLUMN($E$1),FALSE),0),"")</f>
        <v>19</v>
      </c>
      <c r="I205">
        <f>IFERROR(ROUNDDOWN((VLOOKUP($C205,装備品!$1:$998,COLUMN(G$1),FALSE)+IFERROR(VLOOKUP($CI205,付与!$1:$1167,COLUMN(I$1),FALSE),0))*VLOOKUP($D205,素材!$1:$1016,COLUMN($E$1),FALSE),0),"")</f>
        <v>9</v>
      </c>
      <c r="J205">
        <f>IFERROR(ROUNDDOWN((VLOOKUP($C205,装備品!$1:$998,COLUMN(H$1),FALSE)+IFERROR(VLOOKUP($CI205,付与!$1:$1167,COLUMN(J$1),FALSE),0))*VLOOKUP($D205,素材!$1:$1016,COLUMN($E$1),FALSE),0),"")</f>
        <v>20</v>
      </c>
      <c r="K205">
        <f>IFERROR(ROUNDDOWN((VLOOKUP($C205,装備品!$1:$998,COLUMN(I$1),FALSE)+IFERROR(VLOOKUP($CI205,付与!$1:$1167,COLUMN(K$1),FALSE),0))*VLOOKUP($D205,素材!$1:$1016,COLUMN($E$1),FALSE),0),"")</f>
        <v>0</v>
      </c>
      <c r="L205" t="str">
        <f>IFERROR(VLOOKUP($D205,素材!$1:$1016,COLUMN($F$1),FALSE),"")</f>
        <v>氷</v>
      </c>
      <c r="M205">
        <f>IFERROR(VLOOKUP($C205,装備品!$1:$998,COLUMN(AA$1),FALSE)*VLOOKUP($D205,素材!$1:$1016,COLUMN($G$1),FALSE),"")</f>
        <v>105</v>
      </c>
      <c r="N205">
        <f>IFERROR(VLOOKUP($C205,装備品!$1:$998,COLUMN(I$1),FALSE),"")</f>
        <v>0</v>
      </c>
      <c r="O205" s="23">
        <f>IFERROR((VLOOKUP($C205,装備品!$1:$998,COLUMN(K$1),FALSE)+VLOOKUP($D205,素材!$1:$1016,COLUMN(H$1),FALSE))*100+IFERROR(VLOOKUP($CI205,付与!$1:$1167,COLUMN(O$1),FALSE),0),"")</f>
        <v>5</v>
      </c>
      <c r="P205" s="23">
        <f>IFERROR((VLOOKUP($C205,装備品!$1:$998,COLUMN(L$1),FALSE)+VLOOKUP($D205,素材!$1:$1016,COLUMN(I$1),FALSE))*100+IFERROR(VLOOKUP($CI205,付与!$1:$1167,COLUMN(P$1),FALSE),0),"")</f>
        <v>175</v>
      </c>
      <c r="Q205">
        <f>IFERROR(ROUNDUP(VLOOKUP($C205,装備品!$1:$998,COLUMN(M$1),FALSE)*(VLOOKUP($D205,素材!$1:$1002,COLUMN(D$1),FALSE)/100),1),"")</f>
        <v>-5</v>
      </c>
      <c r="R205">
        <f>IFERROR(ROUNDUP(VLOOKUP($C205,装備品!$1:$998,COLUMN(N$1),FALSE)*(VLOOKUP($D205,素材!$1:$1002,COLUMN(D$1),FALSE)/100),1),"")</f>
        <v>-5</v>
      </c>
      <c r="S205">
        <f>IFERROR(VLOOKUP($C205,装備品!$1:$998,COLUMN(P$1),FALSE),"")</f>
        <v>0</v>
      </c>
      <c r="T205">
        <f>IFERROR(VLOOKUP($C205,装備品!$1:$998,COLUMN(Q$1),FALSE),"")</f>
        <v>0</v>
      </c>
      <c r="U205">
        <f>IFERROR(VLOOKUP($C205,装備品!$1:$998,COLUMN(R$1),FALSE),"")</f>
        <v>-15</v>
      </c>
      <c r="V205">
        <f>IFERROR(VLOOKUP($C205,装備品!$1:$998,COLUMN(Q$1),FALSE),"")</f>
        <v>0</v>
      </c>
      <c r="W205">
        <f>IFERROR(VLOOKUP($C205,装備品!$1:$998,COLUMN(T$1),FALSE),"")</f>
        <v>0</v>
      </c>
      <c r="Y205">
        <f>IFERROR(VLOOKUP($C205,装備品!$1:$998,COLUMN(U$1),FALSE),"")</f>
        <v>0</v>
      </c>
      <c r="Z205">
        <f>IFERROR(ROUNDUP(VLOOKUP($C205,装備品!$1:$998,COLUMN(O$1),FALSE)*VLOOKUP($D205,素材!$1:$1016,COLUMN(E$1),FALSE),1),"")</f>
        <v>0</v>
      </c>
      <c r="AA205">
        <f>IF(ISNUMBER(SEARCH(SUBSTITUTE(AA$1,RIGHT(AA$1,2),""),VLOOKUP($D205,素材!$1:$1016,COLUMN($F$1),FALSE))),VLOOKUP($C205,装備品!$1:$998,COLUMN($O$1),FALSE)*VLOOKUP($D205,素材!$1:$1016,COLUMN($E$1),FALSE)/(LEN(VLOOKUP($D205,素材!$1:$1016,COLUMN($F$1),FALSE))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B205">
        <f>IF(ISNUMBER(SEARCH(SUBSTITUTE(AB$1,RIGHT(AB$1,2),""),VLOOKUP($D205,素材!$1:$1016,COLUMN($F$1),FALSE))),VLOOKUP($C205,装備品!$1:$998,COLUMN($O$1),FALSE)*VLOOKUP($D205,素材!$1:$1016,COLUMN($E$1),FALSE)/(LEN(VLOOKUP($D205,素材!$1:$1016,COLUMN($F$1),FALSE))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C205">
        <f>IF(ISNUMBER(SEARCH(SUBSTITUTE(AC$1,RIGHT(AC$1,2),""),VLOOKUP($D205,素材!$1:$1016,COLUMN($F$1),FALSE))),VLOOKUP($C205,装備品!$1:$998,COLUMN($O$1),FALSE)*VLOOKUP($D205,素材!$1:$1016,COLUMN($E$1),FALSE)/(LEN(VLOOKUP($D205,素材!$1:$1016,COLUMN($F$1),FALSE))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D205">
        <f>IF(ISNUMBER(SEARCH(SUBSTITUTE(AD$1,RIGHT(AD$1,2),""),VLOOKUP($D205,素材!$1:$1016,COLUMN($F$1),FALSE))),VLOOKUP($C205,装備品!$1:$998,COLUMN($O$1),FALSE)*VLOOKUP($D205,素材!$1:$1016,COLUMN($E$1),FALSE)/(LEN(VLOOKUP($D205,素材!$1:$1016,COLUMN($F$1),FALSE))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E205">
        <f>IF(ISNUMBER(SEARCH(SUBSTITUTE(AE$1,RIGHT(AE$1,2),""),VLOOKUP($D205,素材!$1:$1016,COLUMN($F$1),FALSE))),VLOOKUP($C205,装備品!$1:$998,COLUMN($O$1),FALSE)*VLOOKUP($D205,素材!$1:$1016,COLUMN($E$1),FALSE)/(LEN(VLOOKUP($D205,素材!$1:$1016,COLUMN($F$1),FALSE))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F205">
        <f>IF(ISNUMBER(SEARCH(SUBSTITUTE(AF$1,RIGHT(AF$1,2),""),VLOOKUP($D205,素材!$1:$1016,COLUMN($F$1),FALSE))),VLOOKUP($C205,装備品!$1:$998,COLUMN($O$1),FALSE)*VLOOKUP($D205,素材!$1:$1016,COLUMN($E$1),FALSE)/(LEN(VLOOKUP($D205,素材!$1:$1016,COLUMN($F$1),FALSE))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G205">
        <f>IF(ISNUMBER(SEARCH(SUBSTITUTE(AG$1,RIGHT(AG$1,2),""),VLOOKUP($D205,素材!$1:$1016,COLUMN($F$1),FALSE))),VLOOKUP($C205,装備品!$1:$998,COLUMN($O$1),FALSE)*VLOOKUP($D205,素材!$1:$1016,COLUMN($E$1),FALSE)/(LEN(VLOOKUP($D205,素材!$1:$1016,COLUMN($F$1),FALSE))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H205">
        <f>IF(ISNUMBER(SEARCH(SUBSTITUTE(AH$1,RIGHT(AH$1,2),""),VLOOKUP($D205,素材!$1:$1016,COLUMN($F$1),FALSE))),VLOOKUP($C205,装備品!$1:$998,COLUMN($O$1),FALSE)*VLOOKUP($D205,素材!$1:$1016,COLUMN($E$1),FALSE)/(LEN(VLOOKUP($D205,素材!$1:$1016,COLUMN($F$1),FALSE))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I205">
        <f>IF(ISNUMBER(SEARCH(SUBSTITUTE(AI$1,RIGHT(AI$1,2),""),VLOOKUP($D205,素材!$1:$1016,COLUMN($F$1),FALSE))),VLOOKUP($C205,装備品!$1:$998,COLUMN($O$1),FALSE)*VLOOKUP($D205,素材!$1:$1016,COLUMN($E$1),FALSE)/(LEN(VLOOKUP($D205,素材!$1:$1016,COLUMN($F$1),FALSE))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J205">
        <f>IF(ISNUMBER(SEARCH(SUBSTITUTE(AJ$1,RIGHT(AJ$1,2),""),VLOOKUP($D205,素材!$1:$1016,COLUMN($F$1),FALSE))),VLOOKUP($C205,装備品!$1:$998,COLUMN($O$1),FALSE)*VLOOKUP($D205,素材!$1:$1016,COLUMN($E$1),FALSE)/(LEN(VLOOKUP($D205,素材!$1:$1016,COLUMN($F$1),FALSE))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K205">
        <f>IF(ISNUMBER(SEARCH(SUBSTITUTE(AK$1,RIGHT(AK$1,2),""),VLOOKUP($D205,素材!$1:$1016,COLUMN($F$1),FALSE))),VLOOKUP($C205,装備品!$1:$998,COLUMN($O$1),FALSE)*VLOOKUP($D205,素材!$1:$1016,COLUMN($E$1),FALSE)/(LEN(VLOOKUP($D205,素材!$1:$1016,COLUMN($F$1),FALSE))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L205">
        <f>IF(ISNUMBER(SEARCH(SUBSTITUTE(AL$1,RIGHT(AL$1,2),""),VLOOKUP($D205,素材!$1:$1016,COLUMN($F$1),FALSE))),VLOOKUP($C205,装備品!$1:$998,COLUMN($O$1),FALSE)*VLOOKUP($D205,素材!$1:$1016,COLUMN($E$1),FALSE)/(LEN(VLOOKUP($D205,素材!$1:$1016,COLUMN($F$1),FALSE))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M205">
        <f>IF(ISNUMBER(SEARCH(SUBSTITUTE(AM$1,RIGHT(AM$1,2),""),VLOOKUP($D205,素材!$1:$1016,COLUMN($F$1),FALSE))),VLOOKUP($C205,装備品!$1:$998,COLUMN($O$1),FALSE)*VLOOKUP($D205,素材!$1:$1016,COLUMN($E$1),FALSE)/(LEN(VLOOKUP($D205,素材!$1:$1016,COLUMN($F$1),FALSE))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N205">
        <f>IF(ISNUMBER(SEARCH(SUBSTITUTE(AN$1,RIGHT(AN$1,2),""),VLOOKUP($D205,素材!$1:$1016,COLUMN($F$1),FALSE))),VLOOKUP($C205,装備品!$1:$998,COLUMN($O$1),FALSE)*VLOOKUP($D205,素材!$1:$1016,COLUMN($E$1),FALSE)/(LEN(VLOOKUP($D205,素材!$1:$1016,COLUMN($F$1),FALSE))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O205">
        <f>IF(ISNUMBER(SEARCH(SUBSTITUTE(AO$1,RIGHT(AO$1,2),""),VLOOKUP($D205,素材!$1:$1016,COLUMN($F$1),FALSE))),VLOOKUP($C205,装備品!$1:$998,COLUMN($O$1),FALSE)*VLOOKUP($D205,素材!$1:$1016,COLUMN($E$1),FALSE)/(LEN(VLOOKUP($D205,素材!$1:$1016,COLUMN($F$1),FALSE))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P205">
        <f>IF(ISNUMBER(SEARCH(SUBSTITUTE(AP$1,RIGHT(AP$1,2),""),VLOOKUP($D205,素材!$1:$1016,COLUMN($F$1),FALSE))),VLOOKUP($C205,装備品!$1:$998,COLUMN($O$1),FALSE)*VLOOKUP($D205,素材!$1:$1016,COLUMN($E$1),FALSE)/(LEN(VLOOKUP($D205,素材!$1:$1016,COLUMN($F$1),FALSE))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Q205">
        <f>IF(ISNUMBER(SEARCH(SUBSTITUTE(AQ$1,RIGHT(AQ$1,2),""),VLOOKUP($D205,素材!$1:$1016,COLUMN($F$1),FALSE))),VLOOKUP($C205,装備品!$1:$998,COLUMN($O$1),FALSE)*VLOOKUP($D205,素材!$1:$1016,COLUMN($E$1),FALSE)/(LEN(VLOOKUP($D205,素材!$1:$1016,COLUMN($F$1),FALSE))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R205">
        <f>IF(ISNUMBER(SEARCH(SUBSTITUTE(AR$1,RIGHT(AR$1,2),""),VLOOKUP($D205,素材!$1:$1016,COLUMN($F$1),FALSE))),VLOOKUP($C205,装備品!$1:$998,COLUMN($O$1),FALSE)*VLOOKUP($D205,素材!$1:$1016,COLUMN($E$1),FALSE)/(LEN(VLOOKUP($D205,素材!$1:$1016,COLUMN($F$1),FALSE))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S205">
        <f>IF(ISNUMBER(SEARCH(SUBSTITUTE(AS$1,RIGHT(AS$1,2),""),VLOOKUP($D205,素材!$1:$1016,COLUMN($F$1),FALSE))),VLOOKUP($C205,装備品!$1:$998,COLUMN($O$1),FALSE)*VLOOKUP($D205,素材!$1:$1016,COLUMN($E$1),FALSE)/(LEN(VLOOKUP($D205,素材!$1:$1016,COLUMN($F$1),FALSE))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T205">
        <f>IF(ISNUMBER(SEARCH(SUBSTITUTE(AT$1,RIGHT(AT$1,2),""),VLOOKUP($D205,素材!$1:$1016,COLUMN($F$1),FALSE))),VLOOKUP($C205,装備品!$1:$998,COLUMN($O$1),FALSE)*VLOOKUP($D205,素材!$1:$1016,COLUMN($E$1),FALSE)/(LEN(VLOOKUP($D205,素材!$1:$1016,COLUMN($F$1),FALSE))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U205">
        <f>IF(ISNUMBER(SEARCH(SUBSTITUTE(AU$1,RIGHT(AU$1,2),""),VLOOKUP($D205,素材!$1:$1016,COLUMN($F$1),FALSE))),VLOOKUP($C205,装備品!$1:$998,COLUMN($O$1),FALSE)*VLOOKUP($D205,素材!$1:$1016,COLUMN($E$1),FALSE)/(LEN(VLOOKUP($D205,素材!$1:$1016,COLUMN($F$1),FALSE))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V205">
        <f>IF(ISNUMBER(SEARCH(SUBSTITUTE(AV$1,RIGHT(AV$1,2),""),VLOOKUP($D205,素材!$1:$1016,COLUMN($F$1),FALSE))),VLOOKUP($C205,装備品!$1:$998,COLUMN($O$1),FALSE)*VLOOKUP($D205,素材!$1:$1016,COLUMN($E$1),FALSE)/(LEN(VLOOKUP($D205,素材!$1:$1016,COLUMN($F$1),FALSE))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W205">
        <f>IF(ISNUMBER(SEARCH(SUBSTITUTE(AW$1,RIGHT(AW$1,2),""),VLOOKUP($D205,素材!$1:$1016,COLUMN($F$1),FALSE))),VLOOKUP($C205,装備品!$1:$998,COLUMN($O$1),FALSE)*VLOOKUP($D205,素材!$1:$1016,COLUMN($E$1),FALSE)/(LEN(VLOOKUP($D205,素材!$1:$1016,COLUMN($F$1),FALSE))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X205">
        <f>IF(ISNUMBER(SEARCH(SUBSTITUTE(AX$1,RIGHT(AX$1,2),""),VLOOKUP($D205,素材!$1:$1016,COLUMN($F$1),FALSE))),VLOOKUP($C205,装備品!$1:$998,COLUMN($O$1),FALSE)*VLOOKUP($D205,素材!$1:$1016,COLUMN($E$1),FALSE)/(LEN(VLOOKUP($D205,素材!$1:$1016,COLUMN($F$1),FALSE))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Y205">
        <f>IF(ISNUMBER(SEARCH(SUBSTITUTE(AY$1,RIGHT(AY$1,2),""),VLOOKUP($D205,素材!$1:$1016,COLUMN($F$1),FALSE))),VLOOKUP($C205,装備品!$1:$998,COLUMN($O$1),FALSE)*VLOOKUP($D205,素材!$1:$1016,COLUMN($E$1),FALSE)/(LEN(VLOOKUP($D205,素材!$1:$1016,COLUMN($F$1),FALSE))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Z205">
        <f>IF(ISNUMBER(SEARCH(SUBSTITUTE(AZ$1,RIGHT(AZ$1,2),""),VLOOKUP($D205,素材!$1:$1016,COLUMN($F$1),FALSE))),VLOOKUP($C205,装備品!$1:$998,COLUMN($O$1),FALSE)*VLOOKUP($D205,素材!$1:$1016,COLUMN($E$1),FALSE)/(LEN(VLOOKUP($D205,素材!$1:$1016,COLUMN($F$1),FALSE))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BA205">
        <f>IF(ISNUMBER(SEARCH(SUBSTITUTE(BA$1,RIGHT(BA$1,2),""),VLOOKUP($D205,素材!$1:$1016,COLUMN($F$1),FALSE))),VLOOKUP($C205,装備品!$1:$998,COLUMN($O$1),FALSE)*VLOOKUP($D205,素材!$1:$1016,COLUMN($E$1),FALSE)/(LEN(VLOOKUP($D205,素材!$1:$1016,COLUMN($F$1),FALSE))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BB205">
        <f>IF(ISNUMBER(SEARCH(SUBSTITUTE(BB$1,RIGHT(BB$1,2),""),VLOOKUP($D205,素材!$1:$1016,COLUMN($F$1),FALSE))),VLOOKUP($C205,装備品!$1:$998,COLUMN($O$1),FALSE)*VLOOKUP($D205,素材!$1:$1016,COLUMN($E$1),FALSE)/(LEN(VLOOKUP($D205,素材!$1:$1016,COLUMN($F$1),FALSE))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BC205">
        <f>IF(ISNUMBER(SEARCH(SUBSTITUTE(BC$1,RIGHT(BC$1,2),""),VLOOKUP($D205,素材!$1:$1016,COLUMN($F$1),FALSE))),VLOOKUP($C205,装備品!$1:$998,COLUMN($O$1),FALSE)*VLOOKUP($D205,素材!$1:$1016,COLUMN($E$1),FALSE)/(LEN(VLOOKUP($D205,素材!$1:$1016,COLUMN($F$1),FALSE))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BD205">
        <f>IF(ISNUMBER(SEARCH(SUBSTITUTE(BD$1,RIGHT(BD$1,2),""),VLOOKUP($D205,素材!$1:$1016,COLUMN($F$1),FALSE))),VLOOKUP($C205,装備品!$1:$998,COLUMN($O$1),FALSE)*VLOOKUP($D205,素材!$1:$1016,COLUMN($E$1),FALSE)/(LEN(VLOOKUP($D205,素材!$1:$1016,COLUMN($F$1),FALSE))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BE205">
        <f>IF(ISNUMBER(SEARCH(SUBSTITUTE(BE$1,RIGHT(BE$1,2),""),VLOOKUP($D205,素材!$1:$1016,COLUMN($F$1),FALSE))),VLOOKUP($C205,装備品!$1:$998,COLUMN($O$1),FALSE)*VLOOKUP($D205,素材!$1:$1016,COLUMN($E$1),FALSE)/(LEN(VLOOKUP($D205,素材!$1:$1016,COLUMN($F$1),FALSE))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CL205">
        <f t="shared" si="35"/>
        <v>28</v>
      </c>
      <c r="CM205" s="22" t="str">
        <f t="shared" si="36"/>
        <v>貫通.webp</v>
      </c>
      <c r="CN205">
        <f>IFERROR(VLOOKUP($C205,装備品!$1:$998,COLUMN(V$1),FALSE)*VLOOKUP($D205,素材!$1:$1016,COLUMN(N$1),FALSE)+IF(CI205="",0,VLOOKUP($CI205,付与!$1:$1176,COLUMN($CK$1),FALSE)),"")</f>
        <v>0</v>
      </c>
      <c r="CO205">
        <f>VLOOKUP(D205,素材!$A:$O,COLUMN(素材!O$1),FALSE)</f>
        <v>0</v>
      </c>
      <c r="CP205" t="str">
        <f>VLOOKUP(C205,装備品!$A:$AB,COLUMN(装備品!AB$1),FALSE)</f>
        <v>騎士槍。突撃に特化した武器で、高い攻撃力を誇る。</v>
      </c>
      <c r="CR205" t="str">
        <f t="shared" si="24"/>
        <v>e_205</v>
      </c>
      <c r="CS205">
        <f t="shared" si="28"/>
        <v>0</v>
      </c>
    </row>
    <row r="206" spans="1:97" outlineLevel="1" x14ac:dyDescent="0.4">
      <c r="A206" t="str">
        <f t="shared" si="34"/>
        <v>冷気鉄の斧槍</v>
      </c>
      <c r="B206" t="str">
        <f>IFERROR(VLOOKUP($D206,素材!$1:$1016,COLUMN($B$1),FALSE)&amp;"・"&amp;VLOOKUP($C206,装備品!$1:$998,COLUMN(B$1),FALSE),"")</f>
        <v>ドゥララン・ハルバート</v>
      </c>
      <c r="C206" s="24" t="s">
        <v>230</v>
      </c>
      <c r="D206" s="24" t="s">
        <v>242</v>
      </c>
      <c r="E206" t="str">
        <f>IFERROR(VLOOKUP(C206,装備品!$1:$998,COLUMN(C$1),FALSE),"")</f>
        <v>武器</v>
      </c>
      <c r="F206">
        <f>IFERROR(ROUNDDOWN((VLOOKUP($C206,装備品!$1:$998,COLUMN(D$1),FALSE)+IFERROR(VLOOKUP($CI206,付与!$1:$1167,COLUMN(F$1),FALSE),0))*VLOOKUP($D206,素材!$1:$1016,COLUMN(D$1),FALSE),0),"")</f>
        <v>110</v>
      </c>
      <c r="G206">
        <f>IFERROR(ROUNDDOWN((VLOOKUP($C206,装備品!$1:$998,COLUMN(E$1),FALSE)+IFERROR(VLOOKUP($CI206,付与!$1:$1167,COLUMN(G$1),FALSE),0))*VLOOKUP($D206,素材!$1:$1016,COLUMN($E$1),FALSE),0),"")</f>
        <v>8</v>
      </c>
      <c r="H206">
        <f>IFERROR(ROUNDDOWN((VLOOKUP($C206,装備品!$1:$998,COLUMN(F$1),FALSE)+IFERROR(VLOOKUP($CI206,付与!$1:$1167,COLUMN(H$1),FALSE),0))*VLOOKUP($D206,素材!$1:$1016,COLUMN($E$1),FALSE),0),"")</f>
        <v>10</v>
      </c>
      <c r="I206">
        <f>IFERROR(ROUNDDOWN((VLOOKUP($C206,装備品!$1:$998,COLUMN(G$1),FALSE)+IFERROR(VLOOKUP($CI206,付与!$1:$1167,COLUMN(I$1),FALSE),0))*VLOOKUP($D206,素材!$1:$1016,COLUMN($E$1),FALSE),0),"")</f>
        <v>6</v>
      </c>
      <c r="J206">
        <f>IFERROR(ROUNDDOWN((VLOOKUP($C206,装備品!$1:$998,COLUMN(H$1),FALSE)+IFERROR(VLOOKUP($CI206,付与!$1:$1167,COLUMN(J$1),FALSE),0))*VLOOKUP($D206,素材!$1:$1016,COLUMN($E$1),FALSE),0),"")</f>
        <v>19</v>
      </c>
      <c r="K206">
        <f>IFERROR(ROUNDDOWN((VLOOKUP($C206,装備品!$1:$998,COLUMN(I$1),FALSE)+IFERROR(VLOOKUP($CI206,付与!$1:$1167,COLUMN(K$1),FALSE),0))*VLOOKUP($D206,素材!$1:$1016,COLUMN($E$1),FALSE),0),"")</f>
        <v>0</v>
      </c>
      <c r="L206" t="str">
        <f>IFERROR(VLOOKUP($D206,素材!$1:$1016,COLUMN($F$1),FALSE),"")</f>
        <v>氷</v>
      </c>
      <c r="M206">
        <f>IFERROR(VLOOKUP($C206,装備品!$1:$998,COLUMN(AA$1),FALSE)*VLOOKUP($D206,素材!$1:$1016,COLUMN($G$1),FALSE),"")</f>
        <v>87.5</v>
      </c>
      <c r="N206">
        <f>IFERROR(VLOOKUP($C206,装備品!$1:$998,COLUMN(I$1),FALSE),"")</f>
        <v>0</v>
      </c>
      <c r="O206" s="23">
        <f>IFERROR((VLOOKUP($C206,装備品!$1:$998,COLUMN(K$1),FALSE)+VLOOKUP($D206,素材!$1:$1016,COLUMN(H$1),FALSE))*100+IFERROR(VLOOKUP($CI206,付与!$1:$1167,COLUMN(O$1),FALSE),0),"")</f>
        <v>10</v>
      </c>
      <c r="P206" s="23">
        <f>IFERROR((VLOOKUP($C206,装備品!$1:$998,COLUMN(L$1),FALSE)+VLOOKUP($D206,素材!$1:$1016,COLUMN(I$1),FALSE))*100+IFERROR(VLOOKUP($CI206,付与!$1:$1167,COLUMN(P$1),FALSE),0),"")</f>
        <v>150</v>
      </c>
      <c r="Q206">
        <f>IFERROR(ROUNDUP(VLOOKUP($C206,装備品!$1:$998,COLUMN(M$1),FALSE)*(VLOOKUP($D206,素材!$1:$1002,COLUMN(D$1),FALSE)/100),1),"")</f>
        <v>-5</v>
      </c>
      <c r="R206">
        <f>IFERROR(ROUNDUP(VLOOKUP($C206,装備品!$1:$998,COLUMN(N$1),FALSE)*(VLOOKUP($D206,素材!$1:$1002,COLUMN(D$1),FALSE)/100),1),"")</f>
        <v>-5</v>
      </c>
      <c r="S206">
        <f>IFERROR(VLOOKUP($C206,装備品!$1:$998,COLUMN(P$1),FALSE),"")</f>
        <v>0</v>
      </c>
      <c r="T206">
        <f>IFERROR(VLOOKUP($C206,装備品!$1:$998,COLUMN(Q$1),FALSE),"")</f>
        <v>0</v>
      </c>
      <c r="U206">
        <f>IFERROR(VLOOKUP($C206,装備品!$1:$998,COLUMN(R$1),FALSE),"")</f>
        <v>0</v>
      </c>
      <c r="V206">
        <f>IFERROR(VLOOKUP($C206,装備品!$1:$998,COLUMN(Q$1),FALSE),"")</f>
        <v>0</v>
      </c>
      <c r="W206">
        <f>IFERROR(VLOOKUP($C206,装備品!$1:$998,COLUMN(T$1),FALSE),"")</f>
        <v>0</v>
      </c>
      <c r="Y206">
        <f>IFERROR(VLOOKUP($C206,装備品!$1:$998,COLUMN(U$1),FALSE),"")</f>
        <v>0</v>
      </c>
      <c r="Z206">
        <f>IFERROR(ROUNDUP(VLOOKUP($C206,装備品!$1:$998,COLUMN(O$1),FALSE)*VLOOKUP($D206,素材!$1:$1016,COLUMN(E$1),FALSE),1),"")</f>
        <v>0</v>
      </c>
      <c r="AA206">
        <f>IF(ISNUMBER(SEARCH(SUBSTITUTE(AA$1,RIGHT(AA$1,2),""),VLOOKUP($D206,素材!$1:$1016,COLUMN($F$1),FALSE))),VLOOKUP($C206,装備品!$1:$998,COLUMN($O$1),FALSE)*VLOOKUP($D206,素材!$1:$1016,COLUMN($E$1),FALSE)/(LEN(VLOOKUP($D206,素材!$1:$1016,COLUMN($F$1),FALSE))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B206">
        <f>IF(ISNUMBER(SEARCH(SUBSTITUTE(AB$1,RIGHT(AB$1,2),""),VLOOKUP($D206,素材!$1:$1016,COLUMN($F$1),FALSE))),VLOOKUP($C206,装備品!$1:$998,COLUMN($O$1),FALSE)*VLOOKUP($D206,素材!$1:$1016,COLUMN($E$1),FALSE)/(LEN(VLOOKUP($D206,素材!$1:$1016,COLUMN($F$1),FALSE))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C206">
        <f>IF(ISNUMBER(SEARCH(SUBSTITUTE(AC$1,RIGHT(AC$1,2),""),VLOOKUP($D206,素材!$1:$1016,COLUMN($F$1),FALSE))),VLOOKUP($C206,装備品!$1:$998,COLUMN($O$1),FALSE)*VLOOKUP($D206,素材!$1:$1016,COLUMN($E$1),FALSE)/(LEN(VLOOKUP($D206,素材!$1:$1016,COLUMN($F$1),FALSE))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D206">
        <f>IF(ISNUMBER(SEARCH(SUBSTITUTE(AD$1,RIGHT(AD$1,2),""),VLOOKUP($D206,素材!$1:$1016,COLUMN($F$1),FALSE))),VLOOKUP($C206,装備品!$1:$998,COLUMN($O$1),FALSE)*VLOOKUP($D206,素材!$1:$1016,COLUMN($E$1),FALSE)/(LEN(VLOOKUP($D206,素材!$1:$1016,COLUMN($F$1),FALSE))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E206">
        <f>IF(ISNUMBER(SEARCH(SUBSTITUTE(AE$1,RIGHT(AE$1,2),""),VLOOKUP($D206,素材!$1:$1016,COLUMN($F$1),FALSE))),VLOOKUP($C206,装備品!$1:$998,COLUMN($O$1),FALSE)*VLOOKUP($D206,素材!$1:$1016,COLUMN($E$1),FALSE)/(LEN(VLOOKUP($D206,素材!$1:$1016,COLUMN($F$1),FALSE))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F206">
        <f>IF(ISNUMBER(SEARCH(SUBSTITUTE(AF$1,RIGHT(AF$1,2),""),VLOOKUP($D206,素材!$1:$1016,COLUMN($F$1),FALSE))),VLOOKUP($C206,装備品!$1:$998,COLUMN($O$1),FALSE)*VLOOKUP($D206,素材!$1:$1016,COLUMN($E$1),FALSE)/(LEN(VLOOKUP($D206,素材!$1:$1016,COLUMN($F$1),FALSE))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G206">
        <f>IF(ISNUMBER(SEARCH(SUBSTITUTE(AG$1,RIGHT(AG$1,2),""),VLOOKUP($D206,素材!$1:$1016,COLUMN($F$1),FALSE))),VLOOKUP($C206,装備品!$1:$998,COLUMN($O$1),FALSE)*VLOOKUP($D206,素材!$1:$1016,COLUMN($E$1),FALSE)/(LEN(VLOOKUP($D206,素材!$1:$1016,COLUMN($F$1),FALSE))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H206">
        <f>IF(ISNUMBER(SEARCH(SUBSTITUTE(AH$1,RIGHT(AH$1,2),""),VLOOKUP($D206,素材!$1:$1016,COLUMN($F$1),FALSE))),VLOOKUP($C206,装備品!$1:$998,COLUMN($O$1),FALSE)*VLOOKUP($D206,素材!$1:$1016,COLUMN($E$1),FALSE)/(LEN(VLOOKUP($D206,素材!$1:$1016,COLUMN($F$1),FALSE))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I206">
        <f>IF(ISNUMBER(SEARCH(SUBSTITUTE(AI$1,RIGHT(AI$1,2),""),VLOOKUP($D206,素材!$1:$1016,COLUMN($F$1),FALSE))),VLOOKUP($C206,装備品!$1:$998,COLUMN($O$1),FALSE)*VLOOKUP($D206,素材!$1:$1016,COLUMN($E$1),FALSE)/(LEN(VLOOKUP($D206,素材!$1:$1016,COLUMN($F$1),FALSE))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J206">
        <f>IF(ISNUMBER(SEARCH(SUBSTITUTE(AJ$1,RIGHT(AJ$1,2),""),VLOOKUP($D206,素材!$1:$1016,COLUMN($F$1),FALSE))),VLOOKUP($C206,装備品!$1:$998,COLUMN($O$1),FALSE)*VLOOKUP($D206,素材!$1:$1016,COLUMN($E$1),FALSE)/(LEN(VLOOKUP($D206,素材!$1:$1016,COLUMN($F$1),FALSE))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K206">
        <f>IF(ISNUMBER(SEARCH(SUBSTITUTE(AK$1,RIGHT(AK$1,2),""),VLOOKUP($D206,素材!$1:$1016,COLUMN($F$1),FALSE))),VLOOKUP($C206,装備品!$1:$998,COLUMN($O$1),FALSE)*VLOOKUP($D206,素材!$1:$1016,COLUMN($E$1),FALSE)/(LEN(VLOOKUP($D206,素材!$1:$1016,COLUMN($F$1),FALSE))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L206">
        <f>IF(ISNUMBER(SEARCH(SUBSTITUTE(AL$1,RIGHT(AL$1,2),""),VLOOKUP($D206,素材!$1:$1016,COLUMN($F$1),FALSE))),VLOOKUP($C206,装備品!$1:$998,COLUMN($O$1),FALSE)*VLOOKUP($D206,素材!$1:$1016,COLUMN($E$1),FALSE)/(LEN(VLOOKUP($D206,素材!$1:$1016,COLUMN($F$1),FALSE))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M206">
        <f>IF(ISNUMBER(SEARCH(SUBSTITUTE(AM$1,RIGHT(AM$1,2),""),VLOOKUP($D206,素材!$1:$1016,COLUMN($F$1),FALSE))),VLOOKUP($C206,装備品!$1:$998,COLUMN($O$1),FALSE)*VLOOKUP($D206,素材!$1:$1016,COLUMN($E$1),FALSE)/(LEN(VLOOKUP($D206,素材!$1:$1016,COLUMN($F$1),FALSE))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N206">
        <f>IF(ISNUMBER(SEARCH(SUBSTITUTE(AN$1,RIGHT(AN$1,2),""),VLOOKUP($D206,素材!$1:$1016,COLUMN($F$1),FALSE))),VLOOKUP($C206,装備品!$1:$998,COLUMN($O$1),FALSE)*VLOOKUP($D206,素材!$1:$1016,COLUMN($E$1),FALSE)/(LEN(VLOOKUP($D206,素材!$1:$1016,COLUMN($F$1),FALSE))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O206">
        <f>IF(ISNUMBER(SEARCH(SUBSTITUTE(AO$1,RIGHT(AO$1,2),""),VLOOKUP($D206,素材!$1:$1016,COLUMN($F$1),FALSE))),VLOOKUP($C206,装備品!$1:$998,COLUMN($O$1),FALSE)*VLOOKUP($D206,素材!$1:$1016,COLUMN($E$1),FALSE)/(LEN(VLOOKUP($D206,素材!$1:$1016,COLUMN($F$1),FALSE))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P206">
        <f>IF(ISNUMBER(SEARCH(SUBSTITUTE(AP$1,RIGHT(AP$1,2),""),VLOOKUP($D206,素材!$1:$1016,COLUMN($F$1),FALSE))),VLOOKUP($C206,装備品!$1:$998,COLUMN($O$1),FALSE)*VLOOKUP($D206,素材!$1:$1016,COLUMN($E$1),FALSE)/(LEN(VLOOKUP($D206,素材!$1:$1016,COLUMN($F$1),FALSE))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Q206">
        <f>IF(ISNUMBER(SEARCH(SUBSTITUTE(AQ$1,RIGHT(AQ$1,2),""),VLOOKUP($D206,素材!$1:$1016,COLUMN($F$1),FALSE))),VLOOKUP($C206,装備品!$1:$998,COLUMN($O$1),FALSE)*VLOOKUP($D206,素材!$1:$1016,COLUMN($E$1),FALSE)/(LEN(VLOOKUP($D206,素材!$1:$1016,COLUMN($F$1),FALSE))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R206">
        <f>IF(ISNUMBER(SEARCH(SUBSTITUTE(AR$1,RIGHT(AR$1,2),""),VLOOKUP($D206,素材!$1:$1016,COLUMN($F$1),FALSE))),VLOOKUP($C206,装備品!$1:$998,COLUMN($O$1),FALSE)*VLOOKUP($D206,素材!$1:$1016,COLUMN($E$1),FALSE)/(LEN(VLOOKUP($D206,素材!$1:$1016,COLUMN($F$1),FALSE))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S206">
        <f>IF(ISNUMBER(SEARCH(SUBSTITUTE(AS$1,RIGHT(AS$1,2),""),VLOOKUP($D206,素材!$1:$1016,COLUMN($F$1),FALSE))),VLOOKUP($C206,装備品!$1:$998,COLUMN($O$1),FALSE)*VLOOKUP($D206,素材!$1:$1016,COLUMN($E$1),FALSE)/(LEN(VLOOKUP($D206,素材!$1:$1016,COLUMN($F$1),FALSE))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T206">
        <f>IF(ISNUMBER(SEARCH(SUBSTITUTE(AT$1,RIGHT(AT$1,2),""),VLOOKUP($D206,素材!$1:$1016,COLUMN($F$1),FALSE))),VLOOKUP($C206,装備品!$1:$998,COLUMN($O$1),FALSE)*VLOOKUP($D206,素材!$1:$1016,COLUMN($E$1),FALSE)/(LEN(VLOOKUP($D206,素材!$1:$1016,COLUMN($F$1),FALSE))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U206">
        <f>IF(ISNUMBER(SEARCH(SUBSTITUTE(AU$1,RIGHT(AU$1,2),""),VLOOKUP($D206,素材!$1:$1016,COLUMN($F$1),FALSE))),VLOOKUP($C206,装備品!$1:$998,COLUMN($O$1),FALSE)*VLOOKUP($D206,素材!$1:$1016,COLUMN($E$1),FALSE)/(LEN(VLOOKUP($D206,素材!$1:$1016,COLUMN($F$1),FALSE))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V206">
        <f>IF(ISNUMBER(SEARCH(SUBSTITUTE(AV$1,RIGHT(AV$1,2),""),VLOOKUP($D206,素材!$1:$1016,COLUMN($F$1),FALSE))),VLOOKUP($C206,装備品!$1:$998,COLUMN($O$1),FALSE)*VLOOKUP($D206,素材!$1:$1016,COLUMN($E$1),FALSE)/(LEN(VLOOKUP($D206,素材!$1:$1016,COLUMN($F$1),FALSE))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W206">
        <f>IF(ISNUMBER(SEARCH(SUBSTITUTE(AW$1,RIGHT(AW$1,2),""),VLOOKUP($D206,素材!$1:$1016,COLUMN($F$1),FALSE))),VLOOKUP($C206,装備品!$1:$998,COLUMN($O$1),FALSE)*VLOOKUP($D206,素材!$1:$1016,COLUMN($E$1),FALSE)/(LEN(VLOOKUP($D206,素材!$1:$1016,COLUMN($F$1),FALSE))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X206">
        <f>IF(ISNUMBER(SEARCH(SUBSTITUTE(AX$1,RIGHT(AX$1,2),""),VLOOKUP($D206,素材!$1:$1016,COLUMN($F$1),FALSE))),VLOOKUP($C206,装備品!$1:$998,COLUMN($O$1),FALSE)*VLOOKUP($D206,素材!$1:$1016,COLUMN($E$1),FALSE)/(LEN(VLOOKUP($D206,素材!$1:$1016,COLUMN($F$1),FALSE))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Y206">
        <f>IF(ISNUMBER(SEARCH(SUBSTITUTE(AY$1,RIGHT(AY$1,2),""),VLOOKUP($D206,素材!$1:$1016,COLUMN($F$1),FALSE))),VLOOKUP($C206,装備品!$1:$998,COLUMN($O$1),FALSE)*VLOOKUP($D206,素材!$1:$1016,COLUMN($E$1),FALSE)/(LEN(VLOOKUP($D206,素材!$1:$1016,COLUMN($F$1),FALSE))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Z206">
        <f>IF(ISNUMBER(SEARCH(SUBSTITUTE(AZ$1,RIGHT(AZ$1,2),""),VLOOKUP($D206,素材!$1:$1016,COLUMN($F$1),FALSE))),VLOOKUP($C206,装備品!$1:$998,COLUMN($O$1),FALSE)*VLOOKUP($D206,素材!$1:$1016,COLUMN($E$1),FALSE)/(LEN(VLOOKUP($D206,素材!$1:$1016,COLUMN($F$1),FALSE))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BA206">
        <f>IF(ISNUMBER(SEARCH(SUBSTITUTE(BA$1,RIGHT(BA$1,2),""),VLOOKUP($D206,素材!$1:$1016,COLUMN($F$1),FALSE))),VLOOKUP($C206,装備品!$1:$998,COLUMN($O$1),FALSE)*VLOOKUP($D206,素材!$1:$1016,COLUMN($E$1),FALSE)/(LEN(VLOOKUP($D206,素材!$1:$1016,COLUMN($F$1),FALSE))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BB206">
        <f>IF(ISNUMBER(SEARCH(SUBSTITUTE(BB$1,RIGHT(BB$1,2),""),VLOOKUP($D206,素材!$1:$1016,COLUMN($F$1),FALSE))),VLOOKUP($C206,装備品!$1:$998,COLUMN($O$1),FALSE)*VLOOKUP($D206,素材!$1:$1016,COLUMN($E$1),FALSE)/(LEN(VLOOKUP($D206,素材!$1:$1016,COLUMN($F$1),FALSE))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BC206">
        <f>IF(ISNUMBER(SEARCH(SUBSTITUTE(BC$1,RIGHT(BC$1,2),""),VLOOKUP($D206,素材!$1:$1016,COLUMN($F$1),FALSE))),VLOOKUP($C206,装備品!$1:$998,COLUMN($O$1),FALSE)*VLOOKUP($D206,素材!$1:$1016,COLUMN($E$1),FALSE)/(LEN(VLOOKUP($D206,素材!$1:$1016,COLUMN($F$1),FALSE))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BD206">
        <f>IF(ISNUMBER(SEARCH(SUBSTITUTE(BD$1,RIGHT(BD$1,2),""),VLOOKUP($D206,素材!$1:$1016,COLUMN($F$1),FALSE))),VLOOKUP($C206,装備品!$1:$998,COLUMN($O$1),FALSE)*VLOOKUP($D206,素材!$1:$1016,COLUMN($E$1),FALSE)/(LEN(VLOOKUP($D206,素材!$1:$1016,COLUMN($F$1),FALSE))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BE206">
        <f>IF(ISNUMBER(SEARCH(SUBSTITUTE(BE$1,RIGHT(BE$1,2),""),VLOOKUP($D206,素材!$1:$1016,COLUMN($F$1),FALSE))),VLOOKUP($C206,装備品!$1:$998,COLUMN($O$1),FALSE)*VLOOKUP($D206,素材!$1:$1016,COLUMN($E$1),FALSE)/(LEN(VLOOKUP($D206,素材!$1:$1016,COLUMN($F$1),FALSE))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CL206">
        <f t="shared" si="35"/>
        <v>24</v>
      </c>
      <c r="CM206" s="22" t="str">
        <f t="shared" si="36"/>
        <v>貫通.webp</v>
      </c>
      <c r="CN206">
        <f>IFERROR(VLOOKUP($C206,装備品!$1:$998,COLUMN(V$1),FALSE)*VLOOKUP($D206,素材!$1:$1016,COLUMN(N$1),FALSE)+IF(CI206="",0,VLOOKUP($CI206,付与!$1:$1176,COLUMN($CK$1),FALSE)),"")</f>
        <v>0</v>
      </c>
      <c r="CO206">
        <f>VLOOKUP(D206,素材!$A:$O,COLUMN(素材!O$1),FALSE)</f>
        <v>0</v>
      </c>
      <c r="CP206" t="str">
        <f>VLOOKUP(C206,装備品!$A:$AB,COLUMN(装備品!AB$1),FALSE)</f>
        <v>斧槍。全力時に威力が高く斬撃と突撃の両方に対応できる武器。</v>
      </c>
      <c r="CR206" t="str">
        <f t="shared" ref="CR206:CR269" si="37">"e_"&amp;ROW(CR206)</f>
        <v>e_206</v>
      </c>
      <c r="CS206">
        <f t="shared" si="28"/>
        <v>0</v>
      </c>
    </row>
    <row r="207" spans="1:97" outlineLevel="1" x14ac:dyDescent="0.4">
      <c r="A207" t="str">
        <f t="shared" si="34"/>
        <v>冷気鉄の棍棒</v>
      </c>
      <c r="B207" t="str">
        <f>IFERROR(VLOOKUP($D207,素材!$1:$1016,COLUMN($B$1),FALSE)&amp;"・"&amp;VLOOKUP($C207,装備品!$1:$998,COLUMN(B$1),FALSE),"")</f>
        <v>ドゥララン・クラブ</v>
      </c>
      <c r="C207" s="24" t="s">
        <v>229</v>
      </c>
      <c r="D207" s="24" t="s">
        <v>242</v>
      </c>
      <c r="E207" t="str">
        <f>IFERROR(VLOOKUP(C207,装備品!$1:$998,COLUMN(C$1),FALSE),"")</f>
        <v>武器</v>
      </c>
      <c r="F207">
        <f>IFERROR(ROUNDDOWN((VLOOKUP($C207,装備品!$1:$998,COLUMN(D$1),FALSE)+IFERROR(VLOOKUP($CI207,付与!$1:$1167,COLUMN(F$1),FALSE),0))*VLOOKUP($D207,素材!$1:$1016,COLUMN(D$1),FALSE),0),"")</f>
        <v>105</v>
      </c>
      <c r="G207">
        <f>IFERROR(ROUNDDOWN((VLOOKUP($C207,装備品!$1:$998,COLUMN(E$1),FALSE)+IFERROR(VLOOKUP($CI207,付与!$1:$1167,COLUMN(G$1),FALSE),0))*VLOOKUP($D207,素材!$1:$1016,COLUMN($E$1),FALSE),0),"")</f>
        <v>2</v>
      </c>
      <c r="H207">
        <f>IFERROR(ROUNDDOWN((VLOOKUP($C207,装備品!$1:$998,COLUMN(F$1),FALSE)+IFERROR(VLOOKUP($CI207,付与!$1:$1167,COLUMN(H$1),FALSE),0))*VLOOKUP($D207,素材!$1:$1016,COLUMN($E$1),FALSE),0),"")</f>
        <v>0</v>
      </c>
      <c r="I207">
        <f>IFERROR(ROUNDDOWN((VLOOKUP($C207,装備品!$1:$998,COLUMN(G$1),FALSE)+IFERROR(VLOOKUP($CI207,付与!$1:$1167,COLUMN(I$1),FALSE),0))*VLOOKUP($D207,素材!$1:$1016,COLUMN($E$1),FALSE),0),"")</f>
        <v>20</v>
      </c>
      <c r="J207">
        <f>IFERROR(ROUNDDOWN((VLOOKUP($C207,装備品!$1:$998,COLUMN(H$1),FALSE)+IFERROR(VLOOKUP($CI207,付与!$1:$1167,COLUMN(J$1),FALSE),0))*VLOOKUP($D207,素材!$1:$1016,COLUMN($E$1),FALSE),0),"")</f>
        <v>19</v>
      </c>
      <c r="K207">
        <f>IFERROR(ROUNDDOWN((VLOOKUP($C207,装備品!$1:$998,COLUMN(I$1),FALSE)+IFERROR(VLOOKUP($CI207,付与!$1:$1167,COLUMN(K$1),FALSE),0))*VLOOKUP($D207,素材!$1:$1016,COLUMN($E$1),FALSE),0),"")</f>
        <v>0</v>
      </c>
      <c r="L207" t="str">
        <f>IFERROR(VLOOKUP($D207,素材!$1:$1016,COLUMN($F$1),FALSE),"")</f>
        <v>氷</v>
      </c>
      <c r="M207">
        <f>IFERROR(VLOOKUP($C207,装備品!$1:$998,COLUMN(AA$1),FALSE)*VLOOKUP($D207,素材!$1:$1016,COLUMN($G$1),FALSE),"")</f>
        <v>52.5</v>
      </c>
      <c r="N207">
        <f>IFERROR(VLOOKUP($C207,装備品!$1:$998,COLUMN(I$1),FALSE),"")</f>
        <v>0</v>
      </c>
      <c r="O207" s="23">
        <f>IFERROR((VLOOKUP($C207,装備品!$1:$998,COLUMN(K$1),FALSE)+VLOOKUP($D207,素材!$1:$1016,COLUMN(H$1),FALSE))*100+IFERROR(VLOOKUP($CI207,付与!$1:$1167,COLUMN(O$1),FALSE),0),"")</f>
        <v>5</v>
      </c>
      <c r="P207" s="23">
        <f>IFERROR((VLOOKUP($C207,装備品!$1:$998,COLUMN(L$1),FALSE)+VLOOKUP($D207,素材!$1:$1016,COLUMN(I$1),FALSE))*100+IFERROR(VLOOKUP($CI207,付与!$1:$1167,COLUMN(P$1),FALSE),0),"")</f>
        <v>150</v>
      </c>
      <c r="Q207">
        <f>IFERROR(ROUNDUP(VLOOKUP($C207,装備品!$1:$998,COLUMN(M$1),FALSE)*(VLOOKUP($D207,素材!$1:$1002,COLUMN(D$1),FALSE)/100),1),"")</f>
        <v>0</v>
      </c>
      <c r="R207">
        <f>IFERROR(ROUNDUP(VLOOKUP($C207,装備品!$1:$998,COLUMN(N$1),FALSE)*(VLOOKUP($D207,素材!$1:$1002,COLUMN(D$1),FALSE)/100),1),"")</f>
        <v>0</v>
      </c>
      <c r="S207">
        <f>IFERROR(VLOOKUP($C207,装備品!$1:$998,COLUMN(P$1),FALSE),"")</f>
        <v>0</v>
      </c>
      <c r="T207">
        <f>IFERROR(VLOOKUP($C207,装備品!$1:$998,COLUMN(Q$1),FALSE),"")</f>
        <v>0</v>
      </c>
      <c r="U207">
        <f>IFERROR(VLOOKUP($C207,装備品!$1:$998,COLUMN(R$1),FALSE),"")</f>
        <v>0</v>
      </c>
      <c r="V207">
        <f>IFERROR(VLOOKUP($C207,装備品!$1:$998,COLUMN(Q$1),FALSE),"")</f>
        <v>0</v>
      </c>
      <c r="W207">
        <f>IFERROR(VLOOKUP($C207,装備品!$1:$998,COLUMN(T$1),FALSE),"")</f>
        <v>0</v>
      </c>
      <c r="Y207">
        <f>IFERROR(VLOOKUP($C207,装備品!$1:$998,COLUMN(U$1),FALSE),"")</f>
        <v>0</v>
      </c>
      <c r="Z207">
        <f>IFERROR(ROUNDUP(VLOOKUP($C207,装備品!$1:$998,COLUMN(O$1),FALSE)*VLOOKUP($D207,素材!$1:$1016,COLUMN(E$1),FALSE),1),"")</f>
        <v>0</v>
      </c>
      <c r="AA207">
        <f>IF(ISNUMBER(SEARCH(SUBSTITUTE(AA$1,RIGHT(AA$1,2),""),VLOOKUP($D207,素材!$1:$1016,COLUMN($F$1),FALSE))),VLOOKUP($C207,装備品!$1:$998,COLUMN($O$1),FALSE)*VLOOKUP($D207,素材!$1:$1016,COLUMN($E$1),FALSE)/(LEN(VLOOKUP($D207,素材!$1:$1016,COLUMN($F$1),FALSE))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B207">
        <f>IF(ISNUMBER(SEARCH(SUBSTITUTE(AB$1,RIGHT(AB$1,2),""),VLOOKUP($D207,素材!$1:$1016,COLUMN($F$1),FALSE))),VLOOKUP($C207,装備品!$1:$998,COLUMN($O$1),FALSE)*VLOOKUP($D207,素材!$1:$1016,COLUMN($E$1),FALSE)/(LEN(VLOOKUP($D207,素材!$1:$1016,COLUMN($F$1),FALSE))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C207">
        <f>IF(ISNUMBER(SEARCH(SUBSTITUTE(AC$1,RIGHT(AC$1,2),""),VLOOKUP($D207,素材!$1:$1016,COLUMN($F$1),FALSE))),VLOOKUP($C207,装備品!$1:$998,COLUMN($O$1),FALSE)*VLOOKUP($D207,素材!$1:$1016,COLUMN($E$1),FALSE)/(LEN(VLOOKUP($D207,素材!$1:$1016,COLUMN($F$1),FALSE))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D207">
        <f>IF(ISNUMBER(SEARCH(SUBSTITUTE(AD$1,RIGHT(AD$1,2),""),VLOOKUP($D207,素材!$1:$1016,COLUMN($F$1),FALSE))),VLOOKUP($C207,装備品!$1:$998,COLUMN($O$1),FALSE)*VLOOKUP($D207,素材!$1:$1016,COLUMN($E$1),FALSE)/(LEN(VLOOKUP($D207,素材!$1:$1016,COLUMN($F$1),FALSE))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E207">
        <f>IF(ISNUMBER(SEARCH(SUBSTITUTE(AE$1,RIGHT(AE$1,2),""),VLOOKUP($D207,素材!$1:$1016,COLUMN($F$1),FALSE))),VLOOKUP($C207,装備品!$1:$998,COLUMN($O$1),FALSE)*VLOOKUP($D207,素材!$1:$1016,COLUMN($E$1),FALSE)/(LEN(VLOOKUP($D207,素材!$1:$1016,COLUMN($F$1),FALSE))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F207">
        <f>IF(ISNUMBER(SEARCH(SUBSTITUTE(AF$1,RIGHT(AF$1,2),""),VLOOKUP($D207,素材!$1:$1016,COLUMN($F$1),FALSE))),VLOOKUP($C207,装備品!$1:$998,COLUMN($O$1),FALSE)*VLOOKUP($D207,素材!$1:$1016,COLUMN($E$1),FALSE)/(LEN(VLOOKUP($D207,素材!$1:$1016,COLUMN($F$1),FALSE))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G207">
        <f>IF(ISNUMBER(SEARCH(SUBSTITUTE(AG$1,RIGHT(AG$1,2),""),VLOOKUP($D207,素材!$1:$1016,COLUMN($F$1),FALSE))),VLOOKUP($C207,装備品!$1:$998,COLUMN($O$1),FALSE)*VLOOKUP($D207,素材!$1:$1016,COLUMN($E$1),FALSE)/(LEN(VLOOKUP($D207,素材!$1:$1016,COLUMN($F$1),FALSE))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H207">
        <f>IF(ISNUMBER(SEARCH(SUBSTITUTE(AH$1,RIGHT(AH$1,2),""),VLOOKUP($D207,素材!$1:$1016,COLUMN($F$1),FALSE))),VLOOKUP($C207,装備品!$1:$998,COLUMN($O$1),FALSE)*VLOOKUP($D207,素材!$1:$1016,COLUMN($E$1),FALSE)/(LEN(VLOOKUP($D207,素材!$1:$1016,COLUMN($F$1),FALSE))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I207">
        <f>IF(ISNUMBER(SEARCH(SUBSTITUTE(AI$1,RIGHT(AI$1,2),""),VLOOKUP($D207,素材!$1:$1016,COLUMN($F$1),FALSE))),VLOOKUP($C207,装備品!$1:$998,COLUMN($O$1),FALSE)*VLOOKUP($D207,素材!$1:$1016,COLUMN($E$1),FALSE)/(LEN(VLOOKUP($D207,素材!$1:$1016,COLUMN($F$1),FALSE))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J207">
        <f>IF(ISNUMBER(SEARCH(SUBSTITUTE(AJ$1,RIGHT(AJ$1,2),""),VLOOKUP($D207,素材!$1:$1016,COLUMN($F$1),FALSE))),VLOOKUP($C207,装備品!$1:$998,COLUMN($O$1),FALSE)*VLOOKUP($D207,素材!$1:$1016,COLUMN($E$1),FALSE)/(LEN(VLOOKUP($D207,素材!$1:$1016,COLUMN($F$1),FALSE))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K207">
        <f>IF(ISNUMBER(SEARCH(SUBSTITUTE(AK$1,RIGHT(AK$1,2),""),VLOOKUP($D207,素材!$1:$1016,COLUMN($F$1),FALSE))),VLOOKUP($C207,装備品!$1:$998,COLUMN($O$1),FALSE)*VLOOKUP($D207,素材!$1:$1016,COLUMN($E$1),FALSE)/(LEN(VLOOKUP($D207,素材!$1:$1016,COLUMN($F$1),FALSE))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L207">
        <f>IF(ISNUMBER(SEARCH(SUBSTITUTE(AL$1,RIGHT(AL$1,2),""),VLOOKUP($D207,素材!$1:$1016,COLUMN($F$1),FALSE))),VLOOKUP($C207,装備品!$1:$998,COLUMN($O$1),FALSE)*VLOOKUP($D207,素材!$1:$1016,COLUMN($E$1),FALSE)/(LEN(VLOOKUP($D207,素材!$1:$1016,COLUMN($F$1),FALSE))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M207">
        <f>IF(ISNUMBER(SEARCH(SUBSTITUTE(AM$1,RIGHT(AM$1,2),""),VLOOKUP($D207,素材!$1:$1016,COLUMN($F$1),FALSE))),VLOOKUP($C207,装備品!$1:$998,COLUMN($O$1),FALSE)*VLOOKUP($D207,素材!$1:$1016,COLUMN($E$1),FALSE)/(LEN(VLOOKUP($D207,素材!$1:$1016,COLUMN($F$1),FALSE))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N207">
        <f>IF(ISNUMBER(SEARCH(SUBSTITUTE(AN$1,RIGHT(AN$1,2),""),VLOOKUP($D207,素材!$1:$1016,COLUMN($F$1),FALSE))),VLOOKUP($C207,装備品!$1:$998,COLUMN($O$1),FALSE)*VLOOKUP($D207,素材!$1:$1016,COLUMN($E$1),FALSE)/(LEN(VLOOKUP($D207,素材!$1:$1016,COLUMN($F$1),FALSE))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O207">
        <f>IF(ISNUMBER(SEARCH(SUBSTITUTE(AO$1,RIGHT(AO$1,2),""),VLOOKUP($D207,素材!$1:$1016,COLUMN($F$1),FALSE))),VLOOKUP($C207,装備品!$1:$998,COLUMN($O$1),FALSE)*VLOOKUP($D207,素材!$1:$1016,COLUMN($E$1),FALSE)/(LEN(VLOOKUP($D207,素材!$1:$1016,COLUMN($F$1),FALSE))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P207">
        <f>IF(ISNUMBER(SEARCH(SUBSTITUTE(AP$1,RIGHT(AP$1,2),""),VLOOKUP($D207,素材!$1:$1016,COLUMN($F$1),FALSE))),VLOOKUP($C207,装備品!$1:$998,COLUMN($O$1),FALSE)*VLOOKUP($D207,素材!$1:$1016,COLUMN($E$1),FALSE)/(LEN(VLOOKUP($D207,素材!$1:$1016,COLUMN($F$1),FALSE))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Q207">
        <f>IF(ISNUMBER(SEARCH(SUBSTITUTE(AQ$1,RIGHT(AQ$1,2),""),VLOOKUP($D207,素材!$1:$1016,COLUMN($F$1),FALSE))),VLOOKUP($C207,装備品!$1:$998,COLUMN($O$1),FALSE)*VLOOKUP($D207,素材!$1:$1016,COLUMN($E$1),FALSE)/(LEN(VLOOKUP($D207,素材!$1:$1016,COLUMN($F$1),FALSE))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R207">
        <f>IF(ISNUMBER(SEARCH(SUBSTITUTE(AR$1,RIGHT(AR$1,2),""),VLOOKUP($D207,素材!$1:$1016,COLUMN($F$1),FALSE))),VLOOKUP($C207,装備品!$1:$998,COLUMN($O$1),FALSE)*VLOOKUP($D207,素材!$1:$1016,COLUMN($E$1),FALSE)/(LEN(VLOOKUP($D207,素材!$1:$1016,COLUMN($F$1),FALSE))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S207">
        <f>IF(ISNUMBER(SEARCH(SUBSTITUTE(AS$1,RIGHT(AS$1,2),""),VLOOKUP($D207,素材!$1:$1016,COLUMN($F$1),FALSE))),VLOOKUP($C207,装備品!$1:$998,COLUMN($O$1),FALSE)*VLOOKUP($D207,素材!$1:$1016,COLUMN($E$1),FALSE)/(LEN(VLOOKUP($D207,素材!$1:$1016,COLUMN($F$1),FALSE))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T207">
        <f>IF(ISNUMBER(SEARCH(SUBSTITUTE(AT$1,RIGHT(AT$1,2),""),VLOOKUP($D207,素材!$1:$1016,COLUMN($F$1),FALSE))),VLOOKUP($C207,装備品!$1:$998,COLUMN($O$1),FALSE)*VLOOKUP($D207,素材!$1:$1016,COLUMN($E$1),FALSE)/(LEN(VLOOKUP($D207,素材!$1:$1016,COLUMN($F$1),FALSE))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U207">
        <f>IF(ISNUMBER(SEARCH(SUBSTITUTE(AU$1,RIGHT(AU$1,2),""),VLOOKUP($D207,素材!$1:$1016,COLUMN($F$1),FALSE))),VLOOKUP($C207,装備品!$1:$998,COLUMN($O$1),FALSE)*VLOOKUP($D207,素材!$1:$1016,COLUMN($E$1),FALSE)/(LEN(VLOOKUP($D207,素材!$1:$1016,COLUMN($F$1),FALSE))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V207">
        <f>IF(ISNUMBER(SEARCH(SUBSTITUTE(AV$1,RIGHT(AV$1,2),""),VLOOKUP($D207,素材!$1:$1016,COLUMN($F$1),FALSE))),VLOOKUP($C207,装備品!$1:$998,COLUMN($O$1),FALSE)*VLOOKUP($D207,素材!$1:$1016,COLUMN($E$1),FALSE)/(LEN(VLOOKUP($D207,素材!$1:$1016,COLUMN($F$1),FALSE))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W207">
        <f>IF(ISNUMBER(SEARCH(SUBSTITUTE(AW$1,RIGHT(AW$1,2),""),VLOOKUP($D207,素材!$1:$1016,COLUMN($F$1),FALSE))),VLOOKUP($C207,装備品!$1:$998,COLUMN($O$1),FALSE)*VLOOKUP($D207,素材!$1:$1016,COLUMN($E$1),FALSE)/(LEN(VLOOKUP($D207,素材!$1:$1016,COLUMN($F$1),FALSE))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X207">
        <f>IF(ISNUMBER(SEARCH(SUBSTITUTE(AX$1,RIGHT(AX$1,2),""),VLOOKUP($D207,素材!$1:$1016,COLUMN($F$1),FALSE))),VLOOKUP($C207,装備品!$1:$998,COLUMN($O$1),FALSE)*VLOOKUP($D207,素材!$1:$1016,COLUMN($E$1),FALSE)/(LEN(VLOOKUP($D207,素材!$1:$1016,COLUMN($F$1),FALSE))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Y207">
        <f>IF(ISNUMBER(SEARCH(SUBSTITUTE(AY$1,RIGHT(AY$1,2),""),VLOOKUP($D207,素材!$1:$1016,COLUMN($F$1),FALSE))),VLOOKUP($C207,装備品!$1:$998,COLUMN($O$1),FALSE)*VLOOKUP($D207,素材!$1:$1016,COLUMN($E$1),FALSE)/(LEN(VLOOKUP($D207,素材!$1:$1016,COLUMN($F$1),FALSE))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Z207">
        <f>IF(ISNUMBER(SEARCH(SUBSTITUTE(AZ$1,RIGHT(AZ$1,2),""),VLOOKUP($D207,素材!$1:$1016,COLUMN($F$1),FALSE))),VLOOKUP($C207,装備品!$1:$998,COLUMN($O$1),FALSE)*VLOOKUP($D207,素材!$1:$1016,COLUMN($E$1),FALSE)/(LEN(VLOOKUP($D207,素材!$1:$1016,COLUMN($F$1),FALSE))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BA207">
        <f>IF(ISNUMBER(SEARCH(SUBSTITUTE(BA$1,RIGHT(BA$1,2),""),VLOOKUP($D207,素材!$1:$1016,COLUMN($F$1),FALSE))),VLOOKUP($C207,装備品!$1:$998,COLUMN($O$1),FALSE)*VLOOKUP($D207,素材!$1:$1016,COLUMN($E$1),FALSE)/(LEN(VLOOKUP($D207,素材!$1:$1016,COLUMN($F$1),FALSE))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BB207">
        <f>IF(ISNUMBER(SEARCH(SUBSTITUTE(BB$1,RIGHT(BB$1,2),""),VLOOKUP($D207,素材!$1:$1016,COLUMN($F$1),FALSE))),VLOOKUP($C207,装備品!$1:$998,COLUMN($O$1),FALSE)*VLOOKUP($D207,素材!$1:$1016,COLUMN($E$1),FALSE)/(LEN(VLOOKUP($D207,素材!$1:$1016,COLUMN($F$1),FALSE))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BC207">
        <f>IF(ISNUMBER(SEARCH(SUBSTITUTE(BC$1,RIGHT(BC$1,2),""),VLOOKUP($D207,素材!$1:$1016,COLUMN($F$1),FALSE))),VLOOKUP($C207,装備品!$1:$998,COLUMN($O$1),FALSE)*VLOOKUP($D207,素材!$1:$1016,COLUMN($E$1),FALSE)/(LEN(VLOOKUP($D207,素材!$1:$1016,COLUMN($F$1),FALSE))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BD207">
        <f>IF(ISNUMBER(SEARCH(SUBSTITUTE(BD$1,RIGHT(BD$1,2),""),VLOOKUP($D207,素材!$1:$1016,COLUMN($F$1),FALSE))),VLOOKUP($C207,装備品!$1:$998,COLUMN($O$1),FALSE)*VLOOKUP($D207,素材!$1:$1016,COLUMN($E$1),FALSE)/(LEN(VLOOKUP($D207,素材!$1:$1016,COLUMN($F$1),FALSE))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BE207">
        <f>IF(ISNUMBER(SEARCH(SUBSTITUTE(BE$1,RIGHT(BE$1,2),""),VLOOKUP($D207,素材!$1:$1016,COLUMN($F$1),FALSE))),VLOOKUP($C207,装備品!$1:$998,COLUMN($O$1),FALSE)*VLOOKUP($D207,素材!$1:$1016,COLUMN($E$1),FALSE)/(LEN(VLOOKUP($D207,素材!$1:$1016,COLUMN($F$1),FALSE))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CL207">
        <f t="shared" si="35"/>
        <v>22</v>
      </c>
      <c r="CM207" s="22" t="str">
        <f t="shared" si="36"/>
        <v>打撃.webp</v>
      </c>
      <c r="CN207">
        <f>IFERROR(VLOOKUP($C207,装備品!$1:$998,COLUMN(V$1),FALSE)*VLOOKUP($D207,素材!$1:$1016,COLUMN(N$1),FALSE)+IF(CI207="",0,VLOOKUP($CI207,付与!$1:$1176,COLUMN($CK$1),FALSE)),"")</f>
        <v>0</v>
      </c>
      <c r="CO207">
        <f>VLOOKUP(D207,素材!$A:$O,COLUMN(素材!O$1),FALSE)</f>
        <v>0</v>
      </c>
      <c r="CP207" t="str">
        <f>VLOOKUP(C207,装備品!$A:$AB,COLUMN(装備品!AB$1),FALSE)</f>
        <v>棍棒。打撃に特化したシンプルな武器。威力は低いがダメージ振れが少ない。</v>
      </c>
      <c r="CR207" t="str">
        <f t="shared" si="37"/>
        <v>e_207</v>
      </c>
      <c r="CS207">
        <f t="shared" ref="CS207:CS270" si="38">CN207*100</f>
        <v>0</v>
      </c>
    </row>
    <row r="208" spans="1:97" outlineLevel="1" x14ac:dyDescent="0.4">
      <c r="A208" t="str">
        <f t="shared" si="34"/>
        <v>冷気鉄の戦棍</v>
      </c>
      <c r="B208" t="str">
        <f>IFERROR(VLOOKUP($D208,素材!$1:$1016,COLUMN($B$1),FALSE)&amp;"・"&amp;VLOOKUP($C208,装備品!$1:$998,COLUMN(B$1),FALSE),"")</f>
        <v>ドゥララン・メイス</v>
      </c>
      <c r="C208" s="24" t="s">
        <v>228</v>
      </c>
      <c r="D208" s="24" t="s">
        <v>242</v>
      </c>
      <c r="E208" t="str">
        <f>IFERROR(VLOOKUP(C208,装備品!$1:$998,COLUMN(C$1),FALSE),"")</f>
        <v>武器</v>
      </c>
      <c r="F208">
        <f>IFERROR(ROUNDDOWN((VLOOKUP($C208,装備品!$1:$998,COLUMN(D$1),FALSE)+IFERROR(VLOOKUP($CI208,付与!$1:$1167,COLUMN(F$1),FALSE),0))*VLOOKUP($D208,素材!$1:$1016,COLUMN(D$1),FALSE),0),"")</f>
        <v>110</v>
      </c>
      <c r="G208">
        <f>IFERROR(ROUNDDOWN((VLOOKUP($C208,装備品!$1:$998,COLUMN(E$1),FALSE)+IFERROR(VLOOKUP($CI208,付与!$1:$1167,COLUMN(G$1),FALSE),0))*VLOOKUP($D208,素材!$1:$1016,COLUMN($E$1),FALSE),0),"")</f>
        <v>0</v>
      </c>
      <c r="H208">
        <f>IFERROR(ROUNDDOWN((VLOOKUP($C208,装備品!$1:$998,COLUMN(F$1),FALSE)+IFERROR(VLOOKUP($CI208,付与!$1:$1167,COLUMN(H$1),FALSE),0))*VLOOKUP($D208,素材!$1:$1016,COLUMN($E$1),FALSE),0),"")</f>
        <v>0</v>
      </c>
      <c r="I208">
        <f>IFERROR(ROUNDDOWN((VLOOKUP($C208,装備品!$1:$998,COLUMN(G$1),FALSE)+IFERROR(VLOOKUP($CI208,付与!$1:$1167,COLUMN(I$1),FALSE),0))*VLOOKUP($D208,素材!$1:$1016,COLUMN($E$1),FALSE),0),"")</f>
        <v>23</v>
      </c>
      <c r="J208">
        <f>IFERROR(ROUNDDOWN((VLOOKUP($C208,装備品!$1:$998,COLUMN(H$1),FALSE)+IFERROR(VLOOKUP($CI208,付与!$1:$1167,COLUMN(J$1),FALSE),0))*VLOOKUP($D208,素材!$1:$1016,COLUMN($E$1),FALSE),0),"")</f>
        <v>19</v>
      </c>
      <c r="K208">
        <f>IFERROR(ROUNDDOWN((VLOOKUP($C208,装備品!$1:$998,COLUMN(I$1),FALSE)+IFERROR(VLOOKUP($CI208,付与!$1:$1167,COLUMN(K$1),FALSE),0))*VLOOKUP($D208,素材!$1:$1016,COLUMN($E$1),FALSE),0),"")</f>
        <v>0</v>
      </c>
      <c r="L208" t="str">
        <f>IFERROR(VLOOKUP($D208,素材!$1:$1016,COLUMN($F$1),FALSE),"")</f>
        <v>氷</v>
      </c>
      <c r="M208">
        <f>IFERROR(VLOOKUP($C208,装備品!$1:$998,COLUMN(AA$1),FALSE)*VLOOKUP($D208,素材!$1:$1016,COLUMN($G$1),FALSE),"")</f>
        <v>70</v>
      </c>
      <c r="N208">
        <f>IFERROR(VLOOKUP($C208,装備品!$1:$998,COLUMN(I$1),FALSE),"")</f>
        <v>0</v>
      </c>
      <c r="O208" s="23">
        <f>IFERROR((VLOOKUP($C208,装備品!$1:$998,COLUMN(K$1),FALSE)+VLOOKUP($D208,素材!$1:$1016,COLUMN(H$1),FALSE))*100+IFERROR(VLOOKUP($CI208,付与!$1:$1167,COLUMN(O$1),FALSE),0),"")</f>
        <v>15</v>
      </c>
      <c r="P208" s="23">
        <f>IFERROR((VLOOKUP($C208,装備品!$1:$998,COLUMN(L$1),FALSE)+VLOOKUP($D208,素材!$1:$1016,COLUMN(I$1),FALSE))*100+IFERROR(VLOOKUP($CI208,付与!$1:$1167,COLUMN(P$1),FALSE),0),"")</f>
        <v>125</v>
      </c>
      <c r="Q208">
        <f>IFERROR(ROUNDUP(VLOOKUP($C208,装備品!$1:$998,COLUMN(M$1),FALSE)*(VLOOKUP($D208,素材!$1:$1002,COLUMN(D$1),FALSE)/100),1),"")</f>
        <v>0</v>
      </c>
      <c r="R208">
        <f>IFERROR(ROUNDUP(VLOOKUP($C208,装備品!$1:$998,COLUMN(N$1),FALSE)*(VLOOKUP($D208,素材!$1:$1002,COLUMN(D$1),FALSE)/100),1),"")</f>
        <v>-2</v>
      </c>
      <c r="S208">
        <f>IFERROR(VLOOKUP($C208,装備品!$1:$998,COLUMN(P$1),FALSE),"")</f>
        <v>0</v>
      </c>
      <c r="T208">
        <f>IFERROR(VLOOKUP($C208,装備品!$1:$998,COLUMN(Q$1),FALSE),"")</f>
        <v>0</v>
      </c>
      <c r="U208">
        <f>IFERROR(VLOOKUP($C208,装備品!$1:$998,COLUMN(R$1),FALSE),"")</f>
        <v>0</v>
      </c>
      <c r="V208">
        <f>IFERROR(VLOOKUP($C208,装備品!$1:$998,COLUMN(Q$1),FALSE),"")</f>
        <v>0</v>
      </c>
      <c r="W208">
        <f>IFERROR(VLOOKUP($C208,装備品!$1:$998,COLUMN(T$1),FALSE),"")</f>
        <v>0</v>
      </c>
      <c r="Y208">
        <f>IFERROR(VLOOKUP($C208,装備品!$1:$998,COLUMN(U$1),FALSE),"")</f>
        <v>0</v>
      </c>
      <c r="Z208">
        <f>IFERROR(ROUNDUP(VLOOKUP($C208,装備品!$1:$998,COLUMN(O$1),FALSE)*VLOOKUP($D208,素材!$1:$1016,COLUMN(E$1),FALSE),1),"")</f>
        <v>0</v>
      </c>
      <c r="AA208">
        <f>IF(ISNUMBER(SEARCH(SUBSTITUTE(AA$1,RIGHT(AA$1,2),""),VLOOKUP($D208,素材!$1:$1016,COLUMN($F$1),FALSE))),VLOOKUP($C208,装備品!$1:$998,COLUMN($O$1),FALSE)*VLOOKUP($D208,素材!$1:$1016,COLUMN($E$1),FALSE)/(LEN(VLOOKUP($D208,素材!$1:$1016,COLUMN($F$1),FALSE))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B208">
        <f>IF(ISNUMBER(SEARCH(SUBSTITUTE(AB$1,RIGHT(AB$1,2),""),VLOOKUP($D208,素材!$1:$1016,COLUMN($F$1),FALSE))),VLOOKUP($C208,装備品!$1:$998,COLUMN($O$1),FALSE)*VLOOKUP($D208,素材!$1:$1016,COLUMN($E$1),FALSE)/(LEN(VLOOKUP($D208,素材!$1:$1016,COLUMN($F$1),FALSE))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C208">
        <f>IF(ISNUMBER(SEARCH(SUBSTITUTE(AC$1,RIGHT(AC$1,2),""),VLOOKUP($D208,素材!$1:$1016,COLUMN($F$1),FALSE))),VLOOKUP($C208,装備品!$1:$998,COLUMN($O$1),FALSE)*VLOOKUP($D208,素材!$1:$1016,COLUMN($E$1),FALSE)/(LEN(VLOOKUP($D208,素材!$1:$1016,COLUMN($F$1),FALSE))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D208">
        <f>IF(ISNUMBER(SEARCH(SUBSTITUTE(AD$1,RIGHT(AD$1,2),""),VLOOKUP($D208,素材!$1:$1016,COLUMN($F$1),FALSE))),VLOOKUP($C208,装備品!$1:$998,COLUMN($O$1),FALSE)*VLOOKUP($D208,素材!$1:$1016,COLUMN($E$1),FALSE)/(LEN(VLOOKUP($D208,素材!$1:$1016,COLUMN($F$1),FALSE))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E208">
        <f>IF(ISNUMBER(SEARCH(SUBSTITUTE(AE$1,RIGHT(AE$1,2),""),VLOOKUP($D208,素材!$1:$1016,COLUMN($F$1),FALSE))),VLOOKUP($C208,装備品!$1:$998,COLUMN($O$1),FALSE)*VLOOKUP($D208,素材!$1:$1016,COLUMN($E$1),FALSE)/(LEN(VLOOKUP($D208,素材!$1:$1016,COLUMN($F$1),FALSE))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F208">
        <f>IF(ISNUMBER(SEARCH(SUBSTITUTE(AF$1,RIGHT(AF$1,2),""),VLOOKUP($D208,素材!$1:$1016,COLUMN($F$1),FALSE))),VLOOKUP($C208,装備品!$1:$998,COLUMN($O$1),FALSE)*VLOOKUP($D208,素材!$1:$1016,COLUMN($E$1),FALSE)/(LEN(VLOOKUP($D208,素材!$1:$1016,COLUMN($F$1),FALSE))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G208">
        <f>IF(ISNUMBER(SEARCH(SUBSTITUTE(AG$1,RIGHT(AG$1,2),""),VLOOKUP($D208,素材!$1:$1016,COLUMN($F$1),FALSE))),VLOOKUP($C208,装備品!$1:$998,COLUMN($O$1),FALSE)*VLOOKUP($D208,素材!$1:$1016,COLUMN($E$1),FALSE)/(LEN(VLOOKUP($D208,素材!$1:$1016,COLUMN($F$1),FALSE))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H208">
        <f>IF(ISNUMBER(SEARCH(SUBSTITUTE(AH$1,RIGHT(AH$1,2),""),VLOOKUP($D208,素材!$1:$1016,COLUMN($F$1),FALSE))),VLOOKUP($C208,装備品!$1:$998,COLUMN($O$1),FALSE)*VLOOKUP($D208,素材!$1:$1016,COLUMN($E$1),FALSE)/(LEN(VLOOKUP($D208,素材!$1:$1016,COLUMN($F$1),FALSE))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I208">
        <f>IF(ISNUMBER(SEARCH(SUBSTITUTE(AI$1,RIGHT(AI$1,2),""),VLOOKUP($D208,素材!$1:$1016,COLUMN($F$1),FALSE))),VLOOKUP($C208,装備品!$1:$998,COLUMN($O$1),FALSE)*VLOOKUP($D208,素材!$1:$1016,COLUMN($E$1),FALSE)/(LEN(VLOOKUP($D208,素材!$1:$1016,COLUMN($F$1),FALSE))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J208">
        <f>IF(ISNUMBER(SEARCH(SUBSTITUTE(AJ$1,RIGHT(AJ$1,2),""),VLOOKUP($D208,素材!$1:$1016,COLUMN($F$1),FALSE))),VLOOKUP($C208,装備品!$1:$998,COLUMN($O$1),FALSE)*VLOOKUP($D208,素材!$1:$1016,COLUMN($E$1),FALSE)/(LEN(VLOOKUP($D208,素材!$1:$1016,COLUMN($F$1),FALSE))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K208">
        <f>IF(ISNUMBER(SEARCH(SUBSTITUTE(AK$1,RIGHT(AK$1,2),""),VLOOKUP($D208,素材!$1:$1016,COLUMN($F$1),FALSE))),VLOOKUP($C208,装備品!$1:$998,COLUMN($O$1),FALSE)*VLOOKUP($D208,素材!$1:$1016,COLUMN($E$1),FALSE)/(LEN(VLOOKUP($D208,素材!$1:$1016,COLUMN($F$1),FALSE))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L208">
        <f>IF(ISNUMBER(SEARCH(SUBSTITUTE(AL$1,RIGHT(AL$1,2),""),VLOOKUP($D208,素材!$1:$1016,COLUMN($F$1),FALSE))),VLOOKUP($C208,装備品!$1:$998,COLUMN($O$1),FALSE)*VLOOKUP($D208,素材!$1:$1016,COLUMN($E$1),FALSE)/(LEN(VLOOKUP($D208,素材!$1:$1016,COLUMN($F$1),FALSE))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M208">
        <f>IF(ISNUMBER(SEARCH(SUBSTITUTE(AM$1,RIGHT(AM$1,2),""),VLOOKUP($D208,素材!$1:$1016,COLUMN($F$1),FALSE))),VLOOKUP($C208,装備品!$1:$998,COLUMN($O$1),FALSE)*VLOOKUP($D208,素材!$1:$1016,COLUMN($E$1),FALSE)/(LEN(VLOOKUP($D208,素材!$1:$1016,COLUMN($F$1),FALSE))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N208">
        <f>IF(ISNUMBER(SEARCH(SUBSTITUTE(AN$1,RIGHT(AN$1,2),""),VLOOKUP($D208,素材!$1:$1016,COLUMN($F$1),FALSE))),VLOOKUP($C208,装備品!$1:$998,COLUMN($O$1),FALSE)*VLOOKUP($D208,素材!$1:$1016,COLUMN($E$1),FALSE)/(LEN(VLOOKUP($D208,素材!$1:$1016,COLUMN($F$1),FALSE))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O208">
        <f>IF(ISNUMBER(SEARCH(SUBSTITUTE(AO$1,RIGHT(AO$1,2),""),VLOOKUP($D208,素材!$1:$1016,COLUMN($F$1),FALSE))),VLOOKUP($C208,装備品!$1:$998,COLUMN($O$1),FALSE)*VLOOKUP($D208,素材!$1:$1016,COLUMN($E$1),FALSE)/(LEN(VLOOKUP($D208,素材!$1:$1016,COLUMN($F$1),FALSE))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P208">
        <f>IF(ISNUMBER(SEARCH(SUBSTITUTE(AP$1,RIGHT(AP$1,2),""),VLOOKUP($D208,素材!$1:$1016,COLUMN($F$1),FALSE))),VLOOKUP($C208,装備品!$1:$998,COLUMN($O$1),FALSE)*VLOOKUP($D208,素材!$1:$1016,COLUMN($E$1),FALSE)/(LEN(VLOOKUP($D208,素材!$1:$1016,COLUMN($F$1),FALSE))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Q208">
        <f>IF(ISNUMBER(SEARCH(SUBSTITUTE(AQ$1,RIGHT(AQ$1,2),""),VLOOKUP($D208,素材!$1:$1016,COLUMN($F$1),FALSE))),VLOOKUP($C208,装備品!$1:$998,COLUMN($O$1),FALSE)*VLOOKUP($D208,素材!$1:$1016,COLUMN($E$1),FALSE)/(LEN(VLOOKUP($D208,素材!$1:$1016,COLUMN($F$1),FALSE))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R208">
        <f>IF(ISNUMBER(SEARCH(SUBSTITUTE(AR$1,RIGHT(AR$1,2),""),VLOOKUP($D208,素材!$1:$1016,COLUMN($F$1),FALSE))),VLOOKUP($C208,装備品!$1:$998,COLUMN($O$1),FALSE)*VLOOKUP($D208,素材!$1:$1016,COLUMN($E$1),FALSE)/(LEN(VLOOKUP($D208,素材!$1:$1016,COLUMN($F$1),FALSE))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S208">
        <f>IF(ISNUMBER(SEARCH(SUBSTITUTE(AS$1,RIGHT(AS$1,2),""),VLOOKUP($D208,素材!$1:$1016,COLUMN($F$1),FALSE))),VLOOKUP($C208,装備品!$1:$998,COLUMN($O$1),FALSE)*VLOOKUP($D208,素材!$1:$1016,COLUMN($E$1),FALSE)/(LEN(VLOOKUP($D208,素材!$1:$1016,COLUMN($F$1),FALSE))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T208">
        <f>IF(ISNUMBER(SEARCH(SUBSTITUTE(AT$1,RIGHT(AT$1,2),""),VLOOKUP($D208,素材!$1:$1016,COLUMN($F$1),FALSE))),VLOOKUP($C208,装備品!$1:$998,COLUMN($O$1),FALSE)*VLOOKUP($D208,素材!$1:$1016,COLUMN($E$1),FALSE)/(LEN(VLOOKUP($D208,素材!$1:$1016,COLUMN($F$1),FALSE))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U208">
        <f>IF(ISNUMBER(SEARCH(SUBSTITUTE(AU$1,RIGHT(AU$1,2),""),VLOOKUP($D208,素材!$1:$1016,COLUMN($F$1),FALSE))),VLOOKUP($C208,装備品!$1:$998,COLUMN($O$1),FALSE)*VLOOKUP($D208,素材!$1:$1016,COLUMN($E$1),FALSE)/(LEN(VLOOKUP($D208,素材!$1:$1016,COLUMN($F$1),FALSE))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V208">
        <f>IF(ISNUMBER(SEARCH(SUBSTITUTE(AV$1,RIGHT(AV$1,2),""),VLOOKUP($D208,素材!$1:$1016,COLUMN($F$1),FALSE))),VLOOKUP($C208,装備品!$1:$998,COLUMN($O$1),FALSE)*VLOOKUP($D208,素材!$1:$1016,COLUMN($E$1),FALSE)/(LEN(VLOOKUP($D208,素材!$1:$1016,COLUMN($F$1),FALSE))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W208">
        <f>IF(ISNUMBER(SEARCH(SUBSTITUTE(AW$1,RIGHT(AW$1,2),""),VLOOKUP($D208,素材!$1:$1016,COLUMN($F$1),FALSE))),VLOOKUP($C208,装備品!$1:$998,COLUMN($O$1),FALSE)*VLOOKUP($D208,素材!$1:$1016,COLUMN($E$1),FALSE)/(LEN(VLOOKUP($D208,素材!$1:$1016,COLUMN($F$1),FALSE))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X208">
        <f>IF(ISNUMBER(SEARCH(SUBSTITUTE(AX$1,RIGHT(AX$1,2),""),VLOOKUP($D208,素材!$1:$1016,COLUMN($F$1),FALSE))),VLOOKUP($C208,装備品!$1:$998,COLUMN($O$1),FALSE)*VLOOKUP($D208,素材!$1:$1016,COLUMN($E$1),FALSE)/(LEN(VLOOKUP($D208,素材!$1:$1016,COLUMN($F$1),FALSE))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Y208">
        <f>IF(ISNUMBER(SEARCH(SUBSTITUTE(AY$1,RIGHT(AY$1,2),""),VLOOKUP($D208,素材!$1:$1016,COLUMN($F$1),FALSE))),VLOOKUP($C208,装備品!$1:$998,COLUMN($O$1),FALSE)*VLOOKUP($D208,素材!$1:$1016,COLUMN($E$1),FALSE)/(LEN(VLOOKUP($D208,素材!$1:$1016,COLUMN($F$1),FALSE))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Z208">
        <f>IF(ISNUMBER(SEARCH(SUBSTITUTE(AZ$1,RIGHT(AZ$1,2),""),VLOOKUP($D208,素材!$1:$1016,COLUMN($F$1),FALSE))),VLOOKUP($C208,装備品!$1:$998,COLUMN($O$1),FALSE)*VLOOKUP($D208,素材!$1:$1016,COLUMN($E$1),FALSE)/(LEN(VLOOKUP($D208,素材!$1:$1016,COLUMN($F$1),FALSE))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BA208">
        <f>IF(ISNUMBER(SEARCH(SUBSTITUTE(BA$1,RIGHT(BA$1,2),""),VLOOKUP($D208,素材!$1:$1016,COLUMN($F$1),FALSE))),VLOOKUP($C208,装備品!$1:$998,COLUMN($O$1),FALSE)*VLOOKUP($D208,素材!$1:$1016,COLUMN($E$1),FALSE)/(LEN(VLOOKUP($D208,素材!$1:$1016,COLUMN($F$1),FALSE))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BB208">
        <f>IF(ISNUMBER(SEARCH(SUBSTITUTE(BB$1,RIGHT(BB$1,2),""),VLOOKUP($D208,素材!$1:$1016,COLUMN($F$1),FALSE))),VLOOKUP($C208,装備品!$1:$998,COLUMN($O$1),FALSE)*VLOOKUP($D208,素材!$1:$1016,COLUMN($E$1),FALSE)/(LEN(VLOOKUP($D208,素材!$1:$1016,COLUMN($F$1),FALSE))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BC208">
        <f>IF(ISNUMBER(SEARCH(SUBSTITUTE(BC$1,RIGHT(BC$1,2),""),VLOOKUP($D208,素材!$1:$1016,COLUMN($F$1),FALSE))),VLOOKUP($C208,装備品!$1:$998,COLUMN($O$1),FALSE)*VLOOKUP($D208,素材!$1:$1016,COLUMN($E$1),FALSE)/(LEN(VLOOKUP($D208,素材!$1:$1016,COLUMN($F$1),FALSE))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BD208">
        <f>IF(ISNUMBER(SEARCH(SUBSTITUTE(BD$1,RIGHT(BD$1,2),""),VLOOKUP($D208,素材!$1:$1016,COLUMN($F$1),FALSE))),VLOOKUP($C208,装備品!$1:$998,COLUMN($O$1),FALSE)*VLOOKUP($D208,素材!$1:$1016,COLUMN($E$1),FALSE)/(LEN(VLOOKUP($D208,素材!$1:$1016,COLUMN($F$1),FALSE))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BE208">
        <f>IF(ISNUMBER(SEARCH(SUBSTITUTE(BE$1,RIGHT(BE$1,2),""),VLOOKUP($D208,素材!$1:$1016,COLUMN($F$1),FALSE))),VLOOKUP($C208,装備品!$1:$998,COLUMN($O$1),FALSE)*VLOOKUP($D208,素材!$1:$1016,COLUMN($E$1),FALSE)/(LEN(VLOOKUP($D208,素材!$1:$1016,COLUMN($F$1),FALSE))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CL208">
        <f t="shared" si="35"/>
        <v>23</v>
      </c>
      <c r="CM208" s="22" t="str">
        <f t="shared" si="36"/>
        <v>打撃.webp</v>
      </c>
      <c r="CN208">
        <f>IFERROR(VLOOKUP($C208,装備品!$1:$998,COLUMN(V$1),FALSE)*VLOOKUP($D208,素材!$1:$1016,COLUMN(N$1),FALSE)+IF(CI208="",0,VLOOKUP($CI208,付与!$1:$1176,COLUMN($CK$1),FALSE)),"")</f>
        <v>0</v>
      </c>
      <c r="CO208">
        <f>VLOOKUP(D208,素材!$A:$O,COLUMN(素材!O$1),FALSE)</f>
        <v>0</v>
      </c>
      <c r="CP208" t="str">
        <f>VLOOKUP(C208,装備品!$A:$AB,COLUMN(装備品!AB$1),FALSE)</f>
        <v>戦棍。打撃に優れた武器。Cr率が高い</v>
      </c>
      <c r="CR208" t="str">
        <f t="shared" si="37"/>
        <v>e_208</v>
      </c>
      <c r="CS208">
        <f t="shared" si="38"/>
        <v>0</v>
      </c>
    </row>
    <row r="209" spans="1:97" outlineLevel="1" x14ac:dyDescent="0.4">
      <c r="A209" t="str">
        <f t="shared" si="34"/>
        <v>冷気鉄の棘棍</v>
      </c>
      <c r="B209" t="str">
        <f>IFERROR(VLOOKUP($D209,素材!$1:$1016,COLUMN($B$1),FALSE)&amp;"・"&amp;VLOOKUP($C209,装備品!$1:$998,COLUMN(B$1),FALSE),"")</f>
        <v>ドゥララン・モーニングスター</v>
      </c>
      <c r="C209" t="s">
        <v>227</v>
      </c>
      <c r="D209" s="24" t="s">
        <v>242</v>
      </c>
      <c r="E209" t="str">
        <f>IFERROR(VLOOKUP(C209,装備品!$1:$998,COLUMN(C$1),FALSE),"")</f>
        <v>武器</v>
      </c>
      <c r="F209">
        <f>IFERROR(ROUNDDOWN((VLOOKUP($C209,装備品!$1:$998,COLUMN(D$1),FALSE)+IFERROR(VLOOKUP($CI209,付与!$1:$1167,COLUMN(F$1),FALSE),0))*VLOOKUP($D209,素材!$1:$1016,COLUMN(D$1),FALSE),0),"")</f>
        <v>105</v>
      </c>
      <c r="G209">
        <f>IFERROR(ROUNDDOWN((VLOOKUP($C209,装備品!$1:$998,COLUMN(E$1),FALSE)+IFERROR(VLOOKUP($CI209,付与!$1:$1167,COLUMN(G$1),FALSE),0))*VLOOKUP($D209,素材!$1:$1016,COLUMN($E$1),FALSE),0),"")</f>
        <v>0</v>
      </c>
      <c r="H209">
        <f>IFERROR(ROUNDDOWN((VLOOKUP($C209,装備品!$1:$998,COLUMN(F$1),FALSE)+IFERROR(VLOOKUP($CI209,付与!$1:$1167,COLUMN(H$1),FALSE),0))*VLOOKUP($D209,素材!$1:$1016,COLUMN($E$1),FALSE),0),"")</f>
        <v>12</v>
      </c>
      <c r="I209">
        <f>IFERROR(ROUNDDOWN((VLOOKUP($C209,装備品!$1:$998,COLUMN(G$1),FALSE)+IFERROR(VLOOKUP($CI209,付与!$1:$1167,COLUMN(I$1),FALSE),0))*VLOOKUP($D209,素材!$1:$1016,COLUMN($E$1),FALSE),0),"")</f>
        <v>12</v>
      </c>
      <c r="J209">
        <f>IFERROR(ROUNDDOWN((VLOOKUP($C209,装備品!$1:$998,COLUMN(H$1),FALSE)+IFERROR(VLOOKUP($CI209,付与!$1:$1167,COLUMN(J$1),FALSE),0))*VLOOKUP($D209,素材!$1:$1016,COLUMN($E$1),FALSE),0),"")</f>
        <v>19</v>
      </c>
      <c r="K209">
        <f>IFERROR(ROUNDDOWN((VLOOKUP($C209,装備品!$1:$998,COLUMN(I$1),FALSE)+IFERROR(VLOOKUP($CI209,付与!$1:$1167,COLUMN(K$1),FALSE),0))*VLOOKUP($D209,素材!$1:$1016,COLUMN($E$1),FALSE),0),"")</f>
        <v>0</v>
      </c>
      <c r="L209" t="str">
        <f>IFERROR(VLOOKUP($D209,素材!$1:$1016,COLUMN($F$1),FALSE),"")</f>
        <v>氷</v>
      </c>
      <c r="M209">
        <f>IFERROR(VLOOKUP($C209,装備品!$1:$998,COLUMN(AA$1),FALSE)*VLOOKUP($D209,素材!$1:$1016,COLUMN($G$1),FALSE),"")</f>
        <v>70</v>
      </c>
      <c r="N209">
        <f>IFERROR(VLOOKUP($C209,装備品!$1:$998,COLUMN(I$1),FALSE),"")</f>
        <v>0</v>
      </c>
      <c r="O209" s="23">
        <f>IFERROR((VLOOKUP($C209,装備品!$1:$998,COLUMN(K$1),FALSE)+VLOOKUP($D209,素材!$1:$1016,COLUMN(H$1),FALSE))*100+IFERROR(VLOOKUP($CI209,付与!$1:$1167,COLUMN(O$1),FALSE),0),"")</f>
        <v>10</v>
      </c>
      <c r="P209" s="23">
        <f>IFERROR((VLOOKUP($C209,装備品!$1:$998,COLUMN(L$1),FALSE)+VLOOKUP($D209,素材!$1:$1016,COLUMN(I$1),FALSE))*100+IFERROR(VLOOKUP($CI209,付与!$1:$1167,COLUMN(P$1),FALSE),0),"")</f>
        <v>125</v>
      </c>
      <c r="Q209">
        <f>IFERROR(ROUNDUP(VLOOKUP($C209,装備品!$1:$998,COLUMN(M$1),FALSE)*(VLOOKUP($D209,素材!$1:$1002,COLUMN(D$1),FALSE)/100),1),"")</f>
        <v>-2.5</v>
      </c>
      <c r="R209">
        <f>IFERROR(ROUNDUP(VLOOKUP($C209,装備品!$1:$998,COLUMN(N$1),FALSE)*(VLOOKUP($D209,素材!$1:$1002,COLUMN(D$1),FALSE)/100),1),"")</f>
        <v>-2.5</v>
      </c>
      <c r="S209">
        <f>IFERROR(VLOOKUP($C209,装備品!$1:$998,COLUMN(P$1),FALSE),"")</f>
        <v>0</v>
      </c>
      <c r="T209">
        <f>IFERROR(VLOOKUP($C209,装備品!$1:$998,COLUMN(Q$1),FALSE),"")</f>
        <v>0</v>
      </c>
      <c r="U209">
        <f>IFERROR(VLOOKUP($C209,装備品!$1:$998,COLUMN(R$1),FALSE),"")</f>
        <v>0</v>
      </c>
      <c r="V209">
        <f>IFERROR(VLOOKUP($C209,装備品!$1:$998,COLUMN(Q$1),FALSE),"")</f>
        <v>0</v>
      </c>
      <c r="W209">
        <f>IFERROR(VLOOKUP($C209,装備品!$1:$998,COLUMN(T$1),FALSE),"")</f>
        <v>0</v>
      </c>
      <c r="Y209">
        <f>IFERROR(VLOOKUP($C209,装備品!$1:$998,COLUMN(U$1),FALSE),"")</f>
        <v>0</v>
      </c>
      <c r="Z209">
        <f>IFERROR(ROUNDUP(VLOOKUP($C209,装備品!$1:$998,COLUMN(O$1),FALSE)*VLOOKUP($D209,素材!$1:$1016,COLUMN(E$1),FALSE),1),"")</f>
        <v>0</v>
      </c>
      <c r="AA209">
        <f>IF(ISNUMBER(SEARCH(SUBSTITUTE(AA$1,RIGHT(AA$1,2),""),VLOOKUP($D209,素材!$1:$1016,COLUMN($F$1),FALSE))),VLOOKUP($C209,装備品!$1:$998,COLUMN($O$1),FALSE)*VLOOKUP($D209,素材!$1:$1016,COLUMN($E$1),FALSE)/(LEN(VLOOKUP($D209,素材!$1:$1016,COLUMN($F$1),FALSE))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B209">
        <f>IF(ISNUMBER(SEARCH(SUBSTITUTE(AB$1,RIGHT(AB$1,2),""),VLOOKUP($D209,素材!$1:$1016,COLUMN($F$1),FALSE))),VLOOKUP($C209,装備品!$1:$998,COLUMN($O$1),FALSE)*VLOOKUP($D209,素材!$1:$1016,COLUMN($E$1),FALSE)/(LEN(VLOOKUP($D209,素材!$1:$1016,COLUMN($F$1),FALSE))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C209">
        <f>IF(ISNUMBER(SEARCH(SUBSTITUTE(AC$1,RIGHT(AC$1,2),""),VLOOKUP($D209,素材!$1:$1016,COLUMN($F$1),FALSE))),VLOOKUP($C209,装備品!$1:$998,COLUMN($O$1),FALSE)*VLOOKUP($D209,素材!$1:$1016,COLUMN($E$1),FALSE)/(LEN(VLOOKUP($D209,素材!$1:$1016,COLUMN($F$1),FALSE))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D209">
        <f>IF(ISNUMBER(SEARCH(SUBSTITUTE(AD$1,RIGHT(AD$1,2),""),VLOOKUP($D209,素材!$1:$1016,COLUMN($F$1),FALSE))),VLOOKUP($C209,装備品!$1:$998,COLUMN($O$1),FALSE)*VLOOKUP($D209,素材!$1:$1016,COLUMN($E$1),FALSE)/(LEN(VLOOKUP($D209,素材!$1:$1016,COLUMN($F$1),FALSE))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E209">
        <f>IF(ISNUMBER(SEARCH(SUBSTITUTE(AE$1,RIGHT(AE$1,2),""),VLOOKUP($D209,素材!$1:$1016,COLUMN($F$1),FALSE))),VLOOKUP($C209,装備品!$1:$998,COLUMN($O$1),FALSE)*VLOOKUP($D209,素材!$1:$1016,COLUMN($E$1),FALSE)/(LEN(VLOOKUP($D209,素材!$1:$1016,COLUMN($F$1),FALSE))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F209">
        <f>IF(ISNUMBER(SEARCH(SUBSTITUTE(AF$1,RIGHT(AF$1,2),""),VLOOKUP($D209,素材!$1:$1016,COLUMN($F$1),FALSE))),VLOOKUP($C209,装備品!$1:$998,COLUMN($O$1),FALSE)*VLOOKUP($D209,素材!$1:$1016,COLUMN($E$1),FALSE)/(LEN(VLOOKUP($D209,素材!$1:$1016,COLUMN($F$1),FALSE))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G209">
        <f>IF(ISNUMBER(SEARCH(SUBSTITUTE(AG$1,RIGHT(AG$1,2),""),VLOOKUP($D209,素材!$1:$1016,COLUMN($F$1),FALSE))),VLOOKUP($C209,装備品!$1:$998,COLUMN($O$1),FALSE)*VLOOKUP($D209,素材!$1:$1016,COLUMN($E$1),FALSE)/(LEN(VLOOKUP($D209,素材!$1:$1016,COLUMN($F$1),FALSE))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H209">
        <f>IF(ISNUMBER(SEARCH(SUBSTITUTE(AH$1,RIGHT(AH$1,2),""),VLOOKUP($D209,素材!$1:$1016,COLUMN($F$1),FALSE))),VLOOKUP($C209,装備品!$1:$998,COLUMN($O$1),FALSE)*VLOOKUP($D209,素材!$1:$1016,COLUMN($E$1),FALSE)/(LEN(VLOOKUP($D209,素材!$1:$1016,COLUMN($F$1),FALSE))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I209">
        <f>IF(ISNUMBER(SEARCH(SUBSTITUTE(AI$1,RIGHT(AI$1,2),""),VLOOKUP($D209,素材!$1:$1016,COLUMN($F$1),FALSE))),VLOOKUP($C209,装備品!$1:$998,COLUMN($O$1),FALSE)*VLOOKUP($D209,素材!$1:$1016,COLUMN($E$1),FALSE)/(LEN(VLOOKUP($D209,素材!$1:$1016,COLUMN($F$1),FALSE))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J209">
        <f>IF(ISNUMBER(SEARCH(SUBSTITUTE(AJ$1,RIGHT(AJ$1,2),""),VLOOKUP($D209,素材!$1:$1016,COLUMN($F$1),FALSE))),VLOOKUP($C209,装備品!$1:$998,COLUMN($O$1),FALSE)*VLOOKUP($D209,素材!$1:$1016,COLUMN($E$1),FALSE)/(LEN(VLOOKUP($D209,素材!$1:$1016,COLUMN($F$1),FALSE))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K209">
        <f>IF(ISNUMBER(SEARCH(SUBSTITUTE(AK$1,RIGHT(AK$1,2),""),VLOOKUP($D209,素材!$1:$1016,COLUMN($F$1),FALSE))),VLOOKUP($C209,装備品!$1:$998,COLUMN($O$1),FALSE)*VLOOKUP($D209,素材!$1:$1016,COLUMN($E$1),FALSE)/(LEN(VLOOKUP($D209,素材!$1:$1016,COLUMN($F$1),FALSE))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L209">
        <f>IF(ISNUMBER(SEARCH(SUBSTITUTE(AL$1,RIGHT(AL$1,2),""),VLOOKUP($D209,素材!$1:$1016,COLUMN($F$1),FALSE))),VLOOKUP($C209,装備品!$1:$998,COLUMN($O$1),FALSE)*VLOOKUP($D209,素材!$1:$1016,COLUMN($E$1),FALSE)/(LEN(VLOOKUP($D209,素材!$1:$1016,COLUMN($F$1),FALSE))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M209">
        <f>IF(ISNUMBER(SEARCH(SUBSTITUTE(AM$1,RIGHT(AM$1,2),""),VLOOKUP($D209,素材!$1:$1016,COLUMN($F$1),FALSE))),VLOOKUP($C209,装備品!$1:$998,COLUMN($O$1),FALSE)*VLOOKUP($D209,素材!$1:$1016,COLUMN($E$1),FALSE)/(LEN(VLOOKUP($D209,素材!$1:$1016,COLUMN($F$1),FALSE))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N209">
        <f>IF(ISNUMBER(SEARCH(SUBSTITUTE(AN$1,RIGHT(AN$1,2),""),VLOOKUP($D209,素材!$1:$1016,COLUMN($F$1),FALSE))),VLOOKUP($C209,装備品!$1:$998,COLUMN($O$1),FALSE)*VLOOKUP($D209,素材!$1:$1016,COLUMN($E$1),FALSE)/(LEN(VLOOKUP($D209,素材!$1:$1016,COLUMN($F$1),FALSE))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O209">
        <f>IF(ISNUMBER(SEARCH(SUBSTITUTE(AO$1,RIGHT(AO$1,2),""),VLOOKUP($D209,素材!$1:$1016,COLUMN($F$1),FALSE))),VLOOKUP($C209,装備品!$1:$998,COLUMN($O$1),FALSE)*VLOOKUP($D209,素材!$1:$1016,COLUMN($E$1),FALSE)/(LEN(VLOOKUP($D209,素材!$1:$1016,COLUMN($F$1),FALSE))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P209">
        <f>IF(ISNUMBER(SEARCH(SUBSTITUTE(AP$1,RIGHT(AP$1,2),""),VLOOKUP($D209,素材!$1:$1016,COLUMN($F$1),FALSE))),VLOOKUP($C209,装備品!$1:$998,COLUMN($O$1),FALSE)*VLOOKUP($D209,素材!$1:$1016,COLUMN($E$1),FALSE)/(LEN(VLOOKUP($D209,素材!$1:$1016,COLUMN($F$1),FALSE))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Q209">
        <f>IF(ISNUMBER(SEARCH(SUBSTITUTE(AQ$1,RIGHT(AQ$1,2),""),VLOOKUP($D209,素材!$1:$1016,COLUMN($F$1),FALSE))),VLOOKUP($C209,装備品!$1:$998,COLUMN($O$1),FALSE)*VLOOKUP($D209,素材!$1:$1016,COLUMN($E$1),FALSE)/(LEN(VLOOKUP($D209,素材!$1:$1016,COLUMN($F$1),FALSE))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R209">
        <f>IF(ISNUMBER(SEARCH(SUBSTITUTE(AR$1,RIGHT(AR$1,2),""),VLOOKUP($D209,素材!$1:$1016,COLUMN($F$1),FALSE))),VLOOKUP($C209,装備品!$1:$998,COLUMN($O$1),FALSE)*VLOOKUP($D209,素材!$1:$1016,COLUMN($E$1),FALSE)/(LEN(VLOOKUP($D209,素材!$1:$1016,COLUMN($F$1),FALSE))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S209">
        <f>IF(ISNUMBER(SEARCH(SUBSTITUTE(AS$1,RIGHT(AS$1,2),""),VLOOKUP($D209,素材!$1:$1016,COLUMN($F$1),FALSE))),VLOOKUP($C209,装備品!$1:$998,COLUMN($O$1),FALSE)*VLOOKUP($D209,素材!$1:$1016,COLUMN($E$1),FALSE)/(LEN(VLOOKUP($D209,素材!$1:$1016,COLUMN($F$1),FALSE))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T209">
        <f>IF(ISNUMBER(SEARCH(SUBSTITUTE(AT$1,RIGHT(AT$1,2),""),VLOOKUP($D209,素材!$1:$1016,COLUMN($F$1),FALSE))),VLOOKUP($C209,装備品!$1:$998,COLUMN($O$1),FALSE)*VLOOKUP($D209,素材!$1:$1016,COLUMN($E$1),FALSE)/(LEN(VLOOKUP($D209,素材!$1:$1016,COLUMN($F$1),FALSE))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U209">
        <f>IF(ISNUMBER(SEARCH(SUBSTITUTE(AU$1,RIGHT(AU$1,2),""),VLOOKUP($D209,素材!$1:$1016,COLUMN($F$1),FALSE))),VLOOKUP($C209,装備品!$1:$998,COLUMN($O$1),FALSE)*VLOOKUP($D209,素材!$1:$1016,COLUMN($E$1),FALSE)/(LEN(VLOOKUP($D209,素材!$1:$1016,COLUMN($F$1),FALSE))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V209">
        <f>IF(ISNUMBER(SEARCH(SUBSTITUTE(AV$1,RIGHT(AV$1,2),""),VLOOKUP($D209,素材!$1:$1016,COLUMN($F$1),FALSE))),VLOOKUP($C209,装備品!$1:$998,COLUMN($O$1),FALSE)*VLOOKUP($D209,素材!$1:$1016,COLUMN($E$1),FALSE)/(LEN(VLOOKUP($D209,素材!$1:$1016,COLUMN($F$1),FALSE))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W209">
        <f>IF(ISNUMBER(SEARCH(SUBSTITUTE(AW$1,RIGHT(AW$1,2),""),VLOOKUP($D209,素材!$1:$1016,COLUMN($F$1),FALSE))),VLOOKUP($C209,装備品!$1:$998,COLUMN($O$1),FALSE)*VLOOKUP($D209,素材!$1:$1016,COLUMN($E$1),FALSE)/(LEN(VLOOKUP($D209,素材!$1:$1016,COLUMN($F$1),FALSE))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X209">
        <f>IF(ISNUMBER(SEARCH(SUBSTITUTE(AX$1,RIGHT(AX$1,2),""),VLOOKUP($D209,素材!$1:$1016,COLUMN($F$1),FALSE))),VLOOKUP($C209,装備品!$1:$998,COLUMN($O$1),FALSE)*VLOOKUP($D209,素材!$1:$1016,COLUMN($E$1),FALSE)/(LEN(VLOOKUP($D209,素材!$1:$1016,COLUMN($F$1),FALSE))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Y209">
        <f>IF(ISNUMBER(SEARCH(SUBSTITUTE(AY$1,RIGHT(AY$1,2),""),VLOOKUP($D209,素材!$1:$1016,COLUMN($F$1),FALSE))),VLOOKUP($C209,装備品!$1:$998,COLUMN($O$1),FALSE)*VLOOKUP($D209,素材!$1:$1016,COLUMN($E$1),FALSE)/(LEN(VLOOKUP($D209,素材!$1:$1016,COLUMN($F$1),FALSE))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Z209">
        <f>IF(ISNUMBER(SEARCH(SUBSTITUTE(AZ$1,RIGHT(AZ$1,2),""),VLOOKUP($D209,素材!$1:$1016,COLUMN($F$1),FALSE))),VLOOKUP($C209,装備品!$1:$998,COLUMN($O$1),FALSE)*VLOOKUP($D209,素材!$1:$1016,COLUMN($E$1),FALSE)/(LEN(VLOOKUP($D209,素材!$1:$1016,COLUMN($F$1),FALSE))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BA209">
        <f>IF(ISNUMBER(SEARCH(SUBSTITUTE(BA$1,RIGHT(BA$1,2),""),VLOOKUP($D209,素材!$1:$1016,COLUMN($F$1),FALSE))),VLOOKUP($C209,装備品!$1:$998,COLUMN($O$1),FALSE)*VLOOKUP($D209,素材!$1:$1016,COLUMN($E$1),FALSE)/(LEN(VLOOKUP($D209,素材!$1:$1016,COLUMN($F$1),FALSE))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BB209">
        <f>IF(ISNUMBER(SEARCH(SUBSTITUTE(BB$1,RIGHT(BB$1,2),""),VLOOKUP($D209,素材!$1:$1016,COLUMN($F$1),FALSE))),VLOOKUP($C209,装備品!$1:$998,COLUMN($O$1),FALSE)*VLOOKUP($D209,素材!$1:$1016,COLUMN($E$1),FALSE)/(LEN(VLOOKUP($D209,素材!$1:$1016,COLUMN($F$1),FALSE))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BC209">
        <f>IF(ISNUMBER(SEARCH(SUBSTITUTE(BC$1,RIGHT(BC$1,2),""),VLOOKUP($D209,素材!$1:$1016,COLUMN($F$1),FALSE))),VLOOKUP($C209,装備品!$1:$998,COLUMN($O$1),FALSE)*VLOOKUP($D209,素材!$1:$1016,COLUMN($E$1),FALSE)/(LEN(VLOOKUP($D209,素材!$1:$1016,COLUMN($F$1),FALSE))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BD209">
        <f>IF(ISNUMBER(SEARCH(SUBSTITUTE(BD$1,RIGHT(BD$1,2),""),VLOOKUP($D209,素材!$1:$1016,COLUMN($F$1),FALSE))),VLOOKUP($C209,装備品!$1:$998,COLUMN($O$1),FALSE)*VLOOKUP($D209,素材!$1:$1016,COLUMN($E$1),FALSE)/(LEN(VLOOKUP($D209,素材!$1:$1016,COLUMN($F$1),FALSE))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BE209">
        <f>IF(ISNUMBER(SEARCH(SUBSTITUTE(BE$1,RIGHT(BE$1,2),""),VLOOKUP($D209,素材!$1:$1016,COLUMN($F$1),FALSE))),VLOOKUP($C209,装備品!$1:$998,COLUMN($O$1),FALSE)*VLOOKUP($D209,素材!$1:$1016,COLUMN($E$1),FALSE)/(LEN(VLOOKUP($D209,素材!$1:$1016,COLUMN($F$1),FALSE))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CL209">
        <f t="shared" si="35"/>
        <v>24</v>
      </c>
      <c r="CM209" s="22" t="str">
        <f t="shared" si="36"/>
        <v>貫通.webp</v>
      </c>
      <c r="CN209">
        <f>IFERROR(VLOOKUP($C209,装備品!$1:$998,COLUMN(V$1),FALSE)*VLOOKUP($D209,素材!$1:$1016,COLUMN(N$1),FALSE)+IF(CI209="",0,VLOOKUP($CI209,付与!$1:$1176,COLUMN($CK$1),FALSE)),"")</f>
        <v>0</v>
      </c>
      <c r="CO209">
        <f>VLOOKUP(D209,素材!$A:$O,COLUMN(素材!O$1),FALSE)</f>
        <v>0</v>
      </c>
      <c r="CP209" t="str">
        <f>VLOOKUP(C209,装備品!$A:$AB,COLUMN(装備品!AB$1),FALSE)</f>
        <v>棘棍。打撃と刺突を兼ね備えた武器。</v>
      </c>
      <c r="CR209" t="str">
        <f t="shared" si="37"/>
        <v>e_209</v>
      </c>
      <c r="CS209">
        <f t="shared" si="38"/>
        <v>0</v>
      </c>
    </row>
    <row r="210" spans="1:97" outlineLevel="1" x14ac:dyDescent="0.4">
      <c r="A210" t="str">
        <f t="shared" si="34"/>
        <v>冷気鉄の鎚</v>
      </c>
      <c r="B210" t="str">
        <f>IFERROR(VLOOKUP($D210,素材!$1:$1016,COLUMN($B$1),FALSE)&amp;"・"&amp;VLOOKUP($C210,装備品!$1:$998,COLUMN(B$1),FALSE),"")</f>
        <v>ドゥララン・ハンマー</v>
      </c>
      <c r="C210" t="s">
        <v>226</v>
      </c>
      <c r="D210" s="24" t="s">
        <v>242</v>
      </c>
      <c r="E210" t="str">
        <f>IFERROR(VLOOKUP(C210,装備品!$1:$998,COLUMN(C$1),FALSE),"")</f>
        <v>武器</v>
      </c>
      <c r="F210">
        <f>IFERROR(ROUNDDOWN((VLOOKUP($C210,装備品!$1:$998,COLUMN(D$1),FALSE)+IFERROR(VLOOKUP($CI210,付与!$1:$1167,COLUMN(F$1),FALSE),0))*VLOOKUP($D210,素材!$1:$1016,COLUMN(D$1),FALSE),0),"")</f>
        <v>110</v>
      </c>
      <c r="G210">
        <f>IFERROR(ROUNDDOWN((VLOOKUP($C210,装備品!$1:$998,COLUMN(E$1),FALSE)+IFERROR(VLOOKUP($CI210,付与!$1:$1167,COLUMN(G$1),FALSE),0))*VLOOKUP($D210,素材!$1:$1016,COLUMN($E$1),FALSE),0),"")</f>
        <v>0</v>
      </c>
      <c r="H210">
        <f>IFERROR(ROUNDDOWN((VLOOKUP($C210,装備品!$1:$998,COLUMN(F$1),FALSE)+IFERROR(VLOOKUP($CI210,付与!$1:$1167,COLUMN(H$1),FALSE),0))*VLOOKUP($D210,素材!$1:$1016,COLUMN($E$1),FALSE),0),"")</f>
        <v>0</v>
      </c>
      <c r="I210">
        <f>IFERROR(ROUNDDOWN((VLOOKUP($C210,装備品!$1:$998,COLUMN(G$1),FALSE)+IFERROR(VLOOKUP($CI210,付与!$1:$1167,COLUMN(I$1),FALSE),0))*VLOOKUP($D210,素材!$1:$1016,COLUMN($E$1),FALSE),0),"")</f>
        <v>22</v>
      </c>
      <c r="J210">
        <f>IFERROR(ROUNDDOWN((VLOOKUP($C210,装備品!$1:$998,COLUMN(H$1),FALSE)+IFERROR(VLOOKUP($CI210,付与!$1:$1167,COLUMN(J$1),FALSE),0))*VLOOKUP($D210,素材!$1:$1016,COLUMN($E$1),FALSE),0),"")</f>
        <v>19</v>
      </c>
      <c r="K210">
        <f>IFERROR(ROUNDDOWN((VLOOKUP($C210,装備品!$1:$998,COLUMN(I$1),FALSE)+IFERROR(VLOOKUP($CI210,付与!$1:$1167,COLUMN(K$1),FALSE),0))*VLOOKUP($D210,素材!$1:$1016,COLUMN($E$1),FALSE),0),"")</f>
        <v>0</v>
      </c>
      <c r="L210" t="str">
        <f>IFERROR(VLOOKUP($D210,素材!$1:$1016,COLUMN($F$1),FALSE),"")</f>
        <v>氷</v>
      </c>
      <c r="M210">
        <f>IFERROR(VLOOKUP($C210,装備品!$1:$998,COLUMN(AA$1),FALSE)*VLOOKUP($D210,素材!$1:$1016,COLUMN($G$1),FALSE),"")</f>
        <v>70</v>
      </c>
      <c r="N210">
        <f>IFERROR(VLOOKUP($C210,装備品!$1:$998,COLUMN(I$1),FALSE),"")</f>
        <v>0</v>
      </c>
      <c r="O210" s="23">
        <f>IFERROR((VLOOKUP($C210,装備品!$1:$998,COLUMN(K$1),FALSE)+VLOOKUP($D210,素材!$1:$1016,COLUMN(H$1),FALSE))*100+IFERROR(VLOOKUP($CI210,付与!$1:$1167,COLUMN(O$1),FALSE),0),"")</f>
        <v>10</v>
      </c>
      <c r="P210" s="23">
        <f>IFERROR((VLOOKUP($C210,装備品!$1:$998,COLUMN(L$1),FALSE)+VLOOKUP($D210,素材!$1:$1016,COLUMN(I$1),FALSE))*100+IFERROR(VLOOKUP($CI210,付与!$1:$1167,COLUMN(P$1),FALSE),0),"")</f>
        <v>150</v>
      </c>
      <c r="Q210">
        <f>IFERROR(ROUNDUP(VLOOKUP($C210,装備品!$1:$998,COLUMN(M$1),FALSE)*(VLOOKUP($D210,素材!$1:$1002,COLUMN(D$1),FALSE)/100),1),"")</f>
        <v>-2.5</v>
      </c>
      <c r="R210">
        <f>IFERROR(ROUNDUP(VLOOKUP($C210,装備品!$1:$998,COLUMN(N$1),FALSE)*(VLOOKUP($D210,素材!$1:$1002,COLUMN(D$1),FALSE)/100),1),"")</f>
        <v>0</v>
      </c>
      <c r="S210">
        <f>IFERROR(VLOOKUP($C210,装備品!$1:$998,COLUMN(P$1),FALSE),"")</f>
        <v>0</v>
      </c>
      <c r="T210">
        <f>IFERROR(VLOOKUP($C210,装備品!$1:$998,COLUMN(Q$1),FALSE),"")</f>
        <v>0</v>
      </c>
      <c r="U210">
        <f>IFERROR(VLOOKUP($C210,装備品!$1:$998,COLUMN(R$1),FALSE),"")</f>
        <v>0</v>
      </c>
      <c r="V210">
        <f>IFERROR(VLOOKUP($C210,装備品!$1:$998,COLUMN(Q$1),FALSE),"")</f>
        <v>0</v>
      </c>
      <c r="W210">
        <f>IFERROR(VLOOKUP($C210,装備品!$1:$998,COLUMN(T$1),FALSE),"")</f>
        <v>0</v>
      </c>
      <c r="Y210">
        <f>IFERROR(VLOOKUP($C210,装備品!$1:$998,COLUMN(U$1),FALSE),"")</f>
        <v>0</v>
      </c>
      <c r="Z210">
        <f>IFERROR(ROUNDUP(VLOOKUP($C210,装備品!$1:$998,COLUMN(O$1),FALSE)*VLOOKUP($D210,素材!$1:$1016,COLUMN(E$1),FALSE),1),"")</f>
        <v>0</v>
      </c>
      <c r="AA210">
        <f>IF(ISNUMBER(SEARCH(SUBSTITUTE(AA$1,RIGHT(AA$1,2),""),VLOOKUP($D210,素材!$1:$1016,COLUMN($F$1),FALSE))),VLOOKUP($C210,装備品!$1:$998,COLUMN($O$1),FALSE)*VLOOKUP($D210,素材!$1:$1016,COLUMN($E$1),FALSE)/(LEN(VLOOKUP($D210,素材!$1:$1016,COLUMN($F$1),FALSE))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B210">
        <f>IF(ISNUMBER(SEARCH(SUBSTITUTE(AB$1,RIGHT(AB$1,2),""),VLOOKUP($D210,素材!$1:$1016,COLUMN($F$1),FALSE))),VLOOKUP($C210,装備品!$1:$998,COLUMN($O$1),FALSE)*VLOOKUP($D210,素材!$1:$1016,COLUMN($E$1),FALSE)/(LEN(VLOOKUP($D210,素材!$1:$1016,COLUMN($F$1),FALSE))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C210">
        <f>IF(ISNUMBER(SEARCH(SUBSTITUTE(AC$1,RIGHT(AC$1,2),""),VLOOKUP($D210,素材!$1:$1016,COLUMN($F$1),FALSE))),VLOOKUP($C210,装備品!$1:$998,COLUMN($O$1),FALSE)*VLOOKUP($D210,素材!$1:$1016,COLUMN($E$1),FALSE)/(LEN(VLOOKUP($D210,素材!$1:$1016,COLUMN($F$1),FALSE))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D210">
        <f>IF(ISNUMBER(SEARCH(SUBSTITUTE(AD$1,RIGHT(AD$1,2),""),VLOOKUP($D210,素材!$1:$1016,COLUMN($F$1),FALSE))),VLOOKUP($C210,装備品!$1:$998,COLUMN($O$1),FALSE)*VLOOKUP($D210,素材!$1:$1016,COLUMN($E$1),FALSE)/(LEN(VLOOKUP($D210,素材!$1:$1016,COLUMN($F$1),FALSE))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E210">
        <f>IF(ISNUMBER(SEARCH(SUBSTITUTE(AE$1,RIGHT(AE$1,2),""),VLOOKUP($D210,素材!$1:$1016,COLUMN($F$1),FALSE))),VLOOKUP($C210,装備品!$1:$998,COLUMN($O$1),FALSE)*VLOOKUP($D210,素材!$1:$1016,COLUMN($E$1),FALSE)/(LEN(VLOOKUP($D210,素材!$1:$1016,COLUMN($F$1),FALSE))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F210">
        <f>IF(ISNUMBER(SEARCH(SUBSTITUTE(AF$1,RIGHT(AF$1,2),""),VLOOKUP($D210,素材!$1:$1016,COLUMN($F$1),FALSE))),VLOOKUP($C210,装備品!$1:$998,COLUMN($O$1),FALSE)*VLOOKUP($D210,素材!$1:$1016,COLUMN($E$1),FALSE)/(LEN(VLOOKUP($D210,素材!$1:$1016,COLUMN($F$1),FALSE))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G210">
        <f>IF(ISNUMBER(SEARCH(SUBSTITUTE(AG$1,RIGHT(AG$1,2),""),VLOOKUP($D210,素材!$1:$1016,COLUMN($F$1),FALSE))),VLOOKUP($C210,装備品!$1:$998,COLUMN($O$1),FALSE)*VLOOKUP($D210,素材!$1:$1016,COLUMN($E$1),FALSE)/(LEN(VLOOKUP($D210,素材!$1:$1016,COLUMN($F$1),FALSE))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H210">
        <f>IF(ISNUMBER(SEARCH(SUBSTITUTE(AH$1,RIGHT(AH$1,2),""),VLOOKUP($D210,素材!$1:$1016,COLUMN($F$1),FALSE))),VLOOKUP($C210,装備品!$1:$998,COLUMN($O$1),FALSE)*VLOOKUP($D210,素材!$1:$1016,COLUMN($E$1),FALSE)/(LEN(VLOOKUP($D210,素材!$1:$1016,COLUMN($F$1),FALSE))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I210">
        <f>IF(ISNUMBER(SEARCH(SUBSTITUTE(AI$1,RIGHT(AI$1,2),""),VLOOKUP($D210,素材!$1:$1016,COLUMN($F$1),FALSE))),VLOOKUP($C210,装備品!$1:$998,COLUMN($O$1),FALSE)*VLOOKUP($D210,素材!$1:$1016,COLUMN($E$1),FALSE)/(LEN(VLOOKUP($D210,素材!$1:$1016,COLUMN($F$1),FALSE))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J210">
        <f>IF(ISNUMBER(SEARCH(SUBSTITUTE(AJ$1,RIGHT(AJ$1,2),""),VLOOKUP($D210,素材!$1:$1016,COLUMN($F$1),FALSE))),VLOOKUP($C210,装備品!$1:$998,COLUMN($O$1),FALSE)*VLOOKUP($D210,素材!$1:$1016,COLUMN($E$1),FALSE)/(LEN(VLOOKUP($D210,素材!$1:$1016,COLUMN($F$1),FALSE))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K210">
        <f>IF(ISNUMBER(SEARCH(SUBSTITUTE(AK$1,RIGHT(AK$1,2),""),VLOOKUP($D210,素材!$1:$1016,COLUMN($F$1),FALSE))),VLOOKUP($C210,装備品!$1:$998,COLUMN($O$1),FALSE)*VLOOKUP($D210,素材!$1:$1016,COLUMN($E$1),FALSE)/(LEN(VLOOKUP($D210,素材!$1:$1016,COLUMN($F$1),FALSE))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L210">
        <f>IF(ISNUMBER(SEARCH(SUBSTITUTE(AL$1,RIGHT(AL$1,2),""),VLOOKUP($D210,素材!$1:$1016,COLUMN($F$1),FALSE))),VLOOKUP($C210,装備品!$1:$998,COLUMN($O$1),FALSE)*VLOOKUP($D210,素材!$1:$1016,COLUMN($E$1),FALSE)/(LEN(VLOOKUP($D210,素材!$1:$1016,COLUMN($F$1),FALSE))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M210">
        <f>IF(ISNUMBER(SEARCH(SUBSTITUTE(AM$1,RIGHT(AM$1,2),""),VLOOKUP($D210,素材!$1:$1016,COLUMN($F$1),FALSE))),VLOOKUP($C210,装備品!$1:$998,COLUMN($O$1),FALSE)*VLOOKUP($D210,素材!$1:$1016,COLUMN($E$1),FALSE)/(LEN(VLOOKUP($D210,素材!$1:$1016,COLUMN($F$1),FALSE))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N210">
        <f>IF(ISNUMBER(SEARCH(SUBSTITUTE(AN$1,RIGHT(AN$1,2),""),VLOOKUP($D210,素材!$1:$1016,COLUMN($F$1),FALSE))),VLOOKUP($C210,装備品!$1:$998,COLUMN($O$1),FALSE)*VLOOKUP($D210,素材!$1:$1016,COLUMN($E$1),FALSE)/(LEN(VLOOKUP($D210,素材!$1:$1016,COLUMN($F$1),FALSE))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O210">
        <f>IF(ISNUMBER(SEARCH(SUBSTITUTE(AO$1,RIGHT(AO$1,2),""),VLOOKUP($D210,素材!$1:$1016,COLUMN($F$1),FALSE))),VLOOKUP($C210,装備品!$1:$998,COLUMN($O$1),FALSE)*VLOOKUP($D210,素材!$1:$1016,COLUMN($E$1),FALSE)/(LEN(VLOOKUP($D210,素材!$1:$1016,COLUMN($F$1),FALSE))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P210">
        <f>IF(ISNUMBER(SEARCH(SUBSTITUTE(AP$1,RIGHT(AP$1,2),""),VLOOKUP($D210,素材!$1:$1016,COLUMN($F$1),FALSE))),VLOOKUP($C210,装備品!$1:$998,COLUMN($O$1),FALSE)*VLOOKUP($D210,素材!$1:$1016,COLUMN($E$1),FALSE)/(LEN(VLOOKUP($D210,素材!$1:$1016,COLUMN($F$1),FALSE))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Q210">
        <f>IF(ISNUMBER(SEARCH(SUBSTITUTE(AQ$1,RIGHT(AQ$1,2),""),VLOOKUP($D210,素材!$1:$1016,COLUMN($F$1),FALSE))),VLOOKUP($C210,装備品!$1:$998,COLUMN($O$1),FALSE)*VLOOKUP($D210,素材!$1:$1016,COLUMN($E$1),FALSE)/(LEN(VLOOKUP($D210,素材!$1:$1016,COLUMN($F$1),FALSE))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R210">
        <f>IF(ISNUMBER(SEARCH(SUBSTITUTE(AR$1,RIGHT(AR$1,2),""),VLOOKUP($D210,素材!$1:$1016,COLUMN($F$1),FALSE))),VLOOKUP($C210,装備品!$1:$998,COLUMN($O$1),FALSE)*VLOOKUP($D210,素材!$1:$1016,COLUMN($E$1),FALSE)/(LEN(VLOOKUP($D210,素材!$1:$1016,COLUMN($F$1),FALSE))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S210">
        <f>IF(ISNUMBER(SEARCH(SUBSTITUTE(AS$1,RIGHT(AS$1,2),""),VLOOKUP($D210,素材!$1:$1016,COLUMN($F$1),FALSE))),VLOOKUP($C210,装備品!$1:$998,COLUMN($O$1),FALSE)*VLOOKUP($D210,素材!$1:$1016,COLUMN($E$1),FALSE)/(LEN(VLOOKUP($D210,素材!$1:$1016,COLUMN($F$1),FALSE))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T210">
        <f>IF(ISNUMBER(SEARCH(SUBSTITUTE(AT$1,RIGHT(AT$1,2),""),VLOOKUP($D210,素材!$1:$1016,COLUMN($F$1),FALSE))),VLOOKUP($C210,装備品!$1:$998,COLUMN($O$1),FALSE)*VLOOKUP($D210,素材!$1:$1016,COLUMN($E$1),FALSE)/(LEN(VLOOKUP($D210,素材!$1:$1016,COLUMN($F$1),FALSE))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U210">
        <f>IF(ISNUMBER(SEARCH(SUBSTITUTE(AU$1,RIGHT(AU$1,2),""),VLOOKUP($D210,素材!$1:$1016,COLUMN($F$1),FALSE))),VLOOKUP($C210,装備品!$1:$998,COLUMN($O$1),FALSE)*VLOOKUP($D210,素材!$1:$1016,COLUMN($E$1),FALSE)/(LEN(VLOOKUP($D210,素材!$1:$1016,COLUMN($F$1),FALSE))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V210">
        <f>IF(ISNUMBER(SEARCH(SUBSTITUTE(AV$1,RIGHT(AV$1,2),""),VLOOKUP($D210,素材!$1:$1016,COLUMN($F$1),FALSE))),VLOOKUP($C210,装備品!$1:$998,COLUMN($O$1),FALSE)*VLOOKUP($D210,素材!$1:$1016,COLUMN($E$1),FALSE)/(LEN(VLOOKUP($D210,素材!$1:$1016,COLUMN($F$1),FALSE))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W210">
        <f>IF(ISNUMBER(SEARCH(SUBSTITUTE(AW$1,RIGHT(AW$1,2),""),VLOOKUP($D210,素材!$1:$1016,COLUMN($F$1),FALSE))),VLOOKUP($C210,装備品!$1:$998,COLUMN($O$1),FALSE)*VLOOKUP($D210,素材!$1:$1016,COLUMN($E$1),FALSE)/(LEN(VLOOKUP($D210,素材!$1:$1016,COLUMN($F$1),FALSE))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X210">
        <f>IF(ISNUMBER(SEARCH(SUBSTITUTE(AX$1,RIGHT(AX$1,2),""),VLOOKUP($D210,素材!$1:$1016,COLUMN($F$1),FALSE))),VLOOKUP($C210,装備品!$1:$998,COLUMN($O$1),FALSE)*VLOOKUP($D210,素材!$1:$1016,COLUMN($E$1),FALSE)/(LEN(VLOOKUP($D210,素材!$1:$1016,COLUMN($F$1),FALSE))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Y210">
        <f>IF(ISNUMBER(SEARCH(SUBSTITUTE(AY$1,RIGHT(AY$1,2),""),VLOOKUP($D210,素材!$1:$1016,COLUMN($F$1),FALSE))),VLOOKUP($C210,装備品!$1:$998,COLUMN($O$1),FALSE)*VLOOKUP($D210,素材!$1:$1016,COLUMN($E$1),FALSE)/(LEN(VLOOKUP($D210,素材!$1:$1016,COLUMN($F$1),FALSE))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Z210">
        <f>IF(ISNUMBER(SEARCH(SUBSTITUTE(AZ$1,RIGHT(AZ$1,2),""),VLOOKUP($D210,素材!$1:$1016,COLUMN($F$1),FALSE))),VLOOKUP($C210,装備品!$1:$998,COLUMN($O$1),FALSE)*VLOOKUP($D210,素材!$1:$1016,COLUMN($E$1),FALSE)/(LEN(VLOOKUP($D210,素材!$1:$1016,COLUMN($F$1),FALSE))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BA210">
        <f>IF(ISNUMBER(SEARCH(SUBSTITUTE(BA$1,RIGHT(BA$1,2),""),VLOOKUP($D210,素材!$1:$1016,COLUMN($F$1),FALSE))),VLOOKUP($C210,装備品!$1:$998,COLUMN($O$1),FALSE)*VLOOKUP($D210,素材!$1:$1016,COLUMN($E$1),FALSE)/(LEN(VLOOKUP($D210,素材!$1:$1016,COLUMN($F$1),FALSE))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BB210">
        <f>IF(ISNUMBER(SEARCH(SUBSTITUTE(BB$1,RIGHT(BB$1,2),""),VLOOKUP($D210,素材!$1:$1016,COLUMN($F$1),FALSE))),VLOOKUP($C210,装備品!$1:$998,COLUMN($O$1),FALSE)*VLOOKUP($D210,素材!$1:$1016,COLUMN($E$1),FALSE)/(LEN(VLOOKUP($D210,素材!$1:$1016,COLUMN($F$1),FALSE))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BC210">
        <f>IF(ISNUMBER(SEARCH(SUBSTITUTE(BC$1,RIGHT(BC$1,2),""),VLOOKUP($D210,素材!$1:$1016,COLUMN($F$1),FALSE))),VLOOKUP($C210,装備品!$1:$998,COLUMN($O$1),FALSE)*VLOOKUP($D210,素材!$1:$1016,COLUMN($E$1),FALSE)/(LEN(VLOOKUP($D210,素材!$1:$1016,COLUMN($F$1),FALSE))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BD210">
        <f>IF(ISNUMBER(SEARCH(SUBSTITUTE(BD$1,RIGHT(BD$1,2),""),VLOOKUP($D210,素材!$1:$1016,COLUMN($F$1),FALSE))),VLOOKUP($C210,装備品!$1:$998,COLUMN($O$1),FALSE)*VLOOKUP($D210,素材!$1:$1016,COLUMN($E$1),FALSE)/(LEN(VLOOKUP($D210,素材!$1:$1016,COLUMN($F$1),FALSE))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BE210">
        <f>IF(ISNUMBER(SEARCH(SUBSTITUTE(BE$1,RIGHT(BE$1,2),""),VLOOKUP($D210,素材!$1:$1016,COLUMN($F$1),FALSE))),VLOOKUP($C210,装備品!$1:$998,COLUMN($O$1),FALSE)*VLOOKUP($D210,素材!$1:$1016,COLUMN($E$1),FALSE)/(LEN(VLOOKUP($D210,素材!$1:$1016,COLUMN($F$1),FALSE))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CL210">
        <f t="shared" si="35"/>
        <v>22</v>
      </c>
      <c r="CM210" s="22" t="str">
        <f t="shared" si="36"/>
        <v>打撃.webp</v>
      </c>
      <c r="CN210">
        <f>IFERROR(VLOOKUP($C210,装備品!$1:$998,COLUMN(V$1),FALSE)*VLOOKUP($D210,素材!$1:$1016,COLUMN(N$1),FALSE)+IF(CI210="",0,VLOOKUP($CI210,付与!$1:$1176,COLUMN($CK$1),FALSE)),"")</f>
        <v>0</v>
      </c>
      <c r="CO210">
        <f>VLOOKUP(D210,素材!$A:$O,COLUMN(素材!O$1),FALSE)</f>
        <v>0</v>
      </c>
      <c r="CP210" t="str">
        <f>VLOOKUP(C210,装備品!$A:$AB,COLUMN(装備品!AB$1),FALSE)</f>
        <v>鎚。打撃力に優れ、投擲にも対応。</v>
      </c>
      <c r="CR210" t="str">
        <f t="shared" si="37"/>
        <v>e_210</v>
      </c>
      <c r="CS210">
        <f t="shared" si="38"/>
        <v>0</v>
      </c>
    </row>
    <row r="211" spans="1:97" outlineLevel="1" x14ac:dyDescent="0.4">
      <c r="A211" t="str">
        <f t="shared" si="34"/>
        <v>冷気鉄の戦鎚</v>
      </c>
      <c r="B211" t="str">
        <f>IFERROR(VLOOKUP($D211,素材!$1:$1016,COLUMN($B$1),FALSE)&amp;"・"&amp;VLOOKUP($C211,装備品!$1:$998,COLUMN(B$1),FALSE),"")</f>
        <v>ドゥララン・ウォーハンマー</v>
      </c>
      <c r="C211" t="s">
        <v>225</v>
      </c>
      <c r="D211" s="24" t="s">
        <v>242</v>
      </c>
      <c r="E211" t="str">
        <f>IFERROR(VLOOKUP(C211,装備品!$1:$998,COLUMN(C$1),FALSE),"")</f>
        <v>武器</v>
      </c>
      <c r="F211">
        <f>IFERROR(ROUNDDOWN((VLOOKUP($C211,装備品!$1:$998,COLUMN(D$1),FALSE)+IFERROR(VLOOKUP($CI211,付与!$1:$1167,COLUMN(F$1),FALSE),0))*VLOOKUP($D211,素材!$1:$1016,COLUMN(D$1),FALSE),0),"")</f>
        <v>125</v>
      </c>
      <c r="G211">
        <f>IFERROR(ROUNDDOWN((VLOOKUP($C211,装備品!$1:$998,COLUMN(E$1),FALSE)+IFERROR(VLOOKUP($CI211,付与!$1:$1167,COLUMN(G$1),FALSE),0))*VLOOKUP($D211,素材!$1:$1016,COLUMN($E$1),FALSE),0),"")</f>
        <v>0</v>
      </c>
      <c r="H211">
        <f>IFERROR(ROUNDDOWN((VLOOKUP($C211,装備品!$1:$998,COLUMN(F$1),FALSE)+IFERROR(VLOOKUP($CI211,付与!$1:$1167,COLUMN(H$1),FALSE),0))*VLOOKUP($D211,素材!$1:$1016,COLUMN($E$1),FALSE),0),"")</f>
        <v>0</v>
      </c>
      <c r="I211">
        <f>IFERROR(ROUNDDOWN((VLOOKUP($C211,装備品!$1:$998,COLUMN(G$1),FALSE)+IFERROR(VLOOKUP($CI211,付与!$1:$1167,COLUMN(I$1),FALSE),0))*VLOOKUP($D211,素材!$1:$1016,COLUMN($E$1),FALSE),0),"")</f>
        <v>24</v>
      </c>
      <c r="J211">
        <f>IFERROR(ROUNDDOWN((VLOOKUP($C211,装備品!$1:$998,COLUMN(H$1),FALSE)+IFERROR(VLOOKUP($CI211,付与!$1:$1167,COLUMN(J$1),FALSE),0))*VLOOKUP($D211,素材!$1:$1016,COLUMN($E$1),FALSE),0),"")</f>
        <v>21</v>
      </c>
      <c r="K211">
        <f>IFERROR(ROUNDDOWN((VLOOKUP($C211,装備品!$1:$998,COLUMN(I$1),FALSE)+IFERROR(VLOOKUP($CI211,付与!$1:$1167,COLUMN(K$1),FALSE),0))*VLOOKUP($D211,素材!$1:$1016,COLUMN($E$1),FALSE),0),"")</f>
        <v>0</v>
      </c>
      <c r="L211" t="str">
        <f>IFERROR(VLOOKUP($D211,素材!$1:$1016,COLUMN($F$1),FALSE),"")</f>
        <v>氷</v>
      </c>
      <c r="M211">
        <f>IFERROR(VLOOKUP($C211,装備品!$1:$998,COLUMN(AA$1),FALSE)*VLOOKUP($D211,素材!$1:$1016,COLUMN($G$1),FALSE),"")</f>
        <v>87.5</v>
      </c>
      <c r="N211">
        <f>IFERROR(VLOOKUP($C211,装備品!$1:$998,COLUMN(I$1),FALSE),"")</f>
        <v>0</v>
      </c>
      <c r="O211" s="23">
        <f>IFERROR((VLOOKUP($C211,装備品!$1:$998,COLUMN(K$1),FALSE)+VLOOKUP($D211,素材!$1:$1016,COLUMN(H$1),FALSE))*100+IFERROR(VLOOKUP($CI211,付与!$1:$1167,COLUMN(O$1),FALSE),0),"")</f>
        <v>10</v>
      </c>
      <c r="P211" s="23">
        <f>IFERROR((VLOOKUP($C211,装備品!$1:$998,COLUMN(L$1),FALSE)+VLOOKUP($D211,素材!$1:$1016,COLUMN(I$1),FALSE))*100+IFERROR(VLOOKUP($CI211,付与!$1:$1167,COLUMN(P$1),FALSE),0),"")</f>
        <v>150</v>
      </c>
      <c r="Q211">
        <f>IFERROR(ROUNDUP(VLOOKUP($C211,装備品!$1:$998,COLUMN(M$1),FALSE)*(VLOOKUP($D211,素材!$1:$1002,COLUMN(D$1),FALSE)/100),1),"")</f>
        <v>-5</v>
      </c>
      <c r="R211">
        <f>IFERROR(ROUNDUP(VLOOKUP($C211,装備品!$1:$998,COLUMN(N$1),FALSE)*(VLOOKUP($D211,素材!$1:$1002,COLUMN(D$1),FALSE)/100),1),"")</f>
        <v>-5</v>
      </c>
      <c r="S211">
        <f>IFERROR(VLOOKUP($C211,装備品!$1:$998,COLUMN(P$1),FALSE),"")</f>
        <v>0</v>
      </c>
      <c r="T211">
        <f>IFERROR(VLOOKUP($C211,装備品!$1:$998,COLUMN(Q$1),FALSE),"")</f>
        <v>0</v>
      </c>
      <c r="U211">
        <f>IFERROR(VLOOKUP($C211,装備品!$1:$998,COLUMN(R$1),FALSE),"")</f>
        <v>0</v>
      </c>
      <c r="V211">
        <f>IFERROR(VLOOKUP($C211,装備品!$1:$998,COLUMN(Q$1),FALSE),"")</f>
        <v>0</v>
      </c>
      <c r="W211">
        <f>IFERROR(VLOOKUP($C211,装備品!$1:$998,COLUMN(T$1),FALSE),"")</f>
        <v>0</v>
      </c>
      <c r="Y211">
        <f>IFERROR(VLOOKUP($C211,装備品!$1:$998,COLUMN(U$1),FALSE),"")</f>
        <v>0</v>
      </c>
      <c r="Z211">
        <f>IFERROR(ROUNDUP(VLOOKUP($C211,装備品!$1:$998,COLUMN(O$1),FALSE)*VLOOKUP($D211,素材!$1:$1016,COLUMN(E$1),FALSE),1),"")</f>
        <v>0</v>
      </c>
      <c r="AA211">
        <f>IF(ISNUMBER(SEARCH(SUBSTITUTE(AA$1,RIGHT(AA$1,2),""),VLOOKUP($D211,素材!$1:$1016,COLUMN($F$1),FALSE))),VLOOKUP($C211,装備品!$1:$998,COLUMN($O$1),FALSE)*VLOOKUP($D211,素材!$1:$1016,COLUMN($E$1),FALSE)/(LEN(VLOOKUP($D211,素材!$1:$1016,COLUMN($F$1),FALSE))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B211">
        <f>IF(ISNUMBER(SEARCH(SUBSTITUTE(AB$1,RIGHT(AB$1,2),""),VLOOKUP($D211,素材!$1:$1016,COLUMN($F$1),FALSE))),VLOOKUP($C211,装備品!$1:$998,COLUMN($O$1),FALSE)*VLOOKUP($D211,素材!$1:$1016,COLUMN($E$1),FALSE)/(LEN(VLOOKUP($D211,素材!$1:$1016,COLUMN($F$1),FALSE))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C211">
        <f>IF(ISNUMBER(SEARCH(SUBSTITUTE(AC$1,RIGHT(AC$1,2),""),VLOOKUP($D211,素材!$1:$1016,COLUMN($F$1),FALSE))),VLOOKUP($C211,装備品!$1:$998,COLUMN($O$1),FALSE)*VLOOKUP($D211,素材!$1:$1016,COLUMN($E$1),FALSE)/(LEN(VLOOKUP($D211,素材!$1:$1016,COLUMN($F$1),FALSE))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D211">
        <f>IF(ISNUMBER(SEARCH(SUBSTITUTE(AD$1,RIGHT(AD$1,2),""),VLOOKUP($D211,素材!$1:$1016,COLUMN($F$1),FALSE))),VLOOKUP($C211,装備品!$1:$998,COLUMN($O$1),FALSE)*VLOOKUP($D211,素材!$1:$1016,COLUMN($E$1),FALSE)/(LEN(VLOOKUP($D211,素材!$1:$1016,COLUMN($F$1),FALSE))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E211">
        <f>IF(ISNUMBER(SEARCH(SUBSTITUTE(AE$1,RIGHT(AE$1,2),""),VLOOKUP($D211,素材!$1:$1016,COLUMN($F$1),FALSE))),VLOOKUP($C211,装備品!$1:$998,COLUMN($O$1),FALSE)*VLOOKUP($D211,素材!$1:$1016,COLUMN($E$1),FALSE)/(LEN(VLOOKUP($D211,素材!$1:$1016,COLUMN($F$1),FALSE))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F211">
        <f>IF(ISNUMBER(SEARCH(SUBSTITUTE(AF$1,RIGHT(AF$1,2),""),VLOOKUP($D211,素材!$1:$1016,COLUMN($F$1),FALSE))),VLOOKUP($C211,装備品!$1:$998,COLUMN($O$1),FALSE)*VLOOKUP($D211,素材!$1:$1016,COLUMN($E$1),FALSE)/(LEN(VLOOKUP($D211,素材!$1:$1016,COLUMN($F$1),FALSE))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G211">
        <f>IF(ISNUMBER(SEARCH(SUBSTITUTE(AG$1,RIGHT(AG$1,2),""),VLOOKUP($D211,素材!$1:$1016,COLUMN($F$1),FALSE))),VLOOKUP($C211,装備品!$1:$998,COLUMN($O$1),FALSE)*VLOOKUP($D211,素材!$1:$1016,COLUMN($E$1),FALSE)/(LEN(VLOOKUP($D211,素材!$1:$1016,COLUMN($F$1),FALSE))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H211">
        <f>IF(ISNUMBER(SEARCH(SUBSTITUTE(AH$1,RIGHT(AH$1,2),""),VLOOKUP($D211,素材!$1:$1016,COLUMN($F$1),FALSE))),VLOOKUP($C211,装備品!$1:$998,COLUMN($O$1),FALSE)*VLOOKUP($D211,素材!$1:$1016,COLUMN($E$1),FALSE)/(LEN(VLOOKUP($D211,素材!$1:$1016,COLUMN($F$1),FALSE))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I211">
        <f>IF(ISNUMBER(SEARCH(SUBSTITUTE(AI$1,RIGHT(AI$1,2),""),VLOOKUP($D211,素材!$1:$1016,COLUMN($F$1),FALSE))),VLOOKUP($C211,装備品!$1:$998,COLUMN($O$1),FALSE)*VLOOKUP($D211,素材!$1:$1016,COLUMN($E$1),FALSE)/(LEN(VLOOKUP($D211,素材!$1:$1016,COLUMN($F$1),FALSE))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J211">
        <f>IF(ISNUMBER(SEARCH(SUBSTITUTE(AJ$1,RIGHT(AJ$1,2),""),VLOOKUP($D211,素材!$1:$1016,COLUMN($F$1),FALSE))),VLOOKUP($C211,装備品!$1:$998,COLUMN($O$1),FALSE)*VLOOKUP($D211,素材!$1:$1016,COLUMN($E$1),FALSE)/(LEN(VLOOKUP($D211,素材!$1:$1016,COLUMN($F$1),FALSE))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K211">
        <f>IF(ISNUMBER(SEARCH(SUBSTITUTE(AK$1,RIGHT(AK$1,2),""),VLOOKUP($D211,素材!$1:$1016,COLUMN($F$1),FALSE))),VLOOKUP($C211,装備品!$1:$998,COLUMN($O$1),FALSE)*VLOOKUP($D211,素材!$1:$1016,COLUMN($E$1),FALSE)/(LEN(VLOOKUP($D211,素材!$1:$1016,COLUMN($F$1),FALSE))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L211">
        <f>IF(ISNUMBER(SEARCH(SUBSTITUTE(AL$1,RIGHT(AL$1,2),""),VLOOKUP($D211,素材!$1:$1016,COLUMN($F$1),FALSE))),VLOOKUP($C211,装備品!$1:$998,COLUMN($O$1),FALSE)*VLOOKUP($D211,素材!$1:$1016,COLUMN($E$1),FALSE)/(LEN(VLOOKUP($D211,素材!$1:$1016,COLUMN($F$1),FALSE))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M211">
        <f>IF(ISNUMBER(SEARCH(SUBSTITUTE(AM$1,RIGHT(AM$1,2),""),VLOOKUP($D211,素材!$1:$1016,COLUMN($F$1),FALSE))),VLOOKUP($C211,装備品!$1:$998,COLUMN($O$1),FALSE)*VLOOKUP($D211,素材!$1:$1016,COLUMN($E$1),FALSE)/(LEN(VLOOKUP($D211,素材!$1:$1016,COLUMN($F$1),FALSE))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N211">
        <f>IF(ISNUMBER(SEARCH(SUBSTITUTE(AN$1,RIGHT(AN$1,2),""),VLOOKUP($D211,素材!$1:$1016,COLUMN($F$1),FALSE))),VLOOKUP($C211,装備品!$1:$998,COLUMN($O$1),FALSE)*VLOOKUP($D211,素材!$1:$1016,COLUMN($E$1),FALSE)/(LEN(VLOOKUP($D211,素材!$1:$1016,COLUMN($F$1),FALSE))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O211">
        <f>IF(ISNUMBER(SEARCH(SUBSTITUTE(AO$1,RIGHT(AO$1,2),""),VLOOKUP($D211,素材!$1:$1016,COLUMN($F$1),FALSE))),VLOOKUP($C211,装備品!$1:$998,COLUMN($O$1),FALSE)*VLOOKUP($D211,素材!$1:$1016,COLUMN($E$1),FALSE)/(LEN(VLOOKUP($D211,素材!$1:$1016,COLUMN($F$1),FALSE))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P211">
        <f>IF(ISNUMBER(SEARCH(SUBSTITUTE(AP$1,RIGHT(AP$1,2),""),VLOOKUP($D211,素材!$1:$1016,COLUMN($F$1),FALSE))),VLOOKUP($C211,装備品!$1:$998,COLUMN($O$1),FALSE)*VLOOKUP($D211,素材!$1:$1016,COLUMN($E$1),FALSE)/(LEN(VLOOKUP($D211,素材!$1:$1016,COLUMN($F$1),FALSE))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Q211">
        <f>IF(ISNUMBER(SEARCH(SUBSTITUTE(AQ$1,RIGHT(AQ$1,2),""),VLOOKUP($D211,素材!$1:$1016,COLUMN($F$1),FALSE))),VLOOKUP($C211,装備品!$1:$998,COLUMN($O$1),FALSE)*VLOOKUP($D211,素材!$1:$1016,COLUMN($E$1),FALSE)/(LEN(VLOOKUP($D211,素材!$1:$1016,COLUMN($F$1),FALSE))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R211">
        <f>IF(ISNUMBER(SEARCH(SUBSTITUTE(AR$1,RIGHT(AR$1,2),""),VLOOKUP($D211,素材!$1:$1016,COLUMN($F$1),FALSE))),VLOOKUP($C211,装備品!$1:$998,COLUMN($O$1),FALSE)*VLOOKUP($D211,素材!$1:$1016,COLUMN($E$1),FALSE)/(LEN(VLOOKUP($D211,素材!$1:$1016,COLUMN($F$1),FALSE))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S211">
        <f>IF(ISNUMBER(SEARCH(SUBSTITUTE(AS$1,RIGHT(AS$1,2),""),VLOOKUP($D211,素材!$1:$1016,COLUMN($F$1),FALSE))),VLOOKUP($C211,装備品!$1:$998,COLUMN($O$1),FALSE)*VLOOKUP($D211,素材!$1:$1016,COLUMN($E$1),FALSE)/(LEN(VLOOKUP($D211,素材!$1:$1016,COLUMN($F$1),FALSE))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T211">
        <f>IF(ISNUMBER(SEARCH(SUBSTITUTE(AT$1,RIGHT(AT$1,2),""),VLOOKUP($D211,素材!$1:$1016,COLUMN($F$1),FALSE))),VLOOKUP($C211,装備品!$1:$998,COLUMN($O$1),FALSE)*VLOOKUP($D211,素材!$1:$1016,COLUMN($E$1),FALSE)/(LEN(VLOOKUP($D211,素材!$1:$1016,COLUMN($F$1),FALSE))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U211">
        <f>IF(ISNUMBER(SEARCH(SUBSTITUTE(AU$1,RIGHT(AU$1,2),""),VLOOKUP($D211,素材!$1:$1016,COLUMN($F$1),FALSE))),VLOOKUP($C211,装備品!$1:$998,COLUMN($O$1),FALSE)*VLOOKUP($D211,素材!$1:$1016,COLUMN($E$1),FALSE)/(LEN(VLOOKUP($D211,素材!$1:$1016,COLUMN($F$1),FALSE))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V211">
        <f>IF(ISNUMBER(SEARCH(SUBSTITUTE(AV$1,RIGHT(AV$1,2),""),VLOOKUP($D211,素材!$1:$1016,COLUMN($F$1),FALSE))),VLOOKUP($C211,装備品!$1:$998,COLUMN($O$1),FALSE)*VLOOKUP($D211,素材!$1:$1016,COLUMN($E$1),FALSE)/(LEN(VLOOKUP($D211,素材!$1:$1016,COLUMN($F$1),FALSE))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W211">
        <f>IF(ISNUMBER(SEARCH(SUBSTITUTE(AW$1,RIGHT(AW$1,2),""),VLOOKUP($D211,素材!$1:$1016,COLUMN($F$1),FALSE))),VLOOKUP($C211,装備品!$1:$998,COLUMN($O$1),FALSE)*VLOOKUP($D211,素材!$1:$1016,COLUMN($E$1),FALSE)/(LEN(VLOOKUP($D211,素材!$1:$1016,COLUMN($F$1),FALSE))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X211">
        <f>IF(ISNUMBER(SEARCH(SUBSTITUTE(AX$1,RIGHT(AX$1,2),""),VLOOKUP($D211,素材!$1:$1016,COLUMN($F$1),FALSE))),VLOOKUP($C211,装備品!$1:$998,COLUMN($O$1),FALSE)*VLOOKUP($D211,素材!$1:$1016,COLUMN($E$1),FALSE)/(LEN(VLOOKUP($D211,素材!$1:$1016,COLUMN($F$1),FALSE))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Y211">
        <f>IF(ISNUMBER(SEARCH(SUBSTITUTE(AY$1,RIGHT(AY$1,2),""),VLOOKUP($D211,素材!$1:$1016,COLUMN($F$1),FALSE))),VLOOKUP($C211,装備品!$1:$998,COLUMN($O$1),FALSE)*VLOOKUP($D211,素材!$1:$1016,COLUMN($E$1),FALSE)/(LEN(VLOOKUP($D211,素材!$1:$1016,COLUMN($F$1),FALSE))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Z211">
        <f>IF(ISNUMBER(SEARCH(SUBSTITUTE(AZ$1,RIGHT(AZ$1,2),""),VLOOKUP($D211,素材!$1:$1016,COLUMN($F$1),FALSE))),VLOOKUP($C211,装備品!$1:$998,COLUMN($O$1),FALSE)*VLOOKUP($D211,素材!$1:$1016,COLUMN($E$1),FALSE)/(LEN(VLOOKUP($D211,素材!$1:$1016,COLUMN($F$1),FALSE))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BA211">
        <f>IF(ISNUMBER(SEARCH(SUBSTITUTE(BA$1,RIGHT(BA$1,2),""),VLOOKUP($D211,素材!$1:$1016,COLUMN($F$1),FALSE))),VLOOKUP($C211,装備品!$1:$998,COLUMN($O$1),FALSE)*VLOOKUP($D211,素材!$1:$1016,COLUMN($E$1),FALSE)/(LEN(VLOOKUP($D211,素材!$1:$1016,COLUMN($F$1),FALSE))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BB211">
        <f>IF(ISNUMBER(SEARCH(SUBSTITUTE(BB$1,RIGHT(BB$1,2),""),VLOOKUP($D211,素材!$1:$1016,COLUMN($F$1),FALSE))),VLOOKUP($C211,装備品!$1:$998,COLUMN($O$1),FALSE)*VLOOKUP($D211,素材!$1:$1016,COLUMN($E$1),FALSE)/(LEN(VLOOKUP($D211,素材!$1:$1016,COLUMN($F$1),FALSE))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BC211">
        <f>IF(ISNUMBER(SEARCH(SUBSTITUTE(BC$1,RIGHT(BC$1,2),""),VLOOKUP($D211,素材!$1:$1016,COLUMN($F$1),FALSE))),VLOOKUP($C211,装備品!$1:$998,COLUMN($O$1),FALSE)*VLOOKUP($D211,素材!$1:$1016,COLUMN($E$1),FALSE)/(LEN(VLOOKUP($D211,素材!$1:$1016,COLUMN($F$1),FALSE))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BD211">
        <f>IF(ISNUMBER(SEARCH(SUBSTITUTE(BD$1,RIGHT(BD$1,2),""),VLOOKUP($D211,素材!$1:$1016,COLUMN($F$1),FALSE))),VLOOKUP($C211,装備品!$1:$998,COLUMN($O$1),FALSE)*VLOOKUP($D211,素材!$1:$1016,COLUMN($E$1),FALSE)/(LEN(VLOOKUP($D211,素材!$1:$1016,COLUMN($F$1),FALSE))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BE211">
        <f>IF(ISNUMBER(SEARCH(SUBSTITUTE(BE$1,RIGHT(BE$1,2),""),VLOOKUP($D211,素材!$1:$1016,COLUMN($F$1),FALSE))),VLOOKUP($C211,装備品!$1:$998,COLUMN($O$1),FALSE)*VLOOKUP($D211,素材!$1:$1016,COLUMN($E$1),FALSE)/(LEN(VLOOKUP($D211,素材!$1:$1016,COLUMN($F$1),FALSE))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CL211">
        <f t="shared" si="35"/>
        <v>24</v>
      </c>
      <c r="CM211" s="22" t="str">
        <f t="shared" si="36"/>
        <v>打撃.webp</v>
      </c>
      <c r="CN211">
        <f>IFERROR(VLOOKUP($C211,装備品!$1:$998,COLUMN(V$1),FALSE)*VLOOKUP($D211,素材!$1:$1016,COLUMN(N$1),FALSE)+IF(CI211="",0,VLOOKUP($CI211,付与!$1:$1176,COLUMN($CK$1),FALSE)),"")</f>
        <v>0</v>
      </c>
      <c r="CO211">
        <f>VLOOKUP(D211,素材!$A:$O,COLUMN(素材!O$1),FALSE)</f>
        <v>0</v>
      </c>
      <c r="CP211" t="str">
        <f>VLOOKUP(C211,装備品!$A:$AB,COLUMN(装備品!AB$1),FALSE)</f>
        <v>戦鎚。重い打撃を与える強力な武器。</v>
      </c>
      <c r="CR211" t="str">
        <f t="shared" si="37"/>
        <v>e_211</v>
      </c>
      <c r="CS211">
        <f t="shared" si="38"/>
        <v>0</v>
      </c>
    </row>
    <row r="212" spans="1:97" outlineLevel="1" x14ac:dyDescent="0.4">
      <c r="A212" t="str">
        <f t="shared" si="34"/>
        <v>冷気鉄の鎌</v>
      </c>
      <c r="B212" t="str">
        <f>IFERROR(VLOOKUP($D212,素材!$1:$1016,COLUMN($B$1),FALSE)&amp;"・"&amp;VLOOKUP($C212,装備品!$1:$998,COLUMN(B$1),FALSE),"")</f>
        <v>ドゥララン・シックル</v>
      </c>
      <c r="C212" t="s">
        <v>224</v>
      </c>
      <c r="D212" s="24" t="s">
        <v>242</v>
      </c>
      <c r="E212" t="str">
        <f>IFERROR(VLOOKUP(C212,装備品!$1:$998,COLUMN(C$1),FALSE),"")</f>
        <v>武器</v>
      </c>
      <c r="F212">
        <f>IFERROR(ROUNDDOWN((VLOOKUP($C212,装備品!$1:$998,COLUMN(D$1),FALSE)+IFERROR(VLOOKUP($CI212,付与!$1:$1167,COLUMN(F$1),FALSE),0))*VLOOKUP($D212,素材!$1:$1016,COLUMN(D$1),FALSE),0),"")</f>
        <v>125</v>
      </c>
      <c r="G212">
        <f>IFERROR(ROUNDDOWN((VLOOKUP($C212,装備品!$1:$998,COLUMN(E$1),FALSE)+IFERROR(VLOOKUP($CI212,付与!$1:$1167,COLUMN(G$1),FALSE),0))*VLOOKUP($D212,素材!$1:$1016,COLUMN($E$1),FALSE),0),"")</f>
        <v>9</v>
      </c>
      <c r="H212">
        <f>IFERROR(ROUNDDOWN((VLOOKUP($C212,装備品!$1:$998,COLUMN(F$1),FALSE)+IFERROR(VLOOKUP($CI212,付与!$1:$1167,COLUMN(H$1),FALSE),0))*VLOOKUP($D212,素材!$1:$1016,COLUMN($E$1),FALSE),0),"")</f>
        <v>11</v>
      </c>
      <c r="I212">
        <f>IFERROR(ROUNDDOWN((VLOOKUP($C212,装備品!$1:$998,COLUMN(G$1),FALSE)+IFERROR(VLOOKUP($CI212,付与!$1:$1167,COLUMN(I$1),FALSE),0))*VLOOKUP($D212,素材!$1:$1016,COLUMN($E$1),FALSE),0),"")</f>
        <v>1</v>
      </c>
      <c r="J212">
        <f>IFERROR(ROUNDDOWN((VLOOKUP($C212,装備品!$1:$998,COLUMN(H$1),FALSE)+IFERROR(VLOOKUP($CI212,付与!$1:$1167,COLUMN(J$1),FALSE),0))*VLOOKUP($D212,素材!$1:$1016,COLUMN($E$1),FALSE),0),"")</f>
        <v>17</v>
      </c>
      <c r="K212">
        <f>IFERROR(ROUNDDOWN((VLOOKUP($C212,装備品!$1:$998,COLUMN(I$1),FALSE)+IFERROR(VLOOKUP($CI212,付与!$1:$1167,COLUMN(K$1),FALSE),0))*VLOOKUP($D212,素材!$1:$1016,COLUMN($E$1),FALSE),0),"")</f>
        <v>0</v>
      </c>
      <c r="L212" t="str">
        <f>IFERROR(VLOOKUP($D212,素材!$1:$1016,COLUMN($F$1),FALSE),"")</f>
        <v>氷</v>
      </c>
      <c r="M212">
        <f>IFERROR(VLOOKUP($C212,装備品!$1:$998,COLUMN(AA$1),FALSE)*VLOOKUP($D212,素材!$1:$1016,COLUMN($G$1),FALSE),"")</f>
        <v>70</v>
      </c>
      <c r="N212">
        <f>IFERROR(VLOOKUP($C212,装備品!$1:$998,COLUMN(I$1),FALSE),"")</f>
        <v>0</v>
      </c>
      <c r="O212" s="23">
        <f>IFERROR((VLOOKUP($C212,装備品!$1:$998,COLUMN(K$1),FALSE)+VLOOKUP($D212,素材!$1:$1016,COLUMN(H$1),FALSE))*100+IFERROR(VLOOKUP($CI212,付与!$1:$1167,COLUMN(O$1),FALSE),0),"")</f>
        <v>5</v>
      </c>
      <c r="P212" s="23">
        <f>IFERROR((VLOOKUP($C212,装備品!$1:$998,COLUMN(L$1),FALSE)+VLOOKUP($D212,素材!$1:$1016,COLUMN(I$1),FALSE))*100+IFERROR(VLOOKUP($CI212,付与!$1:$1167,COLUMN(P$1),FALSE),0),"")</f>
        <v>200</v>
      </c>
      <c r="Q212">
        <f>IFERROR(ROUNDUP(VLOOKUP($C212,装備品!$1:$998,COLUMN(M$1),FALSE)*(VLOOKUP($D212,素材!$1:$1002,COLUMN(D$1),FALSE)/100),1),"")</f>
        <v>0</v>
      </c>
      <c r="R212">
        <f>IFERROR(ROUNDUP(VLOOKUP($C212,装備品!$1:$998,COLUMN(N$1),FALSE)*(VLOOKUP($D212,素材!$1:$1002,COLUMN(D$1),FALSE)/100),1),"")</f>
        <v>0</v>
      </c>
      <c r="S212">
        <f>IFERROR(VLOOKUP($C212,装備品!$1:$998,COLUMN(P$1),FALSE),"")</f>
        <v>0</v>
      </c>
      <c r="T212">
        <f>IFERROR(VLOOKUP($C212,装備品!$1:$998,COLUMN(Q$1),FALSE),"")</f>
        <v>0</v>
      </c>
      <c r="U212">
        <f>IFERROR(VLOOKUP($C212,装備品!$1:$998,COLUMN(R$1),FALSE),"")</f>
        <v>0</v>
      </c>
      <c r="V212">
        <f>IFERROR(VLOOKUP($C212,装備品!$1:$998,COLUMN(Q$1),FALSE),"")</f>
        <v>0</v>
      </c>
      <c r="W212">
        <f>IFERROR(VLOOKUP($C212,装備品!$1:$998,COLUMN(T$1),FALSE),"")</f>
        <v>0</v>
      </c>
      <c r="Y212">
        <f>IFERROR(VLOOKUP($C212,装備品!$1:$998,COLUMN(U$1),FALSE),"")</f>
        <v>0</v>
      </c>
      <c r="Z212">
        <f>IFERROR(ROUNDUP(VLOOKUP($C212,装備品!$1:$998,COLUMN(O$1),FALSE)*VLOOKUP($D212,素材!$1:$1016,COLUMN(E$1),FALSE),1),"")</f>
        <v>0</v>
      </c>
      <c r="AA212">
        <f>IF(ISNUMBER(SEARCH(SUBSTITUTE(AA$1,RIGHT(AA$1,2),""),VLOOKUP($D212,素材!$1:$1016,COLUMN($F$1),FALSE))),VLOOKUP($C212,装備品!$1:$998,COLUMN($O$1),FALSE)*VLOOKUP($D212,素材!$1:$1016,COLUMN($E$1),FALSE)/(LEN(VLOOKUP($D212,素材!$1:$1016,COLUMN($F$1),FALSE))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B212">
        <f>IF(ISNUMBER(SEARCH(SUBSTITUTE(AB$1,RIGHT(AB$1,2),""),VLOOKUP($D212,素材!$1:$1016,COLUMN($F$1),FALSE))),VLOOKUP($C212,装備品!$1:$998,COLUMN($O$1),FALSE)*VLOOKUP($D212,素材!$1:$1016,COLUMN($E$1),FALSE)/(LEN(VLOOKUP($D212,素材!$1:$1016,COLUMN($F$1),FALSE))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C212">
        <f>IF(ISNUMBER(SEARCH(SUBSTITUTE(AC$1,RIGHT(AC$1,2),""),VLOOKUP($D212,素材!$1:$1016,COLUMN($F$1),FALSE))),VLOOKUP($C212,装備品!$1:$998,COLUMN($O$1),FALSE)*VLOOKUP($D212,素材!$1:$1016,COLUMN($E$1),FALSE)/(LEN(VLOOKUP($D212,素材!$1:$1016,COLUMN($F$1),FALSE))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D212">
        <f>IF(ISNUMBER(SEARCH(SUBSTITUTE(AD$1,RIGHT(AD$1,2),""),VLOOKUP($D212,素材!$1:$1016,COLUMN($F$1),FALSE))),VLOOKUP($C212,装備品!$1:$998,COLUMN($O$1),FALSE)*VLOOKUP($D212,素材!$1:$1016,COLUMN($E$1),FALSE)/(LEN(VLOOKUP($D212,素材!$1:$1016,COLUMN($F$1),FALSE))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E212">
        <f>IF(ISNUMBER(SEARCH(SUBSTITUTE(AE$1,RIGHT(AE$1,2),""),VLOOKUP($D212,素材!$1:$1016,COLUMN($F$1),FALSE))),VLOOKUP($C212,装備品!$1:$998,COLUMN($O$1),FALSE)*VLOOKUP($D212,素材!$1:$1016,COLUMN($E$1),FALSE)/(LEN(VLOOKUP($D212,素材!$1:$1016,COLUMN($F$1),FALSE))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F212">
        <f>IF(ISNUMBER(SEARCH(SUBSTITUTE(AF$1,RIGHT(AF$1,2),""),VLOOKUP($D212,素材!$1:$1016,COLUMN($F$1),FALSE))),VLOOKUP($C212,装備品!$1:$998,COLUMN($O$1),FALSE)*VLOOKUP($D212,素材!$1:$1016,COLUMN($E$1),FALSE)/(LEN(VLOOKUP($D212,素材!$1:$1016,COLUMN($F$1),FALSE))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G212">
        <f>IF(ISNUMBER(SEARCH(SUBSTITUTE(AG$1,RIGHT(AG$1,2),""),VLOOKUP($D212,素材!$1:$1016,COLUMN($F$1),FALSE))),VLOOKUP($C212,装備品!$1:$998,COLUMN($O$1),FALSE)*VLOOKUP($D212,素材!$1:$1016,COLUMN($E$1),FALSE)/(LEN(VLOOKUP($D212,素材!$1:$1016,COLUMN($F$1),FALSE))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H212">
        <f>IF(ISNUMBER(SEARCH(SUBSTITUTE(AH$1,RIGHT(AH$1,2),""),VLOOKUP($D212,素材!$1:$1016,COLUMN($F$1),FALSE))),VLOOKUP($C212,装備品!$1:$998,COLUMN($O$1),FALSE)*VLOOKUP($D212,素材!$1:$1016,COLUMN($E$1),FALSE)/(LEN(VLOOKUP($D212,素材!$1:$1016,COLUMN($F$1),FALSE))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I212">
        <f>IF(ISNUMBER(SEARCH(SUBSTITUTE(AI$1,RIGHT(AI$1,2),""),VLOOKUP($D212,素材!$1:$1016,COLUMN($F$1),FALSE))),VLOOKUP($C212,装備品!$1:$998,COLUMN($O$1),FALSE)*VLOOKUP($D212,素材!$1:$1016,COLUMN($E$1),FALSE)/(LEN(VLOOKUP($D212,素材!$1:$1016,COLUMN($F$1),FALSE))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J212">
        <f>IF(ISNUMBER(SEARCH(SUBSTITUTE(AJ$1,RIGHT(AJ$1,2),""),VLOOKUP($D212,素材!$1:$1016,COLUMN($F$1),FALSE))),VLOOKUP($C212,装備品!$1:$998,COLUMN($O$1),FALSE)*VLOOKUP($D212,素材!$1:$1016,COLUMN($E$1),FALSE)/(LEN(VLOOKUP($D212,素材!$1:$1016,COLUMN($F$1),FALSE))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K212">
        <f>IF(ISNUMBER(SEARCH(SUBSTITUTE(AK$1,RIGHT(AK$1,2),""),VLOOKUP($D212,素材!$1:$1016,COLUMN($F$1),FALSE))),VLOOKUP($C212,装備品!$1:$998,COLUMN($O$1),FALSE)*VLOOKUP($D212,素材!$1:$1016,COLUMN($E$1),FALSE)/(LEN(VLOOKUP($D212,素材!$1:$1016,COLUMN($F$1),FALSE))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L212">
        <f>IF(ISNUMBER(SEARCH(SUBSTITUTE(AL$1,RIGHT(AL$1,2),""),VLOOKUP($D212,素材!$1:$1016,COLUMN($F$1),FALSE))),VLOOKUP($C212,装備品!$1:$998,COLUMN($O$1),FALSE)*VLOOKUP($D212,素材!$1:$1016,COLUMN($E$1),FALSE)/(LEN(VLOOKUP($D212,素材!$1:$1016,COLUMN($F$1),FALSE))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M212">
        <f>IF(ISNUMBER(SEARCH(SUBSTITUTE(AM$1,RIGHT(AM$1,2),""),VLOOKUP($D212,素材!$1:$1016,COLUMN($F$1),FALSE))),VLOOKUP($C212,装備品!$1:$998,COLUMN($O$1),FALSE)*VLOOKUP($D212,素材!$1:$1016,COLUMN($E$1),FALSE)/(LEN(VLOOKUP($D212,素材!$1:$1016,COLUMN($F$1),FALSE))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N212">
        <f>IF(ISNUMBER(SEARCH(SUBSTITUTE(AN$1,RIGHT(AN$1,2),""),VLOOKUP($D212,素材!$1:$1016,COLUMN($F$1),FALSE))),VLOOKUP($C212,装備品!$1:$998,COLUMN($O$1),FALSE)*VLOOKUP($D212,素材!$1:$1016,COLUMN($E$1),FALSE)/(LEN(VLOOKUP($D212,素材!$1:$1016,COLUMN($F$1),FALSE))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O212">
        <f>IF(ISNUMBER(SEARCH(SUBSTITUTE(AO$1,RIGHT(AO$1,2),""),VLOOKUP($D212,素材!$1:$1016,COLUMN($F$1),FALSE))),VLOOKUP($C212,装備品!$1:$998,COLUMN($O$1),FALSE)*VLOOKUP($D212,素材!$1:$1016,COLUMN($E$1),FALSE)/(LEN(VLOOKUP($D212,素材!$1:$1016,COLUMN($F$1),FALSE))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P212">
        <f>IF(ISNUMBER(SEARCH(SUBSTITUTE(AP$1,RIGHT(AP$1,2),""),VLOOKUP($D212,素材!$1:$1016,COLUMN($F$1),FALSE))),VLOOKUP($C212,装備品!$1:$998,COLUMN($O$1),FALSE)*VLOOKUP($D212,素材!$1:$1016,COLUMN($E$1),FALSE)/(LEN(VLOOKUP($D212,素材!$1:$1016,COLUMN($F$1),FALSE))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Q212">
        <f>IF(ISNUMBER(SEARCH(SUBSTITUTE(AQ$1,RIGHT(AQ$1,2),""),VLOOKUP($D212,素材!$1:$1016,COLUMN($F$1),FALSE))),VLOOKUP($C212,装備品!$1:$998,COLUMN($O$1),FALSE)*VLOOKUP($D212,素材!$1:$1016,COLUMN($E$1),FALSE)/(LEN(VLOOKUP($D212,素材!$1:$1016,COLUMN($F$1),FALSE))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R212">
        <f>IF(ISNUMBER(SEARCH(SUBSTITUTE(AR$1,RIGHT(AR$1,2),""),VLOOKUP($D212,素材!$1:$1016,COLUMN($F$1),FALSE))),VLOOKUP($C212,装備品!$1:$998,COLUMN($O$1),FALSE)*VLOOKUP($D212,素材!$1:$1016,COLUMN($E$1),FALSE)/(LEN(VLOOKUP($D212,素材!$1:$1016,COLUMN($F$1),FALSE))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S212">
        <f>IF(ISNUMBER(SEARCH(SUBSTITUTE(AS$1,RIGHT(AS$1,2),""),VLOOKUP($D212,素材!$1:$1016,COLUMN($F$1),FALSE))),VLOOKUP($C212,装備品!$1:$998,COLUMN($O$1),FALSE)*VLOOKUP($D212,素材!$1:$1016,COLUMN($E$1),FALSE)/(LEN(VLOOKUP($D212,素材!$1:$1016,COLUMN($F$1),FALSE))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T212">
        <f>IF(ISNUMBER(SEARCH(SUBSTITUTE(AT$1,RIGHT(AT$1,2),""),VLOOKUP($D212,素材!$1:$1016,COLUMN($F$1),FALSE))),VLOOKUP($C212,装備品!$1:$998,COLUMN($O$1),FALSE)*VLOOKUP($D212,素材!$1:$1016,COLUMN($E$1),FALSE)/(LEN(VLOOKUP($D212,素材!$1:$1016,COLUMN($F$1),FALSE))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U212">
        <f>IF(ISNUMBER(SEARCH(SUBSTITUTE(AU$1,RIGHT(AU$1,2),""),VLOOKUP($D212,素材!$1:$1016,COLUMN($F$1),FALSE))),VLOOKUP($C212,装備品!$1:$998,COLUMN($O$1),FALSE)*VLOOKUP($D212,素材!$1:$1016,COLUMN($E$1),FALSE)/(LEN(VLOOKUP($D212,素材!$1:$1016,COLUMN($F$1),FALSE))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V212">
        <f>IF(ISNUMBER(SEARCH(SUBSTITUTE(AV$1,RIGHT(AV$1,2),""),VLOOKUP($D212,素材!$1:$1016,COLUMN($F$1),FALSE))),VLOOKUP($C212,装備品!$1:$998,COLUMN($O$1),FALSE)*VLOOKUP($D212,素材!$1:$1016,COLUMN($E$1),FALSE)/(LEN(VLOOKUP($D212,素材!$1:$1016,COLUMN($F$1),FALSE))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W212">
        <f>IF(ISNUMBER(SEARCH(SUBSTITUTE(AW$1,RIGHT(AW$1,2),""),VLOOKUP($D212,素材!$1:$1016,COLUMN($F$1),FALSE))),VLOOKUP($C212,装備品!$1:$998,COLUMN($O$1),FALSE)*VLOOKUP($D212,素材!$1:$1016,COLUMN($E$1),FALSE)/(LEN(VLOOKUP($D212,素材!$1:$1016,COLUMN($F$1),FALSE))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X212">
        <f>IF(ISNUMBER(SEARCH(SUBSTITUTE(AX$1,RIGHT(AX$1,2),""),VLOOKUP($D212,素材!$1:$1016,COLUMN($F$1),FALSE))),VLOOKUP($C212,装備品!$1:$998,COLUMN($O$1),FALSE)*VLOOKUP($D212,素材!$1:$1016,COLUMN($E$1),FALSE)/(LEN(VLOOKUP($D212,素材!$1:$1016,COLUMN($F$1),FALSE))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Y212">
        <f>IF(ISNUMBER(SEARCH(SUBSTITUTE(AY$1,RIGHT(AY$1,2),""),VLOOKUP($D212,素材!$1:$1016,COLUMN($F$1),FALSE))),VLOOKUP($C212,装備品!$1:$998,COLUMN($O$1),FALSE)*VLOOKUP($D212,素材!$1:$1016,COLUMN($E$1),FALSE)/(LEN(VLOOKUP($D212,素材!$1:$1016,COLUMN($F$1),FALSE))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Z212">
        <f>IF(ISNUMBER(SEARCH(SUBSTITUTE(AZ$1,RIGHT(AZ$1,2),""),VLOOKUP($D212,素材!$1:$1016,COLUMN($F$1),FALSE))),VLOOKUP($C212,装備品!$1:$998,COLUMN($O$1),FALSE)*VLOOKUP($D212,素材!$1:$1016,COLUMN($E$1),FALSE)/(LEN(VLOOKUP($D212,素材!$1:$1016,COLUMN($F$1),FALSE))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BA212">
        <f>IF(ISNUMBER(SEARCH(SUBSTITUTE(BA$1,RIGHT(BA$1,2),""),VLOOKUP($D212,素材!$1:$1016,COLUMN($F$1),FALSE))),VLOOKUP($C212,装備品!$1:$998,COLUMN($O$1),FALSE)*VLOOKUP($D212,素材!$1:$1016,COLUMN($E$1),FALSE)/(LEN(VLOOKUP($D212,素材!$1:$1016,COLUMN($F$1),FALSE))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BB212">
        <f>IF(ISNUMBER(SEARCH(SUBSTITUTE(BB$1,RIGHT(BB$1,2),""),VLOOKUP($D212,素材!$1:$1016,COLUMN($F$1),FALSE))),VLOOKUP($C212,装備品!$1:$998,COLUMN($O$1),FALSE)*VLOOKUP($D212,素材!$1:$1016,COLUMN($E$1),FALSE)/(LEN(VLOOKUP($D212,素材!$1:$1016,COLUMN($F$1),FALSE))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BC212">
        <f>IF(ISNUMBER(SEARCH(SUBSTITUTE(BC$1,RIGHT(BC$1,2),""),VLOOKUP($D212,素材!$1:$1016,COLUMN($F$1),FALSE))),VLOOKUP($C212,装備品!$1:$998,COLUMN($O$1),FALSE)*VLOOKUP($D212,素材!$1:$1016,COLUMN($E$1),FALSE)/(LEN(VLOOKUP($D212,素材!$1:$1016,COLUMN($F$1),FALSE))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BD212">
        <f>IF(ISNUMBER(SEARCH(SUBSTITUTE(BD$1,RIGHT(BD$1,2),""),VLOOKUP($D212,素材!$1:$1016,COLUMN($F$1),FALSE))),VLOOKUP($C212,装備品!$1:$998,COLUMN($O$1),FALSE)*VLOOKUP($D212,素材!$1:$1016,COLUMN($E$1),FALSE)/(LEN(VLOOKUP($D212,素材!$1:$1016,COLUMN($F$1),FALSE))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BE212">
        <f>IF(ISNUMBER(SEARCH(SUBSTITUTE(BE$1,RIGHT(BE$1,2),""),VLOOKUP($D212,素材!$1:$1016,COLUMN($F$1),FALSE))),VLOOKUP($C212,装備品!$1:$998,COLUMN($O$1),FALSE)*VLOOKUP($D212,素材!$1:$1016,COLUMN($E$1),FALSE)/(LEN(VLOOKUP($D212,素材!$1:$1016,COLUMN($F$1),FALSE))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CL212">
        <f t="shared" si="35"/>
        <v>21</v>
      </c>
      <c r="CM212" s="22" t="str">
        <f t="shared" si="36"/>
        <v>貫通.webp</v>
      </c>
      <c r="CN212">
        <f>IFERROR(VLOOKUP($C212,装備品!$1:$998,COLUMN(V$1),FALSE)*VLOOKUP($D212,素材!$1:$1016,COLUMN(N$1),FALSE)+IF(CI212="",0,VLOOKUP($CI212,付与!$1:$1176,COLUMN($CK$1),FALSE)),"")</f>
        <v>0</v>
      </c>
      <c r="CO212">
        <f>VLOOKUP(D212,素材!$A:$O,COLUMN(素材!O$1),FALSE)</f>
        <v>0</v>
      </c>
      <c r="CP212" t="str">
        <f>VLOOKUP(C212,装備品!$A:$AB,COLUMN(装備品!AB$1),FALSE)</f>
        <v>鎌。農具を転用した武器で、鋭い斬撃を与える。</v>
      </c>
      <c r="CR212" t="str">
        <f t="shared" si="37"/>
        <v>e_212</v>
      </c>
      <c r="CS212">
        <f t="shared" si="38"/>
        <v>0</v>
      </c>
    </row>
    <row r="213" spans="1:97" outlineLevel="1" x14ac:dyDescent="0.4">
      <c r="A213" t="str">
        <f t="shared" si="34"/>
        <v>冷気鉄の戦斧</v>
      </c>
      <c r="B213" t="str">
        <f>IFERROR(VLOOKUP($D213,素材!$1:$1016,COLUMN($B$1),FALSE)&amp;"・"&amp;VLOOKUP($C213,装備品!$1:$998,COLUMN(B$1),FALSE),"")</f>
        <v>ドゥララン・バトルアックス</v>
      </c>
      <c r="C213" t="s">
        <v>223</v>
      </c>
      <c r="D213" s="24" t="s">
        <v>242</v>
      </c>
      <c r="E213" t="str">
        <f>IFERROR(VLOOKUP(C213,装備品!$1:$998,COLUMN(C$1),FALSE),"")</f>
        <v>武器</v>
      </c>
      <c r="F213">
        <f>IFERROR(ROUNDDOWN((VLOOKUP($C213,装備品!$1:$998,COLUMN(D$1),FALSE)+IFERROR(VLOOKUP($CI213,付与!$1:$1167,COLUMN(F$1),FALSE),0))*VLOOKUP($D213,素材!$1:$1016,COLUMN(D$1),FALSE),0),"")</f>
        <v>115</v>
      </c>
      <c r="G213">
        <f>IFERROR(ROUNDDOWN((VLOOKUP($C213,装備品!$1:$998,COLUMN(E$1),FALSE)+IFERROR(VLOOKUP($CI213,付与!$1:$1167,COLUMN(G$1),FALSE),0))*VLOOKUP($D213,素材!$1:$1016,COLUMN($E$1),FALSE),0),"")</f>
        <v>19</v>
      </c>
      <c r="H213">
        <f>IFERROR(ROUNDDOWN((VLOOKUP($C213,装備品!$1:$998,COLUMN(F$1),FALSE)+IFERROR(VLOOKUP($CI213,付与!$1:$1167,COLUMN(H$1),FALSE),0))*VLOOKUP($D213,素材!$1:$1016,COLUMN($E$1),FALSE),0),"")</f>
        <v>0</v>
      </c>
      <c r="I213">
        <f>IFERROR(ROUNDDOWN((VLOOKUP($C213,装備品!$1:$998,COLUMN(G$1),FALSE)+IFERROR(VLOOKUP($CI213,付与!$1:$1167,COLUMN(I$1),FALSE),0))*VLOOKUP($D213,素材!$1:$1016,COLUMN($E$1),FALSE),0),"")</f>
        <v>6</v>
      </c>
      <c r="J213">
        <f>IFERROR(ROUNDDOWN((VLOOKUP($C213,装備品!$1:$998,COLUMN(H$1),FALSE)+IFERROR(VLOOKUP($CI213,付与!$1:$1167,COLUMN(J$1),FALSE),0))*VLOOKUP($D213,素材!$1:$1016,COLUMN($E$1),FALSE),0),"")</f>
        <v>20</v>
      </c>
      <c r="K213">
        <f>IFERROR(ROUNDDOWN((VLOOKUP($C213,装備品!$1:$998,COLUMN(I$1),FALSE)+IFERROR(VLOOKUP($CI213,付与!$1:$1167,COLUMN(K$1),FALSE),0))*VLOOKUP($D213,素材!$1:$1016,COLUMN($E$1),FALSE),0),"")</f>
        <v>0</v>
      </c>
      <c r="L213" t="str">
        <f>IFERROR(VLOOKUP($D213,素材!$1:$1016,COLUMN($F$1),FALSE),"")</f>
        <v>氷</v>
      </c>
      <c r="M213">
        <f>IFERROR(VLOOKUP($C213,装備品!$1:$998,COLUMN(AA$1),FALSE)*VLOOKUP($D213,素材!$1:$1016,COLUMN($G$1),FALSE),"")</f>
        <v>70</v>
      </c>
      <c r="N213">
        <f>IFERROR(VLOOKUP($C213,装備品!$1:$998,COLUMN(I$1),FALSE),"")</f>
        <v>0</v>
      </c>
      <c r="O213" s="23">
        <f>IFERROR((VLOOKUP($C213,装備品!$1:$998,COLUMN(K$1),FALSE)+VLOOKUP($D213,素材!$1:$1016,COLUMN(H$1),FALSE))*100+IFERROR(VLOOKUP($CI213,付与!$1:$1167,COLUMN(O$1),FALSE),0),"")</f>
        <v>5</v>
      </c>
      <c r="P213" s="23">
        <f>IFERROR((VLOOKUP($C213,装備品!$1:$998,COLUMN(L$1),FALSE)+VLOOKUP($D213,素材!$1:$1016,COLUMN(I$1),FALSE))*100+IFERROR(VLOOKUP($CI213,付与!$1:$1167,COLUMN(P$1),FALSE),0),"")</f>
        <v>175</v>
      </c>
      <c r="Q213">
        <f>IFERROR(ROUNDUP(VLOOKUP($C213,装備品!$1:$998,COLUMN(M$1),FALSE)*(VLOOKUP($D213,素材!$1:$1002,COLUMN(D$1),FALSE)/100),1),"")</f>
        <v>-2.5</v>
      </c>
      <c r="R213">
        <f>IFERROR(ROUNDUP(VLOOKUP($C213,装備品!$1:$998,COLUMN(N$1),FALSE)*(VLOOKUP($D213,素材!$1:$1002,COLUMN(D$1),FALSE)/100),1),"")</f>
        <v>0</v>
      </c>
      <c r="S213">
        <f>IFERROR(VLOOKUP($C213,装備品!$1:$998,COLUMN(P$1),FALSE),"")</f>
        <v>0</v>
      </c>
      <c r="T213">
        <f>IFERROR(VLOOKUP($C213,装備品!$1:$998,COLUMN(Q$1),FALSE),"")</f>
        <v>0</v>
      </c>
      <c r="U213">
        <f>IFERROR(VLOOKUP($C213,装備品!$1:$998,COLUMN(R$1),FALSE),"")</f>
        <v>0</v>
      </c>
      <c r="V213">
        <f>IFERROR(VLOOKUP($C213,装備品!$1:$998,COLUMN(Q$1),FALSE),"")</f>
        <v>0</v>
      </c>
      <c r="W213">
        <f>IFERROR(VLOOKUP($C213,装備品!$1:$998,COLUMN(T$1),FALSE),"")</f>
        <v>0</v>
      </c>
      <c r="Y213">
        <f>IFERROR(VLOOKUP($C213,装備品!$1:$998,COLUMN(U$1),FALSE),"")</f>
        <v>0</v>
      </c>
      <c r="Z213">
        <f>IFERROR(ROUNDUP(VLOOKUP($C213,装備品!$1:$998,COLUMN(O$1),FALSE)*VLOOKUP($D213,素材!$1:$1016,COLUMN(E$1),FALSE),1),"")</f>
        <v>0</v>
      </c>
      <c r="AA213">
        <f>IF(ISNUMBER(SEARCH(SUBSTITUTE(AA$1,RIGHT(AA$1,2),""),VLOOKUP($D213,素材!$1:$1016,COLUMN($F$1),FALSE))),VLOOKUP($C213,装備品!$1:$998,COLUMN($O$1),FALSE)*VLOOKUP($D213,素材!$1:$1016,COLUMN($E$1),FALSE)/(LEN(VLOOKUP($D213,素材!$1:$1016,COLUMN($F$1),FALSE))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B213">
        <f>IF(ISNUMBER(SEARCH(SUBSTITUTE(AB$1,RIGHT(AB$1,2),""),VLOOKUP($D213,素材!$1:$1016,COLUMN($F$1),FALSE))),VLOOKUP($C213,装備品!$1:$998,COLUMN($O$1),FALSE)*VLOOKUP($D213,素材!$1:$1016,COLUMN($E$1),FALSE)/(LEN(VLOOKUP($D213,素材!$1:$1016,COLUMN($F$1),FALSE))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C213">
        <f>IF(ISNUMBER(SEARCH(SUBSTITUTE(AC$1,RIGHT(AC$1,2),""),VLOOKUP($D213,素材!$1:$1016,COLUMN($F$1),FALSE))),VLOOKUP($C213,装備品!$1:$998,COLUMN($O$1),FALSE)*VLOOKUP($D213,素材!$1:$1016,COLUMN($E$1),FALSE)/(LEN(VLOOKUP($D213,素材!$1:$1016,COLUMN($F$1),FALSE))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D213">
        <f>IF(ISNUMBER(SEARCH(SUBSTITUTE(AD$1,RIGHT(AD$1,2),""),VLOOKUP($D213,素材!$1:$1016,COLUMN($F$1),FALSE))),VLOOKUP($C213,装備品!$1:$998,COLUMN($O$1),FALSE)*VLOOKUP($D213,素材!$1:$1016,COLUMN($E$1),FALSE)/(LEN(VLOOKUP($D213,素材!$1:$1016,COLUMN($F$1),FALSE))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E213">
        <f>IF(ISNUMBER(SEARCH(SUBSTITUTE(AE$1,RIGHT(AE$1,2),""),VLOOKUP($D213,素材!$1:$1016,COLUMN($F$1),FALSE))),VLOOKUP($C213,装備品!$1:$998,COLUMN($O$1),FALSE)*VLOOKUP($D213,素材!$1:$1016,COLUMN($E$1),FALSE)/(LEN(VLOOKUP($D213,素材!$1:$1016,COLUMN($F$1),FALSE))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F213">
        <f>IF(ISNUMBER(SEARCH(SUBSTITUTE(AF$1,RIGHT(AF$1,2),""),VLOOKUP($D213,素材!$1:$1016,COLUMN($F$1),FALSE))),VLOOKUP($C213,装備品!$1:$998,COLUMN($O$1),FALSE)*VLOOKUP($D213,素材!$1:$1016,COLUMN($E$1),FALSE)/(LEN(VLOOKUP($D213,素材!$1:$1016,COLUMN($F$1),FALSE))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G213">
        <f>IF(ISNUMBER(SEARCH(SUBSTITUTE(AG$1,RIGHT(AG$1,2),""),VLOOKUP($D213,素材!$1:$1016,COLUMN($F$1),FALSE))),VLOOKUP($C213,装備品!$1:$998,COLUMN($O$1),FALSE)*VLOOKUP($D213,素材!$1:$1016,COLUMN($E$1),FALSE)/(LEN(VLOOKUP($D213,素材!$1:$1016,COLUMN($F$1),FALSE))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H213">
        <f>IF(ISNUMBER(SEARCH(SUBSTITUTE(AH$1,RIGHT(AH$1,2),""),VLOOKUP($D213,素材!$1:$1016,COLUMN($F$1),FALSE))),VLOOKUP($C213,装備品!$1:$998,COLUMN($O$1),FALSE)*VLOOKUP($D213,素材!$1:$1016,COLUMN($E$1),FALSE)/(LEN(VLOOKUP($D213,素材!$1:$1016,COLUMN($F$1),FALSE))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I213">
        <f>IF(ISNUMBER(SEARCH(SUBSTITUTE(AI$1,RIGHT(AI$1,2),""),VLOOKUP($D213,素材!$1:$1016,COLUMN($F$1),FALSE))),VLOOKUP($C213,装備品!$1:$998,COLUMN($O$1),FALSE)*VLOOKUP($D213,素材!$1:$1016,COLUMN($E$1),FALSE)/(LEN(VLOOKUP($D213,素材!$1:$1016,COLUMN($F$1),FALSE))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J213">
        <f>IF(ISNUMBER(SEARCH(SUBSTITUTE(AJ$1,RIGHT(AJ$1,2),""),VLOOKUP($D213,素材!$1:$1016,COLUMN($F$1),FALSE))),VLOOKUP($C213,装備品!$1:$998,COLUMN($O$1),FALSE)*VLOOKUP($D213,素材!$1:$1016,COLUMN($E$1),FALSE)/(LEN(VLOOKUP($D213,素材!$1:$1016,COLUMN($F$1),FALSE))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K213">
        <f>IF(ISNUMBER(SEARCH(SUBSTITUTE(AK$1,RIGHT(AK$1,2),""),VLOOKUP($D213,素材!$1:$1016,COLUMN($F$1),FALSE))),VLOOKUP($C213,装備品!$1:$998,COLUMN($O$1),FALSE)*VLOOKUP($D213,素材!$1:$1016,COLUMN($E$1),FALSE)/(LEN(VLOOKUP($D213,素材!$1:$1016,COLUMN($F$1),FALSE))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L213">
        <f>IF(ISNUMBER(SEARCH(SUBSTITUTE(AL$1,RIGHT(AL$1,2),""),VLOOKUP($D213,素材!$1:$1016,COLUMN($F$1),FALSE))),VLOOKUP($C213,装備品!$1:$998,COLUMN($O$1),FALSE)*VLOOKUP($D213,素材!$1:$1016,COLUMN($E$1),FALSE)/(LEN(VLOOKUP($D213,素材!$1:$1016,COLUMN($F$1),FALSE))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M213">
        <f>IF(ISNUMBER(SEARCH(SUBSTITUTE(AM$1,RIGHT(AM$1,2),""),VLOOKUP($D213,素材!$1:$1016,COLUMN($F$1),FALSE))),VLOOKUP($C213,装備品!$1:$998,COLUMN($O$1),FALSE)*VLOOKUP($D213,素材!$1:$1016,COLUMN($E$1),FALSE)/(LEN(VLOOKUP($D213,素材!$1:$1016,COLUMN($F$1),FALSE))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N213">
        <f>IF(ISNUMBER(SEARCH(SUBSTITUTE(AN$1,RIGHT(AN$1,2),""),VLOOKUP($D213,素材!$1:$1016,COLUMN($F$1),FALSE))),VLOOKUP($C213,装備品!$1:$998,COLUMN($O$1),FALSE)*VLOOKUP($D213,素材!$1:$1016,COLUMN($E$1),FALSE)/(LEN(VLOOKUP($D213,素材!$1:$1016,COLUMN($F$1),FALSE))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O213">
        <f>IF(ISNUMBER(SEARCH(SUBSTITUTE(AO$1,RIGHT(AO$1,2),""),VLOOKUP($D213,素材!$1:$1016,COLUMN($F$1),FALSE))),VLOOKUP($C213,装備品!$1:$998,COLUMN($O$1),FALSE)*VLOOKUP($D213,素材!$1:$1016,COLUMN($E$1),FALSE)/(LEN(VLOOKUP($D213,素材!$1:$1016,COLUMN($F$1),FALSE))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P213">
        <f>IF(ISNUMBER(SEARCH(SUBSTITUTE(AP$1,RIGHT(AP$1,2),""),VLOOKUP($D213,素材!$1:$1016,COLUMN($F$1),FALSE))),VLOOKUP($C213,装備品!$1:$998,COLUMN($O$1),FALSE)*VLOOKUP($D213,素材!$1:$1016,COLUMN($E$1),FALSE)/(LEN(VLOOKUP($D213,素材!$1:$1016,COLUMN($F$1),FALSE))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Q213">
        <f>IF(ISNUMBER(SEARCH(SUBSTITUTE(AQ$1,RIGHT(AQ$1,2),""),VLOOKUP($D213,素材!$1:$1016,COLUMN($F$1),FALSE))),VLOOKUP($C213,装備品!$1:$998,COLUMN($O$1),FALSE)*VLOOKUP($D213,素材!$1:$1016,COLUMN($E$1),FALSE)/(LEN(VLOOKUP($D213,素材!$1:$1016,COLUMN($F$1),FALSE))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R213">
        <f>IF(ISNUMBER(SEARCH(SUBSTITUTE(AR$1,RIGHT(AR$1,2),""),VLOOKUP($D213,素材!$1:$1016,COLUMN($F$1),FALSE))),VLOOKUP($C213,装備品!$1:$998,COLUMN($O$1),FALSE)*VLOOKUP($D213,素材!$1:$1016,COLUMN($E$1),FALSE)/(LEN(VLOOKUP($D213,素材!$1:$1016,COLUMN($F$1),FALSE))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S213">
        <f>IF(ISNUMBER(SEARCH(SUBSTITUTE(AS$1,RIGHT(AS$1,2),""),VLOOKUP($D213,素材!$1:$1016,COLUMN($F$1),FALSE))),VLOOKUP($C213,装備品!$1:$998,COLUMN($O$1),FALSE)*VLOOKUP($D213,素材!$1:$1016,COLUMN($E$1),FALSE)/(LEN(VLOOKUP($D213,素材!$1:$1016,COLUMN($F$1),FALSE))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T213">
        <f>IF(ISNUMBER(SEARCH(SUBSTITUTE(AT$1,RIGHT(AT$1,2),""),VLOOKUP($D213,素材!$1:$1016,COLUMN($F$1),FALSE))),VLOOKUP($C213,装備品!$1:$998,COLUMN($O$1),FALSE)*VLOOKUP($D213,素材!$1:$1016,COLUMN($E$1),FALSE)/(LEN(VLOOKUP($D213,素材!$1:$1016,COLUMN($F$1),FALSE))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U213">
        <f>IF(ISNUMBER(SEARCH(SUBSTITUTE(AU$1,RIGHT(AU$1,2),""),VLOOKUP($D213,素材!$1:$1016,COLUMN($F$1),FALSE))),VLOOKUP($C213,装備品!$1:$998,COLUMN($O$1),FALSE)*VLOOKUP($D213,素材!$1:$1016,COLUMN($E$1),FALSE)/(LEN(VLOOKUP($D213,素材!$1:$1016,COLUMN($F$1),FALSE))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V213">
        <f>IF(ISNUMBER(SEARCH(SUBSTITUTE(AV$1,RIGHT(AV$1,2),""),VLOOKUP($D213,素材!$1:$1016,COLUMN($F$1),FALSE))),VLOOKUP($C213,装備品!$1:$998,COLUMN($O$1),FALSE)*VLOOKUP($D213,素材!$1:$1016,COLUMN($E$1),FALSE)/(LEN(VLOOKUP($D213,素材!$1:$1016,COLUMN($F$1),FALSE))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W213">
        <f>IF(ISNUMBER(SEARCH(SUBSTITUTE(AW$1,RIGHT(AW$1,2),""),VLOOKUP($D213,素材!$1:$1016,COLUMN($F$1),FALSE))),VLOOKUP($C213,装備品!$1:$998,COLUMN($O$1),FALSE)*VLOOKUP($D213,素材!$1:$1016,COLUMN($E$1),FALSE)/(LEN(VLOOKUP($D213,素材!$1:$1016,COLUMN($F$1),FALSE))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X213">
        <f>IF(ISNUMBER(SEARCH(SUBSTITUTE(AX$1,RIGHT(AX$1,2),""),VLOOKUP($D213,素材!$1:$1016,COLUMN($F$1),FALSE))),VLOOKUP($C213,装備品!$1:$998,COLUMN($O$1),FALSE)*VLOOKUP($D213,素材!$1:$1016,COLUMN($E$1),FALSE)/(LEN(VLOOKUP($D213,素材!$1:$1016,COLUMN($F$1),FALSE))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Y213">
        <f>IF(ISNUMBER(SEARCH(SUBSTITUTE(AY$1,RIGHT(AY$1,2),""),VLOOKUP($D213,素材!$1:$1016,COLUMN($F$1),FALSE))),VLOOKUP($C213,装備品!$1:$998,COLUMN($O$1),FALSE)*VLOOKUP($D213,素材!$1:$1016,COLUMN($E$1),FALSE)/(LEN(VLOOKUP($D213,素材!$1:$1016,COLUMN($F$1),FALSE))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Z213">
        <f>IF(ISNUMBER(SEARCH(SUBSTITUTE(AZ$1,RIGHT(AZ$1,2),""),VLOOKUP($D213,素材!$1:$1016,COLUMN($F$1),FALSE))),VLOOKUP($C213,装備品!$1:$998,COLUMN($O$1),FALSE)*VLOOKUP($D213,素材!$1:$1016,COLUMN($E$1),FALSE)/(LEN(VLOOKUP($D213,素材!$1:$1016,COLUMN($F$1),FALSE))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BA213">
        <f>IF(ISNUMBER(SEARCH(SUBSTITUTE(BA$1,RIGHT(BA$1,2),""),VLOOKUP($D213,素材!$1:$1016,COLUMN($F$1),FALSE))),VLOOKUP($C213,装備品!$1:$998,COLUMN($O$1),FALSE)*VLOOKUP($D213,素材!$1:$1016,COLUMN($E$1),FALSE)/(LEN(VLOOKUP($D213,素材!$1:$1016,COLUMN($F$1),FALSE))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BB213">
        <f>IF(ISNUMBER(SEARCH(SUBSTITUTE(BB$1,RIGHT(BB$1,2),""),VLOOKUP($D213,素材!$1:$1016,COLUMN($F$1),FALSE))),VLOOKUP($C213,装備品!$1:$998,COLUMN($O$1),FALSE)*VLOOKUP($D213,素材!$1:$1016,COLUMN($E$1),FALSE)/(LEN(VLOOKUP($D213,素材!$1:$1016,COLUMN($F$1),FALSE))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BC213">
        <f>IF(ISNUMBER(SEARCH(SUBSTITUTE(BC$1,RIGHT(BC$1,2),""),VLOOKUP($D213,素材!$1:$1016,COLUMN($F$1),FALSE))),VLOOKUP($C213,装備品!$1:$998,COLUMN($O$1),FALSE)*VLOOKUP($D213,素材!$1:$1016,COLUMN($E$1),FALSE)/(LEN(VLOOKUP($D213,素材!$1:$1016,COLUMN($F$1),FALSE))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BD213">
        <f>IF(ISNUMBER(SEARCH(SUBSTITUTE(BD$1,RIGHT(BD$1,2),""),VLOOKUP($D213,素材!$1:$1016,COLUMN($F$1),FALSE))),VLOOKUP($C213,装備品!$1:$998,COLUMN($O$1),FALSE)*VLOOKUP($D213,素材!$1:$1016,COLUMN($E$1),FALSE)/(LEN(VLOOKUP($D213,素材!$1:$1016,COLUMN($F$1),FALSE))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BE213">
        <f>IF(ISNUMBER(SEARCH(SUBSTITUTE(BE$1,RIGHT(BE$1,2),""),VLOOKUP($D213,素材!$1:$1016,COLUMN($F$1),FALSE))),VLOOKUP($C213,装備品!$1:$998,COLUMN($O$1),FALSE)*VLOOKUP($D213,素材!$1:$1016,COLUMN($E$1),FALSE)/(LEN(VLOOKUP($D213,素材!$1:$1016,COLUMN($F$1),FALSE))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CL213">
        <f t="shared" si="35"/>
        <v>25</v>
      </c>
      <c r="CM213" s="22" t="str">
        <f t="shared" si="36"/>
        <v>切断.webp</v>
      </c>
      <c r="CN213">
        <f>IFERROR(VLOOKUP($C213,装備品!$1:$998,COLUMN(V$1),FALSE)*VLOOKUP($D213,素材!$1:$1016,COLUMN(N$1),FALSE)+IF(CI213="",0,VLOOKUP($CI213,付与!$1:$1176,COLUMN($CK$1),FALSE)),"")</f>
        <v>0</v>
      </c>
      <c r="CO213">
        <f>VLOOKUP(D213,素材!$A:$O,COLUMN(素材!O$1),FALSE)</f>
        <v>0</v>
      </c>
      <c r="CP213" t="str">
        <f>VLOOKUP(C213,装備品!$A:$AB,COLUMN(装備品!AB$1),FALSE)</f>
        <v>戦斧。攻撃力が高く、重いが信頼性がある武器。</v>
      </c>
      <c r="CR213" t="str">
        <f t="shared" si="37"/>
        <v>e_213</v>
      </c>
      <c r="CS213">
        <f t="shared" si="38"/>
        <v>0</v>
      </c>
    </row>
    <row r="214" spans="1:97" outlineLevel="1" x14ac:dyDescent="0.4">
      <c r="A214" t="str">
        <f t="shared" si="34"/>
        <v>冷気鉄の鞭</v>
      </c>
      <c r="B214" t="str">
        <f>IFERROR(VLOOKUP($D214,素材!$1:$1016,COLUMN($B$1),FALSE)&amp;"・"&amp;VLOOKUP($C214,装備品!$1:$998,COLUMN(B$1),FALSE),"")</f>
        <v>ドゥララン・ウィップ</v>
      </c>
      <c r="C214" t="s">
        <v>222</v>
      </c>
      <c r="D214" s="24" t="s">
        <v>242</v>
      </c>
      <c r="E214" t="str">
        <f>IFERROR(VLOOKUP(C214,装備品!$1:$998,COLUMN(C$1),FALSE),"")</f>
        <v>武器</v>
      </c>
      <c r="F214">
        <f>IFERROR(ROUNDDOWN((VLOOKUP($C214,装備品!$1:$998,COLUMN(D$1),FALSE)+IFERROR(VLOOKUP($CI214,付与!$1:$1167,COLUMN(F$1),FALSE),0))*VLOOKUP($D214,素材!$1:$1016,COLUMN(D$1),FALSE),0),"")</f>
        <v>105</v>
      </c>
      <c r="G214">
        <f>IFERROR(ROUNDDOWN((VLOOKUP($C214,装備品!$1:$998,COLUMN(E$1),FALSE)+IFERROR(VLOOKUP($CI214,付与!$1:$1167,COLUMN(G$1),FALSE),0))*VLOOKUP($D214,素材!$1:$1016,COLUMN($E$1),FALSE),0),"")</f>
        <v>18</v>
      </c>
      <c r="H214">
        <f>IFERROR(ROUNDDOWN((VLOOKUP($C214,装備品!$1:$998,COLUMN(F$1),FALSE)+IFERROR(VLOOKUP($CI214,付与!$1:$1167,COLUMN(H$1),FALSE),0))*VLOOKUP($D214,素材!$1:$1016,COLUMN($E$1),FALSE),0),"")</f>
        <v>0</v>
      </c>
      <c r="I214">
        <f>IFERROR(ROUNDDOWN((VLOOKUP($C214,装備品!$1:$998,COLUMN(G$1),FALSE)+IFERROR(VLOOKUP($CI214,付与!$1:$1167,COLUMN(I$1),FALSE),0))*VLOOKUP($D214,素材!$1:$1016,COLUMN($E$1),FALSE),0),"")</f>
        <v>4</v>
      </c>
      <c r="J214">
        <f>IFERROR(ROUNDDOWN((VLOOKUP($C214,装備品!$1:$998,COLUMN(H$1),FALSE)+IFERROR(VLOOKUP($CI214,付与!$1:$1167,COLUMN(J$1),FALSE),0))*VLOOKUP($D214,素材!$1:$1016,COLUMN($E$1),FALSE),0),"")</f>
        <v>11</v>
      </c>
      <c r="K214">
        <f>IFERROR(ROUNDDOWN((VLOOKUP($C214,装備品!$1:$998,COLUMN(I$1),FALSE)+IFERROR(VLOOKUP($CI214,付与!$1:$1167,COLUMN(K$1),FALSE),0))*VLOOKUP($D214,素材!$1:$1016,COLUMN($E$1),FALSE),0),"")</f>
        <v>0</v>
      </c>
      <c r="L214" t="str">
        <f>IFERROR(VLOOKUP($D214,素材!$1:$1016,COLUMN($F$1),FALSE),"")</f>
        <v>氷</v>
      </c>
      <c r="M214">
        <f>IFERROR(VLOOKUP($C214,装備品!$1:$998,COLUMN(AA$1),FALSE)*VLOOKUP($D214,素材!$1:$1016,COLUMN($G$1),FALSE),"")</f>
        <v>87.5</v>
      </c>
      <c r="N214">
        <f>IFERROR(VLOOKUP($C214,装備品!$1:$998,COLUMN(I$1),FALSE),"")</f>
        <v>0</v>
      </c>
      <c r="O214" s="23">
        <f>IFERROR((VLOOKUP($C214,装備品!$1:$998,COLUMN(K$1),FALSE)+VLOOKUP($D214,素材!$1:$1016,COLUMN(H$1),FALSE))*100+IFERROR(VLOOKUP($CI214,付与!$1:$1167,COLUMN(O$1),FALSE),0),"")</f>
        <v>10</v>
      </c>
      <c r="P214" s="23">
        <f>IFERROR((VLOOKUP($C214,装備品!$1:$998,COLUMN(L$1),FALSE)+VLOOKUP($D214,素材!$1:$1016,COLUMN(I$1),FALSE))*100+IFERROR(VLOOKUP($CI214,付与!$1:$1167,COLUMN(P$1),FALSE),0),"")</f>
        <v>150</v>
      </c>
      <c r="Q214">
        <f>IFERROR(ROUNDUP(VLOOKUP($C214,装備品!$1:$998,COLUMN(M$1),FALSE)*(VLOOKUP($D214,素材!$1:$1002,COLUMN(D$1),FALSE)/100),1),"")</f>
        <v>0</v>
      </c>
      <c r="R214">
        <f>IFERROR(ROUNDUP(VLOOKUP($C214,装備品!$1:$998,COLUMN(N$1),FALSE)*(VLOOKUP($D214,素材!$1:$1002,COLUMN(D$1),FALSE)/100),1),"")</f>
        <v>0</v>
      </c>
      <c r="S214">
        <f>IFERROR(VLOOKUP($C214,装備品!$1:$998,COLUMN(P$1),FALSE),"")</f>
        <v>0</v>
      </c>
      <c r="T214">
        <f>IFERROR(VLOOKUP($C214,装備品!$1:$998,COLUMN(Q$1),FALSE),"")</f>
        <v>0</v>
      </c>
      <c r="U214">
        <f>IFERROR(VLOOKUP($C214,装備品!$1:$998,COLUMN(R$1),FALSE),"")</f>
        <v>0</v>
      </c>
      <c r="V214">
        <f>IFERROR(VLOOKUP($C214,装備品!$1:$998,COLUMN(Q$1),FALSE),"")</f>
        <v>0</v>
      </c>
      <c r="W214">
        <f>IFERROR(VLOOKUP($C214,装備品!$1:$998,COLUMN(T$1),FALSE),"")</f>
        <v>0</v>
      </c>
      <c r="Y214">
        <f>IFERROR(VLOOKUP($C214,装備品!$1:$998,COLUMN(U$1),FALSE),"")</f>
        <v>1</v>
      </c>
      <c r="Z214">
        <f>IFERROR(ROUNDUP(VLOOKUP($C214,装備品!$1:$998,COLUMN(O$1),FALSE)*VLOOKUP($D214,素材!$1:$1016,COLUMN(E$1),FALSE),1),"")</f>
        <v>0</v>
      </c>
      <c r="AA214">
        <f>IF(ISNUMBER(SEARCH(SUBSTITUTE(AA$1,RIGHT(AA$1,2),""),VLOOKUP($D214,素材!$1:$1016,COLUMN($F$1),FALSE))),VLOOKUP($C214,装備品!$1:$998,COLUMN($O$1),FALSE)*VLOOKUP($D214,素材!$1:$1016,COLUMN($E$1),FALSE)/(LEN(VLOOKUP($D214,素材!$1:$1016,COLUMN($F$1),FALSE))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B214">
        <f>IF(ISNUMBER(SEARCH(SUBSTITUTE(AB$1,RIGHT(AB$1,2),""),VLOOKUP($D214,素材!$1:$1016,COLUMN($F$1),FALSE))),VLOOKUP($C214,装備品!$1:$998,COLUMN($O$1),FALSE)*VLOOKUP($D214,素材!$1:$1016,COLUMN($E$1),FALSE)/(LEN(VLOOKUP($D214,素材!$1:$1016,COLUMN($F$1),FALSE))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C214">
        <f>IF(ISNUMBER(SEARCH(SUBSTITUTE(AC$1,RIGHT(AC$1,2),""),VLOOKUP($D214,素材!$1:$1016,COLUMN($F$1),FALSE))),VLOOKUP($C214,装備品!$1:$998,COLUMN($O$1),FALSE)*VLOOKUP($D214,素材!$1:$1016,COLUMN($E$1),FALSE)/(LEN(VLOOKUP($D214,素材!$1:$1016,COLUMN($F$1),FALSE))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D214">
        <f>IF(ISNUMBER(SEARCH(SUBSTITUTE(AD$1,RIGHT(AD$1,2),""),VLOOKUP($D214,素材!$1:$1016,COLUMN($F$1),FALSE))),VLOOKUP($C214,装備品!$1:$998,COLUMN($O$1),FALSE)*VLOOKUP($D214,素材!$1:$1016,COLUMN($E$1),FALSE)/(LEN(VLOOKUP($D214,素材!$1:$1016,COLUMN($F$1),FALSE))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E214">
        <f>IF(ISNUMBER(SEARCH(SUBSTITUTE(AE$1,RIGHT(AE$1,2),""),VLOOKUP($D214,素材!$1:$1016,COLUMN($F$1),FALSE))),VLOOKUP($C214,装備品!$1:$998,COLUMN($O$1),FALSE)*VLOOKUP($D214,素材!$1:$1016,COLUMN($E$1),FALSE)/(LEN(VLOOKUP($D214,素材!$1:$1016,COLUMN($F$1),FALSE))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F214">
        <f>IF(ISNUMBER(SEARCH(SUBSTITUTE(AF$1,RIGHT(AF$1,2),""),VLOOKUP($D214,素材!$1:$1016,COLUMN($F$1),FALSE))),VLOOKUP($C214,装備品!$1:$998,COLUMN($O$1),FALSE)*VLOOKUP($D214,素材!$1:$1016,COLUMN($E$1),FALSE)/(LEN(VLOOKUP($D214,素材!$1:$1016,COLUMN($F$1),FALSE))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G214">
        <f>IF(ISNUMBER(SEARCH(SUBSTITUTE(AG$1,RIGHT(AG$1,2),""),VLOOKUP($D214,素材!$1:$1016,COLUMN($F$1),FALSE))),VLOOKUP($C214,装備品!$1:$998,COLUMN($O$1),FALSE)*VLOOKUP($D214,素材!$1:$1016,COLUMN($E$1),FALSE)/(LEN(VLOOKUP($D214,素材!$1:$1016,COLUMN($F$1),FALSE))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H214">
        <f>IF(ISNUMBER(SEARCH(SUBSTITUTE(AH$1,RIGHT(AH$1,2),""),VLOOKUP($D214,素材!$1:$1016,COLUMN($F$1),FALSE))),VLOOKUP($C214,装備品!$1:$998,COLUMN($O$1),FALSE)*VLOOKUP($D214,素材!$1:$1016,COLUMN($E$1),FALSE)/(LEN(VLOOKUP($D214,素材!$1:$1016,COLUMN($F$1),FALSE))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I214">
        <f>IF(ISNUMBER(SEARCH(SUBSTITUTE(AI$1,RIGHT(AI$1,2),""),VLOOKUP($D214,素材!$1:$1016,COLUMN($F$1),FALSE))),VLOOKUP($C214,装備品!$1:$998,COLUMN($O$1),FALSE)*VLOOKUP($D214,素材!$1:$1016,COLUMN($E$1),FALSE)/(LEN(VLOOKUP($D214,素材!$1:$1016,COLUMN($F$1),FALSE))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J214">
        <f>IF(ISNUMBER(SEARCH(SUBSTITUTE(AJ$1,RIGHT(AJ$1,2),""),VLOOKUP($D214,素材!$1:$1016,COLUMN($F$1),FALSE))),VLOOKUP($C214,装備品!$1:$998,COLUMN($O$1),FALSE)*VLOOKUP($D214,素材!$1:$1016,COLUMN($E$1),FALSE)/(LEN(VLOOKUP($D214,素材!$1:$1016,COLUMN($F$1),FALSE))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K214">
        <f>IF(ISNUMBER(SEARCH(SUBSTITUTE(AK$1,RIGHT(AK$1,2),""),VLOOKUP($D214,素材!$1:$1016,COLUMN($F$1),FALSE))),VLOOKUP($C214,装備品!$1:$998,COLUMN($O$1),FALSE)*VLOOKUP($D214,素材!$1:$1016,COLUMN($E$1),FALSE)/(LEN(VLOOKUP($D214,素材!$1:$1016,COLUMN($F$1),FALSE))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L214">
        <f>IF(ISNUMBER(SEARCH(SUBSTITUTE(AL$1,RIGHT(AL$1,2),""),VLOOKUP($D214,素材!$1:$1016,COLUMN($F$1),FALSE))),VLOOKUP($C214,装備品!$1:$998,COLUMN($O$1),FALSE)*VLOOKUP($D214,素材!$1:$1016,COLUMN($E$1),FALSE)/(LEN(VLOOKUP($D214,素材!$1:$1016,COLUMN($F$1),FALSE))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M214">
        <f>IF(ISNUMBER(SEARCH(SUBSTITUTE(AM$1,RIGHT(AM$1,2),""),VLOOKUP($D214,素材!$1:$1016,COLUMN($F$1),FALSE))),VLOOKUP($C214,装備品!$1:$998,COLUMN($O$1),FALSE)*VLOOKUP($D214,素材!$1:$1016,COLUMN($E$1),FALSE)/(LEN(VLOOKUP($D214,素材!$1:$1016,COLUMN($F$1),FALSE))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N214">
        <f>IF(ISNUMBER(SEARCH(SUBSTITUTE(AN$1,RIGHT(AN$1,2),""),VLOOKUP($D214,素材!$1:$1016,COLUMN($F$1),FALSE))),VLOOKUP($C214,装備品!$1:$998,COLUMN($O$1),FALSE)*VLOOKUP($D214,素材!$1:$1016,COLUMN($E$1),FALSE)/(LEN(VLOOKUP($D214,素材!$1:$1016,COLUMN($F$1),FALSE))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O214">
        <f>IF(ISNUMBER(SEARCH(SUBSTITUTE(AO$1,RIGHT(AO$1,2),""),VLOOKUP($D214,素材!$1:$1016,COLUMN($F$1),FALSE))),VLOOKUP($C214,装備品!$1:$998,COLUMN($O$1),FALSE)*VLOOKUP($D214,素材!$1:$1016,COLUMN($E$1),FALSE)/(LEN(VLOOKUP($D214,素材!$1:$1016,COLUMN($F$1),FALSE))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P214">
        <f>IF(ISNUMBER(SEARCH(SUBSTITUTE(AP$1,RIGHT(AP$1,2),""),VLOOKUP($D214,素材!$1:$1016,COLUMN($F$1),FALSE))),VLOOKUP($C214,装備品!$1:$998,COLUMN($O$1),FALSE)*VLOOKUP($D214,素材!$1:$1016,COLUMN($E$1),FALSE)/(LEN(VLOOKUP($D214,素材!$1:$1016,COLUMN($F$1),FALSE))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Q214">
        <f>IF(ISNUMBER(SEARCH(SUBSTITUTE(AQ$1,RIGHT(AQ$1,2),""),VLOOKUP($D214,素材!$1:$1016,COLUMN($F$1),FALSE))),VLOOKUP($C214,装備品!$1:$998,COLUMN($O$1),FALSE)*VLOOKUP($D214,素材!$1:$1016,COLUMN($E$1),FALSE)/(LEN(VLOOKUP($D214,素材!$1:$1016,COLUMN($F$1),FALSE))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R214">
        <f>IF(ISNUMBER(SEARCH(SUBSTITUTE(AR$1,RIGHT(AR$1,2),""),VLOOKUP($D214,素材!$1:$1016,COLUMN($F$1),FALSE))),VLOOKUP($C214,装備品!$1:$998,COLUMN($O$1),FALSE)*VLOOKUP($D214,素材!$1:$1016,COLUMN($E$1),FALSE)/(LEN(VLOOKUP($D214,素材!$1:$1016,COLUMN($F$1),FALSE))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S214">
        <f>IF(ISNUMBER(SEARCH(SUBSTITUTE(AS$1,RIGHT(AS$1,2),""),VLOOKUP($D214,素材!$1:$1016,COLUMN($F$1),FALSE))),VLOOKUP($C214,装備品!$1:$998,COLUMN($O$1),FALSE)*VLOOKUP($D214,素材!$1:$1016,COLUMN($E$1),FALSE)/(LEN(VLOOKUP($D214,素材!$1:$1016,COLUMN($F$1),FALSE))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T214">
        <f>IF(ISNUMBER(SEARCH(SUBSTITUTE(AT$1,RIGHT(AT$1,2),""),VLOOKUP($D214,素材!$1:$1016,COLUMN($F$1),FALSE))),VLOOKUP($C214,装備品!$1:$998,COLUMN($O$1),FALSE)*VLOOKUP($D214,素材!$1:$1016,COLUMN($E$1),FALSE)/(LEN(VLOOKUP($D214,素材!$1:$1016,COLUMN($F$1),FALSE))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U214">
        <f>IF(ISNUMBER(SEARCH(SUBSTITUTE(AU$1,RIGHT(AU$1,2),""),VLOOKUP($D214,素材!$1:$1016,COLUMN($F$1),FALSE))),VLOOKUP($C214,装備品!$1:$998,COLUMN($O$1),FALSE)*VLOOKUP($D214,素材!$1:$1016,COLUMN($E$1),FALSE)/(LEN(VLOOKUP($D214,素材!$1:$1016,COLUMN($F$1),FALSE))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V214">
        <f>IF(ISNUMBER(SEARCH(SUBSTITUTE(AV$1,RIGHT(AV$1,2),""),VLOOKUP($D214,素材!$1:$1016,COLUMN($F$1),FALSE))),VLOOKUP($C214,装備品!$1:$998,COLUMN($O$1),FALSE)*VLOOKUP($D214,素材!$1:$1016,COLUMN($E$1),FALSE)/(LEN(VLOOKUP($D214,素材!$1:$1016,COLUMN($F$1),FALSE))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W214">
        <f>IF(ISNUMBER(SEARCH(SUBSTITUTE(AW$1,RIGHT(AW$1,2),""),VLOOKUP($D214,素材!$1:$1016,COLUMN($F$1),FALSE))),VLOOKUP($C214,装備品!$1:$998,COLUMN($O$1),FALSE)*VLOOKUP($D214,素材!$1:$1016,COLUMN($E$1),FALSE)/(LEN(VLOOKUP($D214,素材!$1:$1016,COLUMN($F$1),FALSE))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X214">
        <f>IF(ISNUMBER(SEARCH(SUBSTITUTE(AX$1,RIGHT(AX$1,2),""),VLOOKUP($D214,素材!$1:$1016,COLUMN($F$1),FALSE))),VLOOKUP($C214,装備品!$1:$998,COLUMN($O$1),FALSE)*VLOOKUP($D214,素材!$1:$1016,COLUMN($E$1),FALSE)/(LEN(VLOOKUP($D214,素材!$1:$1016,COLUMN($F$1),FALSE))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Y214">
        <f>IF(ISNUMBER(SEARCH(SUBSTITUTE(AY$1,RIGHT(AY$1,2),""),VLOOKUP($D214,素材!$1:$1016,COLUMN($F$1),FALSE))),VLOOKUP($C214,装備品!$1:$998,COLUMN($O$1),FALSE)*VLOOKUP($D214,素材!$1:$1016,COLUMN($E$1),FALSE)/(LEN(VLOOKUP($D214,素材!$1:$1016,COLUMN($F$1),FALSE))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Z214">
        <f>IF(ISNUMBER(SEARCH(SUBSTITUTE(AZ$1,RIGHT(AZ$1,2),""),VLOOKUP($D214,素材!$1:$1016,COLUMN($F$1),FALSE))),VLOOKUP($C214,装備品!$1:$998,COLUMN($O$1),FALSE)*VLOOKUP($D214,素材!$1:$1016,COLUMN($E$1),FALSE)/(LEN(VLOOKUP($D214,素材!$1:$1016,COLUMN($F$1),FALSE))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BA214">
        <f>IF(ISNUMBER(SEARCH(SUBSTITUTE(BA$1,RIGHT(BA$1,2),""),VLOOKUP($D214,素材!$1:$1016,COLUMN($F$1),FALSE))),VLOOKUP($C214,装備品!$1:$998,COLUMN($O$1),FALSE)*VLOOKUP($D214,素材!$1:$1016,COLUMN($E$1),FALSE)/(LEN(VLOOKUP($D214,素材!$1:$1016,COLUMN($F$1),FALSE))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BB214">
        <f>IF(ISNUMBER(SEARCH(SUBSTITUTE(BB$1,RIGHT(BB$1,2),""),VLOOKUP($D214,素材!$1:$1016,COLUMN($F$1),FALSE))),VLOOKUP($C214,装備品!$1:$998,COLUMN($O$1),FALSE)*VLOOKUP($D214,素材!$1:$1016,COLUMN($E$1),FALSE)/(LEN(VLOOKUP($D214,素材!$1:$1016,COLUMN($F$1),FALSE))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BC214">
        <f>IF(ISNUMBER(SEARCH(SUBSTITUTE(BC$1,RIGHT(BC$1,2),""),VLOOKUP($D214,素材!$1:$1016,COLUMN($F$1),FALSE))),VLOOKUP($C214,装備品!$1:$998,COLUMN($O$1),FALSE)*VLOOKUP($D214,素材!$1:$1016,COLUMN($E$1),FALSE)/(LEN(VLOOKUP($D214,素材!$1:$1016,COLUMN($F$1),FALSE))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BD214">
        <f>IF(ISNUMBER(SEARCH(SUBSTITUTE(BD$1,RIGHT(BD$1,2),""),VLOOKUP($D214,素材!$1:$1016,COLUMN($F$1),FALSE))),VLOOKUP($C214,装備品!$1:$998,COLUMN($O$1),FALSE)*VLOOKUP($D214,素材!$1:$1016,COLUMN($E$1),FALSE)/(LEN(VLOOKUP($D214,素材!$1:$1016,COLUMN($F$1),FALSE))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BE214">
        <f>IF(ISNUMBER(SEARCH(SUBSTITUTE(BE$1,RIGHT(BE$1,2),""),VLOOKUP($D214,素材!$1:$1016,COLUMN($F$1),FALSE))),VLOOKUP($C214,装備品!$1:$998,COLUMN($O$1),FALSE)*VLOOKUP($D214,素材!$1:$1016,COLUMN($E$1),FALSE)/(LEN(VLOOKUP($D214,素材!$1:$1016,COLUMN($F$1),FALSE))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CL214">
        <f t="shared" si="35"/>
        <v>22</v>
      </c>
      <c r="CM214" s="22" t="str">
        <f t="shared" si="36"/>
        <v>切断.webp</v>
      </c>
      <c r="CN214">
        <f>IFERROR(VLOOKUP($C214,装備品!$1:$998,COLUMN(V$1),FALSE)*VLOOKUP($D214,素材!$1:$1016,COLUMN(N$1),FALSE)+IF(CI214="",0,VLOOKUP($CI214,付与!$1:$1176,COLUMN($CK$1),FALSE)),"")</f>
        <v>0</v>
      </c>
      <c r="CO214">
        <f>VLOOKUP(D214,素材!$A:$O,COLUMN(素材!O$1),FALSE)</f>
        <v>0</v>
      </c>
      <c r="CP214" t="str">
        <f>VLOOKUP(C214,装備品!$A:$AB,COLUMN(装備品!AB$1),FALSE)</f>
        <v>鞭。リーチが長く、敵を絡め取る戦闘に適する。</v>
      </c>
      <c r="CR214" t="str">
        <f t="shared" si="37"/>
        <v>e_214</v>
      </c>
      <c r="CS214">
        <f t="shared" si="38"/>
        <v>0</v>
      </c>
    </row>
    <row r="215" spans="1:97" outlineLevel="1" x14ac:dyDescent="0.4">
      <c r="A215" t="str">
        <f t="shared" si="34"/>
        <v>冷気鉄の丸盾</v>
      </c>
      <c r="B215" t="str">
        <f>IFERROR(VLOOKUP($D215,素材!$1:$1016,COLUMN($B$1),FALSE)&amp;"・"&amp;VLOOKUP($C215,装備品!$1:$998,COLUMN(B$1),FALSE),"")</f>
        <v>ドゥララン・バックラー</v>
      </c>
      <c r="C215" t="s">
        <v>221</v>
      </c>
      <c r="D215" s="24" t="s">
        <v>242</v>
      </c>
      <c r="E215" t="str">
        <f>IFERROR(VLOOKUP(C215,装備品!$1:$998,COLUMN(C$1),FALSE),"")</f>
        <v>盾</v>
      </c>
      <c r="F215">
        <f>IFERROR(ROUNDDOWN((VLOOKUP($C215,装備品!$1:$998,COLUMN(D$1),FALSE)+IFERROR(VLOOKUP($CI215,付与!$1:$1167,COLUMN(F$1),FALSE),0))*VLOOKUP($D215,素材!$1:$1016,COLUMN(D$1),FALSE),0),"")</f>
        <v>100</v>
      </c>
      <c r="G215">
        <f>IFERROR(ROUNDDOWN((VLOOKUP($C215,装備品!$1:$998,COLUMN(E$1),FALSE)+IFERROR(VLOOKUP($CI215,付与!$1:$1167,COLUMN(G$1),FALSE),0))*VLOOKUP($D215,素材!$1:$1016,COLUMN($E$1),FALSE),0),"")</f>
        <v>8</v>
      </c>
      <c r="H215">
        <f>IFERROR(ROUNDDOWN((VLOOKUP($C215,装備品!$1:$998,COLUMN(F$1),FALSE)+IFERROR(VLOOKUP($CI215,付与!$1:$1167,COLUMN(H$1),FALSE),0))*VLOOKUP($D215,素材!$1:$1016,COLUMN($E$1),FALSE),0),"")</f>
        <v>0</v>
      </c>
      <c r="I215">
        <f>IFERROR(ROUNDDOWN((VLOOKUP($C215,装備品!$1:$998,COLUMN(G$1),FALSE)+IFERROR(VLOOKUP($CI215,付与!$1:$1167,COLUMN(I$1),FALSE),0))*VLOOKUP($D215,素材!$1:$1016,COLUMN($E$1),FALSE),0),"")</f>
        <v>8</v>
      </c>
      <c r="J215">
        <f>IFERROR(ROUNDDOWN((VLOOKUP($C215,装備品!$1:$998,COLUMN(H$1),FALSE)+IFERROR(VLOOKUP($CI215,付与!$1:$1167,COLUMN(J$1),FALSE),0))*VLOOKUP($D215,素材!$1:$1016,COLUMN($E$1),FALSE),0),"")</f>
        <v>23</v>
      </c>
      <c r="K215">
        <f>IFERROR(ROUNDDOWN((VLOOKUP($C215,装備品!$1:$998,COLUMN(I$1),FALSE)+IFERROR(VLOOKUP($CI215,付与!$1:$1167,COLUMN(K$1),FALSE),0))*VLOOKUP($D215,素材!$1:$1016,COLUMN($E$1),FALSE),0),"")</f>
        <v>0</v>
      </c>
      <c r="L215" t="str">
        <f>IFERROR(VLOOKUP($D215,素材!$1:$1016,COLUMN($F$1),FALSE),"")</f>
        <v>氷</v>
      </c>
      <c r="M215">
        <f>IFERROR(VLOOKUP($C215,装備品!$1:$998,COLUMN(AA$1),FALSE)*VLOOKUP($D215,素材!$1:$1016,COLUMN($G$1),FALSE),"")</f>
        <v>52.5</v>
      </c>
      <c r="N215">
        <f>IFERROR(VLOOKUP($C215,装備品!$1:$998,COLUMN(I$1),FALSE),"")</f>
        <v>0</v>
      </c>
      <c r="O215" s="23">
        <f>IFERROR((VLOOKUP($C215,装備品!$1:$998,COLUMN(K$1),FALSE)+VLOOKUP($D215,素材!$1:$1016,COLUMN(H$1),FALSE))*100+IFERROR(VLOOKUP($CI215,付与!$1:$1167,COLUMN(O$1),FALSE),0),"")</f>
        <v>5</v>
      </c>
      <c r="P215" s="23">
        <f>IFERROR((VLOOKUP($C215,装備品!$1:$998,COLUMN(L$1),FALSE)+VLOOKUP($D215,素材!$1:$1016,COLUMN(I$1),FALSE))*100+IFERROR(VLOOKUP($CI215,付与!$1:$1167,COLUMN(P$1),FALSE),0),"")</f>
        <v>125</v>
      </c>
      <c r="Q215">
        <f>IFERROR(ROUNDUP(VLOOKUP($C215,装備品!$1:$998,COLUMN(M$1),FALSE)*(VLOOKUP($D215,素材!$1:$1002,COLUMN(D$1),FALSE)/100),1),"")</f>
        <v>0</v>
      </c>
      <c r="R215">
        <f>IFERROR(ROUNDUP(VLOOKUP($C215,装備品!$1:$998,COLUMN(N$1),FALSE)*(VLOOKUP($D215,素材!$1:$1002,COLUMN(D$1),FALSE)/100),1),"")</f>
        <v>0</v>
      </c>
      <c r="S215">
        <f>IFERROR(VLOOKUP($C215,装備品!$1:$998,COLUMN(P$1),FALSE),"")</f>
        <v>0</v>
      </c>
      <c r="T215">
        <f>IFERROR(VLOOKUP($C215,装備品!$1:$998,COLUMN(Q$1),FALSE),"")</f>
        <v>0</v>
      </c>
      <c r="U215">
        <f>IFERROR(VLOOKUP($C215,装備品!$1:$998,COLUMN(R$1),FALSE),"")</f>
        <v>0</v>
      </c>
      <c r="V215">
        <f>IFERROR(VLOOKUP($C215,装備品!$1:$998,COLUMN(Q$1),FALSE),"")</f>
        <v>0</v>
      </c>
      <c r="W215">
        <f>IFERROR(VLOOKUP($C215,装備品!$1:$998,COLUMN(T$1),FALSE),"")</f>
        <v>0</v>
      </c>
      <c r="Y215">
        <f>IFERROR(VLOOKUP($C215,装備品!$1:$998,COLUMN(U$1),FALSE),"")</f>
        <v>0</v>
      </c>
      <c r="Z215">
        <f>IFERROR(ROUNDUP(VLOOKUP($C215,装備品!$1:$998,COLUMN(O$1),FALSE)*VLOOKUP($D215,素材!$1:$1016,COLUMN(E$1),FALSE),1),"")</f>
        <v>0</v>
      </c>
      <c r="AA215">
        <f>IF(ISNUMBER(SEARCH(SUBSTITUTE(AA$1,RIGHT(AA$1,2),""),VLOOKUP($D215,素材!$1:$1016,COLUMN($F$1),FALSE))),VLOOKUP($C215,装備品!$1:$998,COLUMN($O$1),FALSE)*VLOOKUP($D215,素材!$1:$1016,COLUMN($E$1),FALSE)/(LEN(VLOOKUP($D215,素材!$1:$1016,COLUMN($F$1),FALSE))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B215">
        <f>IF(ISNUMBER(SEARCH(SUBSTITUTE(AB$1,RIGHT(AB$1,2),""),VLOOKUP($D215,素材!$1:$1016,COLUMN($F$1),FALSE))),VLOOKUP($C215,装備品!$1:$998,COLUMN($O$1),FALSE)*VLOOKUP($D215,素材!$1:$1016,COLUMN($E$1),FALSE)/(LEN(VLOOKUP($D215,素材!$1:$1016,COLUMN($F$1),FALSE))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C215">
        <f>IF(ISNUMBER(SEARCH(SUBSTITUTE(AC$1,RIGHT(AC$1,2),""),VLOOKUP($D215,素材!$1:$1016,COLUMN($F$1),FALSE))),VLOOKUP($C215,装備品!$1:$998,COLUMN($O$1),FALSE)*VLOOKUP($D215,素材!$1:$1016,COLUMN($E$1),FALSE)/(LEN(VLOOKUP($D215,素材!$1:$1016,COLUMN($F$1),FALSE))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D215">
        <f>IF(ISNUMBER(SEARCH(SUBSTITUTE(AD$1,RIGHT(AD$1,2),""),VLOOKUP($D215,素材!$1:$1016,COLUMN($F$1),FALSE))),VLOOKUP($C215,装備品!$1:$998,COLUMN($O$1),FALSE)*VLOOKUP($D215,素材!$1:$1016,COLUMN($E$1),FALSE)/(LEN(VLOOKUP($D215,素材!$1:$1016,COLUMN($F$1),FALSE))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E215">
        <f>IF(ISNUMBER(SEARCH(SUBSTITUTE(AE$1,RIGHT(AE$1,2),""),VLOOKUP($D215,素材!$1:$1016,COLUMN($F$1),FALSE))),VLOOKUP($C215,装備品!$1:$998,COLUMN($O$1),FALSE)*VLOOKUP($D215,素材!$1:$1016,COLUMN($E$1),FALSE)/(LEN(VLOOKUP($D215,素材!$1:$1016,COLUMN($F$1),FALSE))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F215">
        <f>IF(ISNUMBER(SEARCH(SUBSTITUTE(AF$1,RIGHT(AF$1,2),""),VLOOKUP($D215,素材!$1:$1016,COLUMN($F$1),FALSE))),VLOOKUP($C215,装備品!$1:$998,COLUMN($O$1),FALSE)*VLOOKUP($D215,素材!$1:$1016,COLUMN($E$1),FALSE)/(LEN(VLOOKUP($D215,素材!$1:$1016,COLUMN($F$1),FALSE))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G215">
        <f>IF(ISNUMBER(SEARCH(SUBSTITUTE(AG$1,RIGHT(AG$1,2),""),VLOOKUP($D215,素材!$1:$1016,COLUMN($F$1),FALSE))),VLOOKUP($C215,装備品!$1:$998,COLUMN($O$1),FALSE)*VLOOKUP($D215,素材!$1:$1016,COLUMN($E$1),FALSE)/(LEN(VLOOKUP($D215,素材!$1:$1016,COLUMN($F$1),FALSE))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H215">
        <f>IF(ISNUMBER(SEARCH(SUBSTITUTE(AH$1,RIGHT(AH$1,2),""),VLOOKUP($D215,素材!$1:$1016,COLUMN($F$1),FALSE))),VLOOKUP($C215,装備品!$1:$998,COLUMN($O$1),FALSE)*VLOOKUP($D215,素材!$1:$1016,COLUMN($E$1),FALSE)/(LEN(VLOOKUP($D215,素材!$1:$1016,COLUMN($F$1),FALSE))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I215">
        <f>IF(ISNUMBER(SEARCH(SUBSTITUTE(AI$1,RIGHT(AI$1,2),""),VLOOKUP($D215,素材!$1:$1016,COLUMN($F$1),FALSE))),VLOOKUP($C215,装備品!$1:$998,COLUMN($O$1),FALSE)*VLOOKUP($D215,素材!$1:$1016,COLUMN($E$1),FALSE)/(LEN(VLOOKUP($D215,素材!$1:$1016,COLUMN($F$1),FALSE))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J215">
        <f>IF(ISNUMBER(SEARCH(SUBSTITUTE(AJ$1,RIGHT(AJ$1,2),""),VLOOKUP($D215,素材!$1:$1016,COLUMN($F$1),FALSE))),VLOOKUP($C215,装備品!$1:$998,COLUMN($O$1),FALSE)*VLOOKUP($D215,素材!$1:$1016,COLUMN($E$1),FALSE)/(LEN(VLOOKUP($D215,素材!$1:$1016,COLUMN($F$1),FALSE))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K215">
        <f>IF(ISNUMBER(SEARCH(SUBSTITUTE(AK$1,RIGHT(AK$1,2),""),VLOOKUP($D215,素材!$1:$1016,COLUMN($F$1),FALSE))),VLOOKUP($C215,装備品!$1:$998,COLUMN($O$1),FALSE)*VLOOKUP($D215,素材!$1:$1016,COLUMN($E$1),FALSE)/(LEN(VLOOKUP($D215,素材!$1:$1016,COLUMN($F$1),FALSE))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L215">
        <f>IF(ISNUMBER(SEARCH(SUBSTITUTE(AL$1,RIGHT(AL$1,2),""),VLOOKUP($D215,素材!$1:$1016,COLUMN($F$1),FALSE))),VLOOKUP($C215,装備品!$1:$998,COLUMN($O$1),FALSE)*VLOOKUP($D215,素材!$1:$1016,COLUMN($E$1),FALSE)/(LEN(VLOOKUP($D215,素材!$1:$1016,COLUMN($F$1),FALSE))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M215">
        <f>IF(ISNUMBER(SEARCH(SUBSTITUTE(AM$1,RIGHT(AM$1,2),""),VLOOKUP($D215,素材!$1:$1016,COLUMN($F$1),FALSE))),VLOOKUP($C215,装備品!$1:$998,COLUMN($O$1),FALSE)*VLOOKUP($D215,素材!$1:$1016,COLUMN($E$1),FALSE)/(LEN(VLOOKUP($D215,素材!$1:$1016,COLUMN($F$1),FALSE))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N215">
        <f>IF(ISNUMBER(SEARCH(SUBSTITUTE(AN$1,RIGHT(AN$1,2),""),VLOOKUP($D215,素材!$1:$1016,COLUMN($F$1),FALSE))),VLOOKUP($C215,装備品!$1:$998,COLUMN($O$1),FALSE)*VLOOKUP($D215,素材!$1:$1016,COLUMN($E$1),FALSE)/(LEN(VLOOKUP($D215,素材!$1:$1016,COLUMN($F$1),FALSE))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O215">
        <f>IF(ISNUMBER(SEARCH(SUBSTITUTE(AO$1,RIGHT(AO$1,2),""),VLOOKUP($D215,素材!$1:$1016,COLUMN($F$1),FALSE))),VLOOKUP($C215,装備品!$1:$998,COLUMN($O$1),FALSE)*VLOOKUP($D215,素材!$1:$1016,COLUMN($E$1),FALSE)/(LEN(VLOOKUP($D215,素材!$1:$1016,COLUMN($F$1),FALSE))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P215">
        <f>IF(ISNUMBER(SEARCH(SUBSTITUTE(AP$1,RIGHT(AP$1,2),""),VLOOKUP($D215,素材!$1:$1016,COLUMN($F$1),FALSE))),VLOOKUP($C215,装備品!$1:$998,COLUMN($O$1),FALSE)*VLOOKUP($D215,素材!$1:$1016,COLUMN($E$1),FALSE)/(LEN(VLOOKUP($D215,素材!$1:$1016,COLUMN($F$1),FALSE))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Q215">
        <f>IF(ISNUMBER(SEARCH(SUBSTITUTE(AQ$1,RIGHT(AQ$1,2),""),VLOOKUP($D215,素材!$1:$1016,COLUMN($F$1),FALSE))),VLOOKUP($C215,装備品!$1:$998,COLUMN($O$1),FALSE)*VLOOKUP($D215,素材!$1:$1016,COLUMN($E$1),FALSE)/(LEN(VLOOKUP($D215,素材!$1:$1016,COLUMN($F$1),FALSE))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R215">
        <f>IF(ISNUMBER(SEARCH(SUBSTITUTE(AR$1,RIGHT(AR$1,2),""),VLOOKUP($D215,素材!$1:$1016,COLUMN($F$1),FALSE))),VLOOKUP($C215,装備品!$1:$998,COLUMN($O$1),FALSE)*VLOOKUP($D215,素材!$1:$1016,COLUMN($E$1),FALSE)/(LEN(VLOOKUP($D215,素材!$1:$1016,COLUMN($F$1),FALSE))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S215">
        <f>IF(ISNUMBER(SEARCH(SUBSTITUTE(AS$1,RIGHT(AS$1,2),""),VLOOKUP($D215,素材!$1:$1016,COLUMN($F$1),FALSE))),VLOOKUP($C215,装備品!$1:$998,COLUMN($O$1),FALSE)*VLOOKUP($D215,素材!$1:$1016,COLUMN($E$1),FALSE)/(LEN(VLOOKUP($D215,素材!$1:$1016,COLUMN($F$1),FALSE))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T215">
        <f>IF(ISNUMBER(SEARCH(SUBSTITUTE(AT$1,RIGHT(AT$1,2),""),VLOOKUP($D215,素材!$1:$1016,COLUMN($F$1),FALSE))),VLOOKUP($C215,装備品!$1:$998,COLUMN($O$1),FALSE)*VLOOKUP($D215,素材!$1:$1016,COLUMN($E$1),FALSE)/(LEN(VLOOKUP($D215,素材!$1:$1016,COLUMN($F$1),FALSE))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U215">
        <f>IF(ISNUMBER(SEARCH(SUBSTITUTE(AU$1,RIGHT(AU$1,2),""),VLOOKUP($D215,素材!$1:$1016,COLUMN($F$1),FALSE))),VLOOKUP($C215,装備品!$1:$998,COLUMN($O$1),FALSE)*VLOOKUP($D215,素材!$1:$1016,COLUMN($E$1),FALSE)/(LEN(VLOOKUP($D215,素材!$1:$1016,COLUMN($F$1),FALSE))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V215">
        <f>IF(ISNUMBER(SEARCH(SUBSTITUTE(AV$1,RIGHT(AV$1,2),""),VLOOKUP($D215,素材!$1:$1016,COLUMN($F$1),FALSE))),VLOOKUP($C215,装備品!$1:$998,COLUMN($O$1),FALSE)*VLOOKUP($D215,素材!$1:$1016,COLUMN($E$1),FALSE)/(LEN(VLOOKUP($D215,素材!$1:$1016,COLUMN($F$1),FALSE))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W215">
        <f>IF(ISNUMBER(SEARCH(SUBSTITUTE(AW$1,RIGHT(AW$1,2),""),VLOOKUP($D215,素材!$1:$1016,COLUMN($F$1),FALSE))),VLOOKUP($C215,装備品!$1:$998,COLUMN($O$1),FALSE)*VLOOKUP($D215,素材!$1:$1016,COLUMN($E$1),FALSE)/(LEN(VLOOKUP($D215,素材!$1:$1016,COLUMN($F$1),FALSE))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X215">
        <f>IF(ISNUMBER(SEARCH(SUBSTITUTE(AX$1,RIGHT(AX$1,2),""),VLOOKUP($D215,素材!$1:$1016,COLUMN($F$1),FALSE))),VLOOKUP($C215,装備品!$1:$998,COLUMN($O$1),FALSE)*VLOOKUP($D215,素材!$1:$1016,COLUMN($E$1),FALSE)/(LEN(VLOOKUP($D215,素材!$1:$1016,COLUMN($F$1),FALSE))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Y215">
        <f>IF(ISNUMBER(SEARCH(SUBSTITUTE(AY$1,RIGHT(AY$1,2),""),VLOOKUP($D215,素材!$1:$1016,COLUMN($F$1),FALSE))),VLOOKUP($C215,装備品!$1:$998,COLUMN($O$1),FALSE)*VLOOKUP($D215,素材!$1:$1016,COLUMN($E$1),FALSE)/(LEN(VLOOKUP($D215,素材!$1:$1016,COLUMN($F$1),FALSE))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Z215">
        <f>IF(ISNUMBER(SEARCH(SUBSTITUTE(AZ$1,RIGHT(AZ$1,2),""),VLOOKUP($D215,素材!$1:$1016,COLUMN($F$1),FALSE))),VLOOKUP($C215,装備品!$1:$998,COLUMN($O$1),FALSE)*VLOOKUP($D215,素材!$1:$1016,COLUMN($E$1),FALSE)/(LEN(VLOOKUP($D215,素材!$1:$1016,COLUMN($F$1),FALSE))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BA215">
        <f>IF(ISNUMBER(SEARCH(SUBSTITUTE(BA$1,RIGHT(BA$1,2),""),VLOOKUP($D215,素材!$1:$1016,COLUMN($F$1),FALSE))),VLOOKUP($C215,装備品!$1:$998,COLUMN($O$1),FALSE)*VLOOKUP($D215,素材!$1:$1016,COLUMN($E$1),FALSE)/(LEN(VLOOKUP($D215,素材!$1:$1016,COLUMN($F$1),FALSE))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BB215">
        <f>IF(ISNUMBER(SEARCH(SUBSTITUTE(BB$1,RIGHT(BB$1,2),""),VLOOKUP($D215,素材!$1:$1016,COLUMN($F$1),FALSE))),VLOOKUP($C215,装備品!$1:$998,COLUMN($O$1),FALSE)*VLOOKUP($D215,素材!$1:$1016,COLUMN($E$1),FALSE)/(LEN(VLOOKUP($D215,素材!$1:$1016,COLUMN($F$1),FALSE))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BC215">
        <f>IF(ISNUMBER(SEARCH(SUBSTITUTE(BC$1,RIGHT(BC$1,2),""),VLOOKUP($D215,素材!$1:$1016,COLUMN($F$1),FALSE))),VLOOKUP($C215,装備品!$1:$998,COLUMN($O$1),FALSE)*VLOOKUP($D215,素材!$1:$1016,COLUMN($E$1),FALSE)/(LEN(VLOOKUP($D215,素材!$1:$1016,COLUMN($F$1),FALSE))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BD215">
        <f>IF(ISNUMBER(SEARCH(SUBSTITUTE(BD$1,RIGHT(BD$1,2),""),VLOOKUP($D215,素材!$1:$1016,COLUMN($F$1),FALSE))),VLOOKUP($C215,装備品!$1:$998,COLUMN($O$1),FALSE)*VLOOKUP($D215,素材!$1:$1016,COLUMN($E$1),FALSE)/(LEN(VLOOKUP($D215,素材!$1:$1016,COLUMN($F$1),FALSE))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BE215">
        <f>IF(ISNUMBER(SEARCH(SUBSTITUTE(BE$1,RIGHT(BE$1,2),""),VLOOKUP($D215,素材!$1:$1016,COLUMN($F$1),FALSE))),VLOOKUP($C215,装備品!$1:$998,COLUMN($O$1),FALSE)*VLOOKUP($D215,素材!$1:$1016,COLUMN($E$1),FALSE)/(LEN(VLOOKUP($D215,素材!$1:$1016,COLUMN($F$1),FALSE))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CL215">
        <f t="shared" si="35"/>
        <v>16</v>
      </c>
      <c r="CM215" s="22" t="str">
        <f t="shared" si="36"/>
        <v>盾.webp</v>
      </c>
      <c r="CN215">
        <f>IFERROR(VLOOKUP($C215,装備品!$1:$998,COLUMN(V$1),FALSE)*VLOOKUP($D215,素材!$1:$1016,COLUMN(N$1),FALSE)+IF(CI215="",0,VLOOKUP($CI215,付与!$1:$1176,COLUMN($CK$1),FALSE)),"")</f>
        <v>0</v>
      </c>
      <c r="CO215">
        <f>VLOOKUP(D215,素材!$A:$O,COLUMN(素材!O$1),FALSE)</f>
        <v>0</v>
      </c>
      <c r="CP215" t="str">
        <f>VLOOKUP(C215,装備品!$A:$AB,COLUMN(装備品!AB$1),FALSE)</f>
        <v>丸盾。軽量で投擲にも使える盾。</v>
      </c>
      <c r="CR215" t="str">
        <f t="shared" si="37"/>
        <v>e_215</v>
      </c>
      <c r="CS215">
        <f t="shared" si="38"/>
        <v>0</v>
      </c>
    </row>
    <row r="216" spans="1:97" outlineLevel="1" x14ac:dyDescent="0.4">
      <c r="A216" t="str">
        <f t="shared" si="34"/>
        <v>冷気鉄の盾</v>
      </c>
      <c r="B216" t="str">
        <f>IFERROR(VLOOKUP($D216,素材!$1:$1016,COLUMN($B$1),FALSE)&amp;"・"&amp;VLOOKUP($C216,装備品!$1:$998,COLUMN(B$1),FALSE),"")</f>
        <v>ドゥララン・シールド</v>
      </c>
      <c r="C216" t="s">
        <v>220</v>
      </c>
      <c r="D216" s="24" t="s">
        <v>242</v>
      </c>
      <c r="E216" t="str">
        <f>IFERROR(VLOOKUP(C216,装備品!$1:$998,COLUMN(C$1),FALSE),"")</f>
        <v>盾</v>
      </c>
      <c r="F216">
        <f>IFERROR(ROUNDDOWN((VLOOKUP($C216,装備品!$1:$998,COLUMN(D$1),FALSE)+IFERROR(VLOOKUP($CI216,付与!$1:$1167,COLUMN(F$1),FALSE),0))*VLOOKUP($D216,素材!$1:$1016,COLUMN(D$1),FALSE),0),"")</f>
        <v>100</v>
      </c>
      <c r="G216">
        <f>IFERROR(ROUNDDOWN((VLOOKUP($C216,装備品!$1:$998,COLUMN(E$1),FALSE)+IFERROR(VLOOKUP($CI216,付与!$1:$1167,COLUMN(G$1),FALSE),0))*VLOOKUP($D216,素材!$1:$1016,COLUMN($E$1),FALSE),0),"")</f>
        <v>0</v>
      </c>
      <c r="H216">
        <f>IFERROR(ROUNDDOWN((VLOOKUP($C216,装備品!$1:$998,COLUMN(F$1),FALSE)+IFERROR(VLOOKUP($CI216,付与!$1:$1167,COLUMN(H$1),FALSE),0))*VLOOKUP($D216,素材!$1:$1016,COLUMN($E$1),FALSE),0),"")</f>
        <v>0</v>
      </c>
      <c r="I216">
        <f>IFERROR(ROUNDDOWN((VLOOKUP($C216,装備品!$1:$998,COLUMN(G$1),FALSE)+IFERROR(VLOOKUP($CI216,付与!$1:$1167,COLUMN(I$1),FALSE),0))*VLOOKUP($D216,素材!$1:$1016,COLUMN($E$1),FALSE),0),"")</f>
        <v>16</v>
      </c>
      <c r="J216">
        <f>IFERROR(ROUNDDOWN((VLOOKUP($C216,装備品!$1:$998,COLUMN(H$1),FALSE)+IFERROR(VLOOKUP($CI216,付与!$1:$1167,COLUMN(J$1),FALSE),0))*VLOOKUP($D216,素材!$1:$1016,COLUMN($E$1),FALSE),0),"")</f>
        <v>25</v>
      </c>
      <c r="K216">
        <f>IFERROR(ROUNDDOWN((VLOOKUP($C216,装備品!$1:$998,COLUMN(I$1),FALSE)+IFERROR(VLOOKUP($CI216,付与!$1:$1167,COLUMN(K$1),FALSE),0))*VLOOKUP($D216,素材!$1:$1016,COLUMN($E$1),FALSE),0),"")</f>
        <v>0</v>
      </c>
      <c r="L216" t="str">
        <f>IFERROR(VLOOKUP($D216,素材!$1:$1016,COLUMN($F$1),FALSE),"")</f>
        <v>氷</v>
      </c>
      <c r="M216">
        <f>IFERROR(VLOOKUP($C216,装備品!$1:$998,COLUMN(AA$1),FALSE)*VLOOKUP($D216,素材!$1:$1016,COLUMN($G$1),FALSE),"")</f>
        <v>52.5</v>
      </c>
      <c r="N216">
        <f>IFERROR(VLOOKUP($C216,装備品!$1:$998,COLUMN(I$1),FALSE),"")</f>
        <v>0</v>
      </c>
      <c r="O216" s="23">
        <f>IFERROR((VLOOKUP($C216,装備品!$1:$998,COLUMN(K$1),FALSE)+VLOOKUP($D216,素材!$1:$1016,COLUMN(H$1),FALSE))*100+IFERROR(VLOOKUP($CI216,付与!$1:$1167,COLUMN(O$1),FALSE),0),"")</f>
        <v>5</v>
      </c>
      <c r="P216" s="23">
        <f>IFERROR((VLOOKUP($C216,装備品!$1:$998,COLUMN(L$1),FALSE)+VLOOKUP($D216,素材!$1:$1016,COLUMN(I$1),FALSE))*100+IFERROR(VLOOKUP($CI216,付与!$1:$1167,COLUMN(P$1),FALSE),0),"")</f>
        <v>125</v>
      </c>
      <c r="Q216">
        <f>IFERROR(ROUNDUP(VLOOKUP($C216,装備品!$1:$998,COLUMN(M$1),FALSE)*(VLOOKUP($D216,素材!$1:$1002,COLUMN(D$1),FALSE)/100),1),"")</f>
        <v>0</v>
      </c>
      <c r="R216">
        <f>IFERROR(ROUNDUP(VLOOKUP($C216,装備品!$1:$998,COLUMN(N$1),FALSE)*(VLOOKUP($D216,素材!$1:$1002,COLUMN(D$1),FALSE)/100),1),"")</f>
        <v>0</v>
      </c>
      <c r="S216">
        <f>IFERROR(VLOOKUP($C216,装備品!$1:$998,COLUMN(P$1),FALSE),"")</f>
        <v>0</v>
      </c>
      <c r="T216">
        <f>IFERROR(VLOOKUP($C216,装備品!$1:$998,COLUMN(Q$1),FALSE),"")</f>
        <v>0</v>
      </c>
      <c r="U216">
        <f>IFERROR(VLOOKUP($C216,装備品!$1:$998,COLUMN(R$1),FALSE),"")</f>
        <v>0</v>
      </c>
      <c r="V216">
        <f>IFERROR(VLOOKUP($C216,装備品!$1:$998,COLUMN(Q$1),FALSE),"")</f>
        <v>0</v>
      </c>
      <c r="W216">
        <f>IFERROR(VLOOKUP($C216,装備品!$1:$998,COLUMN(T$1),FALSE),"")</f>
        <v>0</v>
      </c>
      <c r="Y216">
        <f>IFERROR(VLOOKUP($C216,装備品!$1:$998,COLUMN(U$1),FALSE),"")</f>
        <v>0</v>
      </c>
      <c r="Z216">
        <f>IFERROR(ROUNDUP(VLOOKUP($C216,装備品!$1:$998,COLUMN(O$1),FALSE)*VLOOKUP($D216,素材!$1:$1016,COLUMN(E$1),FALSE),1),"")</f>
        <v>0</v>
      </c>
      <c r="AA216">
        <f>IF(ISNUMBER(SEARCH(SUBSTITUTE(AA$1,RIGHT(AA$1,2),""),VLOOKUP($D216,素材!$1:$1016,COLUMN($F$1),FALSE))),VLOOKUP($C216,装備品!$1:$998,COLUMN($O$1),FALSE)*VLOOKUP($D216,素材!$1:$1016,COLUMN($E$1),FALSE)/(LEN(VLOOKUP($D216,素材!$1:$1016,COLUMN($F$1),FALSE))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B216">
        <f>IF(ISNUMBER(SEARCH(SUBSTITUTE(AB$1,RIGHT(AB$1,2),""),VLOOKUP($D216,素材!$1:$1016,COLUMN($F$1),FALSE))),VLOOKUP($C216,装備品!$1:$998,COLUMN($O$1),FALSE)*VLOOKUP($D216,素材!$1:$1016,COLUMN($E$1),FALSE)/(LEN(VLOOKUP($D216,素材!$1:$1016,COLUMN($F$1),FALSE))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C216">
        <f>IF(ISNUMBER(SEARCH(SUBSTITUTE(AC$1,RIGHT(AC$1,2),""),VLOOKUP($D216,素材!$1:$1016,COLUMN($F$1),FALSE))),VLOOKUP($C216,装備品!$1:$998,COLUMN($O$1),FALSE)*VLOOKUP($D216,素材!$1:$1016,COLUMN($E$1),FALSE)/(LEN(VLOOKUP($D216,素材!$1:$1016,COLUMN($F$1),FALSE))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D216">
        <f>IF(ISNUMBER(SEARCH(SUBSTITUTE(AD$1,RIGHT(AD$1,2),""),VLOOKUP($D216,素材!$1:$1016,COLUMN($F$1),FALSE))),VLOOKUP($C216,装備品!$1:$998,COLUMN($O$1),FALSE)*VLOOKUP($D216,素材!$1:$1016,COLUMN($E$1),FALSE)/(LEN(VLOOKUP($D216,素材!$1:$1016,COLUMN($F$1),FALSE))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E216">
        <f>IF(ISNUMBER(SEARCH(SUBSTITUTE(AE$1,RIGHT(AE$1,2),""),VLOOKUP($D216,素材!$1:$1016,COLUMN($F$1),FALSE))),VLOOKUP($C216,装備品!$1:$998,COLUMN($O$1),FALSE)*VLOOKUP($D216,素材!$1:$1016,COLUMN($E$1),FALSE)/(LEN(VLOOKUP($D216,素材!$1:$1016,COLUMN($F$1),FALSE))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F216">
        <f>IF(ISNUMBER(SEARCH(SUBSTITUTE(AF$1,RIGHT(AF$1,2),""),VLOOKUP($D216,素材!$1:$1016,COLUMN($F$1),FALSE))),VLOOKUP($C216,装備品!$1:$998,COLUMN($O$1),FALSE)*VLOOKUP($D216,素材!$1:$1016,COLUMN($E$1),FALSE)/(LEN(VLOOKUP($D216,素材!$1:$1016,COLUMN($F$1),FALSE))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G216">
        <f>IF(ISNUMBER(SEARCH(SUBSTITUTE(AG$1,RIGHT(AG$1,2),""),VLOOKUP($D216,素材!$1:$1016,COLUMN($F$1),FALSE))),VLOOKUP($C216,装備品!$1:$998,COLUMN($O$1),FALSE)*VLOOKUP($D216,素材!$1:$1016,COLUMN($E$1),FALSE)/(LEN(VLOOKUP($D216,素材!$1:$1016,COLUMN($F$1),FALSE))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H216">
        <f>IF(ISNUMBER(SEARCH(SUBSTITUTE(AH$1,RIGHT(AH$1,2),""),VLOOKUP($D216,素材!$1:$1016,COLUMN($F$1),FALSE))),VLOOKUP($C216,装備品!$1:$998,COLUMN($O$1),FALSE)*VLOOKUP($D216,素材!$1:$1016,COLUMN($E$1),FALSE)/(LEN(VLOOKUP($D216,素材!$1:$1016,COLUMN($F$1),FALSE))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I216">
        <f>IF(ISNUMBER(SEARCH(SUBSTITUTE(AI$1,RIGHT(AI$1,2),""),VLOOKUP($D216,素材!$1:$1016,COLUMN($F$1),FALSE))),VLOOKUP($C216,装備品!$1:$998,COLUMN($O$1),FALSE)*VLOOKUP($D216,素材!$1:$1016,COLUMN($E$1),FALSE)/(LEN(VLOOKUP($D216,素材!$1:$1016,COLUMN($F$1),FALSE))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J216">
        <f>IF(ISNUMBER(SEARCH(SUBSTITUTE(AJ$1,RIGHT(AJ$1,2),""),VLOOKUP($D216,素材!$1:$1016,COLUMN($F$1),FALSE))),VLOOKUP($C216,装備品!$1:$998,COLUMN($O$1),FALSE)*VLOOKUP($D216,素材!$1:$1016,COLUMN($E$1),FALSE)/(LEN(VLOOKUP($D216,素材!$1:$1016,COLUMN($F$1),FALSE))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K216">
        <f>IF(ISNUMBER(SEARCH(SUBSTITUTE(AK$1,RIGHT(AK$1,2),""),VLOOKUP($D216,素材!$1:$1016,COLUMN($F$1),FALSE))),VLOOKUP($C216,装備品!$1:$998,COLUMN($O$1),FALSE)*VLOOKUP($D216,素材!$1:$1016,COLUMN($E$1),FALSE)/(LEN(VLOOKUP($D216,素材!$1:$1016,COLUMN($F$1),FALSE))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L216">
        <f>IF(ISNUMBER(SEARCH(SUBSTITUTE(AL$1,RIGHT(AL$1,2),""),VLOOKUP($D216,素材!$1:$1016,COLUMN($F$1),FALSE))),VLOOKUP($C216,装備品!$1:$998,COLUMN($O$1),FALSE)*VLOOKUP($D216,素材!$1:$1016,COLUMN($E$1),FALSE)/(LEN(VLOOKUP($D216,素材!$1:$1016,COLUMN($F$1),FALSE))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M216">
        <f>IF(ISNUMBER(SEARCH(SUBSTITUTE(AM$1,RIGHT(AM$1,2),""),VLOOKUP($D216,素材!$1:$1016,COLUMN($F$1),FALSE))),VLOOKUP($C216,装備品!$1:$998,COLUMN($O$1),FALSE)*VLOOKUP($D216,素材!$1:$1016,COLUMN($E$1),FALSE)/(LEN(VLOOKUP($D216,素材!$1:$1016,COLUMN($F$1),FALSE))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N216">
        <f>IF(ISNUMBER(SEARCH(SUBSTITUTE(AN$1,RIGHT(AN$1,2),""),VLOOKUP($D216,素材!$1:$1016,COLUMN($F$1),FALSE))),VLOOKUP($C216,装備品!$1:$998,COLUMN($O$1),FALSE)*VLOOKUP($D216,素材!$1:$1016,COLUMN($E$1),FALSE)/(LEN(VLOOKUP($D216,素材!$1:$1016,COLUMN($F$1),FALSE))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O216">
        <f>IF(ISNUMBER(SEARCH(SUBSTITUTE(AO$1,RIGHT(AO$1,2),""),VLOOKUP($D216,素材!$1:$1016,COLUMN($F$1),FALSE))),VLOOKUP($C216,装備品!$1:$998,COLUMN($O$1),FALSE)*VLOOKUP($D216,素材!$1:$1016,COLUMN($E$1),FALSE)/(LEN(VLOOKUP($D216,素材!$1:$1016,COLUMN($F$1),FALSE))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P216">
        <f>IF(ISNUMBER(SEARCH(SUBSTITUTE(AP$1,RIGHT(AP$1,2),""),VLOOKUP($D216,素材!$1:$1016,COLUMN($F$1),FALSE))),VLOOKUP($C216,装備品!$1:$998,COLUMN($O$1),FALSE)*VLOOKUP($D216,素材!$1:$1016,COLUMN($E$1),FALSE)/(LEN(VLOOKUP($D216,素材!$1:$1016,COLUMN($F$1),FALSE))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Q216">
        <f>IF(ISNUMBER(SEARCH(SUBSTITUTE(AQ$1,RIGHT(AQ$1,2),""),VLOOKUP($D216,素材!$1:$1016,COLUMN($F$1),FALSE))),VLOOKUP($C216,装備品!$1:$998,COLUMN($O$1),FALSE)*VLOOKUP($D216,素材!$1:$1016,COLUMN($E$1),FALSE)/(LEN(VLOOKUP($D216,素材!$1:$1016,COLUMN($F$1),FALSE))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R216">
        <f>IF(ISNUMBER(SEARCH(SUBSTITUTE(AR$1,RIGHT(AR$1,2),""),VLOOKUP($D216,素材!$1:$1016,COLUMN($F$1),FALSE))),VLOOKUP($C216,装備品!$1:$998,COLUMN($O$1),FALSE)*VLOOKUP($D216,素材!$1:$1016,COLUMN($E$1),FALSE)/(LEN(VLOOKUP($D216,素材!$1:$1016,COLUMN($F$1),FALSE))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S216">
        <f>IF(ISNUMBER(SEARCH(SUBSTITUTE(AS$1,RIGHT(AS$1,2),""),VLOOKUP($D216,素材!$1:$1016,COLUMN($F$1),FALSE))),VLOOKUP($C216,装備品!$1:$998,COLUMN($O$1),FALSE)*VLOOKUP($D216,素材!$1:$1016,COLUMN($E$1),FALSE)/(LEN(VLOOKUP($D216,素材!$1:$1016,COLUMN($F$1),FALSE))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T216">
        <f>IF(ISNUMBER(SEARCH(SUBSTITUTE(AT$1,RIGHT(AT$1,2),""),VLOOKUP($D216,素材!$1:$1016,COLUMN($F$1),FALSE))),VLOOKUP($C216,装備品!$1:$998,COLUMN($O$1),FALSE)*VLOOKUP($D216,素材!$1:$1016,COLUMN($E$1),FALSE)/(LEN(VLOOKUP($D216,素材!$1:$1016,COLUMN($F$1),FALSE))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U216">
        <f>IF(ISNUMBER(SEARCH(SUBSTITUTE(AU$1,RIGHT(AU$1,2),""),VLOOKUP($D216,素材!$1:$1016,COLUMN($F$1),FALSE))),VLOOKUP($C216,装備品!$1:$998,COLUMN($O$1),FALSE)*VLOOKUP($D216,素材!$1:$1016,COLUMN($E$1),FALSE)/(LEN(VLOOKUP($D216,素材!$1:$1016,COLUMN($F$1),FALSE))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V216">
        <f>IF(ISNUMBER(SEARCH(SUBSTITUTE(AV$1,RIGHT(AV$1,2),""),VLOOKUP($D216,素材!$1:$1016,COLUMN($F$1),FALSE))),VLOOKUP($C216,装備品!$1:$998,COLUMN($O$1),FALSE)*VLOOKUP($D216,素材!$1:$1016,COLUMN($E$1),FALSE)/(LEN(VLOOKUP($D216,素材!$1:$1016,COLUMN($F$1),FALSE))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W216">
        <f>IF(ISNUMBER(SEARCH(SUBSTITUTE(AW$1,RIGHT(AW$1,2),""),VLOOKUP($D216,素材!$1:$1016,COLUMN($F$1),FALSE))),VLOOKUP($C216,装備品!$1:$998,COLUMN($O$1),FALSE)*VLOOKUP($D216,素材!$1:$1016,COLUMN($E$1),FALSE)/(LEN(VLOOKUP($D216,素材!$1:$1016,COLUMN($F$1),FALSE))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X216">
        <f>IF(ISNUMBER(SEARCH(SUBSTITUTE(AX$1,RIGHT(AX$1,2),""),VLOOKUP($D216,素材!$1:$1016,COLUMN($F$1),FALSE))),VLOOKUP($C216,装備品!$1:$998,COLUMN($O$1),FALSE)*VLOOKUP($D216,素材!$1:$1016,COLUMN($E$1),FALSE)/(LEN(VLOOKUP($D216,素材!$1:$1016,COLUMN($F$1),FALSE))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Y216">
        <f>IF(ISNUMBER(SEARCH(SUBSTITUTE(AY$1,RIGHT(AY$1,2),""),VLOOKUP($D216,素材!$1:$1016,COLUMN($F$1),FALSE))),VLOOKUP($C216,装備品!$1:$998,COLUMN($O$1),FALSE)*VLOOKUP($D216,素材!$1:$1016,COLUMN($E$1),FALSE)/(LEN(VLOOKUP($D216,素材!$1:$1016,COLUMN($F$1),FALSE))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Z216">
        <f>IF(ISNUMBER(SEARCH(SUBSTITUTE(AZ$1,RIGHT(AZ$1,2),""),VLOOKUP($D216,素材!$1:$1016,COLUMN($F$1),FALSE))),VLOOKUP($C216,装備品!$1:$998,COLUMN($O$1),FALSE)*VLOOKUP($D216,素材!$1:$1016,COLUMN($E$1),FALSE)/(LEN(VLOOKUP($D216,素材!$1:$1016,COLUMN($F$1),FALSE))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BA216">
        <f>IF(ISNUMBER(SEARCH(SUBSTITUTE(BA$1,RIGHT(BA$1,2),""),VLOOKUP($D216,素材!$1:$1016,COLUMN($F$1),FALSE))),VLOOKUP($C216,装備品!$1:$998,COLUMN($O$1),FALSE)*VLOOKUP($D216,素材!$1:$1016,COLUMN($E$1),FALSE)/(LEN(VLOOKUP($D216,素材!$1:$1016,COLUMN($F$1),FALSE))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BB216">
        <f>IF(ISNUMBER(SEARCH(SUBSTITUTE(BB$1,RIGHT(BB$1,2),""),VLOOKUP($D216,素材!$1:$1016,COLUMN($F$1),FALSE))),VLOOKUP($C216,装備品!$1:$998,COLUMN($O$1),FALSE)*VLOOKUP($D216,素材!$1:$1016,COLUMN($E$1),FALSE)/(LEN(VLOOKUP($D216,素材!$1:$1016,COLUMN($F$1),FALSE))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BC216">
        <f>IF(ISNUMBER(SEARCH(SUBSTITUTE(BC$1,RIGHT(BC$1,2),""),VLOOKUP($D216,素材!$1:$1016,COLUMN($F$1),FALSE))),VLOOKUP($C216,装備品!$1:$998,COLUMN($O$1),FALSE)*VLOOKUP($D216,素材!$1:$1016,COLUMN($E$1),FALSE)/(LEN(VLOOKUP($D216,素材!$1:$1016,COLUMN($F$1),FALSE))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BD216">
        <f>IF(ISNUMBER(SEARCH(SUBSTITUTE(BD$1,RIGHT(BD$1,2),""),VLOOKUP($D216,素材!$1:$1016,COLUMN($F$1),FALSE))),VLOOKUP($C216,装備品!$1:$998,COLUMN($O$1),FALSE)*VLOOKUP($D216,素材!$1:$1016,COLUMN($E$1),FALSE)/(LEN(VLOOKUP($D216,素材!$1:$1016,COLUMN($F$1),FALSE))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BE216">
        <f>IF(ISNUMBER(SEARCH(SUBSTITUTE(BE$1,RIGHT(BE$1,2),""),VLOOKUP($D216,素材!$1:$1016,COLUMN($F$1),FALSE))),VLOOKUP($C216,装備品!$1:$998,COLUMN($O$1),FALSE)*VLOOKUP($D216,素材!$1:$1016,COLUMN($E$1),FALSE)/(LEN(VLOOKUP($D216,素材!$1:$1016,COLUMN($F$1),FALSE))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CL216">
        <f t="shared" si="35"/>
        <v>16</v>
      </c>
      <c r="CM216" s="22" t="str">
        <f t="shared" si="36"/>
        <v>盾.webp</v>
      </c>
      <c r="CN216">
        <f>IFERROR(VLOOKUP($C216,装備品!$1:$998,COLUMN(V$1),FALSE)*VLOOKUP($D216,素材!$1:$1016,COLUMN(N$1),FALSE)+IF(CI216="",0,VLOOKUP($CI216,付与!$1:$1176,COLUMN($CK$1),FALSE)),"")</f>
        <v>0</v>
      </c>
      <c r="CO216">
        <f>VLOOKUP(D216,素材!$A:$O,COLUMN(素材!O$1),FALSE)</f>
        <v>0</v>
      </c>
      <c r="CP216" t="str">
        <f>VLOOKUP(C216,装備品!$A:$AB,COLUMN(装備品!AB$1),FALSE)</f>
        <v>盾。防御力が高く、汎用性がある防具。</v>
      </c>
      <c r="CR216" t="str">
        <f t="shared" si="37"/>
        <v>e_216</v>
      </c>
      <c r="CS216">
        <f t="shared" si="38"/>
        <v>0</v>
      </c>
    </row>
    <row r="217" spans="1:97" outlineLevel="1" x14ac:dyDescent="0.4">
      <c r="A217" t="str">
        <f t="shared" si="34"/>
        <v>冷気鉄の丸大盾</v>
      </c>
      <c r="B217" t="str">
        <f>IFERROR(VLOOKUP($D217,素材!$1:$1016,COLUMN($B$1),FALSE)&amp;"・"&amp;VLOOKUP($C217,装備品!$1:$998,COLUMN(B$1),FALSE),"")</f>
        <v>ドゥララン・ラウンドシールド</v>
      </c>
      <c r="C217" t="s">
        <v>219</v>
      </c>
      <c r="D217" s="24" t="s">
        <v>242</v>
      </c>
      <c r="E217" t="str">
        <f>IFERROR(VLOOKUP(C217,装備品!$1:$998,COLUMN(C$1),FALSE),"")</f>
        <v>盾</v>
      </c>
      <c r="F217">
        <f>IFERROR(ROUNDDOWN((VLOOKUP($C217,装備品!$1:$998,COLUMN(D$1),FALSE)+IFERROR(VLOOKUP($CI217,付与!$1:$1167,COLUMN(F$1),FALSE),0))*VLOOKUP($D217,素材!$1:$1016,COLUMN(D$1),FALSE),0),"")</f>
        <v>110</v>
      </c>
      <c r="G217">
        <f>IFERROR(ROUNDDOWN((VLOOKUP($C217,装備品!$1:$998,COLUMN(E$1),FALSE)+IFERROR(VLOOKUP($CI217,付与!$1:$1167,COLUMN(G$1),FALSE),0))*VLOOKUP($D217,素材!$1:$1016,COLUMN($E$1),FALSE),0),"")</f>
        <v>9</v>
      </c>
      <c r="H217">
        <f>IFERROR(ROUNDDOWN((VLOOKUP($C217,装備品!$1:$998,COLUMN(F$1),FALSE)+IFERROR(VLOOKUP($CI217,付与!$1:$1167,COLUMN(H$1),FALSE),0))*VLOOKUP($D217,素材!$1:$1016,COLUMN($E$1),FALSE),0),"")</f>
        <v>0</v>
      </c>
      <c r="I217">
        <f>IFERROR(ROUNDDOWN((VLOOKUP($C217,装備品!$1:$998,COLUMN(G$1),FALSE)+IFERROR(VLOOKUP($CI217,付与!$1:$1167,COLUMN(I$1),FALSE),0))*VLOOKUP($D217,素材!$1:$1016,COLUMN($E$1),FALSE),0),"")</f>
        <v>9</v>
      </c>
      <c r="J217">
        <f>IFERROR(ROUNDDOWN((VLOOKUP($C217,装備品!$1:$998,COLUMN(H$1),FALSE)+IFERROR(VLOOKUP($CI217,付与!$1:$1167,COLUMN(J$1),FALSE),0))*VLOOKUP($D217,素材!$1:$1016,COLUMN($E$1),FALSE),0),"")</f>
        <v>25</v>
      </c>
      <c r="K217">
        <f>IFERROR(ROUNDDOWN((VLOOKUP($C217,装備品!$1:$998,COLUMN(I$1),FALSE)+IFERROR(VLOOKUP($CI217,付与!$1:$1167,COLUMN(K$1),FALSE),0))*VLOOKUP($D217,素材!$1:$1016,COLUMN($E$1),FALSE),0),"")</f>
        <v>0</v>
      </c>
      <c r="L217" t="str">
        <f>IFERROR(VLOOKUP($D217,素材!$1:$1016,COLUMN($F$1),FALSE),"")</f>
        <v>氷</v>
      </c>
      <c r="M217">
        <f>IFERROR(VLOOKUP($C217,装備品!$1:$998,COLUMN(AA$1),FALSE)*VLOOKUP($D217,素材!$1:$1016,COLUMN($G$1),FALSE),"")</f>
        <v>70</v>
      </c>
      <c r="N217">
        <f>IFERROR(VLOOKUP($C217,装備品!$1:$998,COLUMN(I$1),FALSE),"")</f>
        <v>0</v>
      </c>
      <c r="O217" s="23">
        <f>IFERROR((VLOOKUP($C217,装備品!$1:$998,COLUMN(K$1),FALSE)+VLOOKUP($D217,素材!$1:$1016,COLUMN(H$1),FALSE))*100+IFERROR(VLOOKUP($CI217,付与!$1:$1167,COLUMN(O$1),FALSE),0),"")</f>
        <v>5</v>
      </c>
      <c r="P217" s="23">
        <f>IFERROR((VLOOKUP($C217,装備品!$1:$998,COLUMN(L$1),FALSE)+VLOOKUP($D217,素材!$1:$1016,COLUMN(I$1),FALSE))*100+IFERROR(VLOOKUP($CI217,付与!$1:$1167,COLUMN(P$1),FALSE),0),"")</f>
        <v>125</v>
      </c>
      <c r="Q217">
        <f>IFERROR(ROUNDUP(VLOOKUP($C217,装備品!$1:$998,COLUMN(M$1),FALSE)*(VLOOKUP($D217,素材!$1:$1002,COLUMN(D$1),FALSE)/100),1),"")</f>
        <v>-5</v>
      </c>
      <c r="R217">
        <f>IFERROR(ROUNDUP(VLOOKUP($C217,装備品!$1:$998,COLUMN(N$1),FALSE)*(VLOOKUP($D217,素材!$1:$1002,COLUMN(D$1),FALSE)/100),1),"")</f>
        <v>0</v>
      </c>
      <c r="S217">
        <f>IFERROR(VLOOKUP($C217,装備品!$1:$998,COLUMN(P$1),FALSE),"")</f>
        <v>0</v>
      </c>
      <c r="T217">
        <f>IFERROR(VLOOKUP($C217,装備品!$1:$998,COLUMN(Q$1),FALSE),"")</f>
        <v>0</v>
      </c>
      <c r="U217">
        <f>IFERROR(VLOOKUP($C217,装備品!$1:$998,COLUMN(R$1),FALSE),"")</f>
        <v>0</v>
      </c>
      <c r="V217">
        <f>IFERROR(VLOOKUP($C217,装備品!$1:$998,COLUMN(Q$1),FALSE),"")</f>
        <v>0</v>
      </c>
      <c r="W217">
        <f>IFERROR(VLOOKUP($C217,装備品!$1:$998,COLUMN(T$1),FALSE),"")</f>
        <v>0</v>
      </c>
      <c r="Y217">
        <f>IFERROR(VLOOKUP($C217,装備品!$1:$998,COLUMN(U$1),FALSE),"")</f>
        <v>0</v>
      </c>
      <c r="Z217">
        <f>IFERROR(ROUNDUP(VLOOKUP($C217,装備品!$1:$998,COLUMN(O$1),FALSE)*VLOOKUP($D217,素材!$1:$1016,COLUMN(E$1),FALSE),1),"")</f>
        <v>0</v>
      </c>
      <c r="AA217">
        <f>IF(ISNUMBER(SEARCH(SUBSTITUTE(AA$1,RIGHT(AA$1,2),""),VLOOKUP($D217,素材!$1:$1016,COLUMN($F$1),FALSE))),VLOOKUP($C217,装備品!$1:$998,COLUMN($O$1),FALSE)*VLOOKUP($D217,素材!$1:$1016,COLUMN($E$1),FALSE)/(LEN(VLOOKUP($D217,素材!$1:$1016,COLUMN($F$1),FALSE))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B217">
        <f>IF(ISNUMBER(SEARCH(SUBSTITUTE(AB$1,RIGHT(AB$1,2),""),VLOOKUP($D217,素材!$1:$1016,COLUMN($F$1),FALSE))),VLOOKUP($C217,装備品!$1:$998,COLUMN($O$1),FALSE)*VLOOKUP($D217,素材!$1:$1016,COLUMN($E$1),FALSE)/(LEN(VLOOKUP($D217,素材!$1:$1016,COLUMN($F$1),FALSE))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C217">
        <f>IF(ISNUMBER(SEARCH(SUBSTITUTE(AC$1,RIGHT(AC$1,2),""),VLOOKUP($D217,素材!$1:$1016,COLUMN($F$1),FALSE))),VLOOKUP($C217,装備品!$1:$998,COLUMN($O$1),FALSE)*VLOOKUP($D217,素材!$1:$1016,COLUMN($E$1),FALSE)/(LEN(VLOOKUP($D217,素材!$1:$1016,COLUMN($F$1),FALSE))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D217">
        <f>IF(ISNUMBER(SEARCH(SUBSTITUTE(AD$1,RIGHT(AD$1,2),""),VLOOKUP($D217,素材!$1:$1016,COLUMN($F$1),FALSE))),VLOOKUP($C217,装備品!$1:$998,COLUMN($O$1),FALSE)*VLOOKUP($D217,素材!$1:$1016,COLUMN($E$1),FALSE)/(LEN(VLOOKUP($D217,素材!$1:$1016,COLUMN($F$1),FALSE))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E217">
        <f>IF(ISNUMBER(SEARCH(SUBSTITUTE(AE$1,RIGHT(AE$1,2),""),VLOOKUP($D217,素材!$1:$1016,COLUMN($F$1),FALSE))),VLOOKUP($C217,装備品!$1:$998,COLUMN($O$1),FALSE)*VLOOKUP($D217,素材!$1:$1016,COLUMN($E$1),FALSE)/(LEN(VLOOKUP($D217,素材!$1:$1016,COLUMN($F$1),FALSE))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F217">
        <f>IF(ISNUMBER(SEARCH(SUBSTITUTE(AF$1,RIGHT(AF$1,2),""),VLOOKUP($D217,素材!$1:$1016,COLUMN($F$1),FALSE))),VLOOKUP($C217,装備品!$1:$998,COLUMN($O$1),FALSE)*VLOOKUP($D217,素材!$1:$1016,COLUMN($E$1),FALSE)/(LEN(VLOOKUP($D217,素材!$1:$1016,COLUMN($F$1),FALSE))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G217">
        <f>IF(ISNUMBER(SEARCH(SUBSTITUTE(AG$1,RIGHT(AG$1,2),""),VLOOKUP($D217,素材!$1:$1016,COLUMN($F$1),FALSE))),VLOOKUP($C217,装備品!$1:$998,COLUMN($O$1),FALSE)*VLOOKUP($D217,素材!$1:$1016,COLUMN($E$1),FALSE)/(LEN(VLOOKUP($D217,素材!$1:$1016,COLUMN($F$1),FALSE))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H217">
        <f>IF(ISNUMBER(SEARCH(SUBSTITUTE(AH$1,RIGHT(AH$1,2),""),VLOOKUP($D217,素材!$1:$1016,COLUMN($F$1),FALSE))),VLOOKUP($C217,装備品!$1:$998,COLUMN($O$1),FALSE)*VLOOKUP($D217,素材!$1:$1016,COLUMN($E$1),FALSE)/(LEN(VLOOKUP($D217,素材!$1:$1016,COLUMN($F$1),FALSE))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I217">
        <f>IF(ISNUMBER(SEARCH(SUBSTITUTE(AI$1,RIGHT(AI$1,2),""),VLOOKUP($D217,素材!$1:$1016,COLUMN($F$1),FALSE))),VLOOKUP($C217,装備品!$1:$998,COLUMN($O$1),FALSE)*VLOOKUP($D217,素材!$1:$1016,COLUMN($E$1),FALSE)/(LEN(VLOOKUP($D217,素材!$1:$1016,COLUMN($F$1),FALSE))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J217">
        <f>IF(ISNUMBER(SEARCH(SUBSTITUTE(AJ$1,RIGHT(AJ$1,2),""),VLOOKUP($D217,素材!$1:$1016,COLUMN($F$1),FALSE))),VLOOKUP($C217,装備品!$1:$998,COLUMN($O$1),FALSE)*VLOOKUP($D217,素材!$1:$1016,COLUMN($E$1),FALSE)/(LEN(VLOOKUP($D217,素材!$1:$1016,COLUMN($F$1),FALSE))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K217">
        <f>IF(ISNUMBER(SEARCH(SUBSTITUTE(AK$1,RIGHT(AK$1,2),""),VLOOKUP($D217,素材!$1:$1016,COLUMN($F$1),FALSE))),VLOOKUP($C217,装備品!$1:$998,COLUMN($O$1),FALSE)*VLOOKUP($D217,素材!$1:$1016,COLUMN($E$1),FALSE)/(LEN(VLOOKUP($D217,素材!$1:$1016,COLUMN($F$1),FALSE))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L217">
        <f>IF(ISNUMBER(SEARCH(SUBSTITUTE(AL$1,RIGHT(AL$1,2),""),VLOOKUP($D217,素材!$1:$1016,COLUMN($F$1),FALSE))),VLOOKUP($C217,装備品!$1:$998,COLUMN($O$1),FALSE)*VLOOKUP($D217,素材!$1:$1016,COLUMN($E$1),FALSE)/(LEN(VLOOKUP($D217,素材!$1:$1016,COLUMN($F$1),FALSE))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M217">
        <f>IF(ISNUMBER(SEARCH(SUBSTITUTE(AM$1,RIGHT(AM$1,2),""),VLOOKUP($D217,素材!$1:$1016,COLUMN($F$1),FALSE))),VLOOKUP($C217,装備品!$1:$998,COLUMN($O$1),FALSE)*VLOOKUP($D217,素材!$1:$1016,COLUMN($E$1),FALSE)/(LEN(VLOOKUP($D217,素材!$1:$1016,COLUMN($F$1),FALSE))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N217">
        <f>IF(ISNUMBER(SEARCH(SUBSTITUTE(AN$1,RIGHT(AN$1,2),""),VLOOKUP($D217,素材!$1:$1016,COLUMN($F$1),FALSE))),VLOOKUP($C217,装備品!$1:$998,COLUMN($O$1),FALSE)*VLOOKUP($D217,素材!$1:$1016,COLUMN($E$1),FALSE)/(LEN(VLOOKUP($D217,素材!$1:$1016,COLUMN($F$1),FALSE))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O217">
        <f>IF(ISNUMBER(SEARCH(SUBSTITUTE(AO$1,RIGHT(AO$1,2),""),VLOOKUP($D217,素材!$1:$1016,COLUMN($F$1),FALSE))),VLOOKUP($C217,装備品!$1:$998,COLUMN($O$1),FALSE)*VLOOKUP($D217,素材!$1:$1016,COLUMN($E$1),FALSE)/(LEN(VLOOKUP($D217,素材!$1:$1016,COLUMN($F$1),FALSE))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P217">
        <f>IF(ISNUMBER(SEARCH(SUBSTITUTE(AP$1,RIGHT(AP$1,2),""),VLOOKUP($D217,素材!$1:$1016,COLUMN($F$1),FALSE))),VLOOKUP($C217,装備品!$1:$998,COLUMN($O$1),FALSE)*VLOOKUP($D217,素材!$1:$1016,COLUMN($E$1),FALSE)/(LEN(VLOOKUP($D217,素材!$1:$1016,COLUMN($F$1),FALSE))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Q217">
        <f>IF(ISNUMBER(SEARCH(SUBSTITUTE(AQ$1,RIGHT(AQ$1,2),""),VLOOKUP($D217,素材!$1:$1016,COLUMN($F$1),FALSE))),VLOOKUP($C217,装備品!$1:$998,COLUMN($O$1),FALSE)*VLOOKUP($D217,素材!$1:$1016,COLUMN($E$1),FALSE)/(LEN(VLOOKUP($D217,素材!$1:$1016,COLUMN($F$1),FALSE))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R217">
        <f>IF(ISNUMBER(SEARCH(SUBSTITUTE(AR$1,RIGHT(AR$1,2),""),VLOOKUP($D217,素材!$1:$1016,COLUMN($F$1),FALSE))),VLOOKUP($C217,装備品!$1:$998,COLUMN($O$1),FALSE)*VLOOKUP($D217,素材!$1:$1016,COLUMN($E$1),FALSE)/(LEN(VLOOKUP($D217,素材!$1:$1016,COLUMN($F$1),FALSE))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S217">
        <f>IF(ISNUMBER(SEARCH(SUBSTITUTE(AS$1,RIGHT(AS$1,2),""),VLOOKUP($D217,素材!$1:$1016,COLUMN($F$1),FALSE))),VLOOKUP($C217,装備品!$1:$998,COLUMN($O$1),FALSE)*VLOOKUP($D217,素材!$1:$1016,COLUMN($E$1),FALSE)/(LEN(VLOOKUP($D217,素材!$1:$1016,COLUMN($F$1),FALSE))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T217">
        <f>IF(ISNUMBER(SEARCH(SUBSTITUTE(AT$1,RIGHT(AT$1,2),""),VLOOKUP($D217,素材!$1:$1016,COLUMN($F$1),FALSE))),VLOOKUP($C217,装備品!$1:$998,COLUMN($O$1),FALSE)*VLOOKUP($D217,素材!$1:$1016,COLUMN($E$1),FALSE)/(LEN(VLOOKUP($D217,素材!$1:$1016,COLUMN($F$1),FALSE))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U217">
        <f>IF(ISNUMBER(SEARCH(SUBSTITUTE(AU$1,RIGHT(AU$1,2),""),VLOOKUP($D217,素材!$1:$1016,COLUMN($F$1),FALSE))),VLOOKUP($C217,装備品!$1:$998,COLUMN($O$1),FALSE)*VLOOKUP($D217,素材!$1:$1016,COLUMN($E$1),FALSE)/(LEN(VLOOKUP($D217,素材!$1:$1016,COLUMN($F$1),FALSE))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V217">
        <f>IF(ISNUMBER(SEARCH(SUBSTITUTE(AV$1,RIGHT(AV$1,2),""),VLOOKUP($D217,素材!$1:$1016,COLUMN($F$1),FALSE))),VLOOKUP($C217,装備品!$1:$998,COLUMN($O$1),FALSE)*VLOOKUP($D217,素材!$1:$1016,COLUMN($E$1),FALSE)/(LEN(VLOOKUP($D217,素材!$1:$1016,COLUMN($F$1),FALSE))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W217">
        <f>IF(ISNUMBER(SEARCH(SUBSTITUTE(AW$1,RIGHT(AW$1,2),""),VLOOKUP($D217,素材!$1:$1016,COLUMN($F$1),FALSE))),VLOOKUP($C217,装備品!$1:$998,COLUMN($O$1),FALSE)*VLOOKUP($D217,素材!$1:$1016,COLUMN($E$1),FALSE)/(LEN(VLOOKUP($D217,素材!$1:$1016,COLUMN($F$1),FALSE))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X217">
        <f>IF(ISNUMBER(SEARCH(SUBSTITUTE(AX$1,RIGHT(AX$1,2),""),VLOOKUP($D217,素材!$1:$1016,COLUMN($F$1),FALSE))),VLOOKUP($C217,装備品!$1:$998,COLUMN($O$1),FALSE)*VLOOKUP($D217,素材!$1:$1016,COLUMN($E$1),FALSE)/(LEN(VLOOKUP($D217,素材!$1:$1016,COLUMN($F$1),FALSE))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Y217">
        <f>IF(ISNUMBER(SEARCH(SUBSTITUTE(AY$1,RIGHT(AY$1,2),""),VLOOKUP($D217,素材!$1:$1016,COLUMN($F$1),FALSE))),VLOOKUP($C217,装備品!$1:$998,COLUMN($O$1),FALSE)*VLOOKUP($D217,素材!$1:$1016,COLUMN($E$1),FALSE)/(LEN(VLOOKUP($D217,素材!$1:$1016,COLUMN($F$1),FALSE))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Z217">
        <f>IF(ISNUMBER(SEARCH(SUBSTITUTE(AZ$1,RIGHT(AZ$1,2),""),VLOOKUP($D217,素材!$1:$1016,COLUMN($F$1),FALSE))),VLOOKUP($C217,装備品!$1:$998,COLUMN($O$1),FALSE)*VLOOKUP($D217,素材!$1:$1016,COLUMN($E$1),FALSE)/(LEN(VLOOKUP($D217,素材!$1:$1016,COLUMN($F$1),FALSE))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BA217">
        <f>IF(ISNUMBER(SEARCH(SUBSTITUTE(BA$1,RIGHT(BA$1,2),""),VLOOKUP($D217,素材!$1:$1016,COLUMN($F$1),FALSE))),VLOOKUP($C217,装備品!$1:$998,COLUMN($O$1),FALSE)*VLOOKUP($D217,素材!$1:$1016,COLUMN($E$1),FALSE)/(LEN(VLOOKUP($D217,素材!$1:$1016,COLUMN($F$1),FALSE))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BB217">
        <f>IF(ISNUMBER(SEARCH(SUBSTITUTE(BB$1,RIGHT(BB$1,2),""),VLOOKUP($D217,素材!$1:$1016,COLUMN($F$1),FALSE))),VLOOKUP($C217,装備品!$1:$998,COLUMN($O$1),FALSE)*VLOOKUP($D217,素材!$1:$1016,COLUMN($E$1),FALSE)/(LEN(VLOOKUP($D217,素材!$1:$1016,COLUMN($F$1),FALSE))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BC217">
        <f>IF(ISNUMBER(SEARCH(SUBSTITUTE(BC$1,RIGHT(BC$1,2),""),VLOOKUP($D217,素材!$1:$1016,COLUMN($F$1),FALSE))),VLOOKUP($C217,装備品!$1:$998,COLUMN($O$1),FALSE)*VLOOKUP($D217,素材!$1:$1016,COLUMN($E$1),FALSE)/(LEN(VLOOKUP($D217,素材!$1:$1016,COLUMN($F$1),FALSE))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BD217">
        <f>IF(ISNUMBER(SEARCH(SUBSTITUTE(BD$1,RIGHT(BD$1,2),""),VLOOKUP($D217,素材!$1:$1016,COLUMN($F$1),FALSE))),VLOOKUP($C217,装備品!$1:$998,COLUMN($O$1),FALSE)*VLOOKUP($D217,素材!$1:$1016,COLUMN($E$1),FALSE)/(LEN(VLOOKUP($D217,素材!$1:$1016,COLUMN($F$1),FALSE))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BE217">
        <f>IF(ISNUMBER(SEARCH(SUBSTITUTE(BE$1,RIGHT(BE$1,2),""),VLOOKUP($D217,素材!$1:$1016,COLUMN($F$1),FALSE))),VLOOKUP($C217,装備品!$1:$998,COLUMN($O$1),FALSE)*VLOOKUP($D217,素材!$1:$1016,COLUMN($E$1),FALSE)/(LEN(VLOOKUP($D217,素材!$1:$1016,COLUMN($F$1),FALSE))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CL217">
        <f t="shared" si="35"/>
        <v>18</v>
      </c>
      <c r="CM217" s="22" t="str">
        <f t="shared" si="36"/>
        <v>盾.webp</v>
      </c>
      <c r="CN217">
        <f>IFERROR(VLOOKUP($C217,装備品!$1:$998,COLUMN(V$1),FALSE)*VLOOKUP($D217,素材!$1:$1016,COLUMN(N$1),FALSE)+IF(CI217="",0,VLOOKUP($CI217,付与!$1:$1176,COLUMN($CK$1),FALSE)),"")</f>
        <v>0</v>
      </c>
      <c r="CO217">
        <f>VLOOKUP(D217,素材!$A:$O,COLUMN(素材!O$1),FALSE)</f>
        <v>0</v>
      </c>
      <c r="CP217" t="str">
        <f>VLOOKUP(C217,装備品!$A:$AB,COLUMN(装備品!AB$1),FALSE)</f>
        <v>丸大盾。防御範囲が広く、投擲も可能。</v>
      </c>
      <c r="CR217" t="str">
        <f t="shared" si="37"/>
        <v>e_217</v>
      </c>
      <c r="CS217">
        <f t="shared" si="38"/>
        <v>0</v>
      </c>
    </row>
    <row r="218" spans="1:97" outlineLevel="1" x14ac:dyDescent="0.4">
      <c r="A218" t="str">
        <f t="shared" si="34"/>
        <v>冷気鉄の大盾</v>
      </c>
      <c r="B218" t="str">
        <f>IFERROR(VLOOKUP($D218,素材!$1:$1016,COLUMN($B$1),FALSE)&amp;"・"&amp;VLOOKUP($C218,装備品!$1:$998,COLUMN(B$1),FALSE),"")</f>
        <v>ドゥララン・ラージシールド</v>
      </c>
      <c r="C218" t="s">
        <v>218</v>
      </c>
      <c r="D218" s="24" t="s">
        <v>242</v>
      </c>
      <c r="E218" t="str">
        <f>IFERROR(VLOOKUP(C218,装備品!$1:$998,COLUMN(C$1),FALSE),"")</f>
        <v>盾</v>
      </c>
      <c r="F218">
        <f>IFERROR(ROUNDDOWN((VLOOKUP($C218,装備品!$1:$998,COLUMN(D$1),FALSE)+IFERROR(VLOOKUP($CI218,付与!$1:$1167,COLUMN(F$1),FALSE),0))*VLOOKUP($D218,素材!$1:$1016,COLUMN(D$1),FALSE),0),"")</f>
        <v>115</v>
      </c>
      <c r="G218">
        <f>IFERROR(ROUNDDOWN((VLOOKUP($C218,装備品!$1:$998,COLUMN(E$1),FALSE)+IFERROR(VLOOKUP($CI218,付与!$1:$1167,COLUMN(G$1),FALSE),0))*VLOOKUP($D218,素材!$1:$1016,COLUMN($E$1),FALSE),0),"")</f>
        <v>0</v>
      </c>
      <c r="H218">
        <f>IFERROR(ROUNDDOWN((VLOOKUP($C218,装備品!$1:$998,COLUMN(F$1),FALSE)+IFERROR(VLOOKUP($CI218,付与!$1:$1167,COLUMN(H$1),FALSE),0))*VLOOKUP($D218,素材!$1:$1016,COLUMN($E$1),FALSE),0),"")</f>
        <v>0</v>
      </c>
      <c r="I218">
        <f>IFERROR(ROUNDDOWN((VLOOKUP($C218,装備品!$1:$998,COLUMN(G$1),FALSE)+IFERROR(VLOOKUP($CI218,付与!$1:$1167,COLUMN(I$1),FALSE),0))*VLOOKUP($D218,素材!$1:$1016,COLUMN($E$1),FALSE),0),"")</f>
        <v>17</v>
      </c>
      <c r="J218">
        <f>IFERROR(ROUNDDOWN((VLOOKUP($C218,装備品!$1:$998,COLUMN(H$1),FALSE)+IFERROR(VLOOKUP($CI218,付与!$1:$1167,COLUMN(J$1),FALSE),0))*VLOOKUP($D218,素材!$1:$1016,COLUMN($E$1),FALSE),0),"")</f>
        <v>27</v>
      </c>
      <c r="K218">
        <f>IFERROR(ROUNDDOWN((VLOOKUP($C218,装備品!$1:$998,COLUMN(I$1),FALSE)+IFERROR(VLOOKUP($CI218,付与!$1:$1167,COLUMN(K$1),FALSE),0))*VLOOKUP($D218,素材!$1:$1016,COLUMN($E$1),FALSE),0),"")</f>
        <v>0</v>
      </c>
      <c r="L218" t="str">
        <f>IFERROR(VLOOKUP($D218,素材!$1:$1016,COLUMN($F$1),FALSE),"")</f>
        <v>氷</v>
      </c>
      <c r="M218">
        <f>IFERROR(VLOOKUP($C218,装備品!$1:$998,COLUMN(AA$1),FALSE)*VLOOKUP($D218,素材!$1:$1016,COLUMN($G$1),FALSE),"")</f>
        <v>70</v>
      </c>
      <c r="N218">
        <f>IFERROR(VLOOKUP($C218,装備品!$1:$998,COLUMN(I$1),FALSE),"")</f>
        <v>0</v>
      </c>
      <c r="O218" s="23">
        <f>IFERROR((VLOOKUP($C218,装備品!$1:$998,COLUMN(K$1),FALSE)+VLOOKUP($D218,素材!$1:$1016,COLUMN(H$1),FALSE))*100+IFERROR(VLOOKUP($CI218,付与!$1:$1167,COLUMN(O$1),FALSE),0),"")</f>
        <v>5</v>
      </c>
      <c r="P218" s="23">
        <f>IFERROR((VLOOKUP($C218,装備品!$1:$998,COLUMN(L$1),FALSE)+VLOOKUP($D218,素材!$1:$1016,COLUMN(I$1),FALSE))*100+IFERROR(VLOOKUP($CI218,付与!$1:$1167,COLUMN(P$1),FALSE),0),"")</f>
        <v>125</v>
      </c>
      <c r="Q218">
        <f>IFERROR(ROUNDUP(VLOOKUP($C218,装備品!$1:$998,COLUMN(M$1),FALSE)*(VLOOKUP($D218,素材!$1:$1002,COLUMN(D$1),FALSE)/100),1),"")</f>
        <v>-5</v>
      </c>
      <c r="R218">
        <f>IFERROR(ROUNDUP(VLOOKUP($C218,装備品!$1:$998,COLUMN(N$1),FALSE)*(VLOOKUP($D218,素材!$1:$1002,COLUMN(D$1),FALSE)/100),1),"")</f>
        <v>0</v>
      </c>
      <c r="S218">
        <f>IFERROR(VLOOKUP($C218,装備品!$1:$998,COLUMN(P$1),FALSE),"")</f>
        <v>0</v>
      </c>
      <c r="T218">
        <f>IFERROR(VLOOKUP($C218,装備品!$1:$998,COLUMN(Q$1),FALSE),"")</f>
        <v>0</v>
      </c>
      <c r="U218">
        <f>IFERROR(VLOOKUP($C218,装備品!$1:$998,COLUMN(R$1),FALSE),"")</f>
        <v>0</v>
      </c>
      <c r="V218">
        <f>IFERROR(VLOOKUP($C218,装備品!$1:$998,COLUMN(Q$1),FALSE),"")</f>
        <v>0</v>
      </c>
      <c r="W218">
        <f>IFERROR(VLOOKUP($C218,装備品!$1:$998,COLUMN(T$1),FALSE),"")</f>
        <v>0</v>
      </c>
      <c r="Y218">
        <f>IFERROR(VLOOKUP($C218,装備品!$1:$998,COLUMN(U$1),FALSE),"")</f>
        <v>0</v>
      </c>
      <c r="Z218">
        <f>IFERROR(ROUNDUP(VLOOKUP($C218,装備品!$1:$998,COLUMN(O$1),FALSE)*VLOOKUP($D218,素材!$1:$1016,COLUMN(E$1),FALSE),1),"")</f>
        <v>0</v>
      </c>
      <c r="AA218">
        <f>IF(ISNUMBER(SEARCH(SUBSTITUTE(AA$1,RIGHT(AA$1,2),""),VLOOKUP($D218,素材!$1:$1016,COLUMN($F$1),FALSE))),VLOOKUP($C218,装備品!$1:$998,COLUMN($O$1),FALSE)*VLOOKUP($D218,素材!$1:$1016,COLUMN($E$1),FALSE)/(LEN(VLOOKUP($D218,素材!$1:$1016,COLUMN($F$1),FALSE))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B218">
        <f>IF(ISNUMBER(SEARCH(SUBSTITUTE(AB$1,RIGHT(AB$1,2),""),VLOOKUP($D218,素材!$1:$1016,COLUMN($F$1),FALSE))),VLOOKUP($C218,装備品!$1:$998,COLUMN($O$1),FALSE)*VLOOKUP($D218,素材!$1:$1016,COLUMN($E$1),FALSE)/(LEN(VLOOKUP($D218,素材!$1:$1016,COLUMN($F$1),FALSE))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C218">
        <f>IF(ISNUMBER(SEARCH(SUBSTITUTE(AC$1,RIGHT(AC$1,2),""),VLOOKUP($D218,素材!$1:$1016,COLUMN($F$1),FALSE))),VLOOKUP($C218,装備品!$1:$998,COLUMN($O$1),FALSE)*VLOOKUP($D218,素材!$1:$1016,COLUMN($E$1),FALSE)/(LEN(VLOOKUP($D218,素材!$1:$1016,COLUMN($F$1),FALSE))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D218">
        <f>IF(ISNUMBER(SEARCH(SUBSTITUTE(AD$1,RIGHT(AD$1,2),""),VLOOKUP($D218,素材!$1:$1016,COLUMN($F$1),FALSE))),VLOOKUP($C218,装備品!$1:$998,COLUMN($O$1),FALSE)*VLOOKUP($D218,素材!$1:$1016,COLUMN($E$1),FALSE)/(LEN(VLOOKUP($D218,素材!$1:$1016,COLUMN($F$1),FALSE))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E218">
        <f>IF(ISNUMBER(SEARCH(SUBSTITUTE(AE$1,RIGHT(AE$1,2),""),VLOOKUP($D218,素材!$1:$1016,COLUMN($F$1),FALSE))),VLOOKUP($C218,装備品!$1:$998,COLUMN($O$1),FALSE)*VLOOKUP($D218,素材!$1:$1016,COLUMN($E$1),FALSE)/(LEN(VLOOKUP($D218,素材!$1:$1016,COLUMN($F$1),FALSE))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F218">
        <f>IF(ISNUMBER(SEARCH(SUBSTITUTE(AF$1,RIGHT(AF$1,2),""),VLOOKUP($D218,素材!$1:$1016,COLUMN($F$1),FALSE))),VLOOKUP($C218,装備品!$1:$998,COLUMN($O$1),FALSE)*VLOOKUP($D218,素材!$1:$1016,COLUMN($E$1),FALSE)/(LEN(VLOOKUP($D218,素材!$1:$1016,COLUMN($F$1),FALSE))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G218">
        <f>IF(ISNUMBER(SEARCH(SUBSTITUTE(AG$1,RIGHT(AG$1,2),""),VLOOKUP($D218,素材!$1:$1016,COLUMN($F$1),FALSE))),VLOOKUP($C218,装備品!$1:$998,COLUMN($O$1),FALSE)*VLOOKUP($D218,素材!$1:$1016,COLUMN($E$1),FALSE)/(LEN(VLOOKUP($D218,素材!$1:$1016,COLUMN($F$1),FALSE))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H218">
        <f>IF(ISNUMBER(SEARCH(SUBSTITUTE(AH$1,RIGHT(AH$1,2),""),VLOOKUP($D218,素材!$1:$1016,COLUMN($F$1),FALSE))),VLOOKUP($C218,装備品!$1:$998,COLUMN($O$1),FALSE)*VLOOKUP($D218,素材!$1:$1016,COLUMN($E$1),FALSE)/(LEN(VLOOKUP($D218,素材!$1:$1016,COLUMN($F$1),FALSE))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I218">
        <f>IF(ISNUMBER(SEARCH(SUBSTITUTE(AI$1,RIGHT(AI$1,2),""),VLOOKUP($D218,素材!$1:$1016,COLUMN($F$1),FALSE))),VLOOKUP($C218,装備品!$1:$998,COLUMN($O$1),FALSE)*VLOOKUP($D218,素材!$1:$1016,COLUMN($E$1),FALSE)/(LEN(VLOOKUP($D218,素材!$1:$1016,COLUMN($F$1),FALSE))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J218">
        <f>IF(ISNUMBER(SEARCH(SUBSTITUTE(AJ$1,RIGHT(AJ$1,2),""),VLOOKUP($D218,素材!$1:$1016,COLUMN($F$1),FALSE))),VLOOKUP($C218,装備品!$1:$998,COLUMN($O$1),FALSE)*VLOOKUP($D218,素材!$1:$1016,COLUMN($E$1),FALSE)/(LEN(VLOOKUP($D218,素材!$1:$1016,COLUMN($F$1),FALSE))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K218">
        <f>IF(ISNUMBER(SEARCH(SUBSTITUTE(AK$1,RIGHT(AK$1,2),""),VLOOKUP($D218,素材!$1:$1016,COLUMN($F$1),FALSE))),VLOOKUP($C218,装備品!$1:$998,COLUMN($O$1),FALSE)*VLOOKUP($D218,素材!$1:$1016,COLUMN($E$1),FALSE)/(LEN(VLOOKUP($D218,素材!$1:$1016,COLUMN($F$1),FALSE))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L218">
        <f>IF(ISNUMBER(SEARCH(SUBSTITUTE(AL$1,RIGHT(AL$1,2),""),VLOOKUP($D218,素材!$1:$1016,COLUMN($F$1),FALSE))),VLOOKUP($C218,装備品!$1:$998,COLUMN($O$1),FALSE)*VLOOKUP($D218,素材!$1:$1016,COLUMN($E$1),FALSE)/(LEN(VLOOKUP($D218,素材!$1:$1016,COLUMN($F$1),FALSE))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M218">
        <f>IF(ISNUMBER(SEARCH(SUBSTITUTE(AM$1,RIGHT(AM$1,2),""),VLOOKUP($D218,素材!$1:$1016,COLUMN($F$1),FALSE))),VLOOKUP($C218,装備品!$1:$998,COLUMN($O$1),FALSE)*VLOOKUP($D218,素材!$1:$1016,COLUMN($E$1),FALSE)/(LEN(VLOOKUP($D218,素材!$1:$1016,COLUMN($F$1),FALSE))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N218">
        <f>IF(ISNUMBER(SEARCH(SUBSTITUTE(AN$1,RIGHT(AN$1,2),""),VLOOKUP($D218,素材!$1:$1016,COLUMN($F$1),FALSE))),VLOOKUP($C218,装備品!$1:$998,COLUMN($O$1),FALSE)*VLOOKUP($D218,素材!$1:$1016,COLUMN($E$1),FALSE)/(LEN(VLOOKUP($D218,素材!$1:$1016,COLUMN($F$1),FALSE))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O218">
        <f>IF(ISNUMBER(SEARCH(SUBSTITUTE(AO$1,RIGHT(AO$1,2),""),VLOOKUP($D218,素材!$1:$1016,COLUMN($F$1),FALSE))),VLOOKUP($C218,装備品!$1:$998,COLUMN($O$1),FALSE)*VLOOKUP($D218,素材!$1:$1016,COLUMN($E$1),FALSE)/(LEN(VLOOKUP($D218,素材!$1:$1016,COLUMN($F$1),FALSE))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P218">
        <f>IF(ISNUMBER(SEARCH(SUBSTITUTE(AP$1,RIGHT(AP$1,2),""),VLOOKUP($D218,素材!$1:$1016,COLUMN($F$1),FALSE))),VLOOKUP($C218,装備品!$1:$998,COLUMN($O$1),FALSE)*VLOOKUP($D218,素材!$1:$1016,COLUMN($E$1),FALSE)/(LEN(VLOOKUP($D218,素材!$1:$1016,COLUMN($F$1),FALSE))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Q218">
        <f>IF(ISNUMBER(SEARCH(SUBSTITUTE(AQ$1,RIGHT(AQ$1,2),""),VLOOKUP($D218,素材!$1:$1016,COLUMN($F$1),FALSE))),VLOOKUP($C218,装備品!$1:$998,COLUMN($O$1),FALSE)*VLOOKUP($D218,素材!$1:$1016,COLUMN($E$1),FALSE)/(LEN(VLOOKUP($D218,素材!$1:$1016,COLUMN($F$1),FALSE))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R218">
        <f>IF(ISNUMBER(SEARCH(SUBSTITUTE(AR$1,RIGHT(AR$1,2),""),VLOOKUP($D218,素材!$1:$1016,COLUMN($F$1),FALSE))),VLOOKUP($C218,装備品!$1:$998,COLUMN($O$1),FALSE)*VLOOKUP($D218,素材!$1:$1016,COLUMN($E$1),FALSE)/(LEN(VLOOKUP($D218,素材!$1:$1016,COLUMN($F$1),FALSE))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S218">
        <f>IF(ISNUMBER(SEARCH(SUBSTITUTE(AS$1,RIGHT(AS$1,2),""),VLOOKUP($D218,素材!$1:$1016,COLUMN($F$1),FALSE))),VLOOKUP($C218,装備品!$1:$998,COLUMN($O$1),FALSE)*VLOOKUP($D218,素材!$1:$1016,COLUMN($E$1),FALSE)/(LEN(VLOOKUP($D218,素材!$1:$1016,COLUMN($F$1),FALSE))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T218">
        <f>IF(ISNUMBER(SEARCH(SUBSTITUTE(AT$1,RIGHT(AT$1,2),""),VLOOKUP($D218,素材!$1:$1016,COLUMN($F$1),FALSE))),VLOOKUP($C218,装備品!$1:$998,COLUMN($O$1),FALSE)*VLOOKUP($D218,素材!$1:$1016,COLUMN($E$1),FALSE)/(LEN(VLOOKUP($D218,素材!$1:$1016,COLUMN($F$1),FALSE))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U218">
        <f>IF(ISNUMBER(SEARCH(SUBSTITUTE(AU$1,RIGHT(AU$1,2),""),VLOOKUP($D218,素材!$1:$1016,COLUMN($F$1),FALSE))),VLOOKUP($C218,装備品!$1:$998,COLUMN($O$1),FALSE)*VLOOKUP($D218,素材!$1:$1016,COLUMN($E$1),FALSE)/(LEN(VLOOKUP($D218,素材!$1:$1016,COLUMN($F$1),FALSE))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V218">
        <f>IF(ISNUMBER(SEARCH(SUBSTITUTE(AV$1,RIGHT(AV$1,2),""),VLOOKUP($D218,素材!$1:$1016,COLUMN($F$1),FALSE))),VLOOKUP($C218,装備品!$1:$998,COLUMN($O$1),FALSE)*VLOOKUP($D218,素材!$1:$1016,COLUMN($E$1),FALSE)/(LEN(VLOOKUP($D218,素材!$1:$1016,COLUMN($F$1),FALSE))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W218">
        <f>IF(ISNUMBER(SEARCH(SUBSTITUTE(AW$1,RIGHT(AW$1,2),""),VLOOKUP($D218,素材!$1:$1016,COLUMN($F$1),FALSE))),VLOOKUP($C218,装備品!$1:$998,COLUMN($O$1),FALSE)*VLOOKUP($D218,素材!$1:$1016,COLUMN($E$1),FALSE)/(LEN(VLOOKUP($D218,素材!$1:$1016,COLUMN($F$1),FALSE))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X218">
        <f>IF(ISNUMBER(SEARCH(SUBSTITUTE(AX$1,RIGHT(AX$1,2),""),VLOOKUP($D218,素材!$1:$1016,COLUMN($F$1),FALSE))),VLOOKUP($C218,装備品!$1:$998,COLUMN($O$1),FALSE)*VLOOKUP($D218,素材!$1:$1016,COLUMN($E$1),FALSE)/(LEN(VLOOKUP($D218,素材!$1:$1016,COLUMN($F$1),FALSE))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Y218">
        <f>IF(ISNUMBER(SEARCH(SUBSTITUTE(AY$1,RIGHT(AY$1,2),""),VLOOKUP($D218,素材!$1:$1016,COLUMN($F$1),FALSE))),VLOOKUP($C218,装備品!$1:$998,COLUMN($O$1),FALSE)*VLOOKUP($D218,素材!$1:$1016,COLUMN($E$1),FALSE)/(LEN(VLOOKUP($D218,素材!$1:$1016,COLUMN($F$1),FALSE))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Z218">
        <f>IF(ISNUMBER(SEARCH(SUBSTITUTE(AZ$1,RIGHT(AZ$1,2),""),VLOOKUP($D218,素材!$1:$1016,COLUMN($F$1),FALSE))),VLOOKUP($C218,装備品!$1:$998,COLUMN($O$1),FALSE)*VLOOKUP($D218,素材!$1:$1016,COLUMN($E$1),FALSE)/(LEN(VLOOKUP($D218,素材!$1:$1016,COLUMN($F$1),FALSE))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BA218">
        <f>IF(ISNUMBER(SEARCH(SUBSTITUTE(BA$1,RIGHT(BA$1,2),""),VLOOKUP($D218,素材!$1:$1016,COLUMN($F$1),FALSE))),VLOOKUP($C218,装備品!$1:$998,COLUMN($O$1),FALSE)*VLOOKUP($D218,素材!$1:$1016,COLUMN($E$1),FALSE)/(LEN(VLOOKUP($D218,素材!$1:$1016,COLUMN($F$1),FALSE))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BB218">
        <f>IF(ISNUMBER(SEARCH(SUBSTITUTE(BB$1,RIGHT(BB$1,2),""),VLOOKUP($D218,素材!$1:$1016,COLUMN($F$1),FALSE))),VLOOKUP($C218,装備品!$1:$998,COLUMN($O$1),FALSE)*VLOOKUP($D218,素材!$1:$1016,COLUMN($E$1),FALSE)/(LEN(VLOOKUP($D218,素材!$1:$1016,COLUMN($F$1),FALSE))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BC218">
        <f>IF(ISNUMBER(SEARCH(SUBSTITUTE(BC$1,RIGHT(BC$1,2),""),VLOOKUP($D218,素材!$1:$1016,COLUMN($F$1),FALSE))),VLOOKUP($C218,装備品!$1:$998,COLUMN($O$1),FALSE)*VLOOKUP($D218,素材!$1:$1016,COLUMN($E$1),FALSE)/(LEN(VLOOKUP($D218,素材!$1:$1016,COLUMN($F$1),FALSE))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BD218">
        <f>IF(ISNUMBER(SEARCH(SUBSTITUTE(BD$1,RIGHT(BD$1,2),""),VLOOKUP($D218,素材!$1:$1016,COLUMN($F$1),FALSE))),VLOOKUP($C218,装備品!$1:$998,COLUMN($O$1),FALSE)*VLOOKUP($D218,素材!$1:$1016,COLUMN($E$1),FALSE)/(LEN(VLOOKUP($D218,素材!$1:$1016,COLUMN($F$1),FALSE))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BE218">
        <f>IF(ISNUMBER(SEARCH(SUBSTITUTE(BE$1,RIGHT(BE$1,2),""),VLOOKUP($D218,素材!$1:$1016,COLUMN($F$1),FALSE))),VLOOKUP($C218,装備品!$1:$998,COLUMN($O$1),FALSE)*VLOOKUP($D218,素材!$1:$1016,COLUMN($E$1),FALSE)/(LEN(VLOOKUP($D218,素材!$1:$1016,COLUMN($F$1),FALSE))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CL218">
        <f t="shared" si="35"/>
        <v>17</v>
      </c>
      <c r="CM218" s="22" t="str">
        <f t="shared" si="36"/>
        <v>盾.webp</v>
      </c>
      <c r="CN218">
        <f>IFERROR(VLOOKUP($C218,装備品!$1:$998,COLUMN(V$1),FALSE)*VLOOKUP($D218,素材!$1:$1016,COLUMN(N$1),FALSE)+IF(CI218="",0,VLOOKUP($CI218,付与!$1:$1176,COLUMN($CK$1),FALSE)),"")</f>
        <v>0</v>
      </c>
      <c r="CO218">
        <f>VLOOKUP(D218,素材!$A:$O,COLUMN(素材!O$1),FALSE)</f>
        <v>0</v>
      </c>
      <c r="CP218" t="str">
        <f>VLOOKUP(C218,装備品!$A:$AB,COLUMN(装備品!AB$1),FALSE)</f>
        <v>大盾。さらに大きな盾で、高い防御力を持つ。</v>
      </c>
      <c r="CR218" t="str">
        <f t="shared" si="37"/>
        <v>e_218</v>
      </c>
      <c r="CS218">
        <f t="shared" si="38"/>
        <v>0</v>
      </c>
    </row>
    <row r="219" spans="1:97" outlineLevel="1" x14ac:dyDescent="0.4">
      <c r="A219" t="str">
        <f t="shared" si="34"/>
        <v>冷気鉄の短弓</v>
      </c>
      <c r="B219" t="str">
        <f>IFERROR(VLOOKUP($D219,素材!$1:$1016,COLUMN($B$1),FALSE)&amp;"・"&amp;VLOOKUP($C219,装備品!$1:$998,COLUMN(B$1),FALSE),"")</f>
        <v>ドゥララン・ボウ</v>
      </c>
      <c r="C219" t="s">
        <v>217</v>
      </c>
      <c r="D219" s="24" t="s">
        <v>242</v>
      </c>
      <c r="E219" t="str">
        <f>IFERROR(VLOOKUP(C219,装備品!$1:$998,COLUMN(C$1),FALSE),"")</f>
        <v>武器</v>
      </c>
      <c r="F219">
        <f>IFERROR(ROUNDDOWN((VLOOKUP($C219,装備品!$1:$998,COLUMN(D$1),FALSE)+IFERROR(VLOOKUP($CI219,付与!$1:$1167,COLUMN(F$1),FALSE),0))*VLOOKUP($D219,素材!$1:$1016,COLUMN(D$1),FALSE),0),"")</f>
        <v>110</v>
      </c>
      <c r="G219">
        <f>IFERROR(ROUNDDOWN((VLOOKUP($C219,装備品!$1:$998,COLUMN(E$1),FALSE)+IFERROR(VLOOKUP($CI219,付与!$1:$1167,COLUMN(G$1),FALSE),0))*VLOOKUP($D219,素材!$1:$1016,COLUMN($E$1),FALSE),0),"")</f>
        <v>5</v>
      </c>
      <c r="H219">
        <f>IFERROR(ROUNDDOWN((VLOOKUP($C219,装備品!$1:$998,COLUMN(F$1),FALSE)+IFERROR(VLOOKUP($CI219,付与!$1:$1167,COLUMN(H$1),FALSE),0))*VLOOKUP($D219,素材!$1:$1016,COLUMN($E$1),FALSE),0),"")</f>
        <v>5</v>
      </c>
      <c r="I219">
        <f>IFERROR(ROUNDDOWN((VLOOKUP($C219,装備品!$1:$998,COLUMN(G$1),FALSE)+IFERROR(VLOOKUP($CI219,付与!$1:$1167,COLUMN(I$1),FALSE),0))*VLOOKUP($D219,素材!$1:$1016,COLUMN($E$1),FALSE),0),"")</f>
        <v>0</v>
      </c>
      <c r="J219">
        <f>IFERROR(ROUNDDOWN((VLOOKUP($C219,装備品!$1:$998,COLUMN(H$1),FALSE)+IFERROR(VLOOKUP($CI219,付与!$1:$1167,COLUMN(J$1),FALSE),0))*VLOOKUP($D219,素材!$1:$1016,COLUMN($E$1),FALSE),0),"")</f>
        <v>0</v>
      </c>
      <c r="K219">
        <f>IFERROR(ROUNDDOWN((VLOOKUP($C219,装備品!$1:$998,COLUMN(I$1),FALSE)+IFERROR(VLOOKUP($CI219,付与!$1:$1167,COLUMN(K$1),FALSE),0))*VLOOKUP($D219,素材!$1:$1016,COLUMN($E$1),FALSE),0),"")</f>
        <v>20</v>
      </c>
      <c r="L219" t="str">
        <f>IFERROR(VLOOKUP($D219,素材!$1:$1016,COLUMN($F$1),FALSE),"")</f>
        <v>氷</v>
      </c>
      <c r="M219">
        <f>IFERROR(VLOOKUP($C219,装備品!$1:$998,COLUMN(AA$1),FALSE)*VLOOKUP($D219,素材!$1:$1016,COLUMN($G$1),FALSE),"")</f>
        <v>52.5</v>
      </c>
      <c r="N219">
        <f>IFERROR(VLOOKUP($C219,装備品!$1:$998,COLUMN(I$1),FALSE),"")</f>
        <v>1</v>
      </c>
      <c r="O219" s="23">
        <f>IFERROR((VLOOKUP($C219,装備品!$1:$998,COLUMN(K$1),FALSE)+VLOOKUP($D219,素材!$1:$1016,COLUMN(H$1),FALSE))*100+IFERROR(VLOOKUP($CI219,付与!$1:$1167,COLUMN(O$1),FALSE),0),"")</f>
        <v>10</v>
      </c>
      <c r="P219" s="23">
        <f>IFERROR((VLOOKUP($C219,装備品!$1:$998,COLUMN(L$1),FALSE)+VLOOKUP($D219,素材!$1:$1016,COLUMN(I$1),FALSE))*100+IFERROR(VLOOKUP($CI219,付与!$1:$1167,COLUMN(P$1),FALSE),0),"")</f>
        <v>130</v>
      </c>
      <c r="Q219">
        <f>IFERROR(ROUNDUP(VLOOKUP($C219,装備品!$1:$998,COLUMN(M$1),FALSE)*(VLOOKUP($D219,素材!$1:$1002,COLUMN(D$1),FALSE)/100),1),"")</f>
        <v>-2.5</v>
      </c>
      <c r="R219">
        <f>IFERROR(ROUNDUP(VLOOKUP($C219,装備品!$1:$998,COLUMN(N$1),FALSE)*(VLOOKUP($D219,素材!$1:$1002,COLUMN(D$1),FALSE)/100),1),"")</f>
        <v>0</v>
      </c>
      <c r="S219">
        <f>IFERROR(VLOOKUP($C219,装備品!$1:$998,COLUMN(P$1),FALSE),"")</f>
        <v>0</v>
      </c>
      <c r="T219">
        <f>IFERROR(VLOOKUP($C219,装備品!$1:$998,COLUMN(Q$1),FALSE),"")</f>
        <v>0</v>
      </c>
      <c r="U219">
        <f>IFERROR(VLOOKUP($C219,装備品!$1:$998,COLUMN(R$1),FALSE),"")</f>
        <v>0</v>
      </c>
      <c r="V219">
        <f>IFERROR(VLOOKUP($C219,装備品!$1:$998,COLUMN(Q$1),FALSE),"")</f>
        <v>0</v>
      </c>
      <c r="W219">
        <f>IFERROR(VLOOKUP($C219,装備品!$1:$998,COLUMN(T$1),FALSE),"")</f>
        <v>0</v>
      </c>
      <c r="Y219">
        <f>IFERROR(VLOOKUP($C219,装備品!$1:$998,COLUMN(U$1),FALSE),"")</f>
        <v>2</v>
      </c>
      <c r="Z219">
        <f>IFERROR(ROUNDUP(VLOOKUP($C219,装備品!$1:$998,COLUMN(O$1),FALSE)*VLOOKUP($D219,素材!$1:$1016,COLUMN(E$1),FALSE),1),"")</f>
        <v>0</v>
      </c>
      <c r="AA219">
        <f>IF(ISNUMBER(SEARCH(SUBSTITUTE(AA$1,RIGHT(AA$1,2),""),VLOOKUP($D219,素材!$1:$1016,COLUMN($F$1),FALSE))),VLOOKUP($C219,装備品!$1:$998,COLUMN($O$1),FALSE)*VLOOKUP($D219,素材!$1:$1016,COLUMN($E$1),FALSE)/(LEN(VLOOKUP($D219,素材!$1:$1016,COLUMN($F$1),FALSE))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B219">
        <f>IF(ISNUMBER(SEARCH(SUBSTITUTE(AB$1,RIGHT(AB$1,2),""),VLOOKUP($D219,素材!$1:$1016,COLUMN($F$1),FALSE))),VLOOKUP($C219,装備品!$1:$998,COLUMN($O$1),FALSE)*VLOOKUP($D219,素材!$1:$1016,COLUMN($E$1),FALSE)/(LEN(VLOOKUP($D219,素材!$1:$1016,COLUMN($F$1),FALSE))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C219">
        <f>IF(ISNUMBER(SEARCH(SUBSTITUTE(AC$1,RIGHT(AC$1,2),""),VLOOKUP($D219,素材!$1:$1016,COLUMN($F$1),FALSE))),VLOOKUP($C219,装備品!$1:$998,COLUMN($O$1),FALSE)*VLOOKUP($D219,素材!$1:$1016,COLUMN($E$1),FALSE)/(LEN(VLOOKUP($D219,素材!$1:$1016,COLUMN($F$1),FALSE))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D219">
        <f>IF(ISNUMBER(SEARCH(SUBSTITUTE(AD$1,RIGHT(AD$1,2),""),VLOOKUP($D219,素材!$1:$1016,COLUMN($F$1),FALSE))),VLOOKUP($C219,装備品!$1:$998,COLUMN($O$1),FALSE)*VLOOKUP($D219,素材!$1:$1016,COLUMN($E$1),FALSE)/(LEN(VLOOKUP($D219,素材!$1:$1016,COLUMN($F$1),FALSE))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E219">
        <f>IF(ISNUMBER(SEARCH(SUBSTITUTE(AE$1,RIGHT(AE$1,2),""),VLOOKUP($D219,素材!$1:$1016,COLUMN($F$1),FALSE))),VLOOKUP($C219,装備品!$1:$998,COLUMN($O$1),FALSE)*VLOOKUP($D219,素材!$1:$1016,COLUMN($E$1),FALSE)/(LEN(VLOOKUP($D219,素材!$1:$1016,COLUMN($F$1),FALSE))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F219">
        <f>IF(ISNUMBER(SEARCH(SUBSTITUTE(AF$1,RIGHT(AF$1,2),""),VLOOKUP($D219,素材!$1:$1016,COLUMN($F$1),FALSE))),VLOOKUP($C219,装備品!$1:$998,COLUMN($O$1),FALSE)*VLOOKUP($D219,素材!$1:$1016,COLUMN($E$1),FALSE)/(LEN(VLOOKUP($D219,素材!$1:$1016,COLUMN($F$1),FALSE))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G219">
        <f>IF(ISNUMBER(SEARCH(SUBSTITUTE(AG$1,RIGHT(AG$1,2),""),VLOOKUP($D219,素材!$1:$1016,COLUMN($F$1),FALSE))),VLOOKUP($C219,装備品!$1:$998,COLUMN($O$1),FALSE)*VLOOKUP($D219,素材!$1:$1016,COLUMN($E$1),FALSE)/(LEN(VLOOKUP($D219,素材!$1:$1016,COLUMN($F$1),FALSE))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H219">
        <f>IF(ISNUMBER(SEARCH(SUBSTITUTE(AH$1,RIGHT(AH$1,2),""),VLOOKUP($D219,素材!$1:$1016,COLUMN($F$1),FALSE))),VLOOKUP($C219,装備品!$1:$998,COLUMN($O$1),FALSE)*VLOOKUP($D219,素材!$1:$1016,COLUMN($E$1),FALSE)/(LEN(VLOOKUP($D219,素材!$1:$1016,COLUMN($F$1),FALSE))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I219">
        <f>IF(ISNUMBER(SEARCH(SUBSTITUTE(AI$1,RIGHT(AI$1,2),""),VLOOKUP($D219,素材!$1:$1016,COLUMN($F$1),FALSE))),VLOOKUP($C219,装備品!$1:$998,COLUMN($O$1),FALSE)*VLOOKUP($D219,素材!$1:$1016,COLUMN($E$1),FALSE)/(LEN(VLOOKUP($D219,素材!$1:$1016,COLUMN($F$1),FALSE))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J219">
        <f>IF(ISNUMBER(SEARCH(SUBSTITUTE(AJ$1,RIGHT(AJ$1,2),""),VLOOKUP($D219,素材!$1:$1016,COLUMN($F$1),FALSE))),VLOOKUP($C219,装備品!$1:$998,COLUMN($O$1),FALSE)*VLOOKUP($D219,素材!$1:$1016,COLUMN($E$1),FALSE)/(LEN(VLOOKUP($D219,素材!$1:$1016,COLUMN($F$1),FALSE))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K219">
        <f>IF(ISNUMBER(SEARCH(SUBSTITUTE(AK$1,RIGHT(AK$1,2),""),VLOOKUP($D219,素材!$1:$1016,COLUMN($F$1),FALSE))),VLOOKUP($C219,装備品!$1:$998,COLUMN($O$1),FALSE)*VLOOKUP($D219,素材!$1:$1016,COLUMN($E$1),FALSE)/(LEN(VLOOKUP($D219,素材!$1:$1016,COLUMN($F$1),FALSE))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L219">
        <f>IF(ISNUMBER(SEARCH(SUBSTITUTE(AL$1,RIGHT(AL$1,2),""),VLOOKUP($D219,素材!$1:$1016,COLUMN($F$1),FALSE))),VLOOKUP($C219,装備品!$1:$998,COLUMN($O$1),FALSE)*VLOOKUP($D219,素材!$1:$1016,COLUMN($E$1),FALSE)/(LEN(VLOOKUP($D219,素材!$1:$1016,COLUMN($F$1),FALSE))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M219">
        <f>IF(ISNUMBER(SEARCH(SUBSTITUTE(AM$1,RIGHT(AM$1,2),""),VLOOKUP($D219,素材!$1:$1016,COLUMN($F$1),FALSE))),VLOOKUP($C219,装備品!$1:$998,COLUMN($O$1),FALSE)*VLOOKUP($D219,素材!$1:$1016,COLUMN($E$1),FALSE)/(LEN(VLOOKUP($D219,素材!$1:$1016,COLUMN($F$1),FALSE))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N219">
        <f>IF(ISNUMBER(SEARCH(SUBSTITUTE(AN$1,RIGHT(AN$1,2),""),VLOOKUP($D219,素材!$1:$1016,COLUMN($F$1),FALSE))),VLOOKUP($C219,装備品!$1:$998,COLUMN($O$1),FALSE)*VLOOKUP($D219,素材!$1:$1016,COLUMN($E$1),FALSE)/(LEN(VLOOKUP($D219,素材!$1:$1016,COLUMN($F$1),FALSE))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O219">
        <f>IF(ISNUMBER(SEARCH(SUBSTITUTE(AO$1,RIGHT(AO$1,2),""),VLOOKUP($D219,素材!$1:$1016,COLUMN($F$1),FALSE))),VLOOKUP($C219,装備品!$1:$998,COLUMN($O$1),FALSE)*VLOOKUP($D219,素材!$1:$1016,COLUMN($E$1),FALSE)/(LEN(VLOOKUP($D219,素材!$1:$1016,COLUMN($F$1),FALSE))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P219">
        <f>IF(ISNUMBER(SEARCH(SUBSTITUTE(AP$1,RIGHT(AP$1,2),""),VLOOKUP($D219,素材!$1:$1016,COLUMN($F$1),FALSE))),VLOOKUP($C219,装備品!$1:$998,COLUMN($O$1),FALSE)*VLOOKUP($D219,素材!$1:$1016,COLUMN($E$1),FALSE)/(LEN(VLOOKUP($D219,素材!$1:$1016,COLUMN($F$1),FALSE))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Q219">
        <f>IF(ISNUMBER(SEARCH(SUBSTITUTE(AQ$1,RIGHT(AQ$1,2),""),VLOOKUP($D219,素材!$1:$1016,COLUMN($F$1),FALSE))),VLOOKUP($C219,装備品!$1:$998,COLUMN($O$1),FALSE)*VLOOKUP($D219,素材!$1:$1016,COLUMN($E$1),FALSE)/(LEN(VLOOKUP($D219,素材!$1:$1016,COLUMN($F$1),FALSE))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R219">
        <f>IF(ISNUMBER(SEARCH(SUBSTITUTE(AR$1,RIGHT(AR$1,2),""),VLOOKUP($D219,素材!$1:$1016,COLUMN($F$1),FALSE))),VLOOKUP($C219,装備品!$1:$998,COLUMN($O$1),FALSE)*VLOOKUP($D219,素材!$1:$1016,COLUMN($E$1),FALSE)/(LEN(VLOOKUP($D219,素材!$1:$1016,COLUMN($F$1),FALSE))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S219">
        <f>IF(ISNUMBER(SEARCH(SUBSTITUTE(AS$1,RIGHT(AS$1,2),""),VLOOKUP($D219,素材!$1:$1016,COLUMN($F$1),FALSE))),VLOOKUP($C219,装備品!$1:$998,COLUMN($O$1),FALSE)*VLOOKUP($D219,素材!$1:$1016,COLUMN($E$1),FALSE)/(LEN(VLOOKUP($D219,素材!$1:$1016,COLUMN($F$1),FALSE))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T219">
        <f>IF(ISNUMBER(SEARCH(SUBSTITUTE(AT$1,RIGHT(AT$1,2),""),VLOOKUP($D219,素材!$1:$1016,COLUMN($F$1),FALSE))),VLOOKUP($C219,装備品!$1:$998,COLUMN($O$1),FALSE)*VLOOKUP($D219,素材!$1:$1016,COLUMN($E$1),FALSE)/(LEN(VLOOKUP($D219,素材!$1:$1016,COLUMN($F$1),FALSE))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U219">
        <f>IF(ISNUMBER(SEARCH(SUBSTITUTE(AU$1,RIGHT(AU$1,2),""),VLOOKUP($D219,素材!$1:$1016,COLUMN($F$1),FALSE))),VLOOKUP($C219,装備品!$1:$998,COLUMN($O$1),FALSE)*VLOOKUP($D219,素材!$1:$1016,COLUMN($E$1),FALSE)/(LEN(VLOOKUP($D219,素材!$1:$1016,COLUMN($F$1),FALSE))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V219">
        <f>IF(ISNUMBER(SEARCH(SUBSTITUTE(AV$1,RIGHT(AV$1,2),""),VLOOKUP($D219,素材!$1:$1016,COLUMN($F$1),FALSE))),VLOOKUP($C219,装備品!$1:$998,COLUMN($O$1),FALSE)*VLOOKUP($D219,素材!$1:$1016,COLUMN($E$1),FALSE)/(LEN(VLOOKUP($D219,素材!$1:$1016,COLUMN($F$1),FALSE))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W219">
        <f>IF(ISNUMBER(SEARCH(SUBSTITUTE(AW$1,RIGHT(AW$1,2),""),VLOOKUP($D219,素材!$1:$1016,COLUMN($F$1),FALSE))),VLOOKUP($C219,装備品!$1:$998,COLUMN($O$1),FALSE)*VLOOKUP($D219,素材!$1:$1016,COLUMN($E$1),FALSE)/(LEN(VLOOKUP($D219,素材!$1:$1016,COLUMN($F$1),FALSE))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X219">
        <f>IF(ISNUMBER(SEARCH(SUBSTITUTE(AX$1,RIGHT(AX$1,2),""),VLOOKUP($D219,素材!$1:$1016,COLUMN($F$1),FALSE))),VLOOKUP($C219,装備品!$1:$998,COLUMN($O$1),FALSE)*VLOOKUP($D219,素材!$1:$1016,COLUMN($E$1),FALSE)/(LEN(VLOOKUP($D219,素材!$1:$1016,COLUMN($F$1),FALSE))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Y219">
        <f>IF(ISNUMBER(SEARCH(SUBSTITUTE(AY$1,RIGHT(AY$1,2),""),VLOOKUP($D219,素材!$1:$1016,COLUMN($F$1),FALSE))),VLOOKUP($C219,装備品!$1:$998,COLUMN($O$1),FALSE)*VLOOKUP($D219,素材!$1:$1016,COLUMN($E$1),FALSE)/(LEN(VLOOKUP($D219,素材!$1:$1016,COLUMN($F$1),FALSE))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Z219">
        <f>IF(ISNUMBER(SEARCH(SUBSTITUTE(AZ$1,RIGHT(AZ$1,2),""),VLOOKUP($D219,素材!$1:$1016,COLUMN($F$1),FALSE))),VLOOKUP($C219,装備品!$1:$998,COLUMN($O$1),FALSE)*VLOOKUP($D219,素材!$1:$1016,COLUMN($E$1),FALSE)/(LEN(VLOOKUP($D219,素材!$1:$1016,COLUMN($F$1),FALSE))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BA219">
        <f>IF(ISNUMBER(SEARCH(SUBSTITUTE(BA$1,RIGHT(BA$1,2),""),VLOOKUP($D219,素材!$1:$1016,COLUMN($F$1),FALSE))),VLOOKUP($C219,装備品!$1:$998,COLUMN($O$1),FALSE)*VLOOKUP($D219,素材!$1:$1016,COLUMN($E$1),FALSE)/(LEN(VLOOKUP($D219,素材!$1:$1016,COLUMN($F$1),FALSE))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BB219">
        <f>IF(ISNUMBER(SEARCH(SUBSTITUTE(BB$1,RIGHT(BB$1,2),""),VLOOKUP($D219,素材!$1:$1016,COLUMN($F$1),FALSE))),VLOOKUP($C219,装備品!$1:$998,COLUMN($O$1),FALSE)*VLOOKUP($D219,素材!$1:$1016,COLUMN($E$1),FALSE)/(LEN(VLOOKUP($D219,素材!$1:$1016,COLUMN($F$1),FALSE))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BC219">
        <f>IF(ISNUMBER(SEARCH(SUBSTITUTE(BC$1,RIGHT(BC$1,2),""),VLOOKUP($D219,素材!$1:$1016,COLUMN($F$1),FALSE))),VLOOKUP($C219,装備品!$1:$998,COLUMN($O$1),FALSE)*VLOOKUP($D219,素材!$1:$1016,COLUMN($E$1),FALSE)/(LEN(VLOOKUP($D219,素材!$1:$1016,COLUMN($F$1),FALSE))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BD219">
        <f>IF(ISNUMBER(SEARCH(SUBSTITUTE(BD$1,RIGHT(BD$1,2),""),VLOOKUP($D219,素材!$1:$1016,COLUMN($F$1),FALSE))),VLOOKUP($C219,装備品!$1:$998,COLUMN($O$1),FALSE)*VLOOKUP($D219,素材!$1:$1016,COLUMN($E$1),FALSE)/(LEN(VLOOKUP($D219,素材!$1:$1016,COLUMN($F$1),FALSE))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BE219">
        <f>IF(ISNUMBER(SEARCH(SUBSTITUTE(BE$1,RIGHT(BE$1,2),""),VLOOKUP($D219,素材!$1:$1016,COLUMN($F$1),FALSE))),VLOOKUP($C219,装備品!$1:$998,COLUMN($O$1),FALSE)*VLOOKUP($D219,素材!$1:$1016,COLUMN($E$1),FALSE)/(LEN(VLOOKUP($D219,素材!$1:$1016,COLUMN($F$1),FALSE))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CL219">
        <f t="shared" si="35"/>
        <v>10</v>
      </c>
      <c r="CM219" s="22" t="str">
        <f t="shared" si="36"/>
        <v>切断.webp</v>
      </c>
      <c r="CN219">
        <f>IFERROR(VLOOKUP($C219,装備品!$1:$998,COLUMN(V$1),FALSE)*VLOOKUP($D219,素材!$1:$1016,COLUMN(N$1),FALSE)+IF(CI219="",0,VLOOKUP($CI219,付与!$1:$1176,COLUMN($CK$1),FALSE)),"")</f>
        <v>0</v>
      </c>
      <c r="CO219">
        <f>VLOOKUP(D219,素材!$A:$O,COLUMN(素材!O$1),FALSE)</f>
        <v>0</v>
      </c>
      <c r="CP219" t="str">
        <f>VLOOKUP(C219,装備品!$A:$AB,COLUMN(装備品!AB$1),FALSE)</f>
        <v>短弓。軽量で扱いやすい遠距離武器。</v>
      </c>
      <c r="CR219" t="str">
        <f t="shared" si="37"/>
        <v>e_219</v>
      </c>
      <c r="CS219">
        <f t="shared" si="38"/>
        <v>0</v>
      </c>
    </row>
    <row r="220" spans="1:97" outlineLevel="1" x14ac:dyDescent="0.4">
      <c r="A220" t="str">
        <f t="shared" si="34"/>
        <v>冷気鉄の長弓</v>
      </c>
      <c r="B220" t="str">
        <f>IFERROR(VLOOKUP($D220,素材!$1:$1016,COLUMN($B$1),FALSE)&amp;"・"&amp;VLOOKUP($C220,装備品!$1:$998,COLUMN(B$1),FALSE),"")</f>
        <v>ドゥララン・ロングボウ</v>
      </c>
      <c r="C220" t="s">
        <v>216</v>
      </c>
      <c r="D220" s="24" t="s">
        <v>242</v>
      </c>
      <c r="E220" t="str">
        <f>IFERROR(VLOOKUP(C220,装備品!$1:$998,COLUMN(C$1),FALSE),"")</f>
        <v>武器</v>
      </c>
      <c r="F220">
        <f>IFERROR(ROUNDDOWN((VLOOKUP($C220,装備品!$1:$998,COLUMN(D$1),FALSE)+IFERROR(VLOOKUP($CI220,付与!$1:$1167,COLUMN(F$1),FALSE),0))*VLOOKUP($D220,素材!$1:$1016,COLUMN(D$1),FALSE),0),"")</f>
        <v>120</v>
      </c>
      <c r="G220">
        <f>IFERROR(ROUNDDOWN((VLOOKUP($C220,装備品!$1:$998,COLUMN(E$1),FALSE)+IFERROR(VLOOKUP($CI220,付与!$1:$1167,COLUMN(G$1),FALSE),0))*VLOOKUP($D220,素材!$1:$1016,COLUMN($E$1),FALSE),0),"")</f>
        <v>5</v>
      </c>
      <c r="H220">
        <f>IFERROR(ROUNDDOWN((VLOOKUP($C220,装備品!$1:$998,COLUMN(F$1),FALSE)+IFERROR(VLOOKUP($CI220,付与!$1:$1167,COLUMN(H$1),FALSE),0))*VLOOKUP($D220,素材!$1:$1016,COLUMN($E$1),FALSE),0),"")</f>
        <v>5</v>
      </c>
      <c r="I220">
        <f>IFERROR(ROUNDDOWN((VLOOKUP($C220,装備品!$1:$998,COLUMN(G$1),FALSE)+IFERROR(VLOOKUP($CI220,付与!$1:$1167,COLUMN(I$1),FALSE),0))*VLOOKUP($D220,素材!$1:$1016,COLUMN($E$1),FALSE),0),"")</f>
        <v>0</v>
      </c>
      <c r="J220">
        <f>IFERROR(ROUNDDOWN((VLOOKUP($C220,装備品!$1:$998,COLUMN(H$1),FALSE)+IFERROR(VLOOKUP($CI220,付与!$1:$1167,COLUMN(J$1),FALSE),0))*VLOOKUP($D220,素材!$1:$1016,COLUMN($E$1),FALSE),0),"")</f>
        <v>0</v>
      </c>
      <c r="K220">
        <f>IFERROR(ROUNDDOWN((VLOOKUP($C220,装備品!$1:$998,COLUMN(I$1),FALSE)+IFERROR(VLOOKUP($CI220,付与!$1:$1167,COLUMN(K$1),FALSE),0))*VLOOKUP($D220,素材!$1:$1016,COLUMN($E$1),FALSE),0),"")</f>
        <v>23</v>
      </c>
      <c r="L220" t="str">
        <f>IFERROR(VLOOKUP($D220,素材!$1:$1016,COLUMN($F$1),FALSE),"")</f>
        <v>氷</v>
      </c>
      <c r="M220">
        <f>IFERROR(VLOOKUP($C220,装備品!$1:$998,COLUMN(AA$1),FALSE)*VLOOKUP($D220,素材!$1:$1016,COLUMN($G$1),FALSE),"")</f>
        <v>70</v>
      </c>
      <c r="N220">
        <f>IFERROR(VLOOKUP($C220,装備品!$1:$998,COLUMN(I$1),FALSE),"")</f>
        <v>1.1499999999999999</v>
      </c>
      <c r="O220" s="23">
        <f>IFERROR((VLOOKUP($C220,装備品!$1:$998,COLUMN(K$1),FALSE)+VLOOKUP($D220,素材!$1:$1016,COLUMN(H$1),FALSE))*100+IFERROR(VLOOKUP($CI220,付与!$1:$1167,COLUMN(O$1),FALSE),0),"")</f>
        <v>10</v>
      </c>
      <c r="P220" s="23">
        <f>IFERROR((VLOOKUP($C220,装備品!$1:$998,COLUMN(L$1),FALSE)+VLOOKUP($D220,素材!$1:$1016,COLUMN(I$1),FALSE))*100+IFERROR(VLOOKUP($CI220,付与!$1:$1167,COLUMN(P$1),FALSE),0),"")</f>
        <v>130</v>
      </c>
      <c r="Q220">
        <f>IFERROR(ROUNDUP(VLOOKUP($C220,装備品!$1:$998,COLUMN(M$1),FALSE)*(VLOOKUP($D220,素材!$1:$1002,COLUMN(D$1),FALSE)/100),1),"")</f>
        <v>-5</v>
      </c>
      <c r="R220">
        <f>IFERROR(ROUNDUP(VLOOKUP($C220,装備品!$1:$998,COLUMN(N$1),FALSE)*(VLOOKUP($D220,素材!$1:$1002,COLUMN(D$1),FALSE)/100),1),"")</f>
        <v>-2.5</v>
      </c>
      <c r="S220">
        <f>IFERROR(VLOOKUP($C220,装備品!$1:$998,COLUMN(P$1),FALSE),"")</f>
        <v>0</v>
      </c>
      <c r="T220">
        <f>IFERROR(VLOOKUP($C220,装備品!$1:$998,COLUMN(Q$1),FALSE),"")</f>
        <v>0</v>
      </c>
      <c r="U220">
        <f>IFERROR(VLOOKUP($C220,装備品!$1:$998,COLUMN(R$1),FALSE),"")</f>
        <v>0</v>
      </c>
      <c r="V220">
        <f>IFERROR(VLOOKUP($C220,装備品!$1:$998,COLUMN(Q$1),FALSE),"")</f>
        <v>0</v>
      </c>
      <c r="W220">
        <f>IFERROR(VLOOKUP($C220,装備品!$1:$998,COLUMN(T$1),FALSE),"")</f>
        <v>0</v>
      </c>
      <c r="Y220">
        <f>IFERROR(VLOOKUP($C220,装備品!$1:$998,COLUMN(U$1),FALSE),"")</f>
        <v>2</v>
      </c>
      <c r="Z220">
        <f>IFERROR(ROUNDUP(VLOOKUP($C220,装備品!$1:$998,COLUMN(O$1),FALSE)*VLOOKUP($D220,素材!$1:$1016,COLUMN(E$1),FALSE),1),"")</f>
        <v>0</v>
      </c>
      <c r="AA220">
        <f>IF(ISNUMBER(SEARCH(SUBSTITUTE(AA$1,RIGHT(AA$1,2),""),VLOOKUP($D220,素材!$1:$1016,COLUMN($F$1),FALSE))),VLOOKUP($C220,装備品!$1:$998,COLUMN($O$1),FALSE)*VLOOKUP($D220,素材!$1:$1016,COLUMN($E$1),FALSE)/(LEN(VLOOKUP($D220,素材!$1:$1016,COLUMN($F$1),FALSE))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B220">
        <f>IF(ISNUMBER(SEARCH(SUBSTITUTE(AB$1,RIGHT(AB$1,2),""),VLOOKUP($D220,素材!$1:$1016,COLUMN($F$1),FALSE))),VLOOKUP($C220,装備品!$1:$998,COLUMN($O$1),FALSE)*VLOOKUP($D220,素材!$1:$1016,COLUMN($E$1),FALSE)/(LEN(VLOOKUP($D220,素材!$1:$1016,COLUMN($F$1),FALSE))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C220">
        <f>IF(ISNUMBER(SEARCH(SUBSTITUTE(AC$1,RIGHT(AC$1,2),""),VLOOKUP($D220,素材!$1:$1016,COLUMN($F$1),FALSE))),VLOOKUP($C220,装備品!$1:$998,COLUMN($O$1),FALSE)*VLOOKUP($D220,素材!$1:$1016,COLUMN($E$1),FALSE)/(LEN(VLOOKUP($D220,素材!$1:$1016,COLUMN($F$1),FALSE))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D220">
        <f>IF(ISNUMBER(SEARCH(SUBSTITUTE(AD$1,RIGHT(AD$1,2),""),VLOOKUP($D220,素材!$1:$1016,COLUMN($F$1),FALSE))),VLOOKUP($C220,装備品!$1:$998,COLUMN($O$1),FALSE)*VLOOKUP($D220,素材!$1:$1016,COLUMN($E$1),FALSE)/(LEN(VLOOKUP($D220,素材!$1:$1016,COLUMN($F$1),FALSE))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E220">
        <f>IF(ISNUMBER(SEARCH(SUBSTITUTE(AE$1,RIGHT(AE$1,2),""),VLOOKUP($D220,素材!$1:$1016,COLUMN($F$1),FALSE))),VLOOKUP($C220,装備品!$1:$998,COLUMN($O$1),FALSE)*VLOOKUP($D220,素材!$1:$1016,COLUMN($E$1),FALSE)/(LEN(VLOOKUP($D220,素材!$1:$1016,COLUMN($F$1),FALSE))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F220">
        <f>IF(ISNUMBER(SEARCH(SUBSTITUTE(AF$1,RIGHT(AF$1,2),""),VLOOKUP($D220,素材!$1:$1016,COLUMN($F$1),FALSE))),VLOOKUP($C220,装備品!$1:$998,COLUMN($O$1),FALSE)*VLOOKUP($D220,素材!$1:$1016,COLUMN($E$1),FALSE)/(LEN(VLOOKUP($D220,素材!$1:$1016,COLUMN($F$1),FALSE))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G220">
        <f>IF(ISNUMBER(SEARCH(SUBSTITUTE(AG$1,RIGHT(AG$1,2),""),VLOOKUP($D220,素材!$1:$1016,COLUMN($F$1),FALSE))),VLOOKUP($C220,装備品!$1:$998,COLUMN($O$1),FALSE)*VLOOKUP($D220,素材!$1:$1016,COLUMN($E$1),FALSE)/(LEN(VLOOKUP($D220,素材!$1:$1016,COLUMN($F$1),FALSE))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H220">
        <f>IF(ISNUMBER(SEARCH(SUBSTITUTE(AH$1,RIGHT(AH$1,2),""),VLOOKUP($D220,素材!$1:$1016,COLUMN($F$1),FALSE))),VLOOKUP($C220,装備品!$1:$998,COLUMN($O$1),FALSE)*VLOOKUP($D220,素材!$1:$1016,COLUMN($E$1),FALSE)/(LEN(VLOOKUP($D220,素材!$1:$1016,COLUMN($F$1),FALSE))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I220">
        <f>IF(ISNUMBER(SEARCH(SUBSTITUTE(AI$1,RIGHT(AI$1,2),""),VLOOKUP($D220,素材!$1:$1016,COLUMN($F$1),FALSE))),VLOOKUP($C220,装備品!$1:$998,COLUMN($O$1),FALSE)*VLOOKUP($D220,素材!$1:$1016,COLUMN($E$1),FALSE)/(LEN(VLOOKUP($D220,素材!$1:$1016,COLUMN($F$1),FALSE))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J220">
        <f>IF(ISNUMBER(SEARCH(SUBSTITUTE(AJ$1,RIGHT(AJ$1,2),""),VLOOKUP($D220,素材!$1:$1016,COLUMN($F$1),FALSE))),VLOOKUP($C220,装備品!$1:$998,COLUMN($O$1),FALSE)*VLOOKUP($D220,素材!$1:$1016,COLUMN($E$1),FALSE)/(LEN(VLOOKUP($D220,素材!$1:$1016,COLUMN($F$1),FALSE))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K220">
        <f>IF(ISNUMBER(SEARCH(SUBSTITUTE(AK$1,RIGHT(AK$1,2),""),VLOOKUP($D220,素材!$1:$1016,COLUMN($F$1),FALSE))),VLOOKUP($C220,装備品!$1:$998,COLUMN($O$1),FALSE)*VLOOKUP($D220,素材!$1:$1016,COLUMN($E$1),FALSE)/(LEN(VLOOKUP($D220,素材!$1:$1016,COLUMN($F$1),FALSE))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L220">
        <f>IF(ISNUMBER(SEARCH(SUBSTITUTE(AL$1,RIGHT(AL$1,2),""),VLOOKUP($D220,素材!$1:$1016,COLUMN($F$1),FALSE))),VLOOKUP($C220,装備品!$1:$998,COLUMN($O$1),FALSE)*VLOOKUP($D220,素材!$1:$1016,COLUMN($E$1),FALSE)/(LEN(VLOOKUP($D220,素材!$1:$1016,COLUMN($F$1),FALSE))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M220">
        <f>IF(ISNUMBER(SEARCH(SUBSTITUTE(AM$1,RIGHT(AM$1,2),""),VLOOKUP($D220,素材!$1:$1016,COLUMN($F$1),FALSE))),VLOOKUP($C220,装備品!$1:$998,COLUMN($O$1),FALSE)*VLOOKUP($D220,素材!$1:$1016,COLUMN($E$1),FALSE)/(LEN(VLOOKUP($D220,素材!$1:$1016,COLUMN($F$1),FALSE))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N220">
        <f>IF(ISNUMBER(SEARCH(SUBSTITUTE(AN$1,RIGHT(AN$1,2),""),VLOOKUP($D220,素材!$1:$1016,COLUMN($F$1),FALSE))),VLOOKUP($C220,装備品!$1:$998,COLUMN($O$1),FALSE)*VLOOKUP($D220,素材!$1:$1016,COLUMN($E$1),FALSE)/(LEN(VLOOKUP($D220,素材!$1:$1016,COLUMN($F$1),FALSE))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O220">
        <f>IF(ISNUMBER(SEARCH(SUBSTITUTE(AO$1,RIGHT(AO$1,2),""),VLOOKUP($D220,素材!$1:$1016,COLUMN($F$1),FALSE))),VLOOKUP($C220,装備品!$1:$998,COLUMN($O$1),FALSE)*VLOOKUP($D220,素材!$1:$1016,COLUMN($E$1),FALSE)/(LEN(VLOOKUP($D220,素材!$1:$1016,COLUMN($F$1),FALSE))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P220">
        <f>IF(ISNUMBER(SEARCH(SUBSTITUTE(AP$1,RIGHT(AP$1,2),""),VLOOKUP($D220,素材!$1:$1016,COLUMN($F$1),FALSE))),VLOOKUP($C220,装備品!$1:$998,COLUMN($O$1),FALSE)*VLOOKUP($D220,素材!$1:$1016,COLUMN($E$1),FALSE)/(LEN(VLOOKUP($D220,素材!$1:$1016,COLUMN($F$1),FALSE))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Q220">
        <f>IF(ISNUMBER(SEARCH(SUBSTITUTE(AQ$1,RIGHT(AQ$1,2),""),VLOOKUP($D220,素材!$1:$1016,COLUMN($F$1),FALSE))),VLOOKUP($C220,装備品!$1:$998,COLUMN($O$1),FALSE)*VLOOKUP($D220,素材!$1:$1016,COLUMN($E$1),FALSE)/(LEN(VLOOKUP($D220,素材!$1:$1016,COLUMN($F$1),FALSE))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R220">
        <f>IF(ISNUMBER(SEARCH(SUBSTITUTE(AR$1,RIGHT(AR$1,2),""),VLOOKUP($D220,素材!$1:$1016,COLUMN($F$1),FALSE))),VLOOKUP($C220,装備品!$1:$998,COLUMN($O$1),FALSE)*VLOOKUP($D220,素材!$1:$1016,COLUMN($E$1),FALSE)/(LEN(VLOOKUP($D220,素材!$1:$1016,COLUMN($F$1),FALSE))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S220">
        <f>IF(ISNUMBER(SEARCH(SUBSTITUTE(AS$1,RIGHT(AS$1,2),""),VLOOKUP($D220,素材!$1:$1016,COLUMN($F$1),FALSE))),VLOOKUP($C220,装備品!$1:$998,COLUMN($O$1),FALSE)*VLOOKUP($D220,素材!$1:$1016,COLUMN($E$1),FALSE)/(LEN(VLOOKUP($D220,素材!$1:$1016,COLUMN($F$1),FALSE))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T220">
        <f>IF(ISNUMBER(SEARCH(SUBSTITUTE(AT$1,RIGHT(AT$1,2),""),VLOOKUP($D220,素材!$1:$1016,COLUMN($F$1),FALSE))),VLOOKUP($C220,装備品!$1:$998,COLUMN($O$1),FALSE)*VLOOKUP($D220,素材!$1:$1016,COLUMN($E$1),FALSE)/(LEN(VLOOKUP($D220,素材!$1:$1016,COLUMN($F$1),FALSE))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U220">
        <f>IF(ISNUMBER(SEARCH(SUBSTITUTE(AU$1,RIGHT(AU$1,2),""),VLOOKUP($D220,素材!$1:$1016,COLUMN($F$1),FALSE))),VLOOKUP($C220,装備品!$1:$998,COLUMN($O$1),FALSE)*VLOOKUP($D220,素材!$1:$1016,COLUMN($E$1),FALSE)/(LEN(VLOOKUP($D220,素材!$1:$1016,COLUMN($F$1),FALSE))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V220">
        <f>IF(ISNUMBER(SEARCH(SUBSTITUTE(AV$1,RIGHT(AV$1,2),""),VLOOKUP($D220,素材!$1:$1016,COLUMN($F$1),FALSE))),VLOOKUP($C220,装備品!$1:$998,COLUMN($O$1),FALSE)*VLOOKUP($D220,素材!$1:$1016,COLUMN($E$1),FALSE)/(LEN(VLOOKUP($D220,素材!$1:$1016,COLUMN($F$1),FALSE))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W220">
        <f>IF(ISNUMBER(SEARCH(SUBSTITUTE(AW$1,RIGHT(AW$1,2),""),VLOOKUP($D220,素材!$1:$1016,COLUMN($F$1),FALSE))),VLOOKUP($C220,装備品!$1:$998,COLUMN($O$1),FALSE)*VLOOKUP($D220,素材!$1:$1016,COLUMN($E$1),FALSE)/(LEN(VLOOKUP($D220,素材!$1:$1016,COLUMN($F$1),FALSE))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X220">
        <f>IF(ISNUMBER(SEARCH(SUBSTITUTE(AX$1,RIGHT(AX$1,2),""),VLOOKUP($D220,素材!$1:$1016,COLUMN($F$1),FALSE))),VLOOKUP($C220,装備品!$1:$998,COLUMN($O$1),FALSE)*VLOOKUP($D220,素材!$1:$1016,COLUMN($E$1),FALSE)/(LEN(VLOOKUP($D220,素材!$1:$1016,COLUMN($F$1),FALSE))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Y220">
        <f>IF(ISNUMBER(SEARCH(SUBSTITUTE(AY$1,RIGHT(AY$1,2),""),VLOOKUP($D220,素材!$1:$1016,COLUMN($F$1),FALSE))),VLOOKUP($C220,装備品!$1:$998,COLUMN($O$1),FALSE)*VLOOKUP($D220,素材!$1:$1016,COLUMN($E$1),FALSE)/(LEN(VLOOKUP($D220,素材!$1:$1016,COLUMN($F$1),FALSE))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Z220">
        <f>IF(ISNUMBER(SEARCH(SUBSTITUTE(AZ$1,RIGHT(AZ$1,2),""),VLOOKUP($D220,素材!$1:$1016,COLUMN($F$1),FALSE))),VLOOKUP($C220,装備品!$1:$998,COLUMN($O$1),FALSE)*VLOOKUP($D220,素材!$1:$1016,COLUMN($E$1),FALSE)/(LEN(VLOOKUP($D220,素材!$1:$1016,COLUMN($F$1),FALSE))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BA220">
        <f>IF(ISNUMBER(SEARCH(SUBSTITUTE(BA$1,RIGHT(BA$1,2),""),VLOOKUP($D220,素材!$1:$1016,COLUMN($F$1),FALSE))),VLOOKUP($C220,装備品!$1:$998,COLUMN($O$1),FALSE)*VLOOKUP($D220,素材!$1:$1016,COLUMN($E$1),FALSE)/(LEN(VLOOKUP($D220,素材!$1:$1016,COLUMN($F$1),FALSE))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BB220">
        <f>IF(ISNUMBER(SEARCH(SUBSTITUTE(BB$1,RIGHT(BB$1,2),""),VLOOKUP($D220,素材!$1:$1016,COLUMN($F$1),FALSE))),VLOOKUP($C220,装備品!$1:$998,COLUMN($O$1),FALSE)*VLOOKUP($D220,素材!$1:$1016,COLUMN($E$1),FALSE)/(LEN(VLOOKUP($D220,素材!$1:$1016,COLUMN($F$1),FALSE))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BC220">
        <f>IF(ISNUMBER(SEARCH(SUBSTITUTE(BC$1,RIGHT(BC$1,2),""),VLOOKUP($D220,素材!$1:$1016,COLUMN($F$1),FALSE))),VLOOKUP($C220,装備品!$1:$998,COLUMN($O$1),FALSE)*VLOOKUP($D220,素材!$1:$1016,COLUMN($E$1),FALSE)/(LEN(VLOOKUP($D220,素材!$1:$1016,COLUMN($F$1),FALSE))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BD220">
        <f>IF(ISNUMBER(SEARCH(SUBSTITUTE(BD$1,RIGHT(BD$1,2),""),VLOOKUP($D220,素材!$1:$1016,COLUMN($F$1),FALSE))),VLOOKUP($C220,装備品!$1:$998,COLUMN($O$1),FALSE)*VLOOKUP($D220,素材!$1:$1016,COLUMN($E$1),FALSE)/(LEN(VLOOKUP($D220,素材!$1:$1016,COLUMN($F$1),FALSE))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BE220">
        <f>IF(ISNUMBER(SEARCH(SUBSTITUTE(BE$1,RIGHT(BE$1,2),""),VLOOKUP($D220,素材!$1:$1016,COLUMN($F$1),FALSE))),VLOOKUP($C220,装備品!$1:$998,COLUMN($O$1),FALSE)*VLOOKUP($D220,素材!$1:$1016,COLUMN($E$1),FALSE)/(LEN(VLOOKUP($D220,素材!$1:$1016,COLUMN($F$1),FALSE))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CL220">
        <f t="shared" si="35"/>
        <v>10</v>
      </c>
      <c r="CM220" s="22" t="str">
        <f t="shared" si="36"/>
        <v>切断.webp</v>
      </c>
      <c r="CN220">
        <f>IFERROR(VLOOKUP($C220,装備品!$1:$998,COLUMN(V$1),FALSE)*VLOOKUP($D220,素材!$1:$1016,COLUMN(N$1),FALSE)+IF(CI220="",0,VLOOKUP($CI220,付与!$1:$1176,COLUMN($CK$1),FALSE)),"")</f>
        <v>0</v>
      </c>
      <c r="CO220">
        <f>VLOOKUP(D220,素材!$A:$O,COLUMN(素材!O$1),FALSE)</f>
        <v>0</v>
      </c>
      <c r="CP220" t="str">
        <f>VLOOKUP(C220,装備品!$A:$AB,COLUMN(装備品!AB$1),FALSE)</f>
        <v>長弓。射程が長く、高い威力を持つ。</v>
      </c>
      <c r="CR220" t="str">
        <f t="shared" si="37"/>
        <v>e_220</v>
      </c>
      <c r="CS220">
        <f t="shared" si="38"/>
        <v>0</v>
      </c>
    </row>
    <row r="221" spans="1:97" outlineLevel="1" x14ac:dyDescent="0.4">
      <c r="A221" t="str">
        <f t="shared" si="34"/>
        <v>冷気鉄の杖</v>
      </c>
      <c r="B221" t="str">
        <f>IFERROR(VLOOKUP($D221,素材!$1:$1016,COLUMN($B$1),FALSE)&amp;"・"&amp;VLOOKUP($C221,装備品!$1:$998,COLUMN(B$1),FALSE),"")</f>
        <v>ドゥララン・ロッド</v>
      </c>
      <c r="C221" t="s">
        <v>215</v>
      </c>
      <c r="D221" s="24" t="s">
        <v>242</v>
      </c>
      <c r="E221" t="str">
        <f>IFERROR(VLOOKUP(C221,装備品!$1:$998,COLUMN(C$1),FALSE),"")</f>
        <v>杖</v>
      </c>
      <c r="F221">
        <f>IFERROR(ROUNDDOWN((VLOOKUP($C221,装備品!$1:$998,COLUMN(D$1),FALSE)+IFERROR(VLOOKUP($CI221,付与!$1:$1167,COLUMN(F$1),FALSE),0))*VLOOKUP($D221,素材!$1:$1016,COLUMN(D$1),FALSE),0),"")</f>
        <v>110</v>
      </c>
      <c r="G221">
        <f>IFERROR(ROUNDDOWN((VLOOKUP($C221,装備品!$1:$998,COLUMN(E$1),FALSE)+IFERROR(VLOOKUP($CI221,付与!$1:$1167,COLUMN(G$1),FALSE),0))*VLOOKUP($D221,素材!$1:$1016,COLUMN($E$1),FALSE),0),"")</f>
        <v>0</v>
      </c>
      <c r="H221">
        <f>IFERROR(ROUNDDOWN((VLOOKUP($C221,装備品!$1:$998,COLUMN(F$1),FALSE)+IFERROR(VLOOKUP($CI221,付与!$1:$1167,COLUMN(H$1),FALSE),0))*VLOOKUP($D221,素材!$1:$1016,COLUMN($E$1),FALSE),0),"")</f>
        <v>5</v>
      </c>
      <c r="I221">
        <f>IFERROR(ROUNDDOWN((VLOOKUP($C221,装備品!$1:$998,COLUMN(G$1),FALSE)+IFERROR(VLOOKUP($CI221,付与!$1:$1167,COLUMN(I$1),FALSE),0))*VLOOKUP($D221,素材!$1:$1016,COLUMN($E$1),FALSE),0),"")</f>
        <v>14</v>
      </c>
      <c r="J221">
        <f>IFERROR(ROUNDDOWN((VLOOKUP($C221,装備品!$1:$998,COLUMN(H$1),FALSE)+IFERROR(VLOOKUP($CI221,付与!$1:$1167,COLUMN(J$1),FALSE),0))*VLOOKUP($D221,素材!$1:$1016,COLUMN($E$1),FALSE),0),"")</f>
        <v>18</v>
      </c>
      <c r="K221">
        <f>IFERROR(ROUNDDOWN((VLOOKUP($C221,装備品!$1:$998,COLUMN(I$1),FALSE)+IFERROR(VLOOKUP($CI221,付与!$1:$1167,COLUMN(K$1),FALSE),0))*VLOOKUP($D221,素材!$1:$1016,COLUMN($E$1),FALSE),0),"")</f>
        <v>0</v>
      </c>
      <c r="L221" t="str">
        <f>IFERROR(VLOOKUP($D221,素材!$1:$1016,COLUMN($F$1),FALSE),"")</f>
        <v>氷</v>
      </c>
      <c r="M221">
        <f>IFERROR(VLOOKUP($C221,装備品!$1:$998,COLUMN(AA$1),FALSE)*VLOOKUP($D221,素材!$1:$1016,COLUMN($G$1),FALSE),"")</f>
        <v>70</v>
      </c>
      <c r="N221">
        <f>IFERROR(VLOOKUP($C221,装備品!$1:$998,COLUMN(I$1),FALSE),"")</f>
        <v>0</v>
      </c>
      <c r="O221" s="23">
        <f>IFERROR((VLOOKUP($C221,装備品!$1:$998,COLUMN(K$1),FALSE)+VLOOKUP($D221,素材!$1:$1016,COLUMN(H$1),FALSE))*100+IFERROR(VLOOKUP($CI221,付与!$1:$1167,COLUMN(O$1),FALSE),0),"")</f>
        <v>5</v>
      </c>
      <c r="P221" s="23">
        <f>IFERROR((VLOOKUP($C221,装備品!$1:$998,COLUMN(L$1),FALSE)+VLOOKUP($D221,素材!$1:$1016,COLUMN(I$1),FALSE))*100+IFERROR(VLOOKUP($CI221,付与!$1:$1167,COLUMN(P$1),FALSE),0),"")</f>
        <v>150</v>
      </c>
      <c r="Q221">
        <f>IFERROR(ROUNDUP(VLOOKUP($C221,装備品!$1:$998,COLUMN(M$1),FALSE)*(VLOOKUP($D221,素材!$1:$1002,COLUMN(D$1),FALSE)/100),1),"")</f>
        <v>0</v>
      </c>
      <c r="R221">
        <f>IFERROR(ROUNDUP(VLOOKUP($C221,装備品!$1:$998,COLUMN(N$1),FALSE)*(VLOOKUP($D221,素材!$1:$1002,COLUMN(D$1),FALSE)/100),1),"")</f>
        <v>0</v>
      </c>
      <c r="S221">
        <f>IFERROR(VLOOKUP($C221,装備品!$1:$998,COLUMN(P$1),FALSE),"")</f>
        <v>0</v>
      </c>
      <c r="T221">
        <f>IFERROR(VLOOKUP($C221,装備品!$1:$998,COLUMN(Q$1),FALSE),"")</f>
        <v>0</v>
      </c>
      <c r="U221">
        <f>IFERROR(VLOOKUP($C221,装備品!$1:$998,COLUMN(R$1),FALSE),"")</f>
        <v>0</v>
      </c>
      <c r="V221">
        <f>IFERROR(VLOOKUP($C221,装備品!$1:$998,COLUMN(Q$1),FALSE),"")</f>
        <v>0</v>
      </c>
      <c r="W221">
        <f>IFERROR(VLOOKUP($C221,装備品!$1:$998,COLUMN(T$1),FALSE),"")</f>
        <v>0</v>
      </c>
      <c r="Y221">
        <f>IFERROR(VLOOKUP($C221,装備品!$1:$998,COLUMN(U$1),FALSE),"")</f>
        <v>0</v>
      </c>
      <c r="Z221">
        <f>IFERROR(ROUNDUP(VLOOKUP($C221,装備品!$1:$998,COLUMN(O$1),FALSE)*VLOOKUP($D221,素材!$1:$1016,COLUMN(E$1),FALSE),1),"")</f>
        <v>0</v>
      </c>
      <c r="AA221">
        <f>IF(ISNUMBER(SEARCH(SUBSTITUTE(AA$1,RIGHT(AA$1,2),""),VLOOKUP($D221,素材!$1:$1016,COLUMN($F$1),FALSE))),VLOOKUP($C221,装備品!$1:$998,COLUMN($O$1),FALSE)*VLOOKUP($D221,素材!$1:$1016,COLUMN($E$1),FALSE)/(LEN(VLOOKUP($D221,素材!$1:$1016,COLUMN($F$1),FALSE))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B221">
        <f>IF(ISNUMBER(SEARCH(SUBSTITUTE(AB$1,RIGHT(AB$1,2),""),VLOOKUP($D221,素材!$1:$1016,COLUMN($F$1),FALSE))),VLOOKUP($C221,装備品!$1:$998,COLUMN($O$1),FALSE)*VLOOKUP($D221,素材!$1:$1016,COLUMN($E$1),FALSE)/(LEN(VLOOKUP($D221,素材!$1:$1016,COLUMN($F$1),FALSE))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C221">
        <f>IF(ISNUMBER(SEARCH(SUBSTITUTE(AC$1,RIGHT(AC$1,2),""),VLOOKUP($D221,素材!$1:$1016,COLUMN($F$1),FALSE))),VLOOKUP($C221,装備品!$1:$998,COLUMN($O$1),FALSE)*VLOOKUP($D221,素材!$1:$1016,COLUMN($E$1),FALSE)/(LEN(VLOOKUP($D221,素材!$1:$1016,COLUMN($F$1),FALSE))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D221">
        <f>IF(ISNUMBER(SEARCH(SUBSTITUTE(AD$1,RIGHT(AD$1,2),""),VLOOKUP($D221,素材!$1:$1016,COLUMN($F$1),FALSE))),VLOOKUP($C221,装備品!$1:$998,COLUMN($O$1),FALSE)*VLOOKUP($D221,素材!$1:$1016,COLUMN($E$1),FALSE)/(LEN(VLOOKUP($D221,素材!$1:$1016,COLUMN($F$1),FALSE))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E221">
        <f>IF(ISNUMBER(SEARCH(SUBSTITUTE(AE$1,RIGHT(AE$1,2),""),VLOOKUP($D221,素材!$1:$1016,COLUMN($F$1),FALSE))),VLOOKUP($C221,装備品!$1:$998,COLUMN($O$1),FALSE)*VLOOKUP($D221,素材!$1:$1016,COLUMN($E$1),FALSE)/(LEN(VLOOKUP($D221,素材!$1:$1016,COLUMN($F$1),FALSE))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F221">
        <f>IF(ISNUMBER(SEARCH(SUBSTITUTE(AF$1,RIGHT(AF$1,2),""),VLOOKUP($D221,素材!$1:$1016,COLUMN($F$1),FALSE))),VLOOKUP($C221,装備品!$1:$998,COLUMN($O$1),FALSE)*VLOOKUP($D221,素材!$1:$1016,COLUMN($E$1),FALSE)/(LEN(VLOOKUP($D221,素材!$1:$1016,COLUMN($F$1),FALSE))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G221">
        <f>IF(ISNUMBER(SEARCH(SUBSTITUTE(AG$1,RIGHT(AG$1,2),""),VLOOKUP($D221,素材!$1:$1016,COLUMN($F$1),FALSE))),VLOOKUP($C221,装備品!$1:$998,COLUMN($O$1),FALSE)*VLOOKUP($D221,素材!$1:$1016,COLUMN($E$1),FALSE)/(LEN(VLOOKUP($D221,素材!$1:$1016,COLUMN($F$1),FALSE))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H221">
        <f>IF(ISNUMBER(SEARCH(SUBSTITUTE(AH$1,RIGHT(AH$1,2),""),VLOOKUP($D221,素材!$1:$1016,COLUMN($F$1),FALSE))),VLOOKUP($C221,装備品!$1:$998,COLUMN($O$1),FALSE)*VLOOKUP($D221,素材!$1:$1016,COLUMN($E$1),FALSE)/(LEN(VLOOKUP($D221,素材!$1:$1016,COLUMN($F$1),FALSE))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I221">
        <f>IF(ISNUMBER(SEARCH(SUBSTITUTE(AI$1,RIGHT(AI$1,2),""),VLOOKUP($D221,素材!$1:$1016,COLUMN($F$1),FALSE))),VLOOKUP($C221,装備品!$1:$998,COLUMN($O$1),FALSE)*VLOOKUP($D221,素材!$1:$1016,COLUMN($E$1),FALSE)/(LEN(VLOOKUP($D221,素材!$1:$1016,COLUMN($F$1),FALSE))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J221">
        <f>IF(ISNUMBER(SEARCH(SUBSTITUTE(AJ$1,RIGHT(AJ$1,2),""),VLOOKUP($D221,素材!$1:$1016,COLUMN($F$1),FALSE))),VLOOKUP($C221,装備品!$1:$998,COLUMN($O$1),FALSE)*VLOOKUP($D221,素材!$1:$1016,COLUMN($E$1),FALSE)/(LEN(VLOOKUP($D221,素材!$1:$1016,COLUMN($F$1),FALSE))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K221">
        <f>IF(ISNUMBER(SEARCH(SUBSTITUTE(AK$1,RIGHT(AK$1,2),""),VLOOKUP($D221,素材!$1:$1016,COLUMN($F$1),FALSE))),VLOOKUP($C221,装備品!$1:$998,COLUMN($O$1),FALSE)*VLOOKUP($D221,素材!$1:$1016,COLUMN($E$1),FALSE)/(LEN(VLOOKUP($D221,素材!$1:$1016,COLUMN($F$1),FALSE))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L221">
        <f>IF(ISNUMBER(SEARCH(SUBSTITUTE(AL$1,RIGHT(AL$1,2),""),VLOOKUP($D221,素材!$1:$1016,COLUMN($F$1),FALSE))),VLOOKUP($C221,装備品!$1:$998,COLUMN($O$1),FALSE)*VLOOKUP($D221,素材!$1:$1016,COLUMN($E$1),FALSE)/(LEN(VLOOKUP($D221,素材!$1:$1016,COLUMN($F$1),FALSE))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M221">
        <f>IF(ISNUMBER(SEARCH(SUBSTITUTE(AM$1,RIGHT(AM$1,2),""),VLOOKUP($D221,素材!$1:$1016,COLUMN($F$1),FALSE))),VLOOKUP($C221,装備品!$1:$998,COLUMN($O$1),FALSE)*VLOOKUP($D221,素材!$1:$1016,COLUMN($E$1),FALSE)/(LEN(VLOOKUP($D221,素材!$1:$1016,COLUMN($F$1),FALSE))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N221">
        <f>IF(ISNUMBER(SEARCH(SUBSTITUTE(AN$1,RIGHT(AN$1,2),""),VLOOKUP($D221,素材!$1:$1016,COLUMN($F$1),FALSE))),VLOOKUP($C221,装備品!$1:$998,COLUMN($O$1),FALSE)*VLOOKUP($D221,素材!$1:$1016,COLUMN($E$1),FALSE)/(LEN(VLOOKUP($D221,素材!$1:$1016,COLUMN($F$1),FALSE))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O221">
        <f>IF(ISNUMBER(SEARCH(SUBSTITUTE(AO$1,RIGHT(AO$1,2),""),VLOOKUP($D221,素材!$1:$1016,COLUMN($F$1),FALSE))),VLOOKUP($C221,装備品!$1:$998,COLUMN($O$1),FALSE)*VLOOKUP($D221,素材!$1:$1016,COLUMN($E$1),FALSE)/(LEN(VLOOKUP($D221,素材!$1:$1016,COLUMN($F$1),FALSE))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P221">
        <f>IF(ISNUMBER(SEARCH(SUBSTITUTE(AP$1,RIGHT(AP$1,2),""),VLOOKUP($D221,素材!$1:$1016,COLUMN($F$1),FALSE))),VLOOKUP($C221,装備品!$1:$998,COLUMN($O$1),FALSE)*VLOOKUP($D221,素材!$1:$1016,COLUMN($E$1),FALSE)/(LEN(VLOOKUP($D221,素材!$1:$1016,COLUMN($F$1),FALSE))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Q221">
        <f>IF(ISNUMBER(SEARCH(SUBSTITUTE(AQ$1,RIGHT(AQ$1,2),""),VLOOKUP($D221,素材!$1:$1016,COLUMN($F$1),FALSE))),VLOOKUP($C221,装備品!$1:$998,COLUMN($O$1),FALSE)*VLOOKUP($D221,素材!$1:$1016,COLUMN($E$1),FALSE)/(LEN(VLOOKUP($D221,素材!$1:$1016,COLUMN($F$1),FALSE))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R221">
        <f>IF(ISNUMBER(SEARCH(SUBSTITUTE(AR$1,RIGHT(AR$1,2),""),VLOOKUP($D221,素材!$1:$1016,COLUMN($F$1),FALSE))),VLOOKUP($C221,装備品!$1:$998,COLUMN($O$1),FALSE)*VLOOKUP($D221,素材!$1:$1016,COLUMN($E$1),FALSE)/(LEN(VLOOKUP($D221,素材!$1:$1016,COLUMN($F$1),FALSE))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S221">
        <f>IF(ISNUMBER(SEARCH(SUBSTITUTE(AS$1,RIGHT(AS$1,2),""),VLOOKUP($D221,素材!$1:$1016,COLUMN($F$1),FALSE))),VLOOKUP($C221,装備品!$1:$998,COLUMN($O$1),FALSE)*VLOOKUP($D221,素材!$1:$1016,COLUMN($E$1),FALSE)/(LEN(VLOOKUP($D221,素材!$1:$1016,COLUMN($F$1),FALSE))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T221">
        <f>IF(ISNUMBER(SEARCH(SUBSTITUTE(AT$1,RIGHT(AT$1,2),""),VLOOKUP($D221,素材!$1:$1016,COLUMN($F$1),FALSE))),VLOOKUP($C221,装備品!$1:$998,COLUMN($O$1),FALSE)*VLOOKUP($D221,素材!$1:$1016,COLUMN($E$1),FALSE)/(LEN(VLOOKUP($D221,素材!$1:$1016,COLUMN($F$1),FALSE))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U221">
        <f>IF(ISNUMBER(SEARCH(SUBSTITUTE(AU$1,RIGHT(AU$1,2),""),VLOOKUP($D221,素材!$1:$1016,COLUMN($F$1),FALSE))),VLOOKUP($C221,装備品!$1:$998,COLUMN($O$1),FALSE)*VLOOKUP($D221,素材!$1:$1016,COLUMN($E$1),FALSE)/(LEN(VLOOKUP($D221,素材!$1:$1016,COLUMN($F$1),FALSE))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V221">
        <f>IF(ISNUMBER(SEARCH(SUBSTITUTE(AV$1,RIGHT(AV$1,2),""),VLOOKUP($D221,素材!$1:$1016,COLUMN($F$1),FALSE))),VLOOKUP($C221,装備品!$1:$998,COLUMN($O$1),FALSE)*VLOOKUP($D221,素材!$1:$1016,COLUMN($E$1),FALSE)/(LEN(VLOOKUP($D221,素材!$1:$1016,COLUMN($F$1),FALSE))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W221">
        <f>IF(ISNUMBER(SEARCH(SUBSTITUTE(AW$1,RIGHT(AW$1,2),""),VLOOKUP($D221,素材!$1:$1016,COLUMN($F$1),FALSE))),VLOOKUP($C221,装備品!$1:$998,COLUMN($O$1),FALSE)*VLOOKUP($D221,素材!$1:$1016,COLUMN($E$1),FALSE)/(LEN(VLOOKUP($D221,素材!$1:$1016,COLUMN($F$1),FALSE))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X221">
        <f>IF(ISNUMBER(SEARCH(SUBSTITUTE(AX$1,RIGHT(AX$1,2),""),VLOOKUP($D221,素材!$1:$1016,COLUMN($F$1),FALSE))),VLOOKUP($C221,装備品!$1:$998,COLUMN($O$1),FALSE)*VLOOKUP($D221,素材!$1:$1016,COLUMN($E$1),FALSE)/(LEN(VLOOKUP($D221,素材!$1:$1016,COLUMN($F$1),FALSE))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Y221">
        <f>IF(ISNUMBER(SEARCH(SUBSTITUTE(AY$1,RIGHT(AY$1,2),""),VLOOKUP($D221,素材!$1:$1016,COLUMN($F$1),FALSE))),VLOOKUP($C221,装備品!$1:$998,COLUMN($O$1),FALSE)*VLOOKUP($D221,素材!$1:$1016,COLUMN($E$1),FALSE)/(LEN(VLOOKUP($D221,素材!$1:$1016,COLUMN($F$1),FALSE))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Z221">
        <f>IF(ISNUMBER(SEARCH(SUBSTITUTE(AZ$1,RIGHT(AZ$1,2),""),VLOOKUP($D221,素材!$1:$1016,COLUMN($F$1),FALSE))),VLOOKUP($C221,装備品!$1:$998,COLUMN($O$1),FALSE)*VLOOKUP($D221,素材!$1:$1016,COLUMN($E$1),FALSE)/(LEN(VLOOKUP($D221,素材!$1:$1016,COLUMN($F$1),FALSE))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BA221">
        <f>IF(ISNUMBER(SEARCH(SUBSTITUTE(BA$1,RIGHT(BA$1,2),""),VLOOKUP($D221,素材!$1:$1016,COLUMN($F$1),FALSE))),VLOOKUP($C221,装備品!$1:$998,COLUMN($O$1),FALSE)*VLOOKUP($D221,素材!$1:$1016,COLUMN($E$1),FALSE)/(LEN(VLOOKUP($D221,素材!$1:$1016,COLUMN($F$1),FALSE))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BB221">
        <f>IF(ISNUMBER(SEARCH(SUBSTITUTE(BB$1,RIGHT(BB$1,2),""),VLOOKUP($D221,素材!$1:$1016,COLUMN($F$1),FALSE))),VLOOKUP($C221,装備品!$1:$998,COLUMN($O$1),FALSE)*VLOOKUP($D221,素材!$1:$1016,COLUMN($E$1),FALSE)/(LEN(VLOOKUP($D221,素材!$1:$1016,COLUMN($F$1),FALSE))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BC221">
        <f>IF(ISNUMBER(SEARCH(SUBSTITUTE(BC$1,RIGHT(BC$1,2),""),VLOOKUP($D221,素材!$1:$1016,COLUMN($F$1),FALSE))),VLOOKUP($C221,装備品!$1:$998,COLUMN($O$1),FALSE)*VLOOKUP($D221,素材!$1:$1016,COLUMN($E$1),FALSE)/(LEN(VLOOKUP($D221,素材!$1:$1016,COLUMN($F$1),FALSE))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BD221">
        <f>IF(ISNUMBER(SEARCH(SUBSTITUTE(BD$1,RIGHT(BD$1,2),""),VLOOKUP($D221,素材!$1:$1016,COLUMN($F$1),FALSE))),VLOOKUP($C221,装備品!$1:$998,COLUMN($O$1),FALSE)*VLOOKUP($D221,素材!$1:$1016,COLUMN($E$1),FALSE)/(LEN(VLOOKUP($D221,素材!$1:$1016,COLUMN($F$1),FALSE))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BE221">
        <f>IF(ISNUMBER(SEARCH(SUBSTITUTE(BE$1,RIGHT(BE$1,2),""),VLOOKUP($D221,素材!$1:$1016,COLUMN($F$1),FALSE))),VLOOKUP($C221,装備品!$1:$998,COLUMN($O$1),FALSE)*VLOOKUP($D221,素材!$1:$1016,COLUMN($E$1),FALSE)/(LEN(VLOOKUP($D221,素材!$1:$1016,COLUMN($F$1),FALSE))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CL221">
        <f t="shared" si="35"/>
        <v>19</v>
      </c>
      <c r="CM221" s="22" t="str">
        <f t="shared" si="36"/>
        <v>杖.webp</v>
      </c>
      <c r="CN221">
        <f>IFERROR(VLOOKUP($C221,装備品!$1:$998,COLUMN(V$1),FALSE)*VLOOKUP($D221,素材!$1:$1016,COLUMN(N$1),FALSE)+IF(CI221="",0,VLOOKUP($CI221,付与!$1:$1176,COLUMN($CK$1),FALSE)),"")</f>
        <v>0</v>
      </c>
      <c r="CO221">
        <f>VLOOKUP(D221,素材!$A:$O,COLUMN(素材!O$1),FALSE)</f>
        <v>0</v>
      </c>
      <c r="CP221" t="str">
        <f>VLOOKUP(C221,装備品!$A:$AB,COLUMN(装備品!AB$1),FALSE)</f>
        <v>杖。バランスの取れた魔法武器。</v>
      </c>
      <c r="CR221" t="str">
        <f t="shared" si="37"/>
        <v>e_221</v>
      </c>
      <c r="CS221">
        <f t="shared" si="38"/>
        <v>0</v>
      </c>
    </row>
    <row r="222" spans="1:97" outlineLevel="1" x14ac:dyDescent="0.4">
      <c r="A222" t="str">
        <f t="shared" ref="A222:A253" si="39">D222&amp;"の"&amp;C222</f>
        <v>冷気鉄の長杖</v>
      </c>
      <c r="B222" t="str">
        <f>IFERROR(VLOOKUP($D222,素材!$1:$1016,COLUMN($B$1),FALSE)&amp;"・"&amp;VLOOKUP($C222,装備品!$1:$998,COLUMN(B$1),FALSE),"")</f>
        <v>ドゥララン・スタッフ</v>
      </c>
      <c r="C222" t="s">
        <v>214</v>
      </c>
      <c r="D222" s="24" t="s">
        <v>242</v>
      </c>
      <c r="E222" t="str">
        <f>IFERROR(VLOOKUP(C222,装備品!$1:$998,COLUMN(C$1),FALSE),"")</f>
        <v>杖</v>
      </c>
      <c r="F222">
        <f>IFERROR(ROUNDDOWN((VLOOKUP($C222,装備品!$1:$998,COLUMN(D$1),FALSE)+IFERROR(VLOOKUP($CI222,付与!$1:$1167,COLUMN(F$1),FALSE),0))*VLOOKUP($D222,素材!$1:$1016,COLUMN(D$1),FALSE),0),"")</f>
        <v>115</v>
      </c>
      <c r="G222">
        <f>IFERROR(ROUNDDOWN((VLOOKUP($C222,装備品!$1:$998,COLUMN(E$1),FALSE)+IFERROR(VLOOKUP($CI222,付与!$1:$1167,COLUMN(G$1),FALSE),0))*VLOOKUP($D222,素材!$1:$1016,COLUMN($E$1),FALSE),0),"")</f>
        <v>0</v>
      </c>
      <c r="H222">
        <f>IFERROR(ROUNDDOWN((VLOOKUP($C222,装備品!$1:$998,COLUMN(F$1),FALSE)+IFERROR(VLOOKUP($CI222,付与!$1:$1167,COLUMN(H$1),FALSE),0))*VLOOKUP($D222,素材!$1:$1016,COLUMN($E$1),FALSE),0),"")</f>
        <v>6</v>
      </c>
      <c r="I222">
        <f>IFERROR(ROUNDDOWN((VLOOKUP($C222,装備品!$1:$998,COLUMN(G$1),FALSE)+IFERROR(VLOOKUP($CI222,付与!$1:$1167,COLUMN(I$1),FALSE),0))*VLOOKUP($D222,素材!$1:$1016,COLUMN($E$1),FALSE),0),"")</f>
        <v>16</v>
      </c>
      <c r="J222">
        <f>IFERROR(ROUNDDOWN((VLOOKUP($C222,装備品!$1:$998,COLUMN(H$1),FALSE)+IFERROR(VLOOKUP($CI222,付与!$1:$1167,COLUMN(J$1),FALSE),0))*VLOOKUP($D222,素材!$1:$1016,COLUMN($E$1),FALSE),0),"")</f>
        <v>19</v>
      </c>
      <c r="K222">
        <f>IFERROR(ROUNDDOWN((VLOOKUP($C222,装備品!$1:$998,COLUMN(I$1),FALSE)+IFERROR(VLOOKUP($CI222,付与!$1:$1167,COLUMN(K$1),FALSE),0))*VLOOKUP($D222,素材!$1:$1016,COLUMN($E$1),FALSE),0),"")</f>
        <v>0</v>
      </c>
      <c r="L222" t="str">
        <f>IFERROR(VLOOKUP($D222,素材!$1:$1016,COLUMN($F$1),FALSE),"")</f>
        <v>氷</v>
      </c>
      <c r="M222">
        <f>IFERROR(VLOOKUP($C222,装備品!$1:$998,COLUMN(AA$1),FALSE)*VLOOKUP($D222,素材!$1:$1016,COLUMN($G$1),FALSE),"")</f>
        <v>105</v>
      </c>
      <c r="N222">
        <f>IFERROR(VLOOKUP($C222,装備品!$1:$998,COLUMN(I$1),FALSE),"")</f>
        <v>0</v>
      </c>
      <c r="O222" s="23">
        <f>IFERROR((VLOOKUP($C222,装備品!$1:$998,COLUMN(K$1),FALSE)+VLOOKUP($D222,素材!$1:$1016,COLUMN(H$1),FALSE))*100+IFERROR(VLOOKUP($CI222,付与!$1:$1167,COLUMN(O$1),FALSE),0),"")</f>
        <v>5</v>
      </c>
      <c r="P222" s="23">
        <f>IFERROR((VLOOKUP($C222,装備品!$1:$998,COLUMN(L$1),FALSE)+VLOOKUP($D222,素材!$1:$1016,COLUMN(I$1),FALSE))*100+IFERROR(VLOOKUP($CI222,付与!$1:$1167,COLUMN(P$1),FALSE),0),"")</f>
        <v>150</v>
      </c>
      <c r="Q222">
        <f>IFERROR(ROUNDUP(VLOOKUP($C222,装備品!$1:$998,COLUMN(M$1),FALSE)*(VLOOKUP($D222,素材!$1:$1002,COLUMN(D$1),FALSE)/100),1),"")</f>
        <v>-4</v>
      </c>
      <c r="R222">
        <f>IFERROR(ROUNDUP(VLOOKUP($C222,装備品!$1:$998,COLUMN(N$1),FALSE)*(VLOOKUP($D222,素材!$1:$1002,COLUMN(D$1),FALSE)/100),1),"")</f>
        <v>-4</v>
      </c>
      <c r="S222">
        <f>IFERROR(VLOOKUP($C222,装備品!$1:$998,COLUMN(P$1),FALSE),"")</f>
        <v>0</v>
      </c>
      <c r="T222">
        <f>IFERROR(VLOOKUP($C222,装備品!$1:$998,COLUMN(Q$1),FALSE),"")</f>
        <v>0</v>
      </c>
      <c r="U222">
        <f>IFERROR(VLOOKUP($C222,装備品!$1:$998,COLUMN(R$1),FALSE),"")</f>
        <v>0</v>
      </c>
      <c r="V222">
        <f>IFERROR(VLOOKUP($C222,装備品!$1:$998,COLUMN(Q$1),FALSE),"")</f>
        <v>0</v>
      </c>
      <c r="W222">
        <f>IFERROR(VLOOKUP($C222,装備品!$1:$998,COLUMN(T$1),FALSE),"")</f>
        <v>0</v>
      </c>
      <c r="Y222">
        <f>IFERROR(VLOOKUP($C222,装備品!$1:$998,COLUMN(U$1),FALSE),"")</f>
        <v>0</v>
      </c>
      <c r="Z222">
        <f>IFERROR(ROUNDUP(VLOOKUP($C222,装備品!$1:$998,COLUMN(O$1),FALSE)*VLOOKUP($D222,素材!$1:$1016,COLUMN(E$1),FALSE),1),"")</f>
        <v>0</v>
      </c>
      <c r="AA222">
        <f>IF(ISNUMBER(SEARCH(SUBSTITUTE(AA$1,RIGHT(AA$1,2),""),VLOOKUP($D222,素材!$1:$1016,COLUMN($F$1),FALSE))),VLOOKUP($C222,装備品!$1:$998,COLUMN($O$1),FALSE)*VLOOKUP($D222,素材!$1:$1016,COLUMN($E$1),FALSE)/(LEN(VLOOKUP($D222,素材!$1:$1016,COLUMN($F$1),FALSE))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B222">
        <f>IF(ISNUMBER(SEARCH(SUBSTITUTE(AB$1,RIGHT(AB$1,2),""),VLOOKUP($D222,素材!$1:$1016,COLUMN($F$1),FALSE))),VLOOKUP($C222,装備品!$1:$998,COLUMN($O$1),FALSE)*VLOOKUP($D222,素材!$1:$1016,COLUMN($E$1),FALSE)/(LEN(VLOOKUP($D222,素材!$1:$1016,COLUMN($F$1),FALSE))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C222">
        <f>IF(ISNUMBER(SEARCH(SUBSTITUTE(AC$1,RIGHT(AC$1,2),""),VLOOKUP($D222,素材!$1:$1016,COLUMN($F$1),FALSE))),VLOOKUP($C222,装備品!$1:$998,COLUMN($O$1),FALSE)*VLOOKUP($D222,素材!$1:$1016,COLUMN($E$1),FALSE)/(LEN(VLOOKUP($D222,素材!$1:$1016,COLUMN($F$1),FALSE))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D222">
        <f>IF(ISNUMBER(SEARCH(SUBSTITUTE(AD$1,RIGHT(AD$1,2),""),VLOOKUP($D222,素材!$1:$1016,COLUMN($F$1),FALSE))),VLOOKUP($C222,装備品!$1:$998,COLUMN($O$1),FALSE)*VLOOKUP($D222,素材!$1:$1016,COLUMN($E$1),FALSE)/(LEN(VLOOKUP($D222,素材!$1:$1016,COLUMN($F$1),FALSE))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E222">
        <f>IF(ISNUMBER(SEARCH(SUBSTITUTE(AE$1,RIGHT(AE$1,2),""),VLOOKUP($D222,素材!$1:$1016,COLUMN($F$1),FALSE))),VLOOKUP($C222,装備品!$1:$998,COLUMN($O$1),FALSE)*VLOOKUP($D222,素材!$1:$1016,COLUMN($E$1),FALSE)/(LEN(VLOOKUP($D222,素材!$1:$1016,COLUMN($F$1),FALSE))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F222">
        <f>IF(ISNUMBER(SEARCH(SUBSTITUTE(AF$1,RIGHT(AF$1,2),""),VLOOKUP($D222,素材!$1:$1016,COLUMN($F$1),FALSE))),VLOOKUP($C222,装備品!$1:$998,COLUMN($O$1),FALSE)*VLOOKUP($D222,素材!$1:$1016,COLUMN($E$1),FALSE)/(LEN(VLOOKUP($D222,素材!$1:$1016,COLUMN($F$1),FALSE))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G222">
        <f>IF(ISNUMBER(SEARCH(SUBSTITUTE(AG$1,RIGHT(AG$1,2),""),VLOOKUP($D222,素材!$1:$1016,COLUMN($F$1),FALSE))),VLOOKUP($C222,装備品!$1:$998,COLUMN($O$1),FALSE)*VLOOKUP($D222,素材!$1:$1016,COLUMN($E$1),FALSE)/(LEN(VLOOKUP($D222,素材!$1:$1016,COLUMN($F$1),FALSE))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H222">
        <f>IF(ISNUMBER(SEARCH(SUBSTITUTE(AH$1,RIGHT(AH$1,2),""),VLOOKUP($D222,素材!$1:$1016,COLUMN($F$1),FALSE))),VLOOKUP($C222,装備品!$1:$998,COLUMN($O$1),FALSE)*VLOOKUP($D222,素材!$1:$1016,COLUMN($E$1),FALSE)/(LEN(VLOOKUP($D222,素材!$1:$1016,COLUMN($F$1),FALSE))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I222">
        <f>IF(ISNUMBER(SEARCH(SUBSTITUTE(AI$1,RIGHT(AI$1,2),""),VLOOKUP($D222,素材!$1:$1016,COLUMN($F$1),FALSE))),VLOOKUP($C222,装備品!$1:$998,COLUMN($O$1),FALSE)*VLOOKUP($D222,素材!$1:$1016,COLUMN($E$1),FALSE)/(LEN(VLOOKUP($D222,素材!$1:$1016,COLUMN($F$1),FALSE))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J222">
        <f>IF(ISNUMBER(SEARCH(SUBSTITUTE(AJ$1,RIGHT(AJ$1,2),""),VLOOKUP($D222,素材!$1:$1016,COLUMN($F$1),FALSE))),VLOOKUP($C222,装備品!$1:$998,COLUMN($O$1),FALSE)*VLOOKUP($D222,素材!$1:$1016,COLUMN($E$1),FALSE)/(LEN(VLOOKUP($D222,素材!$1:$1016,COLUMN($F$1),FALSE))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K222">
        <f>IF(ISNUMBER(SEARCH(SUBSTITUTE(AK$1,RIGHT(AK$1,2),""),VLOOKUP($D222,素材!$1:$1016,COLUMN($F$1),FALSE))),VLOOKUP($C222,装備品!$1:$998,COLUMN($O$1),FALSE)*VLOOKUP($D222,素材!$1:$1016,COLUMN($E$1),FALSE)/(LEN(VLOOKUP($D222,素材!$1:$1016,COLUMN($F$1),FALSE))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L222">
        <f>IF(ISNUMBER(SEARCH(SUBSTITUTE(AL$1,RIGHT(AL$1,2),""),VLOOKUP($D222,素材!$1:$1016,COLUMN($F$1),FALSE))),VLOOKUP($C222,装備品!$1:$998,COLUMN($O$1),FALSE)*VLOOKUP($D222,素材!$1:$1016,COLUMN($E$1),FALSE)/(LEN(VLOOKUP($D222,素材!$1:$1016,COLUMN($F$1),FALSE))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M222">
        <f>IF(ISNUMBER(SEARCH(SUBSTITUTE(AM$1,RIGHT(AM$1,2),""),VLOOKUP($D222,素材!$1:$1016,COLUMN($F$1),FALSE))),VLOOKUP($C222,装備品!$1:$998,COLUMN($O$1),FALSE)*VLOOKUP($D222,素材!$1:$1016,COLUMN($E$1),FALSE)/(LEN(VLOOKUP($D222,素材!$1:$1016,COLUMN($F$1),FALSE))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N222">
        <f>IF(ISNUMBER(SEARCH(SUBSTITUTE(AN$1,RIGHT(AN$1,2),""),VLOOKUP($D222,素材!$1:$1016,COLUMN($F$1),FALSE))),VLOOKUP($C222,装備品!$1:$998,COLUMN($O$1),FALSE)*VLOOKUP($D222,素材!$1:$1016,COLUMN($E$1),FALSE)/(LEN(VLOOKUP($D222,素材!$1:$1016,COLUMN($F$1),FALSE))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O222">
        <f>IF(ISNUMBER(SEARCH(SUBSTITUTE(AO$1,RIGHT(AO$1,2),""),VLOOKUP($D222,素材!$1:$1016,COLUMN($F$1),FALSE))),VLOOKUP($C222,装備品!$1:$998,COLUMN($O$1),FALSE)*VLOOKUP($D222,素材!$1:$1016,COLUMN($E$1),FALSE)/(LEN(VLOOKUP($D222,素材!$1:$1016,COLUMN($F$1),FALSE))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P222">
        <f>IF(ISNUMBER(SEARCH(SUBSTITUTE(AP$1,RIGHT(AP$1,2),""),VLOOKUP($D222,素材!$1:$1016,COLUMN($F$1),FALSE))),VLOOKUP($C222,装備品!$1:$998,COLUMN($O$1),FALSE)*VLOOKUP($D222,素材!$1:$1016,COLUMN($E$1),FALSE)/(LEN(VLOOKUP($D222,素材!$1:$1016,COLUMN($F$1),FALSE))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Q222">
        <f>IF(ISNUMBER(SEARCH(SUBSTITUTE(AQ$1,RIGHT(AQ$1,2),""),VLOOKUP($D222,素材!$1:$1016,COLUMN($F$1),FALSE))),VLOOKUP($C222,装備品!$1:$998,COLUMN($O$1),FALSE)*VLOOKUP($D222,素材!$1:$1016,COLUMN($E$1),FALSE)/(LEN(VLOOKUP($D222,素材!$1:$1016,COLUMN($F$1),FALSE))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R222">
        <f>IF(ISNUMBER(SEARCH(SUBSTITUTE(AR$1,RIGHT(AR$1,2),""),VLOOKUP($D222,素材!$1:$1016,COLUMN($F$1),FALSE))),VLOOKUP($C222,装備品!$1:$998,COLUMN($O$1),FALSE)*VLOOKUP($D222,素材!$1:$1016,COLUMN($E$1),FALSE)/(LEN(VLOOKUP($D222,素材!$1:$1016,COLUMN($F$1),FALSE))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S222">
        <f>IF(ISNUMBER(SEARCH(SUBSTITUTE(AS$1,RIGHT(AS$1,2),""),VLOOKUP($D222,素材!$1:$1016,COLUMN($F$1),FALSE))),VLOOKUP($C222,装備品!$1:$998,COLUMN($O$1),FALSE)*VLOOKUP($D222,素材!$1:$1016,COLUMN($E$1),FALSE)/(LEN(VLOOKUP($D222,素材!$1:$1016,COLUMN($F$1),FALSE))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T222">
        <f>IF(ISNUMBER(SEARCH(SUBSTITUTE(AT$1,RIGHT(AT$1,2),""),VLOOKUP($D222,素材!$1:$1016,COLUMN($F$1),FALSE))),VLOOKUP($C222,装備品!$1:$998,COLUMN($O$1),FALSE)*VLOOKUP($D222,素材!$1:$1016,COLUMN($E$1),FALSE)/(LEN(VLOOKUP($D222,素材!$1:$1016,COLUMN($F$1),FALSE))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U222">
        <f>IF(ISNUMBER(SEARCH(SUBSTITUTE(AU$1,RIGHT(AU$1,2),""),VLOOKUP($D222,素材!$1:$1016,COLUMN($F$1),FALSE))),VLOOKUP($C222,装備品!$1:$998,COLUMN($O$1),FALSE)*VLOOKUP($D222,素材!$1:$1016,COLUMN($E$1),FALSE)/(LEN(VLOOKUP($D222,素材!$1:$1016,COLUMN($F$1),FALSE))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V222">
        <f>IF(ISNUMBER(SEARCH(SUBSTITUTE(AV$1,RIGHT(AV$1,2),""),VLOOKUP($D222,素材!$1:$1016,COLUMN($F$1),FALSE))),VLOOKUP($C222,装備品!$1:$998,COLUMN($O$1),FALSE)*VLOOKUP($D222,素材!$1:$1016,COLUMN($E$1),FALSE)/(LEN(VLOOKUP($D222,素材!$1:$1016,COLUMN($F$1),FALSE))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W222">
        <f>IF(ISNUMBER(SEARCH(SUBSTITUTE(AW$1,RIGHT(AW$1,2),""),VLOOKUP($D222,素材!$1:$1016,COLUMN($F$1),FALSE))),VLOOKUP($C222,装備品!$1:$998,COLUMN($O$1),FALSE)*VLOOKUP($D222,素材!$1:$1016,COLUMN($E$1),FALSE)/(LEN(VLOOKUP($D222,素材!$1:$1016,COLUMN($F$1),FALSE))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X222">
        <f>IF(ISNUMBER(SEARCH(SUBSTITUTE(AX$1,RIGHT(AX$1,2),""),VLOOKUP($D222,素材!$1:$1016,COLUMN($F$1),FALSE))),VLOOKUP($C222,装備品!$1:$998,COLUMN($O$1),FALSE)*VLOOKUP($D222,素材!$1:$1016,COLUMN($E$1),FALSE)/(LEN(VLOOKUP($D222,素材!$1:$1016,COLUMN($F$1),FALSE))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Y222">
        <f>IF(ISNUMBER(SEARCH(SUBSTITUTE(AY$1,RIGHT(AY$1,2),""),VLOOKUP($D222,素材!$1:$1016,COLUMN($F$1),FALSE))),VLOOKUP($C222,装備品!$1:$998,COLUMN($O$1),FALSE)*VLOOKUP($D222,素材!$1:$1016,COLUMN($E$1),FALSE)/(LEN(VLOOKUP($D222,素材!$1:$1016,COLUMN($F$1),FALSE))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Z222">
        <f>IF(ISNUMBER(SEARCH(SUBSTITUTE(AZ$1,RIGHT(AZ$1,2),""),VLOOKUP($D222,素材!$1:$1016,COLUMN($F$1),FALSE))),VLOOKUP($C222,装備品!$1:$998,COLUMN($O$1),FALSE)*VLOOKUP($D222,素材!$1:$1016,COLUMN($E$1),FALSE)/(LEN(VLOOKUP($D222,素材!$1:$1016,COLUMN($F$1),FALSE))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BA222">
        <f>IF(ISNUMBER(SEARCH(SUBSTITUTE(BA$1,RIGHT(BA$1,2),""),VLOOKUP($D222,素材!$1:$1016,COLUMN($F$1),FALSE))),VLOOKUP($C222,装備品!$1:$998,COLUMN($O$1),FALSE)*VLOOKUP($D222,素材!$1:$1016,COLUMN($E$1),FALSE)/(LEN(VLOOKUP($D222,素材!$1:$1016,COLUMN($F$1),FALSE))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BB222">
        <f>IF(ISNUMBER(SEARCH(SUBSTITUTE(BB$1,RIGHT(BB$1,2),""),VLOOKUP($D222,素材!$1:$1016,COLUMN($F$1),FALSE))),VLOOKUP($C222,装備品!$1:$998,COLUMN($O$1),FALSE)*VLOOKUP($D222,素材!$1:$1016,COLUMN($E$1),FALSE)/(LEN(VLOOKUP($D222,素材!$1:$1016,COLUMN($F$1),FALSE))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BC222">
        <f>IF(ISNUMBER(SEARCH(SUBSTITUTE(BC$1,RIGHT(BC$1,2),""),VLOOKUP($D222,素材!$1:$1016,COLUMN($F$1),FALSE))),VLOOKUP($C222,装備品!$1:$998,COLUMN($O$1),FALSE)*VLOOKUP($D222,素材!$1:$1016,COLUMN($E$1),FALSE)/(LEN(VLOOKUP($D222,素材!$1:$1016,COLUMN($F$1),FALSE))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BD222">
        <f>IF(ISNUMBER(SEARCH(SUBSTITUTE(BD$1,RIGHT(BD$1,2),""),VLOOKUP($D222,素材!$1:$1016,COLUMN($F$1),FALSE))),VLOOKUP($C222,装備品!$1:$998,COLUMN($O$1),FALSE)*VLOOKUP($D222,素材!$1:$1016,COLUMN($E$1),FALSE)/(LEN(VLOOKUP($D222,素材!$1:$1016,COLUMN($F$1),FALSE))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BE222">
        <f>IF(ISNUMBER(SEARCH(SUBSTITUTE(BE$1,RIGHT(BE$1,2),""),VLOOKUP($D222,素材!$1:$1016,COLUMN($F$1),FALSE))),VLOOKUP($C222,装備品!$1:$998,COLUMN($O$1),FALSE)*VLOOKUP($D222,素材!$1:$1016,COLUMN($E$1),FALSE)/(LEN(VLOOKUP($D222,素材!$1:$1016,COLUMN($F$1),FALSE))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CL222">
        <f t="shared" si="35"/>
        <v>22</v>
      </c>
      <c r="CM222" s="22" t="str">
        <f t="shared" si="36"/>
        <v>杖.webp</v>
      </c>
      <c r="CN222">
        <f>IFERROR(VLOOKUP($C222,装備品!$1:$998,COLUMN(V$1),FALSE)*VLOOKUP($D222,素材!$1:$1016,COLUMN(N$1),FALSE)+IF(CI222="",0,VLOOKUP($CI222,付与!$1:$1176,COLUMN($CK$1),FALSE)),"")</f>
        <v>0</v>
      </c>
      <c r="CO222">
        <f>VLOOKUP(D222,素材!$A:$O,COLUMN(素材!O$1),FALSE)</f>
        <v>0</v>
      </c>
      <c r="CP222" t="str">
        <f>VLOOKUP(C222,装備品!$A:$AB,COLUMN(装備品!AB$1),FALSE)</f>
        <v>長杖。強力な魔法を扱える杖だが、重い。</v>
      </c>
      <c r="CR222" t="str">
        <f t="shared" si="37"/>
        <v>e_222</v>
      </c>
      <c r="CS222">
        <f t="shared" si="38"/>
        <v>0</v>
      </c>
    </row>
    <row r="223" spans="1:97" outlineLevel="1" x14ac:dyDescent="0.4">
      <c r="A223" t="str">
        <f t="shared" si="39"/>
        <v>冷気鉄の軽射出弓</v>
      </c>
      <c r="B223" t="str">
        <f>IFERROR(VLOOKUP($D223,素材!$1:$1016,COLUMN($B$1),FALSE)&amp;"・"&amp;VLOOKUP($C223,装備品!$1:$998,COLUMN(B$1),FALSE),"")</f>
        <v>ドゥララン・ライトクロスボウ</v>
      </c>
      <c r="C223" t="s">
        <v>213</v>
      </c>
      <c r="D223" s="24" t="s">
        <v>242</v>
      </c>
      <c r="E223" t="str">
        <f>IFERROR(VLOOKUP(C223,装備品!$1:$998,COLUMN(C$1),FALSE),"")</f>
        <v>銃</v>
      </c>
      <c r="F223">
        <f>IFERROR(ROUNDDOWN((VLOOKUP($C223,装備品!$1:$998,COLUMN(D$1),FALSE)+IFERROR(VLOOKUP($CI223,付与!$1:$1167,COLUMN(F$1),FALSE),0))*VLOOKUP($D223,素材!$1:$1016,COLUMN(D$1),FALSE),0),"")</f>
        <v>100</v>
      </c>
      <c r="G223">
        <f>IFERROR(ROUNDDOWN((VLOOKUP($C223,装備品!$1:$998,COLUMN(E$1),FALSE)+IFERROR(VLOOKUP($CI223,付与!$1:$1167,COLUMN(G$1),FALSE),0))*VLOOKUP($D223,素材!$1:$1016,COLUMN($E$1),FALSE),0),"")</f>
        <v>0</v>
      </c>
      <c r="H223">
        <f>IFERROR(ROUNDDOWN((VLOOKUP($C223,装備品!$1:$998,COLUMN(F$1),FALSE)+IFERROR(VLOOKUP($CI223,付与!$1:$1167,COLUMN(H$1),FALSE),0))*VLOOKUP($D223,素材!$1:$1016,COLUMN($E$1),FALSE),0),"")</f>
        <v>0</v>
      </c>
      <c r="I223">
        <f>IFERROR(ROUNDDOWN((VLOOKUP($C223,装備品!$1:$998,COLUMN(G$1),FALSE)+IFERROR(VLOOKUP($CI223,付与!$1:$1167,COLUMN(I$1),FALSE),0))*VLOOKUP($D223,素材!$1:$1016,COLUMN($E$1),FALSE),0),"")</f>
        <v>0</v>
      </c>
      <c r="J223">
        <f>IFERROR(ROUNDDOWN((VLOOKUP($C223,装備品!$1:$998,COLUMN(H$1),FALSE)+IFERROR(VLOOKUP($CI223,付与!$1:$1167,COLUMN(J$1),FALSE),0))*VLOOKUP($D223,素材!$1:$1016,COLUMN($E$1),FALSE),0),"")</f>
        <v>0</v>
      </c>
      <c r="K223">
        <f>IFERROR(ROUNDDOWN((VLOOKUP($C223,装備品!$1:$998,COLUMN(I$1),FALSE)+IFERROR(VLOOKUP($CI223,付与!$1:$1167,COLUMN(K$1),FALSE),0))*VLOOKUP($D223,素材!$1:$1016,COLUMN($E$1),FALSE),0),"")</f>
        <v>54</v>
      </c>
      <c r="L223" t="str">
        <f>IFERROR(VLOOKUP($D223,素材!$1:$1016,COLUMN($F$1),FALSE),"")</f>
        <v>氷</v>
      </c>
      <c r="M223">
        <f>IFERROR(VLOOKUP($C223,装備品!$1:$998,COLUMN(AA$1),FALSE)*VLOOKUP($D223,素材!$1:$1016,COLUMN($G$1),FALSE),"")</f>
        <v>87.5</v>
      </c>
      <c r="N223">
        <f>IFERROR(VLOOKUP($C223,装備品!$1:$998,COLUMN(I$1),FALSE),"")</f>
        <v>2.7</v>
      </c>
      <c r="O223" s="23">
        <f>IFERROR((VLOOKUP($C223,装備品!$1:$998,COLUMN(K$1),FALSE)+VLOOKUP($D223,素材!$1:$1016,COLUMN(H$1),FALSE))*100+IFERROR(VLOOKUP($CI223,付与!$1:$1167,COLUMN(O$1),FALSE),0),"")</f>
        <v>10</v>
      </c>
      <c r="P223" s="23">
        <f>IFERROR((VLOOKUP($C223,装備品!$1:$998,COLUMN(L$1),FALSE)+VLOOKUP($D223,素材!$1:$1016,COLUMN(I$1),FALSE))*100+IFERROR(VLOOKUP($CI223,付与!$1:$1167,COLUMN(P$1),FALSE),0),"")</f>
        <v>150</v>
      </c>
      <c r="Q223">
        <f>IFERROR(ROUNDUP(VLOOKUP($C223,装備品!$1:$998,COLUMN(M$1),FALSE)*(VLOOKUP($D223,素材!$1:$1002,COLUMN(D$1),FALSE)/100),1),"")</f>
        <v>0</v>
      </c>
      <c r="R223">
        <f>IFERROR(ROUNDUP(VLOOKUP($C223,装備品!$1:$998,COLUMN(N$1),FALSE)*(VLOOKUP($D223,素材!$1:$1002,COLUMN(D$1),FALSE)/100),1),"")</f>
        <v>-15</v>
      </c>
      <c r="S223">
        <f>IFERROR(VLOOKUP($C223,装備品!$1:$998,COLUMN(P$1),FALSE),"")</f>
        <v>0</v>
      </c>
      <c r="T223">
        <f>IFERROR(VLOOKUP($C223,装備品!$1:$998,COLUMN(Q$1),FALSE),"")</f>
        <v>0</v>
      </c>
      <c r="U223">
        <f>IFERROR(VLOOKUP($C223,装備品!$1:$998,COLUMN(R$1),FALSE),"")</f>
        <v>0</v>
      </c>
      <c r="V223">
        <f>IFERROR(VLOOKUP($C223,装備品!$1:$998,COLUMN(Q$1),FALSE),"")</f>
        <v>0</v>
      </c>
      <c r="W223">
        <f>IFERROR(VLOOKUP($C223,装備品!$1:$998,COLUMN(T$1),FALSE),"")</f>
        <v>0</v>
      </c>
      <c r="Y223">
        <f>IFERROR(VLOOKUP($C223,装備品!$1:$998,COLUMN(U$1),FALSE),"")</f>
        <v>0</v>
      </c>
      <c r="Z223">
        <f>IFERROR(ROUNDUP(VLOOKUP($C223,装備品!$1:$998,COLUMN(O$1),FALSE)*VLOOKUP($D223,素材!$1:$1016,COLUMN(E$1),FALSE),1),"")</f>
        <v>0</v>
      </c>
      <c r="AA223">
        <f>IF(ISNUMBER(SEARCH(SUBSTITUTE(AA$1,RIGHT(AA$1,2),""),VLOOKUP($D223,素材!$1:$1016,COLUMN($F$1),FALSE))),VLOOKUP($C223,装備品!$1:$998,COLUMN($O$1),FALSE)*VLOOKUP($D223,素材!$1:$1016,COLUMN($E$1),FALSE)/(LEN(VLOOKUP($D223,素材!$1:$1016,COLUMN($F$1),FALSE))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B223">
        <f>IF(ISNUMBER(SEARCH(SUBSTITUTE(AB$1,RIGHT(AB$1,2),""),VLOOKUP($D223,素材!$1:$1016,COLUMN($F$1),FALSE))),VLOOKUP($C223,装備品!$1:$998,COLUMN($O$1),FALSE)*VLOOKUP($D223,素材!$1:$1016,COLUMN($E$1),FALSE)/(LEN(VLOOKUP($D223,素材!$1:$1016,COLUMN($F$1),FALSE))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C223">
        <f>IF(ISNUMBER(SEARCH(SUBSTITUTE(AC$1,RIGHT(AC$1,2),""),VLOOKUP($D223,素材!$1:$1016,COLUMN($F$1),FALSE))),VLOOKUP($C223,装備品!$1:$998,COLUMN($O$1),FALSE)*VLOOKUP($D223,素材!$1:$1016,COLUMN($E$1),FALSE)/(LEN(VLOOKUP($D223,素材!$1:$1016,COLUMN($F$1),FALSE))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D223">
        <f>IF(ISNUMBER(SEARCH(SUBSTITUTE(AD$1,RIGHT(AD$1,2),""),VLOOKUP($D223,素材!$1:$1016,COLUMN($F$1),FALSE))),VLOOKUP($C223,装備品!$1:$998,COLUMN($O$1),FALSE)*VLOOKUP($D223,素材!$1:$1016,COLUMN($E$1),FALSE)/(LEN(VLOOKUP($D223,素材!$1:$1016,COLUMN($F$1),FALSE))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E223">
        <f>IF(ISNUMBER(SEARCH(SUBSTITUTE(AE$1,RIGHT(AE$1,2),""),VLOOKUP($D223,素材!$1:$1016,COLUMN($F$1),FALSE))),VLOOKUP($C223,装備品!$1:$998,COLUMN($O$1),FALSE)*VLOOKUP($D223,素材!$1:$1016,COLUMN($E$1),FALSE)/(LEN(VLOOKUP($D223,素材!$1:$1016,COLUMN($F$1),FALSE))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F223">
        <f>IF(ISNUMBER(SEARCH(SUBSTITUTE(AF$1,RIGHT(AF$1,2),""),VLOOKUP($D223,素材!$1:$1016,COLUMN($F$1),FALSE))),VLOOKUP($C223,装備品!$1:$998,COLUMN($O$1),FALSE)*VLOOKUP($D223,素材!$1:$1016,COLUMN($E$1),FALSE)/(LEN(VLOOKUP($D223,素材!$1:$1016,COLUMN($F$1),FALSE))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G223">
        <f>IF(ISNUMBER(SEARCH(SUBSTITUTE(AG$1,RIGHT(AG$1,2),""),VLOOKUP($D223,素材!$1:$1016,COLUMN($F$1),FALSE))),VLOOKUP($C223,装備品!$1:$998,COLUMN($O$1),FALSE)*VLOOKUP($D223,素材!$1:$1016,COLUMN($E$1),FALSE)/(LEN(VLOOKUP($D223,素材!$1:$1016,COLUMN($F$1),FALSE))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H223">
        <f>IF(ISNUMBER(SEARCH(SUBSTITUTE(AH$1,RIGHT(AH$1,2),""),VLOOKUP($D223,素材!$1:$1016,COLUMN($F$1),FALSE))),VLOOKUP($C223,装備品!$1:$998,COLUMN($O$1),FALSE)*VLOOKUP($D223,素材!$1:$1016,COLUMN($E$1),FALSE)/(LEN(VLOOKUP($D223,素材!$1:$1016,COLUMN($F$1),FALSE))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I223">
        <f>IF(ISNUMBER(SEARCH(SUBSTITUTE(AI$1,RIGHT(AI$1,2),""),VLOOKUP($D223,素材!$1:$1016,COLUMN($F$1),FALSE))),VLOOKUP($C223,装備品!$1:$998,COLUMN($O$1),FALSE)*VLOOKUP($D223,素材!$1:$1016,COLUMN($E$1),FALSE)/(LEN(VLOOKUP($D223,素材!$1:$1016,COLUMN($F$1),FALSE))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J223">
        <f>IF(ISNUMBER(SEARCH(SUBSTITUTE(AJ$1,RIGHT(AJ$1,2),""),VLOOKUP($D223,素材!$1:$1016,COLUMN($F$1),FALSE))),VLOOKUP($C223,装備品!$1:$998,COLUMN($O$1),FALSE)*VLOOKUP($D223,素材!$1:$1016,COLUMN($E$1),FALSE)/(LEN(VLOOKUP($D223,素材!$1:$1016,COLUMN($F$1),FALSE))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K223">
        <f>IF(ISNUMBER(SEARCH(SUBSTITUTE(AK$1,RIGHT(AK$1,2),""),VLOOKUP($D223,素材!$1:$1016,COLUMN($F$1),FALSE))),VLOOKUP($C223,装備品!$1:$998,COLUMN($O$1),FALSE)*VLOOKUP($D223,素材!$1:$1016,COLUMN($E$1),FALSE)/(LEN(VLOOKUP($D223,素材!$1:$1016,COLUMN($F$1),FALSE))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L223">
        <f>IF(ISNUMBER(SEARCH(SUBSTITUTE(AL$1,RIGHT(AL$1,2),""),VLOOKUP($D223,素材!$1:$1016,COLUMN($F$1),FALSE))),VLOOKUP($C223,装備品!$1:$998,COLUMN($O$1),FALSE)*VLOOKUP($D223,素材!$1:$1016,COLUMN($E$1),FALSE)/(LEN(VLOOKUP($D223,素材!$1:$1016,COLUMN($F$1),FALSE))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M223">
        <f>IF(ISNUMBER(SEARCH(SUBSTITUTE(AM$1,RIGHT(AM$1,2),""),VLOOKUP($D223,素材!$1:$1016,COLUMN($F$1),FALSE))),VLOOKUP($C223,装備品!$1:$998,COLUMN($O$1),FALSE)*VLOOKUP($D223,素材!$1:$1016,COLUMN($E$1),FALSE)/(LEN(VLOOKUP($D223,素材!$1:$1016,COLUMN($F$1),FALSE))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N223">
        <f>IF(ISNUMBER(SEARCH(SUBSTITUTE(AN$1,RIGHT(AN$1,2),""),VLOOKUP($D223,素材!$1:$1016,COLUMN($F$1),FALSE))),VLOOKUP($C223,装備品!$1:$998,COLUMN($O$1),FALSE)*VLOOKUP($D223,素材!$1:$1016,COLUMN($E$1),FALSE)/(LEN(VLOOKUP($D223,素材!$1:$1016,COLUMN($F$1),FALSE))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O223">
        <f>IF(ISNUMBER(SEARCH(SUBSTITUTE(AO$1,RIGHT(AO$1,2),""),VLOOKUP($D223,素材!$1:$1016,COLUMN($F$1),FALSE))),VLOOKUP($C223,装備品!$1:$998,COLUMN($O$1),FALSE)*VLOOKUP($D223,素材!$1:$1016,COLUMN($E$1),FALSE)/(LEN(VLOOKUP($D223,素材!$1:$1016,COLUMN($F$1),FALSE))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P223">
        <f>IF(ISNUMBER(SEARCH(SUBSTITUTE(AP$1,RIGHT(AP$1,2),""),VLOOKUP($D223,素材!$1:$1016,COLUMN($F$1),FALSE))),VLOOKUP($C223,装備品!$1:$998,COLUMN($O$1),FALSE)*VLOOKUP($D223,素材!$1:$1016,COLUMN($E$1),FALSE)/(LEN(VLOOKUP($D223,素材!$1:$1016,COLUMN($F$1),FALSE))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Q223">
        <f>IF(ISNUMBER(SEARCH(SUBSTITUTE(AQ$1,RIGHT(AQ$1,2),""),VLOOKUP($D223,素材!$1:$1016,COLUMN($F$1),FALSE))),VLOOKUP($C223,装備品!$1:$998,COLUMN($O$1),FALSE)*VLOOKUP($D223,素材!$1:$1016,COLUMN($E$1),FALSE)/(LEN(VLOOKUP($D223,素材!$1:$1016,COLUMN($F$1),FALSE))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R223">
        <f>IF(ISNUMBER(SEARCH(SUBSTITUTE(AR$1,RIGHT(AR$1,2),""),VLOOKUP($D223,素材!$1:$1016,COLUMN($F$1),FALSE))),VLOOKUP($C223,装備品!$1:$998,COLUMN($O$1),FALSE)*VLOOKUP($D223,素材!$1:$1016,COLUMN($E$1),FALSE)/(LEN(VLOOKUP($D223,素材!$1:$1016,COLUMN($F$1),FALSE))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S223">
        <f>IF(ISNUMBER(SEARCH(SUBSTITUTE(AS$1,RIGHT(AS$1,2),""),VLOOKUP($D223,素材!$1:$1016,COLUMN($F$1),FALSE))),VLOOKUP($C223,装備品!$1:$998,COLUMN($O$1),FALSE)*VLOOKUP($D223,素材!$1:$1016,COLUMN($E$1),FALSE)/(LEN(VLOOKUP($D223,素材!$1:$1016,COLUMN($F$1),FALSE))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T223">
        <f>IF(ISNUMBER(SEARCH(SUBSTITUTE(AT$1,RIGHT(AT$1,2),""),VLOOKUP($D223,素材!$1:$1016,COLUMN($F$1),FALSE))),VLOOKUP($C223,装備品!$1:$998,COLUMN($O$1),FALSE)*VLOOKUP($D223,素材!$1:$1016,COLUMN($E$1),FALSE)/(LEN(VLOOKUP($D223,素材!$1:$1016,COLUMN($F$1),FALSE))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U223">
        <f>IF(ISNUMBER(SEARCH(SUBSTITUTE(AU$1,RIGHT(AU$1,2),""),VLOOKUP($D223,素材!$1:$1016,COLUMN($F$1),FALSE))),VLOOKUP($C223,装備品!$1:$998,COLUMN($O$1),FALSE)*VLOOKUP($D223,素材!$1:$1016,COLUMN($E$1),FALSE)/(LEN(VLOOKUP($D223,素材!$1:$1016,COLUMN($F$1),FALSE))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V223">
        <f>IF(ISNUMBER(SEARCH(SUBSTITUTE(AV$1,RIGHT(AV$1,2),""),VLOOKUP($D223,素材!$1:$1016,COLUMN($F$1),FALSE))),VLOOKUP($C223,装備品!$1:$998,COLUMN($O$1),FALSE)*VLOOKUP($D223,素材!$1:$1016,COLUMN($E$1),FALSE)/(LEN(VLOOKUP($D223,素材!$1:$1016,COLUMN($F$1),FALSE))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W223">
        <f>IF(ISNUMBER(SEARCH(SUBSTITUTE(AW$1,RIGHT(AW$1,2),""),VLOOKUP($D223,素材!$1:$1016,COLUMN($F$1),FALSE))),VLOOKUP($C223,装備品!$1:$998,COLUMN($O$1),FALSE)*VLOOKUP($D223,素材!$1:$1016,COLUMN($E$1),FALSE)/(LEN(VLOOKUP($D223,素材!$1:$1016,COLUMN($F$1),FALSE))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X223">
        <f>IF(ISNUMBER(SEARCH(SUBSTITUTE(AX$1,RIGHT(AX$1,2),""),VLOOKUP($D223,素材!$1:$1016,COLUMN($F$1),FALSE))),VLOOKUP($C223,装備品!$1:$998,COLUMN($O$1),FALSE)*VLOOKUP($D223,素材!$1:$1016,COLUMN($E$1),FALSE)/(LEN(VLOOKUP($D223,素材!$1:$1016,COLUMN($F$1),FALSE))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Y223">
        <f>IF(ISNUMBER(SEARCH(SUBSTITUTE(AY$1,RIGHT(AY$1,2),""),VLOOKUP($D223,素材!$1:$1016,COLUMN($F$1),FALSE))),VLOOKUP($C223,装備品!$1:$998,COLUMN($O$1),FALSE)*VLOOKUP($D223,素材!$1:$1016,COLUMN($E$1),FALSE)/(LEN(VLOOKUP($D223,素材!$1:$1016,COLUMN($F$1),FALSE))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Z223">
        <f>IF(ISNUMBER(SEARCH(SUBSTITUTE(AZ$1,RIGHT(AZ$1,2),""),VLOOKUP($D223,素材!$1:$1016,COLUMN($F$1),FALSE))),VLOOKUP($C223,装備品!$1:$998,COLUMN($O$1),FALSE)*VLOOKUP($D223,素材!$1:$1016,COLUMN($E$1),FALSE)/(LEN(VLOOKUP($D223,素材!$1:$1016,COLUMN($F$1),FALSE))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BA223">
        <f>IF(ISNUMBER(SEARCH(SUBSTITUTE(BA$1,RIGHT(BA$1,2),""),VLOOKUP($D223,素材!$1:$1016,COLUMN($F$1),FALSE))),VLOOKUP($C223,装備品!$1:$998,COLUMN($O$1),FALSE)*VLOOKUP($D223,素材!$1:$1016,COLUMN($E$1),FALSE)/(LEN(VLOOKUP($D223,素材!$1:$1016,COLUMN($F$1),FALSE))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BB223">
        <f>IF(ISNUMBER(SEARCH(SUBSTITUTE(BB$1,RIGHT(BB$1,2),""),VLOOKUP($D223,素材!$1:$1016,COLUMN($F$1),FALSE))),VLOOKUP($C223,装備品!$1:$998,COLUMN($O$1),FALSE)*VLOOKUP($D223,素材!$1:$1016,COLUMN($E$1),FALSE)/(LEN(VLOOKUP($D223,素材!$1:$1016,COLUMN($F$1),FALSE))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BC223">
        <f>IF(ISNUMBER(SEARCH(SUBSTITUTE(BC$1,RIGHT(BC$1,2),""),VLOOKUP($D223,素材!$1:$1016,COLUMN($F$1),FALSE))),VLOOKUP($C223,装備品!$1:$998,COLUMN($O$1),FALSE)*VLOOKUP($D223,素材!$1:$1016,COLUMN($E$1),FALSE)/(LEN(VLOOKUP($D223,素材!$1:$1016,COLUMN($F$1),FALSE))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BD223">
        <f>IF(ISNUMBER(SEARCH(SUBSTITUTE(BD$1,RIGHT(BD$1,2),""),VLOOKUP($D223,素材!$1:$1016,COLUMN($F$1),FALSE))),VLOOKUP($C223,装備品!$1:$998,COLUMN($O$1),FALSE)*VLOOKUP($D223,素材!$1:$1016,COLUMN($E$1),FALSE)/(LEN(VLOOKUP($D223,素材!$1:$1016,COLUMN($F$1),FALSE))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BE223">
        <f>IF(ISNUMBER(SEARCH(SUBSTITUTE(BE$1,RIGHT(BE$1,2),""),VLOOKUP($D223,素材!$1:$1016,COLUMN($F$1),FALSE))),VLOOKUP($C223,装備品!$1:$998,COLUMN($O$1),FALSE)*VLOOKUP($D223,素材!$1:$1016,COLUMN($E$1),FALSE)/(LEN(VLOOKUP($D223,素材!$1:$1016,COLUMN($F$1),FALSE))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CL223">
        <f t="shared" si="35"/>
        <v>0</v>
      </c>
      <c r="CM223" s="22" t="str">
        <f t="shared" si="36"/>
        <v>銃.webp</v>
      </c>
      <c r="CN223">
        <f>IFERROR(VLOOKUP($C223,装備品!$1:$998,COLUMN(V$1),FALSE)*VLOOKUP($D223,素材!$1:$1016,COLUMN(N$1),FALSE)+IF(CI223="",0,VLOOKUP($CI223,付与!$1:$1176,COLUMN($CK$1),FALSE)),"")</f>
        <v>1500</v>
      </c>
      <c r="CO223">
        <f>VLOOKUP(D223,素材!$A:$O,COLUMN(素材!O$1),FALSE)</f>
        <v>0</v>
      </c>
      <c r="CP223" t="str">
        <f>VLOOKUP(C223,装備品!$A:$AB,COLUMN(装備品!AB$1),FALSE)</f>
        <v/>
      </c>
      <c r="CR223" t="str">
        <f t="shared" si="37"/>
        <v>e_223</v>
      </c>
      <c r="CS223">
        <f t="shared" si="38"/>
        <v>150000</v>
      </c>
    </row>
    <row r="224" spans="1:97" outlineLevel="1" x14ac:dyDescent="0.4">
      <c r="A224" t="str">
        <f t="shared" si="39"/>
        <v>冷気鉄の射出弓</v>
      </c>
      <c r="B224" t="str">
        <f>IFERROR(VLOOKUP($D224,素材!$1:$1016,COLUMN($B$1),FALSE)&amp;"・"&amp;VLOOKUP($C224,装備品!$1:$998,COLUMN(B$1),FALSE),"")</f>
        <v>ドゥララン・クロスボウ</v>
      </c>
      <c r="C224" t="s">
        <v>212</v>
      </c>
      <c r="D224" s="24" t="s">
        <v>242</v>
      </c>
      <c r="E224" t="str">
        <f>IFERROR(VLOOKUP(C224,装備品!$1:$998,COLUMN(C$1),FALSE),"")</f>
        <v>銃</v>
      </c>
      <c r="F224">
        <f>IFERROR(ROUNDDOWN((VLOOKUP($C224,装備品!$1:$998,COLUMN(D$1),FALSE)+IFERROR(VLOOKUP($CI224,付与!$1:$1167,COLUMN(F$1),FALSE),0))*VLOOKUP($D224,素材!$1:$1016,COLUMN(D$1),FALSE),0),"")</f>
        <v>100</v>
      </c>
      <c r="G224">
        <f>IFERROR(ROUNDDOWN((VLOOKUP($C224,装備品!$1:$998,COLUMN(E$1),FALSE)+IFERROR(VLOOKUP($CI224,付与!$1:$1167,COLUMN(G$1),FALSE),0))*VLOOKUP($D224,素材!$1:$1016,COLUMN($E$1),FALSE),0),"")</f>
        <v>0</v>
      </c>
      <c r="H224">
        <f>IFERROR(ROUNDDOWN((VLOOKUP($C224,装備品!$1:$998,COLUMN(F$1),FALSE)+IFERROR(VLOOKUP($CI224,付与!$1:$1167,COLUMN(H$1),FALSE),0))*VLOOKUP($D224,素材!$1:$1016,COLUMN($E$1),FALSE),0),"")</f>
        <v>0</v>
      </c>
      <c r="I224">
        <f>IFERROR(ROUNDDOWN((VLOOKUP($C224,装備品!$1:$998,COLUMN(G$1),FALSE)+IFERROR(VLOOKUP($CI224,付与!$1:$1167,COLUMN(I$1),FALSE),0))*VLOOKUP($D224,素材!$1:$1016,COLUMN($E$1),FALSE),0),"")</f>
        <v>0</v>
      </c>
      <c r="J224">
        <f>IFERROR(ROUNDDOWN((VLOOKUP($C224,装備品!$1:$998,COLUMN(H$1),FALSE)+IFERROR(VLOOKUP($CI224,付与!$1:$1167,COLUMN(J$1),FALSE),0))*VLOOKUP($D224,素材!$1:$1016,COLUMN($E$1),FALSE),0),"")</f>
        <v>0</v>
      </c>
      <c r="K224">
        <f>IFERROR(ROUNDDOWN((VLOOKUP($C224,装備品!$1:$998,COLUMN(I$1),FALSE)+IFERROR(VLOOKUP($CI224,付与!$1:$1167,COLUMN(K$1),FALSE),0))*VLOOKUP($D224,素材!$1:$1016,COLUMN($E$1),FALSE),0),"")</f>
        <v>78</v>
      </c>
      <c r="L224" t="str">
        <f>IFERROR(VLOOKUP($D224,素材!$1:$1016,COLUMN($F$1),FALSE),"")</f>
        <v>氷</v>
      </c>
      <c r="M224">
        <f>IFERROR(VLOOKUP($C224,装備品!$1:$998,COLUMN(AA$1),FALSE)*VLOOKUP($D224,素材!$1:$1016,COLUMN($G$1),FALSE),"")</f>
        <v>105</v>
      </c>
      <c r="N224">
        <f>IFERROR(VLOOKUP($C224,装備品!$1:$998,COLUMN(I$1),FALSE),"")</f>
        <v>3.9</v>
      </c>
      <c r="O224" s="23">
        <f>IFERROR((VLOOKUP($C224,装備品!$1:$998,COLUMN(K$1),FALSE)+VLOOKUP($D224,素材!$1:$1016,COLUMN(H$1),FALSE))*100+IFERROR(VLOOKUP($CI224,付与!$1:$1167,COLUMN(O$1),FALSE),0),"")</f>
        <v>10</v>
      </c>
      <c r="P224" s="23">
        <f>IFERROR((VLOOKUP($C224,装備品!$1:$998,COLUMN(L$1),FALSE)+VLOOKUP($D224,素材!$1:$1016,COLUMN(I$1),FALSE))*100+IFERROR(VLOOKUP($CI224,付与!$1:$1167,COLUMN(P$1),FALSE),0),"")</f>
        <v>150</v>
      </c>
      <c r="Q224">
        <f>IFERROR(ROUNDUP(VLOOKUP($C224,装備品!$1:$998,COLUMN(M$1),FALSE)*(VLOOKUP($D224,素材!$1:$1002,COLUMN(D$1),FALSE)/100),1),"")</f>
        <v>0</v>
      </c>
      <c r="R224">
        <f>IFERROR(ROUNDUP(VLOOKUP($C224,装備品!$1:$998,COLUMN(N$1),FALSE)*(VLOOKUP($D224,素材!$1:$1002,COLUMN(D$1),FALSE)/100),1),"")</f>
        <v>-15</v>
      </c>
      <c r="S224">
        <f>IFERROR(VLOOKUP($C224,装備品!$1:$998,COLUMN(P$1),FALSE),"")</f>
        <v>0</v>
      </c>
      <c r="T224">
        <f>IFERROR(VLOOKUP($C224,装備品!$1:$998,COLUMN(Q$1),FALSE),"")</f>
        <v>0</v>
      </c>
      <c r="U224">
        <f>IFERROR(VLOOKUP($C224,装備品!$1:$998,COLUMN(R$1),FALSE),"")</f>
        <v>0</v>
      </c>
      <c r="V224">
        <f>IFERROR(VLOOKUP($C224,装備品!$1:$998,COLUMN(Q$1),FALSE),"")</f>
        <v>0</v>
      </c>
      <c r="W224">
        <f>IFERROR(VLOOKUP($C224,装備品!$1:$998,COLUMN(T$1),FALSE),"")</f>
        <v>0</v>
      </c>
      <c r="Y224">
        <f>IFERROR(VLOOKUP($C224,装備品!$1:$998,COLUMN(U$1),FALSE),"")</f>
        <v>0</v>
      </c>
      <c r="Z224">
        <f>IFERROR(ROUNDUP(VLOOKUP($C224,装備品!$1:$998,COLUMN(O$1),FALSE)*VLOOKUP($D224,素材!$1:$1016,COLUMN(E$1),FALSE),1),"")</f>
        <v>0</v>
      </c>
      <c r="AA224">
        <f>IF(ISNUMBER(SEARCH(SUBSTITUTE(AA$1,RIGHT(AA$1,2),""),VLOOKUP($D224,素材!$1:$1016,COLUMN($F$1),FALSE))),VLOOKUP($C224,装備品!$1:$998,COLUMN($O$1),FALSE)*VLOOKUP($D224,素材!$1:$1016,COLUMN($E$1),FALSE)/(LEN(VLOOKUP($D224,素材!$1:$1016,COLUMN($F$1),FALSE))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B224">
        <f>IF(ISNUMBER(SEARCH(SUBSTITUTE(AB$1,RIGHT(AB$1,2),""),VLOOKUP($D224,素材!$1:$1016,COLUMN($F$1),FALSE))),VLOOKUP($C224,装備品!$1:$998,COLUMN($O$1),FALSE)*VLOOKUP($D224,素材!$1:$1016,COLUMN($E$1),FALSE)/(LEN(VLOOKUP($D224,素材!$1:$1016,COLUMN($F$1),FALSE))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C224">
        <f>IF(ISNUMBER(SEARCH(SUBSTITUTE(AC$1,RIGHT(AC$1,2),""),VLOOKUP($D224,素材!$1:$1016,COLUMN($F$1),FALSE))),VLOOKUP($C224,装備品!$1:$998,COLUMN($O$1),FALSE)*VLOOKUP($D224,素材!$1:$1016,COLUMN($E$1),FALSE)/(LEN(VLOOKUP($D224,素材!$1:$1016,COLUMN($F$1),FALSE))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D224">
        <f>IF(ISNUMBER(SEARCH(SUBSTITUTE(AD$1,RIGHT(AD$1,2),""),VLOOKUP($D224,素材!$1:$1016,COLUMN($F$1),FALSE))),VLOOKUP($C224,装備品!$1:$998,COLUMN($O$1),FALSE)*VLOOKUP($D224,素材!$1:$1016,COLUMN($E$1),FALSE)/(LEN(VLOOKUP($D224,素材!$1:$1016,COLUMN($F$1),FALSE))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E224">
        <f>IF(ISNUMBER(SEARCH(SUBSTITUTE(AE$1,RIGHT(AE$1,2),""),VLOOKUP($D224,素材!$1:$1016,COLUMN($F$1),FALSE))),VLOOKUP($C224,装備品!$1:$998,COLUMN($O$1),FALSE)*VLOOKUP($D224,素材!$1:$1016,COLUMN($E$1),FALSE)/(LEN(VLOOKUP($D224,素材!$1:$1016,COLUMN($F$1),FALSE))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F224">
        <f>IF(ISNUMBER(SEARCH(SUBSTITUTE(AF$1,RIGHT(AF$1,2),""),VLOOKUP($D224,素材!$1:$1016,COLUMN($F$1),FALSE))),VLOOKUP($C224,装備品!$1:$998,COLUMN($O$1),FALSE)*VLOOKUP($D224,素材!$1:$1016,COLUMN($E$1),FALSE)/(LEN(VLOOKUP($D224,素材!$1:$1016,COLUMN($F$1),FALSE))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G224">
        <f>IF(ISNUMBER(SEARCH(SUBSTITUTE(AG$1,RIGHT(AG$1,2),""),VLOOKUP($D224,素材!$1:$1016,COLUMN($F$1),FALSE))),VLOOKUP($C224,装備品!$1:$998,COLUMN($O$1),FALSE)*VLOOKUP($D224,素材!$1:$1016,COLUMN($E$1),FALSE)/(LEN(VLOOKUP($D224,素材!$1:$1016,COLUMN($F$1),FALSE))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H224">
        <f>IF(ISNUMBER(SEARCH(SUBSTITUTE(AH$1,RIGHT(AH$1,2),""),VLOOKUP($D224,素材!$1:$1016,COLUMN($F$1),FALSE))),VLOOKUP($C224,装備品!$1:$998,COLUMN($O$1),FALSE)*VLOOKUP($D224,素材!$1:$1016,COLUMN($E$1),FALSE)/(LEN(VLOOKUP($D224,素材!$1:$1016,COLUMN($F$1),FALSE))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I224">
        <f>IF(ISNUMBER(SEARCH(SUBSTITUTE(AI$1,RIGHT(AI$1,2),""),VLOOKUP($D224,素材!$1:$1016,COLUMN($F$1),FALSE))),VLOOKUP($C224,装備品!$1:$998,COLUMN($O$1),FALSE)*VLOOKUP($D224,素材!$1:$1016,COLUMN($E$1),FALSE)/(LEN(VLOOKUP($D224,素材!$1:$1016,COLUMN($F$1),FALSE))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J224">
        <f>IF(ISNUMBER(SEARCH(SUBSTITUTE(AJ$1,RIGHT(AJ$1,2),""),VLOOKUP($D224,素材!$1:$1016,COLUMN($F$1),FALSE))),VLOOKUP($C224,装備品!$1:$998,COLUMN($O$1),FALSE)*VLOOKUP($D224,素材!$1:$1016,COLUMN($E$1),FALSE)/(LEN(VLOOKUP($D224,素材!$1:$1016,COLUMN($F$1),FALSE))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K224">
        <f>IF(ISNUMBER(SEARCH(SUBSTITUTE(AK$1,RIGHT(AK$1,2),""),VLOOKUP($D224,素材!$1:$1016,COLUMN($F$1),FALSE))),VLOOKUP($C224,装備品!$1:$998,COLUMN($O$1),FALSE)*VLOOKUP($D224,素材!$1:$1016,COLUMN($E$1),FALSE)/(LEN(VLOOKUP($D224,素材!$1:$1016,COLUMN($F$1),FALSE))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L224">
        <f>IF(ISNUMBER(SEARCH(SUBSTITUTE(AL$1,RIGHT(AL$1,2),""),VLOOKUP($D224,素材!$1:$1016,COLUMN($F$1),FALSE))),VLOOKUP($C224,装備品!$1:$998,COLUMN($O$1),FALSE)*VLOOKUP($D224,素材!$1:$1016,COLUMN($E$1),FALSE)/(LEN(VLOOKUP($D224,素材!$1:$1016,COLUMN($F$1),FALSE))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M224">
        <f>IF(ISNUMBER(SEARCH(SUBSTITUTE(AM$1,RIGHT(AM$1,2),""),VLOOKUP($D224,素材!$1:$1016,COLUMN($F$1),FALSE))),VLOOKUP($C224,装備品!$1:$998,COLUMN($O$1),FALSE)*VLOOKUP($D224,素材!$1:$1016,COLUMN($E$1),FALSE)/(LEN(VLOOKUP($D224,素材!$1:$1016,COLUMN($F$1),FALSE))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N224">
        <f>IF(ISNUMBER(SEARCH(SUBSTITUTE(AN$1,RIGHT(AN$1,2),""),VLOOKUP($D224,素材!$1:$1016,COLUMN($F$1),FALSE))),VLOOKUP($C224,装備品!$1:$998,COLUMN($O$1),FALSE)*VLOOKUP($D224,素材!$1:$1016,COLUMN($E$1),FALSE)/(LEN(VLOOKUP($D224,素材!$1:$1016,COLUMN($F$1),FALSE))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O224">
        <f>IF(ISNUMBER(SEARCH(SUBSTITUTE(AO$1,RIGHT(AO$1,2),""),VLOOKUP($D224,素材!$1:$1016,COLUMN($F$1),FALSE))),VLOOKUP($C224,装備品!$1:$998,COLUMN($O$1),FALSE)*VLOOKUP($D224,素材!$1:$1016,COLUMN($E$1),FALSE)/(LEN(VLOOKUP($D224,素材!$1:$1016,COLUMN($F$1),FALSE))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P224">
        <f>IF(ISNUMBER(SEARCH(SUBSTITUTE(AP$1,RIGHT(AP$1,2),""),VLOOKUP($D224,素材!$1:$1016,COLUMN($F$1),FALSE))),VLOOKUP($C224,装備品!$1:$998,COLUMN($O$1),FALSE)*VLOOKUP($D224,素材!$1:$1016,COLUMN($E$1),FALSE)/(LEN(VLOOKUP($D224,素材!$1:$1016,COLUMN($F$1),FALSE))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Q224">
        <f>IF(ISNUMBER(SEARCH(SUBSTITUTE(AQ$1,RIGHT(AQ$1,2),""),VLOOKUP($D224,素材!$1:$1016,COLUMN($F$1),FALSE))),VLOOKUP($C224,装備品!$1:$998,COLUMN($O$1),FALSE)*VLOOKUP($D224,素材!$1:$1016,COLUMN($E$1),FALSE)/(LEN(VLOOKUP($D224,素材!$1:$1016,COLUMN($F$1),FALSE))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R224">
        <f>IF(ISNUMBER(SEARCH(SUBSTITUTE(AR$1,RIGHT(AR$1,2),""),VLOOKUP($D224,素材!$1:$1016,COLUMN($F$1),FALSE))),VLOOKUP($C224,装備品!$1:$998,COLUMN($O$1),FALSE)*VLOOKUP($D224,素材!$1:$1016,COLUMN($E$1),FALSE)/(LEN(VLOOKUP($D224,素材!$1:$1016,COLUMN($F$1),FALSE))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S224">
        <f>IF(ISNUMBER(SEARCH(SUBSTITUTE(AS$1,RIGHT(AS$1,2),""),VLOOKUP($D224,素材!$1:$1016,COLUMN($F$1),FALSE))),VLOOKUP($C224,装備品!$1:$998,COLUMN($O$1),FALSE)*VLOOKUP($D224,素材!$1:$1016,COLUMN($E$1),FALSE)/(LEN(VLOOKUP($D224,素材!$1:$1016,COLUMN($F$1),FALSE))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T224">
        <f>IF(ISNUMBER(SEARCH(SUBSTITUTE(AT$1,RIGHT(AT$1,2),""),VLOOKUP($D224,素材!$1:$1016,COLUMN($F$1),FALSE))),VLOOKUP($C224,装備品!$1:$998,COLUMN($O$1),FALSE)*VLOOKUP($D224,素材!$1:$1016,COLUMN($E$1),FALSE)/(LEN(VLOOKUP($D224,素材!$1:$1016,COLUMN($F$1),FALSE))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U224">
        <f>IF(ISNUMBER(SEARCH(SUBSTITUTE(AU$1,RIGHT(AU$1,2),""),VLOOKUP($D224,素材!$1:$1016,COLUMN($F$1),FALSE))),VLOOKUP($C224,装備品!$1:$998,COLUMN($O$1),FALSE)*VLOOKUP($D224,素材!$1:$1016,COLUMN($E$1),FALSE)/(LEN(VLOOKUP($D224,素材!$1:$1016,COLUMN($F$1),FALSE))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V224">
        <f>IF(ISNUMBER(SEARCH(SUBSTITUTE(AV$1,RIGHT(AV$1,2),""),VLOOKUP($D224,素材!$1:$1016,COLUMN($F$1),FALSE))),VLOOKUP($C224,装備品!$1:$998,COLUMN($O$1),FALSE)*VLOOKUP($D224,素材!$1:$1016,COLUMN($E$1),FALSE)/(LEN(VLOOKUP($D224,素材!$1:$1016,COLUMN($F$1),FALSE))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W224">
        <f>IF(ISNUMBER(SEARCH(SUBSTITUTE(AW$1,RIGHT(AW$1,2),""),VLOOKUP($D224,素材!$1:$1016,COLUMN($F$1),FALSE))),VLOOKUP($C224,装備品!$1:$998,COLUMN($O$1),FALSE)*VLOOKUP($D224,素材!$1:$1016,COLUMN($E$1),FALSE)/(LEN(VLOOKUP($D224,素材!$1:$1016,COLUMN($F$1),FALSE))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X224">
        <f>IF(ISNUMBER(SEARCH(SUBSTITUTE(AX$1,RIGHT(AX$1,2),""),VLOOKUP($D224,素材!$1:$1016,COLUMN($F$1),FALSE))),VLOOKUP($C224,装備品!$1:$998,COLUMN($O$1),FALSE)*VLOOKUP($D224,素材!$1:$1016,COLUMN($E$1),FALSE)/(LEN(VLOOKUP($D224,素材!$1:$1016,COLUMN($F$1),FALSE))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Y224">
        <f>IF(ISNUMBER(SEARCH(SUBSTITUTE(AY$1,RIGHT(AY$1,2),""),VLOOKUP($D224,素材!$1:$1016,COLUMN($F$1),FALSE))),VLOOKUP($C224,装備品!$1:$998,COLUMN($O$1),FALSE)*VLOOKUP($D224,素材!$1:$1016,COLUMN($E$1),FALSE)/(LEN(VLOOKUP($D224,素材!$1:$1016,COLUMN($F$1),FALSE))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Z224">
        <f>IF(ISNUMBER(SEARCH(SUBSTITUTE(AZ$1,RIGHT(AZ$1,2),""),VLOOKUP($D224,素材!$1:$1016,COLUMN($F$1),FALSE))),VLOOKUP($C224,装備品!$1:$998,COLUMN($O$1),FALSE)*VLOOKUP($D224,素材!$1:$1016,COLUMN($E$1),FALSE)/(LEN(VLOOKUP($D224,素材!$1:$1016,COLUMN($F$1),FALSE))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BA224">
        <f>IF(ISNUMBER(SEARCH(SUBSTITUTE(BA$1,RIGHT(BA$1,2),""),VLOOKUP($D224,素材!$1:$1016,COLUMN($F$1),FALSE))),VLOOKUP($C224,装備品!$1:$998,COLUMN($O$1),FALSE)*VLOOKUP($D224,素材!$1:$1016,COLUMN($E$1),FALSE)/(LEN(VLOOKUP($D224,素材!$1:$1016,COLUMN($F$1),FALSE))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BB224">
        <f>IF(ISNUMBER(SEARCH(SUBSTITUTE(BB$1,RIGHT(BB$1,2),""),VLOOKUP($D224,素材!$1:$1016,COLUMN($F$1),FALSE))),VLOOKUP($C224,装備品!$1:$998,COLUMN($O$1),FALSE)*VLOOKUP($D224,素材!$1:$1016,COLUMN($E$1),FALSE)/(LEN(VLOOKUP($D224,素材!$1:$1016,COLUMN($F$1),FALSE))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BC224">
        <f>IF(ISNUMBER(SEARCH(SUBSTITUTE(BC$1,RIGHT(BC$1,2),""),VLOOKUP($D224,素材!$1:$1016,COLUMN($F$1),FALSE))),VLOOKUP($C224,装備品!$1:$998,COLUMN($O$1),FALSE)*VLOOKUP($D224,素材!$1:$1016,COLUMN($E$1),FALSE)/(LEN(VLOOKUP($D224,素材!$1:$1016,COLUMN($F$1),FALSE))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BD224">
        <f>IF(ISNUMBER(SEARCH(SUBSTITUTE(BD$1,RIGHT(BD$1,2),""),VLOOKUP($D224,素材!$1:$1016,COLUMN($F$1),FALSE))),VLOOKUP($C224,装備品!$1:$998,COLUMN($O$1),FALSE)*VLOOKUP($D224,素材!$1:$1016,COLUMN($E$1),FALSE)/(LEN(VLOOKUP($D224,素材!$1:$1016,COLUMN($F$1),FALSE))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BE224">
        <f>IF(ISNUMBER(SEARCH(SUBSTITUTE(BE$1,RIGHT(BE$1,2),""),VLOOKUP($D224,素材!$1:$1016,COLUMN($F$1),FALSE))),VLOOKUP($C224,装備品!$1:$998,COLUMN($O$1),FALSE)*VLOOKUP($D224,素材!$1:$1016,COLUMN($E$1),FALSE)/(LEN(VLOOKUP($D224,素材!$1:$1016,COLUMN($F$1),FALSE))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CL224">
        <f t="shared" si="35"/>
        <v>0</v>
      </c>
      <c r="CM224" s="22" t="str">
        <f t="shared" si="36"/>
        <v>銃.webp</v>
      </c>
      <c r="CN224">
        <f>IFERROR(VLOOKUP($C224,装備品!$1:$998,COLUMN(V$1),FALSE)*VLOOKUP($D224,素材!$1:$1016,COLUMN(N$1),FALSE)+IF(CI224="",0,VLOOKUP($CI224,付与!$1:$1176,COLUMN($CK$1),FALSE)),"")</f>
        <v>1500</v>
      </c>
      <c r="CO224">
        <f>VLOOKUP(D224,素材!$A:$O,COLUMN(素材!O$1),FALSE)</f>
        <v>0</v>
      </c>
      <c r="CP224" t="str">
        <f>VLOOKUP(C224,装備品!$A:$AB,COLUMN(装備品!AB$1),FALSE)</f>
        <v/>
      </c>
      <c r="CR224" t="str">
        <f t="shared" si="37"/>
        <v>e_224</v>
      </c>
      <c r="CS224">
        <f t="shared" si="38"/>
        <v>150000</v>
      </c>
    </row>
    <row r="225" spans="1:97" outlineLevel="1" x14ac:dyDescent="0.4">
      <c r="A225" t="str">
        <f t="shared" si="39"/>
        <v>冷気鉄の回転式拳銃</v>
      </c>
      <c r="B225" t="str">
        <f>IFERROR(VLOOKUP($D225,素材!$1:$1016,COLUMN($B$1),FALSE)&amp;"・"&amp;VLOOKUP($C225,装備品!$1:$998,COLUMN(B$1),FALSE),"")</f>
        <v>ドゥララン・リボルバー</v>
      </c>
      <c r="C225" t="s">
        <v>211</v>
      </c>
      <c r="D225" s="24" t="s">
        <v>242</v>
      </c>
      <c r="E225" t="str">
        <f>IFERROR(VLOOKUP(C225,装備品!$1:$998,COLUMN(C$1),FALSE),"")</f>
        <v>銃</v>
      </c>
      <c r="F225">
        <f>IFERROR(ROUNDDOWN((VLOOKUP($C225,装備品!$1:$998,COLUMN(D$1),FALSE)+IFERROR(VLOOKUP($CI225,付与!$1:$1167,COLUMN(F$1),FALSE),0))*VLOOKUP($D225,素材!$1:$1016,COLUMN(D$1),FALSE),0),"")</f>
        <v>100</v>
      </c>
      <c r="G225">
        <f>IFERROR(ROUNDDOWN((VLOOKUP($C225,装備品!$1:$998,COLUMN(E$1),FALSE)+IFERROR(VLOOKUP($CI225,付与!$1:$1167,COLUMN(G$1),FALSE),0))*VLOOKUP($D225,素材!$1:$1016,COLUMN($E$1),FALSE),0),"")</f>
        <v>0</v>
      </c>
      <c r="H225">
        <f>IFERROR(ROUNDDOWN((VLOOKUP($C225,装備品!$1:$998,COLUMN(F$1),FALSE)+IFERROR(VLOOKUP($CI225,付与!$1:$1167,COLUMN(H$1),FALSE),0))*VLOOKUP($D225,素材!$1:$1016,COLUMN($E$1),FALSE),0),"")</f>
        <v>0</v>
      </c>
      <c r="I225">
        <f>IFERROR(ROUNDDOWN((VLOOKUP($C225,装備品!$1:$998,COLUMN(G$1),FALSE)+IFERROR(VLOOKUP($CI225,付与!$1:$1167,COLUMN(I$1),FALSE),0))*VLOOKUP($D225,素材!$1:$1016,COLUMN($E$1),FALSE),0),"")</f>
        <v>0</v>
      </c>
      <c r="J225">
        <f>IFERROR(ROUNDDOWN((VLOOKUP($C225,装備品!$1:$998,COLUMN(H$1),FALSE)+IFERROR(VLOOKUP($CI225,付与!$1:$1167,COLUMN(J$1),FALSE),0))*VLOOKUP($D225,素材!$1:$1016,COLUMN($E$1),FALSE),0),"")</f>
        <v>0</v>
      </c>
      <c r="K225">
        <f>IFERROR(ROUNDDOWN((VLOOKUP($C225,装備品!$1:$998,COLUMN(I$1),FALSE)+IFERROR(VLOOKUP($CI225,付与!$1:$1167,COLUMN(K$1),FALSE),0))*VLOOKUP($D225,素材!$1:$1016,COLUMN($E$1),FALSE),0),"")</f>
        <v>51</v>
      </c>
      <c r="L225" t="str">
        <f>IFERROR(VLOOKUP($D225,素材!$1:$1016,COLUMN($F$1),FALSE),"")</f>
        <v>氷</v>
      </c>
      <c r="M225">
        <f>IFERROR(VLOOKUP($C225,装備品!$1:$998,COLUMN(AA$1),FALSE)*VLOOKUP($D225,素材!$1:$1016,COLUMN($G$1),FALSE),"")</f>
        <v>70</v>
      </c>
      <c r="N225">
        <f>IFERROR(VLOOKUP($C225,装備品!$1:$998,COLUMN(I$1),FALSE),"")</f>
        <v>2.5700000000000003</v>
      </c>
      <c r="O225" s="23">
        <f>IFERROR((VLOOKUP($C225,装備品!$1:$998,COLUMN(K$1),FALSE)+VLOOKUP($D225,素材!$1:$1016,COLUMN(H$1),FALSE))*100+IFERROR(VLOOKUP($CI225,付与!$1:$1167,COLUMN(O$1),FALSE),0),"")</f>
        <v>10</v>
      </c>
      <c r="P225" s="23">
        <f>IFERROR((VLOOKUP($C225,装備品!$1:$998,COLUMN(L$1),FALSE)+VLOOKUP($D225,素材!$1:$1016,COLUMN(I$1),FALSE))*100+IFERROR(VLOOKUP($CI225,付与!$1:$1167,COLUMN(P$1),FALSE),0),"")</f>
        <v>140</v>
      </c>
      <c r="Q225">
        <f>IFERROR(ROUNDUP(VLOOKUP($C225,装備品!$1:$998,COLUMN(M$1),FALSE)*(VLOOKUP($D225,素材!$1:$1002,COLUMN(D$1),FALSE)/100),1),"")</f>
        <v>0</v>
      </c>
      <c r="R225">
        <f>IFERROR(ROUNDUP(VLOOKUP($C225,装備品!$1:$998,COLUMN(N$1),FALSE)*(VLOOKUP($D225,素材!$1:$1002,COLUMN(D$1),FALSE)/100),1),"")</f>
        <v>-25</v>
      </c>
      <c r="S225">
        <f>IFERROR(VLOOKUP($C225,装備品!$1:$998,COLUMN(P$1),FALSE),"")</f>
        <v>0</v>
      </c>
      <c r="T225">
        <f>IFERROR(VLOOKUP($C225,装備品!$1:$998,COLUMN(Q$1),FALSE),"")</f>
        <v>0</v>
      </c>
      <c r="U225">
        <f>IFERROR(VLOOKUP($C225,装備品!$1:$998,COLUMN(R$1),FALSE),"")</f>
        <v>0</v>
      </c>
      <c r="V225">
        <f>IFERROR(VLOOKUP($C225,装備品!$1:$998,COLUMN(Q$1),FALSE),"")</f>
        <v>0</v>
      </c>
      <c r="W225">
        <f>IFERROR(VLOOKUP($C225,装備品!$1:$998,COLUMN(T$1),FALSE),"")</f>
        <v>0</v>
      </c>
      <c r="Y225">
        <f>IFERROR(VLOOKUP($C225,装備品!$1:$998,COLUMN(U$1),FALSE),"")</f>
        <v>0</v>
      </c>
      <c r="Z225">
        <f>IFERROR(ROUNDUP(VLOOKUP($C225,装備品!$1:$998,COLUMN(O$1),FALSE)*VLOOKUP($D225,素材!$1:$1016,COLUMN(E$1),FALSE),1),"")</f>
        <v>0</v>
      </c>
      <c r="AA225">
        <f>IF(ISNUMBER(SEARCH(SUBSTITUTE(AA$1,RIGHT(AA$1,2),""),VLOOKUP($D225,素材!$1:$1016,COLUMN($F$1),FALSE))),VLOOKUP($C225,装備品!$1:$998,COLUMN($O$1),FALSE)*VLOOKUP($D225,素材!$1:$1016,COLUMN($E$1),FALSE)/(LEN(VLOOKUP($D225,素材!$1:$1016,COLUMN($F$1),FALSE))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B225">
        <f>IF(ISNUMBER(SEARCH(SUBSTITUTE(AB$1,RIGHT(AB$1,2),""),VLOOKUP($D225,素材!$1:$1016,COLUMN($F$1),FALSE))),VLOOKUP($C225,装備品!$1:$998,COLUMN($O$1),FALSE)*VLOOKUP($D225,素材!$1:$1016,COLUMN($E$1),FALSE)/(LEN(VLOOKUP($D225,素材!$1:$1016,COLUMN($F$1),FALSE))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C225">
        <f>IF(ISNUMBER(SEARCH(SUBSTITUTE(AC$1,RIGHT(AC$1,2),""),VLOOKUP($D225,素材!$1:$1016,COLUMN($F$1),FALSE))),VLOOKUP($C225,装備品!$1:$998,COLUMN($O$1),FALSE)*VLOOKUP($D225,素材!$1:$1016,COLUMN($E$1),FALSE)/(LEN(VLOOKUP($D225,素材!$1:$1016,COLUMN($F$1),FALSE))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D225">
        <f>IF(ISNUMBER(SEARCH(SUBSTITUTE(AD$1,RIGHT(AD$1,2),""),VLOOKUP($D225,素材!$1:$1016,COLUMN($F$1),FALSE))),VLOOKUP($C225,装備品!$1:$998,COLUMN($O$1),FALSE)*VLOOKUP($D225,素材!$1:$1016,COLUMN($E$1),FALSE)/(LEN(VLOOKUP($D225,素材!$1:$1016,COLUMN($F$1),FALSE))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E225">
        <f>IF(ISNUMBER(SEARCH(SUBSTITUTE(AE$1,RIGHT(AE$1,2),""),VLOOKUP($D225,素材!$1:$1016,COLUMN($F$1),FALSE))),VLOOKUP($C225,装備品!$1:$998,COLUMN($O$1),FALSE)*VLOOKUP($D225,素材!$1:$1016,COLUMN($E$1),FALSE)/(LEN(VLOOKUP($D225,素材!$1:$1016,COLUMN($F$1),FALSE))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F225">
        <f>IF(ISNUMBER(SEARCH(SUBSTITUTE(AF$1,RIGHT(AF$1,2),""),VLOOKUP($D225,素材!$1:$1016,COLUMN($F$1),FALSE))),VLOOKUP($C225,装備品!$1:$998,COLUMN($O$1),FALSE)*VLOOKUP($D225,素材!$1:$1016,COLUMN($E$1),FALSE)/(LEN(VLOOKUP($D225,素材!$1:$1016,COLUMN($F$1),FALSE))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G225">
        <f>IF(ISNUMBER(SEARCH(SUBSTITUTE(AG$1,RIGHT(AG$1,2),""),VLOOKUP($D225,素材!$1:$1016,COLUMN($F$1),FALSE))),VLOOKUP($C225,装備品!$1:$998,COLUMN($O$1),FALSE)*VLOOKUP($D225,素材!$1:$1016,COLUMN($E$1),FALSE)/(LEN(VLOOKUP($D225,素材!$1:$1016,COLUMN($F$1),FALSE))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H225">
        <f>IF(ISNUMBER(SEARCH(SUBSTITUTE(AH$1,RIGHT(AH$1,2),""),VLOOKUP($D225,素材!$1:$1016,COLUMN($F$1),FALSE))),VLOOKUP($C225,装備品!$1:$998,COLUMN($O$1),FALSE)*VLOOKUP($D225,素材!$1:$1016,COLUMN($E$1),FALSE)/(LEN(VLOOKUP($D225,素材!$1:$1016,COLUMN($F$1),FALSE))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I225">
        <f>IF(ISNUMBER(SEARCH(SUBSTITUTE(AI$1,RIGHT(AI$1,2),""),VLOOKUP($D225,素材!$1:$1016,COLUMN($F$1),FALSE))),VLOOKUP($C225,装備品!$1:$998,COLUMN($O$1),FALSE)*VLOOKUP($D225,素材!$1:$1016,COLUMN($E$1),FALSE)/(LEN(VLOOKUP($D225,素材!$1:$1016,COLUMN($F$1),FALSE))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J225">
        <f>IF(ISNUMBER(SEARCH(SUBSTITUTE(AJ$1,RIGHT(AJ$1,2),""),VLOOKUP($D225,素材!$1:$1016,COLUMN($F$1),FALSE))),VLOOKUP($C225,装備品!$1:$998,COLUMN($O$1),FALSE)*VLOOKUP($D225,素材!$1:$1016,COLUMN($E$1),FALSE)/(LEN(VLOOKUP($D225,素材!$1:$1016,COLUMN($F$1),FALSE))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K225">
        <f>IF(ISNUMBER(SEARCH(SUBSTITUTE(AK$1,RIGHT(AK$1,2),""),VLOOKUP($D225,素材!$1:$1016,COLUMN($F$1),FALSE))),VLOOKUP($C225,装備品!$1:$998,COLUMN($O$1),FALSE)*VLOOKUP($D225,素材!$1:$1016,COLUMN($E$1),FALSE)/(LEN(VLOOKUP($D225,素材!$1:$1016,COLUMN($F$1),FALSE))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L225">
        <f>IF(ISNUMBER(SEARCH(SUBSTITUTE(AL$1,RIGHT(AL$1,2),""),VLOOKUP($D225,素材!$1:$1016,COLUMN($F$1),FALSE))),VLOOKUP($C225,装備品!$1:$998,COLUMN($O$1),FALSE)*VLOOKUP($D225,素材!$1:$1016,COLUMN($E$1),FALSE)/(LEN(VLOOKUP($D225,素材!$1:$1016,COLUMN($F$1),FALSE))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M225">
        <f>IF(ISNUMBER(SEARCH(SUBSTITUTE(AM$1,RIGHT(AM$1,2),""),VLOOKUP($D225,素材!$1:$1016,COLUMN($F$1),FALSE))),VLOOKUP($C225,装備品!$1:$998,COLUMN($O$1),FALSE)*VLOOKUP($D225,素材!$1:$1016,COLUMN($E$1),FALSE)/(LEN(VLOOKUP($D225,素材!$1:$1016,COLUMN($F$1),FALSE))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N225">
        <f>IF(ISNUMBER(SEARCH(SUBSTITUTE(AN$1,RIGHT(AN$1,2),""),VLOOKUP($D225,素材!$1:$1016,COLUMN($F$1),FALSE))),VLOOKUP($C225,装備品!$1:$998,COLUMN($O$1),FALSE)*VLOOKUP($D225,素材!$1:$1016,COLUMN($E$1),FALSE)/(LEN(VLOOKUP($D225,素材!$1:$1016,COLUMN($F$1),FALSE))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O225">
        <f>IF(ISNUMBER(SEARCH(SUBSTITUTE(AO$1,RIGHT(AO$1,2),""),VLOOKUP($D225,素材!$1:$1016,COLUMN($F$1),FALSE))),VLOOKUP($C225,装備品!$1:$998,COLUMN($O$1),FALSE)*VLOOKUP($D225,素材!$1:$1016,COLUMN($E$1),FALSE)/(LEN(VLOOKUP($D225,素材!$1:$1016,COLUMN($F$1),FALSE))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P225">
        <f>IF(ISNUMBER(SEARCH(SUBSTITUTE(AP$1,RIGHT(AP$1,2),""),VLOOKUP($D225,素材!$1:$1016,COLUMN($F$1),FALSE))),VLOOKUP($C225,装備品!$1:$998,COLUMN($O$1),FALSE)*VLOOKUP($D225,素材!$1:$1016,COLUMN($E$1),FALSE)/(LEN(VLOOKUP($D225,素材!$1:$1016,COLUMN($F$1),FALSE))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Q225">
        <f>IF(ISNUMBER(SEARCH(SUBSTITUTE(AQ$1,RIGHT(AQ$1,2),""),VLOOKUP($D225,素材!$1:$1016,COLUMN($F$1),FALSE))),VLOOKUP($C225,装備品!$1:$998,COLUMN($O$1),FALSE)*VLOOKUP($D225,素材!$1:$1016,COLUMN($E$1),FALSE)/(LEN(VLOOKUP($D225,素材!$1:$1016,COLUMN($F$1),FALSE))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R225">
        <f>IF(ISNUMBER(SEARCH(SUBSTITUTE(AR$1,RIGHT(AR$1,2),""),VLOOKUP($D225,素材!$1:$1016,COLUMN($F$1),FALSE))),VLOOKUP($C225,装備品!$1:$998,COLUMN($O$1),FALSE)*VLOOKUP($D225,素材!$1:$1016,COLUMN($E$1),FALSE)/(LEN(VLOOKUP($D225,素材!$1:$1016,COLUMN($F$1),FALSE))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S225">
        <f>IF(ISNUMBER(SEARCH(SUBSTITUTE(AS$1,RIGHT(AS$1,2),""),VLOOKUP($D225,素材!$1:$1016,COLUMN($F$1),FALSE))),VLOOKUP($C225,装備品!$1:$998,COLUMN($O$1),FALSE)*VLOOKUP($D225,素材!$1:$1016,COLUMN($E$1),FALSE)/(LEN(VLOOKUP($D225,素材!$1:$1016,COLUMN($F$1),FALSE))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T225">
        <f>IF(ISNUMBER(SEARCH(SUBSTITUTE(AT$1,RIGHT(AT$1,2),""),VLOOKUP($D225,素材!$1:$1016,COLUMN($F$1),FALSE))),VLOOKUP($C225,装備品!$1:$998,COLUMN($O$1),FALSE)*VLOOKUP($D225,素材!$1:$1016,COLUMN($E$1),FALSE)/(LEN(VLOOKUP($D225,素材!$1:$1016,COLUMN($F$1),FALSE))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U225">
        <f>IF(ISNUMBER(SEARCH(SUBSTITUTE(AU$1,RIGHT(AU$1,2),""),VLOOKUP($D225,素材!$1:$1016,COLUMN($F$1),FALSE))),VLOOKUP($C225,装備品!$1:$998,COLUMN($O$1),FALSE)*VLOOKUP($D225,素材!$1:$1016,COLUMN($E$1),FALSE)/(LEN(VLOOKUP($D225,素材!$1:$1016,COLUMN($F$1),FALSE))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V225">
        <f>IF(ISNUMBER(SEARCH(SUBSTITUTE(AV$1,RIGHT(AV$1,2),""),VLOOKUP($D225,素材!$1:$1016,COLUMN($F$1),FALSE))),VLOOKUP($C225,装備品!$1:$998,COLUMN($O$1),FALSE)*VLOOKUP($D225,素材!$1:$1016,COLUMN($E$1),FALSE)/(LEN(VLOOKUP($D225,素材!$1:$1016,COLUMN($F$1),FALSE))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W225">
        <f>IF(ISNUMBER(SEARCH(SUBSTITUTE(AW$1,RIGHT(AW$1,2),""),VLOOKUP($D225,素材!$1:$1016,COLUMN($F$1),FALSE))),VLOOKUP($C225,装備品!$1:$998,COLUMN($O$1),FALSE)*VLOOKUP($D225,素材!$1:$1016,COLUMN($E$1),FALSE)/(LEN(VLOOKUP($D225,素材!$1:$1016,COLUMN($F$1),FALSE))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X225">
        <f>IF(ISNUMBER(SEARCH(SUBSTITUTE(AX$1,RIGHT(AX$1,2),""),VLOOKUP($D225,素材!$1:$1016,COLUMN($F$1),FALSE))),VLOOKUP($C225,装備品!$1:$998,COLUMN($O$1),FALSE)*VLOOKUP($D225,素材!$1:$1016,COLUMN($E$1),FALSE)/(LEN(VLOOKUP($D225,素材!$1:$1016,COLUMN($F$1),FALSE))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Y225">
        <f>IF(ISNUMBER(SEARCH(SUBSTITUTE(AY$1,RIGHT(AY$1,2),""),VLOOKUP($D225,素材!$1:$1016,COLUMN($F$1),FALSE))),VLOOKUP($C225,装備品!$1:$998,COLUMN($O$1),FALSE)*VLOOKUP($D225,素材!$1:$1016,COLUMN($E$1),FALSE)/(LEN(VLOOKUP($D225,素材!$1:$1016,COLUMN($F$1),FALSE))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Z225">
        <f>IF(ISNUMBER(SEARCH(SUBSTITUTE(AZ$1,RIGHT(AZ$1,2),""),VLOOKUP($D225,素材!$1:$1016,COLUMN($F$1),FALSE))),VLOOKUP($C225,装備品!$1:$998,COLUMN($O$1),FALSE)*VLOOKUP($D225,素材!$1:$1016,COLUMN($E$1),FALSE)/(LEN(VLOOKUP($D225,素材!$1:$1016,COLUMN($F$1),FALSE))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BA225">
        <f>IF(ISNUMBER(SEARCH(SUBSTITUTE(BA$1,RIGHT(BA$1,2),""),VLOOKUP($D225,素材!$1:$1016,COLUMN($F$1),FALSE))),VLOOKUP($C225,装備品!$1:$998,COLUMN($O$1),FALSE)*VLOOKUP($D225,素材!$1:$1016,COLUMN($E$1),FALSE)/(LEN(VLOOKUP($D225,素材!$1:$1016,COLUMN($F$1),FALSE))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BB225">
        <f>IF(ISNUMBER(SEARCH(SUBSTITUTE(BB$1,RIGHT(BB$1,2),""),VLOOKUP($D225,素材!$1:$1016,COLUMN($F$1),FALSE))),VLOOKUP($C225,装備品!$1:$998,COLUMN($O$1),FALSE)*VLOOKUP($D225,素材!$1:$1016,COLUMN($E$1),FALSE)/(LEN(VLOOKUP($D225,素材!$1:$1016,COLUMN($F$1),FALSE))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BC225">
        <f>IF(ISNUMBER(SEARCH(SUBSTITUTE(BC$1,RIGHT(BC$1,2),""),VLOOKUP($D225,素材!$1:$1016,COLUMN($F$1),FALSE))),VLOOKUP($C225,装備品!$1:$998,COLUMN($O$1),FALSE)*VLOOKUP($D225,素材!$1:$1016,COLUMN($E$1),FALSE)/(LEN(VLOOKUP($D225,素材!$1:$1016,COLUMN($F$1),FALSE))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BD225">
        <f>IF(ISNUMBER(SEARCH(SUBSTITUTE(BD$1,RIGHT(BD$1,2),""),VLOOKUP($D225,素材!$1:$1016,COLUMN($F$1),FALSE))),VLOOKUP($C225,装備品!$1:$998,COLUMN($O$1),FALSE)*VLOOKUP($D225,素材!$1:$1016,COLUMN($E$1),FALSE)/(LEN(VLOOKUP($D225,素材!$1:$1016,COLUMN($F$1),FALSE))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BE225">
        <f>IF(ISNUMBER(SEARCH(SUBSTITUTE(BE$1,RIGHT(BE$1,2),""),VLOOKUP($D225,素材!$1:$1016,COLUMN($F$1),FALSE))),VLOOKUP($C225,装備品!$1:$998,COLUMN($O$1),FALSE)*VLOOKUP($D225,素材!$1:$1016,COLUMN($E$1),FALSE)/(LEN(VLOOKUP($D225,素材!$1:$1016,COLUMN($F$1),FALSE))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CL225">
        <f t="shared" si="35"/>
        <v>0</v>
      </c>
      <c r="CM225" s="22" t="str">
        <f t="shared" si="36"/>
        <v>銃.webp</v>
      </c>
      <c r="CN225">
        <f>IFERROR(VLOOKUP($C225,装備品!$1:$998,COLUMN(V$1),FALSE)*VLOOKUP($D225,素材!$1:$1016,COLUMN(N$1),FALSE)+IF(CI225="",0,VLOOKUP($CI225,付与!$1:$1176,COLUMN($CK$1),FALSE)),"")</f>
        <v>9000</v>
      </c>
      <c r="CO225">
        <f>VLOOKUP(D225,素材!$A:$O,COLUMN(素材!O$1),FALSE)</f>
        <v>0</v>
      </c>
      <c r="CP225" t="str">
        <f>VLOOKUP(C225,装備品!$A:$AB,COLUMN(装備品!AB$1),FALSE)</f>
        <v/>
      </c>
      <c r="CR225" t="str">
        <f t="shared" si="37"/>
        <v>e_225</v>
      </c>
      <c r="CS225">
        <f t="shared" si="38"/>
        <v>900000</v>
      </c>
    </row>
    <row r="226" spans="1:97" outlineLevel="1" x14ac:dyDescent="0.4">
      <c r="A226" t="str">
        <f t="shared" si="39"/>
        <v>冷気鉄の拳銃</v>
      </c>
      <c r="B226" t="str">
        <f>IFERROR(VLOOKUP($D226,素材!$1:$1016,COLUMN($B$1),FALSE)&amp;"・"&amp;VLOOKUP($C226,装備品!$1:$998,COLUMN(B$1),FALSE),"")</f>
        <v>ドゥララン・ハンドガン</v>
      </c>
      <c r="C226" t="s">
        <v>210</v>
      </c>
      <c r="D226" s="24" t="s">
        <v>242</v>
      </c>
      <c r="E226" t="str">
        <f>IFERROR(VLOOKUP(C226,装備品!$1:$998,COLUMN(C$1),FALSE),"")</f>
        <v>銃</v>
      </c>
      <c r="F226">
        <f>IFERROR(ROUNDDOWN((VLOOKUP($C226,装備品!$1:$998,COLUMN(D$1),FALSE)+IFERROR(VLOOKUP($CI226,付与!$1:$1167,COLUMN(F$1),FALSE),0))*VLOOKUP($D226,素材!$1:$1016,COLUMN(D$1),FALSE),0),"")</f>
        <v>100</v>
      </c>
      <c r="G226">
        <f>IFERROR(ROUNDDOWN((VLOOKUP($C226,装備品!$1:$998,COLUMN(E$1),FALSE)+IFERROR(VLOOKUP($CI226,付与!$1:$1167,COLUMN(G$1),FALSE),0))*VLOOKUP($D226,素材!$1:$1016,COLUMN($E$1),FALSE),0),"")</f>
        <v>0</v>
      </c>
      <c r="H226">
        <f>IFERROR(ROUNDDOWN((VLOOKUP($C226,装備品!$1:$998,COLUMN(F$1),FALSE)+IFERROR(VLOOKUP($CI226,付与!$1:$1167,COLUMN(H$1),FALSE),0))*VLOOKUP($D226,素材!$1:$1016,COLUMN($E$1),FALSE),0),"")</f>
        <v>0</v>
      </c>
      <c r="I226">
        <f>IFERROR(ROUNDDOWN((VLOOKUP($C226,装備品!$1:$998,COLUMN(G$1),FALSE)+IFERROR(VLOOKUP($CI226,付与!$1:$1167,COLUMN(I$1),FALSE),0))*VLOOKUP($D226,素材!$1:$1016,COLUMN($E$1),FALSE),0),"")</f>
        <v>0</v>
      </c>
      <c r="J226">
        <f>IFERROR(ROUNDDOWN((VLOOKUP($C226,装備品!$1:$998,COLUMN(H$1),FALSE)+IFERROR(VLOOKUP($CI226,付与!$1:$1167,COLUMN(J$1),FALSE),0))*VLOOKUP($D226,素材!$1:$1016,COLUMN($E$1),FALSE),0),"")</f>
        <v>0</v>
      </c>
      <c r="K226">
        <f>IFERROR(ROUNDDOWN((VLOOKUP($C226,装備品!$1:$998,COLUMN(I$1),FALSE)+IFERROR(VLOOKUP($CI226,付与!$1:$1167,COLUMN(K$1),FALSE),0))*VLOOKUP($D226,素材!$1:$1016,COLUMN($E$1),FALSE),0),"")</f>
        <v>36</v>
      </c>
      <c r="L226" t="str">
        <f>IFERROR(VLOOKUP($D226,素材!$1:$1016,COLUMN($F$1),FALSE),"")</f>
        <v>氷</v>
      </c>
      <c r="M226">
        <f>IFERROR(VLOOKUP($C226,装備品!$1:$998,COLUMN(AA$1),FALSE)*VLOOKUP($D226,素材!$1:$1016,COLUMN($G$1),FALSE),"")</f>
        <v>70</v>
      </c>
      <c r="N226">
        <f>IFERROR(VLOOKUP($C226,装備品!$1:$998,COLUMN(I$1),FALSE),"")</f>
        <v>1.8</v>
      </c>
      <c r="O226" s="23">
        <f>IFERROR((VLOOKUP($C226,装備品!$1:$998,COLUMN(K$1),FALSE)+VLOOKUP($D226,素材!$1:$1016,COLUMN(H$1),FALSE))*100+IFERROR(VLOOKUP($CI226,付与!$1:$1167,COLUMN(O$1),FALSE),0),"")</f>
        <v>15</v>
      </c>
      <c r="P226" s="23">
        <f>IFERROR((VLOOKUP($C226,装備品!$1:$998,COLUMN(L$1),FALSE)+VLOOKUP($D226,素材!$1:$1016,COLUMN(I$1),FALSE))*100+IFERROR(VLOOKUP($CI226,付与!$1:$1167,COLUMN(P$1),FALSE),0),"")</f>
        <v>175</v>
      </c>
      <c r="Q226">
        <f>IFERROR(ROUNDUP(VLOOKUP($C226,装備品!$1:$998,COLUMN(M$1),FALSE)*(VLOOKUP($D226,素材!$1:$1002,COLUMN(D$1),FALSE)/100),1),"")</f>
        <v>0</v>
      </c>
      <c r="R226">
        <f>IFERROR(ROUNDUP(VLOOKUP($C226,装備品!$1:$998,COLUMN(N$1),FALSE)*(VLOOKUP($D226,素材!$1:$1002,COLUMN(D$1),FALSE)/100),1),"")</f>
        <v>-15</v>
      </c>
      <c r="S226">
        <f>IFERROR(VLOOKUP($C226,装備品!$1:$998,COLUMN(P$1),FALSE),"")</f>
        <v>0</v>
      </c>
      <c r="T226">
        <f>IFERROR(VLOOKUP($C226,装備品!$1:$998,COLUMN(Q$1),FALSE),"")</f>
        <v>0</v>
      </c>
      <c r="U226">
        <f>IFERROR(VLOOKUP($C226,装備品!$1:$998,COLUMN(R$1),FALSE),"")</f>
        <v>0</v>
      </c>
      <c r="V226">
        <f>IFERROR(VLOOKUP($C226,装備品!$1:$998,COLUMN(Q$1),FALSE),"")</f>
        <v>0</v>
      </c>
      <c r="W226">
        <f>IFERROR(VLOOKUP($C226,装備品!$1:$998,COLUMN(T$1),FALSE),"")</f>
        <v>0</v>
      </c>
      <c r="Y226">
        <f>IFERROR(VLOOKUP($C226,装備品!$1:$998,COLUMN(U$1),FALSE),"")</f>
        <v>0</v>
      </c>
      <c r="Z226">
        <f>IFERROR(ROUNDUP(VLOOKUP($C226,装備品!$1:$998,COLUMN(O$1),FALSE)*VLOOKUP($D226,素材!$1:$1016,COLUMN(E$1),FALSE),1),"")</f>
        <v>0</v>
      </c>
      <c r="AA226">
        <f>IF(ISNUMBER(SEARCH(SUBSTITUTE(AA$1,RIGHT(AA$1,2),""),VLOOKUP($D226,素材!$1:$1016,COLUMN($F$1),FALSE))),VLOOKUP($C226,装備品!$1:$998,COLUMN($O$1),FALSE)*VLOOKUP($D226,素材!$1:$1016,COLUMN($E$1),FALSE)/(LEN(VLOOKUP($D226,素材!$1:$1016,COLUMN($F$1),FALSE))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B226">
        <f>IF(ISNUMBER(SEARCH(SUBSTITUTE(AB$1,RIGHT(AB$1,2),""),VLOOKUP($D226,素材!$1:$1016,COLUMN($F$1),FALSE))),VLOOKUP($C226,装備品!$1:$998,COLUMN($O$1),FALSE)*VLOOKUP($D226,素材!$1:$1016,COLUMN($E$1),FALSE)/(LEN(VLOOKUP($D226,素材!$1:$1016,COLUMN($F$1),FALSE))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C226">
        <f>IF(ISNUMBER(SEARCH(SUBSTITUTE(AC$1,RIGHT(AC$1,2),""),VLOOKUP($D226,素材!$1:$1016,COLUMN($F$1),FALSE))),VLOOKUP($C226,装備品!$1:$998,COLUMN($O$1),FALSE)*VLOOKUP($D226,素材!$1:$1016,COLUMN($E$1),FALSE)/(LEN(VLOOKUP($D226,素材!$1:$1016,COLUMN($F$1),FALSE))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D226">
        <f>IF(ISNUMBER(SEARCH(SUBSTITUTE(AD$1,RIGHT(AD$1,2),""),VLOOKUP($D226,素材!$1:$1016,COLUMN($F$1),FALSE))),VLOOKUP($C226,装備品!$1:$998,COLUMN($O$1),FALSE)*VLOOKUP($D226,素材!$1:$1016,COLUMN($E$1),FALSE)/(LEN(VLOOKUP($D226,素材!$1:$1016,COLUMN($F$1),FALSE))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E226">
        <f>IF(ISNUMBER(SEARCH(SUBSTITUTE(AE$1,RIGHT(AE$1,2),""),VLOOKUP($D226,素材!$1:$1016,COLUMN($F$1),FALSE))),VLOOKUP($C226,装備品!$1:$998,COLUMN($O$1),FALSE)*VLOOKUP($D226,素材!$1:$1016,COLUMN($E$1),FALSE)/(LEN(VLOOKUP($D226,素材!$1:$1016,COLUMN($F$1),FALSE))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F226">
        <f>IF(ISNUMBER(SEARCH(SUBSTITUTE(AF$1,RIGHT(AF$1,2),""),VLOOKUP($D226,素材!$1:$1016,COLUMN($F$1),FALSE))),VLOOKUP($C226,装備品!$1:$998,COLUMN($O$1),FALSE)*VLOOKUP($D226,素材!$1:$1016,COLUMN($E$1),FALSE)/(LEN(VLOOKUP($D226,素材!$1:$1016,COLUMN($F$1),FALSE))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G226">
        <f>IF(ISNUMBER(SEARCH(SUBSTITUTE(AG$1,RIGHT(AG$1,2),""),VLOOKUP($D226,素材!$1:$1016,COLUMN($F$1),FALSE))),VLOOKUP($C226,装備品!$1:$998,COLUMN($O$1),FALSE)*VLOOKUP($D226,素材!$1:$1016,COLUMN($E$1),FALSE)/(LEN(VLOOKUP($D226,素材!$1:$1016,COLUMN($F$1),FALSE))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H226">
        <f>IF(ISNUMBER(SEARCH(SUBSTITUTE(AH$1,RIGHT(AH$1,2),""),VLOOKUP($D226,素材!$1:$1016,COLUMN($F$1),FALSE))),VLOOKUP($C226,装備品!$1:$998,COLUMN($O$1),FALSE)*VLOOKUP($D226,素材!$1:$1016,COLUMN($E$1),FALSE)/(LEN(VLOOKUP($D226,素材!$1:$1016,COLUMN($F$1),FALSE))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I226">
        <f>IF(ISNUMBER(SEARCH(SUBSTITUTE(AI$1,RIGHT(AI$1,2),""),VLOOKUP($D226,素材!$1:$1016,COLUMN($F$1),FALSE))),VLOOKUP($C226,装備品!$1:$998,COLUMN($O$1),FALSE)*VLOOKUP($D226,素材!$1:$1016,COLUMN($E$1),FALSE)/(LEN(VLOOKUP($D226,素材!$1:$1016,COLUMN($F$1),FALSE))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J226">
        <f>IF(ISNUMBER(SEARCH(SUBSTITUTE(AJ$1,RIGHT(AJ$1,2),""),VLOOKUP($D226,素材!$1:$1016,COLUMN($F$1),FALSE))),VLOOKUP($C226,装備品!$1:$998,COLUMN($O$1),FALSE)*VLOOKUP($D226,素材!$1:$1016,COLUMN($E$1),FALSE)/(LEN(VLOOKUP($D226,素材!$1:$1016,COLUMN($F$1),FALSE))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K226">
        <f>IF(ISNUMBER(SEARCH(SUBSTITUTE(AK$1,RIGHT(AK$1,2),""),VLOOKUP($D226,素材!$1:$1016,COLUMN($F$1),FALSE))),VLOOKUP($C226,装備品!$1:$998,COLUMN($O$1),FALSE)*VLOOKUP($D226,素材!$1:$1016,COLUMN($E$1),FALSE)/(LEN(VLOOKUP($D226,素材!$1:$1016,COLUMN($F$1),FALSE))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L226">
        <f>IF(ISNUMBER(SEARCH(SUBSTITUTE(AL$1,RIGHT(AL$1,2),""),VLOOKUP($D226,素材!$1:$1016,COLUMN($F$1),FALSE))),VLOOKUP($C226,装備品!$1:$998,COLUMN($O$1),FALSE)*VLOOKUP($D226,素材!$1:$1016,COLUMN($E$1),FALSE)/(LEN(VLOOKUP($D226,素材!$1:$1016,COLUMN($F$1),FALSE))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M226">
        <f>IF(ISNUMBER(SEARCH(SUBSTITUTE(AM$1,RIGHT(AM$1,2),""),VLOOKUP($D226,素材!$1:$1016,COLUMN($F$1),FALSE))),VLOOKUP($C226,装備品!$1:$998,COLUMN($O$1),FALSE)*VLOOKUP($D226,素材!$1:$1016,COLUMN($E$1),FALSE)/(LEN(VLOOKUP($D226,素材!$1:$1016,COLUMN($F$1),FALSE))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N226">
        <f>IF(ISNUMBER(SEARCH(SUBSTITUTE(AN$1,RIGHT(AN$1,2),""),VLOOKUP($D226,素材!$1:$1016,COLUMN($F$1),FALSE))),VLOOKUP($C226,装備品!$1:$998,COLUMN($O$1),FALSE)*VLOOKUP($D226,素材!$1:$1016,COLUMN($E$1),FALSE)/(LEN(VLOOKUP($D226,素材!$1:$1016,COLUMN($F$1),FALSE))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O226">
        <f>IF(ISNUMBER(SEARCH(SUBSTITUTE(AO$1,RIGHT(AO$1,2),""),VLOOKUP($D226,素材!$1:$1016,COLUMN($F$1),FALSE))),VLOOKUP($C226,装備品!$1:$998,COLUMN($O$1),FALSE)*VLOOKUP($D226,素材!$1:$1016,COLUMN($E$1),FALSE)/(LEN(VLOOKUP($D226,素材!$1:$1016,COLUMN($F$1),FALSE))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P226">
        <f>IF(ISNUMBER(SEARCH(SUBSTITUTE(AP$1,RIGHT(AP$1,2),""),VLOOKUP($D226,素材!$1:$1016,COLUMN($F$1),FALSE))),VLOOKUP($C226,装備品!$1:$998,COLUMN($O$1),FALSE)*VLOOKUP($D226,素材!$1:$1016,COLUMN($E$1),FALSE)/(LEN(VLOOKUP($D226,素材!$1:$1016,COLUMN($F$1),FALSE))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Q226">
        <f>IF(ISNUMBER(SEARCH(SUBSTITUTE(AQ$1,RIGHT(AQ$1,2),""),VLOOKUP($D226,素材!$1:$1016,COLUMN($F$1),FALSE))),VLOOKUP($C226,装備品!$1:$998,COLUMN($O$1),FALSE)*VLOOKUP($D226,素材!$1:$1016,COLUMN($E$1),FALSE)/(LEN(VLOOKUP($D226,素材!$1:$1016,COLUMN($F$1),FALSE))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R226">
        <f>IF(ISNUMBER(SEARCH(SUBSTITUTE(AR$1,RIGHT(AR$1,2),""),VLOOKUP($D226,素材!$1:$1016,COLUMN($F$1),FALSE))),VLOOKUP($C226,装備品!$1:$998,COLUMN($O$1),FALSE)*VLOOKUP($D226,素材!$1:$1016,COLUMN($E$1),FALSE)/(LEN(VLOOKUP($D226,素材!$1:$1016,COLUMN($F$1),FALSE))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S226">
        <f>IF(ISNUMBER(SEARCH(SUBSTITUTE(AS$1,RIGHT(AS$1,2),""),VLOOKUP($D226,素材!$1:$1016,COLUMN($F$1),FALSE))),VLOOKUP($C226,装備品!$1:$998,COLUMN($O$1),FALSE)*VLOOKUP($D226,素材!$1:$1016,COLUMN($E$1),FALSE)/(LEN(VLOOKUP($D226,素材!$1:$1016,COLUMN($F$1),FALSE))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T226">
        <f>IF(ISNUMBER(SEARCH(SUBSTITUTE(AT$1,RIGHT(AT$1,2),""),VLOOKUP($D226,素材!$1:$1016,COLUMN($F$1),FALSE))),VLOOKUP($C226,装備品!$1:$998,COLUMN($O$1),FALSE)*VLOOKUP($D226,素材!$1:$1016,COLUMN($E$1),FALSE)/(LEN(VLOOKUP($D226,素材!$1:$1016,COLUMN($F$1),FALSE))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U226">
        <f>IF(ISNUMBER(SEARCH(SUBSTITUTE(AU$1,RIGHT(AU$1,2),""),VLOOKUP($D226,素材!$1:$1016,COLUMN($F$1),FALSE))),VLOOKUP($C226,装備品!$1:$998,COLUMN($O$1),FALSE)*VLOOKUP($D226,素材!$1:$1016,COLUMN($E$1),FALSE)/(LEN(VLOOKUP($D226,素材!$1:$1016,COLUMN($F$1),FALSE))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V226">
        <f>IF(ISNUMBER(SEARCH(SUBSTITUTE(AV$1,RIGHT(AV$1,2),""),VLOOKUP($D226,素材!$1:$1016,COLUMN($F$1),FALSE))),VLOOKUP($C226,装備品!$1:$998,COLUMN($O$1),FALSE)*VLOOKUP($D226,素材!$1:$1016,COLUMN($E$1),FALSE)/(LEN(VLOOKUP($D226,素材!$1:$1016,COLUMN($F$1),FALSE))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W226">
        <f>IF(ISNUMBER(SEARCH(SUBSTITUTE(AW$1,RIGHT(AW$1,2),""),VLOOKUP($D226,素材!$1:$1016,COLUMN($F$1),FALSE))),VLOOKUP($C226,装備品!$1:$998,COLUMN($O$1),FALSE)*VLOOKUP($D226,素材!$1:$1016,COLUMN($E$1),FALSE)/(LEN(VLOOKUP($D226,素材!$1:$1016,COLUMN($F$1),FALSE))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X226">
        <f>IF(ISNUMBER(SEARCH(SUBSTITUTE(AX$1,RIGHT(AX$1,2),""),VLOOKUP($D226,素材!$1:$1016,COLUMN($F$1),FALSE))),VLOOKUP($C226,装備品!$1:$998,COLUMN($O$1),FALSE)*VLOOKUP($D226,素材!$1:$1016,COLUMN($E$1),FALSE)/(LEN(VLOOKUP($D226,素材!$1:$1016,COLUMN($F$1),FALSE))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Y226">
        <f>IF(ISNUMBER(SEARCH(SUBSTITUTE(AY$1,RIGHT(AY$1,2),""),VLOOKUP($D226,素材!$1:$1016,COLUMN($F$1),FALSE))),VLOOKUP($C226,装備品!$1:$998,COLUMN($O$1),FALSE)*VLOOKUP($D226,素材!$1:$1016,COLUMN($E$1),FALSE)/(LEN(VLOOKUP($D226,素材!$1:$1016,COLUMN($F$1),FALSE))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Z226">
        <f>IF(ISNUMBER(SEARCH(SUBSTITUTE(AZ$1,RIGHT(AZ$1,2),""),VLOOKUP($D226,素材!$1:$1016,COLUMN($F$1),FALSE))),VLOOKUP($C226,装備品!$1:$998,COLUMN($O$1),FALSE)*VLOOKUP($D226,素材!$1:$1016,COLUMN($E$1),FALSE)/(LEN(VLOOKUP($D226,素材!$1:$1016,COLUMN($F$1),FALSE))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BA226">
        <f>IF(ISNUMBER(SEARCH(SUBSTITUTE(BA$1,RIGHT(BA$1,2),""),VLOOKUP($D226,素材!$1:$1016,COLUMN($F$1),FALSE))),VLOOKUP($C226,装備品!$1:$998,COLUMN($O$1),FALSE)*VLOOKUP($D226,素材!$1:$1016,COLUMN($E$1),FALSE)/(LEN(VLOOKUP($D226,素材!$1:$1016,COLUMN($F$1),FALSE))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BB226">
        <f>IF(ISNUMBER(SEARCH(SUBSTITUTE(BB$1,RIGHT(BB$1,2),""),VLOOKUP($D226,素材!$1:$1016,COLUMN($F$1),FALSE))),VLOOKUP($C226,装備品!$1:$998,COLUMN($O$1),FALSE)*VLOOKUP($D226,素材!$1:$1016,COLUMN($E$1),FALSE)/(LEN(VLOOKUP($D226,素材!$1:$1016,COLUMN($F$1),FALSE))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BC226">
        <f>IF(ISNUMBER(SEARCH(SUBSTITUTE(BC$1,RIGHT(BC$1,2),""),VLOOKUP($D226,素材!$1:$1016,COLUMN($F$1),FALSE))),VLOOKUP($C226,装備品!$1:$998,COLUMN($O$1),FALSE)*VLOOKUP($D226,素材!$1:$1016,COLUMN($E$1),FALSE)/(LEN(VLOOKUP($D226,素材!$1:$1016,COLUMN($F$1),FALSE))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BD226">
        <f>IF(ISNUMBER(SEARCH(SUBSTITUTE(BD$1,RIGHT(BD$1,2),""),VLOOKUP($D226,素材!$1:$1016,COLUMN($F$1),FALSE))),VLOOKUP($C226,装備品!$1:$998,COLUMN($O$1),FALSE)*VLOOKUP($D226,素材!$1:$1016,COLUMN($E$1),FALSE)/(LEN(VLOOKUP($D226,素材!$1:$1016,COLUMN($F$1),FALSE))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BE226">
        <f>IF(ISNUMBER(SEARCH(SUBSTITUTE(BE$1,RIGHT(BE$1,2),""),VLOOKUP($D226,素材!$1:$1016,COLUMN($F$1),FALSE))),VLOOKUP($C226,装備品!$1:$998,COLUMN($O$1),FALSE)*VLOOKUP($D226,素材!$1:$1016,COLUMN($E$1),FALSE)/(LEN(VLOOKUP($D226,素材!$1:$1016,COLUMN($F$1),FALSE))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CL226">
        <f t="shared" si="35"/>
        <v>0</v>
      </c>
      <c r="CM226" s="22" t="str">
        <f t="shared" si="36"/>
        <v>銃.webp</v>
      </c>
      <c r="CN226">
        <f>IFERROR(VLOOKUP($C226,装備品!$1:$998,COLUMN(V$1),FALSE)*VLOOKUP($D226,素材!$1:$1016,COLUMN(N$1),FALSE)+IF(CI226="",0,VLOOKUP($CI226,付与!$1:$1176,COLUMN($CK$1),FALSE)),"")</f>
        <v>18000</v>
      </c>
      <c r="CO226">
        <f>VLOOKUP(D226,素材!$A:$O,COLUMN(素材!O$1),FALSE)</f>
        <v>0</v>
      </c>
      <c r="CP226" t="str">
        <f>VLOOKUP(C226,装備品!$A:$AB,COLUMN(装備品!AB$1),FALSE)</f>
        <v/>
      </c>
      <c r="CR226" t="str">
        <f t="shared" si="37"/>
        <v>e_226</v>
      </c>
      <c r="CS226">
        <f t="shared" si="38"/>
        <v>1800000</v>
      </c>
    </row>
    <row r="227" spans="1:97" outlineLevel="1" x14ac:dyDescent="0.4">
      <c r="A227" t="str">
        <f t="shared" si="39"/>
        <v>冷気鉄の面兜</v>
      </c>
      <c r="B227" t="str">
        <f>IFERROR(VLOOKUP($D227,素材!$1:$1016,COLUMN($B$1),FALSE)&amp;"・"&amp;VLOOKUP($C227,装備品!$1:$998,COLUMN(B$1),FALSE),"")</f>
        <v>ドゥララン・バイザーヘルム</v>
      </c>
      <c r="C227" t="s">
        <v>209</v>
      </c>
      <c r="D227" s="24" t="s">
        <v>242</v>
      </c>
      <c r="E227" t="str">
        <f>IFERROR(VLOOKUP(C227,装備品!$1:$998,COLUMN(C$1),FALSE),"")</f>
        <v>頭</v>
      </c>
      <c r="F227">
        <f>IFERROR(ROUNDDOWN((VLOOKUP($C227,装備品!$1:$998,COLUMN(D$1),FALSE)+IFERROR(VLOOKUP($CI227,付与!$1:$1167,COLUMN(F$1),FALSE),0))*VLOOKUP($D227,素材!$1:$1016,COLUMN(D$1),FALSE),0),"")</f>
        <v>0</v>
      </c>
      <c r="G227">
        <f>IFERROR(ROUNDDOWN((VLOOKUP($C227,装備品!$1:$998,COLUMN(E$1),FALSE)+IFERROR(VLOOKUP($CI227,付与!$1:$1167,COLUMN(G$1),FALSE),0))*VLOOKUP($D227,素材!$1:$1016,COLUMN($E$1),FALSE),0),"")</f>
        <v>0</v>
      </c>
      <c r="H227">
        <f>IFERROR(ROUNDDOWN((VLOOKUP($C227,装備品!$1:$998,COLUMN(F$1),FALSE)+IFERROR(VLOOKUP($CI227,付与!$1:$1167,COLUMN(H$1),FALSE),0))*VLOOKUP($D227,素材!$1:$1016,COLUMN($E$1),FALSE),0),"")</f>
        <v>0</v>
      </c>
      <c r="I227">
        <f>IFERROR(ROUNDDOWN((VLOOKUP($C227,装備品!$1:$998,COLUMN(G$1),FALSE)+IFERROR(VLOOKUP($CI227,付与!$1:$1167,COLUMN(I$1),FALSE),0))*VLOOKUP($D227,素材!$1:$1016,COLUMN($E$1),FALSE),0),"")</f>
        <v>17</v>
      </c>
      <c r="J227">
        <f>IFERROR(ROUNDDOWN((VLOOKUP($C227,装備品!$1:$998,COLUMN(H$1),FALSE)+IFERROR(VLOOKUP($CI227,付与!$1:$1167,COLUMN(J$1),FALSE),0))*VLOOKUP($D227,素材!$1:$1016,COLUMN($E$1),FALSE),0),"")</f>
        <v>0</v>
      </c>
      <c r="K227">
        <f>IFERROR(ROUNDDOWN((VLOOKUP($C227,装備品!$1:$998,COLUMN(I$1),FALSE)+IFERROR(VLOOKUP($CI227,付与!$1:$1167,COLUMN(K$1),FALSE),0))*VLOOKUP($D227,素材!$1:$1016,COLUMN($E$1),FALSE),0),"")</f>
        <v>0</v>
      </c>
      <c r="L227" t="str">
        <f>IFERROR(VLOOKUP($D227,素材!$1:$1016,COLUMN($F$1),FALSE),"")</f>
        <v>氷</v>
      </c>
      <c r="M227">
        <f>IFERROR(VLOOKUP($C227,装備品!$1:$998,COLUMN(AA$1),FALSE)*VLOOKUP($D227,素材!$1:$1016,COLUMN($G$1),FALSE),"")</f>
        <v>70</v>
      </c>
      <c r="N227">
        <f>IFERROR(VLOOKUP($C227,装備品!$1:$998,COLUMN(I$1),FALSE),"")</f>
        <v>0</v>
      </c>
      <c r="O227" s="23">
        <f>IFERROR((VLOOKUP($C227,装備品!$1:$998,COLUMN(K$1),FALSE)+VLOOKUP($D227,素材!$1:$1016,COLUMN(H$1),FALSE))*100+IFERROR(VLOOKUP($CI227,付与!$1:$1167,COLUMN(O$1),FALSE),0),"")</f>
        <v>5</v>
      </c>
      <c r="P227" s="23">
        <f>IFERROR((VLOOKUP($C227,装備品!$1:$998,COLUMN(L$1),FALSE)+VLOOKUP($D227,素材!$1:$1016,COLUMN(I$1),FALSE))*100+IFERROR(VLOOKUP($CI227,付与!$1:$1167,COLUMN(P$1),FALSE),0),"")</f>
        <v>125</v>
      </c>
      <c r="Q227">
        <f>IFERROR(ROUNDUP(VLOOKUP($C227,装備品!$1:$998,COLUMN(M$1),FALSE)*(VLOOKUP($D227,素材!$1:$1002,COLUMN(D$1),FALSE)/100),1),"")</f>
        <v>-7.5</v>
      </c>
      <c r="R227">
        <f>IFERROR(ROUNDUP(VLOOKUP($C227,装備品!$1:$998,COLUMN(N$1),FALSE)*(VLOOKUP($D227,素材!$1:$1002,COLUMN(D$1),FALSE)/100),1),"")</f>
        <v>0</v>
      </c>
      <c r="S227">
        <f>IFERROR(VLOOKUP($C227,装備品!$1:$998,COLUMN(P$1),FALSE),"")</f>
        <v>0</v>
      </c>
      <c r="T227">
        <f>IFERROR(VLOOKUP($C227,装備品!$1:$998,COLUMN(Q$1),FALSE),"")</f>
        <v>0</v>
      </c>
      <c r="U227">
        <f>IFERROR(VLOOKUP($C227,装備品!$1:$998,COLUMN(R$1),FALSE),"")</f>
        <v>0</v>
      </c>
      <c r="V227">
        <f>IFERROR(VLOOKUP($C227,装備品!$1:$998,COLUMN(Q$1),FALSE),"")</f>
        <v>0</v>
      </c>
      <c r="W227">
        <f>IFERROR(VLOOKUP($C227,装備品!$1:$998,COLUMN(T$1),FALSE),"")</f>
        <v>0.35</v>
      </c>
      <c r="Y227">
        <f>IFERROR(VLOOKUP($C227,装備品!$1:$998,COLUMN(U$1),FALSE),"")</f>
        <v>0</v>
      </c>
      <c r="Z227">
        <f>IFERROR(ROUNDUP(VLOOKUP($C227,装備品!$1:$998,COLUMN(O$1),FALSE)*VLOOKUP($D227,素材!$1:$1016,COLUMN(E$1),FALSE),1),"")</f>
        <v>-600</v>
      </c>
      <c r="AA227">
        <f>IF(ISNUMBER(SEARCH(SUBSTITUTE(AA$1,RIGHT(AA$1,2),""),VLOOKUP($D227,素材!$1:$1016,COLUMN($F$1),FALSE))),VLOOKUP($C227,装備品!$1:$998,COLUMN($O$1),FALSE)*VLOOKUP($D227,素材!$1:$1016,COLUMN($E$1),FALSE)/(LEN(VLOOKUP($D227,素材!$1:$1016,COLUMN($F$1),FALSE))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B227">
        <f>IF(ISNUMBER(SEARCH(SUBSTITUTE(AB$1,RIGHT(AB$1,2),""),VLOOKUP($D227,素材!$1:$1016,COLUMN($F$1),FALSE))),VLOOKUP($C227,装備品!$1:$998,COLUMN($O$1),FALSE)*VLOOKUP($D227,素材!$1:$1016,COLUMN($E$1),FALSE)/(LEN(VLOOKUP($D227,素材!$1:$1016,COLUMN($F$1),FALSE))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C227">
        <f>IF(ISNUMBER(SEARCH(SUBSTITUTE(AC$1,RIGHT(AC$1,2),""),VLOOKUP($D227,素材!$1:$1016,COLUMN($F$1),FALSE))),VLOOKUP($C227,装備品!$1:$998,COLUMN($O$1),FALSE)*VLOOKUP($D227,素材!$1:$1016,COLUMN($E$1),FALSE)/(LEN(VLOOKUP($D227,素材!$1:$1016,COLUMN($F$1),FALSE))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D227">
        <f>IF(ISNUMBER(SEARCH(SUBSTITUTE(AD$1,RIGHT(AD$1,2),""),VLOOKUP($D227,素材!$1:$1016,COLUMN($F$1),FALSE))),VLOOKUP($C227,装備品!$1:$998,COLUMN($O$1),FALSE)*VLOOKUP($D227,素材!$1:$1016,COLUMN($E$1),FALSE)/(LEN(VLOOKUP($D227,素材!$1:$1016,COLUMN($F$1),FALSE))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E227">
        <f>IF(ISNUMBER(SEARCH(SUBSTITUTE(AE$1,RIGHT(AE$1,2),""),VLOOKUP($D227,素材!$1:$1016,COLUMN($F$1),FALSE))),VLOOKUP($C227,装備品!$1:$998,COLUMN($O$1),FALSE)*VLOOKUP($D227,素材!$1:$1016,COLUMN($E$1),FALSE)/(LEN(VLOOKUP($D227,素材!$1:$1016,COLUMN($F$1),FALSE))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F227">
        <f>IF(ISNUMBER(SEARCH(SUBSTITUTE(AF$1,RIGHT(AF$1,2),""),VLOOKUP($D227,素材!$1:$1016,COLUMN($F$1),FALSE))),VLOOKUP($C227,装備品!$1:$998,COLUMN($O$1),FALSE)*VLOOKUP($D227,素材!$1:$1016,COLUMN($E$1),FALSE)/(LEN(VLOOKUP($D227,素材!$1:$1016,COLUMN($F$1),FALSE))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-600</v>
      </c>
      <c r="AG227">
        <f>IF(ISNUMBER(SEARCH(SUBSTITUTE(AG$1,RIGHT(AG$1,2),""),VLOOKUP($D227,素材!$1:$1016,COLUMN($F$1),FALSE))),VLOOKUP($C227,装備品!$1:$998,COLUMN($O$1),FALSE)*VLOOKUP($D227,素材!$1:$1016,COLUMN($E$1),FALSE)/(LEN(VLOOKUP($D227,素材!$1:$1016,COLUMN($F$1),FALSE))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H227">
        <f>IF(ISNUMBER(SEARCH(SUBSTITUTE(AH$1,RIGHT(AH$1,2),""),VLOOKUP($D227,素材!$1:$1016,COLUMN($F$1),FALSE))),VLOOKUP($C227,装備品!$1:$998,COLUMN($O$1),FALSE)*VLOOKUP($D227,素材!$1:$1016,COLUMN($E$1),FALSE)/(LEN(VLOOKUP($D227,素材!$1:$1016,COLUMN($F$1),FALSE))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I227">
        <f>IF(ISNUMBER(SEARCH(SUBSTITUTE(AI$1,RIGHT(AI$1,2),""),VLOOKUP($D227,素材!$1:$1016,COLUMN($F$1),FALSE))),VLOOKUP($C227,装備品!$1:$998,COLUMN($O$1),FALSE)*VLOOKUP($D227,素材!$1:$1016,COLUMN($E$1),FALSE)/(LEN(VLOOKUP($D227,素材!$1:$1016,COLUMN($F$1),FALSE))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J227">
        <f>IF(ISNUMBER(SEARCH(SUBSTITUTE(AJ$1,RIGHT(AJ$1,2),""),VLOOKUP($D227,素材!$1:$1016,COLUMN($F$1),FALSE))),VLOOKUP($C227,装備品!$1:$998,COLUMN($O$1),FALSE)*VLOOKUP($D227,素材!$1:$1016,COLUMN($E$1),FALSE)/(LEN(VLOOKUP($D227,素材!$1:$1016,COLUMN($F$1),FALSE))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K227">
        <f>IF(ISNUMBER(SEARCH(SUBSTITUTE(AK$1,RIGHT(AK$1,2),""),VLOOKUP($D227,素材!$1:$1016,COLUMN($F$1),FALSE))),VLOOKUP($C227,装備品!$1:$998,COLUMN($O$1),FALSE)*VLOOKUP($D227,素材!$1:$1016,COLUMN($E$1),FALSE)/(LEN(VLOOKUP($D227,素材!$1:$1016,COLUMN($F$1),FALSE))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L227">
        <f>IF(ISNUMBER(SEARCH(SUBSTITUTE(AL$1,RIGHT(AL$1,2),""),VLOOKUP($D227,素材!$1:$1016,COLUMN($F$1),FALSE))),VLOOKUP($C227,装備品!$1:$998,COLUMN($O$1),FALSE)*VLOOKUP($D227,素材!$1:$1016,COLUMN($E$1),FALSE)/(LEN(VLOOKUP($D227,素材!$1:$1016,COLUMN($F$1),FALSE))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M227">
        <f>IF(ISNUMBER(SEARCH(SUBSTITUTE(AM$1,RIGHT(AM$1,2),""),VLOOKUP($D227,素材!$1:$1016,COLUMN($F$1),FALSE))),VLOOKUP($C227,装備品!$1:$998,COLUMN($O$1),FALSE)*VLOOKUP($D227,素材!$1:$1016,COLUMN($E$1),FALSE)/(LEN(VLOOKUP($D227,素材!$1:$1016,COLUMN($F$1),FALSE))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N227">
        <f>IF(ISNUMBER(SEARCH(SUBSTITUTE(AN$1,RIGHT(AN$1,2),""),VLOOKUP($D227,素材!$1:$1016,COLUMN($F$1),FALSE))),VLOOKUP($C227,装備品!$1:$998,COLUMN($O$1),FALSE)*VLOOKUP($D227,素材!$1:$1016,COLUMN($E$1),FALSE)/(LEN(VLOOKUP($D227,素材!$1:$1016,COLUMN($F$1),FALSE))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O227">
        <f>IF(ISNUMBER(SEARCH(SUBSTITUTE(AO$1,RIGHT(AO$1,2),""),VLOOKUP($D227,素材!$1:$1016,COLUMN($F$1),FALSE))),VLOOKUP($C227,装備品!$1:$998,COLUMN($O$1),FALSE)*VLOOKUP($D227,素材!$1:$1016,COLUMN($E$1),FALSE)/(LEN(VLOOKUP($D227,素材!$1:$1016,COLUMN($F$1),FALSE))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P227">
        <f>IF(ISNUMBER(SEARCH(SUBSTITUTE(AP$1,RIGHT(AP$1,2),""),VLOOKUP($D227,素材!$1:$1016,COLUMN($F$1),FALSE))),VLOOKUP($C227,装備品!$1:$998,COLUMN($O$1),FALSE)*VLOOKUP($D227,素材!$1:$1016,COLUMN($E$1),FALSE)/(LEN(VLOOKUP($D227,素材!$1:$1016,COLUMN($F$1),FALSE))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Q227">
        <f>IF(ISNUMBER(SEARCH(SUBSTITUTE(AQ$1,RIGHT(AQ$1,2),""),VLOOKUP($D227,素材!$1:$1016,COLUMN($F$1),FALSE))),VLOOKUP($C227,装備品!$1:$998,COLUMN($O$1),FALSE)*VLOOKUP($D227,素材!$1:$1016,COLUMN($E$1),FALSE)/(LEN(VLOOKUP($D227,素材!$1:$1016,COLUMN($F$1),FALSE))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R227">
        <f>IF(ISNUMBER(SEARCH(SUBSTITUTE(AR$1,RIGHT(AR$1,2),""),VLOOKUP($D227,素材!$1:$1016,COLUMN($F$1),FALSE))),VLOOKUP($C227,装備品!$1:$998,COLUMN($O$1),FALSE)*VLOOKUP($D227,素材!$1:$1016,COLUMN($E$1),FALSE)/(LEN(VLOOKUP($D227,素材!$1:$1016,COLUMN($F$1),FALSE))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S227">
        <f>IF(ISNUMBER(SEARCH(SUBSTITUTE(AS$1,RIGHT(AS$1,2),""),VLOOKUP($D227,素材!$1:$1016,COLUMN($F$1),FALSE))),VLOOKUP($C227,装備品!$1:$998,COLUMN($O$1),FALSE)*VLOOKUP($D227,素材!$1:$1016,COLUMN($E$1),FALSE)/(LEN(VLOOKUP($D227,素材!$1:$1016,COLUMN($F$1),FALSE))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T227">
        <f>IF(ISNUMBER(SEARCH(SUBSTITUTE(AT$1,RIGHT(AT$1,2),""),VLOOKUP($D227,素材!$1:$1016,COLUMN($F$1),FALSE))),VLOOKUP($C227,装備品!$1:$998,COLUMN($O$1),FALSE)*VLOOKUP($D227,素材!$1:$1016,COLUMN($E$1),FALSE)/(LEN(VLOOKUP($D227,素材!$1:$1016,COLUMN($F$1),FALSE))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U227">
        <f>IF(ISNUMBER(SEARCH(SUBSTITUTE(AU$1,RIGHT(AU$1,2),""),VLOOKUP($D227,素材!$1:$1016,COLUMN($F$1),FALSE))),VLOOKUP($C227,装備品!$1:$998,COLUMN($O$1),FALSE)*VLOOKUP($D227,素材!$1:$1016,COLUMN($E$1),FALSE)/(LEN(VLOOKUP($D227,素材!$1:$1016,COLUMN($F$1),FALSE))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V227">
        <f>IF(ISNUMBER(SEARCH(SUBSTITUTE(AV$1,RIGHT(AV$1,2),""),VLOOKUP($D227,素材!$1:$1016,COLUMN($F$1),FALSE))),VLOOKUP($C227,装備品!$1:$998,COLUMN($O$1),FALSE)*VLOOKUP($D227,素材!$1:$1016,COLUMN($E$1),FALSE)/(LEN(VLOOKUP($D227,素材!$1:$1016,COLUMN($F$1),FALSE))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W227">
        <f>IF(ISNUMBER(SEARCH(SUBSTITUTE(AW$1,RIGHT(AW$1,2),""),VLOOKUP($D227,素材!$1:$1016,COLUMN($F$1),FALSE))),VLOOKUP($C227,装備品!$1:$998,COLUMN($O$1),FALSE)*VLOOKUP($D227,素材!$1:$1016,COLUMN($E$1),FALSE)/(LEN(VLOOKUP($D227,素材!$1:$1016,COLUMN($F$1),FALSE))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X227">
        <f>IF(ISNUMBER(SEARCH(SUBSTITUTE(AX$1,RIGHT(AX$1,2),""),VLOOKUP($D227,素材!$1:$1016,COLUMN($F$1),FALSE))),VLOOKUP($C227,装備品!$1:$998,COLUMN($O$1),FALSE)*VLOOKUP($D227,素材!$1:$1016,COLUMN($E$1),FALSE)/(LEN(VLOOKUP($D227,素材!$1:$1016,COLUMN($F$1),FALSE))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Y227">
        <f>IF(ISNUMBER(SEARCH(SUBSTITUTE(AY$1,RIGHT(AY$1,2),""),VLOOKUP($D227,素材!$1:$1016,COLUMN($F$1),FALSE))),VLOOKUP($C227,装備品!$1:$998,COLUMN($O$1),FALSE)*VLOOKUP($D227,素材!$1:$1016,COLUMN($E$1),FALSE)/(LEN(VLOOKUP($D227,素材!$1:$1016,COLUMN($F$1),FALSE))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Z227">
        <f>IF(ISNUMBER(SEARCH(SUBSTITUTE(AZ$1,RIGHT(AZ$1,2),""),VLOOKUP($D227,素材!$1:$1016,COLUMN($F$1),FALSE))),VLOOKUP($C227,装備品!$1:$998,COLUMN($O$1),FALSE)*VLOOKUP($D227,素材!$1:$1016,COLUMN($E$1),FALSE)/(LEN(VLOOKUP($D227,素材!$1:$1016,COLUMN($F$1),FALSE))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BA227">
        <f>IF(ISNUMBER(SEARCH(SUBSTITUTE(BA$1,RIGHT(BA$1,2),""),VLOOKUP($D227,素材!$1:$1016,COLUMN($F$1),FALSE))),VLOOKUP($C227,装備品!$1:$998,COLUMN($O$1),FALSE)*VLOOKUP($D227,素材!$1:$1016,COLUMN($E$1),FALSE)/(LEN(VLOOKUP($D227,素材!$1:$1016,COLUMN($F$1),FALSE))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BB227">
        <f>IF(ISNUMBER(SEARCH(SUBSTITUTE(BB$1,RIGHT(BB$1,2),""),VLOOKUP($D227,素材!$1:$1016,COLUMN($F$1),FALSE))),VLOOKUP($C227,装備品!$1:$998,COLUMN($O$1),FALSE)*VLOOKUP($D227,素材!$1:$1016,COLUMN($E$1),FALSE)/(LEN(VLOOKUP($D227,素材!$1:$1016,COLUMN($F$1),FALSE))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BC227">
        <f>IF(ISNUMBER(SEARCH(SUBSTITUTE(BC$1,RIGHT(BC$1,2),""),VLOOKUP($D227,素材!$1:$1016,COLUMN($F$1),FALSE))),VLOOKUP($C227,装備品!$1:$998,COLUMN($O$1),FALSE)*VLOOKUP($D227,素材!$1:$1016,COLUMN($E$1),FALSE)/(LEN(VLOOKUP($D227,素材!$1:$1016,COLUMN($F$1),FALSE))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BD227">
        <f>IF(ISNUMBER(SEARCH(SUBSTITUTE(BD$1,RIGHT(BD$1,2),""),VLOOKUP($D227,素材!$1:$1016,COLUMN($F$1),FALSE))),VLOOKUP($C227,装備品!$1:$998,COLUMN($O$1),FALSE)*VLOOKUP($D227,素材!$1:$1016,COLUMN($E$1),FALSE)/(LEN(VLOOKUP($D227,素材!$1:$1016,COLUMN($F$1),FALSE))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BE227">
        <f>IF(ISNUMBER(SEARCH(SUBSTITUTE(BE$1,RIGHT(BE$1,2),""),VLOOKUP($D227,素材!$1:$1016,COLUMN($F$1),FALSE))),VLOOKUP($C227,装備品!$1:$998,COLUMN($O$1),FALSE)*VLOOKUP($D227,素材!$1:$1016,COLUMN($E$1),FALSE)/(LEN(VLOOKUP($D227,素材!$1:$1016,COLUMN($F$1),FALSE))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CL227">
        <f t="shared" si="35"/>
        <v>17</v>
      </c>
      <c r="CM227" s="22" t="str">
        <f t="shared" si="36"/>
        <v>頭.webp</v>
      </c>
      <c r="CN227">
        <f>IFERROR(VLOOKUP($C227,装備品!$1:$998,COLUMN(V$1),FALSE)*VLOOKUP($D227,素材!$1:$1016,COLUMN(N$1),FALSE)+IF(CI227="",0,VLOOKUP($CI227,付与!$1:$1176,COLUMN($CK$1),FALSE)),"")</f>
        <v>0</v>
      </c>
      <c r="CO227">
        <f>VLOOKUP(D227,素材!$A:$O,COLUMN(素材!O$1),FALSE)</f>
        <v>0</v>
      </c>
      <c r="CP227" t="str">
        <f>VLOOKUP(C227,装備品!$A:$AB,COLUMN(装備品!AB$1),FALSE)</f>
        <v>命中 魔防 Cr</v>
      </c>
      <c r="CR227" t="str">
        <f t="shared" si="37"/>
        <v>e_227</v>
      </c>
      <c r="CS227">
        <f t="shared" si="38"/>
        <v>0</v>
      </c>
    </row>
    <row r="228" spans="1:97" outlineLevel="1" x14ac:dyDescent="0.4">
      <c r="A228" t="str">
        <f t="shared" si="39"/>
        <v>冷気鉄の兜</v>
      </c>
      <c r="B228" t="str">
        <f>IFERROR(VLOOKUP($D228,素材!$1:$1016,COLUMN($B$1),FALSE)&amp;"・"&amp;VLOOKUP($C228,装備品!$1:$998,COLUMN(B$1),FALSE),"")</f>
        <v>ドゥララン・ヘルム</v>
      </c>
      <c r="C228" t="s">
        <v>208</v>
      </c>
      <c r="D228" s="24" t="s">
        <v>242</v>
      </c>
      <c r="E228" t="str">
        <f>IFERROR(VLOOKUP(C228,装備品!$1:$998,COLUMN(C$1),FALSE),"")</f>
        <v>頭</v>
      </c>
      <c r="F228">
        <f>IFERROR(ROUNDDOWN((VLOOKUP($C228,装備品!$1:$998,COLUMN(D$1),FALSE)+IFERROR(VLOOKUP($CI228,付与!$1:$1167,COLUMN(F$1),FALSE),0))*VLOOKUP($D228,素材!$1:$1016,COLUMN(D$1),FALSE),0),"")</f>
        <v>0</v>
      </c>
      <c r="G228">
        <f>IFERROR(ROUNDDOWN((VLOOKUP($C228,装備品!$1:$998,COLUMN(E$1),FALSE)+IFERROR(VLOOKUP($CI228,付与!$1:$1167,COLUMN(G$1),FALSE),0))*VLOOKUP($D228,素材!$1:$1016,COLUMN($E$1),FALSE),0),"")</f>
        <v>0</v>
      </c>
      <c r="H228">
        <f>IFERROR(ROUNDDOWN((VLOOKUP($C228,装備品!$1:$998,COLUMN(F$1),FALSE)+IFERROR(VLOOKUP($CI228,付与!$1:$1167,COLUMN(H$1),FALSE),0))*VLOOKUP($D228,素材!$1:$1016,COLUMN($E$1),FALSE),0),"")</f>
        <v>0</v>
      </c>
      <c r="I228">
        <f>IFERROR(ROUNDDOWN((VLOOKUP($C228,装備品!$1:$998,COLUMN(G$1),FALSE)+IFERROR(VLOOKUP($CI228,付与!$1:$1167,COLUMN(I$1),FALSE),0))*VLOOKUP($D228,素材!$1:$1016,COLUMN($E$1),FALSE),0),"")</f>
        <v>17</v>
      </c>
      <c r="J228">
        <f>IFERROR(ROUNDDOWN((VLOOKUP($C228,装備品!$1:$998,COLUMN(H$1),FALSE)+IFERROR(VLOOKUP($CI228,付与!$1:$1167,COLUMN(J$1),FALSE),0))*VLOOKUP($D228,素材!$1:$1016,COLUMN($E$1),FALSE),0),"")</f>
        <v>0</v>
      </c>
      <c r="K228">
        <f>IFERROR(ROUNDDOWN((VLOOKUP($C228,装備品!$1:$998,COLUMN(I$1),FALSE)+IFERROR(VLOOKUP($CI228,付与!$1:$1167,COLUMN(K$1),FALSE),0))*VLOOKUP($D228,素材!$1:$1016,COLUMN($E$1),FALSE),0),"")</f>
        <v>0</v>
      </c>
      <c r="L228" t="str">
        <f>IFERROR(VLOOKUP($D228,素材!$1:$1016,COLUMN($F$1),FALSE),"")</f>
        <v>氷</v>
      </c>
      <c r="M228">
        <f>IFERROR(VLOOKUP($C228,装備品!$1:$998,COLUMN(AA$1),FALSE)*VLOOKUP($D228,素材!$1:$1016,COLUMN($G$1),FALSE),"")</f>
        <v>52.5</v>
      </c>
      <c r="N228">
        <f>IFERROR(VLOOKUP($C228,装備品!$1:$998,COLUMN(I$1),FALSE),"")</f>
        <v>0</v>
      </c>
      <c r="O228" s="23">
        <f>IFERROR((VLOOKUP($C228,装備品!$1:$998,COLUMN(K$1),FALSE)+VLOOKUP($D228,素材!$1:$1016,COLUMN(H$1),FALSE))*100+IFERROR(VLOOKUP($CI228,付与!$1:$1167,COLUMN(O$1),FALSE),0),"")</f>
        <v>5</v>
      </c>
      <c r="P228" s="23">
        <f>IFERROR((VLOOKUP($C228,装備品!$1:$998,COLUMN(L$1),FALSE)+VLOOKUP($D228,素材!$1:$1016,COLUMN(I$1),FALSE))*100+IFERROR(VLOOKUP($CI228,付与!$1:$1167,COLUMN(P$1),FALSE),0),"")</f>
        <v>125</v>
      </c>
      <c r="Q228">
        <f>IFERROR(ROUNDUP(VLOOKUP($C228,装備品!$1:$998,COLUMN(M$1),FALSE)*(VLOOKUP($D228,素材!$1:$1002,COLUMN(D$1),FALSE)/100),1),"")</f>
        <v>-5</v>
      </c>
      <c r="R228">
        <f>IFERROR(ROUNDUP(VLOOKUP($C228,装備品!$1:$998,COLUMN(N$1),FALSE)*(VLOOKUP($D228,素材!$1:$1002,COLUMN(D$1),FALSE)/100),1),"")</f>
        <v>0</v>
      </c>
      <c r="S228">
        <f>IFERROR(VLOOKUP($C228,装備品!$1:$998,COLUMN(P$1),FALSE),"")</f>
        <v>0</v>
      </c>
      <c r="T228">
        <f>IFERROR(VLOOKUP($C228,装備品!$1:$998,COLUMN(Q$1),FALSE),"")</f>
        <v>0</v>
      </c>
      <c r="U228">
        <f>IFERROR(VLOOKUP($C228,装備品!$1:$998,COLUMN(R$1),FALSE),"")</f>
        <v>0</v>
      </c>
      <c r="V228">
        <f>IFERROR(VLOOKUP($C228,装備品!$1:$998,COLUMN(Q$1),FALSE),"")</f>
        <v>0</v>
      </c>
      <c r="W228">
        <f>IFERROR(VLOOKUP($C228,装備品!$1:$998,COLUMN(T$1),FALSE),"")</f>
        <v>0.25</v>
      </c>
      <c r="Y228">
        <f>IFERROR(VLOOKUP($C228,装備品!$1:$998,COLUMN(U$1),FALSE),"")</f>
        <v>0</v>
      </c>
      <c r="Z228">
        <f>IFERROR(ROUNDUP(VLOOKUP($C228,装備品!$1:$998,COLUMN(O$1),FALSE)*VLOOKUP($D228,素材!$1:$1016,COLUMN(E$1),FALSE),1),"")</f>
        <v>-300</v>
      </c>
      <c r="AA228">
        <f>IF(ISNUMBER(SEARCH(SUBSTITUTE(AA$1,RIGHT(AA$1,2),""),VLOOKUP($D228,素材!$1:$1016,COLUMN($F$1),FALSE))),VLOOKUP($C228,装備品!$1:$998,COLUMN($O$1),FALSE)*VLOOKUP($D228,素材!$1:$1016,COLUMN($E$1),FALSE)/(LEN(VLOOKUP($D228,素材!$1:$1016,COLUMN($F$1),FALSE))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B228">
        <f>IF(ISNUMBER(SEARCH(SUBSTITUTE(AB$1,RIGHT(AB$1,2),""),VLOOKUP($D228,素材!$1:$1016,COLUMN($F$1),FALSE))),VLOOKUP($C228,装備品!$1:$998,COLUMN($O$1),FALSE)*VLOOKUP($D228,素材!$1:$1016,COLUMN($E$1),FALSE)/(LEN(VLOOKUP($D228,素材!$1:$1016,COLUMN($F$1),FALSE))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C228">
        <f>IF(ISNUMBER(SEARCH(SUBSTITUTE(AC$1,RIGHT(AC$1,2),""),VLOOKUP($D228,素材!$1:$1016,COLUMN($F$1),FALSE))),VLOOKUP($C228,装備品!$1:$998,COLUMN($O$1),FALSE)*VLOOKUP($D228,素材!$1:$1016,COLUMN($E$1),FALSE)/(LEN(VLOOKUP($D228,素材!$1:$1016,COLUMN($F$1),FALSE))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D228">
        <f>IF(ISNUMBER(SEARCH(SUBSTITUTE(AD$1,RIGHT(AD$1,2),""),VLOOKUP($D228,素材!$1:$1016,COLUMN($F$1),FALSE))),VLOOKUP($C228,装備品!$1:$998,COLUMN($O$1),FALSE)*VLOOKUP($D228,素材!$1:$1016,COLUMN($E$1),FALSE)/(LEN(VLOOKUP($D228,素材!$1:$1016,COLUMN($F$1),FALSE))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E228">
        <f>IF(ISNUMBER(SEARCH(SUBSTITUTE(AE$1,RIGHT(AE$1,2),""),VLOOKUP($D228,素材!$1:$1016,COLUMN($F$1),FALSE))),VLOOKUP($C228,装備品!$1:$998,COLUMN($O$1),FALSE)*VLOOKUP($D228,素材!$1:$1016,COLUMN($E$1),FALSE)/(LEN(VLOOKUP($D228,素材!$1:$1016,COLUMN($F$1),FALSE))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F228">
        <f>IF(ISNUMBER(SEARCH(SUBSTITUTE(AF$1,RIGHT(AF$1,2),""),VLOOKUP($D228,素材!$1:$1016,COLUMN($F$1),FALSE))),VLOOKUP($C228,装備品!$1:$998,COLUMN($O$1),FALSE)*VLOOKUP($D228,素材!$1:$1016,COLUMN($E$1),FALSE)/(LEN(VLOOKUP($D228,素材!$1:$1016,COLUMN($F$1),FALSE))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-300</v>
      </c>
      <c r="AG228">
        <f>IF(ISNUMBER(SEARCH(SUBSTITUTE(AG$1,RIGHT(AG$1,2),""),VLOOKUP($D228,素材!$1:$1016,COLUMN($F$1),FALSE))),VLOOKUP($C228,装備品!$1:$998,COLUMN($O$1),FALSE)*VLOOKUP($D228,素材!$1:$1016,COLUMN($E$1),FALSE)/(LEN(VLOOKUP($D228,素材!$1:$1016,COLUMN($F$1),FALSE))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H228">
        <f>IF(ISNUMBER(SEARCH(SUBSTITUTE(AH$1,RIGHT(AH$1,2),""),VLOOKUP($D228,素材!$1:$1016,COLUMN($F$1),FALSE))),VLOOKUP($C228,装備品!$1:$998,COLUMN($O$1),FALSE)*VLOOKUP($D228,素材!$1:$1016,COLUMN($E$1),FALSE)/(LEN(VLOOKUP($D228,素材!$1:$1016,COLUMN($F$1),FALSE))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I228">
        <f>IF(ISNUMBER(SEARCH(SUBSTITUTE(AI$1,RIGHT(AI$1,2),""),VLOOKUP($D228,素材!$1:$1016,COLUMN($F$1),FALSE))),VLOOKUP($C228,装備品!$1:$998,COLUMN($O$1),FALSE)*VLOOKUP($D228,素材!$1:$1016,COLUMN($E$1),FALSE)/(LEN(VLOOKUP($D228,素材!$1:$1016,COLUMN($F$1),FALSE))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J228">
        <f>IF(ISNUMBER(SEARCH(SUBSTITUTE(AJ$1,RIGHT(AJ$1,2),""),VLOOKUP($D228,素材!$1:$1016,COLUMN($F$1),FALSE))),VLOOKUP($C228,装備品!$1:$998,COLUMN($O$1),FALSE)*VLOOKUP($D228,素材!$1:$1016,COLUMN($E$1),FALSE)/(LEN(VLOOKUP($D228,素材!$1:$1016,COLUMN($F$1),FALSE))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K228">
        <f>IF(ISNUMBER(SEARCH(SUBSTITUTE(AK$1,RIGHT(AK$1,2),""),VLOOKUP($D228,素材!$1:$1016,COLUMN($F$1),FALSE))),VLOOKUP($C228,装備品!$1:$998,COLUMN($O$1),FALSE)*VLOOKUP($D228,素材!$1:$1016,COLUMN($E$1),FALSE)/(LEN(VLOOKUP($D228,素材!$1:$1016,COLUMN($F$1),FALSE))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L228">
        <f>IF(ISNUMBER(SEARCH(SUBSTITUTE(AL$1,RIGHT(AL$1,2),""),VLOOKUP($D228,素材!$1:$1016,COLUMN($F$1),FALSE))),VLOOKUP($C228,装備品!$1:$998,COLUMN($O$1),FALSE)*VLOOKUP($D228,素材!$1:$1016,COLUMN($E$1),FALSE)/(LEN(VLOOKUP($D228,素材!$1:$1016,COLUMN($F$1),FALSE))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M228">
        <f>IF(ISNUMBER(SEARCH(SUBSTITUTE(AM$1,RIGHT(AM$1,2),""),VLOOKUP($D228,素材!$1:$1016,COLUMN($F$1),FALSE))),VLOOKUP($C228,装備品!$1:$998,COLUMN($O$1),FALSE)*VLOOKUP($D228,素材!$1:$1016,COLUMN($E$1),FALSE)/(LEN(VLOOKUP($D228,素材!$1:$1016,COLUMN($F$1),FALSE))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N228">
        <f>IF(ISNUMBER(SEARCH(SUBSTITUTE(AN$1,RIGHT(AN$1,2),""),VLOOKUP($D228,素材!$1:$1016,COLUMN($F$1),FALSE))),VLOOKUP($C228,装備品!$1:$998,COLUMN($O$1),FALSE)*VLOOKUP($D228,素材!$1:$1016,COLUMN($E$1),FALSE)/(LEN(VLOOKUP($D228,素材!$1:$1016,COLUMN($F$1),FALSE))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O228">
        <f>IF(ISNUMBER(SEARCH(SUBSTITUTE(AO$1,RIGHT(AO$1,2),""),VLOOKUP($D228,素材!$1:$1016,COLUMN($F$1),FALSE))),VLOOKUP($C228,装備品!$1:$998,COLUMN($O$1),FALSE)*VLOOKUP($D228,素材!$1:$1016,COLUMN($E$1),FALSE)/(LEN(VLOOKUP($D228,素材!$1:$1016,COLUMN($F$1),FALSE))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P228">
        <f>IF(ISNUMBER(SEARCH(SUBSTITUTE(AP$1,RIGHT(AP$1,2),""),VLOOKUP($D228,素材!$1:$1016,COLUMN($F$1),FALSE))),VLOOKUP($C228,装備品!$1:$998,COLUMN($O$1),FALSE)*VLOOKUP($D228,素材!$1:$1016,COLUMN($E$1),FALSE)/(LEN(VLOOKUP($D228,素材!$1:$1016,COLUMN($F$1),FALSE))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Q228">
        <f>IF(ISNUMBER(SEARCH(SUBSTITUTE(AQ$1,RIGHT(AQ$1,2),""),VLOOKUP($D228,素材!$1:$1016,COLUMN($F$1),FALSE))),VLOOKUP($C228,装備品!$1:$998,COLUMN($O$1),FALSE)*VLOOKUP($D228,素材!$1:$1016,COLUMN($E$1),FALSE)/(LEN(VLOOKUP($D228,素材!$1:$1016,COLUMN($F$1),FALSE))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R228">
        <f>IF(ISNUMBER(SEARCH(SUBSTITUTE(AR$1,RIGHT(AR$1,2),""),VLOOKUP($D228,素材!$1:$1016,COLUMN($F$1),FALSE))),VLOOKUP($C228,装備品!$1:$998,COLUMN($O$1),FALSE)*VLOOKUP($D228,素材!$1:$1016,COLUMN($E$1),FALSE)/(LEN(VLOOKUP($D228,素材!$1:$1016,COLUMN($F$1),FALSE))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S228">
        <f>IF(ISNUMBER(SEARCH(SUBSTITUTE(AS$1,RIGHT(AS$1,2),""),VLOOKUP($D228,素材!$1:$1016,COLUMN($F$1),FALSE))),VLOOKUP($C228,装備品!$1:$998,COLUMN($O$1),FALSE)*VLOOKUP($D228,素材!$1:$1016,COLUMN($E$1),FALSE)/(LEN(VLOOKUP($D228,素材!$1:$1016,COLUMN($F$1),FALSE))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T228">
        <f>IF(ISNUMBER(SEARCH(SUBSTITUTE(AT$1,RIGHT(AT$1,2),""),VLOOKUP($D228,素材!$1:$1016,COLUMN($F$1),FALSE))),VLOOKUP($C228,装備品!$1:$998,COLUMN($O$1),FALSE)*VLOOKUP($D228,素材!$1:$1016,COLUMN($E$1),FALSE)/(LEN(VLOOKUP($D228,素材!$1:$1016,COLUMN($F$1),FALSE))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U228">
        <f>IF(ISNUMBER(SEARCH(SUBSTITUTE(AU$1,RIGHT(AU$1,2),""),VLOOKUP($D228,素材!$1:$1016,COLUMN($F$1),FALSE))),VLOOKUP($C228,装備品!$1:$998,COLUMN($O$1),FALSE)*VLOOKUP($D228,素材!$1:$1016,COLUMN($E$1),FALSE)/(LEN(VLOOKUP($D228,素材!$1:$1016,COLUMN($F$1),FALSE))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V228">
        <f>IF(ISNUMBER(SEARCH(SUBSTITUTE(AV$1,RIGHT(AV$1,2),""),VLOOKUP($D228,素材!$1:$1016,COLUMN($F$1),FALSE))),VLOOKUP($C228,装備品!$1:$998,COLUMN($O$1),FALSE)*VLOOKUP($D228,素材!$1:$1016,COLUMN($E$1),FALSE)/(LEN(VLOOKUP($D228,素材!$1:$1016,COLUMN($F$1),FALSE))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W228">
        <f>IF(ISNUMBER(SEARCH(SUBSTITUTE(AW$1,RIGHT(AW$1,2),""),VLOOKUP($D228,素材!$1:$1016,COLUMN($F$1),FALSE))),VLOOKUP($C228,装備品!$1:$998,COLUMN($O$1),FALSE)*VLOOKUP($D228,素材!$1:$1016,COLUMN($E$1),FALSE)/(LEN(VLOOKUP($D228,素材!$1:$1016,COLUMN($F$1),FALSE))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X228">
        <f>IF(ISNUMBER(SEARCH(SUBSTITUTE(AX$1,RIGHT(AX$1,2),""),VLOOKUP($D228,素材!$1:$1016,COLUMN($F$1),FALSE))),VLOOKUP($C228,装備品!$1:$998,COLUMN($O$1),FALSE)*VLOOKUP($D228,素材!$1:$1016,COLUMN($E$1),FALSE)/(LEN(VLOOKUP($D228,素材!$1:$1016,COLUMN($F$1),FALSE))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Y228">
        <f>IF(ISNUMBER(SEARCH(SUBSTITUTE(AY$1,RIGHT(AY$1,2),""),VLOOKUP($D228,素材!$1:$1016,COLUMN($F$1),FALSE))),VLOOKUP($C228,装備品!$1:$998,COLUMN($O$1),FALSE)*VLOOKUP($D228,素材!$1:$1016,COLUMN($E$1),FALSE)/(LEN(VLOOKUP($D228,素材!$1:$1016,COLUMN($F$1),FALSE))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Z228">
        <f>IF(ISNUMBER(SEARCH(SUBSTITUTE(AZ$1,RIGHT(AZ$1,2),""),VLOOKUP($D228,素材!$1:$1016,COLUMN($F$1),FALSE))),VLOOKUP($C228,装備品!$1:$998,COLUMN($O$1),FALSE)*VLOOKUP($D228,素材!$1:$1016,COLUMN($E$1),FALSE)/(LEN(VLOOKUP($D228,素材!$1:$1016,COLUMN($F$1),FALSE))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BA228">
        <f>IF(ISNUMBER(SEARCH(SUBSTITUTE(BA$1,RIGHT(BA$1,2),""),VLOOKUP($D228,素材!$1:$1016,COLUMN($F$1),FALSE))),VLOOKUP($C228,装備品!$1:$998,COLUMN($O$1),FALSE)*VLOOKUP($D228,素材!$1:$1016,COLUMN($E$1),FALSE)/(LEN(VLOOKUP($D228,素材!$1:$1016,COLUMN($F$1),FALSE))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BB228">
        <f>IF(ISNUMBER(SEARCH(SUBSTITUTE(BB$1,RIGHT(BB$1,2),""),VLOOKUP($D228,素材!$1:$1016,COLUMN($F$1),FALSE))),VLOOKUP($C228,装備品!$1:$998,COLUMN($O$1),FALSE)*VLOOKUP($D228,素材!$1:$1016,COLUMN($E$1),FALSE)/(LEN(VLOOKUP($D228,素材!$1:$1016,COLUMN($F$1),FALSE))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BC228">
        <f>IF(ISNUMBER(SEARCH(SUBSTITUTE(BC$1,RIGHT(BC$1,2),""),VLOOKUP($D228,素材!$1:$1016,COLUMN($F$1),FALSE))),VLOOKUP($C228,装備品!$1:$998,COLUMN($O$1),FALSE)*VLOOKUP($D228,素材!$1:$1016,COLUMN($E$1),FALSE)/(LEN(VLOOKUP($D228,素材!$1:$1016,COLUMN($F$1),FALSE))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BD228">
        <f>IF(ISNUMBER(SEARCH(SUBSTITUTE(BD$1,RIGHT(BD$1,2),""),VLOOKUP($D228,素材!$1:$1016,COLUMN($F$1),FALSE))),VLOOKUP($C228,装備品!$1:$998,COLUMN($O$1),FALSE)*VLOOKUP($D228,素材!$1:$1016,COLUMN($E$1),FALSE)/(LEN(VLOOKUP($D228,素材!$1:$1016,COLUMN($F$1),FALSE))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BE228">
        <f>IF(ISNUMBER(SEARCH(SUBSTITUTE(BE$1,RIGHT(BE$1,2),""),VLOOKUP($D228,素材!$1:$1016,COLUMN($F$1),FALSE))),VLOOKUP($C228,装備品!$1:$998,COLUMN($O$1),FALSE)*VLOOKUP($D228,素材!$1:$1016,COLUMN($E$1),FALSE)/(LEN(VLOOKUP($D228,素材!$1:$1016,COLUMN($F$1),FALSE))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CL228">
        <f t="shared" si="35"/>
        <v>17</v>
      </c>
      <c r="CM228" s="22" t="str">
        <f t="shared" si="36"/>
        <v>頭.webp</v>
      </c>
      <c r="CN228">
        <f>IFERROR(VLOOKUP($C228,装備品!$1:$998,COLUMN(V$1),FALSE)*VLOOKUP($D228,素材!$1:$1016,COLUMN(N$1),FALSE)+IF(CI228="",0,VLOOKUP($CI228,付与!$1:$1176,COLUMN($CK$1),FALSE)),"")</f>
        <v>0</v>
      </c>
      <c r="CO228">
        <f>VLOOKUP(D228,素材!$A:$O,COLUMN(素材!O$1),FALSE)</f>
        <v>0</v>
      </c>
      <c r="CP228" t="str">
        <f>VLOOKUP(C228,装備品!$A:$AB,COLUMN(装備品!AB$1),FALSE)</f>
        <v>命中 魔防 Cr</v>
      </c>
      <c r="CR228" t="str">
        <f t="shared" si="37"/>
        <v>e_228</v>
      </c>
      <c r="CS228">
        <f t="shared" si="38"/>
        <v>0</v>
      </c>
    </row>
    <row r="229" spans="1:97" outlineLevel="1" x14ac:dyDescent="0.4">
      <c r="A229" t="str">
        <f t="shared" si="39"/>
        <v>冷気鉄の鎧</v>
      </c>
      <c r="B229" t="str">
        <f>IFERROR(VLOOKUP($D229,素材!$1:$1016,COLUMN($B$1),FALSE)&amp;"・"&amp;VLOOKUP($C229,装備品!$1:$998,COLUMN(B$1),FALSE),"")</f>
        <v>ドゥララン・アーマー</v>
      </c>
      <c r="C229" t="s">
        <v>207</v>
      </c>
      <c r="D229" s="24" t="s">
        <v>242</v>
      </c>
      <c r="E229" t="str">
        <f>IFERROR(VLOOKUP(C229,装備品!$1:$998,COLUMN(C$1),FALSE),"")</f>
        <v>体</v>
      </c>
      <c r="F229">
        <f>IFERROR(ROUNDDOWN((VLOOKUP($C229,装備品!$1:$998,COLUMN(D$1),FALSE)+IFERROR(VLOOKUP($CI229,付与!$1:$1167,COLUMN(F$1),FALSE),0))*VLOOKUP($D229,素材!$1:$1016,COLUMN(D$1),FALSE),0),"")</f>
        <v>0</v>
      </c>
      <c r="G229">
        <f>IFERROR(ROUNDDOWN((VLOOKUP($C229,装備品!$1:$998,COLUMN(E$1),FALSE)+IFERROR(VLOOKUP($CI229,付与!$1:$1167,COLUMN(G$1),FALSE),0))*VLOOKUP($D229,素材!$1:$1016,COLUMN($E$1),FALSE),0),"")</f>
        <v>0</v>
      </c>
      <c r="H229">
        <f>IFERROR(ROUNDDOWN((VLOOKUP($C229,装備品!$1:$998,COLUMN(F$1),FALSE)+IFERROR(VLOOKUP($CI229,付与!$1:$1167,COLUMN(H$1),FALSE),0))*VLOOKUP($D229,素材!$1:$1016,COLUMN($E$1),FALSE),0),"")</f>
        <v>0</v>
      </c>
      <c r="I229">
        <f>IFERROR(ROUNDDOWN((VLOOKUP($C229,装備品!$1:$998,COLUMN(G$1),FALSE)+IFERROR(VLOOKUP($CI229,付与!$1:$1167,COLUMN(I$1),FALSE),0))*VLOOKUP($D229,素材!$1:$1016,COLUMN($E$1),FALSE),0),"")</f>
        <v>0</v>
      </c>
      <c r="J229">
        <f>IFERROR(ROUNDDOWN((VLOOKUP($C229,装備品!$1:$998,COLUMN(H$1),FALSE)+IFERROR(VLOOKUP($CI229,付与!$1:$1167,COLUMN(J$1),FALSE),0))*VLOOKUP($D229,素材!$1:$1016,COLUMN($E$1),FALSE),0),"")</f>
        <v>0</v>
      </c>
      <c r="K229">
        <f>IFERROR(ROUNDDOWN((VLOOKUP($C229,装備品!$1:$998,COLUMN(I$1),FALSE)+IFERROR(VLOOKUP($CI229,付与!$1:$1167,COLUMN(K$1),FALSE),0))*VLOOKUP($D229,素材!$1:$1016,COLUMN($E$1),FALSE),0),"")</f>
        <v>0</v>
      </c>
      <c r="L229" t="str">
        <f>IFERROR(VLOOKUP($D229,素材!$1:$1016,COLUMN($F$1),FALSE),"")</f>
        <v>氷</v>
      </c>
      <c r="M229">
        <f>IFERROR(VLOOKUP($C229,装備品!$1:$998,COLUMN(AA$1),FALSE)*VLOOKUP($D229,素材!$1:$1016,COLUMN($G$1),FALSE),"")</f>
        <v>105</v>
      </c>
      <c r="N229">
        <f>IFERROR(VLOOKUP($C229,装備品!$1:$998,COLUMN(I$1),FALSE),"")</f>
        <v>0</v>
      </c>
      <c r="O229" s="23">
        <f>IFERROR((VLOOKUP($C229,装備品!$1:$998,COLUMN(K$1),FALSE)+VLOOKUP($D229,素材!$1:$1016,COLUMN(H$1),FALSE))*100+IFERROR(VLOOKUP($CI229,付与!$1:$1167,COLUMN(O$1),FALSE),0),"")</f>
        <v>0</v>
      </c>
      <c r="P229" s="23">
        <f>IFERROR((VLOOKUP($C229,装備品!$1:$998,COLUMN(L$1),FALSE)+VLOOKUP($D229,素材!$1:$1016,COLUMN(I$1),FALSE))*100+IFERROR(VLOOKUP($CI229,付与!$1:$1167,COLUMN(P$1),FALSE),0),"")</f>
        <v>0</v>
      </c>
      <c r="Q229">
        <f>IFERROR(ROUNDUP(VLOOKUP($C229,装備品!$1:$998,COLUMN(M$1),FALSE)*(VLOOKUP($D229,素材!$1:$1002,COLUMN(D$1),FALSE)/100),1),"")</f>
        <v>-15</v>
      </c>
      <c r="R229">
        <f>IFERROR(ROUNDUP(VLOOKUP($C229,装備品!$1:$998,COLUMN(N$1),FALSE)*(VLOOKUP($D229,素材!$1:$1002,COLUMN(D$1),FALSE)/100),1),"")</f>
        <v>0</v>
      </c>
      <c r="S229">
        <f>IFERROR(VLOOKUP($C229,装備品!$1:$998,COLUMN(P$1),FALSE),"")</f>
        <v>-35</v>
      </c>
      <c r="T229">
        <f>IFERROR(VLOOKUP($C229,装備品!$1:$998,COLUMN(Q$1),FALSE),"")</f>
        <v>0</v>
      </c>
      <c r="U229">
        <f>IFERROR(VLOOKUP($C229,装備品!$1:$998,COLUMN(R$1),FALSE),"")</f>
        <v>0</v>
      </c>
      <c r="V229">
        <f>IFERROR(VLOOKUP($C229,装備品!$1:$998,COLUMN(Q$1),FALSE),"")</f>
        <v>0</v>
      </c>
      <c r="W229">
        <f>IFERROR(VLOOKUP($C229,装備品!$1:$998,COLUMN(T$1),FALSE),"")</f>
        <v>0.7</v>
      </c>
      <c r="Y229">
        <f>IFERROR(VLOOKUP($C229,装備品!$1:$998,COLUMN(U$1),FALSE),"")</f>
        <v>0</v>
      </c>
      <c r="Z229">
        <f>IFERROR(ROUNDUP(VLOOKUP($C229,装備品!$1:$998,COLUMN(O$1),FALSE)*VLOOKUP($D229,素材!$1:$1016,COLUMN(E$1),FALSE),1),"")</f>
        <v>0</v>
      </c>
      <c r="AA229">
        <f>IF(ISNUMBER(SEARCH(SUBSTITUTE(AA$1,RIGHT(AA$1,2),""),VLOOKUP($D229,素材!$1:$1016,COLUMN($F$1),FALSE))),VLOOKUP($C229,装備品!$1:$998,COLUMN($O$1),FALSE)*VLOOKUP($D229,素材!$1:$1016,COLUMN($E$1),FALSE)/(LEN(VLOOKUP($D229,素材!$1:$1016,COLUMN($F$1),FALSE))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B229">
        <f>IF(ISNUMBER(SEARCH(SUBSTITUTE(AB$1,RIGHT(AB$1,2),""),VLOOKUP($D229,素材!$1:$1016,COLUMN($F$1),FALSE))),VLOOKUP($C229,装備品!$1:$998,COLUMN($O$1),FALSE)*VLOOKUP($D229,素材!$1:$1016,COLUMN($E$1),FALSE)/(LEN(VLOOKUP($D229,素材!$1:$1016,COLUMN($F$1),FALSE))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C229">
        <f>IF(ISNUMBER(SEARCH(SUBSTITUTE(AC$1,RIGHT(AC$1,2),""),VLOOKUP($D229,素材!$1:$1016,COLUMN($F$1),FALSE))),VLOOKUP($C229,装備品!$1:$998,COLUMN($O$1),FALSE)*VLOOKUP($D229,素材!$1:$1016,COLUMN($E$1),FALSE)/(LEN(VLOOKUP($D229,素材!$1:$1016,COLUMN($F$1),FALSE))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D229">
        <f>IF(ISNUMBER(SEARCH(SUBSTITUTE(AD$1,RIGHT(AD$1,2),""),VLOOKUP($D229,素材!$1:$1016,COLUMN($F$1),FALSE))),VLOOKUP($C229,装備品!$1:$998,COLUMN($O$1),FALSE)*VLOOKUP($D229,素材!$1:$1016,COLUMN($E$1),FALSE)/(LEN(VLOOKUP($D229,素材!$1:$1016,COLUMN($F$1),FALSE))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E229">
        <f>IF(ISNUMBER(SEARCH(SUBSTITUTE(AE$1,RIGHT(AE$1,2),""),VLOOKUP($D229,素材!$1:$1016,COLUMN($F$1),FALSE))),VLOOKUP($C229,装備品!$1:$998,COLUMN($O$1),FALSE)*VLOOKUP($D229,素材!$1:$1016,COLUMN($E$1),FALSE)/(LEN(VLOOKUP($D229,素材!$1:$1016,COLUMN($F$1),FALSE))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F229">
        <f>IF(ISNUMBER(SEARCH(SUBSTITUTE(AF$1,RIGHT(AF$1,2),""),VLOOKUP($D229,素材!$1:$1016,COLUMN($F$1),FALSE))),VLOOKUP($C229,装備品!$1:$998,COLUMN($O$1),FALSE)*VLOOKUP($D229,素材!$1:$1016,COLUMN($E$1),FALSE)/(LEN(VLOOKUP($D229,素材!$1:$1016,COLUMN($F$1),FALSE))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G229">
        <f>IF(ISNUMBER(SEARCH(SUBSTITUTE(AG$1,RIGHT(AG$1,2),""),VLOOKUP($D229,素材!$1:$1016,COLUMN($F$1),FALSE))),VLOOKUP($C229,装備品!$1:$998,COLUMN($O$1),FALSE)*VLOOKUP($D229,素材!$1:$1016,COLUMN($E$1),FALSE)/(LEN(VLOOKUP($D229,素材!$1:$1016,COLUMN($F$1),FALSE))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H229">
        <f>IF(ISNUMBER(SEARCH(SUBSTITUTE(AH$1,RIGHT(AH$1,2),""),VLOOKUP($D229,素材!$1:$1016,COLUMN($F$1),FALSE))),VLOOKUP($C229,装備品!$1:$998,COLUMN($O$1),FALSE)*VLOOKUP($D229,素材!$1:$1016,COLUMN($E$1),FALSE)/(LEN(VLOOKUP($D229,素材!$1:$1016,COLUMN($F$1),FALSE))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I229">
        <f>IF(ISNUMBER(SEARCH(SUBSTITUTE(AI$1,RIGHT(AI$1,2),""),VLOOKUP($D229,素材!$1:$1016,COLUMN($F$1),FALSE))),VLOOKUP($C229,装備品!$1:$998,COLUMN($O$1),FALSE)*VLOOKUP($D229,素材!$1:$1016,COLUMN($E$1),FALSE)/(LEN(VLOOKUP($D229,素材!$1:$1016,COLUMN($F$1),FALSE))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J229">
        <f>IF(ISNUMBER(SEARCH(SUBSTITUTE(AJ$1,RIGHT(AJ$1,2),""),VLOOKUP($D229,素材!$1:$1016,COLUMN($F$1),FALSE))),VLOOKUP($C229,装備品!$1:$998,COLUMN($O$1),FALSE)*VLOOKUP($D229,素材!$1:$1016,COLUMN($E$1),FALSE)/(LEN(VLOOKUP($D229,素材!$1:$1016,COLUMN($F$1),FALSE))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K229">
        <f>IF(ISNUMBER(SEARCH(SUBSTITUTE(AK$1,RIGHT(AK$1,2),""),VLOOKUP($D229,素材!$1:$1016,COLUMN($F$1),FALSE))),VLOOKUP($C229,装備品!$1:$998,COLUMN($O$1),FALSE)*VLOOKUP($D229,素材!$1:$1016,COLUMN($E$1),FALSE)/(LEN(VLOOKUP($D229,素材!$1:$1016,COLUMN($F$1),FALSE))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L229">
        <f>IF(ISNUMBER(SEARCH(SUBSTITUTE(AL$1,RIGHT(AL$1,2),""),VLOOKUP($D229,素材!$1:$1016,COLUMN($F$1),FALSE))),VLOOKUP($C229,装備品!$1:$998,COLUMN($O$1),FALSE)*VLOOKUP($D229,素材!$1:$1016,COLUMN($E$1),FALSE)/(LEN(VLOOKUP($D229,素材!$1:$1016,COLUMN($F$1),FALSE))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M229">
        <f>IF(ISNUMBER(SEARCH(SUBSTITUTE(AM$1,RIGHT(AM$1,2),""),VLOOKUP($D229,素材!$1:$1016,COLUMN($F$1),FALSE))),VLOOKUP($C229,装備品!$1:$998,COLUMN($O$1),FALSE)*VLOOKUP($D229,素材!$1:$1016,COLUMN($E$1),FALSE)/(LEN(VLOOKUP($D229,素材!$1:$1016,COLUMN($F$1),FALSE))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N229">
        <f>IF(ISNUMBER(SEARCH(SUBSTITUTE(AN$1,RIGHT(AN$1,2),""),VLOOKUP($D229,素材!$1:$1016,COLUMN($F$1),FALSE))),VLOOKUP($C229,装備品!$1:$998,COLUMN($O$1),FALSE)*VLOOKUP($D229,素材!$1:$1016,COLUMN($E$1),FALSE)/(LEN(VLOOKUP($D229,素材!$1:$1016,COLUMN($F$1),FALSE))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O229">
        <f>IF(ISNUMBER(SEARCH(SUBSTITUTE(AO$1,RIGHT(AO$1,2),""),VLOOKUP($D229,素材!$1:$1016,COLUMN($F$1),FALSE))),VLOOKUP($C229,装備品!$1:$998,COLUMN($O$1),FALSE)*VLOOKUP($D229,素材!$1:$1016,COLUMN($E$1),FALSE)/(LEN(VLOOKUP($D229,素材!$1:$1016,COLUMN($F$1),FALSE))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P229">
        <f>IF(ISNUMBER(SEARCH(SUBSTITUTE(AP$1,RIGHT(AP$1,2),""),VLOOKUP($D229,素材!$1:$1016,COLUMN($F$1),FALSE))),VLOOKUP($C229,装備品!$1:$998,COLUMN($O$1),FALSE)*VLOOKUP($D229,素材!$1:$1016,COLUMN($E$1),FALSE)/(LEN(VLOOKUP($D229,素材!$1:$1016,COLUMN($F$1),FALSE))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Q229">
        <f>IF(ISNUMBER(SEARCH(SUBSTITUTE(AQ$1,RIGHT(AQ$1,2),""),VLOOKUP($D229,素材!$1:$1016,COLUMN($F$1),FALSE))),VLOOKUP($C229,装備品!$1:$998,COLUMN($O$1),FALSE)*VLOOKUP($D229,素材!$1:$1016,COLUMN($E$1),FALSE)/(LEN(VLOOKUP($D229,素材!$1:$1016,COLUMN($F$1),FALSE))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R229">
        <f>IF(ISNUMBER(SEARCH(SUBSTITUTE(AR$1,RIGHT(AR$1,2),""),VLOOKUP($D229,素材!$1:$1016,COLUMN($F$1),FALSE))),VLOOKUP($C229,装備品!$1:$998,COLUMN($O$1),FALSE)*VLOOKUP($D229,素材!$1:$1016,COLUMN($E$1),FALSE)/(LEN(VLOOKUP($D229,素材!$1:$1016,COLUMN($F$1),FALSE))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S229">
        <f>IF(ISNUMBER(SEARCH(SUBSTITUTE(AS$1,RIGHT(AS$1,2),""),VLOOKUP($D229,素材!$1:$1016,COLUMN($F$1),FALSE))),VLOOKUP($C229,装備品!$1:$998,COLUMN($O$1),FALSE)*VLOOKUP($D229,素材!$1:$1016,COLUMN($E$1),FALSE)/(LEN(VLOOKUP($D229,素材!$1:$1016,COLUMN($F$1),FALSE))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T229">
        <f>IF(ISNUMBER(SEARCH(SUBSTITUTE(AT$1,RIGHT(AT$1,2),""),VLOOKUP($D229,素材!$1:$1016,COLUMN($F$1),FALSE))),VLOOKUP($C229,装備品!$1:$998,COLUMN($O$1),FALSE)*VLOOKUP($D229,素材!$1:$1016,COLUMN($E$1),FALSE)/(LEN(VLOOKUP($D229,素材!$1:$1016,COLUMN($F$1),FALSE))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U229">
        <f>IF(ISNUMBER(SEARCH(SUBSTITUTE(AU$1,RIGHT(AU$1,2),""),VLOOKUP($D229,素材!$1:$1016,COLUMN($F$1),FALSE))),VLOOKUP($C229,装備品!$1:$998,COLUMN($O$1),FALSE)*VLOOKUP($D229,素材!$1:$1016,COLUMN($E$1),FALSE)/(LEN(VLOOKUP($D229,素材!$1:$1016,COLUMN($F$1),FALSE))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V229">
        <f>IF(ISNUMBER(SEARCH(SUBSTITUTE(AV$1,RIGHT(AV$1,2),""),VLOOKUP($D229,素材!$1:$1016,COLUMN($F$1),FALSE))),VLOOKUP($C229,装備品!$1:$998,COLUMN($O$1),FALSE)*VLOOKUP($D229,素材!$1:$1016,COLUMN($E$1),FALSE)/(LEN(VLOOKUP($D229,素材!$1:$1016,COLUMN($F$1),FALSE))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W229">
        <f>IF(ISNUMBER(SEARCH(SUBSTITUTE(AW$1,RIGHT(AW$1,2),""),VLOOKUP($D229,素材!$1:$1016,COLUMN($F$1),FALSE))),VLOOKUP($C229,装備品!$1:$998,COLUMN($O$1),FALSE)*VLOOKUP($D229,素材!$1:$1016,COLUMN($E$1),FALSE)/(LEN(VLOOKUP($D229,素材!$1:$1016,COLUMN($F$1),FALSE))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X229">
        <f>IF(ISNUMBER(SEARCH(SUBSTITUTE(AX$1,RIGHT(AX$1,2),""),VLOOKUP($D229,素材!$1:$1016,COLUMN($F$1),FALSE))),VLOOKUP($C229,装備品!$1:$998,COLUMN($O$1),FALSE)*VLOOKUP($D229,素材!$1:$1016,COLUMN($E$1),FALSE)/(LEN(VLOOKUP($D229,素材!$1:$1016,COLUMN($F$1),FALSE))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Y229">
        <f>IF(ISNUMBER(SEARCH(SUBSTITUTE(AY$1,RIGHT(AY$1,2),""),VLOOKUP($D229,素材!$1:$1016,COLUMN($F$1),FALSE))),VLOOKUP($C229,装備品!$1:$998,COLUMN($O$1),FALSE)*VLOOKUP($D229,素材!$1:$1016,COLUMN($E$1),FALSE)/(LEN(VLOOKUP($D229,素材!$1:$1016,COLUMN($F$1),FALSE))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Z229">
        <f>IF(ISNUMBER(SEARCH(SUBSTITUTE(AZ$1,RIGHT(AZ$1,2),""),VLOOKUP($D229,素材!$1:$1016,COLUMN($F$1),FALSE))),VLOOKUP($C229,装備品!$1:$998,COLUMN($O$1),FALSE)*VLOOKUP($D229,素材!$1:$1016,COLUMN($E$1),FALSE)/(LEN(VLOOKUP($D229,素材!$1:$1016,COLUMN($F$1),FALSE))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BA229">
        <f>IF(ISNUMBER(SEARCH(SUBSTITUTE(BA$1,RIGHT(BA$1,2),""),VLOOKUP($D229,素材!$1:$1016,COLUMN($F$1),FALSE))),VLOOKUP($C229,装備品!$1:$998,COLUMN($O$1),FALSE)*VLOOKUP($D229,素材!$1:$1016,COLUMN($E$1),FALSE)/(LEN(VLOOKUP($D229,素材!$1:$1016,COLUMN($F$1),FALSE))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BB229">
        <f>IF(ISNUMBER(SEARCH(SUBSTITUTE(BB$1,RIGHT(BB$1,2),""),VLOOKUP($D229,素材!$1:$1016,COLUMN($F$1),FALSE))),VLOOKUP($C229,装備品!$1:$998,COLUMN($O$1),FALSE)*VLOOKUP($D229,素材!$1:$1016,COLUMN($E$1),FALSE)/(LEN(VLOOKUP($D229,素材!$1:$1016,COLUMN($F$1),FALSE))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BC229">
        <f>IF(ISNUMBER(SEARCH(SUBSTITUTE(BC$1,RIGHT(BC$1,2),""),VLOOKUP($D229,素材!$1:$1016,COLUMN($F$1),FALSE))),VLOOKUP($C229,装備品!$1:$998,COLUMN($O$1),FALSE)*VLOOKUP($D229,素材!$1:$1016,COLUMN($E$1),FALSE)/(LEN(VLOOKUP($D229,素材!$1:$1016,COLUMN($F$1),FALSE))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BD229">
        <f>IF(ISNUMBER(SEARCH(SUBSTITUTE(BD$1,RIGHT(BD$1,2),""),VLOOKUP($D229,素材!$1:$1016,COLUMN($F$1),FALSE))),VLOOKUP($C229,装備品!$1:$998,COLUMN($O$1),FALSE)*VLOOKUP($D229,素材!$1:$1016,COLUMN($E$1),FALSE)/(LEN(VLOOKUP($D229,素材!$1:$1016,COLUMN($F$1),FALSE))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BE229">
        <f>IF(ISNUMBER(SEARCH(SUBSTITUTE(BE$1,RIGHT(BE$1,2),""),VLOOKUP($D229,素材!$1:$1016,COLUMN($F$1),FALSE))),VLOOKUP($C229,装備品!$1:$998,COLUMN($O$1),FALSE)*VLOOKUP($D229,素材!$1:$1016,COLUMN($E$1),FALSE)/(LEN(VLOOKUP($D229,素材!$1:$1016,COLUMN($F$1),FALSE))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CL229">
        <f t="shared" si="35"/>
        <v>0</v>
      </c>
      <c r="CM229" s="22" t="str">
        <f t="shared" si="36"/>
        <v>体.webp</v>
      </c>
      <c r="CN229">
        <f>IFERROR(VLOOKUP($C229,装備品!$1:$998,COLUMN(V$1),FALSE)*VLOOKUP($D229,素材!$1:$1016,COLUMN(N$1),FALSE)+IF(CI229="",0,VLOOKUP($CI229,付与!$1:$1176,COLUMN($CK$1),FALSE)),"")</f>
        <v>0</v>
      </c>
      <c r="CO229">
        <f>VLOOKUP(D229,素材!$A:$O,COLUMN(素材!O$1),FALSE)</f>
        <v>0</v>
      </c>
      <c r="CP229" t="str">
        <f>VLOOKUP(C229,装備品!$A:$AB,COLUMN(装備品!AB$1),FALSE)</f>
        <v>HP 物理 魔法 体幹 出血 疲労 Cr</v>
      </c>
      <c r="CR229" t="str">
        <f t="shared" si="37"/>
        <v>e_229</v>
      </c>
      <c r="CS229">
        <f t="shared" si="38"/>
        <v>0</v>
      </c>
    </row>
    <row r="230" spans="1:97" outlineLevel="1" x14ac:dyDescent="0.4">
      <c r="A230" t="str">
        <f t="shared" si="39"/>
        <v>冷気鉄の胴衣</v>
      </c>
      <c r="B230" t="str">
        <f>IFERROR(VLOOKUP($D230,素材!$1:$1016,COLUMN($B$1),FALSE)&amp;"・"&amp;VLOOKUP($C230,装備品!$1:$998,COLUMN(B$1),FALSE),"")</f>
        <v>ドゥララン・ベスト</v>
      </c>
      <c r="C230" t="s">
        <v>206</v>
      </c>
      <c r="D230" s="24" t="s">
        <v>242</v>
      </c>
      <c r="E230" t="str">
        <f>IFERROR(VLOOKUP(C230,装備品!$1:$998,COLUMN(C$1),FALSE),"")</f>
        <v>体</v>
      </c>
      <c r="F230">
        <f>IFERROR(ROUNDDOWN((VLOOKUP($C230,装備品!$1:$998,COLUMN(D$1),FALSE)+IFERROR(VLOOKUP($CI230,付与!$1:$1167,COLUMN(F$1),FALSE),0))*VLOOKUP($D230,素材!$1:$1016,COLUMN(D$1),FALSE),0),"")</f>
        <v>0</v>
      </c>
      <c r="G230">
        <f>IFERROR(ROUNDDOWN((VLOOKUP($C230,装備品!$1:$998,COLUMN(E$1),FALSE)+IFERROR(VLOOKUP($CI230,付与!$1:$1167,COLUMN(G$1),FALSE),0))*VLOOKUP($D230,素材!$1:$1016,COLUMN($E$1),FALSE),0),"")</f>
        <v>0</v>
      </c>
      <c r="H230">
        <f>IFERROR(ROUNDDOWN((VLOOKUP($C230,装備品!$1:$998,COLUMN(F$1),FALSE)+IFERROR(VLOOKUP($CI230,付与!$1:$1167,COLUMN(H$1),FALSE),0))*VLOOKUP($D230,素材!$1:$1016,COLUMN($E$1),FALSE),0),"")</f>
        <v>0</v>
      </c>
      <c r="I230">
        <f>IFERROR(ROUNDDOWN((VLOOKUP($C230,装備品!$1:$998,COLUMN(G$1),FALSE)+IFERROR(VLOOKUP($CI230,付与!$1:$1167,COLUMN(I$1),FALSE),0))*VLOOKUP($D230,素材!$1:$1016,COLUMN($E$1),FALSE),0),"")</f>
        <v>0</v>
      </c>
      <c r="J230">
        <f>IFERROR(ROUNDDOWN((VLOOKUP($C230,装備品!$1:$998,COLUMN(H$1),FALSE)+IFERROR(VLOOKUP($CI230,付与!$1:$1167,COLUMN(J$1),FALSE),0))*VLOOKUP($D230,素材!$1:$1016,COLUMN($E$1),FALSE),0),"")</f>
        <v>0</v>
      </c>
      <c r="K230">
        <f>IFERROR(ROUNDDOWN((VLOOKUP($C230,装備品!$1:$998,COLUMN(I$1),FALSE)+IFERROR(VLOOKUP($CI230,付与!$1:$1167,COLUMN(K$1),FALSE),0))*VLOOKUP($D230,素材!$1:$1016,COLUMN($E$1),FALSE),0),"")</f>
        <v>0</v>
      </c>
      <c r="L230" t="str">
        <f>IFERROR(VLOOKUP($D230,素材!$1:$1016,COLUMN($F$1),FALSE),"")</f>
        <v>氷</v>
      </c>
      <c r="M230">
        <f>IFERROR(VLOOKUP($C230,装備品!$1:$998,COLUMN(AA$1),FALSE)*VLOOKUP($D230,素材!$1:$1016,COLUMN($G$1),FALSE),"")</f>
        <v>87.5</v>
      </c>
      <c r="N230">
        <f>IFERROR(VLOOKUP($C230,装備品!$1:$998,COLUMN(I$1),FALSE),"")</f>
        <v>0</v>
      </c>
      <c r="O230" s="23">
        <f>IFERROR((VLOOKUP($C230,装備品!$1:$998,COLUMN(K$1),FALSE)+VLOOKUP($D230,素材!$1:$1016,COLUMN(H$1),FALSE))*100+IFERROR(VLOOKUP($CI230,付与!$1:$1167,COLUMN(O$1),FALSE),0),"")</f>
        <v>0</v>
      </c>
      <c r="P230" s="23">
        <f>IFERROR((VLOOKUP($C230,装備品!$1:$998,COLUMN(L$1),FALSE)+VLOOKUP($D230,素材!$1:$1016,COLUMN(I$1),FALSE))*100+IFERROR(VLOOKUP($CI230,付与!$1:$1167,COLUMN(P$1),FALSE),0),"")</f>
        <v>0</v>
      </c>
      <c r="Q230">
        <f>IFERROR(ROUNDUP(VLOOKUP($C230,装備品!$1:$998,COLUMN(M$1),FALSE)*(VLOOKUP($D230,素材!$1:$1002,COLUMN(D$1),FALSE)/100),1),"")</f>
        <v>-7.5</v>
      </c>
      <c r="R230">
        <f>IFERROR(ROUNDUP(VLOOKUP($C230,装備品!$1:$998,COLUMN(N$1),FALSE)*(VLOOKUP($D230,素材!$1:$1002,COLUMN(D$1),FALSE)/100),1),"")</f>
        <v>0</v>
      </c>
      <c r="S230">
        <f>IFERROR(VLOOKUP($C230,装備品!$1:$998,COLUMN(P$1),FALSE),"")</f>
        <v>-15</v>
      </c>
      <c r="T230">
        <f>IFERROR(VLOOKUP($C230,装備品!$1:$998,COLUMN(Q$1),FALSE),"")</f>
        <v>0</v>
      </c>
      <c r="U230">
        <f>IFERROR(VLOOKUP($C230,装備品!$1:$998,COLUMN(R$1),FALSE),"")</f>
        <v>0</v>
      </c>
      <c r="V230">
        <f>IFERROR(VLOOKUP($C230,装備品!$1:$998,COLUMN(Q$1),FALSE),"")</f>
        <v>0</v>
      </c>
      <c r="W230">
        <f>IFERROR(VLOOKUP($C230,装備品!$1:$998,COLUMN(T$1),FALSE),"")</f>
        <v>0.5</v>
      </c>
      <c r="Y230">
        <f>IFERROR(VLOOKUP($C230,装備品!$1:$998,COLUMN(U$1),FALSE),"")</f>
        <v>0</v>
      </c>
      <c r="Z230">
        <f>IFERROR(ROUNDUP(VLOOKUP($C230,装備品!$1:$998,COLUMN(O$1),FALSE)*VLOOKUP($D230,素材!$1:$1016,COLUMN(E$1),FALSE),1),"")</f>
        <v>0</v>
      </c>
      <c r="AA230">
        <f>IF(ISNUMBER(SEARCH(SUBSTITUTE(AA$1,RIGHT(AA$1,2),""),VLOOKUP($D230,素材!$1:$1016,COLUMN($F$1),FALSE))),VLOOKUP($C230,装備品!$1:$998,COLUMN($O$1),FALSE)*VLOOKUP($D230,素材!$1:$1016,COLUMN($E$1),FALSE)/(LEN(VLOOKUP($D230,素材!$1:$1016,COLUMN($F$1),FALSE))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B230">
        <f>IF(ISNUMBER(SEARCH(SUBSTITUTE(AB$1,RIGHT(AB$1,2),""),VLOOKUP($D230,素材!$1:$1016,COLUMN($F$1),FALSE))),VLOOKUP($C230,装備品!$1:$998,COLUMN($O$1),FALSE)*VLOOKUP($D230,素材!$1:$1016,COLUMN($E$1),FALSE)/(LEN(VLOOKUP($D230,素材!$1:$1016,COLUMN($F$1),FALSE))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C230">
        <f>IF(ISNUMBER(SEARCH(SUBSTITUTE(AC$1,RIGHT(AC$1,2),""),VLOOKUP($D230,素材!$1:$1016,COLUMN($F$1),FALSE))),VLOOKUP($C230,装備品!$1:$998,COLUMN($O$1),FALSE)*VLOOKUP($D230,素材!$1:$1016,COLUMN($E$1),FALSE)/(LEN(VLOOKUP($D230,素材!$1:$1016,COLUMN($F$1),FALSE))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D230">
        <f>IF(ISNUMBER(SEARCH(SUBSTITUTE(AD$1,RIGHT(AD$1,2),""),VLOOKUP($D230,素材!$1:$1016,COLUMN($F$1),FALSE))),VLOOKUP($C230,装備品!$1:$998,COLUMN($O$1),FALSE)*VLOOKUP($D230,素材!$1:$1016,COLUMN($E$1),FALSE)/(LEN(VLOOKUP($D230,素材!$1:$1016,COLUMN($F$1),FALSE))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E230">
        <f>IF(ISNUMBER(SEARCH(SUBSTITUTE(AE$1,RIGHT(AE$1,2),""),VLOOKUP($D230,素材!$1:$1016,COLUMN($F$1),FALSE))),VLOOKUP($C230,装備品!$1:$998,COLUMN($O$1),FALSE)*VLOOKUP($D230,素材!$1:$1016,COLUMN($E$1),FALSE)/(LEN(VLOOKUP($D230,素材!$1:$1016,COLUMN($F$1),FALSE))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F230">
        <f>IF(ISNUMBER(SEARCH(SUBSTITUTE(AF$1,RIGHT(AF$1,2),""),VLOOKUP($D230,素材!$1:$1016,COLUMN($F$1),FALSE))),VLOOKUP($C230,装備品!$1:$998,COLUMN($O$1),FALSE)*VLOOKUP($D230,素材!$1:$1016,COLUMN($E$1),FALSE)/(LEN(VLOOKUP($D230,素材!$1:$1016,COLUMN($F$1),FALSE))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G230">
        <f>IF(ISNUMBER(SEARCH(SUBSTITUTE(AG$1,RIGHT(AG$1,2),""),VLOOKUP($D230,素材!$1:$1016,COLUMN($F$1),FALSE))),VLOOKUP($C230,装備品!$1:$998,COLUMN($O$1),FALSE)*VLOOKUP($D230,素材!$1:$1016,COLUMN($E$1),FALSE)/(LEN(VLOOKUP($D230,素材!$1:$1016,COLUMN($F$1),FALSE))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H230">
        <f>IF(ISNUMBER(SEARCH(SUBSTITUTE(AH$1,RIGHT(AH$1,2),""),VLOOKUP($D230,素材!$1:$1016,COLUMN($F$1),FALSE))),VLOOKUP($C230,装備品!$1:$998,COLUMN($O$1),FALSE)*VLOOKUP($D230,素材!$1:$1016,COLUMN($E$1),FALSE)/(LEN(VLOOKUP($D230,素材!$1:$1016,COLUMN($F$1),FALSE))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I230">
        <f>IF(ISNUMBER(SEARCH(SUBSTITUTE(AI$1,RIGHT(AI$1,2),""),VLOOKUP($D230,素材!$1:$1016,COLUMN($F$1),FALSE))),VLOOKUP($C230,装備品!$1:$998,COLUMN($O$1),FALSE)*VLOOKUP($D230,素材!$1:$1016,COLUMN($E$1),FALSE)/(LEN(VLOOKUP($D230,素材!$1:$1016,COLUMN($F$1),FALSE))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J230">
        <f>IF(ISNUMBER(SEARCH(SUBSTITUTE(AJ$1,RIGHT(AJ$1,2),""),VLOOKUP($D230,素材!$1:$1016,COLUMN($F$1),FALSE))),VLOOKUP($C230,装備品!$1:$998,COLUMN($O$1),FALSE)*VLOOKUP($D230,素材!$1:$1016,COLUMN($E$1),FALSE)/(LEN(VLOOKUP($D230,素材!$1:$1016,COLUMN($F$1),FALSE))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K230">
        <f>IF(ISNUMBER(SEARCH(SUBSTITUTE(AK$1,RIGHT(AK$1,2),""),VLOOKUP($D230,素材!$1:$1016,COLUMN($F$1),FALSE))),VLOOKUP($C230,装備品!$1:$998,COLUMN($O$1),FALSE)*VLOOKUP($D230,素材!$1:$1016,COLUMN($E$1),FALSE)/(LEN(VLOOKUP($D230,素材!$1:$1016,COLUMN($F$1),FALSE))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L230">
        <f>IF(ISNUMBER(SEARCH(SUBSTITUTE(AL$1,RIGHT(AL$1,2),""),VLOOKUP($D230,素材!$1:$1016,COLUMN($F$1),FALSE))),VLOOKUP($C230,装備品!$1:$998,COLUMN($O$1),FALSE)*VLOOKUP($D230,素材!$1:$1016,COLUMN($E$1),FALSE)/(LEN(VLOOKUP($D230,素材!$1:$1016,COLUMN($F$1),FALSE))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M230">
        <f>IF(ISNUMBER(SEARCH(SUBSTITUTE(AM$1,RIGHT(AM$1,2),""),VLOOKUP($D230,素材!$1:$1016,COLUMN($F$1),FALSE))),VLOOKUP($C230,装備品!$1:$998,COLUMN($O$1),FALSE)*VLOOKUP($D230,素材!$1:$1016,COLUMN($E$1),FALSE)/(LEN(VLOOKUP($D230,素材!$1:$1016,COLUMN($F$1),FALSE))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N230">
        <f>IF(ISNUMBER(SEARCH(SUBSTITUTE(AN$1,RIGHT(AN$1,2),""),VLOOKUP($D230,素材!$1:$1016,COLUMN($F$1),FALSE))),VLOOKUP($C230,装備品!$1:$998,COLUMN($O$1),FALSE)*VLOOKUP($D230,素材!$1:$1016,COLUMN($E$1),FALSE)/(LEN(VLOOKUP($D230,素材!$1:$1016,COLUMN($F$1),FALSE))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O230">
        <f>IF(ISNUMBER(SEARCH(SUBSTITUTE(AO$1,RIGHT(AO$1,2),""),VLOOKUP($D230,素材!$1:$1016,COLUMN($F$1),FALSE))),VLOOKUP($C230,装備品!$1:$998,COLUMN($O$1),FALSE)*VLOOKUP($D230,素材!$1:$1016,COLUMN($E$1),FALSE)/(LEN(VLOOKUP($D230,素材!$1:$1016,COLUMN($F$1),FALSE))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P230">
        <f>IF(ISNUMBER(SEARCH(SUBSTITUTE(AP$1,RIGHT(AP$1,2),""),VLOOKUP($D230,素材!$1:$1016,COLUMN($F$1),FALSE))),VLOOKUP($C230,装備品!$1:$998,COLUMN($O$1),FALSE)*VLOOKUP($D230,素材!$1:$1016,COLUMN($E$1),FALSE)/(LEN(VLOOKUP($D230,素材!$1:$1016,COLUMN($F$1),FALSE))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Q230">
        <f>IF(ISNUMBER(SEARCH(SUBSTITUTE(AQ$1,RIGHT(AQ$1,2),""),VLOOKUP($D230,素材!$1:$1016,COLUMN($F$1),FALSE))),VLOOKUP($C230,装備品!$1:$998,COLUMN($O$1),FALSE)*VLOOKUP($D230,素材!$1:$1016,COLUMN($E$1),FALSE)/(LEN(VLOOKUP($D230,素材!$1:$1016,COLUMN($F$1),FALSE))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R230">
        <f>IF(ISNUMBER(SEARCH(SUBSTITUTE(AR$1,RIGHT(AR$1,2),""),VLOOKUP($D230,素材!$1:$1016,COLUMN($F$1),FALSE))),VLOOKUP($C230,装備品!$1:$998,COLUMN($O$1),FALSE)*VLOOKUP($D230,素材!$1:$1016,COLUMN($E$1),FALSE)/(LEN(VLOOKUP($D230,素材!$1:$1016,COLUMN($F$1),FALSE))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S230">
        <f>IF(ISNUMBER(SEARCH(SUBSTITUTE(AS$1,RIGHT(AS$1,2),""),VLOOKUP($D230,素材!$1:$1016,COLUMN($F$1),FALSE))),VLOOKUP($C230,装備品!$1:$998,COLUMN($O$1),FALSE)*VLOOKUP($D230,素材!$1:$1016,COLUMN($E$1),FALSE)/(LEN(VLOOKUP($D230,素材!$1:$1016,COLUMN($F$1),FALSE))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T230">
        <f>IF(ISNUMBER(SEARCH(SUBSTITUTE(AT$1,RIGHT(AT$1,2),""),VLOOKUP($D230,素材!$1:$1016,COLUMN($F$1),FALSE))),VLOOKUP($C230,装備品!$1:$998,COLUMN($O$1),FALSE)*VLOOKUP($D230,素材!$1:$1016,COLUMN($E$1),FALSE)/(LEN(VLOOKUP($D230,素材!$1:$1016,COLUMN($F$1),FALSE))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U230">
        <f>IF(ISNUMBER(SEARCH(SUBSTITUTE(AU$1,RIGHT(AU$1,2),""),VLOOKUP($D230,素材!$1:$1016,COLUMN($F$1),FALSE))),VLOOKUP($C230,装備品!$1:$998,COLUMN($O$1),FALSE)*VLOOKUP($D230,素材!$1:$1016,COLUMN($E$1),FALSE)/(LEN(VLOOKUP($D230,素材!$1:$1016,COLUMN($F$1),FALSE))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V230">
        <f>IF(ISNUMBER(SEARCH(SUBSTITUTE(AV$1,RIGHT(AV$1,2),""),VLOOKUP($D230,素材!$1:$1016,COLUMN($F$1),FALSE))),VLOOKUP($C230,装備品!$1:$998,COLUMN($O$1),FALSE)*VLOOKUP($D230,素材!$1:$1016,COLUMN($E$1),FALSE)/(LEN(VLOOKUP($D230,素材!$1:$1016,COLUMN($F$1),FALSE))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W230">
        <f>IF(ISNUMBER(SEARCH(SUBSTITUTE(AW$1,RIGHT(AW$1,2),""),VLOOKUP($D230,素材!$1:$1016,COLUMN($F$1),FALSE))),VLOOKUP($C230,装備品!$1:$998,COLUMN($O$1),FALSE)*VLOOKUP($D230,素材!$1:$1016,COLUMN($E$1),FALSE)/(LEN(VLOOKUP($D230,素材!$1:$1016,COLUMN($F$1),FALSE))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X230">
        <f>IF(ISNUMBER(SEARCH(SUBSTITUTE(AX$1,RIGHT(AX$1,2),""),VLOOKUP($D230,素材!$1:$1016,COLUMN($F$1),FALSE))),VLOOKUP($C230,装備品!$1:$998,COLUMN($O$1),FALSE)*VLOOKUP($D230,素材!$1:$1016,COLUMN($E$1),FALSE)/(LEN(VLOOKUP($D230,素材!$1:$1016,COLUMN($F$1),FALSE))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Y230">
        <f>IF(ISNUMBER(SEARCH(SUBSTITUTE(AY$1,RIGHT(AY$1,2),""),VLOOKUP($D230,素材!$1:$1016,COLUMN($F$1),FALSE))),VLOOKUP($C230,装備品!$1:$998,COLUMN($O$1),FALSE)*VLOOKUP($D230,素材!$1:$1016,COLUMN($E$1),FALSE)/(LEN(VLOOKUP($D230,素材!$1:$1016,COLUMN($F$1),FALSE))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Z230">
        <f>IF(ISNUMBER(SEARCH(SUBSTITUTE(AZ$1,RIGHT(AZ$1,2),""),VLOOKUP($D230,素材!$1:$1016,COLUMN($F$1),FALSE))),VLOOKUP($C230,装備品!$1:$998,COLUMN($O$1),FALSE)*VLOOKUP($D230,素材!$1:$1016,COLUMN($E$1),FALSE)/(LEN(VLOOKUP($D230,素材!$1:$1016,COLUMN($F$1),FALSE))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BA230">
        <f>IF(ISNUMBER(SEARCH(SUBSTITUTE(BA$1,RIGHT(BA$1,2),""),VLOOKUP($D230,素材!$1:$1016,COLUMN($F$1),FALSE))),VLOOKUP($C230,装備品!$1:$998,COLUMN($O$1),FALSE)*VLOOKUP($D230,素材!$1:$1016,COLUMN($E$1),FALSE)/(LEN(VLOOKUP($D230,素材!$1:$1016,COLUMN($F$1),FALSE))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BB230">
        <f>IF(ISNUMBER(SEARCH(SUBSTITUTE(BB$1,RIGHT(BB$1,2),""),VLOOKUP($D230,素材!$1:$1016,COLUMN($F$1),FALSE))),VLOOKUP($C230,装備品!$1:$998,COLUMN($O$1),FALSE)*VLOOKUP($D230,素材!$1:$1016,COLUMN($E$1),FALSE)/(LEN(VLOOKUP($D230,素材!$1:$1016,COLUMN($F$1),FALSE))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BC230">
        <f>IF(ISNUMBER(SEARCH(SUBSTITUTE(BC$1,RIGHT(BC$1,2),""),VLOOKUP($D230,素材!$1:$1016,COLUMN($F$1),FALSE))),VLOOKUP($C230,装備品!$1:$998,COLUMN($O$1),FALSE)*VLOOKUP($D230,素材!$1:$1016,COLUMN($E$1),FALSE)/(LEN(VLOOKUP($D230,素材!$1:$1016,COLUMN($F$1),FALSE))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BD230">
        <f>IF(ISNUMBER(SEARCH(SUBSTITUTE(BD$1,RIGHT(BD$1,2),""),VLOOKUP($D230,素材!$1:$1016,COLUMN($F$1),FALSE))),VLOOKUP($C230,装備品!$1:$998,COLUMN($O$1),FALSE)*VLOOKUP($D230,素材!$1:$1016,COLUMN($E$1),FALSE)/(LEN(VLOOKUP($D230,素材!$1:$1016,COLUMN($F$1),FALSE))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BE230">
        <f>IF(ISNUMBER(SEARCH(SUBSTITUTE(BE$1,RIGHT(BE$1,2),""),VLOOKUP($D230,素材!$1:$1016,COLUMN($F$1),FALSE))),VLOOKUP($C230,装備品!$1:$998,COLUMN($O$1),FALSE)*VLOOKUP($D230,素材!$1:$1016,COLUMN($E$1),FALSE)/(LEN(VLOOKUP($D230,素材!$1:$1016,COLUMN($F$1),FALSE))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CL230">
        <f t="shared" si="35"/>
        <v>0</v>
      </c>
      <c r="CM230" s="22" t="str">
        <f t="shared" si="36"/>
        <v>体.webp</v>
      </c>
      <c r="CN230">
        <f>IFERROR(VLOOKUP($C230,装備品!$1:$998,COLUMN(V$1),FALSE)*VLOOKUP($D230,素材!$1:$1016,COLUMN(N$1),FALSE)+IF(CI230="",0,VLOOKUP($CI230,付与!$1:$1176,COLUMN($CK$1),FALSE)),"")</f>
        <v>0</v>
      </c>
      <c r="CO230">
        <f>VLOOKUP(D230,素材!$A:$O,COLUMN(素材!O$1),FALSE)</f>
        <v>0</v>
      </c>
      <c r="CP230" t="str">
        <f>VLOOKUP(C230,装備品!$A:$AB,COLUMN(装備品!AB$1),FALSE)</f>
        <v>HP 物理 魔法 体幹 出血 疲労 Cr</v>
      </c>
      <c r="CR230" t="str">
        <f t="shared" si="37"/>
        <v>e_230</v>
      </c>
      <c r="CS230">
        <f t="shared" si="38"/>
        <v>0</v>
      </c>
    </row>
    <row r="231" spans="1:97" outlineLevel="1" x14ac:dyDescent="0.4">
      <c r="A231" t="str">
        <f t="shared" si="39"/>
        <v>冷気鉄の靴</v>
      </c>
      <c r="B231" t="str">
        <f>IFERROR(VLOOKUP($D231,素材!$1:$1016,COLUMN($B$1),FALSE)&amp;"・"&amp;VLOOKUP($C231,装備品!$1:$998,COLUMN(B$1),FALSE),"")</f>
        <v>ドゥララン・ブーツ</v>
      </c>
      <c r="C231" t="s">
        <v>205</v>
      </c>
      <c r="D231" s="24" t="s">
        <v>242</v>
      </c>
      <c r="E231" t="str">
        <f>IFERROR(VLOOKUP(C231,装備品!$1:$998,COLUMN(C$1),FALSE),"")</f>
        <v>足</v>
      </c>
      <c r="F231">
        <f>IFERROR(ROUNDDOWN((VLOOKUP($C231,装備品!$1:$998,COLUMN(D$1),FALSE)+IFERROR(VLOOKUP($CI231,付与!$1:$1167,COLUMN(F$1),FALSE),0))*VLOOKUP($D231,素材!$1:$1016,COLUMN(D$1),FALSE),0),"")</f>
        <v>0</v>
      </c>
      <c r="G231">
        <f>IFERROR(ROUNDDOWN((VLOOKUP($C231,装備品!$1:$998,COLUMN(E$1),FALSE)+IFERROR(VLOOKUP($CI231,付与!$1:$1167,COLUMN(G$1),FALSE),0))*VLOOKUP($D231,素材!$1:$1016,COLUMN($E$1),FALSE),0),"")</f>
        <v>0</v>
      </c>
      <c r="H231">
        <f>IFERROR(ROUNDDOWN((VLOOKUP($C231,装備品!$1:$998,COLUMN(F$1),FALSE)+IFERROR(VLOOKUP($CI231,付与!$1:$1167,COLUMN(H$1),FALSE),0))*VLOOKUP($D231,素材!$1:$1016,COLUMN($E$1),FALSE),0),"")</f>
        <v>0</v>
      </c>
      <c r="I231">
        <f>IFERROR(ROUNDDOWN((VLOOKUP($C231,装備品!$1:$998,COLUMN(G$1),FALSE)+IFERROR(VLOOKUP($CI231,付与!$1:$1167,COLUMN(I$1),FALSE),0))*VLOOKUP($D231,素材!$1:$1016,COLUMN($E$1),FALSE),0),"")</f>
        <v>20</v>
      </c>
      <c r="J231">
        <f>IFERROR(ROUNDDOWN((VLOOKUP($C231,装備品!$1:$998,COLUMN(H$1),FALSE)+IFERROR(VLOOKUP($CI231,付与!$1:$1167,COLUMN(J$1),FALSE),0))*VLOOKUP($D231,素材!$1:$1016,COLUMN($E$1),FALSE),0),"")</f>
        <v>0</v>
      </c>
      <c r="K231">
        <f>IFERROR(ROUNDDOWN((VLOOKUP($C231,装備品!$1:$998,COLUMN(I$1),FALSE)+IFERROR(VLOOKUP($CI231,付与!$1:$1167,COLUMN(K$1),FALSE),0))*VLOOKUP($D231,素材!$1:$1016,COLUMN($E$1),FALSE),0),"")</f>
        <v>0</v>
      </c>
      <c r="L231" t="str">
        <f>IFERROR(VLOOKUP($D231,素材!$1:$1016,COLUMN($F$1),FALSE),"")</f>
        <v>氷</v>
      </c>
      <c r="M231">
        <f>IFERROR(VLOOKUP($C231,装備品!$1:$998,COLUMN(AA$1),FALSE)*VLOOKUP($D231,素材!$1:$1016,COLUMN($G$1),FALSE),"")</f>
        <v>35</v>
      </c>
      <c r="N231">
        <f>IFERROR(VLOOKUP($C231,装備品!$1:$998,COLUMN(I$1),FALSE),"")</f>
        <v>0</v>
      </c>
      <c r="O231" s="23">
        <f>IFERROR((VLOOKUP($C231,装備品!$1:$998,COLUMN(K$1),FALSE)+VLOOKUP($D231,素材!$1:$1016,COLUMN(H$1),FALSE))*100+IFERROR(VLOOKUP($CI231,付与!$1:$1167,COLUMN(O$1),FALSE),0),"")</f>
        <v>10</v>
      </c>
      <c r="P231" s="23">
        <f>IFERROR((VLOOKUP($C231,装備品!$1:$998,COLUMN(L$1),FALSE)+VLOOKUP($D231,素材!$1:$1016,COLUMN(I$1),FALSE))*100+IFERROR(VLOOKUP($CI231,付与!$1:$1167,COLUMN(P$1),FALSE),0),"")</f>
        <v>150</v>
      </c>
      <c r="Q231">
        <f>IFERROR(ROUNDUP(VLOOKUP($C231,装備品!$1:$998,COLUMN(M$1),FALSE)*(VLOOKUP($D231,素材!$1:$1002,COLUMN(D$1),FALSE)/100),1),"")</f>
        <v>0</v>
      </c>
      <c r="R231">
        <f>IFERROR(ROUNDUP(VLOOKUP($C231,装備品!$1:$998,COLUMN(N$1),FALSE)*(VLOOKUP($D231,素材!$1:$1002,COLUMN(D$1),FALSE)/100),1),"")</f>
        <v>0</v>
      </c>
      <c r="S231">
        <f>IFERROR(VLOOKUP($C231,装備品!$1:$998,COLUMN(P$1),FALSE),"")</f>
        <v>0</v>
      </c>
      <c r="T231">
        <f>IFERROR(VLOOKUP($C231,装備品!$1:$998,COLUMN(Q$1),FALSE),"")</f>
        <v>0</v>
      </c>
      <c r="U231">
        <f>IFERROR(VLOOKUP($C231,装備品!$1:$998,COLUMN(R$1),FALSE),"")</f>
        <v>0</v>
      </c>
      <c r="V231">
        <f>IFERROR(VLOOKUP($C231,装備品!$1:$998,COLUMN(Q$1),FALSE),"")</f>
        <v>0</v>
      </c>
      <c r="W231">
        <f>IFERROR(VLOOKUP($C231,装備品!$1:$998,COLUMN(T$1),FALSE),"")</f>
        <v>0.15</v>
      </c>
      <c r="Y231">
        <f>IFERROR(VLOOKUP($C231,装備品!$1:$998,COLUMN(U$1),FALSE),"")</f>
        <v>0</v>
      </c>
      <c r="Z231">
        <f>IFERROR(ROUNDUP(VLOOKUP($C231,装備品!$1:$998,COLUMN(O$1),FALSE)*VLOOKUP($D231,素材!$1:$1016,COLUMN(E$1),FALSE),1),"")</f>
        <v>0</v>
      </c>
      <c r="AA231">
        <f>IF(ISNUMBER(SEARCH(SUBSTITUTE(AA$1,RIGHT(AA$1,2),""),VLOOKUP($D231,素材!$1:$1016,COLUMN($F$1),FALSE))),VLOOKUP($C231,装備品!$1:$998,COLUMN($O$1),FALSE)*VLOOKUP($D231,素材!$1:$1016,COLUMN($E$1),FALSE)/(LEN(VLOOKUP($D231,素材!$1:$1016,COLUMN($F$1),FALSE))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B231">
        <f>IF(ISNUMBER(SEARCH(SUBSTITUTE(AB$1,RIGHT(AB$1,2),""),VLOOKUP($D231,素材!$1:$1016,COLUMN($F$1),FALSE))),VLOOKUP($C231,装備品!$1:$998,COLUMN($O$1),FALSE)*VLOOKUP($D231,素材!$1:$1016,COLUMN($E$1),FALSE)/(LEN(VLOOKUP($D231,素材!$1:$1016,COLUMN($F$1),FALSE))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C231">
        <f>IF(ISNUMBER(SEARCH(SUBSTITUTE(AC$1,RIGHT(AC$1,2),""),VLOOKUP($D231,素材!$1:$1016,COLUMN($F$1),FALSE))),VLOOKUP($C231,装備品!$1:$998,COLUMN($O$1),FALSE)*VLOOKUP($D231,素材!$1:$1016,COLUMN($E$1),FALSE)/(LEN(VLOOKUP($D231,素材!$1:$1016,COLUMN($F$1),FALSE))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D231">
        <f>IF(ISNUMBER(SEARCH(SUBSTITUTE(AD$1,RIGHT(AD$1,2),""),VLOOKUP($D231,素材!$1:$1016,COLUMN($F$1),FALSE))),VLOOKUP($C231,装備品!$1:$998,COLUMN($O$1),FALSE)*VLOOKUP($D231,素材!$1:$1016,COLUMN($E$1),FALSE)/(LEN(VLOOKUP($D231,素材!$1:$1016,COLUMN($F$1),FALSE))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E231">
        <f>IF(ISNUMBER(SEARCH(SUBSTITUTE(AE$1,RIGHT(AE$1,2),""),VLOOKUP($D231,素材!$1:$1016,COLUMN($F$1),FALSE))),VLOOKUP($C231,装備品!$1:$998,COLUMN($O$1),FALSE)*VLOOKUP($D231,素材!$1:$1016,COLUMN($E$1),FALSE)/(LEN(VLOOKUP($D231,素材!$1:$1016,COLUMN($F$1),FALSE))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F231">
        <f>IF(ISNUMBER(SEARCH(SUBSTITUTE(AF$1,RIGHT(AF$1,2),""),VLOOKUP($D231,素材!$1:$1016,COLUMN($F$1),FALSE))),VLOOKUP($C231,装備品!$1:$998,COLUMN($O$1),FALSE)*VLOOKUP($D231,素材!$1:$1016,COLUMN($E$1),FALSE)/(LEN(VLOOKUP($D231,素材!$1:$1016,COLUMN($F$1),FALSE))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G231">
        <f>IF(ISNUMBER(SEARCH(SUBSTITUTE(AG$1,RIGHT(AG$1,2),""),VLOOKUP($D231,素材!$1:$1016,COLUMN($F$1),FALSE))),VLOOKUP($C231,装備品!$1:$998,COLUMN($O$1),FALSE)*VLOOKUP($D231,素材!$1:$1016,COLUMN($E$1),FALSE)/(LEN(VLOOKUP($D231,素材!$1:$1016,COLUMN($F$1),FALSE))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H231">
        <f>IF(ISNUMBER(SEARCH(SUBSTITUTE(AH$1,RIGHT(AH$1,2),""),VLOOKUP($D231,素材!$1:$1016,COLUMN($F$1),FALSE))),VLOOKUP($C231,装備品!$1:$998,COLUMN($O$1),FALSE)*VLOOKUP($D231,素材!$1:$1016,COLUMN($E$1),FALSE)/(LEN(VLOOKUP($D231,素材!$1:$1016,COLUMN($F$1),FALSE))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I231">
        <f>IF(ISNUMBER(SEARCH(SUBSTITUTE(AI$1,RIGHT(AI$1,2),""),VLOOKUP($D231,素材!$1:$1016,COLUMN($F$1),FALSE))),VLOOKUP($C231,装備品!$1:$998,COLUMN($O$1),FALSE)*VLOOKUP($D231,素材!$1:$1016,COLUMN($E$1),FALSE)/(LEN(VLOOKUP($D231,素材!$1:$1016,COLUMN($F$1),FALSE))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J231">
        <f>IF(ISNUMBER(SEARCH(SUBSTITUTE(AJ$1,RIGHT(AJ$1,2),""),VLOOKUP($D231,素材!$1:$1016,COLUMN($F$1),FALSE))),VLOOKUP($C231,装備品!$1:$998,COLUMN($O$1),FALSE)*VLOOKUP($D231,素材!$1:$1016,COLUMN($E$1),FALSE)/(LEN(VLOOKUP($D231,素材!$1:$1016,COLUMN($F$1),FALSE))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K231">
        <f>IF(ISNUMBER(SEARCH(SUBSTITUTE(AK$1,RIGHT(AK$1,2),""),VLOOKUP($D231,素材!$1:$1016,COLUMN($F$1),FALSE))),VLOOKUP($C231,装備品!$1:$998,COLUMN($O$1),FALSE)*VLOOKUP($D231,素材!$1:$1016,COLUMN($E$1),FALSE)/(LEN(VLOOKUP($D231,素材!$1:$1016,COLUMN($F$1),FALSE))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L231">
        <f>IF(ISNUMBER(SEARCH(SUBSTITUTE(AL$1,RIGHT(AL$1,2),""),VLOOKUP($D231,素材!$1:$1016,COLUMN($F$1),FALSE))),VLOOKUP($C231,装備品!$1:$998,COLUMN($O$1),FALSE)*VLOOKUP($D231,素材!$1:$1016,COLUMN($E$1),FALSE)/(LEN(VLOOKUP($D231,素材!$1:$1016,COLUMN($F$1),FALSE))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M231">
        <f>IF(ISNUMBER(SEARCH(SUBSTITUTE(AM$1,RIGHT(AM$1,2),""),VLOOKUP($D231,素材!$1:$1016,COLUMN($F$1),FALSE))),VLOOKUP($C231,装備品!$1:$998,COLUMN($O$1),FALSE)*VLOOKUP($D231,素材!$1:$1016,COLUMN($E$1),FALSE)/(LEN(VLOOKUP($D231,素材!$1:$1016,COLUMN($F$1),FALSE))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N231">
        <f>IF(ISNUMBER(SEARCH(SUBSTITUTE(AN$1,RIGHT(AN$1,2),""),VLOOKUP($D231,素材!$1:$1016,COLUMN($F$1),FALSE))),VLOOKUP($C231,装備品!$1:$998,COLUMN($O$1),FALSE)*VLOOKUP($D231,素材!$1:$1016,COLUMN($E$1),FALSE)/(LEN(VLOOKUP($D231,素材!$1:$1016,COLUMN($F$1),FALSE))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O231">
        <f>IF(ISNUMBER(SEARCH(SUBSTITUTE(AO$1,RIGHT(AO$1,2),""),VLOOKUP($D231,素材!$1:$1016,COLUMN($F$1),FALSE))),VLOOKUP($C231,装備品!$1:$998,COLUMN($O$1),FALSE)*VLOOKUP($D231,素材!$1:$1016,COLUMN($E$1),FALSE)/(LEN(VLOOKUP($D231,素材!$1:$1016,COLUMN($F$1),FALSE))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P231">
        <f>IF(ISNUMBER(SEARCH(SUBSTITUTE(AP$1,RIGHT(AP$1,2),""),VLOOKUP($D231,素材!$1:$1016,COLUMN($F$1),FALSE))),VLOOKUP($C231,装備品!$1:$998,COLUMN($O$1),FALSE)*VLOOKUP($D231,素材!$1:$1016,COLUMN($E$1),FALSE)/(LEN(VLOOKUP($D231,素材!$1:$1016,COLUMN($F$1),FALSE))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Q231">
        <f>IF(ISNUMBER(SEARCH(SUBSTITUTE(AQ$1,RIGHT(AQ$1,2),""),VLOOKUP($D231,素材!$1:$1016,COLUMN($F$1),FALSE))),VLOOKUP($C231,装備品!$1:$998,COLUMN($O$1),FALSE)*VLOOKUP($D231,素材!$1:$1016,COLUMN($E$1),FALSE)/(LEN(VLOOKUP($D231,素材!$1:$1016,COLUMN($F$1),FALSE))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R231">
        <f>IF(ISNUMBER(SEARCH(SUBSTITUTE(AR$1,RIGHT(AR$1,2),""),VLOOKUP($D231,素材!$1:$1016,COLUMN($F$1),FALSE))),VLOOKUP($C231,装備品!$1:$998,COLUMN($O$1),FALSE)*VLOOKUP($D231,素材!$1:$1016,COLUMN($E$1),FALSE)/(LEN(VLOOKUP($D231,素材!$1:$1016,COLUMN($F$1),FALSE))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S231">
        <f>IF(ISNUMBER(SEARCH(SUBSTITUTE(AS$1,RIGHT(AS$1,2),""),VLOOKUP($D231,素材!$1:$1016,COLUMN($F$1),FALSE))),VLOOKUP($C231,装備品!$1:$998,COLUMN($O$1),FALSE)*VLOOKUP($D231,素材!$1:$1016,COLUMN($E$1),FALSE)/(LEN(VLOOKUP($D231,素材!$1:$1016,COLUMN($F$1),FALSE))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T231">
        <f>IF(ISNUMBER(SEARCH(SUBSTITUTE(AT$1,RIGHT(AT$1,2),""),VLOOKUP($D231,素材!$1:$1016,COLUMN($F$1),FALSE))),VLOOKUP($C231,装備品!$1:$998,COLUMN($O$1),FALSE)*VLOOKUP($D231,素材!$1:$1016,COLUMN($E$1),FALSE)/(LEN(VLOOKUP($D231,素材!$1:$1016,COLUMN($F$1),FALSE))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U231">
        <f>IF(ISNUMBER(SEARCH(SUBSTITUTE(AU$1,RIGHT(AU$1,2),""),VLOOKUP($D231,素材!$1:$1016,COLUMN($F$1),FALSE))),VLOOKUP($C231,装備品!$1:$998,COLUMN($O$1),FALSE)*VLOOKUP($D231,素材!$1:$1016,COLUMN($E$1),FALSE)/(LEN(VLOOKUP($D231,素材!$1:$1016,COLUMN($F$1),FALSE))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V231">
        <f>IF(ISNUMBER(SEARCH(SUBSTITUTE(AV$1,RIGHT(AV$1,2),""),VLOOKUP($D231,素材!$1:$1016,COLUMN($F$1),FALSE))),VLOOKUP($C231,装備品!$1:$998,COLUMN($O$1),FALSE)*VLOOKUP($D231,素材!$1:$1016,COLUMN($E$1),FALSE)/(LEN(VLOOKUP($D231,素材!$1:$1016,COLUMN($F$1),FALSE))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W231">
        <f>IF(ISNUMBER(SEARCH(SUBSTITUTE(AW$1,RIGHT(AW$1,2),""),VLOOKUP($D231,素材!$1:$1016,COLUMN($F$1),FALSE))),VLOOKUP($C231,装備品!$1:$998,COLUMN($O$1),FALSE)*VLOOKUP($D231,素材!$1:$1016,COLUMN($E$1),FALSE)/(LEN(VLOOKUP($D231,素材!$1:$1016,COLUMN($F$1),FALSE))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X231">
        <f>IF(ISNUMBER(SEARCH(SUBSTITUTE(AX$1,RIGHT(AX$1,2),""),VLOOKUP($D231,素材!$1:$1016,COLUMN($F$1),FALSE))),VLOOKUP($C231,装備品!$1:$998,COLUMN($O$1),FALSE)*VLOOKUP($D231,素材!$1:$1016,COLUMN($E$1),FALSE)/(LEN(VLOOKUP($D231,素材!$1:$1016,COLUMN($F$1),FALSE))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Y231">
        <f>IF(ISNUMBER(SEARCH(SUBSTITUTE(AY$1,RIGHT(AY$1,2),""),VLOOKUP($D231,素材!$1:$1016,COLUMN($F$1),FALSE))),VLOOKUP($C231,装備品!$1:$998,COLUMN($O$1),FALSE)*VLOOKUP($D231,素材!$1:$1016,COLUMN($E$1),FALSE)/(LEN(VLOOKUP($D231,素材!$1:$1016,COLUMN($F$1),FALSE))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Z231">
        <f>IF(ISNUMBER(SEARCH(SUBSTITUTE(AZ$1,RIGHT(AZ$1,2),""),VLOOKUP($D231,素材!$1:$1016,COLUMN($F$1),FALSE))),VLOOKUP($C231,装備品!$1:$998,COLUMN($O$1),FALSE)*VLOOKUP($D231,素材!$1:$1016,COLUMN($E$1),FALSE)/(LEN(VLOOKUP($D231,素材!$1:$1016,COLUMN($F$1),FALSE))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BA231">
        <f>IF(ISNUMBER(SEARCH(SUBSTITUTE(BA$1,RIGHT(BA$1,2),""),VLOOKUP($D231,素材!$1:$1016,COLUMN($F$1),FALSE))),VLOOKUP($C231,装備品!$1:$998,COLUMN($O$1),FALSE)*VLOOKUP($D231,素材!$1:$1016,COLUMN($E$1),FALSE)/(LEN(VLOOKUP($D231,素材!$1:$1016,COLUMN($F$1),FALSE))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BB231">
        <f>IF(ISNUMBER(SEARCH(SUBSTITUTE(BB$1,RIGHT(BB$1,2),""),VLOOKUP($D231,素材!$1:$1016,COLUMN($F$1),FALSE))),VLOOKUP($C231,装備品!$1:$998,COLUMN($O$1),FALSE)*VLOOKUP($D231,素材!$1:$1016,COLUMN($E$1),FALSE)/(LEN(VLOOKUP($D231,素材!$1:$1016,COLUMN($F$1),FALSE))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BC231">
        <f>IF(ISNUMBER(SEARCH(SUBSTITUTE(BC$1,RIGHT(BC$1,2),""),VLOOKUP($D231,素材!$1:$1016,COLUMN($F$1),FALSE))),VLOOKUP($C231,装備品!$1:$998,COLUMN($O$1),FALSE)*VLOOKUP($D231,素材!$1:$1016,COLUMN($E$1),FALSE)/(LEN(VLOOKUP($D231,素材!$1:$1016,COLUMN($F$1),FALSE))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BD231">
        <f>IF(ISNUMBER(SEARCH(SUBSTITUTE(BD$1,RIGHT(BD$1,2),""),VLOOKUP($D231,素材!$1:$1016,COLUMN($F$1),FALSE))),VLOOKUP($C231,装備品!$1:$998,COLUMN($O$1),FALSE)*VLOOKUP($D231,素材!$1:$1016,COLUMN($E$1),FALSE)/(LEN(VLOOKUP($D231,素材!$1:$1016,COLUMN($F$1),FALSE))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BE231">
        <f>IF(ISNUMBER(SEARCH(SUBSTITUTE(BE$1,RIGHT(BE$1,2),""),VLOOKUP($D231,素材!$1:$1016,COLUMN($F$1),FALSE))),VLOOKUP($C231,装備品!$1:$998,COLUMN($O$1),FALSE)*VLOOKUP($D231,素材!$1:$1016,COLUMN($E$1),FALSE)/(LEN(VLOOKUP($D231,素材!$1:$1016,COLUMN($F$1),FALSE))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CL231">
        <f t="shared" si="35"/>
        <v>20</v>
      </c>
      <c r="CM231" s="22" t="str">
        <f t="shared" si="36"/>
        <v>足.webp</v>
      </c>
      <c r="CN231">
        <f>IFERROR(VLOOKUP($C231,装備品!$1:$998,COLUMN(V$1),FALSE)*VLOOKUP($D231,素材!$1:$1016,COLUMN(N$1),FALSE)+IF(CI231="",0,VLOOKUP($CI231,付与!$1:$1176,COLUMN($CK$1),FALSE)),"")</f>
        <v>0</v>
      </c>
      <c r="CO231">
        <f>VLOOKUP(D231,素材!$A:$O,COLUMN(素材!O$1),FALSE)</f>
        <v>0</v>
      </c>
      <c r="CP231" t="str">
        <f>VLOOKUP(C231,装備品!$A:$AB,COLUMN(装備品!AB$1),FALSE)</f>
        <v>速度 隠密 軽業 体幹</v>
      </c>
      <c r="CR231" t="str">
        <f t="shared" si="37"/>
        <v>e_231</v>
      </c>
      <c r="CS231">
        <f t="shared" si="38"/>
        <v>0</v>
      </c>
    </row>
    <row r="232" spans="1:97" outlineLevel="1" x14ac:dyDescent="0.4">
      <c r="A232" t="str">
        <f t="shared" si="39"/>
        <v>熱鉄の短刀</v>
      </c>
      <c r="B232" t="str">
        <f>IFERROR(VLOOKUP($D232,素材!$1:$1016,COLUMN($B$1),FALSE)&amp;"・"&amp;VLOOKUP($C232,装備品!$1:$998,COLUMN(B$1),FALSE),"")</f>
        <v>ヒートスティール・ナイフ</v>
      </c>
      <c r="C232" s="24" t="s">
        <v>241</v>
      </c>
      <c r="D232" s="24" t="s">
        <v>204</v>
      </c>
      <c r="E232" t="str">
        <f>IFERROR(VLOOKUP(C232,装備品!$1:$998,COLUMN(C$1),FALSE),"")</f>
        <v>武器</v>
      </c>
      <c r="F232">
        <f>IFERROR(ROUNDDOWN((VLOOKUP($C232,装備品!$1:$998,COLUMN(D$1),FALSE)+IFERROR(VLOOKUP($CI232,付与!$1:$1167,COLUMN(F$1),FALSE),0))*VLOOKUP($D232,素材!$1:$1016,COLUMN(D$1),FALSE),0),"")</f>
        <v>100</v>
      </c>
      <c r="G232">
        <f>IFERROR(ROUNDDOWN((VLOOKUP($C232,装備品!$1:$998,COLUMN(E$1),FALSE)+IFERROR(VLOOKUP($CI232,付与!$1:$1167,COLUMN(G$1),FALSE),0))*VLOOKUP($D232,素材!$1:$1016,COLUMN($E$1),FALSE),0),"")</f>
        <v>10</v>
      </c>
      <c r="H232">
        <f>IFERROR(ROUNDDOWN((VLOOKUP($C232,装備品!$1:$998,COLUMN(F$1),FALSE)+IFERROR(VLOOKUP($CI232,付与!$1:$1167,COLUMN(H$1),FALSE),0))*VLOOKUP($D232,素材!$1:$1016,COLUMN($E$1),FALSE),0),"")</f>
        <v>8</v>
      </c>
      <c r="I232">
        <f>IFERROR(ROUNDDOWN((VLOOKUP($C232,装備品!$1:$998,COLUMN(G$1),FALSE)+IFERROR(VLOOKUP($CI232,付与!$1:$1167,COLUMN(I$1),FALSE),0))*VLOOKUP($D232,素材!$1:$1016,COLUMN($E$1),FALSE),0),"")</f>
        <v>2</v>
      </c>
      <c r="J232">
        <f>IFERROR(ROUNDDOWN((VLOOKUP($C232,装備品!$1:$998,COLUMN(H$1),FALSE)+IFERROR(VLOOKUP($CI232,付与!$1:$1167,COLUMN(J$1),FALSE),0))*VLOOKUP($D232,素材!$1:$1016,COLUMN($E$1),FALSE),0),"")</f>
        <v>13</v>
      </c>
      <c r="K232">
        <f>IFERROR(ROUNDDOWN((VLOOKUP($C232,装備品!$1:$998,COLUMN(I$1),FALSE)+IFERROR(VLOOKUP($CI232,付与!$1:$1167,COLUMN(K$1),FALSE),0))*VLOOKUP($D232,素材!$1:$1016,COLUMN($E$1),FALSE),0),"")</f>
        <v>0</v>
      </c>
      <c r="L232" t="str">
        <f>IFERROR(VLOOKUP($D232,素材!$1:$1016,COLUMN($F$1),FALSE),"")</f>
        <v>炎</v>
      </c>
      <c r="M232">
        <f>IFERROR(VLOOKUP($C232,装備品!$1:$998,COLUMN(AA$1),FALSE)*VLOOKUP($D232,素材!$1:$1016,COLUMN($G$1),FALSE),"")</f>
        <v>35</v>
      </c>
      <c r="N232">
        <f>IFERROR(VLOOKUP($C232,装備品!$1:$998,COLUMN(I$1),FALSE),"")</f>
        <v>0</v>
      </c>
      <c r="O232" s="23">
        <f>IFERROR((VLOOKUP($C232,装備品!$1:$998,COLUMN(K$1),FALSE)+VLOOKUP($D232,素材!$1:$1016,COLUMN(H$1),FALSE))*100+IFERROR(VLOOKUP($CI232,付与!$1:$1167,COLUMN(O$1),FALSE),0),"")</f>
        <v>10</v>
      </c>
      <c r="P232" s="23">
        <f>IFERROR((VLOOKUP($C232,装備品!$1:$998,COLUMN(L$1),FALSE)+VLOOKUP($D232,素材!$1:$1016,COLUMN(I$1),FALSE))*100+IFERROR(VLOOKUP($CI232,付与!$1:$1167,COLUMN(P$1),FALSE),0),"")</f>
        <v>175</v>
      </c>
      <c r="Q232">
        <f>IFERROR(ROUNDUP(VLOOKUP($C232,装備品!$1:$998,COLUMN(M$1),FALSE)*(VLOOKUP($D232,素材!$1:$1002,COLUMN(D$1),FALSE)/100),1),"")</f>
        <v>0</v>
      </c>
      <c r="R232">
        <f>IFERROR(ROUNDUP(VLOOKUP($C232,装備品!$1:$998,COLUMN(N$1),FALSE)*(VLOOKUP($D232,素材!$1:$1002,COLUMN(D$1),FALSE)/100),1),"")</f>
        <v>0</v>
      </c>
      <c r="S232">
        <f>IFERROR(VLOOKUP($C232,装備品!$1:$998,COLUMN(P$1),FALSE),"")</f>
        <v>0</v>
      </c>
      <c r="T232">
        <f>IFERROR(VLOOKUP($C232,装備品!$1:$998,COLUMN(Q$1),FALSE),"")</f>
        <v>0</v>
      </c>
      <c r="U232">
        <f>IFERROR(VLOOKUP($C232,装備品!$1:$998,COLUMN(R$1),FALSE),"")</f>
        <v>0</v>
      </c>
      <c r="V232">
        <f>IFERROR(VLOOKUP($C232,装備品!$1:$998,COLUMN(Q$1),FALSE),"")</f>
        <v>0</v>
      </c>
      <c r="W232">
        <f>IFERROR(VLOOKUP($C232,装備品!$1:$998,COLUMN(T$1),FALSE),"")</f>
        <v>0</v>
      </c>
      <c r="Y232">
        <f>IFERROR(VLOOKUP($C232,装備品!$1:$998,COLUMN(U$1),FALSE),"")</f>
        <v>0</v>
      </c>
      <c r="Z232">
        <f>IFERROR(ROUNDUP(VLOOKUP($C232,装備品!$1:$998,COLUMN(O$1),FALSE)*VLOOKUP($D232,素材!$1:$1016,COLUMN(E$1),FALSE),1),"")</f>
        <v>0</v>
      </c>
      <c r="AA232">
        <f>IF(ISNUMBER(SEARCH(SUBSTITUTE(AA$1,RIGHT(AA$1,2),""),VLOOKUP($D232,素材!$1:$1016,COLUMN($F$1),FALSE))),VLOOKUP($C232,装備品!$1:$998,COLUMN($O$1),FALSE)*VLOOKUP($D232,素材!$1:$1016,COLUMN($E$1),FALSE)/(LEN(VLOOKUP($D232,素材!$1:$1016,COLUMN($F$1),FALSE))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B232">
        <f>IF(ISNUMBER(SEARCH(SUBSTITUTE(AB$1,RIGHT(AB$1,2),""),VLOOKUP($D232,素材!$1:$1016,COLUMN($F$1),FALSE))),VLOOKUP($C232,装備品!$1:$998,COLUMN($O$1),FALSE)*VLOOKUP($D232,素材!$1:$1016,COLUMN($E$1),FALSE)/(LEN(VLOOKUP($D232,素材!$1:$1016,COLUMN($F$1),FALSE))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C232">
        <f>IF(ISNUMBER(SEARCH(SUBSTITUTE(AC$1,RIGHT(AC$1,2),""),VLOOKUP($D232,素材!$1:$1016,COLUMN($F$1),FALSE))),VLOOKUP($C232,装備品!$1:$998,COLUMN($O$1),FALSE)*VLOOKUP($D232,素材!$1:$1016,COLUMN($E$1),FALSE)/(LEN(VLOOKUP($D232,素材!$1:$1016,COLUMN($F$1),FALSE))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D232">
        <f>IF(ISNUMBER(SEARCH(SUBSTITUTE(AD$1,RIGHT(AD$1,2),""),VLOOKUP($D232,素材!$1:$1016,COLUMN($F$1),FALSE))),VLOOKUP($C232,装備品!$1:$998,COLUMN($O$1),FALSE)*VLOOKUP($D232,素材!$1:$1016,COLUMN($E$1),FALSE)/(LEN(VLOOKUP($D232,素材!$1:$1016,COLUMN($F$1),FALSE))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E232">
        <f>IF(ISNUMBER(SEARCH(SUBSTITUTE(AE$1,RIGHT(AE$1,2),""),VLOOKUP($D232,素材!$1:$1016,COLUMN($F$1),FALSE))),VLOOKUP($C232,装備品!$1:$998,COLUMN($O$1),FALSE)*VLOOKUP($D232,素材!$1:$1016,COLUMN($E$1),FALSE)/(LEN(VLOOKUP($D232,素材!$1:$1016,COLUMN($F$1),FALSE))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F232">
        <f>IF(ISNUMBER(SEARCH(SUBSTITUTE(AF$1,RIGHT(AF$1,2),""),VLOOKUP($D232,素材!$1:$1016,COLUMN($F$1),FALSE))),VLOOKUP($C232,装備品!$1:$998,COLUMN($O$1),FALSE)*VLOOKUP($D232,素材!$1:$1016,COLUMN($E$1),FALSE)/(LEN(VLOOKUP($D232,素材!$1:$1016,COLUMN($F$1),FALSE))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G232">
        <f>IF(ISNUMBER(SEARCH(SUBSTITUTE(AG$1,RIGHT(AG$1,2),""),VLOOKUP($D232,素材!$1:$1016,COLUMN($F$1),FALSE))),VLOOKUP($C232,装備品!$1:$998,COLUMN($O$1),FALSE)*VLOOKUP($D232,素材!$1:$1016,COLUMN($E$1),FALSE)/(LEN(VLOOKUP($D232,素材!$1:$1016,COLUMN($F$1),FALSE))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H232">
        <f>IF(ISNUMBER(SEARCH(SUBSTITUTE(AH$1,RIGHT(AH$1,2),""),VLOOKUP($D232,素材!$1:$1016,COLUMN($F$1),FALSE))),VLOOKUP($C232,装備品!$1:$998,COLUMN($O$1),FALSE)*VLOOKUP($D232,素材!$1:$1016,COLUMN($E$1),FALSE)/(LEN(VLOOKUP($D232,素材!$1:$1016,COLUMN($F$1),FALSE))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I232">
        <f>IF(ISNUMBER(SEARCH(SUBSTITUTE(AI$1,RIGHT(AI$1,2),""),VLOOKUP($D232,素材!$1:$1016,COLUMN($F$1),FALSE))),VLOOKUP($C232,装備品!$1:$998,COLUMN($O$1),FALSE)*VLOOKUP($D232,素材!$1:$1016,COLUMN($E$1),FALSE)/(LEN(VLOOKUP($D232,素材!$1:$1016,COLUMN($F$1),FALSE))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J232">
        <f>IF(ISNUMBER(SEARCH(SUBSTITUTE(AJ$1,RIGHT(AJ$1,2),""),VLOOKUP($D232,素材!$1:$1016,COLUMN($F$1),FALSE))),VLOOKUP($C232,装備品!$1:$998,COLUMN($O$1),FALSE)*VLOOKUP($D232,素材!$1:$1016,COLUMN($E$1),FALSE)/(LEN(VLOOKUP($D232,素材!$1:$1016,COLUMN($F$1),FALSE))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K232">
        <f>IF(ISNUMBER(SEARCH(SUBSTITUTE(AK$1,RIGHT(AK$1,2),""),VLOOKUP($D232,素材!$1:$1016,COLUMN($F$1),FALSE))),VLOOKUP($C232,装備品!$1:$998,COLUMN($O$1),FALSE)*VLOOKUP($D232,素材!$1:$1016,COLUMN($E$1),FALSE)/(LEN(VLOOKUP($D232,素材!$1:$1016,COLUMN($F$1),FALSE))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L232">
        <f>IF(ISNUMBER(SEARCH(SUBSTITUTE(AL$1,RIGHT(AL$1,2),""),VLOOKUP($D232,素材!$1:$1016,COLUMN($F$1),FALSE))),VLOOKUP($C232,装備品!$1:$998,COLUMN($O$1),FALSE)*VLOOKUP($D232,素材!$1:$1016,COLUMN($E$1),FALSE)/(LEN(VLOOKUP($D232,素材!$1:$1016,COLUMN($F$1),FALSE))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M232">
        <f>IF(ISNUMBER(SEARCH(SUBSTITUTE(AM$1,RIGHT(AM$1,2),""),VLOOKUP($D232,素材!$1:$1016,COLUMN($F$1),FALSE))),VLOOKUP($C232,装備品!$1:$998,COLUMN($O$1),FALSE)*VLOOKUP($D232,素材!$1:$1016,COLUMN($E$1),FALSE)/(LEN(VLOOKUP($D232,素材!$1:$1016,COLUMN($F$1),FALSE))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N232">
        <f>IF(ISNUMBER(SEARCH(SUBSTITUTE(AN$1,RIGHT(AN$1,2),""),VLOOKUP($D232,素材!$1:$1016,COLUMN($F$1),FALSE))),VLOOKUP($C232,装備品!$1:$998,COLUMN($O$1),FALSE)*VLOOKUP($D232,素材!$1:$1016,COLUMN($E$1),FALSE)/(LEN(VLOOKUP($D232,素材!$1:$1016,COLUMN($F$1),FALSE))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O232">
        <f>IF(ISNUMBER(SEARCH(SUBSTITUTE(AO$1,RIGHT(AO$1,2),""),VLOOKUP($D232,素材!$1:$1016,COLUMN($F$1),FALSE))),VLOOKUP($C232,装備品!$1:$998,COLUMN($O$1),FALSE)*VLOOKUP($D232,素材!$1:$1016,COLUMN($E$1),FALSE)/(LEN(VLOOKUP($D232,素材!$1:$1016,COLUMN($F$1),FALSE))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P232">
        <f>IF(ISNUMBER(SEARCH(SUBSTITUTE(AP$1,RIGHT(AP$1,2),""),VLOOKUP($D232,素材!$1:$1016,COLUMN($F$1),FALSE))),VLOOKUP($C232,装備品!$1:$998,COLUMN($O$1),FALSE)*VLOOKUP($D232,素材!$1:$1016,COLUMN($E$1),FALSE)/(LEN(VLOOKUP($D232,素材!$1:$1016,COLUMN($F$1),FALSE))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Q232">
        <f>IF(ISNUMBER(SEARCH(SUBSTITUTE(AQ$1,RIGHT(AQ$1,2),""),VLOOKUP($D232,素材!$1:$1016,COLUMN($F$1),FALSE))),VLOOKUP($C232,装備品!$1:$998,COLUMN($O$1),FALSE)*VLOOKUP($D232,素材!$1:$1016,COLUMN($E$1),FALSE)/(LEN(VLOOKUP($D232,素材!$1:$1016,COLUMN($F$1),FALSE))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R232">
        <f>IF(ISNUMBER(SEARCH(SUBSTITUTE(AR$1,RIGHT(AR$1,2),""),VLOOKUP($D232,素材!$1:$1016,COLUMN($F$1),FALSE))),VLOOKUP($C232,装備品!$1:$998,COLUMN($O$1),FALSE)*VLOOKUP($D232,素材!$1:$1016,COLUMN($E$1),FALSE)/(LEN(VLOOKUP($D232,素材!$1:$1016,COLUMN($F$1),FALSE))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S232">
        <f>IF(ISNUMBER(SEARCH(SUBSTITUTE(AS$1,RIGHT(AS$1,2),""),VLOOKUP($D232,素材!$1:$1016,COLUMN($F$1),FALSE))),VLOOKUP($C232,装備品!$1:$998,COLUMN($O$1),FALSE)*VLOOKUP($D232,素材!$1:$1016,COLUMN($E$1),FALSE)/(LEN(VLOOKUP($D232,素材!$1:$1016,COLUMN($F$1),FALSE))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T232">
        <f>IF(ISNUMBER(SEARCH(SUBSTITUTE(AT$1,RIGHT(AT$1,2),""),VLOOKUP($D232,素材!$1:$1016,COLUMN($F$1),FALSE))),VLOOKUP($C232,装備品!$1:$998,COLUMN($O$1),FALSE)*VLOOKUP($D232,素材!$1:$1016,COLUMN($E$1),FALSE)/(LEN(VLOOKUP($D232,素材!$1:$1016,COLUMN($F$1),FALSE))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U232">
        <f>IF(ISNUMBER(SEARCH(SUBSTITUTE(AU$1,RIGHT(AU$1,2),""),VLOOKUP($D232,素材!$1:$1016,COLUMN($F$1),FALSE))),VLOOKUP($C232,装備品!$1:$998,COLUMN($O$1),FALSE)*VLOOKUP($D232,素材!$1:$1016,COLUMN($E$1),FALSE)/(LEN(VLOOKUP($D232,素材!$1:$1016,COLUMN($F$1),FALSE))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V232">
        <f>IF(ISNUMBER(SEARCH(SUBSTITUTE(AV$1,RIGHT(AV$1,2),""),VLOOKUP($D232,素材!$1:$1016,COLUMN($F$1),FALSE))),VLOOKUP($C232,装備品!$1:$998,COLUMN($O$1),FALSE)*VLOOKUP($D232,素材!$1:$1016,COLUMN($E$1),FALSE)/(LEN(VLOOKUP($D232,素材!$1:$1016,COLUMN($F$1),FALSE))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W232">
        <f>IF(ISNUMBER(SEARCH(SUBSTITUTE(AW$1,RIGHT(AW$1,2),""),VLOOKUP($D232,素材!$1:$1016,COLUMN($F$1),FALSE))),VLOOKUP($C232,装備品!$1:$998,COLUMN($O$1),FALSE)*VLOOKUP($D232,素材!$1:$1016,COLUMN($E$1),FALSE)/(LEN(VLOOKUP($D232,素材!$1:$1016,COLUMN($F$1),FALSE))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X232">
        <f>IF(ISNUMBER(SEARCH(SUBSTITUTE(AX$1,RIGHT(AX$1,2),""),VLOOKUP($D232,素材!$1:$1016,COLUMN($F$1),FALSE))),VLOOKUP($C232,装備品!$1:$998,COLUMN($O$1),FALSE)*VLOOKUP($D232,素材!$1:$1016,COLUMN($E$1),FALSE)/(LEN(VLOOKUP($D232,素材!$1:$1016,COLUMN($F$1),FALSE))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Y232">
        <f>IF(ISNUMBER(SEARCH(SUBSTITUTE(AY$1,RIGHT(AY$1,2),""),VLOOKUP($D232,素材!$1:$1016,COLUMN($F$1),FALSE))),VLOOKUP($C232,装備品!$1:$998,COLUMN($O$1),FALSE)*VLOOKUP($D232,素材!$1:$1016,COLUMN($E$1),FALSE)/(LEN(VLOOKUP($D232,素材!$1:$1016,COLUMN($F$1),FALSE))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Z232">
        <f>IF(ISNUMBER(SEARCH(SUBSTITUTE(AZ$1,RIGHT(AZ$1,2),""),VLOOKUP($D232,素材!$1:$1016,COLUMN($F$1),FALSE))),VLOOKUP($C232,装備品!$1:$998,COLUMN($O$1),FALSE)*VLOOKUP($D232,素材!$1:$1016,COLUMN($E$1),FALSE)/(LEN(VLOOKUP($D232,素材!$1:$1016,COLUMN($F$1),FALSE))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BA232">
        <f>IF(ISNUMBER(SEARCH(SUBSTITUTE(BA$1,RIGHT(BA$1,2),""),VLOOKUP($D232,素材!$1:$1016,COLUMN($F$1),FALSE))),VLOOKUP($C232,装備品!$1:$998,COLUMN($O$1),FALSE)*VLOOKUP($D232,素材!$1:$1016,COLUMN($E$1),FALSE)/(LEN(VLOOKUP($D232,素材!$1:$1016,COLUMN($F$1),FALSE))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BB232">
        <f>IF(ISNUMBER(SEARCH(SUBSTITUTE(BB$1,RIGHT(BB$1,2),""),VLOOKUP($D232,素材!$1:$1016,COLUMN($F$1),FALSE))),VLOOKUP($C232,装備品!$1:$998,COLUMN($O$1),FALSE)*VLOOKUP($D232,素材!$1:$1016,COLUMN($E$1),FALSE)/(LEN(VLOOKUP($D232,素材!$1:$1016,COLUMN($F$1),FALSE))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BC232">
        <f>IF(ISNUMBER(SEARCH(SUBSTITUTE(BC$1,RIGHT(BC$1,2),""),VLOOKUP($D232,素材!$1:$1016,COLUMN($F$1),FALSE))),VLOOKUP($C232,装備品!$1:$998,COLUMN($O$1),FALSE)*VLOOKUP($D232,素材!$1:$1016,COLUMN($E$1),FALSE)/(LEN(VLOOKUP($D232,素材!$1:$1016,COLUMN($F$1),FALSE))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BD232">
        <f>IF(ISNUMBER(SEARCH(SUBSTITUTE(BD$1,RIGHT(BD$1,2),""),VLOOKUP($D232,素材!$1:$1016,COLUMN($F$1),FALSE))),VLOOKUP($C232,装備品!$1:$998,COLUMN($O$1),FALSE)*VLOOKUP($D232,素材!$1:$1016,COLUMN($E$1),FALSE)/(LEN(VLOOKUP($D232,素材!$1:$1016,COLUMN($F$1),FALSE))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BE232">
        <f>IF(ISNUMBER(SEARCH(SUBSTITUTE(BE$1,RIGHT(BE$1,2),""),VLOOKUP($D232,素材!$1:$1016,COLUMN($F$1),FALSE))),VLOOKUP($C232,装備品!$1:$998,COLUMN($O$1),FALSE)*VLOOKUP($D232,素材!$1:$1016,COLUMN($E$1),FALSE)/(LEN(VLOOKUP($D232,素材!$1:$1016,COLUMN($F$1),FALSE))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CL232">
        <f t="shared" si="35"/>
        <v>20</v>
      </c>
      <c r="CM232" s="22" t="str">
        <f t="shared" si="36"/>
        <v>切断.webp</v>
      </c>
      <c r="CN232">
        <f>IFERROR(VLOOKUP($C232,装備品!$1:$998,COLUMN(V$1),FALSE)*VLOOKUP($D232,素材!$1:$1016,COLUMN(N$1),FALSE)+IF(CI232="",0,VLOOKUP($CI232,付与!$1:$1176,COLUMN($CK$1),FALSE)),"")</f>
        <v>0</v>
      </c>
      <c r="CO232">
        <f>VLOOKUP(D232,素材!$A:$O,COLUMN(素材!O$1),FALSE)</f>
        <v>0</v>
      </c>
      <c r="CP232" t="str">
        <f>VLOOKUP(C232,装備品!$A:$AB,COLUMN(装備品!AB$1),FALSE)</f>
        <v>短刀。暗殺向けの武器で、軽量かつ片手操作に適する。Cr威力が高い</v>
      </c>
      <c r="CR232" t="str">
        <f t="shared" si="37"/>
        <v>e_232</v>
      </c>
      <c r="CS232">
        <f t="shared" si="38"/>
        <v>0</v>
      </c>
    </row>
    <row r="233" spans="1:97" outlineLevel="1" x14ac:dyDescent="0.4">
      <c r="A233" t="str">
        <f t="shared" si="39"/>
        <v>熱鉄の刀</v>
      </c>
      <c r="B233" t="str">
        <f>IFERROR(VLOOKUP($D233,素材!$1:$1016,COLUMN($B$1),FALSE)&amp;"・"&amp;VLOOKUP($C233,装備品!$1:$998,COLUMN(B$1),FALSE),"")</f>
        <v>ヒートスティール・カタナ</v>
      </c>
      <c r="C233" s="24" t="s">
        <v>240</v>
      </c>
      <c r="D233" s="24" t="s">
        <v>204</v>
      </c>
      <c r="E233" t="str">
        <f>IFERROR(VLOOKUP(C233,装備品!$1:$998,COLUMN(C$1),FALSE),"")</f>
        <v>武器</v>
      </c>
      <c r="F233">
        <f>IFERROR(ROUNDDOWN((VLOOKUP($C233,装備品!$1:$998,COLUMN(D$1),FALSE)+IFERROR(VLOOKUP($CI233,付与!$1:$1167,COLUMN(F$1),FALSE),0))*VLOOKUP($D233,素材!$1:$1016,COLUMN(D$1),FALSE),0),"")</f>
        <v>105</v>
      </c>
      <c r="G233">
        <f>IFERROR(ROUNDDOWN((VLOOKUP($C233,装備品!$1:$998,COLUMN(E$1),FALSE)+IFERROR(VLOOKUP($CI233,付与!$1:$1167,COLUMN(G$1),FALSE),0))*VLOOKUP($D233,素材!$1:$1016,COLUMN($E$1),FALSE),0),"")</f>
        <v>14</v>
      </c>
      <c r="H233">
        <f>IFERROR(ROUNDDOWN((VLOOKUP($C233,装備品!$1:$998,COLUMN(F$1),FALSE)+IFERROR(VLOOKUP($CI233,付与!$1:$1167,COLUMN(H$1),FALSE),0))*VLOOKUP($D233,素材!$1:$1016,COLUMN($E$1),FALSE),0),"")</f>
        <v>8</v>
      </c>
      <c r="I233">
        <f>IFERROR(ROUNDDOWN((VLOOKUP($C233,装備品!$1:$998,COLUMN(G$1),FALSE)+IFERROR(VLOOKUP($CI233,付与!$1:$1167,COLUMN(I$1),FALSE),0))*VLOOKUP($D233,素材!$1:$1016,COLUMN($E$1),FALSE),0),"")</f>
        <v>2</v>
      </c>
      <c r="J233">
        <f>IFERROR(ROUNDDOWN((VLOOKUP($C233,装備品!$1:$998,COLUMN(H$1),FALSE)+IFERROR(VLOOKUP($CI233,付与!$1:$1167,COLUMN(J$1),FALSE),0))*VLOOKUP($D233,素材!$1:$1016,COLUMN($E$1),FALSE),0),"")</f>
        <v>17</v>
      </c>
      <c r="K233">
        <f>IFERROR(ROUNDDOWN((VLOOKUP($C233,装備品!$1:$998,COLUMN(I$1),FALSE)+IFERROR(VLOOKUP($CI233,付与!$1:$1167,COLUMN(K$1),FALSE),0))*VLOOKUP($D233,素材!$1:$1016,COLUMN($E$1),FALSE),0),"")</f>
        <v>0</v>
      </c>
      <c r="L233" t="str">
        <f>IFERROR(VLOOKUP($D233,素材!$1:$1016,COLUMN($F$1),FALSE),"")</f>
        <v>炎</v>
      </c>
      <c r="M233">
        <f>IFERROR(VLOOKUP($C233,装備品!$1:$998,COLUMN(AA$1),FALSE)*VLOOKUP($D233,素材!$1:$1016,COLUMN($G$1),FALSE),"")</f>
        <v>70</v>
      </c>
      <c r="N233">
        <f>IFERROR(VLOOKUP($C233,装備品!$1:$998,COLUMN(I$1),FALSE),"")</f>
        <v>0</v>
      </c>
      <c r="O233" s="23">
        <f>IFERROR((VLOOKUP($C233,装備品!$1:$998,COLUMN(K$1),FALSE)+VLOOKUP($D233,素材!$1:$1016,COLUMN(H$1),FALSE))*100+IFERROR(VLOOKUP($CI233,付与!$1:$1167,COLUMN(O$1),FALSE),0),"")</f>
        <v>10</v>
      </c>
      <c r="P233" s="23">
        <f>IFERROR((VLOOKUP($C233,装備品!$1:$998,COLUMN(L$1),FALSE)+VLOOKUP($D233,素材!$1:$1016,COLUMN(I$1),FALSE))*100+IFERROR(VLOOKUP($CI233,付与!$1:$1167,COLUMN(P$1),FALSE),0),"")</f>
        <v>175</v>
      </c>
      <c r="Q233">
        <f>IFERROR(ROUNDUP(VLOOKUP($C233,装備品!$1:$998,COLUMN(M$1),FALSE)*(VLOOKUP($D233,素材!$1:$1002,COLUMN(D$1),FALSE)/100),1),"")</f>
        <v>0</v>
      </c>
      <c r="R233">
        <f>IFERROR(ROUNDUP(VLOOKUP($C233,装備品!$1:$998,COLUMN(N$1),FALSE)*(VLOOKUP($D233,素材!$1:$1002,COLUMN(D$1),FALSE)/100),1),"")</f>
        <v>0</v>
      </c>
      <c r="S233">
        <f>IFERROR(VLOOKUP($C233,装備品!$1:$998,COLUMN(P$1),FALSE),"")</f>
        <v>0</v>
      </c>
      <c r="T233">
        <f>IFERROR(VLOOKUP($C233,装備品!$1:$998,COLUMN(Q$1),FALSE),"")</f>
        <v>0</v>
      </c>
      <c r="U233">
        <f>IFERROR(VLOOKUP($C233,装備品!$1:$998,COLUMN(R$1),FALSE),"")</f>
        <v>0</v>
      </c>
      <c r="V233">
        <f>IFERROR(VLOOKUP($C233,装備品!$1:$998,COLUMN(Q$1),FALSE),"")</f>
        <v>0</v>
      </c>
      <c r="W233">
        <f>IFERROR(VLOOKUP($C233,装備品!$1:$998,COLUMN(T$1),FALSE),"")</f>
        <v>0</v>
      </c>
      <c r="Y233">
        <f>IFERROR(VLOOKUP($C233,装備品!$1:$998,COLUMN(U$1),FALSE),"")</f>
        <v>0</v>
      </c>
      <c r="Z233">
        <f>IFERROR(ROUNDUP(VLOOKUP($C233,装備品!$1:$998,COLUMN(O$1),FALSE)*VLOOKUP($D233,素材!$1:$1016,COLUMN(E$1),FALSE),1),"")</f>
        <v>0</v>
      </c>
      <c r="AA233">
        <f>IF(ISNUMBER(SEARCH(SUBSTITUTE(AA$1,RIGHT(AA$1,2),""),VLOOKUP($D233,素材!$1:$1016,COLUMN($F$1),FALSE))),VLOOKUP($C233,装備品!$1:$998,COLUMN($O$1),FALSE)*VLOOKUP($D233,素材!$1:$1016,COLUMN($E$1),FALSE)/(LEN(VLOOKUP($D233,素材!$1:$1016,COLUMN($F$1),FALSE))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B233">
        <f>IF(ISNUMBER(SEARCH(SUBSTITUTE(AB$1,RIGHT(AB$1,2),""),VLOOKUP($D233,素材!$1:$1016,COLUMN($F$1),FALSE))),VLOOKUP($C233,装備品!$1:$998,COLUMN($O$1),FALSE)*VLOOKUP($D233,素材!$1:$1016,COLUMN($E$1),FALSE)/(LEN(VLOOKUP($D233,素材!$1:$1016,COLUMN($F$1),FALSE))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C233">
        <f>IF(ISNUMBER(SEARCH(SUBSTITUTE(AC$1,RIGHT(AC$1,2),""),VLOOKUP($D233,素材!$1:$1016,COLUMN($F$1),FALSE))),VLOOKUP($C233,装備品!$1:$998,COLUMN($O$1),FALSE)*VLOOKUP($D233,素材!$1:$1016,COLUMN($E$1),FALSE)/(LEN(VLOOKUP($D233,素材!$1:$1016,COLUMN($F$1),FALSE))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D233">
        <f>IF(ISNUMBER(SEARCH(SUBSTITUTE(AD$1,RIGHT(AD$1,2),""),VLOOKUP($D233,素材!$1:$1016,COLUMN($F$1),FALSE))),VLOOKUP($C233,装備品!$1:$998,COLUMN($O$1),FALSE)*VLOOKUP($D233,素材!$1:$1016,COLUMN($E$1),FALSE)/(LEN(VLOOKUP($D233,素材!$1:$1016,COLUMN($F$1),FALSE))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E233">
        <f>IF(ISNUMBER(SEARCH(SUBSTITUTE(AE$1,RIGHT(AE$1,2),""),VLOOKUP($D233,素材!$1:$1016,COLUMN($F$1),FALSE))),VLOOKUP($C233,装備品!$1:$998,COLUMN($O$1),FALSE)*VLOOKUP($D233,素材!$1:$1016,COLUMN($E$1),FALSE)/(LEN(VLOOKUP($D233,素材!$1:$1016,COLUMN($F$1),FALSE))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F233">
        <f>IF(ISNUMBER(SEARCH(SUBSTITUTE(AF$1,RIGHT(AF$1,2),""),VLOOKUP($D233,素材!$1:$1016,COLUMN($F$1),FALSE))),VLOOKUP($C233,装備品!$1:$998,COLUMN($O$1),FALSE)*VLOOKUP($D233,素材!$1:$1016,COLUMN($E$1),FALSE)/(LEN(VLOOKUP($D233,素材!$1:$1016,COLUMN($F$1),FALSE))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G233">
        <f>IF(ISNUMBER(SEARCH(SUBSTITUTE(AG$1,RIGHT(AG$1,2),""),VLOOKUP($D233,素材!$1:$1016,COLUMN($F$1),FALSE))),VLOOKUP($C233,装備品!$1:$998,COLUMN($O$1),FALSE)*VLOOKUP($D233,素材!$1:$1016,COLUMN($E$1),FALSE)/(LEN(VLOOKUP($D233,素材!$1:$1016,COLUMN($F$1),FALSE))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H233">
        <f>IF(ISNUMBER(SEARCH(SUBSTITUTE(AH$1,RIGHT(AH$1,2),""),VLOOKUP($D233,素材!$1:$1016,COLUMN($F$1),FALSE))),VLOOKUP($C233,装備品!$1:$998,COLUMN($O$1),FALSE)*VLOOKUP($D233,素材!$1:$1016,COLUMN($E$1),FALSE)/(LEN(VLOOKUP($D233,素材!$1:$1016,COLUMN($F$1),FALSE))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I233">
        <f>IF(ISNUMBER(SEARCH(SUBSTITUTE(AI$1,RIGHT(AI$1,2),""),VLOOKUP($D233,素材!$1:$1016,COLUMN($F$1),FALSE))),VLOOKUP($C233,装備品!$1:$998,COLUMN($O$1),FALSE)*VLOOKUP($D233,素材!$1:$1016,COLUMN($E$1),FALSE)/(LEN(VLOOKUP($D233,素材!$1:$1016,COLUMN($F$1),FALSE))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J233">
        <f>IF(ISNUMBER(SEARCH(SUBSTITUTE(AJ$1,RIGHT(AJ$1,2),""),VLOOKUP($D233,素材!$1:$1016,COLUMN($F$1),FALSE))),VLOOKUP($C233,装備品!$1:$998,COLUMN($O$1),FALSE)*VLOOKUP($D233,素材!$1:$1016,COLUMN($E$1),FALSE)/(LEN(VLOOKUP($D233,素材!$1:$1016,COLUMN($F$1),FALSE))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K233">
        <f>IF(ISNUMBER(SEARCH(SUBSTITUTE(AK$1,RIGHT(AK$1,2),""),VLOOKUP($D233,素材!$1:$1016,COLUMN($F$1),FALSE))),VLOOKUP($C233,装備品!$1:$998,COLUMN($O$1),FALSE)*VLOOKUP($D233,素材!$1:$1016,COLUMN($E$1),FALSE)/(LEN(VLOOKUP($D233,素材!$1:$1016,COLUMN($F$1),FALSE))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L233">
        <f>IF(ISNUMBER(SEARCH(SUBSTITUTE(AL$1,RIGHT(AL$1,2),""),VLOOKUP($D233,素材!$1:$1016,COLUMN($F$1),FALSE))),VLOOKUP($C233,装備品!$1:$998,COLUMN($O$1),FALSE)*VLOOKUP($D233,素材!$1:$1016,COLUMN($E$1),FALSE)/(LEN(VLOOKUP($D233,素材!$1:$1016,COLUMN($F$1),FALSE))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M233">
        <f>IF(ISNUMBER(SEARCH(SUBSTITUTE(AM$1,RIGHT(AM$1,2),""),VLOOKUP($D233,素材!$1:$1016,COLUMN($F$1),FALSE))),VLOOKUP($C233,装備品!$1:$998,COLUMN($O$1),FALSE)*VLOOKUP($D233,素材!$1:$1016,COLUMN($E$1),FALSE)/(LEN(VLOOKUP($D233,素材!$1:$1016,COLUMN($F$1),FALSE))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N233">
        <f>IF(ISNUMBER(SEARCH(SUBSTITUTE(AN$1,RIGHT(AN$1,2),""),VLOOKUP($D233,素材!$1:$1016,COLUMN($F$1),FALSE))),VLOOKUP($C233,装備品!$1:$998,COLUMN($O$1),FALSE)*VLOOKUP($D233,素材!$1:$1016,COLUMN($E$1),FALSE)/(LEN(VLOOKUP($D233,素材!$1:$1016,COLUMN($F$1),FALSE))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O233">
        <f>IF(ISNUMBER(SEARCH(SUBSTITUTE(AO$1,RIGHT(AO$1,2),""),VLOOKUP($D233,素材!$1:$1016,COLUMN($F$1),FALSE))),VLOOKUP($C233,装備品!$1:$998,COLUMN($O$1),FALSE)*VLOOKUP($D233,素材!$1:$1016,COLUMN($E$1),FALSE)/(LEN(VLOOKUP($D233,素材!$1:$1016,COLUMN($F$1),FALSE))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P233">
        <f>IF(ISNUMBER(SEARCH(SUBSTITUTE(AP$1,RIGHT(AP$1,2),""),VLOOKUP($D233,素材!$1:$1016,COLUMN($F$1),FALSE))),VLOOKUP($C233,装備品!$1:$998,COLUMN($O$1),FALSE)*VLOOKUP($D233,素材!$1:$1016,COLUMN($E$1),FALSE)/(LEN(VLOOKUP($D233,素材!$1:$1016,COLUMN($F$1),FALSE))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Q233">
        <f>IF(ISNUMBER(SEARCH(SUBSTITUTE(AQ$1,RIGHT(AQ$1,2),""),VLOOKUP($D233,素材!$1:$1016,COLUMN($F$1),FALSE))),VLOOKUP($C233,装備品!$1:$998,COLUMN($O$1),FALSE)*VLOOKUP($D233,素材!$1:$1016,COLUMN($E$1),FALSE)/(LEN(VLOOKUP($D233,素材!$1:$1016,COLUMN($F$1),FALSE))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R233">
        <f>IF(ISNUMBER(SEARCH(SUBSTITUTE(AR$1,RIGHT(AR$1,2),""),VLOOKUP($D233,素材!$1:$1016,COLUMN($F$1),FALSE))),VLOOKUP($C233,装備品!$1:$998,COLUMN($O$1),FALSE)*VLOOKUP($D233,素材!$1:$1016,COLUMN($E$1),FALSE)/(LEN(VLOOKUP($D233,素材!$1:$1016,COLUMN($F$1),FALSE))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S233">
        <f>IF(ISNUMBER(SEARCH(SUBSTITUTE(AS$1,RIGHT(AS$1,2),""),VLOOKUP($D233,素材!$1:$1016,COLUMN($F$1),FALSE))),VLOOKUP($C233,装備品!$1:$998,COLUMN($O$1),FALSE)*VLOOKUP($D233,素材!$1:$1016,COLUMN($E$1),FALSE)/(LEN(VLOOKUP($D233,素材!$1:$1016,COLUMN($F$1),FALSE))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T233">
        <f>IF(ISNUMBER(SEARCH(SUBSTITUTE(AT$1,RIGHT(AT$1,2),""),VLOOKUP($D233,素材!$1:$1016,COLUMN($F$1),FALSE))),VLOOKUP($C233,装備品!$1:$998,COLUMN($O$1),FALSE)*VLOOKUP($D233,素材!$1:$1016,COLUMN($E$1),FALSE)/(LEN(VLOOKUP($D233,素材!$1:$1016,COLUMN($F$1),FALSE))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U233">
        <f>IF(ISNUMBER(SEARCH(SUBSTITUTE(AU$1,RIGHT(AU$1,2),""),VLOOKUP($D233,素材!$1:$1016,COLUMN($F$1),FALSE))),VLOOKUP($C233,装備品!$1:$998,COLUMN($O$1),FALSE)*VLOOKUP($D233,素材!$1:$1016,COLUMN($E$1),FALSE)/(LEN(VLOOKUP($D233,素材!$1:$1016,COLUMN($F$1),FALSE))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V233">
        <f>IF(ISNUMBER(SEARCH(SUBSTITUTE(AV$1,RIGHT(AV$1,2),""),VLOOKUP($D233,素材!$1:$1016,COLUMN($F$1),FALSE))),VLOOKUP($C233,装備品!$1:$998,COLUMN($O$1),FALSE)*VLOOKUP($D233,素材!$1:$1016,COLUMN($E$1),FALSE)/(LEN(VLOOKUP($D233,素材!$1:$1016,COLUMN($F$1),FALSE))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W233">
        <f>IF(ISNUMBER(SEARCH(SUBSTITUTE(AW$1,RIGHT(AW$1,2),""),VLOOKUP($D233,素材!$1:$1016,COLUMN($F$1),FALSE))),VLOOKUP($C233,装備品!$1:$998,COLUMN($O$1),FALSE)*VLOOKUP($D233,素材!$1:$1016,COLUMN($E$1),FALSE)/(LEN(VLOOKUP($D233,素材!$1:$1016,COLUMN($F$1),FALSE))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X233">
        <f>IF(ISNUMBER(SEARCH(SUBSTITUTE(AX$1,RIGHT(AX$1,2),""),VLOOKUP($D233,素材!$1:$1016,COLUMN($F$1),FALSE))),VLOOKUP($C233,装備品!$1:$998,COLUMN($O$1),FALSE)*VLOOKUP($D233,素材!$1:$1016,COLUMN($E$1),FALSE)/(LEN(VLOOKUP($D233,素材!$1:$1016,COLUMN($F$1),FALSE))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Y233">
        <f>IF(ISNUMBER(SEARCH(SUBSTITUTE(AY$1,RIGHT(AY$1,2),""),VLOOKUP($D233,素材!$1:$1016,COLUMN($F$1),FALSE))),VLOOKUP($C233,装備品!$1:$998,COLUMN($O$1),FALSE)*VLOOKUP($D233,素材!$1:$1016,COLUMN($E$1),FALSE)/(LEN(VLOOKUP($D233,素材!$1:$1016,COLUMN($F$1),FALSE))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Z233">
        <f>IF(ISNUMBER(SEARCH(SUBSTITUTE(AZ$1,RIGHT(AZ$1,2),""),VLOOKUP($D233,素材!$1:$1016,COLUMN($F$1),FALSE))),VLOOKUP($C233,装備品!$1:$998,COLUMN($O$1),FALSE)*VLOOKUP($D233,素材!$1:$1016,COLUMN($E$1),FALSE)/(LEN(VLOOKUP($D233,素材!$1:$1016,COLUMN($F$1),FALSE))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BA233">
        <f>IF(ISNUMBER(SEARCH(SUBSTITUTE(BA$1,RIGHT(BA$1,2),""),VLOOKUP($D233,素材!$1:$1016,COLUMN($F$1),FALSE))),VLOOKUP($C233,装備品!$1:$998,COLUMN($O$1),FALSE)*VLOOKUP($D233,素材!$1:$1016,COLUMN($E$1),FALSE)/(LEN(VLOOKUP($D233,素材!$1:$1016,COLUMN($F$1),FALSE))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BB233">
        <f>IF(ISNUMBER(SEARCH(SUBSTITUTE(BB$1,RIGHT(BB$1,2),""),VLOOKUP($D233,素材!$1:$1016,COLUMN($F$1),FALSE))),VLOOKUP($C233,装備品!$1:$998,COLUMN($O$1),FALSE)*VLOOKUP($D233,素材!$1:$1016,COLUMN($E$1),FALSE)/(LEN(VLOOKUP($D233,素材!$1:$1016,COLUMN($F$1),FALSE))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BC233">
        <f>IF(ISNUMBER(SEARCH(SUBSTITUTE(BC$1,RIGHT(BC$1,2),""),VLOOKUP($D233,素材!$1:$1016,COLUMN($F$1),FALSE))),VLOOKUP($C233,装備品!$1:$998,COLUMN($O$1),FALSE)*VLOOKUP($D233,素材!$1:$1016,COLUMN($E$1),FALSE)/(LEN(VLOOKUP($D233,素材!$1:$1016,COLUMN($F$1),FALSE))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BD233">
        <f>IF(ISNUMBER(SEARCH(SUBSTITUTE(BD$1,RIGHT(BD$1,2),""),VLOOKUP($D233,素材!$1:$1016,COLUMN($F$1),FALSE))),VLOOKUP($C233,装備品!$1:$998,COLUMN($O$1),FALSE)*VLOOKUP($D233,素材!$1:$1016,COLUMN($E$1),FALSE)/(LEN(VLOOKUP($D233,素材!$1:$1016,COLUMN($F$1),FALSE))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BE233">
        <f>IF(ISNUMBER(SEARCH(SUBSTITUTE(BE$1,RIGHT(BE$1,2),""),VLOOKUP($D233,素材!$1:$1016,COLUMN($F$1),FALSE))),VLOOKUP($C233,装備品!$1:$998,COLUMN($O$1),FALSE)*VLOOKUP($D233,素材!$1:$1016,COLUMN($E$1),FALSE)/(LEN(VLOOKUP($D233,素材!$1:$1016,COLUMN($F$1),FALSE))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CL233">
        <f t="shared" si="35"/>
        <v>24</v>
      </c>
      <c r="CM233" s="22" t="str">
        <f t="shared" si="36"/>
        <v>切断.webp</v>
      </c>
      <c r="CN233">
        <f>IFERROR(VLOOKUP($C233,装備品!$1:$998,COLUMN(V$1),FALSE)*VLOOKUP($D233,素材!$1:$1016,COLUMN(N$1),FALSE)+IF(CI233="",0,VLOOKUP($CI233,付与!$1:$1176,COLUMN($CK$1),FALSE)),"")</f>
        <v>0</v>
      </c>
      <c r="CO233">
        <f>VLOOKUP(D233,素材!$A:$O,COLUMN(素材!O$1),FALSE)</f>
        <v>0</v>
      </c>
      <c r="CP233" t="str">
        <f>VLOOKUP(C233,装備品!$A:$AB,COLUMN(装備品!AB$1),FALSE)</f>
        <v>刀。切断力に優れた武器で、Cr威力が高い</v>
      </c>
      <c r="CR233" t="str">
        <f t="shared" si="37"/>
        <v>e_233</v>
      </c>
      <c r="CS233">
        <f t="shared" si="38"/>
        <v>0</v>
      </c>
    </row>
    <row r="234" spans="1:97" outlineLevel="1" x14ac:dyDescent="0.4">
      <c r="A234" t="str">
        <f t="shared" si="39"/>
        <v>熱鉄の剣</v>
      </c>
      <c r="B234" t="str">
        <f>IFERROR(VLOOKUP($D234,素材!$1:$1016,COLUMN($B$1),FALSE)&amp;"・"&amp;VLOOKUP($C234,装備品!$1:$998,COLUMN(B$1),FALSE),"")</f>
        <v>ヒートスティール・ソード</v>
      </c>
      <c r="C234" s="24" t="s">
        <v>239</v>
      </c>
      <c r="D234" s="24" t="s">
        <v>204</v>
      </c>
      <c r="E234" t="str">
        <f>IFERROR(VLOOKUP(C234,装備品!$1:$998,COLUMN(C$1),FALSE),"")</f>
        <v>武器</v>
      </c>
      <c r="F234">
        <f>IFERROR(ROUNDDOWN((VLOOKUP($C234,装備品!$1:$998,COLUMN(D$1),FALSE)+IFERROR(VLOOKUP($CI234,付与!$1:$1167,COLUMN(F$1),FALSE),0))*VLOOKUP($D234,素材!$1:$1016,COLUMN(D$1),FALSE),0),"")</f>
        <v>100</v>
      </c>
      <c r="G234">
        <f>IFERROR(ROUNDDOWN((VLOOKUP($C234,装備品!$1:$998,COLUMN(E$1),FALSE)+IFERROR(VLOOKUP($CI234,付与!$1:$1167,COLUMN(G$1),FALSE),0))*VLOOKUP($D234,素材!$1:$1016,COLUMN($E$1),FALSE),0),"")</f>
        <v>12</v>
      </c>
      <c r="H234">
        <f>IFERROR(ROUNDDOWN((VLOOKUP($C234,装備品!$1:$998,COLUMN(F$1),FALSE)+IFERROR(VLOOKUP($CI234,付与!$1:$1167,COLUMN(H$1),FALSE),0))*VLOOKUP($D234,素材!$1:$1016,COLUMN($E$1),FALSE),0),"")</f>
        <v>9</v>
      </c>
      <c r="I234">
        <f>IFERROR(ROUNDDOWN((VLOOKUP($C234,装備品!$1:$998,COLUMN(G$1),FALSE)+IFERROR(VLOOKUP($CI234,付与!$1:$1167,COLUMN(I$1),FALSE),0))*VLOOKUP($D234,素材!$1:$1016,COLUMN($E$1),FALSE),0),"")</f>
        <v>3</v>
      </c>
      <c r="J234">
        <f>IFERROR(ROUNDDOWN((VLOOKUP($C234,装備品!$1:$998,COLUMN(H$1),FALSE)+IFERROR(VLOOKUP($CI234,付与!$1:$1167,COLUMN(J$1),FALSE),0))*VLOOKUP($D234,素材!$1:$1016,COLUMN($E$1),FALSE),0),"")</f>
        <v>19</v>
      </c>
      <c r="K234">
        <f>IFERROR(ROUNDDOWN((VLOOKUP($C234,装備品!$1:$998,COLUMN(I$1),FALSE)+IFERROR(VLOOKUP($CI234,付与!$1:$1167,COLUMN(K$1),FALSE),0))*VLOOKUP($D234,素材!$1:$1016,COLUMN($E$1),FALSE),0),"")</f>
        <v>0</v>
      </c>
      <c r="L234" t="str">
        <f>IFERROR(VLOOKUP($D234,素材!$1:$1016,COLUMN($F$1),FALSE),"")</f>
        <v>炎</v>
      </c>
      <c r="M234">
        <f>IFERROR(VLOOKUP($C234,装備品!$1:$998,COLUMN(AA$1),FALSE)*VLOOKUP($D234,素材!$1:$1016,COLUMN($G$1),FALSE),"")</f>
        <v>52.5</v>
      </c>
      <c r="N234">
        <f>IFERROR(VLOOKUP($C234,装備品!$1:$998,COLUMN(I$1),FALSE),"")</f>
        <v>0</v>
      </c>
      <c r="O234" s="23">
        <f>IFERROR((VLOOKUP($C234,装備品!$1:$998,COLUMN(K$1),FALSE)+VLOOKUP($D234,素材!$1:$1016,COLUMN(H$1),FALSE))*100+IFERROR(VLOOKUP($CI234,付与!$1:$1167,COLUMN(O$1),FALSE),0),"")</f>
        <v>10</v>
      </c>
      <c r="P234" s="23">
        <f>IFERROR((VLOOKUP($C234,装備品!$1:$998,COLUMN(L$1),FALSE)+VLOOKUP($D234,素材!$1:$1016,COLUMN(I$1),FALSE))*100+IFERROR(VLOOKUP($CI234,付与!$1:$1167,COLUMN(P$1),FALSE),0),"")</f>
        <v>150</v>
      </c>
      <c r="Q234">
        <f>IFERROR(ROUNDUP(VLOOKUP($C234,装備品!$1:$998,COLUMN(M$1),FALSE)*(VLOOKUP($D234,素材!$1:$1002,COLUMN(D$1),FALSE)/100),1),"")</f>
        <v>0</v>
      </c>
      <c r="R234">
        <f>IFERROR(ROUNDUP(VLOOKUP($C234,装備品!$1:$998,COLUMN(N$1),FALSE)*(VLOOKUP($D234,素材!$1:$1002,COLUMN(D$1),FALSE)/100),1),"")</f>
        <v>0</v>
      </c>
      <c r="S234">
        <f>IFERROR(VLOOKUP($C234,装備品!$1:$998,COLUMN(P$1),FALSE),"")</f>
        <v>0</v>
      </c>
      <c r="T234">
        <f>IFERROR(VLOOKUP($C234,装備品!$1:$998,COLUMN(Q$1),FALSE),"")</f>
        <v>0</v>
      </c>
      <c r="U234">
        <f>IFERROR(VLOOKUP($C234,装備品!$1:$998,COLUMN(R$1),FALSE),"")</f>
        <v>0</v>
      </c>
      <c r="V234">
        <f>IFERROR(VLOOKUP($C234,装備品!$1:$998,COLUMN(Q$1),FALSE),"")</f>
        <v>0</v>
      </c>
      <c r="W234">
        <f>IFERROR(VLOOKUP($C234,装備品!$1:$998,COLUMN(T$1),FALSE),"")</f>
        <v>0</v>
      </c>
      <c r="Y234">
        <f>IFERROR(VLOOKUP($C234,装備品!$1:$998,COLUMN(U$1),FALSE),"")</f>
        <v>0</v>
      </c>
      <c r="Z234">
        <f>IFERROR(ROUNDUP(VLOOKUP($C234,装備品!$1:$998,COLUMN(O$1),FALSE)*VLOOKUP($D234,素材!$1:$1016,COLUMN(E$1),FALSE),1),"")</f>
        <v>0</v>
      </c>
      <c r="AA234">
        <f>IF(ISNUMBER(SEARCH(SUBSTITUTE(AA$1,RIGHT(AA$1,2),""),VLOOKUP($D234,素材!$1:$1016,COLUMN($F$1),FALSE))),VLOOKUP($C234,装備品!$1:$998,COLUMN($O$1),FALSE)*VLOOKUP($D234,素材!$1:$1016,COLUMN($E$1),FALSE)/(LEN(VLOOKUP($D234,素材!$1:$1016,COLUMN($F$1),FALSE))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B234">
        <f>IF(ISNUMBER(SEARCH(SUBSTITUTE(AB$1,RIGHT(AB$1,2),""),VLOOKUP($D234,素材!$1:$1016,COLUMN($F$1),FALSE))),VLOOKUP($C234,装備品!$1:$998,COLUMN($O$1),FALSE)*VLOOKUP($D234,素材!$1:$1016,COLUMN($E$1),FALSE)/(LEN(VLOOKUP($D234,素材!$1:$1016,COLUMN($F$1),FALSE))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C234">
        <f>IF(ISNUMBER(SEARCH(SUBSTITUTE(AC$1,RIGHT(AC$1,2),""),VLOOKUP($D234,素材!$1:$1016,COLUMN($F$1),FALSE))),VLOOKUP($C234,装備品!$1:$998,COLUMN($O$1),FALSE)*VLOOKUP($D234,素材!$1:$1016,COLUMN($E$1),FALSE)/(LEN(VLOOKUP($D234,素材!$1:$1016,COLUMN($F$1),FALSE))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D234">
        <f>IF(ISNUMBER(SEARCH(SUBSTITUTE(AD$1,RIGHT(AD$1,2),""),VLOOKUP($D234,素材!$1:$1016,COLUMN($F$1),FALSE))),VLOOKUP($C234,装備品!$1:$998,COLUMN($O$1),FALSE)*VLOOKUP($D234,素材!$1:$1016,COLUMN($E$1),FALSE)/(LEN(VLOOKUP($D234,素材!$1:$1016,COLUMN($F$1),FALSE))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E234">
        <f>IF(ISNUMBER(SEARCH(SUBSTITUTE(AE$1,RIGHT(AE$1,2),""),VLOOKUP($D234,素材!$1:$1016,COLUMN($F$1),FALSE))),VLOOKUP($C234,装備品!$1:$998,COLUMN($O$1),FALSE)*VLOOKUP($D234,素材!$1:$1016,COLUMN($E$1),FALSE)/(LEN(VLOOKUP($D234,素材!$1:$1016,COLUMN($F$1),FALSE))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F234">
        <f>IF(ISNUMBER(SEARCH(SUBSTITUTE(AF$1,RIGHT(AF$1,2),""),VLOOKUP($D234,素材!$1:$1016,COLUMN($F$1),FALSE))),VLOOKUP($C234,装備品!$1:$998,COLUMN($O$1),FALSE)*VLOOKUP($D234,素材!$1:$1016,COLUMN($E$1),FALSE)/(LEN(VLOOKUP($D234,素材!$1:$1016,COLUMN($F$1),FALSE))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G234">
        <f>IF(ISNUMBER(SEARCH(SUBSTITUTE(AG$1,RIGHT(AG$1,2),""),VLOOKUP($D234,素材!$1:$1016,COLUMN($F$1),FALSE))),VLOOKUP($C234,装備品!$1:$998,COLUMN($O$1),FALSE)*VLOOKUP($D234,素材!$1:$1016,COLUMN($E$1),FALSE)/(LEN(VLOOKUP($D234,素材!$1:$1016,COLUMN($F$1),FALSE))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H234">
        <f>IF(ISNUMBER(SEARCH(SUBSTITUTE(AH$1,RIGHT(AH$1,2),""),VLOOKUP($D234,素材!$1:$1016,COLUMN($F$1),FALSE))),VLOOKUP($C234,装備品!$1:$998,COLUMN($O$1),FALSE)*VLOOKUP($D234,素材!$1:$1016,COLUMN($E$1),FALSE)/(LEN(VLOOKUP($D234,素材!$1:$1016,COLUMN($F$1),FALSE))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I234">
        <f>IF(ISNUMBER(SEARCH(SUBSTITUTE(AI$1,RIGHT(AI$1,2),""),VLOOKUP($D234,素材!$1:$1016,COLUMN($F$1),FALSE))),VLOOKUP($C234,装備品!$1:$998,COLUMN($O$1),FALSE)*VLOOKUP($D234,素材!$1:$1016,COLUMN($E$1),FALSE)/(LEN(VLOOKUP($D234,素材!$1:$1016,COLUMN($F$1),FALSE))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J234">
        <f>IF(ISNUMBER(SEARCH(SUBSTITUTE(AJ$1,RIGHT(AJ$1,2),""),VLOOKUP($D234,素材!$1:$1016,COLUMN($F$1),FALSE))),VLOOKUP($C234,装備品!$1:$998,COLUMN($O$1),FALSE)*VLOOKUP($D234,素材!$1:$1016,COLUMN($E$1),FALSE)/(LEN(VLOOKUP($D234,素材!$1:$1016,COLUMN($F$1),FALSE))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K234">
        <f>IF(ISNUMBER(SEARCH(SUBSTITUTE(AK$1,RIGHT(AK$1,2),""),VLOOKUP($D234,素材!$1:$1016,COLUMN($F$1),FALSE))),VLOOKUP($C234,装備品!$1:$998,COLUMN($O$1),FALSE)*VLOOKUP($D234,素材!$1:$1016,COLUMN($E$1),FALSE)/(LEN(VLOOKUP($D234,素材!$1:$1016,COLUMN($F$1),FALSE))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L234">
        <f>IF(ISNUMBER(SEARCH(SUBSTITUTE(AL$1,RIGHT(AL$1,2),""),VLOOKUP($D234,素材!$1:$1016,COLUMN($F$1),FALSE))),VLOOKUP($C234,装備品!$1:$998,COLUMN($O$1),FALSE)*VLOOKUP($D234,素材!$1:$1016,COLUMN($E$1),FALSE)/(LEN(VLOOKUP($D234,素材!$1:$1016,COLUMN($F$1),FALSE))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M234">
        <f>IF(ISNUMBER(SEARCH(SUBSTITUTE(AM$1,RIGHT(AM$1,2),""),VLOOKUP($D234,素材!$1:$1016,COLUMN($F$1),FALSE))),VLOOKUP($C234,装備品!$1:$998,COLUMN($O$1),FALSE)*VLOOKUP($D234,素材!$1:$1016,COLUMN($E$1),FALSE)/(LEN(VLOOKUP($D234,素材!$1:$1016,COLUMN($F$1),FALSE))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N234">
        <f>IF(ISNUMBER(SEARCH(SUBSTITUTE(AN$1,RIGHT(AN$1,2),""),VLOOKUP($D234,素材!$1:$1016,COLUMN($F$1),FALSE))),VLOOKUP($C234,装備品!$1:$998,COLUMN($O$1),FALSE)*VLOOKUP($D234,素材!$1:$1016,COLUMN($E$1),FALSE)/(LEN(VLOOKUP($D234,素材!$1:$1016,COLUMN($F$1),FALSE))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O234">
        <f>IF(ISNUMBER(SEARCH(SUBSTITUTE(AO$1,RIGHT(AO$1,2),""),VLOOKUP($D234,素材!$1:$1016,COLUMN($F$1),FALSE))),VLOOKUP($C234,装備品!$1:$998,COLUMN($O$1),FALSE)*VLOOKUP($D234,素材!$1:$1016,COLUMN($E$1),FALSE)/(LEN(VLOOKUP($D234,素材!$1:$1016,COLUMN($F$1),FALSE))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P234">
        <f>IF(ISNUMBER(SEARCH(SUBSTITUTE(AP$1,RIGHT(AP$1,2),""),VLOOKUP($D234,素材!$1:$1016,COLUMN($F$1),FALSE))),VLOOKUP($C234,装備品!$1:$998,COLUMN($O$1),FALSE)*VLOOKUP($D234,素材!$1:$1016,COLUMN($E$1),FALSE)/(LEN(VLOOKUP($D234,素材!$1:$1016,COLUMN($F$1),FALSE))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Q234">
        <f>IF(ISNUMBER(SEARCH(SUBSTITUTE(AQ$1,RIGHT(AQ$1,2),""),VLOOKUP($D234,素材!$1:$1016,COLUMN($F$1),FALSE))),VLOOKUP($C234,装備品!$1:$998,COLUMN($O$1),FALSE)*VLOOKUP($D234,素材!$1:$1016,COLUMN($E$1),FALSE)/(LEN(VLOOKUP($D234,素材!$1:$1016,COLUMN($F$1),FALSE))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R234">
        <f>IF(ISNUMBER(SEARCH(SUBSTITUTE(AR$1,RIGHT(AR$1,2),""),VLOOKUP($D234,素材!$1:$1016,COLUMN($F$1),FALSE))),VLOOKUP($C234,装備品!$1:$998,COLUMN($O$1),FALSE)*VLOOKUP($D234,素材!$1:$1016,COLUMN($E$1),FALSE)/(LEN(VLOOKUP($D234,素材!$1:$1016,COLUMN($F$1),FALSE))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S234">
        <f>IF(ISNUMBER(SEARCH(SUBSTITUTE(AS$1,RIGHT(AS$1,2),""),VLOOKUP($D234,素材!$1:$1016,COLUMN($F$1),FALSE))),VLOOKUP($C234,装備品!$1:$998,COLUMN($O$1),FALSE)*VLOOKUP($D234,素材!$1:$1016,COLUMN($E$1),FALSE)/(LEN(VLOOKUP($D234,素材!$1:$1016,COLUMN($F$1),FALSE))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T234">
        <f>IF(ISNUMBER(SEARCH(SUBSTITUTE(AT$1,RIGHT(AT$1,2),""),VLOOKUP($D234,素材!$1:$1016,COLUMN($F$1),FALSE))),VLOOKUP($C234,装備品!$1:$998,COLUMN($O$1),FALSE)*VLOOKUP($D234,素材!$1:$1016,COLUMN($E$1),FALSE)/(LEN(VLOOKUP($D234,素材!$1:$1016,COLUMN($F$1),FALSE))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U234">
        <f>IF(ISNUMBER(SEARCH(SUBSTITUTE(AU$1,RIGHT(AU$1,2),""),VLOOKUP($D234,素材!$1:$1016,COLUMN($F$1),FALSE))),VLOOKUP($C234,装備品!$1:$998,COLUMN($O$1),FALSE)*VLOOKUP($D234,素材!$1:$1016,COLUMN($E$1),FALSE)/(LEN(VLOOKUP($D234,素材!$1:$1016,COLUMN($F$1),FALSE))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V234">
        <f>IF(ISNUMBER(SEARCH(SUBSTITUTE(AV$1,RIGHT(AV$1,2),""),VLOOKUP($D234,素材!$1:$1016,COLUMN($F$1),FALSE))),VLOOKUP($C234,装備品!$1:$998,COLUMN($O$1),FALSE)*VLOOKUP($D234,素材!$1:$1016,COLUMN($E$1),FALSE)/(LEN(VLOOKUP($D234,素材!$1:$1016,COLUMN($F$1),FALSE))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W234">
        <f>IF(ISNUMBER(SEARCH(SUBSTITUTE(AW$1,RIGHT(AW$1,2),""),VLOOKUP($D234,素材!$1:$1016,COLUMN($F$1),FALSE))),VLOOKUP($C234,装備品!$1:$998,COLUMN($O$1),FALSE)*VLOOKUP($D234,素材!$1:$1016,COLUMN($E$1),FALSE)/(LEN(VLOOKUP($D234,素材!$1:$1016,COLUMN($F$1),FALSE))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X234">
        <f>IF(ISNUMBER(SEARCH(SUBSTITUTE(AX$1,RIGHT(AX$1,2),""),VLOOKUP($D234,素材!$1:$1016,COLUMN($F$1),FALSE))),VLOOKUP($C234,装備品!$1:$998,COLUMN($O$1),FALSE)*VLOOKUP($D234,素材!$1:$1016,COLUMN($E$1),FALSE)/(LEN(VLOOKUP($D234,素材!$1:$1016,COLUMN($F$1),FALSE))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Y234">
        <f>IF(ISNUMBER(SEARCH(SUBSTITUTE(AY$1,RIGHT(AY$1,2),""),VLOOKUP($D234,素材!$1:$1016,COLUMN($F$1),FALSE))),VLOOKUP($C234,装備品!$1:$998,COLUMN($O$1),FALSE)*VLOOKUP($D234,素材!$1:$1016,COLUMN($E$1),FALSE)/(LEN(VLOOKUP($D234,素材!$1:$1016,COLUMN($F$1),FALSE))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Z234">
        <f>IF(ISNUMBER(SEARCH(SUBSTITUTE(AZ$1,RIGHT(AZ$1,2),""),VLOOKUP($D234,素材!$1:$1016,COLUMN($F$1),FALSE))),VLOOKUP($C234,装備品!$1:$998,COLUMN($O$1),FALSE)*VLOOKUP($D234,素材!$1:$1016,COLUMN($E$1),FALSE)/(LEN(VLOOKUP($D234,素材!$1:$1016,COLUMN($F$1),FALSE))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BA234">
        <f>IF(ISNUMBER(SEARCH(SUBSTITUTE(BA$1,RIGHT(BA$1,2),""),VLOOKUP($D234,素材!$1:$1016,COLUMN($F$1),FALSE))),VLOOKUP($C234,装備品!$1:$998,COLUMN($O$1),FALSE)*VLOOKUP($D234,素材!$1:$1016,COLUMN($E$1),FALSE)/(LEN(VLOOKUP($D234,素材!$1:$1016,COLUMN($F$1),FALSE))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BB234">
        <f>IF(ISNUMBER(SEARCH(SUBSTITUTE(BB$1,RIGHT(BB$1,2),""),VLOOKUP($D234,素材!$1:$1016,COLUMN($F$1),FALSE))),VLOOKUP($C234,装備品!$1:$998,COLUMN($O$1),FALSE)*VLOOKUP($D234,素材!$1:$1016,COLUMN($E$1),FALSE)/(LEN(VLOOKUP($D234,素材!$1:$1016,COLUMN($F$1),FALSE))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BC234">
        <f>IF(ISNUMBER(SEARCH(SUBSTITUTE(BC$1,RIGHT(BC$1,2),""),VLOOKUP($D234,素材!$1:$1016,COLUMN($F$1),FALSE))),VLOOKUP($C234,装備品!$1:$998,COLUMN($O$1),FALSE)*VLOOKUP($D234,素材!$1:$1016,COLUMN($E$1),FALSE)/(LEN(VLOOKUP($D234,素材!$1:$1016,COLUMN($F$1),FALSE))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BD234">
        <f>IF(ISNUMBER(SEARCH(SUBSTITUTE(BD$1,RIGHT(BD$1,2),""),VLOOKUP($D234,素材!$1:$1016,COLUMN($F$1),FALSE))),VLOOKUP($C234,装備品!$1:$998,COLUMN($O$1),FALSE)*VLOOKUP($D234,素材!$1:$1016,COLUMN($E$1),FALSE)/(LEN(VLOOKUP($D234,素材!$1:$1016,COLUMN($F$1),FALSE))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BE234">
        <f>IF(ISNUMBER(SEARCH(SUBSTITUTE(BE$1,RIGHT(BE$1,2),""),VLOOKUP($D234,素材!$1:$1016,COLUMN($F$1),FALSE))),VLOOKUP($C234,装備品!$1:$998,COLUMN($O$1),FALSE)*VLOOKUP($D234,素材!$1:$1016,COLUMN($E$1),FALSE)/(LEN(VLOOKUP($D234,素材!$1:$1016,COLUMN($F$1),FALSE))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CL234">
        <f t="shared" si="35"/>
        <v>24</v>
      </c>
      <c r="CM234" s="22" t="str">
        <f t="shared" si="36"/>
        <v>切断.webp</v>
      </c>
      <c r="CN234">
        <f>IFERROR(VLOOKUP($C234,装備品!$1:$998,COLUMN(V$1),FALSE)*VLOOKUP($D234,素材!$1:$1016,COLUMN(N$1),FALSE)+IF(CI234="",0,VLOOKUP($CI234,付与!$1:$1176,COLUMN($CK$1),FALSE)),"")</f>
        <v>0</v>
      </c>
      <c r="CO234">
        <f>VLOOKUP(D234,素材!$A:$O,COLUMN(素材!O$1),FALSE)</f>
        <v>0</v>
      </c>
      <c r="CP234" t="str">
        <f>VLOOKUP(C234,装備品!$A:$AB,COLUMN(装備品!AB$1),FALSE)</f>
        <v>剣。短い剣で片手で扱いやすく、初心者向けの武器。</v>
      </c>
      <c r="CR234" t="str">
        <f t="shared" si="37"/>
        <v>e_234</v>
      </c>
      <c r="CS234">
        <f t="shared" si="38"/>
        <v>0</v>
      </c>
    </row>
    <row r="235" spans="1:97" outlineLevel="1" x14ac:dyDescent="0.4">
      <c r="A235" t="str">
        <f t="shared" si="39"/>
        <v>熱鉄の広剣</v>
      </c>
      <c r="B235" t="str">
        <f>IFERROR(VLOOKUP($D235,素材!$1:$1016,COLUMN($B$1),FALSE)&amp;"・"&amp;VLOOKUP($C235,装備品!$1:$998,COLUMN(B$1),FALSE),"")</f>
        <v>ヒートスティール・ブロードソード</v>
      </c>
      <c r="C235" s="24" t="s">
        <v>238</v>
      </c>
      <c r="D235" s="24" t="s">
        <v>204</v>
      </c>
      <c r="E235" t="str">
        <f>IFERROR(VLOOKUP(C235,装備品!$1:$998,COLUMN(C$1),FALSE),"")</f>
        <v>武器</v>
      </c>
      <c r="F235">
        <f>IFERROR(ROUNDDOWN((VLOOKUP($C235,装備品!$1:$998,COLUMN(D$1),FALSE)+IFERROR(VLOOKUP($CI235,付与!$1:$1167,COLUMN(F$1),FALSE),0))*VLOOKUP($D235,素材!$1:$1016,COLUMN(D$1),FALSE),0),"")</f>
        <v>110</v>
      </c>
      <c r="G235">
        <f>IFERROR(ROUNDDOWN((VLOOKUP($C235,装備品!$1:$998,COLUMN(E$1),FALSE)+IFERROR(VLOOKUP($CI235,付与!$1:$1167,COLUMN(G$1),FALSE),0))*VLOOKUP($D235,素材!$1:$1016,COLUMN($E$1),FALSE),0),"")</f>
        <v>12</v>
      </c>
      <c r="H235">
        <f>IFERROR(ROUNDDOWN((VLOOKUP($C235,装備品!$1:$998,COLUMN(F$1),FALSE)+IFERROR(VLOOKUP($CI235,付与!$1:$1167,COLUMN(H$1),FALSE),0))*VLOOKUP($D235,素材!$1:$1016,COLUMN($E$1),FALSE),0),"")</f>
        <v>8</v>
      </c>
      <c r="I235">
        <f>IFERROR(ROUNDDOWN((VLOOKUP($C235,装備品!$1:$998,COLUMN(G$1),FALSE)+IFERROR(VLOOKUP($CI235,付与!$1:$1167,COLUMN(I$1),FALSE),0))*VLOOKUP($D235,素材!$1:$1016,COLUMN($E$1),FALSE),0),"")</f>
        <v>3</v>
      </c>
      <c r="J235">
        <f>IFERROR(ROUNDDOWN((VLOOKUP($C235,装備品!$1:$998,COLUMN(H$1),FALSE)+IFERROR(VLOOKUP($CI235,付与!$1:$1167,COLUMN(J$1),FALSE),0))*VLOOKUP($D235,素材!$1:$1016,COLUMN($E$1),FALSE),0),"")</f>
        <v>23</v>
      </c>
      <c r="K235">
        <f>IFERROR(ROUNDDOWN((VLOOKUP($C235,装備品!$1:$998,COLUMN(I$1),FALSE)+IFERROR(VLOOKUP($CI235,付与!$1:$1167,COLUMN(K$1),FALSE),0))*VLOOKUP($D235,素材!$1:$1016,COLUMN($E$1),FALSE),0),"")</f>
        <v>0</v>
      </c>
      <c r="L235" t="str">
        <f>IFERROR(VLOOKUP($D235,素材!$1:$1016,COLUMN($F$1),FALSE),"")</f>
        <v>炎</v>
      </c>
      <c r="M235">
        <f>IFERROR(VLOOKUP($C235,装備品!$1:$998,COLUMN(AA$1),FALSE)*VLOOKUP($D235,素材!$1:$1016,COLUMN($G$1),FALSE),"")</f>
        <v>70</v>
      </c>
      <c r="N235">
        <f>IFERROR(VLOOKUP($C235,装備品!$1:$998,COLUMN(I$1),FALSE),"")</f>
        <v>0</v>
      </c>
      <c r="O235" s="23">
        <f>IFERROR((VLOOKUP($C235,装備品!$1:$998,COLUMN(K$1),FALSE)+VLOOKUP($D235,素材!$1:$1016,COLUMN(H$1),FALSE))*100+IFERROR(VLOOKUP($CI235,付与!$1:$1167,COLUMN(O$1),FALSE),0),"")</f>
        <v>10</v>
      </c>
      <c r="P235" s="23">
        <f>IFERROR((VLOOKUP($C235,装備品!$1:$998,COLUMN(L$1),FALSE)+VLOOKUP($D235,素材!$1:$1016,COLUMN(I$1),FALSE))*100+IFERROR(VLOOKUP($CI235,付与!$1:$1167,COLUMN(P$1),FALSE),0),"")</f>
        <v>150</v>
      </c>
      <c r="Q235">
        <f>IFERROR(ROUNDUP(VLOOKUP($C235,装備品!$1:$998,COLUMN(M$1),FALSE)*(VLOOKUP($D235,素材!$1:$1002,COLUMN(D$1),FALSE)/100),1),"")</f>
        <v>-2.5</v>
      </c>
      <c r="R235">
        <f>IFERROR(ROUNDUP(VLOOKUP($C235,装備品!$1:$998,COLUMN(N$1),FALSE)*(VLOOKUP($D235,素材!$1:$1002,COLUMN(D$1),FALSE)/100),1),"")</f>
        <v>-2.5</v>
      </c>
      <c r="S235">
        <f>IFERROR(VLOOKUP($C235,装備品!$1:$998,COLUMN(P$1),FALSE),"")</f>
        <v>0</v>
      </c>
      <c r="T235">
        <f>IFERROR(VLOOKUP($C235,装備品!$1:$998,COLUMN(Q$1),FALSE),"")</f>
        <v>0</v>
      </c>
      <c r="U235">
        <f>IFERROR(VLOOKUP($C235,装備品!$1:$998,COLUMN(R$1),FALSE),"")</f>
        <v>0</v>
      </c>
      <c r="V235">
        <f>IFERROR(VLOOKUP($C235,装備品!$1:$998,COLUMN(Q$1),FALSE),"")</f>
        <v>0</v>
      </c>
      <c r="W235">
        <f>IFERROR(VLOOKUP($C235,装備品!$1:$998,COLUMN(T$1),FALSE),"")</f>
        <v>0</v>
      </c>
      <c r="Y235">
        <f>IFERROR(VLOOKUP($C235,装備品!$1:$998,COLUMN(U$1),FALSE),"")</f>
        <v>0</v>
      </c>
      <c r="Z235">
        <f>IFERROR(ROUNDUP(VLOOKUP($C235,装備品!$1:$998,COLUMN(O$1),FALSE)*VLOOKUP($D235,素材!$1:$1016,COLUMN(E$1),FALSE),1),"")</f>
        <v>0</v>
      </c>
      <c r="AA235">
        <f>IF(ISNUMBER(SEARCH(SUBSTITUTE(AA$1,RIGHT(AA$1,2),""),VLOOKUP($D235,素材!$1:$1016,COLUMN($F$1),FALSE))),VLOOKUP($C235,装備品!$1:$998,COLUMN($O$1),FALSE)*VLOOKUP($D235,素材!$1:$1016,COLUMN($E$1),FALSE)/(LEN(VLOOKUP($D235,素材!$1:$1016,COLUMN($F$1),FALSE))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B235">
        <f>IF(ISNUMBER(SEARCH(SUBSTITUTE(AB$1,RIGHT(AB$1,2),""),VLOOKUP($D235,素材!$1:$1016,COLUMN($F$1),FALSE))),VLOOKUP($C235,装備品!$1:$998,COLUMN($O$1),FALSE)*VLOOKUP($D235,素材!$1:$1016,COLUMN($E$1),FALSE)/(LEN(VLOOKUP($D235,素材!$1:$1016,COLUMN($F$1),FALSE))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C235">
        <f>IF(ISNUMBER(SEARCH(SUBSTITUTE(AC$1,RIGHT(AC$1,2),""),VLOOKUP($D235,素材!$1:$1016,COLUMN($F$1),FALSE))),VLOOKUP($C235,装備品!$1:$998,COLUMN($O$1),FALSE)*VLOOKUP($D235,素材!$1:$1016,COLUMN($E$1),FALSE)/(LEN(VLOOKUP($D235,素材!$1:$1016,COLUMN($F$1),FALSE))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D235">
        <f>IF(ISNUMBER(SEARCH(SUBSTITUTE(AD$1,RIGHT(AD$1,2),""),VLOOKUP($D235,素材!$1:$1016,COLUMN($F$1),FALSE))),VLOOKUP($C235,装備品!$1:$998,COLUMN($O$1),FALSE)*VLOOKUP($D235,素材!$1:$1016,COLUMN($E$1),FALSE)/(LEN(VLOOKUP($D235,素材!$1:$1016,COLUMN($F$1),FALSE))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E235">
        <f>IF(ISNUMBER(SEARCH(SUBSTITUTE(AE$1,RIGHT(AE$1,2),""),VLOOKUP($D235,素材!$1:$1016,COLUMN($F$1),FALSE))),VLOOKUP($C235,装備品!$1:$998,COLUMN($O$1),FALSE)*VLOOKUP($D235,素材!$1:$1016,COLUMN($E$1),FALSE)/(LEN(VLOOKUP($D235,素材!$1:$1016,COLUMN($F$1),FALSE))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F235">
        <f>IF(ISNUMBER(SEARCH(SUBSTITUTE(AF$1,RIGHT(AF$1,2),""),VLOOKUP($D235,素材!$1:$1016,COLUMN($F$1),FALSE))),VLOOKUP($C235,装備品!$1:$998,COLUMN($O$1),FALSE)*VLOOKUP($D235,素材!$1:$1016,COLUMN($E$1),FALSE)/(LEN(VLOOKUP($D235,素材!$1:$1016,COLUMN($F$1),FALSE))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G235">
        <f>IF(ISNUMBER(SEARCH(SUBSTITUTE(AG$1,RIGHT(AG$1,2),""),VLOOKUP($D235,素材!$1:$1016,COLUMN($F$1),FALSE))),VLOOKUP($C235,装備品!$1:$998,COLUMN($O$1),FALSE)*VLOOKUP($D235,素材!$1:$1016,COLUMN($E$1),FALSE)/(LEN(VLOOKUP($D235,素材!$1:$1016,COLUMN($F$1),FALSE))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H235">
        <f>IF(ISNUMBER(SEARCH(SUBSTITUTE(AH$1,RIGHT(AH$1,2),""),VLOOKUP($D235,素材!$1:$1016,COLUMN($F$1),FALSE))),VLOOKUP($C235,装備品!$1:$998,COLUMN($O$1),FALSE)*VLOOKUP($D235,素材!$1:$1016,COLUMN($E$1),FALSE)/(LEN(VLOOKUP($D235,素材!$1:$1016,COLUMN($F$1),FALSE))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I235">
        <f>IF(ISNUMBER(SEARCH(SUBSTITUTE(AI$1,RIGHT(AI$1,2),""),VLOOKUP($D235,素材!$1:$1016,COLUMN($F$1),FALSE))),VLOOKUP($C235,装備品!$1:$998,COLUMN($O$1),FALSE)*VLOOKUP($D235,素材!$1:$1016,COLUMN($E$1),FALSE)/(LEN(VLOOKUP($D235,素材!$1:$1016,COLUMN($F$1),FALSE))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J235">
        <f>IF(ISNUMBER(SEARCH(SUBSTITUTE(AJ$1,RIGHT(AJ$1,2),""),VLOOKUP($D235,素材!$1:$1016,COLUMN($F$1),FALSE))),VLOOKUP($C235,装備品!$1:$998,COLUMN($O$1),FALSE)*VLOOKUP($D235,素材!$1:$1016,COLUMN($E$1),FALSE)/(LEN(VLOOKUP($D235,素材!$1:$1016,COLUMN($F$1),FALSE))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K235">
        <f>IF(ISNUMBER(SEARCH(SUBSTITUTE(AK$1,RIGHT(AK$1,2),""),VLOOKUP($D235,素材!$1:$1016,COLUMN($F$1),FALSE))),VLOOKUP($C235,装備品!$1:$998,COLUMN($O$1),FALSE)*VLOOKUP($D235,素材!$1:$1016,COLUMN($E$1),FALSE)/(LEN(VLOOKUP($D235,素材!$1:$1016,COLUMN($F$1),FALSE))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L235">
        <f>IF(ISNUMBER(SEARCH(SUBSTITUTE(AL$1,RIGHT(AL$1,2),""),VLOOKUP($D235,素材!$1:$1016,COLUMN($F$1),FALSE))),VLOOKUP($C235,装備品!$1:$998,COLUMN($O$1),FALSE)*VLOOKUP($D235,素材!$1:$1016,COLUMN($E$1),FALSE)/(LEN(VLOOKUP($D235,素材!$1:$1016,COLUMN($F$1),FALSE))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M235">
        <f>IF(ISNUMBER(SEARCH(SUBSTITUTE(AM$1,RIGHT(AM$1,2),""),VLOOKUP($D235,素材!$1:$1016,COLUMN($F$1),FALSE))),VLOOKUP($C235,装備品!$1:$998,COLUMN($O$1),FALSE)*VLOOKUP($D235,素材!$1:$1016,COLUMN($E$1),FALSE)/(LEN(VLOOKUP($D235,素材!$1:$1016,COLUMN($F$1),FALSE))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N235">
        <f>IF(ISNUMBER(SEARCH(SUBSTITUTE(AN$1,RIGHT(AN$1,2),""),VLOOKUP($D235,素材!$1:$1016,COLUMN($F$1),FALSE))),VLOOKUP($C235,装備品!$1:$998,COLUMN($O$1),FALSE)*VLOOKUP($D235,素材!$1:$1016,COLUMN($E$1),FALSE)/(LEN(VLOOKUP($D235,素材!$1:$1016,COLUMN($F$1),FALSE))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O235">
        <f>IF(ISNUMBER(SEARCH(SUBSTITUTE(AO$1,RIGHT(AO$1,2),""),VLOOKUP($D235,素材!$1:$1016,COLUMN($F$1),FALSE))),VLOOKUP($C235,装備品!$1:$998,COLUMN($O$1),FALSE)*VLOOKUP($D235,素材!$1:$1016,COLUMN($E$1),FALSE)/(LEN(VLOOKUP($D235,素材!$1:$1016,COLUMN($F$1),FALSE))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P235">
        <f>IF(ISNUMBER(SEARCH(SUBSTITUTE(AP$1,RIGHT(AP$1,2),""),VLOOKUP($D235,素材!$1:$1016,COLUMN($F$1),FALSE))),VLOOKUP($C235,装備品!$1:$998,COLUMN($O$1),FALSE)*VLOOKUP($D235,素材!$1:$1016,COLUMN($E$1),FALSE)/(LEN(VLOOKUP($D235,素材!$1:$1016,COLUMN($F$1),FALSE))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Q235">
        <f>IF(ISNUMBER(SEARCH(SUBSTITUTE(AQ$1,RIGHT(AQ$1,2),""),VLOOKUP($D235,素材!$1:$1016,COLUMN($F$1),FALSE))),VLOOKUP($C235,装備品!$1:$998,COLUMN($O$1),FALSE)*VLOOKUP($D235,素材!$1:$1016,COLUMN($E$1),FALSE)/(LEN(VLOOKUP($D235,素材!$1:$1016,COLUMN($F$1),FALSE))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R235">
        <f>IF(ISNUMBER(SEARCH(SUBSTITUTE(AR$1,RIGHT(AR$1,2),""),VLOOKUP($D235,素材!$1:$1016,COLUMN($F$1),FALSE))),VLOOKUP($C235,装備品!$1:$998,COLUMN($O$1),FALSE)*VLOOKUP($D235,素材!$1:$1016,COLUMN($E$1),FALSE)/(LEN(VLOOKUP($D235,素材!$1:$1016,COLUMN($F$1),FALSE))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S235">
        <f>IF(ISNUMBER(SEARCH(SUBSTITUTE(AS$1,RIGHT(AS$1,2),""),VLOOKUP($D235,素材!$1:$1016,COLUMN($F$1),FALSE))),VLOOKUP($C235,装備品!$1:$998,COLUMN($O$1),FALSE)*VLOOKUP($D235,素材!$1:$1016,COLUMN($E$1),FALSE)/(LEN(VLOOKUP($D235,素材!$1:$1016,COLUMN($F$1),FALSE))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T235">
        <f>IF(ISNUMBER(SEARCH(SUBSTITUTE(AT$1,RIGHT(AT$1,2),""),VLOOKUP($D235,素材!$1:$1016,COLUMN($F$1),FALSE))),VLOOKUP($C235,装備品!$1:$998,COLUMN($O$1),FALSE)*VLOOKUP($D235,素材!$1:$1016,COLUMN($E$1),FALSE)/(LEN(VLOOKUP($D235,素材!$1:$1016,COLUMN($F$1),FALSE))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U235">
        <f>IF(ISNUMBER(SEARCH(SUBSTITUTE(AU$1,RIGHT(AU$1,2),""),VLOOKUP($D235,素材!$1:$1016,COLUMN($F$1),FALSE))),VLOOKUP($C235,装備品!$1:$998,COLUMN($O$1),FALSE)*VLOOKUP($D235,素材!$1:$1016,COLUMN($E$1),FALSE)/(LEN(VLOOKUP($D235,素材!$1:$1016,COLUMN($F$1),FALSE))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V235">
        <f>IF(ISNUMBER(SEARCH(SUBSTITUTE(AV$1,RIGHT(AV$1,2),""),VLOOKUP($D235,素材!$1:$1016,COLUMN($F$1),FALSE))),VLOOKUP($C235,装備品!$1:$998,COLUMN($O$1),FALSE)*VLOOKUP($D235,素材!$1:$1016,COLUMN($E$1),FALSE)/(LEN(VLOOKUP($D235,素材!$1:$1016,COLUMN($F$1),FALSE))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W235">
        <f>IF(ISNUMBER(SEARCH(SUBSTITUTE(AW$1,RIGHT(AW$1,2),""),VLOOKUP($D235,素材!$1:$1016,COLUMN($F$1),FALSE))),VLOOKUP($C235,装備品!$1:$998,COLUMN($O$1),FALSE)*VLOOKUP($D235,素材!$1:$1016,COLUMN($E$1),FALSE)/(LEN(VLOOKUP($D235,素材!$1:$1016,COLUMN($F$1),FALSE))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X235">
        <f>IF(ISNUMBER(SEARCH(SUBSTITUTE(AX$1,RIGHT(AX$1,2),""),VLOOKUP($D235,素材!$1:$1016,COLUMN($F$1),FALSE))),VLOOKUP($C235,装備品!$1:$998,COLUMN($O$1),FALSE)*VLOOKUP($D235,素材!$1:$1016,COLUMN($E$1),FALSE)/(LEN(VLOOKUP($D235,素材!$1:$1016,COLUMN($F$1),FALSE))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Y235">
        <f>IF(ISNUMBER(SEARCH(SUBSTITUTE(AY$1,RIGHT(AY$1,2),""),VLOOKUP($D235,素材!$1:$1016,COLUMN($F$1),FALSE))),VLOOKUP($C235,装備品!$1:$998,COLUMN($O$1),FALSE)*VLOOKUP($D235,素材!$1:$1016,COLUMN($E$1),FALSE)/(LEN(VLOOKUP($D235,素材!$1:$1016,COLUMN($F$1),FALSE))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Z235">
        <f>IF(ISNUMBER(SEARCH(SUBSTITUTE(AZ$1,RIGHT(AZ$1,2),""),VLOOKUP($D235,素材!$1:$1016,COLUMN($F$1),FALSE))),VLOOKUP($C235,装備品!$1:$998,COLUMN($O$1),FALSE)*VLOOKUP($D235,素材!$1:$1016,COLUMN($E$1),FALSE)/(LEN(VLOOKUP($D235,素材!$1:$1016,COLUMN($F$1),FALSE))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BA235">
        <f>IF(ISNUMBER(SEARCH(SUBSTITUTE(BA$1,RIGHT(BA$1,2),""),VLOOKUP($D235,素材!$1:$1016,COLUMN($F$1),FALSE))),VLOOKUP($C235,装備品!$1:$998,COLUMN($O$1),FALSE)*VLOOKUP($D235,素材!$1:$1016,COLUMN($E$1),FALSE)/(LEN(VLOOKUP($D235,素材!$1:$1016,COLUMN($F$1),FALSE))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BB235">
        <f>IF(ISNUMBER(SEARCH(SUBSTITUTE(BB$1,RIGHT(BB$1,2),""),VLOOKUP($D235,素材!$1:$1016,COLUMN($F$1),FALSE))),VLOOKUP($C235,装備品!$1:$998,COLUMN($O$1),FALSE)*VLOOKUP($D235,素材!$1:$1016,COLUMN($E$1),FALSE)/(LEN(VLOOKUP($D235,素材!$1:$1016,COLUMN($F$1),FALSE))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BC235">
        <f>IF(ISNUMBER(SEARCH(SUBSTITUTE(BC$1,RIGHT(BC$1,2),""),VLOOKUP($D235,素材!$1:$1016,COLUMN($F$1),FALSE))),VLOOKUP($C235,装備品!$1:$998,COLUMN($O$1),FALSE)*VLOOKUP($D235,素材!$1:$1016,COLUMN($E$1),FALSE)/(LEN(VLOOKUP($D235,素材!$1:$1016,COLUMN($F$1),FALSE))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BD235">
        <f>IF(ISNUMBER(SEARCH(SUBSTITUTE(BD$1,RIGHT(BD$1,2),""),VLOOKUP($D235,素材!$1:$1016,COLUMN($F$1),FALSE))),VLOOKUP($C235,装備品!$1:$998,COLUMN($O$1),FALSE)*VLOOKUP($D235,素材!$1:$1016,COLUMN($E$1),FALSE)/(LEN(VLOOKUP($D235,素材!$1:$1016,COLUMN($F$1),FALSE))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BE235">
        <f>IF(ISNUMBER(SEARCH(SUBSTITUTE(BE$1,RIGHT(BE$1,2),""),VLOOKUP($D235,素材!$1:$1016,COLUMN($F$1),FALSE))),VLOOKUP($C235,装備品!$1:$998,COLUMN($O$1),FALSE)*VLOOKUP($D235,素材!$1:$1016,COLUMN($E$1),FALSE)/(LEN(VLOOKUP($D235,素材!$1:$1016,COLUMN($F$1),FALSE))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CL235">
        <f t="shared" si="35"/>
        <v>23</v>
      </c>
      <c r="CM235" s="22" t="str">
        <f t="shared" si="36"/>
        <v>切断.webp</v>
      </c>
      <c r="CN235">
        <f>IFERROR(VLOOKUP($C235,装備品!$1:$998,COLUMN(V$1),FALSE)*VLOOKUP($D235,素材!$1:$1016,COLUMN(N$1),FALSE)+IF(CI235="",0,VLOOKUP($CI235,付与!$1:$1176,COLUMN($CK$1),FALSE)),"")</f>
        <v>0</v>
      </c>
      <c r="CO235">
        <f>VLOOKUP(D235,素材!$A:$O,COLUMN(素材!O$1),FALSE)</f>
        <v>0</v>
      </c>
      <c r="CP235" t="str">
        <f>VLOOKUP(C235,装備品!$A:$AB,COLUMN(装備品!AB$1),FALSE)</f>
        <v>幅の広い剣。扱いにくいが攻撃と防御にも優れている。状況に合わせて立ち回ろう。</v>
      </c>
      <c r="CR235" t="str">
        <f t="shared" si="37"/>
        <v>e_235</v>
      </c>
      <c r="CS235">
        <f t="shared" si="38"/>
        <v>0</v>
      </c>
    </row>
    <row r="236" spans="1:97" outlineLevel="1" x14ac:dyDescent="0.4">
      <c r="A236" t="str">
        <f t="shared" si="39"/>
        <v>熱鉄の長剣</v>
      </c>
      <c r="B236" t="str">
        <f>IFERROR(VLOOKUP($D236,素材!$1:$1016,COLUMN($B$1),FALSE)&amp;"・"&amp;VLOOKUP($C236,装備品!$1:$998,COLUMN(B$1),FALSE),"")</f>
        <v>ヒートスティール・ロングソード</v>
      </c>
      <c r="C236" s="24" t="s">
        <v>237</v>
      </c>
      <c r="D236" s="24" t="s">
        <v>204</v>
      </c>
      <c r="E236" t="str">
        <f>IFERROR(VLOOKUP(C236,装備品!$1:$998,COLUMN(C$1),FALSE),"")</f>
        <v>武器</v>
      </c>
      <c r="F236">
        <f>IFERROR(ROUNDDOWN((VLOOKUP($C236,装備品!$1:$998,COLUMN(D$1),FALSE)+IFERROR(VLOOKUP($CI236,付与!$1:$1167,COLUMN(F$1),FALSE),0))*VLOOKUP($D236,素材!$1:$1016,COLUMN(D$1),FALSE),0),"")</f>
        <v>115</v>
      </c>
      <c r="G236">
        <f>IFERROR(ROUNDDOWN((VLOOKUP($C236,装備品!$1:$998,COLUMN(E$1),FALSE)+IFERROR(VLOOKUP($CI236,付与!$1:$1167,COLUMN(G$1),FALSE),0))*VLOOKUP($D236,素材!$1:$1016,COLUMN($E$1),FALSE),0),"")</f>
        <v>15</v>
      </c>
      <c r="H236">
        <f>IFERROR(ROUNDDOWN((VLOOKUP($C236,装備品!$1:$998,COLUMN(F$1),FALSE)+IFERROR(VLOOKUP($CI236,付与!$1:$1167,COLUMN(H$1),FALSE),0))*VLOOKUP($D236,素材!$1:$1016,COLUMN($E$1),FALSE),0),"")</f>
        <v>9</v>
      </c>
      <c r="I236">
        <f>IFERROR(ROUNDDOWN((VLOOKUP($C236,装備品!$1:$998,COLUMN(G$1),FALSE)+IFERROR(VLOOKUP($CI236,付与!$1:$1167,COLUMN(I$1),FALSE),0))*VLOOKUP($D236,素材!$1:$1016,COLUMN($E$1),FALSE),0),"")</f>
        <v>3</v>
      </c>
      <c r="J236">
        <f>IFERROR(ROUNDDOWN((VLOOKUP($C236,装備品!$1:$998,COLUMN(H$1),FALSE)+IFERROR(VLOOKUP($CI236,付与!$1:$1167,COLUMN(J$1),FALSE),0))*VLOOKUP($D236,素材!$1:$1016,COLUMN($E$1),FALSE),0),"")</f>
        <v>20</v>
      </c>
      <c r="K236">
        <f>IFERROR(ROUNDDOWN((VLOOKUP($C236,装備品!$1:$998,COLUMN(I$1),FALSE)+IFERROR(VLOOKUP($CI236,付与!$1:$1167,COLUMN(K$1),FALSE),0))*VLOOKUP($D236,素材!$1:$1016,COLUMN($E$1),FALSE),0),"")</f>
        <v>0</v>
      </c>
      <c r="L236" t="str">
        <f>IFERROR(VLOOKUP($D236,素材!$1:$1016,COLUMN($F$1),FALSE),"")</f>
        <v>炎</v>
      </c>
      <c r="M236">
        <f>IFERROR(VLOOKUP($C236,装備品!$1:$998,COLUMN(AA$1),FALSE)*VLOOKUP($D236,素材!$1:$1016,COLUMN($G$1),FALSE),"")</f>
        <v>70</v>
      </c>
      <c r="N236">
        <f>IFERROR(VLOOKUP($C236,装備品!$1:$998,COLUMN(I$1),FALSE),"")</f>
        <v>0</v>
      </c>
      <c r="O236" s="23">
        <f>IFERROR((VLOOKUP($C236,装備品!$1:$998,COLUMN(K$1),FALSE)+VLOOKUP($D236,素材!$1:$1016,COLUMN(H$1),FALSE))*100+IFERROR(VLOOKUP($CI236,付与!$1:$1167,COLUMN(O$1),FALSE),0),"")</f>
        <v>10</v>
      </c>
      <c r="P236" s="23">
        <f>IFERROR((VLOOKUP($C236,装備品!$1:$998,COLUMN(L$1),FALSE)+VLOOKUP($D236,素材!$1:$1016,COLUMN(I$1),FALSE))*100+IFERROR(VLOOKUP($CI236,付与!$1:$1167,COLUMN(P$1),FALSE),0),"")</f>
        <v>150</v>
      </c>
      <c r="Q236">
        <f>IFERROR(ROUNDUP(VLOOKUP($C236,装備品!$1:$998,COLUMN(M$1),FALSE)*(VLOOKUP($D236,素材!$1:$1002,COLUMN(D$1),FALSE)/100),1),"")</f>
        <v>-2.5</v>
      </c>
      <c r="R236">
        <f>IFERROR(ROUNDUP(VLOOKUP($C236,装備品!$1:$998,COLUMN(N$1),FALSE)*(VLOOKUP($D236,素材!$1:$1002,COLUMN(D$1),FALSE)/100),1),"")</f>
        <v>-2.5</v>
      </c>
      <c r="S236">
        <f>IFERROR(VLOOKUP($C236,装備品!$1:$998,COLUMN(P$1),FALSE),"")</f>
        <v>0</v>
      </c>
      <c r="T236">
        <f>IFERROR(VLOOKUP($C236,装備品!$1:$998,COLUMN(Q$1),FALSE),"")</f>
        <v>0</v>
      </c>
      <c r="U236">
        <f>IFERROR(VLOOKUP($C236,装備品!$1:$998,COLUMN(R$1),FALSE),"")</f>
        <v>0</v>
      </c>
      <c r="V236">
        <f>IFERROR(VLOOKUP($C236,装備品!$1:$998,COLUMN(Q$1),FALSE),"")</f>
        <v>0</v>
      </c>
      <c r="W236">
        <f>IFERROR(VLOOKUP($C236,装備品!$1:$998,COLUMN(T$1),FALSE),"")</f>
        <v>0</v>
      </c>
      <c r="Y236">
        <f>IFERROR(VLOOKUP($C236,装備品!$1:$998,COLUMN(U$1),FALSE),"")</f>
        <v>0</v>
      </c>
      <c r="Z236">
        <f>IFERROR(ROUNDUP(VLOOKUP($C236,装備品!$1:$998,COLUMN(O$1),FALSE)*VLOOKUP($D236,素材!$1:$1016,COLUMN(E$1),FALSE),1),"")</f>
        <v>0</v>
      </c>
      <c r="AA236">
        <f>IF(ISNUMBER(SEARCH(SUBSTITUTE(AA$1,RIGHT(AA$1,2),""),VLOOKUP($D236,素材!$1:$1016,COLUMN($F$1),FALSE))),VLOOKUP($C236,装備品!$1:$998,COLUMN($O$1),FALSE)*VLOOKUP($D236,素材!$1:$1016,COLUMN($E$1),FALSE)/(LEN(VLOOKUP($D236,素材!$1:$1016,COLUMN($F$1),FALSE))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B236">
        <f>IF(ISNUMBER(SEARCH(SUBSTITUTE(AB$1,RIGHT(AB$1,2),""),VLOOKUP($D236,素材!$1:$1016,COLUMN($F$1),FALSE))),VLOOKUP($C236,装備品!$1:$998,COLUMN($O$1),FALSE)*VLOOKUP($D236,素材!$1:$1016,COLUMN($E$1),FALSE)/(LEN(VLOOKUP($D236,素材!$1:$1016,COLUMN($F$1),FALSE))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C236">
        <f>IF(ISNUMBER(SEARCH(SUBSTITUTE(AC$1,RIGHT(AC$1,2),""),VLOOKUP($D236,素材!$1:$1016,COLUMN($F$1),FALSE))),VLOOKUP($C236,装備品!$1:$998,COLUMN($O$1),FALSE)*VLOOKUP($D236,素材!$1:$1016,COLUMN($E$1),FALSE)/(LEN(VLOOKUP($D236,素材!$1:$1016,COLUMN($F$1),FALSE))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D236">
        <f>IF(ISNUMBER(SEARCH(SUBSTITUTE(AD$1,RIGHT(AD$1,2),""),VLOOKUP($D236,素材!$1:$1016,COLUMN($F$1),FALSE))),VLOOKUP($C236,装備品!$1:$998,COLUMN($O$1),FALSE)*VLOOKUP($D236,素材!$1:$1016,COLUMN($E$1),FALSE)/(LEN(VLOOKUP($D236,素材!$1:$1016,COLUMN($F$1),FALSE))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E236">
        <f>IF(ISNUMBER(SEARCH(SUBSTITUTE(AE$1,RIGHT(AE$1,2),""),VLOOKUP($D236,素材!$1:$1016,COLUMN($F$1),FALSE))),VLOOKUP($C236,装備品!$1:$998,COLUMN($O$1),FALSE)*VLOOKUP($D236,素材!$1:$1016,COLUMN($E$1),FALSE)/(LEN(VLOOKUP($D236,素材!$1:$1016,COLUMN($F$1),FALSE))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F236">
        <f>IF(ISNUMBER(SEARCH(SUBSTITUTE(AF$1,RIGHT(AF$1,2),""),VLOOKUP($D236,素材!$1:$1016,COLUMN($F$1),FALSE))),VLOOKUP($C236,装備品!$1:$998,COLUMN($O$1),FALSE)*VLOOKUP($D236,素材!$1:$1016,COLUMN($E$1),FALSE)/(LEN(VLOOKUP($D236,素材!$1:$1016,COLUMN($F$1),FALSE))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G236">
        <f>IF(ISNUMBER(SEARCH(SUBSTITUTE(AG$1,RIGHT(AG$1,2),""),VLOOKUP($D236,素材!$1:$1016,COLUMN($F$1),FALSE))),VLOOKUP($C236,装備品!$1:$998,COLUMN($O$1),FALSE)*VLOOKUP($D236,素材!$1:$1016,COLUMN($E$1),FALSE)/(LEN(VLOOKUP($D236,素材!$1:$1016,COLUMN($F$1),FALSE))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H236">
        <f>IF(ISNUMBER(SEARCH(SUBSTITUTE(AH$1,RIGHT(AH$1,2),""),VLOOKUP($D236,素材!$1:$1016,COLUMN($F$1),FALSE))),VLOOKUP($C236,装備品!$1:$998,COLUMN($O$1),FALSE)*VLOOKUP($D236,素材!$1:$1016,COLUMN($E$1),FALSE)/(LEN(VLOOKUP($D236,素材!$1:$1016,COLUMN($F$1),FALSE))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I236">
        <f>IF(ISNUMBER(SEARCH(SUBSTITUTE(AI$1,RIGHT(AI$1,2),""),VLOOKUP($D236,素材!$1:$1016,COLUMN($F$1),FALSE))),VLOOKUP($C236,装備品!$1:$998,COLUMN($O$1),FALSE)*VLOOKUP($D236,素材!$1:$1016,COLUMN($E$1),FALSE)/(LEN(VLOOKUP($D236,素材!$1:$1016,COLUMN($F$1),FALSE))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J236">
        <f>IF(ISNUMBER(SEARCH(SUBSTITUTE(AJ$1,RIGHT(AJ$1,2),""),VLOOKUP($D236,素材!$1:$1016,COLUMN($F$1),FALSE))),VLOOKUP($C236,装備品!$1:$998,COLUMN($O$1),FALSE)*VLOOKUP($D236,素材!$1:$1016,COLUMN($E$1),FALSE)/(LEN(VLOOKUP($D236,素材!$1:$1016,COLUMN($F$1),FALSE))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K236">
        <f>IF(ISNUMBER(SEARCH(SUBSTITUTE(AK$1,RIGHT(AK$1,2),""),VLOOKUP($D236,素材!$1:$1016,COLUMN($F$1),FALSE))),VLOOKUP($C236,装備品!$1:$998,COLUMN($O$1),FALSE)*VLOOKUP($D236,素材!$1:$1016,COLUMN($E$1),FALSE)/(LEN(VLOOKUP($D236,素材!$1:$1016,COLUMN($F$1),FALSE))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L236">
        <f>IF(ISNUMBER(SEARCH(SUBSTITUTE(AL$1,RIGHT(AL$1,2),""),VLOOKUP($D236,素材!$1:$1016,COLUMN($F$1),FALSE))),VLOOKUP($C236,装備品!$1:$998,COLUMN($O$1),FALSE)*VLOOKUP($D236,素材!$1:$1016,COLUMN($E$1),FALSE)/(LEN(VLOOKUP($D236,素材!$1:$1016,COLUMN($F$1),FALSE))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M236">
        <f>IF(ISNUMBER(SEARCH(SUBSTITUTE(AM$1,RIGHT(AM$1,2),""),VLOOKUP($D236,素材!$1:$1016,COLUMN($F$1),FALSE))),VLOOKUP($C236,装備品!$1:$998,COLUMN($O$1),FALSE)*VLOOKUP($D236,素材!$1:$1016,COLUMN($E$1),FALSE)/(LEN(VLOOKUP($D236,素材!$1:$1016,COLUMN($F$1),FALSE))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N236">
        <f>IF(ISNUMBER(SEARCH(SUBSTITUTE(AN$1,RIGHT(AN$1,2),""),VLOOKUP($D236,素材!$1:$1016,COLUMN($F$1),FALSE))),VLOOKUP($C236,装備品!$1:$998,COLUMN($O$1),FALSE)*VLOOKUP($D236,素材!$1:$1016,COLUMN($E$1),FALSE)/(LEN(VLOOKUP($D236,素材!$1:$1016,COLUMN($F$1),FALSE))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O236">
        <f>IF(ISNUMBER(SEARCH(SUBSTITUTE(AO$1,RIGHT(AO$1,2),""),VLOOKUP($D236,素材!$1:$1016,COLUMN($F$1),FALSE))),VLOOKUP($C236,装備品!$1:$998,COLUMN($O$1),FALSE)*VLOOKUP($D236,素材!$1:$1016,COLUMN($E$1),FALSE)/(LEN(VLOOKUP($D236,素材!$1:$1016,COLUMN($F$1),FALSE))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P236">
        <f>IF(ISNUMBER(SEARCH(SUBSTITUTE(AP$1,RIGHT(AP$1,2),""),VLOOKUP($D236,素材!$1:$1016,COLUMN($F$1),FALSE))),VLOOKUP($C236,装備品!$1:$998,COLUMN($O$1),FALSE)*VLOOKUP($D236,素材!$1:$1016,COLUMN($E$1),FALSE)/(LEN(VLOOKUP($D236,素材!$1:$1016,COLUMN($F$1),FALSE))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Q236">
        <f>IF(ISNUMBER(SEARCH(SUBSTITUTE(AQ$1,RIGHT(AQ$1,2),""),VLOOKUP($D236,素材!$1:$1016,COLUMN($F$1),FALSE))),VLOOKUP($C236,装備品!$1:$998,COLUMN($O$1),FALSE)*VLOOKUP($D236,素材!$1:$1016,COLUMN($E$1),FALSE)/(LEN(VLOOKUP($D236,素材!$1:$1016,COLUMN($F$1),FALSE))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R236">
        <f>IF(ISNUMBER(SEARCH(SUBSTITUTE(AR$1,RIGHT(AR$1,2),""),VLOOKUP($D236,素材!$1:$1016,COLUMN($F$1),FALSE))),VLOOKUP($C236,装備品!$1:$998,COLUMN($O$1),FALSE)*VLOOKUP($D236,素材!$1:$1016,COLUMN($E$1),FALSE)/(LEN(VLOOKUP($D236,素材!$1:$1016,COLUMN($F$1),FALSE))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S236">
        <f>IF(ISNUMBER(SEARCH(SUBSTITUTE(AS$1,RIGHT(AS$1,2),""),VLOOKUP($D236,素材!$1:$1016,COLUMN($F$1),FALSE))),VLOOKUP($C236,装備品!$1:$998,COLUMN($O$1),FALSE)*VLOOKUP($D236,素材!$1:$1016,COLUMN($E$1),FALSE)/(LEN(VLOOKUP($D236,素材!$1:$1016,COLUMN($F$1),FALSE))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T236">
        <f>IF(ISNUMBER(SEARCH(SUBSTITUTE(AT$1,RIGHT(AT$1,2),""),VLOOKUP($D236,素材!$1:$1016,COLUMN($F$1),FALSE))),VLOOKUP($C236,装備品!$1:$998,COLUMN($O$1),FALSE)*VLOOKUP($D236,素材!$1:$1016,COLUMN($E$1),FALSE)/(LEN(VLOOKUP($D236,素材!$1:$1016,COLUMN($F$1),FALSE))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U236">
        <f>IF(ISNUMBER(SEARCH(SUBSTITUTE(AU$1,RIGHT(AU$1,2),""),VLOOKUP($D236,素材!$1:$1016,COLUMN($F$1),FALSE))),VLOOKUP($C236,装備品!$1:$998,COLUMN($O$1),FALSE)*VLOOKUP($D236,素材!$1:$1016,COLUMN($E$1),FALSE)/(LEN(VLOOKUP($D236,素材!$1:$1016,COLUMN($F$1),FALSE))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V236">
        <f>IF(ISNUMBER(SEARCH(SUBSTITUTE(AV$1,RIGHT(AV$1,2),""),VLOOKUP($D236,素材!$1:$1016,COLUMN($F$1),FALSE))),VLOOKUP($C236,装備品!$1:$998,COLUMN($O$1),FALSE)*VLOOKUP($D236,素材!$1:$1016,COLUMN($E$1),FALSE)/(LEN(VLOOKUP($D236,素材!$1:$1016,COLUMN($F$1),FALSE))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W236">
        <f>IF(ISNUMBER(SEARCH(SUBSTITUTE(AW$1,RIGHT(AW$1,2),""),VLOOKUP($D236,素材!$1:$1016,COLUMN($F$1),FALSE))),VLOOKUP($C236,装備品!$1:$998,COLUMN($O$1),FALSE)*VLOOKUP($D236,素材!$1:$1016,COLUMN($E$1),FALSE)/(LEN(VLOOKUP($D236,素材!$1:$1016,COLUMN($F$1),FALSE))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X236">
        <f>IF(ISNUMBER(SEARCH(SUBSTITUTE(AX$1,RIGHT(AX$1,2),""),VLOOKUP($D236,素材!$1:$1016,COLUMN($F$1),FALSE))),VLOOKUP($C236,装備品!$1:$998,COLUMN($O$1),FALSE)*VLOOKUP($D236,素材!$1:$1016,COLUMN($E$1),FALSE)/(LEN(VLOOKUP($D236,素材!$1:$1016,COLUMN($F$1),FALSE))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Y236">
        <f>IF(ISNUMBER(SEARCH(SUBSTITUTE(AY$1,RIGHT(AY$1,2),""),VLOOKUP($D236,素材!$1:$1016,COLUMN($F$1),FALSE))),VLOOKUP($C236,装備品!$1:$998,COLUMN($O$1),FALSE)*VLOOKUP($D236,素材!$1:$1016,COLUMN($E$1),FALSE)/(LEN(VLOOKUP($D236,素材!$1:$1016,COLUMN($F$1),FALSE))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Z236">
        <f>IF(ISNUMBER(SEARCH(SUBSTITUTE(AZ$1,RIGHT(AZ$1,2),""),VLOOKUP($D236,素材!$1:$1016,COLUMN($F$1),FALSE))),VLOOKUP($C236,装備品!$1:$998,COLUMN($O$1),FALSE)*VLOOKUP($D236,素材!$1:$1016,COLUMN($E$1),FALSE)/(LEN(VLOOKUP($D236,素材!$1:$1016,COLUMN($F$1),FALSE))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BA236">
        <f>IF(ISNUMBER(SEARCH(SUBSTITUTE(BA$1,RIGHT(BA$1,2),""),VLOOKUP($D236,素材!$1:$1016,COLUMN($F$1),FALSE))),VLOOKUP($C236,装備品!$1:$998,COLUMN($O$1),FALSE)*VLOOKUP($D236,素材!$1:$1016,COLUMN($E$1),FALSE)/(LEN(VLOOKUP($D236,素材!$1:$1016,COLUMN($F$1),FALSE))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BB236">
        <f>IF(ISNUMBER(SEARCH(SUBSTITUTE(BB$1,RIGHT(BB$1,2),""),VLOOKUP($D236,素材!$1:$1016,COLUMN($F$1),FALSE))),VLOOKUP($C236,装備品!$1:$998,COLUMN($O$1),FALSE)*VLOOKUP($D236,素材!$1:$1016,COLUMN($E$1),FALSE)/(LEN(VLOOKUP($D236,素材!$1:$1016,COLUMN($F$1),FALSE))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BC236">
        <f>IF(ISNUMBER(SEARCH(SUBSTITUTE(BC$1,RIGHT(BC$1,2),""),VLOOKUP($D236,素材!$1:$1016,COLUMN($F$1),FALSE))),VLOOKUP($C236,装備品!$1:$998,COLUMN($O$1),FALSE)*VLOOKUP($D236,素材!$1:$1016,COLUMN($E$1),FALSE)/(LEN(VLOOKUP($D236,素材!$1:$1016,COLUMN($F$1),FALSE))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BD236">
        <f>IF(ISNUMBER(SEARCH(SUBSTITUTE(BD$1,RIGHT(BD$1,2),""),VLOOKUP($D236,素材!$1:$1016,COLUMN($F$1),FALSE))),VLOOKUP($C236,装備品!$1:$998,COLUMN($O$1),FALSE)*VLOOKUP($D236,素材!$1:$1016,COLUMN($E$1),FALSE)/(LEN(VLOOKUP($D236,素材!$1:$1016,COLUMN($F$1),FALSE))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BE236">
        <f>IF(ISNUMBER(SEARCH(SUBSTITUTE(BE$1,RIGHT(BE$1,2),""),VLOOKUP($D236,素材!$1:$1016,COLUMN($F$1),FALSE))),VLOOKUP($C236,装備品!$1:$998,COLUMN($O$1),FALSE)*VLOOKUP($D236,素材!$1:$1016,COLUMN($E$1),FALSE)/(LEN(VLOOKUP($D236,素材!$1:$1016,COLUMN($F$1),FALSE))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CL236">
        <f t="shared" si="35"/>
        <v>27</v>
      </c>
      <c r="CM236" s="22" t="str">
        <f t="shared" si="36"/>
        <v>切断.webp</v>
      </c>
      <c r="CN236">
        <f>IFERROR(VLOOKUP($C236,装備品!$1:$998,COLUMN(V$1),FALSE)*VLOOKUP($D236,素材!$1:$1016,COLUMN(N$1),FALSE)+IF(CI236="",0,VLOOKUP($CI236,付与!$1:$1176,COLUMN($CK$1),FALSE)),"")</f>
        <v>0</v>
      </c>
      <c r="CO236">
        <f>VLOOKUP(D236,素材!$A:$O,COLUMN(素材!O$1),FALSE)</f>
        <v>0</v>
      </c>
      <c r="CP236" t="str">
        <f>VLOOKUP(C236,装備品!$A:$AB,COLUMN(装備品!AB$1),FALSE)</f>
        <v>長剣。長く重い分扱いにくいが威力が高い。</v>
      </c>
      <c r="CR236" t="str">
        <f t="shared" si="37"/>
        <v>e_236</v>
      </c>
      <c r="CS236">
        <f t="shared" si="38"/>
        <v>0</v>
      </c>
    </row>
    <row r="237" spans="1:97" outlineLevel="1" x14ac:dyDescent="0.4">
      <c r="A237" t="str">
        <f t="shared" si="39"/>
        <v>熱鉄の大剣</v>
      </c>
      <c r="B237" t="str">
        <f>IFERROR(VLOOKUP($D237,素材!$1:$1016,COLUMN($B$1),FALSE)&amp;"・"&amp;VLOOKUP($C237,装備品!$1:$998,COLUMN(B$1),FALSE),"")</f>
        <v>ヒートスティール・バスターソード</v>
      </c>
      <c r="C237" s="24" t="s">
        <v>236</v>
      </c>
      <c r="D237" s="24" t="s">
        <v>204</v>
      </c>
      <c r="E237" t="str">
        <f>IFERROR(VLOOKUP(C237,装備品!$1:$998,COLUMN(C$1),FALSE),"")</f>
        <v>武器</v>
      </c>
      <c r="F237">
        <f>IFERROR(ROUNDDOWN((VLOOKUP($C237,装備品!$1:$998,COLUMN(D$1),FALSE)+IFERROR(VLOOKUP($CI237,付与!$1:$1167,COLUMN(F$1),FALSE),0))*VLOOKUP($D237,素材!$1:$1016,COLUMN(D$1),FALSE),0),"")</f>
        <v>125</v>
      </c>
      <c r="G237">
        <f>IFERROR(ROUNDDOWN((VLOOKUP($C237,装備品!$1:$998,COLUMN(E$1),FALSE)+IFERROR(VLOOKUP($CI237,付与!$1:$1167,COLUMN(G$1),FALSE),0))*VLOOKUP($D237,素材!$1:$1016,COLUMN($E$1),FALSE),0),"")</f>
        <v>18</v>
      </c>
      <c r="H237">
        <f>IFERROR(ROUNDDOWN((VLOOKUP($C237,装備品!$1:$998,COLUMN(F$1),FALSE)+IFERROR(VLOOKUP($CI237,付与!$1:$1167,COLUMN(H$1),FALSE),0))*VLOOKUP($D237,素材!$1:$1016,COLUMN($E$1),FALSE),0),"")</f>
        <v>9</v>
      </c>
      <c r="I237">
        <f>IFERROR(ROUNDDOWN((VLOOKUP($C237,装備品!$1:$998,COLUMN(G$1),FALSE)+IFERROR(VLOOKUP($CI237,付与!$1:$1167,COLUMN(I$1),FALSE),0))*VLOOKUP($D237,素材!$1:$1016,COLUMN($E$1),FALSE),0),"")</f>
        <v>4</v>
      </c>
      <c r="J237">
        <f>IFERROR(ROUNDDOWN((VLOOKUP($C237,装備品!$1:$998,COLUMN(H$1),FALSE)+IFERROR(VLOOKUP($CI237,付与!$1:$1167,COLUMN(J$1),FALSE),0))*VLOOKUP($D237,素材!$1:$1016,COLUMN($E$1),FALSE),0),"")</f>
        <v>22</v>
      </c>
      <c r="K237">
        <f>IFERROR(ROUNDDOWN((VLOOKUP($C237,装備品!$1:$998,COLUMN(I$1),FALSE)+IFERROR(VLOOKUP($CI237,付与!$1:$1167,COLUMN(K$1),FALSE),0))*VLOOKUP($D237,素材!$1:$1016,COLUMN($E$1),FALSE),0),"")</f>
        <v>0</v>
      </c>
      <c r="L237" t="str">
        <f>IFERROR(VLOOKUP($D237,素材!$1:$1016,COLUMN($F$1),FALSE),"")</f>
        <v>炎</v>
      </c>
      <c r="M237">
        <f>IFERROR(VLOOKUP($C237,装備品!$1:$998,COLUMN(AA$1),FALSE)*VLOOKUP($D237,素材!$1:$1016,COLUMN($G$1),FALSE),"")</f>
        <v>105</v>
      </c>
      <c r="N237">
        <f>IFERROR(VLOOKUP($C237,装備品!$1:$998,COLUMN(I$1),FALSE),"")</f>
        <v>0</v>
      </c>
      <c r="O237" s="23">
        <f>IFERROR((VLOOKUP($C237,装備品!$1:$998,COLUMN(K$1),FALSE)+VLOOKUP($D237,素材!$1:$1016,COLUMN(H$1),FALSE))*100+IFERROR(VLOOKUP($CI237,付与!$1:$1167,COLUMN(O$1),FALSE),0),"")</f>
        <v>10</v>
      </c>
      <c r="P237" s="23">
        <f>IFERROR((VLOOKUP($C237,装備品!$1:$998,COLUMN(L$1),FALSE)+VLOOKUP($D237,素材!$1:$1016,COLUMN(I$1),FALSE))*100+IFERROR(VLOOKUP($CI237,付与!$1:$1167,COLUMN(P$1),FALSE),0),"")</f>
        <v>150</v>
      </c>
      <c r="Q237">
        <f>IFERROR(ROUNDUP(VLOOKUP($C237,装備品!$1:$998,COLUMN(M$1),FALSE)*(VLOOKUP($D237,素材!$1:$1002,COLUMN(D$1),FALSE)/100),1),"")</f>
        <v>-7.5</v>
      </c>
      <c r="R237">
        <f>IFERROR(ROUNDUP(VLOOKUP($C237,装備品!$1:$998,COLUMN(N$1),FALSE)*(VLOOKUP($D237,素材!$1:$1002,COLUMN(D$1),FALSE)/100),1),"")</f>
        <v>-7.5</v>
      </c>
      <c r="S237">
        <f>IFERROR(VLOOKUP($C237,装備品!$1:$998,COLUMN(P$1),FALSE),"")</f>
        <v>0</v>
      </c>
      <c r="T237">
        <f>IFERROR(VLOOKUP($C237,装備品!$1:$998,COLUMN(Q$1),FALSE),"")</f>
        <v>0</v>
      </c>
      <c r="U237">
        <f>IFERROR(VLOOKUP($C237,装備品!$1:$998,COLUMN(R$1),FALSE),"")</f>
        <v>-15</v>
      </c>
      <c r="V237">
        <f>IFERROR(VLOOKUP($C237,装備品!$1:$998,COLUMN(Q$1),FALSE),"")</f>
        <v>0</v>
      </c>
      <c r="W237">
        <f>IFERROR(VLOOKUP($C237,装備品!$1:$998,COLUMN(T$1),FALSE),"")</f>
        <v>0</v>
      </c>
      <c r="Y237">
        <f>IFERROR(VLOOKUP($C237,装備品!$1:$998,COLUMN(U$1),FALSE),"")</f>
        <v>0</v>
      </c>
      <c r="Z237">
        <f>IFERROR(ROUNDUP(VLOOKUP($C237,装備品!$1:$998,COLUMN(O$1),FALSE)*VLOOKUP($D237,素材!$1:$1016,COLUMN(E$1),FALSE),1),"")</f>
        <v>0</v>
      </c>
      <c r="AA237">
        <f>IF(ISNUMBER(SEARCH(SUBSTITUTE(AA$1,RIGHT(AA$1,2),""),VLOOKUP($D237,素材!$1:$1016,COLUMN($F$1),FALSE))),VLOOKUP($C237,装備品!$1:$998,COLUMN($O$1),FALSE)*VLOOKUP($D237,素材!$1:$1016,COLUMN($E$1),FALSE)/(LEN(VLOOKUP($D237,素材!$1:$1016,COLUMN($F$1),FALSE))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B237">
        <f>IF(ISNUMBER(SEARCH(SUBSTITUTE(AB$1,RIGHT(AB$1,2),""),VLOOKUP($D237,素材!$1:$1016,COLUMN($F$1),FALSE))),VLOOKUP($C237,装備品!$1:$998,COLUMN($O$1),FALSE)*VLOOKUP($D237,素材!$1:$1016,COLUMN($E$1),FALSE)/(LEN(VLOOKUP($D237,素材!$1:$1016,COLUMN($F$1),FALSE))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C237">
        <f>IF(ISNUMBER(SEARCH(SUBSTITUTE(AC$1,RIGHT(AC$1,2),""),VLOOKUP($D237,素材!$1:$1016,COLUMN($F$1),FALSE))),VLOOKUP($C237,装備品!$1:$998,COLUMN($O$1),FALSE)*VLOOKUP($D237,素材!$1:$1016,COLUMN($E$1),FALSE)/(LEN(VLOOKUP($D237,素材!$1:$1016,COLUMN($F$1),FALSE))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D237">
        <f>IF(ISNUMBER(SEARCH(SUBSTITUTE(AD$1,RIGHT(AD$1,2),""),VLOOKUP($D237,素材!$1:$1016,COLUMN($F$1),FALSE))),VLOOKUP($C237,装備品!$1:$998,COLUMN($O$1),FALSE)*VLOOKUP($D237,素材!$1:$1016,COLUMN($E$1),FALSE)/(LEN(VLOOKUP($D237,素材!$1:$1016,COLUMN($F$1),FALSE))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E237">
        <f>IF(ISNUMBER(SEARCH(SUBSTITUTE(AE$1,RIGHT(AE$1,2),""),VLOOKUP($D237,素材!$1:$1016,COLUMN($F$1),FALSE))),VLOOKUP($C237,装備品!$1:$998,COLUMN($O$1),FALSE)*VLOOKUP($D237,素材!$1:$1016,COLUMN($E$1),FALSE)/(LEN(VLOOKUP($D237,素材!$1:$1016,COLUMN($F$1),FALSE))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F237">
        <f>IF(ISNUMBER(SEARCH(SUBSTITUTE(AF$1,RIGHT(AF$1,2),""),VLOOKUP($D237,素材!$1:$1016,COLUMN($F$1),FALSE))),VLOOKUP($C237,装備品!$1:$998,COLUMN($O$1),FALSE)*VLOOKUP($D237,素材!$1:$1016,COLUMN($E$1),FALSE)/(LEN(VLOOKUP($D237,素材!$1:$1016,COLUMN($F$1),FALSE))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G237">
        <f>IF(ISNUMBER(SEARCH(SUBSTITUTE(AG$1,RIGHT(AG$1,2),""),VLOOKUP($D237,素材!$1:$1016,COLUMN($F$1),FALSE))),VLOOKUP($C237,装備品!$1:$998,COLUMN($O$1),FALSE)*VLOOKUP($D237,素材!$1:$1016,COLUMN($E$1),FALSE)/(LEN(VLOOKUP($D237,素材!$1:$1016,COLUMN($F$1),FALSE))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H237">
        <f>IF(ISNUMBER(SEARCH(SUBSTITUTE(AH$1,RIGHT(AH$1,2),""),VLOOKUP($D237,素材!$1:$1016,COLUMN($F$1),FALSE))),VLOOKUP($C237,装備品!$1:$998,COLUMN($O$1),FALSE)*VLOOKUP($D237,素材!$1:$1016,COLUMN($E$1),FALSE)/(LEN(VLOOKUP($D237,素材!$1:$1016,COLUMN($F$1),FALSE))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I237">
        <f>IF(ISNUMBER(SEARCH(SUBSTITUTE(AI$1,RIGHT(AI$1,2),""),VLOOKUP($D237,素材!$1:$1016,COLUMN($F$1),FALSE))),VLOOKUP($C237,装備品!$1:$998,COLUMN($O$1),FALSE)*VLOOKUP($D237,素材!$1:$1016,COLUMN($E$1),FALSE)/(LEN(VLOOKUP($D237,素材!$1:$1016,COLUMN($F$1),FALSE))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J237">
        <f>IF(ISNUMBER(SEARCH(SUBSTITUTE(AJ$1,RIGHT(AJ$1,2),""),VLOOKUP($D237,素材!$1:$1016,COLUMN($F$1),FALSE))),VLOOKUP($C237,装備品!$1:$998,COLUMN($O$1),FALSE)*VLOOKUP($D237,素材!$1:$1016,COLUMN($E$1),FALSE)/(LEN(VLOOKUP($D237,素材!$1:$1016,COLUMN($F$1),FALSE))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K237">
        <f>IF(ISNUMBER(SEARCH(SUBSTITUTE(AK$1,RIGHT(AK$1,2),""),VLOOKUP($D237,素材!$1:$1016,COLUMN($F$1),FALSE))),VLOOKUP($C237,装備品!$1:$998,COLUMN($O$1),FALSE)*VLOOKUP($D237,素材!$1:$1016,COLUMN($E$1),FALSE)/(LEN(VLOOKUP($D237,素材!$1:$1016,COLUMN($F$1),FALSE))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L237">
        <f>IF(ISNUMBER(SEARCH(SUBSTITUTE(AL$1,RIGHT(AL$1,2),""),VLOOKUP($D237,素材!$1:$1016,COLUMN($F$1),FALSE))),VLOOKUP($C237,装備品!$1:$998,COLUMN($O$1),FALSE)*VLOOKUP($D237,素材!$1:$1016,COLUMN($E$1),FALSE)/(LEN(VLOOKUP($D237,素材!$1:$1016,COLUMN($F$1),FALSE))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M237">
        <f>IF(ISNUMBER(SEARCH(SUBSTITUTE(AM$1,RIGHT(AM$1,2),""),VLOOKUP($D237,素材!$1:$1016,COLUMN($F$1),FALSE))),VLOOKUP($C237,装備品!$1:$998,COLUMN($O$1),FALSE)*VLOOKUP($D237,素材!$1:$1016,COLUMN($E$1),FALSE)/(LEN(VLOOKUP($D237,素材!$1:$1016,COLUMN($F$1),FALSE))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N237">
        <f>IF(ISNUMBER(SEARCH(SUBSTITUTE(AN$1,RIGHT(AN$1,2),""),VLOOKUP($D237,素材!$1:$1016,COLUMN($F$1),FALSE))),VLOOKUP($C237,装備品!$1:$998,COLUMN($O$1),FALSE)*VLOOKUP($D237,素材!$1:$1016,COLUMN($E$1),FALSE)/(LEN(VLOOKUP($D237,素材!$1:$1016,COLUMN($F$1),FALSE))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O237">
        <f>IF(ISNUMBER(SEARCH(SUBSTITUTE(AO$1,RIGHT(AO$1,2),""),VLOOKUP($D237,素材!$1:$1016,COLUMN($F$1),FALSE))),VLOOKUP($C237,装備品!$1:$998,COLUMN($O$1),FALSE)*VLOOKUP($D237,素材!$1:$1016,COLUMN($E$1),FALSE)/(LEN(VLOOKUP($D237,素材!$1:$1016,COLUMN($F$1),FALSE))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P237">
        <f>IF(ISNUMBER(SEARCH(SUBSTITUTE(AP$1,RIGHT(AP$1,2),""),VLOOKUP($D237,素材!$1:$1016,COLUMN($F$1),FALSE))),VLOOKUP($C237,装備品!$1:$998,COLUMN($O$1),FALSE)*VLOOKUP($D237,素材!$1:$1016,COLUMN($E$1),FALSE)/(LEN(VLOOKUP($D237,素材!$1:$1016,COLUMN($F$1),FALSE))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Q237">
        <f>IF(ISNUMBER(SEARCH(SUBSTITUTE(AQ$1,RIGHT(AQ$1,2),""),VLOOKUP($D237,素材!$1:$1016,COLUMN($F$1),FALSE))),VLOOKUP($C237,装備品!$1:$998,COLUMN($O$1),FALSE)*VLOOKUP($D237,素材!$1:$1016,COLUMN($E$1),FALSE)/(LEN(VLOOKUP($D237,素材!$1:$1016,COLUMN($F$1),FALSE))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R237">
        <f>IF(ISNUMBER(SEARCH(SUBSTITUTE(AR$1,RIGHT(AR$1,2),""),VLOOKUP($D237,素材!$1:$1016,COLUMN($F$1),FALSE))),VLOOKUP($C237,装備品!$1:$998,COLUMN($O$1),FALSE)*VLOOKUP($D237,素材!$1:$1016,COLUMN($E$1),FALSE)/(LEN(VLOOKUP($D237,素材!$1:$1016,COLUMN($F$1),FALSE))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S237">
        <f>IF(ISNUMBER(SEARCH(SUBSTITUTE(AS$1,RIGHT(AS$1,2),""),VLOOKUP($D237,素材!$1:$1016,COLUMN($F$1),FALSE))),VLOOKUP($C237,装備品!$1:$998,COLUMN($O$1),FALSE)*VLOOKUP($D237,素材!$1:$1016,COLUMN($E$1),FALSE)/(LEN(VLOOKUP($D237,素材!$1:$1016,COLUMN($F$1),FALSE))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T237">
        <f>IF(ISNUMBER(SEARCH(SUBSTITUTE(AT$1,RIGHT(AT$1,2),""),VLOOKUP($D237,素材!$1:$1016,COLUMN($F$1),FALSE))),VLOOKUP($C237,装備品!$1:$998,COLUMN($O$1),FALSE)*VLOOKUP($D237,素材!$1:$1016,COLUMN($E$1),FALSE)/(LEN(VLOOKUP($D237,素材!$1:$1016,COLUMN($F$1),FALSE))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U237">
        <f>IF(ISNUMBER(SEARCH(SUBSTITUTE(AU$1,RIGHT(AU$1,2),""),VLOOKUP($D237,素材!$1:$1016,COLUMN($F$1),FALSE))),VLOOKUP($C237,装備品!$1:$998,COLUMN($O$1),FALSE)*VLOOKUP($D237,素材!$1:$1016,COLUMN($E$1),FALSE)/(LEN(VLOOKUP($D237,素材!$1:$1016,COLUMN($F$1),FALSE))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V237">
        <f>IF(ISNUMBER(SEARCH(SUBSTITUTE(AV$1,RIGHT(AV$1,2),""),VLOOKUP($D237,素材!$1:$1016,COLUMN($F$1),FALSE))),VLOOKUP($C237,装備品!$1:$998,COLUMN($O$1),FALSE)*VLOOKUP($D237,素材!$1:$1016,COLUMN($E$1),FALSE)/(LEN(VLOOKUP($D237,素材!$1:$1016,COLUMN($F$1),FALSE))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W237">
        <f>IF(ISNUMBER(SEARCH(SUBSTITUTE(AW$1,RIGHT(AW$1,2),""),VLOOKUP($D237,素材!$1:$1016,COLUMN($F$1),FALSE))),VLOOKUP($C237,装備品!$1:$998,COLUMN($O$1),FALSE)*VLOOKUP($D237,素材!$1:$1016,COLUMN($E$1),FALSE)/(LEN(VLOOKUP($D237,素材!$1:$1016,COLUMN($F$1),FALSE))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X237">
        <f>IF(ISNUMBER(SEARCH(SUBSTITUTE(AX$1,RIGHT(AX$1,2),""),VLOOKUP($D237,素材!$1:$1016,COLUMN($F$1),FALSE))),VLOOKUP($C237,装備品!$1:$998,COLUMN($O$1),FALSE)*VLOOKUP($D237,素材!$1:$1016,COLUMN($E$1),FALSE)/(LEN(VLOOKUP($D237,素材!$1:$1016,COLUMN($F$1),FALSE))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Y237">
        <f>IF(ISNUMBER(SEARCH(SUBSTITUTE(AY$1,RIGHT(AY$1,2),""),VLOOKUP($D237,素材!$1:$1016,COLUMN($F$1),FALSE))),VLOOKUP($C237,装備品!$1:$998,COLUMN($O$1),FALSE)*VLOOKUP($D237,素材!$1:$1016,COLUMN($E$1),FALSE)/(LEN(VLOOKUP($D237,素材!$1:$1016,COLUMN($F$1),FALSE))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Z237">
        <f>IF(ISNUMBER(SEARCH(SUBSTITUTE(AZ$1,RIGHT(AZ$1,2),""),VLOOKUP($D237,素材!$1:$1016,COLUMN($F$1),FALSE))),VLOOKUP($C237,装備品!$1:$998,COLUMN($O$1),FALSE)*VLOOKUP($D237,素材!$1:$1016,COLUMN($E$1),FALSE)/(LEN(VLOOKUP($D237,素材!$1:$1016,COLUMN($F$1),FALSE))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BA237">
        <f>IF(ISNUMBER(SEARCH(SUBSTITUTE(BA$1,RIGHT(BA$1,2),""),VLOOKUP($D237,素材!$1:$1016,COLUMN($F$1),FALSE))),VLOOKUP($C237,装備品!$1:$998,COLUMN($O$1),FALSE)*VLOOKUP($D237,素材!$1:$1016,COLUMN($E$1),FALSE)/(LEN(VLOOKUP($D237,素材!$1:$1016,COLUMN($F$1),FALSE))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BB237">
        <f>IF(ISNUMBER(SEARCH(SUBSTITUTE(BB$1,RIGHT(BB$1,2),""),VLOOKUP($D237,素材!$1:$1016,COLUMN($F$1),FALSE))),VLOOKUP($C237,装備品!$1:$998,COLUMN($O$1),FALSE)*VLOOKUP($D237,素材!$1:$1016,COLUMN($E$1),FALSE)/(LEN(VLOOKUP($D237,素材!$1:$1016,COLUMN($F$1),FALSE))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BC237">
        <f>IF(ISNUMBER(SEARCH(SUBSTITUTE(BC$1,RIGHT(BC$1,2),""),VLOOKUP($D237,素材!$1:$1016,COLUMN($F$1),FALSE))),VLOOKUP($C237,装備品!$1:$998,COLUMN($O$1),FALSE)*VLOOKUP($D237,素材!$1:$1016,COLUMN($E$1),FALSE)/(LEN(VLOOKUP($D237,素材!$1:$1016,COLUMN($F$1),FALSE))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BD237">
        <f>IF(ISNUMBER(SEARCH(SUBSTITUTE(BD$1,RIGHT(BD$1,2),""),VLOOKUP($D237,素材!$1:$1016,COLUMN($F$1),FALSE))),VLOOKUP($C237,装備品!$1:$998,COLUMN($O$1),FALSE)*VLOOKUP($D237,素材!$1:$1016,COLUMN($E$1),FALSE)/(LEN(VLOOKUP($D237,素材!$1:$1016,COLUMN($F$1),FALSE))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BE237">
        <f>IF(ISNUMBER(SEARCH(SUBSTITUTE(BE$1,RIGHT(BE$1,2),""),VLOOKUP($D237,素材!$1:$1016,COLUMN($F$1),FALSE))),VLOOKUP($C237,装備品!$1:$998,COLUMN($O$1),FALSE)*VLOOKUP($D237,素材!$1:$1016,COLUMN($E$1),FALSE)/(LEN(VLOOKUP($D237,素材!$1:$1016,COLUMN($F$1),FALSE))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CL237">
        <f t="shared" si="35"/>
        <v>31</v>
      </c>
      <c r="CM237" s="22" t="str">
        <f t="shared" si="36"/>
        <v>切断.webp</v>
      </c>
      <c r="CN237">
        <f>IFERROR(VLOOKUP($C237,装備品!$1:$998,COLUMN(V$1),FALSE)*VLOOKUP($D237,素材!$1:$1016,COLUMN(N$1),FALSE)+IF(CI237="",0,VLOOKUP($CI237,付与!$1:$1176,COLUMN($CK$1),FALSE)),"")</f>
        <v>0</v>
      </c>
      <c r="CO237">
        <f>VLOOKUP(D237,素材!$A:$O,COLUMN(素材!O$1),FALSE)</f>
        <v>0</v>
      </c>
      <c r="CP237" t="str">
        <f>VLOOKUP(C237,装備品!$A:$AB,COLUMN(装備品!AB$1),FALSE)</f>
        <v>大剣。非常に重いが威力が突出して高い武器。大きい分ガードにも向いている</v>
      </c>
      <c r="CR237" t="str">
        <f t="shared" si="37"/>
        <v>e_237</v>
      </c>
      <c r="CS237">
        <f t="shared" si="38"/>
        <v>0</v>
      </c>
    </row>
    <row r="238" spans="1:97" outlineLevel="1" x14ac:dyDescent="0.4">
      <c r="A238" t="str">
        <f t="shared" si="39"/>
        <v>熱鉄の細剣</v>
      </c>
      <c r="B238" t="str">
        <f>IFERROR(VLOOKUP($D238,素材!$1:$1016,COLUMN($B$1),FALSE)&amp;"・"&amp;VLOOKUP($C238,装備品!$1:$998,COLUMN(B$1),FALSE),"")</f>
        <v>ヒートスティール・レイピア</v>
      </c>
      <c r="C238" s="24" t="s">
        <v>235</v>
      </c>
      <c r="D238" s="24" t="s">
        <v>204</v>
      </c>
      <c r="E238" t="str">
        <f>IFERROR(VLOOKUP(C238,装備品!$1:$998,COLUMN(C$1),FALSE),"")</f>
        <v>武器</v>
      </c>
      <c r="F238">
        <f>IFERROR(ROUNDDOWN((VLOOKUP($C238,装備品!$1:$998,COLUMN(D$1),FALSE)+IFERROR(VLOOKUP($CI238,付与!$1:$1167,COLUMN(F$1),FALSE),0))*VLOOKUP($D238,素材!$1:$1016,COLUMN(D$1),FALSE),0),"")</f>
        <v>100</v>
      </c>
      <c r="G238">
        <f>IFERROR(ROUNDDOWN((VLOOKUP($C238,装備品!$1:$998,COLUMN(E$1),FALSE)+IFERROR(VLOOKUP($CI238,付与!$1:$1167,COLUMN(G$1),FALSE),0))*VLOOKUP($D238,素材!$1:$1016,COLUMN($E$1),FALSE),0),"")</f>
        <v>9</v>
      </c>
      <c r="H238">
        <f>IFERROR(ROUNDDOWN((VLOOKUP($C238,装備品!$1:$998,COLUMN(F$1),FALSE)+IFERROR(VLOOKUP($CI238,付与!$1:$1167,COLUMN(H$1),FALSE),0))*VLOOKUP($D238,素材!$1:$1016,COLUMN($E$1),FALSE),0),"")</f>
        <v>13</v>
      </c>
      <c r="I238">
        <f>IFERROR(ROUNDDOWN((VLOOKUP($C238,装備品!$1:$998,COLUMN(G$1),FALSE)+IFERROR(VLOOKUP($CI238,付与!$1:$1167,COLUMN(I$1),FALSE),0))*VLOOKUP($D238,素材!$1:$1016,COLUMN($E$1),FALSE),0),"")</f>
        <v>0</v>
      </c>
      <c r="J238">
        <f>IFERROR(ROUNDDOWN((VLOOKUP($C238,装備品!$1:$998,COLUMN(H$1),FALSE)+IFERROR(VLOOKUP($CI238,付与!$1:$1167,COLUMN(J$1),FALSE),0))*VLOOKUP($D238,素材!$1:$1016,COLUMN($E$1),FALSE),0),"")</f>
        <v>16</v>
      </c>
      <c r="K238">
        <f>IFERROR(ROUNDDOWN((VLOOKUP($C238,装備品!$1:$998,COLUMN(I$1),FALSE)+IFERROR(VLOOKUP($CI238,付与!$1:$1167,COLUMN(K$1),FALSE),0))*VLOOKUP($D238,素材!$1:$1016,COLUMN($E$1),FALSE),0),"")</f>
        <v>0</v>
      </c>
      <c r="L238" t="str">
        <f>IFERROR(VLOOKUP($D238,素材!$1:$1016,COLUMN($F$1),FALSE),"")</f>
        <v>炎</v>
      </c>
      <c r="M238">
        <f>IFERROR(VLOOKUP($C238,装備品!$1:$998,COLUMN(AA$1),FALSE)*VLOOKUP($D238,素材!$1:$1016,COLUMN($G$1),FALSE),"")</f>
        <v>70</v>
      </c>
      <c r="N238">
        <f>IFERROR(VLOOKUP($C238,装備品!$1:$998,COLUMN(I$1),FALSE),"")</f>
        <v>0</v>
      </c>
      <c r="O238" s="23">
        <f>IFERROR((VLOOKUP($C238,装備品!$1:$998,COLUMN(K$1),FALSE)+VLOOKUP($D238,素材!$1:$1016,COLUMN(H$1),FALSE))*100+IFERROR(VLOOKUP($CI238,付与!$1:$1167,COLUMN(O$1),FALSE),0),"")</f>
        <v>15</v>
      </c>
      <c r="P238" s="23">
        <f>IFERROR((VLOOKUP($C238,装備品!$1:$998,COLUMN(L$1),FALSE)+VLOOKUP($D238,素材!$1:$1016,COLUMN(I$1),FALSE))*100+IFERROR(VLOOKUP($CI238,付与!$1:$1167,COLUMN(P$1),FALSE),0),"")</f>
        <v>125</v>
      </c>
      <c r="Q238">
        <f>IFERROR(ROUNDUP(VLOOKUP($C238,装備品!$1:$998,COLUMN(M$1),FALSE)*(VLOOKUP($D238,素材!$1:$1002,COLUMN(D$1),FALSE)/100),1),"")</f>
        <v>0</v>
      </c>
      <c r="R238">
        <f>IFERROR(ROUNDUP(VLOOKUP($C238,装備品!$1:$998,COLUMN(N$1),FALSE)*(VLOOKUP($D238,素材!$1:$1002,COLUMN(D$1),FALSE)/100),1),"")</f>
        <v>0</v>
      </c>
      <c r="S238">
        <f>IFERROR(VLOOKUP($C238,装備品!$1:$998,COLUMN(P$1),FALSE),"")</f>
        <v>0</v>
      </c>
      <c r="T238">
        <f>IFERROR(VLOOKUP($C238,装備品!$1:$998,COLUMN(Q$1),FALSE),"")</f>
        <v>0</v>
      </c>
      <c r="U238">
        <f>IFERROR(VLOOKUP($C238,装備品!$1:$998,COLUMN(R$1),FALSE),"")</f>
        <v>0</v>
      </c>
      <c r="V238">
        <f>IFERROR(VLOOKUP($C238,装備品!$1:$998,COLUMN(Q$1),FALSE),"")</f>
        <v>0</v>
      </c>
      <c r="W238">
        <f>IFERROR(VLOOKUP($C238,装備品!$1:$998,COLUMN(T$1),FALSE),"")</f>
        <v>0</v>
      </c>
      <c r="Y238">
        <f>IFERROR(VLOOKUP($C238,装備品!$1:$998,COLUMN(U$1),FALSE),"")</f>
        <v>0</v>
      </c>
      <c r="Z238">
        <f>IFERROR(ROUNDUP(VLOOKUP($C238,装備品!$1:$998,COLUMN(O$1),FALSE)*VLOOKUP($D238,素材!$1:$1016,COLUMN(E$1),FALSE),1),"")</f>
        <v>0</v>
      </c>
      <c r="AA238">
        <f>IF(ISNUMBER(SEARCH(SUBSTITUTE(AA$1,RIGHT(AA$1,2),""),VLOOKUP($D238,素材!$1:$1016,COLUMN($F$1),FALSE))),VLOOKUP($C238,装備品!$1:$998,COLUMN($O$1),FALSE)*VLOOKUP($D238,素材!$1:$1016,COLUMN($E$1),FALSE)/(LEN(VLOOKUP($D238,素材!$1:$1016,COLUMN($F$1),FALSE))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B238">
        <f>IF(ISNUMBER(SEARCH(SUBSTITUTE(AB$1,RIGHT(AB$1,2),""),VLOOKUP($D238,素材!$1:$1016,COLUMN($F$1),FALSE))),VLOOKUP($C238,装備品!$1:$998,COLUMN($O$1),FALSE)*VLOOKUP($D238,素材!$1:$1016,COLUMN($E$1),FALSE)/(LEN(VLOOKUP($D238,素材!$1:$1016,COLUMN($F$1),FALSE))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C238">
        <f>IF(ISNUMBER(SEARCH(SUBSTITUTE(AC$1,RIGHT(AC$1,2),""),VLOOKUP($D238,素材!$1:$1016,COLUMN($F$1),FALSE))),VLOOKUP($C238,装備品!$1:$998,COLUMN($O$1),FALSE)*VLOOKUP($D238,素材!$1:$1016,COLUMN($E$1),FALSE)/(LEN(VLOOKUP($D238,素材!$1:$1016,COLUMN($F$1),FALSE))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D238">
        <f>IF(ISNUMBER(SEARCH(SUBSTITUTE(AD$1,RIGHT(AD$1,2),""),VLOOKUP($D238,素材!$1:$1016,COLUMN($F$1),FALSE))),VLOOKUP($C238,装備品!$1:$998,COLUMN($O$1),FALSE)*VLOOKUP($D238,素材!$1:$1016,COLUMN($E$1),FALSE)/(LEN(VLOOKUP($D238,素材!$1:$1016,COLUMN($F$1),FALSE))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E238">
        <f>IF(ISNUMBER(SEARCH(SUBSTITUTE(AE$1,RIGHT(AE$1,2),""),VLOOKUP($D238,素材!$1:$1016,COLUMN($F$1),FALSE))),VLOOKUP($C238,装備品!$1:$998,COLUMN($O$1),FALSE)*VLOOKUP($D238,素材!$1:$1016,COLUMN($E$1),FALSE)/(LEN(VLOOKUP($D238,素材!$1:$1016,COLUMN($F$1),FALSE))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F238">
        <f>IF(ISNUMBER(SEARCH(SUBSTITUTE(AF$1,RIGHT(AF$1,2),""),VLOOKUP($D238,素材!$1:$1016,COLUMN($F$1),FALSE))),VLOOKUP($C238,装備品!$1:$998,COLUMN($O$1),FALSE)*VLOOKUP($D238,素材!$1:$1016,COLUMN($E$1),FALSE)/(LEN(VLOOKUP($D238,素材!$1:$1016,COLUMN($F$1),FALSE))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G238">
        <f>IF(ISNUMBER(SEARCH(SUBSTITUTE(AG$1,RIGHT(AG$1,2),""),VLOOKUP($D238,素材!$1:$1016,COLUMN($F$1),FALSE))),VLOOKUP($C238,装備品!$1:$998,COLUMN($O$1),FALSE)*VLOOKUP($D238,素材!$1:$1016,COLUMN($E$1),FALSE)/(LEN(VLOOKUP($D238,素材!$1:$1016,COLUMN($F$1),FALSE))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H238">
        <f>IF(ISNUMBER(SEARCH(SUBSTITUTE(AH$1,RIGHT(AH$1,2),""),VLOOKUP($D238,素材!$1:$1016,COLUMN($F$1),FALSE))),VLOOKUP($C238,装備品!$1:$998,COLUMN($O$1),FALSE)*VLOOKUP($D238,素材!$1:$1016,COLUMN($E$1),FALSE)/(LEN(VLOOKUP($D238,素材!$1:$1016,COLUMN($F$1),FALSE))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I238">
        <f>IF(ISNUMBER(SEARCH(SUBSTITUTE(AI$1,RIGHT(AI$1,2),""),VLOOKUP($D238,素材!$1:$1016,COLUMN($F$1),FALSE))),VLOOKUP($C238,装備品!$1:$998,COLUMN($O$1),FALSE)*VLOOKUP($D238,素材!$1:$1016,COLUMN($E$1),FALSE)/(LEN(VLOOKUP($D238,素材!$1:$1016,COLUMN($F$1),FALSE))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J238">
        <f>IF(ISNUMBER(SEARCH(SUBSTITUTE(AJ$1,RIGHT(AJ$1,2),""),VLOOKUP($D238,素材!$1:$1016,COLUMN($F$1),FALSE))),VLOOKUP($C238,装備品!$1:$998,COLUMN($O$1),FALSE)*VLOOKUP($D238,素材!$1:$1016,COLUMN($E$1),FALSE)/(LEN(VLOOKUP($D238,素材!$1:$1016,COLUMN($F$1),FALSE))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K238">
        <f>IF(ISNUMBER(SEARCH(SUBSTITUTE(AK$1,RIGHT(AK$1,2),""),VLOOKUP($D238,素材!$1:$1016,COLUMN($F$1),FALSE))),VLOOKUP($C238,装備品!$1:$998,COLUMN($O$1),FALSE)*VLOOKUP($D238,素材!$1:$1016,COLUMN($E$1),FALSE)/(LEN(VLOOKUP($D238,素材!$1:$1016,COLUMN($F$1),FALSE))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L238">
        <f>IF(ISNUMBER(SEARCH(SUBSTITUTE(AL$1,RIGHT(AL$1,2),""),VLOOKUP($D238,素材!$1:$1016,COLUMN($F$1),FALSE))),VLOOKUP($C238,装備品!$1:$998,COLUMN($O$1),FALSE)*VLOOKUP($D238,素材!$1:$1016,COLUMN($E$1),FALSE)/(LEN(VLOOKUP($D238,素材!$1:$1016,COLUMN($F$1),FALSE))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M238">
        <f>IF(ISNUMBER(SEARCH(SUBSTITUTE(AM$1,RIGHT(AM$1,2),""),VLOOKUP($D238,素材!$1:$1016,COLUMN($F$1),FALSE))),VLOOKUP($C238,装備品!$1:$998,COLUMN($O$1),FALSE)*VLOOKUP($D238,素材!$1:$1016,COLUMN($E$1),FALSE)/(LEN(VLOOKUP($D238,素材!$1:$1016,COLUMN($F$1),FALSE))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N238">
        <f>IF(ISNUMBER(SEARCH(SUBSTITUTE(AN$1,RIGHT(AN$1,2),""),VLOOKUP($D238,素材!$1:$1016,COLUMN($F$1),FALSE))),VLOOKUP($C238,装備品!$1:$998,COLUMN($O$1),FALSE)*VLOOKUP($D238,素材!$1:$1016,COLUMN($E$1),FALSE)/(LEN(VLOOKUP($D238,素材!$1:$1016,COLUMN($F$1),FALSE))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O238">
        <f>IF(ISNUMBER(SEARCH(SUBSTITUTE(AO$1,RIGHT(AO$1,2),""),VLOOKUP($D238,素材!$1:$1016,COLUMN($F$1),FALSE))),VLOOKUP($C238,装備品!$1:$998,COLUMN($O$1),FALSE)*VLOOKUP($D238,素材!$1:$1016,COLUMN($E$1),FALSE)/(LEN(VLOOKUP($D238,素材!$1:$1016,COLUMN($F$1),FALSE))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P238">
        <f>IF(ISNUMBER(SEARCH(SUBSTITUTE(AP$1,RIGHT(AP$1,2),""),VLOOKUP($D238,素材!$1:$1016,COLUMN($F$1),FALSE))),VLOOKUP($C238,装備品!$1:$998,COLUMN($O$1),FALSE)*VLOOKUP($D238,素材!$1:$1016,COLUMN($E$1),FALSE)/(LEN(VLOOKUP($D238,素材!$1:$1016,COLUMN($F$1),FALSE))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Q238">
        <f>IF(ISNUMBER(SEARCH(SUBSTITUTE(AQ$1,RIGHT(AQ$1,2),""),VLOOKUP($D238,素材!$1:$1016,COLUMN($F$1),FALSE))),VLOOKUP($C238,装備品!$1:$998,COLUMN($O$1),FALSE)*VLOOKUP($D238,素材!$1:$1016,COLUMN($E$1),FALSE)/(LEN(VLOOKUP($D238,素材!$1:$1016,COLUMN($F$1),FALSE))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R238">
        <f>IF(ISNUMBER(SEARCH(SUBSTITUTE(AR$1,RIGHT(AR$1,2),""),VLOOKUP($D238,素材!$1:$1016,COLUMN($F$1),FALSE))),VLOOKUP($C238,装備品!$1:$998,COLUMN($O$1),FALSE)*VLOOKUP($D238,素材!$1:$1016,COLUMN($E$1),FALSE)/(LEN(VLOOKUP($D238,素材!$1:$1016,COLUMN($F$1),FALSE))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S238">
        <f>IF(ISNUMBER(SEARCH(SUBSTITUTE(AS$1,RIGHT(AS$1,2),""),VLOOKUP($D238,素材!$1:$1016,COLUMN($F$1),FALSE))),VLOOKUP($C238,装備品!$1:$998,COLUMN($O$1),FALSE)*VLOOKUP($D238,素材!$1:$1016,COLUMN($E$1),FALSE)/(LEN(VLOOKUP($D238,素材!$1:$1016,COLUMN($F$1),FALSE))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T238">
        <f>IF(ISNUMBER(SEARCH(SUBSTITUTE(AT$1,RIGHT(AT$1,2),""),VLOOKUP($D238,素材!$1:$1016,COLUMN($F$1),FALSE))),VLOOKUP($C238,装備品!$1:$998,COLUMN($O$1),FALSE)*VLOOKUP($D238,素材!$1:$1016,COLUMN($E$1),FALSE)/(LEN(VLOOKUP($D238,素材!$1:$1016,COLUMN($F$1),FALSE))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U238">
        <f>IF(ISNUMBER(SEARCH(SUBSTITUTE(AU$1,RIGHT(AU$1,2),""),VLOOKUP($D238,素材!$1:$1016,COLUMN($F$1),FALSE))),VLOOKUP($C238,装備品!$1:$998,COLUMN($O$1),FALSE)*VLOOKUP($D238,素材!$1:$1016,COLUMN($E$1),FALSE)/(LEN(VLOOKUP($D238,素材!$1:$1016,COLUMN($F$1),FALSE))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V238">
        <f>IF(ISNUMBER(SEARCH(SUBSTITUTE(AV$1,RIGHT(AV$1,2),""),VLOOKUP($D238,素材!$1:$1016,COLUMN($F$1),FALSE))),VLOOKUP($C238,装備品!$1:$998,COLUMN($O$1),FALSE)*VLOOKUP($D238,素材!$1:$1016,COLUMN($E$1),FALSE)/(LEN(VLOOKUP($D238,素材!$1:$1016,COLUMN($F$1),FALSE))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W238">
        <f>IF(ISNUMBER(SEARCH(SUBSTITUTE(AW$1,RIGHT(AW$1,2),""),VLOOKUP($D238,素材!$1:$1016,COLUMN($F$1),FALSE))),VLOOKUP($C238,装備品!$1:$998,COLUMN($O$1),FALSE)*VLOOKUP($D238,素材!$1:$1016,COLUMN($E$1),FALSE)/(LEN(VLOOKUP($D238,素材!$1:$1016,COLUMN($F$1),FALSE))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X238">
        <f>IF(ISNUMBER(SEARCH(SUBSTITUTE(AX$1,RIGHT(AX$1,2),""),VLOOKUP($D238,素材!$1:$1016,COLUMN($F$1),FALSE))),VLOOKUP($C238,装備品!$1:$998,COLUMN($O$1),FALSE)*VLOOKUP($D238,素材!$1:$1016,COLUMN($E$1),FALSE)/(LEN(VLOOKUP($D238,素材!$1:$1016,COLUMN($F$1),FALSE))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Y238">
        <f>IF(ISNUMBER(SEARCH(SUBSTITUTE(AY$1,RIGHT(AY$1,2),""),VLOOKUP($D238,素材!$1:$1016,COLUMN($F$1),FALSE))),VLOOKUP($C238,装備品!$1:$998,COLUMN($O$1),FALSE)*VLOOKUP($D238,素材!$1:$1016,COLUMN($E$1),FALSE)/(LEN(VLOOKUP($D238,素材!$1:$1016,COLUMN($F$1),FALSE))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Z238">
        <f>IF(ISNUMBER(SEARCH(SUBSTITUTE(AZ$1,RIGHT(AZ$1,2),""),VLOOKUP($D238,素材!$1:$1016,COLUMN($F$1),FALSE))),VLOOKUP($C238,装備品!$1:$998,COLUMN($O$1),FALSE)*VLOOKUP($D238,素材!$1:$1016,COLUMN($E$1),FALSE)/(LEN(VLOOKUP($D238,素材!$1:$1016,COLUMN($F$1),FALSE))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BA238">
        <f>IF(ISNUMBER(SEARCH(SUBSTITUTE(BA$1,RIGHT(BA$1,2),""),VLOOKUP($D238,素材!$1:$1016,COLUMN($F$1),FALSE))),VLOOKUP($C238,装備品!$1:$998,COLUMN($O$1),FALSE)*VLOOKUP($D238,素材!$1:$1016,COLUMN($E$1),FALSE)/(LEN(VLOOKUP($D238,素材!$1:$1016,COLUMN($F$1),FALSE))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BB238">
        <f>IF(ISNUMBER(SEARCH(SUBSTITUTE(BB$1,RIGHT(BB$1,2),""),VLOOKUP($D238,素材!$1:$1016,COLUMN($F$1),FALSE))),VLOOKUP($C238,装備品!$1:$998,COLUMN($O$1),FALSE)*VLOOKUP($D238,素材!$1:$1016,COLUMN($E$1),FALSE)/(LEN(VLOOKUP($D238,素材!$1:$1016,COLUMN($F$1),FALSE))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BC238">
        <f>IF(ISNUMBER(SEARCH(SUBSTITUTE(BC$1,RIGHT(BC$1,2),""),VLOOKUP($D238,素材!$1:$1016,COLUMN($F$1),FALSE))),VLOOKUP($C238,装備品!$1:$998,COLUMN($O$1),FALSE)*VLOOKUP($D238,素材!$1:$1016,COLUMN($E$1),FALSE)/(LEN(VLOOKUP($D238,素材!$1:$1016,COLUMN($F$1),FALSE))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BD238">
        <f>IF(ISNUMBER(SEARCH(SUBSTITUTE(BD$1,RIGHT(BD$1,2),""),VLOOKUP($D238,素材!$1:$1016,COLUMN($F$1),FALSE))),VLOOKUP($C238,装備品!$1:$998,COLUMN($O$1),FALSE)*VLOOKUP($D238,素材!$1:$1016,COLUMN($E$1),FALSE)/(LEN(VLOOKUP($D238,素材!$1:$1016,COLUMN($F$1),FALSE))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BE238">
        <f>IF(ISNUMBER(SEARCH(SUBSTITUTE(BE$1,RIGHT(BE$1,2),""),VLOOKUP($D238,素材!$1:$1016,COLUMN($F$1),FALSE))),VLOOKUP($C238,装備品!$1:$998,COLUMN($O$1),FALSE)*VLOOKUP($D238,素材!$1:$1016,COLUMN($E$1),FALSE)/(LEN(VLOOKUP($D238,素材!$1:$1016,COLUMN($F$1),FALSE))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CL238">
        <f t="shared" si="35"/>
        <v>22</v>
      </c>
      <c r="CM238" s="22" t="str">
        <f t="shared" si="36"/>
        <v>貫通.webp</v>
      </c>
      <c r="CN238">
        <f>IFERROR(VLOOKUP($C238,装備品!$1:$998,COLUMN(V$1),FALSE)*VLOOKUP($D238,素材!$1:$1016,COLUMN(N$1),FALSE)+IF(CI238="",0,VLOOKUP($CI238,付与!$1:$1176,COLUMN($CK$1),FALSE)),"")</f>
        <v>0</v>
      </c>
      <c r="CO238">
        <f>VLOOKUP(D238,素材!$A:$O,COLUMN(素材!O$1),FALSE)</f>
        <v>0</v>
      </c>
      <c r="CP238" t="str">
        <f>VLOOKUP(C238,装備品!$A:$AB,COLUMN(装備品!AB$1),FALSE)</f>
        <v>細剣。刺突に優れた武器でCr率が高い</v>
      </c>
      <c r="CR238" t="str">
        <f t="shared" si="37"/>
        <v>e_238</v>
      </c>
      <c r="CS238">
        <f t="shared" si="38"/>
        <v>0</v>
      </c>
    </row>
    <row r="239" spans="1:97" outlineLevel="1" x14ac:dyDescent="0.4">
      <c r="A239" t="str">
        <f t="shared" si="39"/>
        <v>熱鉄の刺剣</v>
      </c>
      <c r="B239" t="str">
        <f>IFERROR(VLOOKUP($D239,素材!$1:$1016,COLUMN($B$1),FALSE)&amp;"・"&amp;VLOOKUP($C239,装備品!$1:$998,COLUMN(B$1),FALSE),"")</f>
        <v>ヒートスティール・スティレット</v>
      </c>
      <c r="C239" s="24" t="s">
        <v>234</v>
      </c>
      <c r="D239" s="24" t="s">
        <v>204</v>
      </c>
      <c r="E239" t="str">
        <f>IFERROR(VLOOKUP(C239,装備品!$1:$998,COLUMN(C$1),FALSE),"")</f>
        <v>武器</v>
      </c>
      <c r="F239">
        <f>IFERROR(ROUNDDOWN((VLOOKUP($C239,装備品!$1:$998,COLUMN(D$1),FALSE)+IFERROR(VLOOKUP($CI239,付与!$1:$1167,COLUMN(F$1),FALSE),0))*VLOOKUP($D239,素材!$1:$1016,COLUMN(D$1),FALSE),0),"")</f>
        <v>110</v>
      </c>
      <c r="G239">
        <f>IFERROR(ROUNDDOWN((VLOOKUP($C239,装備品!$1:$998,COLUMN(E$1),FALSE)+IFERROR(VLOOKUP($CI239,付与!$1:$1167,COLUMN(G$1),FALSE),0))*VLOOKUP($D239,素材!$1:$1016,COLUMN($E$1),FALSE),0),"")</f>
        <v>4</v>
      </c>
      <c r="H239">
        <f>IFERROR(ROUNDDOWN((VLOOKUP($C239,装備品!$1:$998,COLUMN(F$1),FALSE)+IFERROR(VLOOKUP($CI239,付与!$1:$1167,COLUMN(H$1),FALSE),0))*VLOOKUP($D239,素材!$1:$1016,COLUMN($E$1),FALSE),0),"")</f>
        <v>18</v>
      </c>
      <c r="I239">
        <f>IFERROR(ROUNDDOWN((VLOOKUP($C239,装備品!$1:$998,COLUMN(G$1),FALSE)+IFERROR(VLOOKUP($CI239,付与!$1:$1167,COLUMN(I$1),FALSE),0))*VLOOKUP($D239,素材!$1:$1016,COLUMN($E$1),FALSE),0),"")</f>
        <v>0</v>
      </c>
      <c r="J239">
        <f>IFERROR(ROUNDDOWN((VLOOKUP($C239,装備品!$1:$998,COLUMN(H$1),FALSE)+IFERROR(VLOOKUP($CI239,付与!$1:$1167,COLUMN(J$1),FALSE),0))*VLOOKUP($D239,素材!$1:$1016,COLUMN($E$1),FALSE),0),"")</f>
        <v>17</v>
      </c>
      <c r="K239">
        <f>IFERROR(ROUNDDOWN((VLOOKUP($C239,装備品!$1:$998,COLUMN(I$1),FALSE)+IFERROR(VLOOKUP($CI239,付与!$1:$1167,COLUMN(K$1),FALSE),0))*VLOOKUP($D239,素材!$1:$1016,COLUMN($E$1),FALSE),0),"")</f>
        <v>0</v>
      </c>
      <c r="L239" t="str">
        <f>IFERROR(VLOOKUP($D239,素材!$1:$1016,COLUMN($F$1),FALSE),"")</f>
        <v>炎</v>
      </c>
      <c r="M239">
        <f>IFERROR(VLOOKUP($C239,装備品!$1:$998,COLUMN(AA$1),FALSE)*VLOOKUP($D239,素材!$1:$1016,COLUMN($G$1),FALSE),"")</f>
        <v>52.5</v>
      </c>
      <c r="N239">
        <f>IFERROR(VLOOKUP($C239,装備品!$1:$998,COLUMN(I$1),FALSE),"")</f>
        <v>0</v>
      </c>
      <c r="O239" s="23">
        <f>IFERROR((VLOOKUP($C239,装備品!$1:$998,COLUMN(K$1),FALSE)+VLOOKUP($D239,素材!$1:$1016,COLUMN(H$1),FALSE))*100+IFERROR(VLOOKUP($CI239,付与!$1:$1167,COLUMN(O$1),FALSE),0),"")</f>
        <v>10</v>
      </c>
      <c r="P239" s="23">
        <f>IFERROR((VLOOKUP($C239,装備品!$1:$998,COLUMN(L$1),FALSE)+VLOOKUP($D239,素材!$1:$1016,COLUMN(I$1),FALSE))*100+IFERROR(VLOOKUP($CI239,付与!$1:$1167,COLUMN(P$1),FALSE),0),"")</f>
        <v>150</v>
      </c>
      <c r="Q239">
        <f>IFERROR(ROUNDUP(VLOOKUP($C239,装備品!$1:$998,COLUMN(M$1),FALSE)*(VLOOKUP($D239,素材!$1:$1002,COLUMN(D$1),FALSE)/100),1),"")</f>
        <v>0</v>
      </c>
      <c r="R239">
        <f>IFERROR(ROUNDUP(VLOOKUP($C239,装備品!$1:$998,COLUMN(N$1),FALSE)*(VLOOKUP($D239,素材!$1:$1002,COLUMN(D$1),FALSE)/100),1),"")</f>
        <v>0</v>
      </c>
      <c r="S239">
        <f>IFERROR(VLOOKUP($C239,装備品!$1:$998,COLUMN(P$1),FALSE),"")</f>
        <v>0</v>
      </c>
      <c r="T239">
        <f>IFERROR(VLOOKUP($C239,装備品!$1:$998,COLUMN(Q$1),FALSE),"")</f>
        <v>0</v>
      </c>
      <c r="U239">
        <f>IFERROR(VLOOKUP($C239,装備品!$1:$998,COLUMN(R$1),FALSE),"")</f>
        <v>0</v>
      </c>
      <c r="V239">
        <f>IFERROR(VLOOKUP($C239,装備品!$1:$998,COLUMN(Q$1),FALSE),"")</f>
        <v>0</v>
      </c>
      <c r="W239">
        <f>IFERROR(VLOOKUP($C239,装備品!$1:$998,COLUMN(T$1),FALSE),"")</f>
        <v>0</v>
      </c>
      <c r="Y239">
        <f>IFERROR(VLOOKUP($C239,装備品!$1:$998,COLUMN(U$1),FALSE),"")</f>
        <v>0</v>
      </c>
      <c r="Z239">
        <f>IFERROR(ROUNDUP(VLOOKUP($C239,装備品!$1:$998,COLUMN(O$1),FALSE)*VLOOKUP($D239,素材!$1:$1016,COLUMN(E$1),FALSE),1),"")</f>
        <v>0</v>
      </c>
      <c r="AA239">
        <f>IF(ISNUMBER(SEARCH(SUBSTITUTE(AA$1,RIGHT(AA$1,2),""),VLOOKUP($D239,素材!$1:$1016,COLUMN($F$1),FALSE))),VLOOKUP($C239,装備品!$1:$998,COLUMN($O$1),FALSE)*VLOOKUP($D239,素材!$1:$1016,COLUMN($E$1),FALSE)/(LEN(VLOOKUP($D239,素材!$1:$1016,COLUMN($F$1),FALSE))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B239">
        <f>IF(ISNUMBER(SEARCH(SUBSTITUTE(AB$1,RIGHT(AB$1,2),""),VLOOKUP($D239,素材!$1:$1016,COLUMN($F$1),FALSE))),VLOOKUP($C239,装備品!$1:$998,COLUMN($O$1),FALSE)*VLOOKUP($D239,素材!$1:$1016,COLUMN($E$1),FALSE)/(LEN(VLOOKUP($D239,素材!$1:$1016,COLUMN($F$1),FALSE))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C239">
        <f>IF(ISNUMBER(SEARCH(SUBSTITUTE(AC$1,RIGHT(AC$1,2),""),VLOOKUP($D239,素材!$1:$1016,COLUMN($F$1),FALSE))),VLOOKUP($C239,装備品!$1:$998,COLUMN($O$1),FALSE)*VLOOKUP($D239,素材!$1:$1016,COLUMN($E$1),FALSE)/(LEN(VLOOKUP($D239,素材!$1:$1016,COLUMN($F$1),FALSE))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D239">
        <f>IF(ISNUMBER(SEARCH(SUBSTITUTE(AD$1,RIGHT(AD$1,2),""),VLOOKUP($D239,素材!$1:$1016,COLUMN($F$1),FALSE))),VLOOKUP($C239,装備品!$1:$998,COLUMN($O$1),FALSE)*VLOOKUP($D239,素材!$1:$1016,COLUMN($E$1),FALSE)/(LEN(VLOOKUP($D239,素材!$1:$1016,COLUMN($F$1),FALSE))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E239">
        <f>IF(ISNUMBER(SEARCH(SUBSTITUTE(AE$1,RIGHT(AE$1,2),""),VLOOKUP($D239,素材!$1:$1016,COLUMN($F$1),FALSE))),VLOOKUP($C239,装備品!$1:$998,COLUMN($O$1),FALSE)*VLOOKUP($D239,素材!$1:$1016,COLUMN($E$1),FALSE)/(LEN(VLOOKUP($D239,素材!$1:$1016,COLUMN($F$1),FALSE))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F239">
        <f>IF(ISNUMBER(SEARCH(SUBSTITUTE(AF$1,RIGHT(AF$1,2),""),VLOOKUP($D239,素材!$1:$1016,COLUMN($F$1),FALSE))),VLOOKUP($C239,装備品!$1:$998,COLUMN($O$1),FALSE)*VLOOKUP($D239,素材!$1:$1016,COLUMN($E$1),FALSE)/(LEN(VLOOKUP($D239,素材!$1:$1016,COLUMN($F$1),FALSE))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G239">
        <f>IF(ISNUMBER(SEARCH(SUBSTITUTE(AG$1,RIGHT(AG$1,2),""),VLOOKUP($D239,素材!$1:$1016,COLUMN($F$1),FALSE))),VLOOKUP($C239,装備品!$1:$998,COLUMN($O$1),FALSE)*VLOOKUP($D239,素材!$1:$1016,COLUMN($E$1),FALSE)/(LEN(VLOOKUP($D239,素材!$1:$1016,COLUMN($F$1),FALSE))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H239">
        <f>IF(ISNUMBER(SEARCH(SUBSTITUTE(AH$1,RIGHT(AH$1,2),""),VLOOKUP($D239,素材!$1:$1016,COLUMN($F$1),FALSE))),VLOOKUP($C239,装備品!$1:$998,COLUMN($O$1),FALSE)*VLOOKUP($D239,素材!$1:$1016,COLUMN($E$1),FALSE)/(LEN(VLOOKUP($D239,素材!$1:$1016,COLUMN($F$1),FALSE))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I239">
        <f>IF(ISNUMBER(SEARCH(SUBSTITUTE(AI$1,RIGHT(AI$1,2),""),VLOOKUP($D239,素材!$1:$1016,COLUMN($F$1),FALSE))),VLOOKUP($C239,装備品!$1:$998,COLUMN($O$1),FALSE)*VLOOKUP($D239,素材!$1:$1016,COLUMN($E$1),FALSE)/(LEN(VLOOKUP($D239,素材!$1:$1016,COLUMN($F$1),FALSE))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J239">
        <f>IF(ISNUMBER(SEARCH(SUBSTITUTE(AJ$1,RIGHT(AJ$1,2),""),VLOOKUP($D239,素材!$1:$1016,COLUMN($F$1),FALSE))),VLOOKUP($C239,装備品!$1:$998,COLUMN($O$1),FALSE)*VLOOKUP($D239,素材!$1:$1016,COLUMN($E$1),FALSE)/(LEN(VLOOKUP($D239,素材!$1:$1016,COLUMN($F$1),FALSE))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K239">
        <f>IF(ISNUMBER(SEARCH(SUBSTITUTE(AK$1,RIGHT(AK$1,2),""),VLOOKUP($D239,素材!$1:$1016,COLUMN($F$1),FALSE))),VLOOKUP($C239,装備品!$1:$998,COLUMN($O$1),FALSE)*VLOOKUP($D239,素材!$1:$1016,COLUMN($E$1),FALSE)/(LEN(VLOOKUP($D239,素材!$1:$1016,COLUMN($F$1),FALSE))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L239">
        <f>IF(ISNUMBER(SEARCH(SUBSTITUTE(AL$1,RIGHT(AL$1,2),""),VLOOKUP($D239,素材!$1:$1016,COLUMN($F$1),FALSE))),VLOOKUP($C239,装備品!$1:$998,COLUMN($O$1),FALSE)*VLOOKUP($D239,素材!$1:$1016,COLUMN($E$1),FALSE)/(LEN(VLOOKUP($D239,素材!$1:$1016,COLUMN($F$1),FALSE))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M239">
        <f>IF(ISNUMBER(SEARCH(SUBSTITUTE(AM$1,RIGHT(AM$1,2),""),VLOOKUP($D239,素材!$1:$1016,COLUMN($F$1),FALSE))),VLOOKUP($C239,装備品!$1:$998,COLUMN($O$1),FALSE)*VLOOKUP($D239,素材!$1:$1016,COLUMN($E$1),FALSE)/(LEN(VLOOKUP($D239,素材!$1:$1016,COLUMN($F$1),FALSE))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N239">
        <f>IF(ISNUMBER(SEARCH(SUBSTITUTE(AN$1,RIGHT(AN$1,2),""),VLOOKUP($D239,素材!$1:$1016,COLUMN($F$1),FALSE))),VLOOKUP($C239,装備品!$1:$998,COLUMN($O$1),FALSE)*VLOOKUP($D239,素材!$1:$1016,COLUMN($E$1),FALSE)/(LEN(VLOOKUP($D239,素材!$1:$1016,COLUMN($F$1),FALSE))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O239">
        <f>IF(ISNUMBER(SEARCH(SUBSTITUTE(AO$1,RIGHT(AO$1,2),""),VLOOKUP($D239,素材!$1:$1016,COLUMN($F$1),FALSE))),VLOOKUP($C239,装備品!$1:$998,COLUMN($O$1),FALSE)*VLOOKUP($D239,素材!$1:$1016,COLUMN($E$1),FALSE)/(LEN(VLOOKUP($D239,素材!$1:$1016,COLUMN($F$1),FALSE))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P239">
        <f>IF(ISNUMBER(SEARCH(SUBSTITUTE(AP$1,RIGHT(AP$1,2),""),VLOOKUP($D239,素材!$1:$1016,COLUMN($F$1),FALSE))),VLOOKUP($C239,装備品!$1:$998,COLUMN($O$1),FALSE)*VLOOKUP($D239,素材!$1:$1016,COLUMN($E$1),FALSE)/(LEN(VLOOKUP($D239,素材!$1:$1016,COLUMN($F$1),FALSE))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Q239">
        <f>IF(ISNUMBER(SEARCH(SUBSTITUTE(AQ$1,RIGHT(AQ$1,2),""),VLOOKUP($D239,素材!$1:$1016,COLUMN($F$1),FALSE))),VLOOKUP($C239,装備品!$1:$998,COLUMN($O$1),FALSE)*VLOOKUP($D239,素材!$1:$1016,COLUMN($E$1),FALSE)/(LEN(VLOOKUP($D239,素材!$1:$1016,COLUMN($F$1),FALSE))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R239">
        <f>IF(ISNUMBER(SEARCH(SUBSTITUTE(AR$1,RIGHT(AR$1,2),""),VLOOKUP($D239,素材!$1:$1016,COLUMN($F$1),FALSE))),VLOOKUP($C239,装備品!$1:$998,COLUMN($O$1),FALSE)*VLOOKUP($D239,素材!$1:$1016,COLUMN($E$1),FALSE)/(LEN(VLOOKUP($D239,素材!$1:$1016,COLUMN($F$1),FALSE))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S239">
        <f>IF(ISNUMBER(SEARCH(SUBSTITUTE(AS$1,RIGHT(AS$1,2),""),VLOOKUP($D239,素材!$1:$1016,COLUMN($F$1),FALSE))),VLOOKUP($C239,装備品!$1:$998,COLUMN($O$1),FALSE)*VLOOKUP($D239,素材!$1:$1016,COLUMN($E$1),FALSE)/(LEN(VLOOKUP($D239,素材!$1:$1016,COLUMN($F$1),FALSE))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T239">
        <f>IF(ISNUMBER(SEARCH(SUBSTITUTE(AT$1,RIGHT(AT$1,2),""),VLOOKUP($D239,素材!$1:$1016,COLUMN($F$1),FALSE))),VLOOKUP($C239,装備品!$1:$998,COLUMN($O$1),FALSE)*VLOOKUP($D239,素材!$1:$1016,COLUMN($E$1),FALSE)/(LEN(VLOOKUP($D239,素材!$1:$1016,COLUMN($F$1),FALSE))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U239">
        <f>IF(ISNUMBER(SEARCH(SUBSTITUTE(AU$1,RIGHT(AU$1,2),""),VLOOKUP($D239,素材!$1:$1016,COLUMN($F$1),FALSE))),VLOOKUP($C239,装備品!$1:$998,COLUMN($O$1),FALSE)*VLOOKUP($D239,素材!$1:$1016,COLUMN($E$1),FALSE)/(LEN(VLOOKUP($D239,素材!$1:$1016,COLUMN($F$1),FALSE))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V239">
        <f>IF(ISNUMBER(SEARCH(SUBSTITUTE(AV$1,RIGHT(AV$1,2),""),VLOOKUP($D239,素材!$1:$1016,COLUMN($F$1),FALSE))),VLOOKUP($C239,装備品!$1:$998,COLUMN($O$1),FALSE)*VLOOKUP($D239,素材!$1:$1016,COLUMN($E$1),FALSE)/(LEN(VLOOKUP($D239,素材!$1:$1016,COLUMN($F$1),FALSE))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W239">
        <f>IF(ISNUMBER(SEARCH(SUBSTITUTE(AW$1,RIGHT(AW$1,2),""),VLOOKUP($D239,素材!$1:$1016,COLUMN($F$1),FALSE))),VLOOKUP($C239,装備品!$1:$998,COLUMN($O$1),FALSE)*VLOOKUP($D239,素材!$1:$1016,COLUMN($E$1),FALSE)/(LEN(VLOOKUP($D239,素材!$1:$1016,COLUMN($F$1),FALSE))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X239">
        <f>IF(ISNUMBER(SEARCH(SUBSTITUTE(AX$1,RIGHT(AX$1,2),""),VLOOKUP($D239,素材!$1:$1016,COLUMN($F$1),FALSE))),VLOOKUP($C239,装備品!$1:$998,COLUMN($O$1),FALSE)*VLOOKUP($D239,素材!$1:$1016,COLUMN($E$1),FALSE)/(LEN(VLOOKUP($D239,素材!$1:$1016,COLUMN($F$1),FALSE))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Y239">
        <f>IF(ISNUMBER(SEARCH(SUBSTITUTE(AY$1,RIGHT(AY$1,2),""),VLOOKUP($D239,素材!$1:$1016,COLUMN($F$1),FALSE))),VLOOKUP($C239,装備品!$1:$998,COLUMN($O$1),FALSE)*VLOOKUP($D239,素材!$1:$1016,COLUMN($E$1),FALSE)/(LEN(VLOOKUP($D239,素材!$1:$1016,COLUMN($F$1),FALSE))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Z239">
        <f>IF(ISNUMBER(SEARCH(SUBSTITUTE(AZ$1,RIGHT(AZ$1,2),""),VLOOKUP($D239,素材!$1:$1016,COLUMN($F$1),FALSE))),VLOOKUP($C239,装備品!$1:$998,COLUMN($O$1),FALSE)*VLOOKUP($D239,素材!$1:$1016,COLUMN($E$1),FALSE)/(LEN(VLOOKUP($D239,素材!$1:$1016,COLUMN($F$1),FALSE))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BA239">
        <f>IF(ISNUMBER(SEARCH(SUBSTITUTE(BA$1,RIGHT(BA$1,2),""),VLOOKUP($D239,素材!$1:$1016,COLUMN($F$1),FALSE))),VLOOKUP($C239,装備品!$1:$998,COLUMN($O$1),FALSE)*VLOOKUP($D239,素材!$1:$1016,COLUMN($E$1),FALSE)/(LEN(VLOOKUP($D239,素材!$1:$1016,COLUMN($F$1),FALSE))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BB239">
        <f>IF(ISNUMBER(SEARCH(SUBSTITUTE(BB$1,RIGHT(BB$1,2),""),VLOOKUP($D239,素材!$1:$1016,COLUMN($F$1),FALSE))),VLOOKUP($C239,装備品!$1:$998,COLUMN($O$1),FALSE)*VLOOKUP($D239,素材!$1:$1016,COLUMN($E$1),FALSE)/(LEN(VLOOKUP($D239,素材!$1:$1016,COLUMN($F$1),FALSE))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BC239">
        <f>IF(ISNUMBER(SEARCH(SUBSTITUTE(BC$1,RIGHT(BC$1,2),""),VLOOKUP($D239,素材!$1:$1016,COLUMN($F$1),FALSE))),VLOOKUP($C239,装備品!$1:$998,COLUMN($O$1),FALSE)*VLOOKUP($D239,素材!$1:$1016,COLUMN($E$1),FALSE)/(LEN(VLOOKUP($D239,素材!$1:$1016,COLUMN($F$1),FALSE))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BD239">
        <f>IF(ISNUMBER(SEARCH(SUBSTITUTE(BD$1,RIGHT(BD$1,2),""),VLOOKUP($D239,素材!$1:$1016,COLUMN($F$1),FALSE))),VLOOKUP($C239,装備品!$1:$998,COLUMN($O$1),FALSE)*VLOOKUP($D239,素材!$1:$1016,COLUMN($E$1),FALSE)/(LEN(VLOOKUP($D239,素材!$1:$1016,COLUMN($F$1),FALSE))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BE239">
        <f>IF(ISNUMBER(SEARCH(SUBSTITUTE(BE$1,RIGHT(BE$1,2),""),VLOOKUP($D239,素材!$1:$1016,COLUMN($F$1),FALSE))),VLOOKUP($C239,装備品!$1:$998,COLUMN($O$1),FALSE)*VLOOKUP($D239,素材!$1:$1016,COLUMN($E$1),FALSE)/(LEN(VLOOKUP($D239,素材!$1:$1016,COLUMN($F$1),FALSE))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CL239">
        <f t="shared" si="35"/>
        <v>22</v>
      </c>
      <c r="CM239" s="22" t="str">
        <f t="shared" si="36"/>
        <v>貫通.webp</v>
      </c>
      <c r="CN239">
        <f>IFERROR(VLOOKUP($C239,装備品!$1:$998,COLUMN(V$1),FALSE)*VLOOKUP($D239,素材!$1:$1016,COLUMN(N$1),FALSE)+IF(CI239="",0,VLOOKUP($CI239,付与!$1:$1176,COLUMN($CK$1),FALSE)),"")</f>
        <v>0</v>
      </c>
      <c r="CO239">
        <f>VLOOKUP(D239,素材!$A:$O,COLUMN(素材!O$1),FALSE)</f>
        <v>0</v>
      </c>
      <c r="CP239" t="str">
        <f>VLOOKUP(C239,装備品!$A:$AB,COLUMN(装備品!AB$1),FALSE)</f>
        <v>刺剣。小型で精密な攻撃が可能な武器。</v>
      </c>
      <c r="CR239" t="str">
        <f t="shared" si="37"/>
        <v>e_239</v>
      </c>
      <c r="CS239">
        <f t="shared" si="38"/>
        <v>0</v>
      </c>
    </row>
    <row r="240" spans="1:97" outlineLevel="1" x14ac:dyDescent="0.4">
      <c r="A240" t="str">
        <f t="shared" si="39"/>
        <v>熱鉄の短槍</v>
      </c>
      <c r="B240" t="str">
        <f>IFERROR(VLOOKUP($D240,素材!$1:$1016,COLUMN($B$1),FALSE)&amp;"・"&amp;VLOOKUP($C240,装備品!$1:$998,COLUMN(B$1),FALSE),"")</f>
        <v>ヒートスティール・ショートスピア</v>
      </c>
      <c r="C240" s="24" t="s">
        <v>233</v>
      </c>
      <c r="D240" s="24" t="s">
        <v>204</v>
      </c>
      <c r="E240" t="str">
        <f>IFERROR(VLOOKUP(C240,装備品!$1:$998,COLUMN(C$1),FALSE),"")</f>
        <v>武器</v>
      </c>
      <c r="F240">
        <f>IFERROR(ROUNDDOWN((VLOOKUP($C240,装備品!$1:$998,COLUMN(D$1),FALSE)+IFERROR(VLOOKUP($CI240,付与!$1:$1167,COLUMN(F$1),FALSE),0))*VLOOKUP($D240,素材!$1:$1016,COLUMN(D$1),FALSE),0),"")</f>
        <v>105</v>
      </c>
      <c r="G240">
        <f>IFERROR(ROUNDDOWN((VLOOKUP($C240,装備品!$1:$998,COLUMN(E$1),FALSE)+IFERROR(VLOOKUP($CI240,付与!$1:$1167,COLUMN(G$1),FALSE),0))*VLOOKUP($D240,素材!$1:$1016,COLUMN($E$1),FALSE),0),"")</f>
        <v>8</v>
      </c>
      <c r="H240">
        <f>IFERROR(ROUNDDOWN((VLOOKUP($C240,装備品!$1:$998,COLUMN(F$1),FALSE)+IFERROR(VLOOKUP($CI240,付与!$1:$1167,COLUMN(H$1),FALSE),0))*VLOOKUP($D240,素材!$1:$1016,COLUMN($E$1),FALSE),0),"")</f>
        <v>14</v>
      </c>
      <c r="I240">
        <f>IFERROR(ROUNDDOWN((VLOOKUP($C240,装備品!$1:$998,COLUMN(G$1),FALSE)+IFERROR(VLOOKUP($CI240,付与!$1:$1167,COLUMN(I$1),FALSE),0))*VLOOKUP($D240,素材!$1:$1016,COLUMN($E$1),FALSE),0),"")</f>
        <v>3</v>
      </c>
      <c r="J240">
        <f>IFERROR(ROUNDDOWN((VLOOKUP($C240,装備品!$1:$998,COLUMN(H$1),FALSE)+IFERROR(VLOOKUP($CI240,付与!$1:$1167,COLUMN(J$1),FALSE),0))*VLOOKUP($D240,素材!$1:$1016,COLUMN($E$1),FALSE),0),"")</f>
        <v>17</v>
      </c>
      <c r="K240">
        <f>IFERROR(ROUNDDOWN((VLOOKUP($C240,装備品!$1:$998,COLUMN(I$1),FALSE)+IFERROR(VLOOKUP($CI240,付与!$1:$1167,COLUMN(K$1),FALSE),0))*VLOOKUP($D240,素材!$1:$1016,COLUMN($E$1),FALSE),0),"")</f>
        <v>0</v>
      </c>
      <c r="L240" t="str">
        <f>IFERROR(VLOOKUP($D240,素材!$1:$1016,COLUMN($F$1),FALSE),"")</f>
        <v>炎</v>
      </c>
      <c r="M240">
        <f>IFERROR(VLOOKUP($C240,装備品!$1:$998,COLUMN(AA$1),FALSE)*VLOOKUP($D240,素材!$1:$1016,COLUMN($G$1),FALSE),"")</f>
        <v>52.5</v>
      </c>
      <c r="N240">
        <f>IFERROR(VLOOKUP($C240,装備品!$1:$998,COLUMN(I$1),FALSE),"")</f>
        <v>0</v>
      </c>
      <c r="O240" s="23">
        <f>IFERROR((VLOOKUP($C240,装備品!$1:$998,COLUMN(K$1),FALSE)+VLOOKUP($D240,素材!$1:$1016,COLUMN(H$1),FALSE))*100+IFERROR(VLOOKUP($CI240,付与!$1:$1167,COLUMN(O$1),FALSE),0),"")</f>
        <v>10</v>
      </c>
      <c r="P240" s="23">
        <f>IFERROR((VLOOKUP($C240,装備品!$1:$998,COLUMN(L$1),FALSE)+VLOOKUP($D240,素材!$1:$1016,COLUMN(I$1),FALSE))*100+IFERROR(VLOOKUP($CI240,付与!$1:$1167,COLUMN(P$1),FALSE),0),"")</f>
        <v>150</v>
      </c>
      <c r="Q240">
        <f>IFERROR(ROUNDUP(VLOOKUP($C240,装備品!$1:$998,COLUMN(M$1),FALSE)*(VLOOKUP($D240,素材!$1:$1002,COLUMN(D$1),FALSE)/100),1),"")</f>
        <v>0</v>
      </c>
      <c r="R240">
        <f>IFERROR(ROUNDUP(VLOOKUP($C240,装備品!$1:$998,COLUMN(N$1),FALSE)*(VLOOKUP($D240,素材!$1:$1002,COLUMN(D$1),FALSE)/100),1),"")</f>
        <v>0</v>
      </c>
      <c r="S240">
        <f>IFERROR(VLOOKUP($C240,装備品!$1:$998,COLUMN(P$1),FALSE),"")</f>
        <v>0</v>
      </c>
      <c r="T240">
        <f>IFERROR(VLOOKUP($C240,装備品!$1:$998,COLUMN(Q$1),FALSE),"")</f>
        <v>0</v>
      </c>
      <c r="U240">
        <f>IFERROR(VLOOKUP($C240,装備品!$1:$998,COLUMN(R$1),FALSE),"")</f>
        <v>0</v>
      </c>
      <c r="V240">
        <f>IFERROR(VLOOKUP($C240,装備品!$1:$998,COLUMN(Q$1),FALSE),"")</f>
        <v>0</v>
      </c>
      <c r="W240">
        <f>IFERROR(VLOOKUP($C240,装備品!$1:$998,COLUMN(T$1),FALSE),"")</f>
        <v>0</v>
      </c>
      <c r="Y240">
        <f>IFERROR(VLOOKUP($C240,装備品!$1:$998,COLUMN(U$1),FALSE),"")</f>
        <v>0</v>
      </c>
      <c r="Z240">
        <f>IFERROR(ROUNDUP(VLOOKUP($C240,装備品!$1:$998,COLUMN(O$1),FALSE)*VLOOKUP($D240,素材!$1:$1016,COLUMN(E$1),FALSE),1),"")</f>
        <v>0</v>
      </c>
      <c r="AA240">
        <f>IF(ISNUMBER(SEARCH(SUBSTITUTE(AA$1,RIGHT(AA$1,2),""),VLOOKUP($D240,素材!$1:$1016,COLUMN($F$1),FALSE))),VLOOKUP($C240,装備品!$1:$998,COLUMN($O$1),FALSE)*VLOOKUP($D240,素材!$1:$1016,COLUMN($E$1),FALSE)/(LEN(VLOOKUP($D240,素材!$1:$1016,COLUMN($F$1),FALSE))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B240">
        <f>IF(ISNUMBER(SEARCH(SUBSTITUTE(AB$1,RIGHT(AB$1,2),""),VLOOKUP($D240,素材!$1:$1016,COLUMN($F$1),FALSE))),VLOOKUP($C240,装備品!$1:$998,COLUMN($O$1),FALSE)*VLOOKUP($D240,素材!$1:$1016,COLUMN($E$1),FALSE)/(LEN(VLOOKUP($D240,素材!$1:$1016,COLUMN($F$1),FALSE))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C240">
        <f>IF(ISNUMBER(SEARCH(SUBSTITUTE(AC$1,RIGHT(AC$1,2),""),VLOOKUP($D240,素材!$1:$1016,COLUMN($F$1),FALSE))),VLOOKUP($C240,装備品!$1:$998,COLUMN($O$1),FALSE)*VLOOKUP($D240,素材!$1:$1016,COLUMN($E$1),FALSE)/(LEN(VLOOKUP($D240,素材!$1:$1016,COLUMN($F$1),FALSE))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D240">
        <f>IF(ISNUMBER(SEARCH(SUBSTITUTE(AD$1,RIGHT(AD$1,2),""),VLOOKUP($D240,素材!$1:$1016,COLUMN($F$1),FALSE))),VLOOKUP($C240,装備品!$1:$998,COLUMN($O$1),FALSE)*VLOOKUP($D240,素材!$1:$1016,COLUMN($E$1),FALSE)/(LEN(VLOOKUP($D240,素材!$1:$1016,COLUMN($F$1),FALSE))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E240">
        <f>IF(ISNUMBER(SEARCH(SUBSTITUTE(AE$1,RIGHT(AE$1,2),""),VLOOKUP($D240,素材!$1:$1016,COLUMN($F$1),FALSE))),VLOOKUP($C240,装備品!$1:$998,COLUMN($O$1),FALSE)*VLOOKUP($D240,素材!$1:$1016,COLUMN($E$1),FALSE)/(LEN(VLOOKUP($D240,素材!$1:$1016,COLUMN($F$1),FALSE))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F240">
        <f>IF(ISNUMBER(SEARCH(SUBSTITUTE(AF$1,RIGHT(AF$1,2),""),VLOOKUP($D240,素材!$1:$1016,COLUMN($F$1),FALSE))),VLOOKUP($C240,装備品!$1:$998,COLUMN($O$1),FALSE)*VLOOKUP($D240,素材!$1:$1016,COLUMN($E$1),FALSE)/(LEN(VLOOKUP($D240,素材!$1:$1016,COLUMN($F$1),FALSE))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G240">
        <f>IF(ISNUMBER(SEARCH(SUBSTITUTE(AG$1,RIGHT(AG$1,2),""),VLOOKUP($D240,素材!$1:$1016,COLUMN($F$1),FALSE))),VLOOKUP($C240,装備品!$1:$998,COLUMN($O$1),FALSE)*VLOOKUP($D240,素材!$1:$1016,COLUMN($E$1),FALSE)/(LEN(VLOOKUP($D240,素材!$1:$1016,COLUMN($F$1),FALSE))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H240">
        <f>IF(ISNUMBER(SEARCH(SUBSTITUTE(AH$1,RIGHT(AH$1,2),""),VLOOKUP($D240,素材!$1:$1016,COLUMN($F$1),FALSE))),VLOOKUP($C240,装備品!$1:$998,COLUMN($O$1),FALSE)*VLOOKUP($D240,素材!$1:$1016,COLUMN($E$1),FALSE)/(LEN(VLOOKUP($D240,素材!$1:$1016,COLUMN($F$1),FALSE))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I240">
        <f>IF(ISNUMBER(SEARCH(SUBSTITUTE(AI$1,RIGHT(AI$1,2),""),VLOOKUP($D240,素材!$1:$1016,COLUMN($F$1),FALSE))),VLOOKUP($C240,装備品!$1:$998,COLUMN($O$1),FALSE)*VLOOKUP($D240,素材!$1:$1016,COLUMN($E$1),FALSE)/(LEN(VLOOKUP($D240,素材!$1:$1016,COLUMN($F$1),FALSE))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J240">
        <f>IF(ISNUMBER(SEARCH(SUBSTITUTE(AJ$1,RIGHT(AJ$1,2),""),VLOOKUP($D240,素材!$1:$1016,COLUMN($F$1),FALSE))),VLOOKUP($C240,装備品!$1:$998,COLUMN($O$1),FALSE)*VLOOKUP($D240,素材!$1:$1016,COLUMN($E$1),FALSE)/(LEN(VLOOKUP($D240,素材!$1:$1016,COLUMN($F$1),FALSE))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K240">
        <f>IF(ISNUMBER(SEARCH(SUBSTITUTE(AK$1,RIGHT(AK$1,2),""),VLOOKUP($D240,素材!$1:$1016,COLUMN($F$1),FALSE))),VLOOKUP($C240,装備品!$1:$998,COLUMN($O$1),FALSE)*VLOOKUP($D240,素材!$1:$1016,COLUMN($E$1),FALSE)/(LEN(VLOOKUP($D240,素材!$1:$1016,COLUMN($F$1),FALSE))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L240">
        <f>IF(ISNUMBER(SEARCH(SUBSTITUTE(AL$1,RIGHT(AL$1,2),""),VLOOKUP($D240,素材!$1:$1016,COLUMN($F$1),FALSE))),VLOOKUP($C240,装備品!$1:$998,COLUMN($O$1),FALSE)*VLOOKUP($D240,素材!$1:$1016,COLUMN($E$1),FALSE)/(LEN(VLOOKUP($D240,素材!$1:$1016,COLUMN($F$1),FALSE))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M240">
        <f>IF(ISNUMBER(SEARCH(SUBSTITUTE(AM$1,RIGHT(AM$1,2),""),VLOOKUP($D240,素材!$1:$1016,COLUMN($F$1),FALSE))),VLOOKUP($C240,装備品!$1:$998,COLUMN($O$1),FALSE)*VLOOKUP($D240,素材!$1:$1016,COLUMN($E$1),FALSE)/(LEN(VLOOKUP($D240,素材!$1:$1016,COLUMN($F$1),FALSE))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N240">
        <f>IF(ISNUMBER(SEARCH(SUBSTITUTE(AN$1,RIGHT(AN$1,2),""),VLOOKUP($D240,素材!$1:$1016,COLUMN($F$1),FALSE))),VLOOKUP($C240,装備品!$1:$998,COLUMN($O$1),FALSE)*VLOOKUP($D240,素材!$1:$1016,COLUMN($E$1),FALSE)/(LEN(VLOOKUP($D240,素材!$1:$1016,COLUMN($F$1),FALSE))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O240">
        <f>IF(ISNUMBER(SEARCH(SUBSTITUTE(AO$1,RIGHT(AO$1,2),""),VLOOKUP($D240,素材!$1:$1016,COLUMN($F$1),FALSE))),VLOOKUP($C240,装備品!$1:$998,COLUMN($O$1),FALSE)*VLOOKUP($D240,素材!$1:$1016,COLUMN($E$1),FALSE)/(LEN(VLOOKUP($D240,素材!$1:$1016,COLUMN($F$1),FALSE))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P240">
        <f>IF(ISNUMBER(SEARCH(SUBSTITUTE(AP$1,RIGHT(AP$1,2),""),VLOOKUP($D240,素材!$1:$1016,COLUMN($F$1),FALSE))),VLOOKUP($C240,装備品!$1:$998,COLUMN($O$1),FALSE)*VLOOKUP($D240,素材!$1:$1016,COLUMN($E$1),FALSE)/(LEN(VLOOKUP($D240,素材!$1:$1016,COLUMN($F$1),FALSE))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Q240">
        <f>IF(ISNUMBER(SEARCH(SUBSTITUTE(AQ$1,RIGHT(AQ$1,2),""),VLOOKUP($D240,素材!$1:$1016,COLUMN($F$1),FALSE))),VLOOKUP($C240,装備品!$1:$998,COLUMN($O$1),FALSE)*VLOOKUP($D240,素材!$1:$1016,COLUMN($E$1),FALSE)/(LEN(VLOOKUP($D240,素材!$1:$1016,COLUMN($F$1),FALSE))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R240">
        <f>IF(ISNUMBER(SEARCH(SUBSTITUTE(AR$1,RIGHT(AR$1,2),""),VLOOKUP($D240,素材!$1:$1016,COLUMN($F$1),FALSE))),VLOOKUP($C240,装備品!$1:$998,COLUMN($O$1),FALSE)*VLOOKUP($D240,素材!$1:$1016,COLUMN($E$1),FALSE)/(LEN(VLOOKUP($D240,素材!$1:$1016,COLUMN($F$1),FALSE))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S240">
        <f>IF(ISNUMBER(SEARCH(SUBSTITUTE(AS$1,RIGHT(AS$1,2),""),VLOOKUP($D240,素材!$1:$1016,COLUMN($F$1),FALSE))),VLOOKUP($C240,装備品!$1:$998,COLUMN($O$1),FALSE)*VLOOKUP($D240,素材!$1:$1016,COLUMN($E$1),FALSE)/(LEN(VLOOKUP($D240,素材!$1:$1016,COLUMN($F$1),FALSE))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T240">
        <f>IF(ISNUMBER(SEARCH(SUBSTITUTE(AT$1,RIGHT(AT$1,2),""),VLOOKUP($D240,素材!$1:$1016,COLUMN($F$1),FALSE))),VLOOKUP($C240,装備品!$1:$998,COLUMN($O$1),FALSE)*VLOOKUP($D240,素材!$1:$1016,COLUMN($E$1),FALSE)/(LEN(VLOOKUP($D240,素材!$1:$1016,COLUMN($F$1),FALSE))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U240">
        <f>IF(ISNUMBER(SEARCH(SUBSTITUTE(AU$1,RIGHT(AU$1,2),""),VLOOKUP($D240,素材!$1:$1016,COLUMN($F$1),FALSE))),VLOOKUP($C240,装備品!$1:$998,COLUMN($O$1),FALSE)*VLOOKUP($D240,素材!$1:$1016,COLUMN($E$1),FALSE)/(LEN(VLOOKUP($D240,素材!$1:$1016,COLUMN($F$1),FALSE))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V240">
        <f>IF(ISNUMBER(SEARCH(SUBSTITUTE(AV$1,RIGHT(AV$1,2),""),VLOOKUP($D240,素材!$1:$1016,COLUMN($F$1),FALSE))),VLOOKUP($C240,装備品!$1:$998,COLUMN($O$1),FALSE)*VLOOKUP($D240,素材!$1:$1016,COLUMN($E$1),FALSE)/(LEN(VLOOKUP($D240,素材!$1:$1016,COLUMN($F$1),FALSE))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W240">
        <f>IF(ISNUMBER(SEARCH(SUBSTITUTE(AW$1,RIGHT(AW$1,2),""),VLOOKUP($D240,素材!$1:$1016,COLUMN($F$1),FALSE))),VLOOKUP($C240,装備品!$1:$998,COLUMN($O$1),FALSE)*VLOOKUP($D240,素材!$1:$1016,COLUMN($E$1),FALSE)/(LEN(VLOOKUP($D240,素材!$1:$1016,COLUMN($F$1),FALSE))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X240">
        <f>IF(ISNUMBER(SEARCH(SUBSTITUTE(AX$1,RIGHT(AX$1,2),""),VLOOKUP($D240,素材!$1:$1016,COLUMN($F$1),FALSE))),VLOOKUP($C240,装備品!$1:$998,COLUMN($O$1),FALSE)*VLOOKUP($D240,素材!$1:$1016,COLUMN($E$1),FALSE)/(LEN(VLOOKUP($D240,素材!$1:$1016,COLUMN($F$1),FALSE))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Y240">
        <f>IF(ISNUMBER(SEARCH(SUBSTITUTE(AY$1,RIGHT(AY$1,2),""),VLOOKUP($D240,素材!$1:$1016,COLUMN($F$1),FALSE))),VLOOKUP($C240,装備品!$1:$998,COLUMN($O$1),FALSE)*VLOOKUP($D240,素材!$1:$1016,COLUMN($E$1),FALSE)/(LEN(VLOOKUP($D240,素材!$1:$1016,COLUMN($F$1),FALSE))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Z240">
        <f>IF(ISNUMBER(SEARCH(SUBSTITUTE(AZ$1,RIGHT(AZ$1,2),""),VLOOKUP($D240,素材!$1:$1016,COLUMN($F$1),FALSE))),VLOOKUP($C240,装備品!$1:$998,COLUMN($O$1),FALSE)*VLOOKUP($D240,素材!$1:$1016,COLUMN($E$1),FALSE)/(LEN(VLOOKUP($D240,素材!$1:$1016,COLUMN($F$1),FALSE))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BA240">
        <f>IF(ISNUMBER(SEARCH(SUBSTITUTE(BA$1,RIGHT(BA$1,2),""),VLOOKUP($D240,素材!$1:$1016,COLUMN($F$1),FALSE))),VLOOKUP($C240,装備品!$1:$998,COLUMN($O$1),FALSE)*VLOOKUP($D240,素材!$1:$1016,COLUMN($E$1),FALSE)/(LEN(VLOOKUP($D240,素材!$1:$1016,COLUMN($F$1),FALSE))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BB240">
        <f>IF(ISNUMBER(SEARCH(SUBSTITUTE(BB$1,RIGHT(BB$1,2),""),VLOOKUP($D240,素材!$1:$1016,COLUMN($F$1),FALSE))),VLOOKUP($C240,装備品!$1:$998,COLUMN($O$1),FALSE)*VLOOKUP($D240,素材!$1:$1016,COLUMN($E$1),FALSE)/(LEN(VLOOKUP($D240,素材!$1:$1016,COLUMN($F$1),FALSE))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BC240">
        <f>IF(ISNUMBER(SEARCH(SUBSTITUTE(BC$1,RIGHT(BC$1,2),""),VLOOKUP($D240,素材!$1:$1016,COLUMN($F$1),FALSE))),VLOOKUP($C240,装備品!$1:$998,COLUMN($O$1),FALSE)*VLOOKUP($D240,素材!$1:$1016,COLUMN($E$1),FALSE)/(LEN(VLOOKUP($D240,素材!$1:$1016,COLUMN($F$1),FALSE))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BD240">
        <f>IF(ISNUMBER(SEARCH(SUBSTITUTE(BD$1,RIGHT(BD$1,2),""),VLOOKUP($D240,素材!$1:$1016,COLUMN($F$1),FALSE))),VLOOKUP($C240,装備品!$1:$998,COLUMN($O$1),FALSE)*VLOOKUP($D240,素材!$1:$1016,COLUMN($E$1),FALSE)/(LEN(VLOOKUP($D240,素材!$1:$1016,COLUMN($F$1),FALSE))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BE240">
        <f>IF(ISNUMBER(SEARCH(SUBSTITUTE(BE$1,RIGHT(BE$1,2),""),VLOOKUP($D240,素材!$1:$1016,COLUMN($F$1),FALSE))),VLOOKUP($C240,装備品!$1:$998,COLUMN($O$1),FALSE)*VLOOKUP($D240,素材!$1:$1016,COLUMN($E$1),FALSE)/(LEN(VLOOKUP($D240,素材!$1:$1016,COLUMN($F$1),FALSE))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CL240">
        <f t="shared" si="35"/>
        <v>25</v>
      </c>
      <c r="CM240" s="22" t="str">
        <f t="shared" si="36"/>
        <v>貫通.webp</v>
      </c>
      <c r="CN240">
        <f>IFERROR(VLOOKUP($C240,装備品!$1:$998,COLUMN(V$1),FALSE)*VLOOKUP($D240,素材!$1:$1016,COLUMN(N$1),FALSE)+IF(CI240="",0,VLOOKUP($CI240,付与!$1:$1176,COLUMN($CK$1),FALSE)),"")</f>
        <v>0</v>
      </c>
      <c r="CO240">
        <f>VLOOKUP(D240,素材!$A:$O,COLUMN(素材!O$1),FALSE)</f>
        <v>0</v>
      </c>
      <c r="CP240" t="str">
        <f>VLOOKUP(C240,装備品!$A:$AB,COLUMN(装備品!AB$1),FALSE)</f>
        <v>短槍。短く扱いやすい槍で、投擲にも対応。</v>
      </c>
      <c r="CR240" t="str">
        <f t="shared" si="37"/>
        <v>e_240</v>
      </c>
      <c r="CS240">
        <f t="shared" si="38"/>
        <v>0</v>
      </c>
    </row>
    <row r="241" spans="1:97" outlineLevel="1" x14ac:dyDescent="0.4">
      <c r="A241" t="str">
        <f t="shared" si="39"/>
        <v>熱鉄の槍</v>
      </c>
      <c r="B241" t="str">
        <f>IFERROR(VLOOKUP($D241,素材!$1:$1016,COLUMN($B$1),FALSE)&amp;"・"&amp;VLOOKUP($C241,装備品!$1:$998,COLUMN(B$1),FALSE),"")</f>
        <v>ヒートスティール・スピア</v>
      </c>
      <c r="C241" s="24" t="s">
        <v>232</v>
      </c>
      <c r="D241" s="24" t="s">
        <v>204</v>
      </c>
      <c r="E241" t="str">
        <f>IFERROR(VLOOKUP(C241,装備品!$1:$998,COLUMN(C$1),FALSE),"")</f>
        <v>武器</v>
      </c>
      <c r="F241">
        <f>IFERROR(ROUNDDOWN((VLOOKUP($C241,装備品!$1:$998,COLUMN(D$1),FALSE)+IFERROR(VLOOKUP($CI241,付与!$1:$1167,COLUMN(F$1),FALSE),0))*VLOOKUP($D241,素材!$1:$1016,COLUMN(D$1),FALSE),0),"")</f>
        <v>115</v>
      </c>
      <c r="G241">
        <f>IFERROR(ROUNDDOWN((VLOOKUP($C241,装備品!$1:$998,COLUMN(E$1),FALSE)+IFERROR(VLOOKUP($CI241,付与!$1:$1167,COLUMN(G$1),FALSE),0))*VLOOKUP($D241,素材!$1:$1016,COLUMN($E$1),FALSE),0),"")</f>
        <v>8</v>
      </c>
      <c r="H241">
        <f>IFERROR(ROUNDDOWN((VLOOKUP($C241,装備品!$1:$998,COLUMN(F$1),FALSE)+IFERROR(VLOOKUP($CI241,付与!$1:$1167,COLUMN(H$1),FALSE),0))*VLOOKUP($D241,素材!$1:$1016,COLUMN($E$1),FALSE),0),"")</f>
        <v>16</v>
      </c>
      <c r="I241">
        <f>IFERROR(ROUNDDOWN((VLOOKUP($C241,装備品!$1:$998,COLUMN(G$1),FALSE)+IFERROR(VLOOKUP($CI241,付与!$1:$1167,COLUMN(I$1),FALSE),0))*VLOOKUP($D241,素材!$1:$1016,COLUMN($E$1),FALSE),0),"")</f>
        <v>3</v>
      </c>
      <c r="J241">
        <f>IFERROR(ROUNDDOWN((VLOOKUP($C241,装備品!$1:$998,COLUMN(H$1),FALSE)+IFERROR(VLOOKUP($CI241,付与!$1:$1167,COLUMN(J$1),FALSE),0))*VLOOKUP($D241,素材!$1:$1016,COLUMN($E$1),FALSE),0),"")</f>
        <v>17</v>
      </c>
      <c r="K241">
        <f>IFERROR(ROUNDDOWN((VLOOKUP($C241,装備品!$1:$998,COLUMN(I$1),FALSE)+IFERROR(VLOOKUP($CI241,付与!$1:$1167,COLUMN(K$1),FALSE),0))*VLOOKUP($D241,素材!$1:$1016,COLUMN($E$1),FALSE),0),"")</f>
        <v>0</v>
      </c>
      <c r="L241" t="str">
        <f>IFERROR(VLOOKUP($D241,素材!$1:$1016,COLUMN($F$1),FALSE),"")</f>
        <v>炎</v>
      </c>
      <c r="M241">
        <f>IFERROR(VLOOKUP($C241,装備品!$1:$998,COLUMN(AA$1),FALSE)*VLOOKUP($D241,素材!$1:$1016,COLUMN($G$1),FALSE),"")</f>
        <v>70</v>
      </c>
      <c r="N241">
        <f>IFERROR(VLOOKUP($C241,装備品!$1:$998,COLUMN(I$1),FALSE),"")</f>
        <v>0</v>
      </c>
      <c r="O241" s="23">
        <f>IFERROR((VLOOKUP($C241,装備品!$1:$998,COLUMN(K$1),FALSE)+VLOOKUP($D241,素材!$1:$1016,COLUMN(H$1),FALSE))*100+IFERROR(VLOOKUP($CI241,付与!$1:$1167,COLUMN(O$1),FALSE),0),"")</f>
        <v>10</v>
      </c>
      <c r="P241" s="23">
        <f>IFERROR((VLOOKUP($C241,装備品!$1:$998,COLUMN(L$1),FALSE)+VLOOKUP($D241,素材!$1:$1016,COLUMN(I$1),FALSE))*100+IFERROR(VLOOKUP($CI241,付与!$1:$1167,COLUMN(P$1),FALSE),0),"")</f>
        <v>150</v>
      </c>
      <c r="Q241">
        <f>IFERROR(ROUNDUP(VLOOKUP($C241,装備品!$1:$998,COLUMN(M$1),FALSE)*(VLOOKUP($D241,素材!$1:$1002,COLUMN(D$1),FALSE)/100),1),"")</f>
        <v>0</v>
      </c>
      <c r="R241">
        <f>IFERROR(ROUNDUP(VLOOKUP($C241,装備品!$1:$998,COLUMN(N$1),FALSE)*(VLOOKUP($D241,素材!$1:$1002,COLUMN(D$1),FALSE)/100),1),"")</f>
        <v>-5</v>
      </c>
      <c r="S241">
        <f>IFERROR(VLOOKUP($C241,装備品!$1:$998,COLUMN(P$1),FALSE),"")</f>
        <v>0</v>
      </c>
      <c r="T241">
        <f>IFERROR(VLOOKUP($C241,装備品!$1:$998,COLUMN(Q$1),FALSE),"")</f>
        <v>0</v>
      </c>
      <c r="U241">
        <f>IFERROR(VLOOKUP($C241,装備品!$1:$998,COLUMN(R$1),FALSE),"")</f>
        <v>0</v>
      </c>
      <c r="V241">
        <f>IFERROR(VLOOKUP($C241,装備品!$1:$998,COLUMN(Q$1),FALSE),"")</f>
        <v>0</v>
      </c>
      <c r="W241">
        <f>IFERROR(VLOOKUP($C241,装備品!$1:$998,COLUMN(T$1),FALSE),"")</f>
        <v>0</v>
      </c>
      <c r="Y241">
        <f>IFERROR(VLOOKUP($C241,装備品!$1:$998,COLUMN(U$1),FALSE),"")</f>
        <v>0</v>
      </c>
      <c r="Z241">
        <f>IFERROR(ROUNDUP(VLOOKUP($C241,装備品!$1:$998,COLUMN(O$1),FALSE)*VLOOKUP($D241,素材!$1:$1016,COLUMN(E$1),FALSE),1),"")</f>
        <v>0</v>
      </c>
      <c r="AA241">
        <f>IF(ISNUMBER(SEARCH(SUBSTITUTE(AA$1,RIGHT(AA$1,2),""),VLOOKUP($D241,素材!$1:$1016,COLUMN($F$1),FALSE))),VLOOKUP($C241,装備品!$1:$998,COLUMN($O$1),FALSE)*VLOOKUP($D241,素材!$1:$1016,COLUMN($E$1),FALSE)/(LEN(VLOOKUP($D241,素材!$1:$1016,COLUMN($F$1),FALSE))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B241">
        <f>IF(ISNUMBER(SEARCH(SUBSTITUTE(AB$1,RIGHT(AB$1,2),""),VLOOKUP($D241,素材!$1:$1016,COLUMN($F$1),FALSE))),VLOOKUP($C241,装備品!$1:$998,COLUMN($O$1),FALSE)*VLOOKUP($D241,素材!$1:$1016,COLUMN($E$1),FALSE)/(LEN(VLOOKUP($D241,素材!$1:$1016,COLUMN($F$1),FALSE))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C241">
        <f>IF(ISNUMBER(SEARCH(SUBSTITUTE(AC$1,RIGHT(AC$1,2),""),VLOOKUP($D241,素材!$1:$1016,COLUMN($F$1),FALSE))),VLOOKUP($C241,装備品!$1:$998,COLUMN($O$1),FALSE)*VLOOKUP($D241,素材!$1:$1016,COLUMN($E$1),FALSE)/(LEN(VLOOKUP($D241,素材!$1:$1016,COLUMN($F$1),FALSE))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D241">
        <f>IF(ISNUMBER(SEARCH(SUBSTITUTE(AD$1,RIGHT(AD$1,2),""),VLOOKUP($D241,素材!$1:$1016,COLUMN($F$1),FALSE))),VLOOKUP($C241,装備品!$1:$998,COLUMN($O$1),FALSE)*VLOOKUP($D241,素材!$1:$1016,COLUMN($E$1),FALSE)/(LEN(VLOOKUP($D241,素材!$1:$1016,COLUMN($F$1),FALSE))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E241">
        <f>IF(ISNUMBER(SEARCH(SUBSTITUTE(AE$1,RIGHT(AE$1,2),""),VLOOKUP($D241,素材!$1:$1016,COLUMN($F$1),FALSE))),VLOOKUP($C241,装備品!$1:$998,COLUMN($O$1),FALSE)*VLOOKUP($D241,素材!$1:$1016,COLUMN($E$1),FALSE)/(LEN(VLOOKUP($D241,素材!$1:$1016,COLUMN($F$1),FALSE))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F241">
        <f>IF(ISNUMBER(SEARCH(SUBSTITUTE(AF$1,RIGHT(AF$1,2),""),VLOOKUP($D241,素材!$1:$1016,COLUMN($F$1),FALSE))),VLOOKUP($C241,装備品!$1:$998,COLUMN($O$1),FALSE)*VLOOKUP($D241,素材!$1:$1016,COLUMN($E$1),FALSE)/(LEN(VLOOKUP($D241,素材!$1:$1016,COLUMN($F$1),FALSE))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G241">
        <f>IF(ISNUMBER(SEARCH(SUBSTITUTE(AG$1,RIGHT(AG$1,2),""),VLOOKUP($D241,素材!$1:$1016,COLUMN($F$1),FALSE))),VLOOKUP($C241,装備品!$1:$998,COLUMN($O$1),FALSE)*VLOOKUP($D241,素材!$1:$1016,COLUMN($E$1),FALSE)/(LEN(VLOOKUP($D241,素材!$1:$1016,COLUMN($F$1),FALSE))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H241">
        <f>IF(ISNUMBER(SEARCH(SUBSTITUTE(AH$1,RIGHT(AH$1,2),""),VLOOKUP($D241,素材!$1:$1016,COLUMN($F$1),FALSE))),VLOOKUP($C241,装備品!$1:$998,COLUMN($O$1),FALSE)*VLOOKUP($D241,素材!$1:$1016,COLUMN($E$1),FALSE)/(LEN(VLOOKUP($D241,素材!$1:$1016,COLUMN($F$1),FALSE))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I241">
        <f>IF(ISNUMBER(SEARCH(SUBSTITUTE(AI$1,RIGHT(AI$1,2),""),VLOOKUP($D241,素材!$1:$1016,COLUMN($F$1),FALSE))),VLOOKUP($C241,装備品!$1:$998,COLUMN($O$1),FALSE)*VLOOKUP($D241,素材!$1:$1016,COLUMN($E$1),FALSE)/(LEN(VLOOKUP($D241,素材!$1:$1016,COLUMN($F$1),FALSE))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J241">
        <f>IF(ISNUMBER(SEARCH(SUBSTITUTE(AJ$1,RIGHT(AJ$1,2),""),VLOOKUP($D241,素材!$1:$1016,COLUMN($F$1),FALSE))),VLOOKUP($C241,装備品!$1:$998,COLUMN($O$1),FALSE)*VLOOKUP($D241,素材!$1:$1016,COLUMN($E$1),FALSE)/(LEN(VLOOKUP($D241,素材!$1:$1016,COLUMN($F$1),FALSE))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K241">
        <f>IF(ISNUMBER(SEARCH(SUBSTITUTE(AK$1,RIGHT(AK$1,2),""),VLOOKUP($D241,素材!$1:$1016,COLUMN($F$1),FALSE))),VLOOKUP($C241,装備品!$1:$998,COLUMN($O$1),FALSE)*VLOOKUP($D241,素材!$1:$1016,COLUMN($E$1),FALSE)/(LEN(VLOOKUP($D241,素材!$1:$1016,COLUMN($F$1),FALSE))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L241">
        <f>IF(ISNUMBER(SEARCH(SUBSTITUTE(AL$1,RIGHT(AL$1,2),""),VLOOKUP($D241,素材!$1:$1016,COLUMN($F$1),FALSE))),VLOOKUP($C241,装備品!$1:$998,COLUMN($O$1),FALSE)*VLOOKUP($D241,素材!$1:$1016,COLUMN($E$1),FALSE)/(LEN(VLOOKUP($D241,素材!$1:$1016,COLUMN($F$1),FALSE))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M241">
        <f>IF(ISNUMBER(SEARCH(SUBSTITUTE(AM$1,RIGHT(AM$1,2),""),VLOOKUP($D241,素材!$1:$1016,COLUMN($F$1),FALSE))),VLOOKUP($C241,装備品!$1:$998,COLUMN($O$1),FALSE)*VLOOKUP($D241,素材!$1:$1016,COLUMN($E$1),FALSE)/(LEN(VLOOKUP($D241,素材!$1:$1016,COLUMN($F$1),FALSE))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N241">
        <f>IF(ISNUMBER(SEARCH(SUBSTITUTE(AN$1,RIGHT(AN$1,2),""),VLOOKUP($D241,素材!$1:$1016,COLUMN($F$1),FALSE))),VLOOKUP($C241,装備品!$1:$998,COLUMN($O$1),FALSE)*VLOOKUP($D241,素材!$1:$1016,COLUMN($E$1),FALSE)/(LEN(VLOOKUP($D241,素材!$1:$1016,COLUMN($F$1),FALSE))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O241">
        <f>IF(ISNUMBER(SEARCH(SUBSTITUTE(AO$1,RIGHT(AO$1,2),""),VLOOKUP($D241,素材!$1:$1016,COLUMN($F$1),FALSE))),VLOOKUP($C241,装備品!$1:$998,COLUMN($O$1),FALSE)*VLOOKUP($D241,素材!$1:$1016,COLUMN($E$1),FALSE)/(LEN(VLOOKUP($D241,素材!$1:$1016,COLUMN($F$1),FALSE))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P241">
        <f>IF(ISNUMBER(SEARCH(SUBSTITUTE(AP$1,RIGHT(AP$1,2),""),VLOOKUP($D241,素材!$1:$1016,COLUMN($F$1),FALSE))),VLOOKUP($C241,装備品!$1:$998,COLUMN($O$1),FALSE)*VLOOKUP($D241,素材!$1:$1016,COLUMN($E$1),FALSE)/(LEN(VLOOKUP($D241,素材!$1:$1016,COLUMN($F$1),FALSE))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Q241">
        <f>IF(ISNUMBER(SEARCH(SUBSTITUTE(AQ$1,RIGHT(AQ$1,2),""),VLOOKUP($D241,素材!$1:$1016,COLUMN($F$1),FALSE))),VLOOKUP($C241,装備品!$1:$998,COLUMN($O$1),FALSE)*VLOOKUP($D241,素材!$1:$1016,COLUMN($E$1),FALSE)/(LEN(VLOOKUP($D241,素材!$1:$1016,COLUMN($F$1),FALSE))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R241">
        <f>IF(ISNUMBER(SEARCH(SUBSTITUTE(AR$1,RIGHT(AR$1,2),""),VLOOKUP($D241,素材!$1:$1016,COLUMN($F$1),FALSE))),VLOOKUP($C241,装備品!$1:$998,COLUMN($O$1),FALSE)*VLOOKUP($D241,素材!$1:$1016,COLUMN($E$1),FALSE)/(LEN(VLOOKUP($D241,素材!$1:$1016,COLUMN($F$1),FALSE))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S241">
        <f>IF(ISNUMBER(SEARCH(SUBSTITUTE(AS$1,RIGHT(AS$1,2),""),VLOOKUP($D241,素材!$1:$1016,COLUMN($F$1),FALSE))),VLOOKUP($C241,装備品!$1:$998,COLUMN($O$1),FALSE)*VLOOKUP($D241,素材!$1:$1016,COLUMN($E$1),FALSE)/(LEN(VLOOKUP($D241,素材!$1:$1016,COLUMN($F$1),FALSE))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T241">
        <f>IF(ISNUMBER(SEARCH(SUBSTITUTE(AT$1,RIGHT(AT$1,2),""),VLOOKUP($D241,素材!$1:$1016,COLUMN($F$1),FALSE))),VLOOKUP($C241,装備品!$1:$998,COLUMN($O$1),FALSE)*VLOOKUP($D241,素材!$1:$1016,COLUMN($E$1),FALSE)/(LEN(VLOOKUP($D241,素材!$1:$1016,COLUMN($F$1),FALSE))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U241">
        <f>IF(ISNUMBER(SEARCH(SUBSTITUTE(AU$1,RIGHT(AU$1,2),""),VLOOKUP($D241,素材!$1:$1016,COLUMN($F$1),FALSE))),VLOOKUP($C241,装備品!$1:$998,COLUMN($O$1),FALSE)*VLOOKUP($D241,素材!$1:$1016,COLUMN($E$1),FALSE)/(LEN(VLOOKUP($D241,素材!$1:$1016,COLUMN($F$1),FALSE))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V241">
        <f>IF(ISNUMBER(SEARCH(SUBSTITUTE(AV$1,RIGHT(AV$1,2),""),VLOOKUP($D241,素材!$1:$1016,COLUMN($F$1),FALSE))),VLOOKUP($C241,装備品!$1:$998,COLUMN($O$1),FALSE)*VLOOKUP($D241,素材!$1:$1016,COLUMN($E$1),FALSE)/(LEN(VLOOKUP($D241,素材!$1:$1016,COLUMN($F$1),FALSE))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W241">
        <f>IF(ISNUMBER(SEARCH(SUBSTITUTE(AW$1,RIGHT(AW$1,2),""),VLOOKUP($D241,素材!$1:$1016,COLUMN($F$1),FALSE))),VLOOKUP($C241,装備品!$1:$998,COLUMN($O$1),FALSE)*VLOOKUP($D241,素材!$1:$1016,COLUMN($E$1),FALSE)/(LEN(VLOOKUP($D241,素材!$1:$1016,COLUMN($F$1),FALSE))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X241">
        <f>IF(ISNUMBER(SEARCH(SUBSTITUTE(AX$1,RIGHT(AX$1,2),""),VLOOKUP($D241,素材!$1:$1016,COLUMN($F$1),FALSE))),VLOOKUP($C241,装備品!$1:$998,COLUMN($O$1),FALSE)*VLOOKUP($D241,素材!$1:$1016,COLUMN($E$1),FALSE)/(LEN(VLOOKUP($D241,素材!$1:$1016,COLUMN($F$1),FALSE))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Y241">
        <f>IF(ISNUMBER(SEARCH(SUBSTITUTE(AY$1,RIGHT(AY$1,2),""),VLOOKUP($D241,素材!$1:$1016,COLUMN($F$1),FALSE))),VLOOKUP($C241,装備品!$1:$998,COLUMN($O$1),FALSE)*VLOOKUP($D241,素材!$1:$1016,COLUMN($E$1),FALSE)/(LEN(VLOOKUP($D241,素材!$1:$1016,COLUMN($F$1),FALSE))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Z241">
        <f>IF(ISNUMBER(SEARCH(SUBSTITUTE(AZ$1,RIGHT(AZ$1,2),""),VLOOKUP($D241,素材!$1:$1016,COLUMN($F$1),FALSE))),VLOOKUP($C241,装備品!$1:$998,COLUMN($O$1),FALSE)*VLOOKUP($D241,素材!$1:$1016,COLUMN($E$1),FALSE)/(LEN(VLOOKUP($D241,素材!$1:$1016,COLUMN($F$1),FALSE))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BA241">
        <f>IF(ISNUMBER(SEARCH(SUBSTITUTE(BA$1,RIGHT(BA$1,2),""),VLOOKUP($D241,素材!$1:$1016,COLUMN($F$1),FALSE))),VLOOKUP($C241,装備品!$1:$998,COLUMN($O$1),FALSE)*VLOOKUP($D241,素材!$1:$1016,COLUMN($E$1),FALSE)/(LEN(VLOOKUP($D241,素材!$1:$1016,COLUMN($F$1),FALSE))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BB241">
        <f>IF(ISNUMBER(SEARCH(SUBSTITUTE(BB$1,RIGHT(BB$1,2),""),VLOOKUP($D241,素材!$1:$1016,COLUMN($F$1),FALSE))),VLOOKUP($C241,装備品!$1:$998,COLUMN($O$1),FALSE)*VLOOKUP($D241,素材!$1:$1016,COLUMN($E$1),FALSE)/(LEN(VLOOKUP($D241,素材!$1:$1016,COLUMN($F$1),FALSE))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BC241">
        <f>IF(ISNUMBER(SEARCH(SUBSTITUTE(BC$1,RIGHT(BC$1,2),""),VLOOKUP($D241,素材!$1:$1016,COLUMN($F$1),FALSE))),VLOOKUP($C241,装備品!$1:$998,COLUMN($O$1),FALSE)*VLOOKUP($D241,素材!$1:$1016,COLUMN($E$1),FALSE)/(LEN(VLOOKUP($D241,素材!$1:$1016,COLUMN($F$1),FALSE))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BD241">
        <f>IF(ISNUMBER(SEARCH(SUBSTITUTE(BD$1,RIGHT(BD$1,2),""),VLOOKUP($D241,素材!$1:$1016,COLUMN($F$1),FALSE))),VLOOKUP($C241,装備品!$1:$998,COLUMN($O$1),FALSE)*VLOOKUP($D241,素材!$1:$1016,COLUMN($E$1),FALSE)/(LEN(VLOOKUP($D241,素材!$1:$1016,COLUMN($F$1),FALSE))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BE241">
        <f>IF(ISNUMBER(SEARCH(SUBSTITUTE(BE$1,RIGHT(BE$1,2),""),VLOOKUP($D241,素材!$1:$1016,COLUMN($F$1),FALSE))),VLOOKUP($C241,装備品!$1:$998,COLUMN($O$1),FALSE)*VLOOKUP($D241,素材!$1:$1016,COLUMN($E$1),FALSE)/(LEN(VLOOKUP($D241,素材!$1:$1016,COLUMN($F$1),FALSE))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CL241">
        <f t="shared" si="35"/>
        <v>27</v>
      </c>
      <c r="CM241" s="22" t="str">
        <f t="shared" si="36"/>
        <v>貫通.webp</v>
      </c>
      <c r="CN241">
        <f>IFERROR(VLOOKUP($C241,装備品!$1:$998,COLUMN(V$1),FALSE)*VLOOKUP($D241,素材!$1:$1016,COLUMN(N$1),FALSE)+IF(CI241="",0,VLOOKUP($CI241,付与!$1:$1176,COLUMN($CK$1),FALSE)),"")</f>
        <v>0</v>
      </c>
      <c r="CO241">
        <f>VLOOKUP(D241,素材!$A:$O,COLUMN(素材!O$1),FALSE)</f>
        <v>0</v>
      </c>
      <c r="CP241" t="str">
        <f>VLOOKUP(C241,装備品!$A:$AB,COLUMN(装備品!AB$1),FALSE)</f>
        <v>槍。リーチが長く、刺突に優れる武器。</v>
      </c>
      <c r="CR241" t="str">
        <f t="shared" si="37"/>
        <v>e_241</v>
      </c>
      <c r="CS241">
        <f t="shared" si="38"/>
        <v>0</v>
      </c>
    </row>
    <row r="242" spans="1:97" outlineLevel="1" x14ac:dyDescent="0.4">
      <c r="A242" t="str">
        <f t="shared" si="39"/>
        <v>熱鉄の騎士槍</v>
      </c>
      <c r="B242" t="str">
        <f>IFERROR(VLOOKUP($D242,素材!$1:$1016,COLUMN($B$1),FALSE)&amp;"・"&amp;VLOOKUP($C242,装備品!$1:$998,COLUMN(B$1),FALSE),"")</f>
        <v>ヒートスティール・ランス</v>
      </c>
      <c r="C242" s="24" t="s">
        <v>231</v>
      </c>
      <c r="D242" s="24" t="s">
        <v>204</v>
      </c>
      <c r="E242" t="str">
        <f>IFERROR(VLOOKUP(C242,装備品!$1:$998,COLUMN(C$1),FALSE),"")</f>
        <v>武器</v>
      </c>
      <c r="F242">
        <f>IFERROR(ROUNDDOWN((VLOOKUP($C242,装備品!$1:$998,COLUMN(D$1),FALSE)+IFERROR(VLOOKUP($CI242,付与!$1:$1167,COLUMN(F$1),FALSE),0))*VLOOKUP($D242,素材!$1:$1016,COLUMN(D$1),FALSE),0),"")</f>
        <v>115</v>
      </c>
      <c r="G242">
        <f>IFERROR(ROUNDDOWN((VLOOKUP($C242,装備品!$1:$998,COLUMN(E$1),FALSE)+IFERROR(VLOOKUP($CI242,付与!$1:$1167,COLUMN(G$1),FALSE),0))*VLOOKUP($D242,素材!$1:$1016,COLUMN($E$1),FALSE),0),"")</f>
        <v>0</v>
      </c>
      <c r="H242">
        <f>IFERROR(ROUNDDOWN((VLOOKUP($C242,装備品!$1:$998,COLUMN(F$1),FALSE)+IFERROR(VLOOKUP($CI242,付与!$1:$1167,COLUMN(H$1),FALSE),0))*VLOOKUP($D242,素材!$1:$1016,COLUMN($E$1),FALSE),0),"")</f>
        <v>19</v>
      </c>
      <c r="I242">
        <f>IFERROR(ROUNDDOWN((VLOOKUP($C242,装備品!$1:$998,COLUMN(G$1),FALSE)+IFERROR(VLOOKUP($CI242,付与!$1:$1167,COLUMN(I$1),FALSE),0))*VLOOKUP($D242,素材!$1:$1016,COLUMN($E$1),FALSE),0),"")</f>
        <v>9</v>
      </c>
      <c r="J242">
        <f>IFERROR(ROUNDDOWN((VLOOKUP($C242,装備品!$1:$998,COLUMN(H$1),FALSE)+IFERROR(VLOOKUP($CI242,付与!$1:$1167,COLUMN(J$1),FALSE),0))*VLOOKUP($D242,素材!$1:$1016,COLUMN($E$1),FALSE),0),"")</f>
        <v>20</v>
      </c>
      <c r="K242">
        <f>IFERROR(ROUNDDOWN((VLOOKUP($C242,装備品!$1:$998,COLUMN(I$1),FALSE)+IFERROR(VLOOKUP($CI242,付与!$1:$1167,COLUMN(K$1),FALSE),0))*VLOOKUP($D242,素材!$1:$1016,COLUMN($E$1),FALSE),0),"")</f>
        <v>0</v>
      </c>
      <c r="L242" t="str">
        <f>IFERROR(VLOOKUP($D242,素材!$1:$1016,COLUMN($F$1),FALSE),"")</f>
        <v>炎</v>
      </c>
      <c r="M242">
        <f>IFERROR(VLOOKUP($C242,装備品!$1:$998,COLUMN(AA$1),FALSE)*VLOOKUP($D242,素材!$1:$1016,COLUMN($G$1),FALSE),"")</f>
        <v>105</v>
      </c>
      <c r="N242">
        <f>IFERROR(VLOOKUP($C242,装備品!$1:$998,COLUMN(I$1),FALSE),"")</f>
        <v>0</v>
      </c>
      <c r="O242" s="23">
        <f>IFERROR((VLOOKUP($C242,装備品!$1:$998,COLUMN(K$1),FALSE)+VLOOKUP($D242,素材!$1:$1016,COLUMN(H$1),FALSE))*100+IFERROR(VLOOKUP($CI242,付与!$1:$1167,COLUMN(O$1),FALSE),0),"")</f>
        <v>5</v>
      </c>
      <c r="P242" s="23">
        <f>IFERROR((VLOOKUP($C242,装備品!$1:$998,COLUMN(L$1),FALSE)+VLOOKUP($D242,素材!$1:$1016,COLUMN(I$1),FALSE))*100+IFERROR(VLOOKUP($CI242,付与!$1:$1167,COLUMN(P$1),FALSE),0),"")</f>
        <v>175</v>
      </c>
      <c r="Q242">
        <f>IFERROR(ROUNDUP(VLOOKUP($C242,装備品!$1:$998,COLUMN(M$1),FALSE)*(VLOOKUP($D242,素材!$1:$1002,COLUMN(D$1),FALSE)/100),1),"")</f>
        <v>-5</v>
      </c>
      <c r="R242">
        <f>IFERROR(ROUNDUP(VLOOKUP($C242,装備品!$1:$998,COLUMN(N$1),FALSE)*(VLOOKUP($D242,素材!$1:$1002,COLUMN(D$1),FALSE)/100),1),"")</f>
        <v>-5</v>
      </c>
      <c r="S242">
        <f>IFERROR(VLOOKUP($C242,装備品!$1:$998,COLUMN(P$1),FALSE),"")</f>
        <v>0</v>
      </c>
      <c r="T242">
        <f>IFERROR(VLOOKUP($C242,装備品!$1:$998,COLUMN(Q$1),FALSE),"")</f>
        <v>0</v>
      </c>
      <c r="U242">
        <f>IFERROR(VLOOKUP($C242,装備品!$1:$998,COLUMN(R$1),FALSE),"")</f>
        <v>-15</v>
      </c>
      <c r="V242">
        <f>IFERROR(VLOOKUP($C242,装備品!$1:$998,COLUMN(Q$1),FALSE),"")</f>
        <v>0</v>
      </c>
      <c r="W242">
        <f>IFERROR(VLOOKUP($C242,装備品!$1:$998,COLUMN(T$1),FALSE),"")</f>
        <v>0</v>
      </c>
      <c r="Y242">
        <f>IFERROR(VLOOKUP($C242,装備品!$1:$998,COLUMN(U$1),FALSE),"")</f>
        <v>0</v>
      </c>
      <c r="Z242">
        <f>IFERROR(ROUNDUP(VLOOKUP($C242,装備品!$1:$998,COLUMN(O$1),FALSE)*VLOOKUP($D242,素材!$1:$1016,COLUMN(E$1),FALSE),1),"")</f>
        <v>0</v>
      </c>
      <c r="AA242">
        <f>IF(ISNUMBER(SEARCH(SUBSTITUTE(AA$1,RIGHT(AA$1,2),""),VLOOKUP($D242,素材!$1:$1016,COLUMN($F$1),FALSE))),VLOOKUP($C242,装備品!$1:$998,COLUMN($O$1),FALSE)*VLOOKUP($D242,素材!$1:$1016,COLUMN($E$1),FALSE)/(LEN(VLOOKUP($D242,素材!$1:$1016,COLUMN($F$1),FALSE))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B242">
        <f>IF(ISNUMBER(SEARCH(SUBSTITUTE(AB$1,RIGHT(AB$1,2),""),VLOOKUP($D242,素材!$1:$1016,COLUMN($F$1),FALSE))),VLOOKUP($C242,装備品!$1:$998,COLUMN($O$1),FALSE)*VLOOKUP($D242,素材!$1:$1016,COLUMN($E$1),FALSE)/(LEN(VLOOKUP($D242,素材!$1:$1016,COLUMN($F$1),FALSE))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C242">
        <f>IF(ISNUMBER(SEARCH(SUBSTITUTE(AC$1,RIGHT(AC$1,2),""),VLOOKUP($D242,素材!$1:$1016,COLUMN($F$1),FALSE))),VLOOKUP($C242,装備品!$1:$998,COLUMN($O$1),FALSE)*VLOOKUP($D242,素材!$1:$1016,COLUMN($E$1),FALSE)/(LEN(VLOOKUP($D242,素材!$1:$1016,COLUMN($F$1),FALSE))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D242">
        <f>IF(ISNUMBER(SEARCH(SUBSTITUTE(AD$1,RIGHT(AD$1,2),""),VLOOKUP($D242,素材!$1:$1016,COLUMN($F$1),FALSE))),VLOOKUP($C242,装備品!$1:$998,COLUMN($O$1),FALSE)*VLOOKUP($D242,素材!$1:$1016,COLUMN($E$1),FALSE)/(LEN(VLOOKUP($D242,素材!$1:$1016,COLUMN($F$1),FALSE))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E242">
        <f>IF(ISNUMBER(SEARCH(SUBSTITUTE(AE$1,RIGHT(AE$1,2),""),VLOOKUP($D242,素材!$1:$1016,COLUMN($F$1),FALSE))),VLOOKUP($C242,装備品!$1:$998,COLUMN($O$1),FALSE)*VLOOKUP($D242,素材!$1:$1016,COLUMN($E$1),FALSE)/(LEN(VLOOKUP($D242,素材!$1:$1016,COLUMN($F$1),FALSE))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F242">
        <f>IF(ISNUMBER(SEARCH(SUBSTITUTE(AF$1,RIGHT(AF$1,2),""),VLOOKUP($D242,素材!$1:$1016,COLUMN($F$1),FALSE))),VLOOKUP($C242,装備品!$1:$998,COLUMN($O$1),FALSE)*VLOOKUP($D242,素材!$1:$1016,COLUMN($E$1),FALSE)/(LEN(VLOOKUP($D242,素材!$1:$1016,COLUMN($F$1),FALSE))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G242">
        <f>IF(ISNUMBER(SEARCH(SUBSTITUTE(AG$1,RIGHT(AG$1,2),""),VLOOKUP($D242,素材!$1:$1016,COLUMN($F$1),FALSE))),VLOOKUP($C242,装備品!$1:$998,COLUMN($O$1),FALSE)*VLOOKUP($D242,素材!$1:$1016,COLUMN($E$1),FALSE)/(LEN(VLOOKUP($D242,素材!$1:$1016,COLUMN($F$1),FALSE))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H242">
        <f>IF(ISNUMBER(SEARCH(SUBSTITUTE(AH$1,RIGHT(AH$1,2),""),VLOOKUP($D242,素材!$1:$1016,COLUMN($F$1),FALSE))),VLOOKUP($C242,装備品!$1:$998,COLUMN($O$1),FALSE)*VLOOKUP($D242,素材!$1:$1016,COLUMN($E$1),FALSE)/(LEN(VLOOKUP($D242,素材!$1:$1016,COLUMN($F$1),FALSE))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I242">
        <f>IF(ISNUMBER(SEARCH(SUBSTITUTE(AI$1,RIGHT(AI$1,2),""),VLOOKUP($D242,素材!$1:$1016,COLUMN($F$1),FALSE))),VLOOKUP($C242,装備品!$1:$998,COLUMN($O$1),FALSE)*VLOOKUP($D242,素材!$1:$1016,COLUMN($E$1),FALSE)/(LEN(VLOOKUP($D242,素材!$1:$1016,COLUMN($F$1),FALSE))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J242">
        <f>IF(ISNUMBER(SEARCH(SUBSTITUTE(AJ$1,RIGHT(AJ$1,2),""),VLOOKUP($D242,素材!$1:$1016,COLUMN($F$1),FALSE))),VLOOKUP($C242,装備品!$1:$998,COLUMN($O$1),FALSE)*VLOOKUP($D242,素材!$1:$1016,COLUMN($E$1),FALSE)/(LEN(VLOOKUP($D242,素材!$1:$1016,COLUMN($F$1),FALSE))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K242">
        <f>IF(ISNUMBER(SEARCH(SUBSTITUTE(AK$1,RIGHT(AK$1,2),""),VLOOKUP($D242,素材!$1:$1016,COLUMN($F$1),FALSE))),VLOOKUP($C242,装備品!$1:$998,COLUMN($O$1),FALSE)*VLOOKUP($D242,素材!$1:$1016,COLUMN($E$1),FALSE)/(LEN(VLOOKUP($D242,素材!$1:$1016,COLUMN($F$1),FALSE))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L242">
        <f>IF(ISNUMBER(SEARCH(SUBSTITUTE(AL$1,RIGHT(AL$1,2),""),VLOOKUP($D242,素材!$1:$1016,COLUMN($F$1),FALSE))),VLOOKUP($C242,装備品!$1:$998,COLUMN($O$1),FALSE)*VLOOKUP($D242,素材!$1:$1016,COLUMN($E$1),FALSE)/(LEN(VLOOKUP($D242,素材!$1:$1016,COLUMN($F$1),FALSE))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M242">
        <f>IF(ISNUMBER(SEARCH(SUBSTITUTE(AM$1,RIGHT(AM$1,2),""),VLOOKUP($D242,素材!$1:$1016,COLUMN($F$1),FALSE))),VLOOKUP($C242,装備品!$1:$998,COLUMN($O$1),FALSE)*VLOOKUP($D242,素材!$1:$1016,COLUMN($E$1),FALSE)/(LEN(VLOOKUP($D242,素材!$1:$1016,COLUMN($F$1),FALSE))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N242">
        <f>IF(ISNUMBER(SEARCH(SUBSTITUTE(AN$1,RIGHT(AN$1,2),""),VLOOKUP($D242,素材!$1:$1016,COLUMN($F$1),FALSE))),VLOOKUP($C242,装備品!$1:$998,COLUMN($O$1),FALSE)*VLOOKUP($D242,素材!$1:$1016,COLUMN($E$1),FALSE)/(LEN(VLOOKUP($D242,素材!$1:$1016,COLUMN($F$1),FALSE))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O242">
        <f>IF(ISNUMBER(SEARCH(SUBSTITUTE(AO$1,RIGHT(AO$1,2),""),VLOOKUP($D242,素材!$1:$1016,COLUMN($F$1),FALSE))),VLOOKUP($C242,装備品!$1:$998,COLUMN($O$1),FALSE)*VLOOKUP($D242,素材!$1:$1016,COLUMN($E$1),FALSE)/(LEN(VLOOKUP($D242,素材!$1:$1016,COLUMN($F$1),FALSE))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P242">
        <f>IF(ISNUMBER(SEARCH(SUBSTITUTE(AP$1,RIGHT(AP$1,2),""),VLOOKUP($D242,素材!$1:$1016,COLUMN($F$1),FALSE))),VLOOKUP($C242,装備品!$1:$998,COLUMN($O$1),FALSE)*VLOOKUP($D242,素材!$1:$1016,COLUMN($E$1),FALSE)/(LEN(VLOOKUP($D242,素材!$1:$1016,COLUMN($F$1),FALSE))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Q242">
        <f>IF(ISNUMBER(SEARCH(SUBSTITUTE(AQ$1,RIGHT(AQ$1,2),""),VLOOKUP($D242,素材!$1:$1016,COLUMN($F$1),FALSE))),VLOOKUP($C242,装備品!$1:$998,COLUMN($O$1),FALSE)*VLOOKUP($D242,素材!$1:$1016,COLUMN($E$1),FALSE)/(LEN(VLOOKUP($D242,素材!$1:$1016,COLUMN($F$1),FALSE))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R242">
        <f>IF(ISNUMBER(SEARCH(SUBSTITUTE(AR$1,RIGHT(AR$1,2),""),VLOOKUP($D242,素材!$1:$1016,COLUMN($F$1),FALSE))),VLOOKUP($C242,装備品!$1:$998,COLUMN($O$1),FALSE)*VLOOKUP($D242,素材!$1:$1016,COLUMN($E$1),FALSE)/(LEN(VLOOKUP($D242,素材!$1:$1016,COLUMN($F$1),FALSE))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S242">
        <f>IF(ISNUMBER(SEARCH(SUBSTITUTE(AS$1,RIGHT(AS$1,2),""),VLOOKUP($D242,素材!$1:$1016,COLUMN($F$1),FALSE))),VLOOKUP($C242,装備品!$1:$998,COLUMN($O$1),FALSE)*VLOOKUP($D242,素材!$1:$1016,COLUMN($E$1),FALSE)/(LEN(VLOOKUP($D242,素材!$1:$1016,COLUMN($F$1),FALSE))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T242">
        <f>IF(ISNUMBER(SEARCH(SUBSTITUTE(AT$1,RIGHT(AT$1,2),""),VLOOKUP($D242,素材!$1:$1016,COLUMN($F$1),FALSE))),VLOOKUP($C242,装備品!$1:$998,COLUMN($O$1),FALSE)*VLOOKUP($D242,素材!$1:$1016,COLUMN($E$1),FALSE)/(LEN(VLOOKUP($D242,素材!$1:$1016,COLUMN($F$1),FALSE))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U242">
        <f>IF(ISNUMBER(SEARCH(SUBSTITUTE(AU$1,RIGHT(AU$1,2),""),VLOOKUP($D242,素材!$1:$1016,COLUMN($F$1),FALSE))),VLOOKUP($C242,装備品!$1:$998,COLUMN($O$1),FALSE)*VLOOKUP($D242,素材!$1:$1016,COLUMN($E$1),FALSE)/(LEN(VLOOKUP($D242,素材!$1:$1016,COLUMN($F$1),FALSE))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V242">
        <f>IF(ISNUMBER(SEARCH(SUBSTITUTE(AV$1,RIGHT(AV$1,2),""),VLOOKUP($D242,素材!$1:$1016,COLUMN($F$1),FALSE))),VLOOKUP($C242,装備品!$1:$998,COLUMN($O$1),FALSE)*VLOOKUP($D242,素材!$1:$1016,COLUMN($E$1),FALSE)/(LEN(VLOOKUP($D242,素材!$1:$1016,COLUMN($F$1),FALSE))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W242">
        <f>IF(ISNUMBER(SEARCH(SUBSTITUTE(AW$1,RIGHT(AW$1,2),""),VLOOKUP($D242,素材!$1:$1016,COLUMN($F$1),FALSE))),VLOOKUP($C242,装備品!$1:$998,COLUMN($O$1),FALSE)*VLOOKUP($D242,素材!$1:$1016,COLUMN($E$1),FALSE)/(LEN(VLOOKUP($D242,素材!$1:$1016,COLUMN($F$1),FALSE))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X242">
        <f>IF(ISNUMBER(SEARCH(SUBSTITUTE(AX$1,RIGHT(AX$1,2),""),VLOOKUP($D242,素材!$1:$1016,COLUMN($F$1),FALSE))),VLOOKUP($C242,装備品!$1:$998,COLUMN($O$1),FALSE)*VLOOKUP($D242,素材!$1:$1016,COLUMN($E$1),FALSE)/(LEN(VLOOKUP($D242,素材!$1:$1016,COLUMN($F$1),FALSE))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Y242">
        <f>IF(ISNUMBER(SEARCH(SUBSTITUTE(AY$1,RIGHT(AY$1,2),""),VLOOKUP($D242,素材!$1:$1016,COLUMN($F$1),FALSE))),VLOOKUP($C242,装備品!$1:$998,COLUMN($O$1),FALSE)*VLOOKUP($D242,素材!$1:$1016,COLUMN($E$1),FALSE)/(LEN(VLOOKUP($D242,素材!$1:$1016,COLUMN($F$1),FALSE))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Z242">
        <f>IF(ISNUMBER(SEARCH(SUBSTITUTE(AZ$1,RIGHT(AZ$1,2),""),VLOOKUP($D242,素材!$1:$1016,COLUMN($F$1),FALSE))),VLOOKUP($C242,装備品!$1:$998,COLUMN($O$1),FALSE)*VLOOKUP($D242,素材!$1:$1016,COLUMN($E$1),FALSE)/(LEN(VLOOKUP($D242,素材!$1:$1016,COLUMN($F$1),FALSE))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BA242">
        <f>IF(ISNUMBER(SEARCH(SUBSTITUTE(BA$1,RIGHT(BA$1,2),""),VLOOKUP($D242,素材!$1:$1016,COLUMN($F$1),FALSE))),VLOOKUP($C242,装備品!$1:$998,COLUMN($O$1),FALSE)*VLOOKUP($D242,素材!$1:$1016,COLUMN($E$1),FALSE)/(LEN(VLOOKUP($D242,素材!$1:$1016,COLUMN($F$1),FALSE))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BB242">
        <f>IF(ISNUMBER(SEARCH(SUBSTITUTE(BB$1,RIGHT(BB$1,2),""),VLOOKUP($D242,素材!$1:$1016,COLUMN($F$1),FALSE))),VLOOKUP($C242,装備品!$1:$998,COLUMN($O$1),FALSE)*VLOOKUP($D242,素材!$1:$1016,COLUMN($E$1),FALSE)/(LEN(VLOOKUP($D242,素材!$1:$1016,COLUMN($F$1),FALSE))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BC242">
        <f>IF(ISNUMBER(SEARCH(SUBSTITUTE(BC$1,RIGHT(BC$1,2),""),VLOOKUP($D242,素材!$1:$1016,COLUMN($F$1),FALSE))),VLOOKUP($C242,装備品!$1:$998,COLUMN($O$1),FALSE)*VLOOKUP($D242,素材!$1:$1016,COLUMN($E$1),FALSE)/(LEN(VLOOKUP($D242,素材!$1:$1016,COLUMN($F$1),FALSE))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BD242">
        <f>IF(ISNUMBER(SEARCH(SUBSTITUTE(BD$1,RIGHT(BD$1,2),""),VLOOKUP($D242,素材!$1:$1016,COLUMN($F$1),FALSE))),VLOOKUP($C242,装備品!$1:$998,COLUMN($O$1),FALSE)*VLOOKUP($D242,素材!$1:$1016,COLUMN($E$1),FALSE)/(LEN(VLOOKUP($D242,素材!$1:$1016,COLUMN($F$1),FALSE))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BE242">
        <f>IF(ISNUMBER(SEARCH(SUBSTITUTE(BE$1,RIGHT(BE$1,2),""),VLOOKUP($D242,素材!$1:$1016,COLUMN($F$1),FALSE))),VLOOKUP($C242,装備品!$1:$998,COLUMN($O$1),FALSE)*VLOOKUP($D242,素材!$1:$1016,COLUMN($E$1),FALSE)/(LEN(VLOOKUP($D242,素材!$1:$1016,COLUMN($F$1),FALSE))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CL242">
        <f t="shared" si="35"/>
        <v>28</v>
      </c>
      <c r="CM242" s="22" t="str">
        <f t="shared" si="36"/>
        <v>貫通.webp</v>
      </c>
      <c r="CN242">
        <f>IFERROR(VLOOKUP($C242,装備品!$1:$998,COLUMN(V$1),FALSE)*VLOOKUP($D242,素材!$1:$1016,COLUMN(N$1),FALSE)+IF(CI242="",0,VLOOKUP($CI242,付与!$1:$1176,COLUMN($CK$1),FALSE)),"")</f>
        <v>0</v>
      </c>
      <c r="CO242">
        <f>VLOOKUP(D242,素材!$A:$O,COLUMN(素材!O$1),FALSE)</f>
        <v>0</v>
      </c>
      <c r="CP242" t="str">
        <f>VLOOKUP(C242,装備品!$A:$AB,COLUMN(装備品!AB$1),FALSE)</f>
        <v>騎士槍。突撃に特化した武器で、高い攻撃力を誇る。</v>
      </c>
      <c r="CR242" t="str">
        <f t="shared" si="37"/>
        <v>e_242</v>
      </c>
      <c r="CS242">
        <f t="shared" si="38"/>
        <v>0</v>
      </c>
    </row>
    <row r="243" spans="1:97" outlineLevel="1" x14ac:dyDescent="0.4">
      <c r="A243" t="str">
        <f t="shared" si="39"/>
        <v>熱鉄の斧槍</v>
      </c>
      <c r="B243" t="str">
        <f>IFERROR(VLOOKUP($D243,素材!$1:$1016,COLUMN($B$1),FALSE)&amp;"・"&amp;VLOOKUP($C243,装備品!$1:$998,COLUMN(B$1),FALSE),"")</f>
        <v>ヒートスティール・ハルバート</v>
      </c>
      <c r="C243" s="24" t="s">
        <v>230</v>
      </c>
      <c r="D243" s="24" t="s">
        <v>204</v>
      </c>
      <c r="E243" t="str">
        <f>IFERROR(VLOOKUP(C243,装備品!$1:$998,COLUMN(C$1),FALSE),"")</f>
        <v>武器</v>
      </c>
      <c r="F243">
        <f>IFERROR(ROUNDDOWN((VLOOKUP($C243,装備品!$1:$998,COLUMN(D$1),FALSE)+IFERROR(VLOOKUP($CI243,付与!$1:$1167,COLUMN(F$1),FALSE),0))*VLOOKUP($D243,素材!$1:$1016,COLUMN(D$1),FALSE),0),"")</f>
        <v>110</v>
      </c>
      <c r="G243">
        <f>IFERROR(ROUNDDOWN((VLOOKUP($C243,装備品!$1:$998,COLUMN(E$1),FALSE)+IFERROR(VLOOKUP($CI243,付与!$1:$1167,COLUMN(G$1),FALSE),0))*VLOOKUP($D243,素材!$1:$1016,COLUMN($E$1),FALSE),0),"")</f>
        <v>8</v>
      </c>
      <c r="H243">
        <f>IFERROR(ROUNDDOWN((VLOOKUP($C243,装備品!$1:$998,COLUMN(F$1),FALSE)+IFERROR(VLOOKUP($CI243,付与!$1:$1167,COLUMN(H$1),FALSE),0))*VLOOKUP($D243,素材!$1:$1016,COLUMN($E$1),FALSE),0),"")</f>
        <v>10</v>
      </c>
      <c r="I243">
        <f>IFERROR(ROUNDDOWN((VLOOKUP($C243,装備品!$1:$998,COLUMN(G$1),FALSE)+IFERROR(VLOOKUP($CI243,付与!$1:$1167,COLUMN(I$1),FALSE),0))*VLOOKUP($D243,素材!$1:$1016,COLUMN($E$1),FALSE),0),"")</f>
        <v>6</v>
      </c>
      <c r="J243">
        <f>IFERROR(ROUNDDOWN((VLOOKUP($C243,装備品!$1:$998,COLUMN(H$1),FALSE)+IFERROR(VLOOKUP($CI243,付与!$1:$1167,COLUMN(J$1),FALSE),0))*VLOOKUP($D243,素材!$1:$1016,COLUMN($E$1),FALSE),0),"")</f>
        <v>19</v>
      </c>
      <c r="K243">
        <f>IFERROR(ROUNDDOWN((VLOOKUP($C243,装備品!$1:$998,COLUMN(I$1),FALSE)+IFERROR(VLOOKUP($CI243,付与!$1:$1167,COLUMN(K$1),FALSE),0))*VLOOKUP($D243,素材!$1:$1016,COLUMN($E$1),FALSE),0),"")</f>
        <v>0</v>
      </c>
      <c r="L243" t="str">
        <f>IFERROR(VLOOKUP($D243,素材!$1:$1016,COLUMN($F$1),FALSE),"")</f>
        <v>炎</v>
      </c>
      <c r="M243">
        <f>IFERROR(VLOOKUP($C243,装備品!$1:$998,COLUMN(AA$1),FALSE)*VLOOKUP($D243,素材!$1:$1016,COLUMN($G$1),FALSE),"")</f>
        <v>87.5</v>
      </c>
      <c r="N243">
        <f>IFERROR(VLOOKUP($C243,装備品!$1:$998,COLUMN(I$1),FALSE),"")</f>
        <v>0</v>
      </c>
      <c r="O243" s="23">
        <f>IFERROR((VLOOKUP($C243,装備品!$1:$998,COLUMN(K$1),FALSE)+VLOOKUP($D243,素材!$1:$1016,COLUMN(H$1),FALSE))*100+IFERROR(VLOOKUP($CI243,付与!$1:$1167,COLUMN(O$1),FALSE),0),"")</f>
        <v>10</v>
      </c>
      <c r="P243" s="23">
        <f>IFERROR((VLOOKUP($C243,装備品!$1:$998,COLUMN(L$1),FALSE)+VLOOKUP($D243,素材!$1:$1016,COLUMN(I$1),FALSE))*100+IFERROR(VLOOKUP($CI243,付与!$1:$1167,COLUMN(P$1),FALSE),0),"")</f>
        <v>150</v>
      </c>
      <c r="Q243">
        <f>IFERROR(ROUNDUP(VLOOKUP($C243,装備品!$1:$998,COLUMN(M$1),FALSE)*(VLOOKUP($D243,素材!$1:$1002,COLUMN(D$1),FALSE)/100),1),"")</f>
        <v>-5</v>
      </c>
      <c r="R243">
        <f>IFERROR(ROUNDUP(VLOOKUP($C243,装備品!$1:$998,COLUMN(N$1),FALSE)*(VLOOKUP($D243,素材!$1:$1002,COLUMN(D$1),FALSE)/100),1),"")</f>
        <v>-5</v>
      </c>
      <c r="S243">
        <f>IFERROR(VLOOKUP($C243,装備品!$1:$998,COLUMN(P$1),FALSE),"")</f>
        <v>0</v>
      </c>
      <c r="T243">
        <f>IFERROR(VLOOKUP($C243,装備品!$1:$998,COLUMN(Q$1),FALSE),"")</f>
        <v>0</v>
      </c>
      <c r="U243">
        <f>IFERROR(VLOOKUP($C243,装備品!$1:$998,COLUMN(R$1),FALSE),"")</f>
        <v>0</v>
      </c>
      <c r="V243">
        <f>IFERROR(VLOOKUP($C243,装備品!$1:$998,COLUMN(Q$1),FALSE),"")</f>
        <v>0</v>
      </c>
      <c r="W243">
        <f>IFERROR(VLOOKUP($C243,装備品!$1:$998,COLUMN(T$1),FALSE),"")</f>
        <v>0</v>
      </c>
      <c r="Y243">
        <f>IFERROR(VLOOKUP($C243,装備品!$1:$998,COLUMN(U$1),FALSE),"")</f>
        <v>0</v>
      </c>
      <c r="Z243">
        <f>IFERROR(ROUNDUP(VLOOKUP($C243,装備品!$1:$998,COLUMN(O$1),FALSE)*VLOOKUP($D243,素材!$1:$1016,COLUMN(E$1),FALSE),1),"")</f>
        <v>0</v>
      </c>
      <c r="AA243">
        <f>IF(ISNUMBER(SEARCH(SUBSTITUTE(AA$1,RIGHT(AA$1,2),""),VLOOKUP($D243,素材!$1:$1016,COLUMN($F$1),FALSE))),VLOOKUP($C243,装備品!$1:$998,COLUMN($O$1),FALSE)*VLOOKUP($D243,素材!$1:$1016,COLUMN($E$1),FALSE)/(LEN(VLOOKUP($D243,素材!$1:$1016,COLUMN($F$1),FALSE))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B243">
        <f>IF(ISNUMBER(SEARCH(SUBSTITUTE(AB$1,RIGHT(AB$1,2),""),VLOOKUP($D243,素材!$1:$1016,COLUMN($F$1),FALSE))),VLOOKUP($C243,装備品!$1:$998,COLUMN($O$1),FALSE)*VLOOKUP($D243,素材!$1:$1016,COLUMN($E$1),FALSE)/(LEN(VLOOKUP($D243,素材!$1:$1016,COLUMN($F$1),FALSE))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C243">
        <f>IF(ISNUMBER(SEARCH(SUBSTITUTE(AC$1,RIGHT(AC$1,2),""),VLOOKUP($D243,素材!$1:$1016,COLUMN($F$1),FALSE))),VLOOKUP($C243,装備品!$1:$998,COLUMN($O$1),FALSE)*VLOOKUP($D243,素材!$1:$1016,COLUMN($E$1),FALSE)/(LEN(VLOOKUP($D243,素材!$1:$1016,COLUMN($F$1),FALSE))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D243">
        <f>IF(ISNUMBER(SEARCH(SUBSTITUTE(AD$1,RIGHT(AD$1,2),""),VLOOKUP($D243,素材!$1:$1016,COLUMN($F$1),FALSE))),VLOOKUP($C243,装備品!$1:$998,COLUMN($O$1),FALSE)*VLOOKUP($D243,素材!$1:$1016,COLUMN($E$1),FALSE)/(LEN(VLOOKUP($D243,素材!$1:$1016,COLUMN($F$1),FALSE))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E243">
        <f>IF(ISNUMBER(SEARCH(SUBSTITUTE(AE$1,RIGHT(AE$1,2),""),VLOOKUP($D243,素材!$1:$1016,COLUMN($F$1),FALSE))),VLOOKUP($C243,装備品!$1:$998,COLUMN($O$1),FALSE)*VLOOKUP($D243,素材!$1:$1016,COLUMN($E$1),FALSE)/(LEN(VLOOKUP($D243,素材!$1:$1016,COLUMN($F$1),FALSE))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F243">
        <f>IF(ISNUMBER(SEARCH(SUBSTITUTE(AF$1,RIGHT(AF$1,2),""),VLOOKUP($D243,素材!$1:$1016,COLUMN($F$1),FALSE))),VLOOKUP($C243,装備品!$1:$998,COLUMN($O$1),FALSE)*VLOOKUP($D243,素材!$1:$1016,COLUMN($E$1),FALSE)/(LEN(VLOOKUP($D243,素材!$1:$1016,COLUMN($F$1),FALSE))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G243">
        <f>IF(ISNUMBER(SEARCH(SUBSTITUTE(AG$1,RIGHT(AG$1,2),""),VLOOKUP($D243,素材!$1:$1016,COLUMN($F$1),FALSE))),VLOOKUP($C243,装備品!$1:$998,COLUMN($O$1),FALSE)*VLOOKUP($D243,素材!$1:$1016,COLUMN($E$1),FALSE)/(LEN(VLOOKUP($D243,素材!$1:$1016,COLUMN($F$1),FALSE))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H243">
        <f>IF(ISNUMBER(SEARCH(SUBSTITUTE(AH$1,RIGHT(AH$1,2),""),VLOOKUP($D243,素材!$1:$1016,COLUMN($F$1),FALSE))),VLOOKUP($C243,装備品!$1:$998,COLUMN($O$1),FALSE)*VLOOKUP($D243,素材!$1:$1016,COLUMN($E$1),FALSE)/(LEN(VLOOKUP($D243,素材!$1:$1016,COLUMN($F$1),FALSE))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I243">
        <f>IF(ISNUMBER(SEARCH(SUBSTITUTE(AI$1,RIGHT(AI$1,2),""),VLOOKUP($D243,素材!$1:$1016,COLUMN($F$1),FALSE))),VLOOKUP($C243,装備品!$1:$998,COLUMN($O$1),FALSE)*VLOOKUP($D243,素材!$1:$1016,COLUMN($E$1),FALSE)/(LEN(VLOOKUP($D243,素材!$1:$1016,COLUMN($F$1),FALSE))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J243">
        <f>IF(ISNUMBER(SEARCH(SUBSTITUTE(AJ$1,RIGHT(AJ$1,2),""),VLOOKUP($D243,素材!$1:$1016,COLUMN($F$1),FALSE))),VLOOKUP($C243,装備品!$1:$998,COLUMN($O$1),FALSE)*VLOOKUP($D243,素材!$1:$1016,COLUMN($E$1),FALSE)/(LEN(VLOOKUP($D243,素材!$1:$1016,COLUMN($F$1),FALSE))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K243">
        <f>IF(ISNUMBER(SEARCH(SUBSTITUTE(AK$1,RIGHT(AK$1,2),""),VLOOKUP($D243,素材!$1:$1016,COLUMN($F$1),FALSE))),VLOOKUP($C243,装備品!$1:$998,COLUMN($O$1),FALSE)*VLOOKUP($D243,素材!$1:$1016,COLUMN($E$1),FALSE)/(LEN(VLOOKUP($D243,素材!$1:$1016,COLUMN($F$1),FALSE))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L243">
        <f>IF(ISNUMBER(SEARCH(SUBSTITUTE(AL$1,RIGHT(AL$1,2),""),VLOOKUP($D243,素材!$1:$1016,COLUMN($F$1),FALSE))),VLOOKUP($C243,装備品!$1:$998,COLUMN($O$1),FALSE)*VLOOKUP($D243,素材!$1:$1016,COLUMN($E$1),FALSE)/(LEN(VLOOKUP($D243,素材!$1:$1016,COLUMN($F$1),FALSE))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M243">
        <f>IF(ISNUMBER(SEARCH(SUBSTITUTE(AM$1,RIGHT(AM$1,2),""),VLOOKUP($D243,素材!$1:$1016,COLUMN($F$1),FALSE))),VLOOKUP($C243,装備品!$1:$998,COLUMN($O$1),FALSE)*VLOOKUP($D243,素材!$1:$1016,COLUMN($E$1),FALSE)/(LEN(VLOOKUP($D243,素材!$1:$1016,COLUMN($F$1),FALSE))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N243">
        <f>IF(ISNUMBER(SEARCH(SUBSTITUTE(AN$1,RIGHT(AN$1,2),""),VLOOKUP($D243,素材!$1:$1016,COLUMN($F$1),FALSE))),VLOOKUP($C243,装備品!$1:$998,COLUMN($O$1),FALSE)*VLOOKUP($D243,素材!$1:$1016,COLUMN($E$1),FALSE)/(LEN(VLOOKUP($D243,素材!$1:$1016,COLUMN($F$1),FALSE))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O243">
        <f>IF(ISNUMBER(SEARCH(SUBSTITUTE(AO$1,RIGHT(AO$1,2),""),VLOOKUP($D243,素材!$1:$1016,COLUMN($F$1),FALSE))),VLOOKUP($C243,装備品!$1:$998,COLUMN($O$1),FALSE)*VLOOKUP($D243,素材!$1:$1016,COLUMN($E$1),FALSE)/(LEN(VLOOKUP($D243,素材!$1:$1016,COLUMN($F$1),FALSE))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P243">
        <f>IF(ISNUMBER(SEARCH(SUBSTITUTE(AP$1,RIGHT(AP$1,2),""),VLOOKUP($D243,素材!$1:$1016,COLUMN($F$1),FALSE))),VLOOKUP($C243,装備品!$1:$998,COLUMN($O$1),FALSE)*VLOOKUP($D243,素材!$1:$1016,COLUMN($E$1),FALSE)/(LEN(VLOOKUP($D243,素材!$1:$1016,COLUMN($F$1),FALSE))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Q243">
        <f>IF(ISNUMBER(SEARCH(SUBSTITUTE(AQ$1,RIGHT(AQ$1,2),""),VLOOKUP($D243,素材!$1:$1016,COLUMN($F$1),FALSE))),VLOOKUP($C243,装備品!$1:$998,COLUMN($O$1),FALSE)*VLOOKUP($D243,素材!$1:$1016,COLUMN($E$1),FALSE)/(LEN(VLOOKUP($D243,素材!$1:$1016,COLUMN($F$1),FALSE))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R243">
        <f>IF(ISNUMBER(SEARCH(SUBSTITUTE(AR$1,RIGHT(AR$1,2),""),VLOOKUP($D243,素材!$1:$1016,COLUMN($F$1),FALSE))),VLOOKUP($C243,装備品!$1:$998,COLUMN($O$1),FALSE)*VLOOKUP($D243,素材!$1:$1016,COLUMN($E$1),FALSE)/(LEN(VLOOKUP($D243,素材!$1:$1016,COLUMN($F$1),FALSE))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S243">
        <f>IF(ISNUMBER(SEARCH(SUBSTITUTE(AS$1,RIGHT(AS$1,2),""),VLOOKUP($D243,素材!$1:$1016,COLUMN($F$1),FALSE))),VLOOKUP($C243,装備品!$1:$998,COLUMN($O$1),FALSE)*VLOOKUP($D243,素材!$1:$1016,COLUMN($E$1),FALSE)/(LEN(VLOOKUP($D243,素材!$1:$1016,COLUMN($F$1),FALSE))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T243">
        <f>IF(ISNUMBER(SEARCH(SUBSTITUTE(AT$1,RIGHT(AT$1,2),""),VLOOKUP($D243,素材!$1:$1016,COLUMN($F$1),FALSE))),VLOOKUP($C243,装備品!$1:$998,COLUMN($O$1),FALSE)*VLOOKUP($D243,素材!$1:$1016,COLUMN($E$1),FALSE)/(LEN(VLOOKUP($D243,素材!$1:$1016,COLUMN($F$1),FALSE))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U243">
        <f>IF(ISNUMBER(SEARCH(SUBSTITUTE(AU$1,RIGHT(AU$1,2),""),VLOOKUP($D243,素材!$1:$1016,COLUMN($F$1),FALSE))),VLOOKUP($C243,装備品!$1:$998,COLUMN($O$1),FALSE)*VLOOKUP($D243,素材!$1:$1016,COLUMN($E$1),FALSE)/(LEN(VLOOKUP($D243,素材!$1:$1016,COLUMN($F$1),FALSE))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V243">
        <f>IF(ISNUMBER(SEARCH(SUBSTITUTE(AV$1,RIGHT(AV$1,2),""),VLOOKUP($D243,素材!$1:$1016,COLUMN($F$1),FALSE))),VLOOKUP($C243,装備品!$1:$998,COLUMN($O$1),FALSE)*VLOOKUP($D243,素材!$1:$1016,COLUMN($E$1),FALSE)/(LEN(VLOOKUP($D243,素材!$1:$1016,COLUMN($F$1),FALSE))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W243">
        <f>IF(ISNUMBER(SEARCH(SUBSTITUTE(AW$1,RIGHT(AW$1,2),""),VLOOKUP($D243,素材!$1:$1016,COLUMN($F$1),FALSE))),VLOOKUP($C243,装備品!$1:$998,COLUMN($O$1),FALSE)*VLOOKUP($D243,素材!$1:$1016,COLUMN($E$1),FALSE)/(LEN(VLOOKUP($D243,素材!$1:$1016,COLUMN($F$1),FALSE))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X243">
        <f>IF(ISNUMBER(SEARCH(SUBSTITUTE(AX$1,RIGHT(AX$1,2),""),VLOOKUP($D243,素材!$1:$1016,COLUMN($F$1),FALSE))),VLOOKUP($C243,装備品!$1:$998,COLUMN($O$1),FALSE)*VLOOKUP($D243,素材!$1:$1016,COLUMN($E$1),FALSE)/(LEN(VLOOKUP($D243,素材!$1:$1016,COLUMN($F$1),FALSE))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Y243">
        <f>IF(ISNUMBER(SEARCH(SUBSTITUTE(AY$1,RIGHT(AY$1,2),""),VLOOKUP($D243,素材!$1:$1016,COLUMN($F$1),FALSE))),VLOOKUP($C243,装備品!$1:$998,COLUMN($O$1),FALSE)*VLOOKUP($D243,素材!$1:$1016,COLUMN($E$1),FALSE)/(LEN(VLOOKUP($D243,素材!$1:$1016,COLUMN($F$1),FALSE))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Z243">
        <f>IF(ISNUMBER(SEARCH(SUBSTITUTE(AZ$1,RIGHT(AZ$1,2),""),VLOOKUP($D243,素材!$1:$1016,COLUMN($F$1),FALSE))),VLOOKUP($C243,装備品!$1:$998,COLUMN($O$1),FALSE)*VLOOKUP($D243,素材!$1:$1016,COLUMN($E$1),FALSE)/(LEN(VLOOKUP($D243,素材!$1:$1016,COLUMN($F$1),FALSE))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BA243">
        <f>IF(ISNUMBER(SEARCH(SUBSTITUTE(BA$1,RIGHT(BA$1,2),""),VLOOKUP($D243,素材!$1:$1016,COLUMN($F$1),FALSE))),VLOOKUP($C243,装備品!$1:$998,COLUMN($O$1),FALSE)*VLOOKUP($D243,素材!$1:$1016,COLUMN($E$1),FALSE)/(LEN(VLOOKUP($D243,素材!$1:$1016,COLUMN($F$1),FALSE))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BB243">
        <f>IF(ISNUMBER(SEARCH(SUBSTITUTE(BB$1,RIGHT(BB$1,2),""),VLOOKUP($D243,素材!$1:$1016,COLUMN($F$1),FALSE))),VLOOKUP($C243,装備品!$1:$998,COLUMN($O$1),FALSE)*VLOOKUP($D243,素材!$1:$1016,COLUMN($E$1),FALSE)/(LEN(VLOOKUP($D243,素材!$1:$1016,COLUMN($F$1),FALSE))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BC243">
        <f>IF(ISNUMBER(SEARCH(SUBSTITUTE(BC$1,RIGHT(BC$1,2),""),VLOOKUP($D243,素材!$1:$1016,COLUMN($F$1),FALSE))),VLOOKUP($C243,装備品!$1:$998,COLUMN($O$1),FALSE)*VLOOKUP($D243,素材!$1:$1016,COLUMN($E$1),FALSE)/(LEN(VLOOKUP($D243,素材!$1:$1016,COLUMN($F$1),FALSE))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BD243">
        <f>IF(ISNUMBER(SEARCH(SUBSTITUTE(BD$1,RIGHT(BD$1,2),""),VLOOKUP($D243,素材!$1:$1016,COLUMN($F$1),FALSE))),VLOOKUP($C243,装備品!$1:$998,COLUMN($O$1),FALSE)*VLOOKUP($D243,素材!$1:$1016,COLUMN($E$1),FALSE)/(LEN(VLOOKUP($D243,素材!$1:$1016,COLUMN($F$1),FALSE))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BE243">
        <f>IF(ISNUMBER(SEARCH(SUBSTITUTE(BE$1,RIGHT(BE$1,2),""),VLOOKUP($D243,素材!$1:$1016,COLUMN($F$1),FALSE))),VLOOKUP($C243,装備品!$1:$998,COLUMN($O$1),FALSE)*VLOOKUP($D243,素材!$1:$1016,COLUMN($E$1),FALSE)/(LEN(VLOOKUP($D243,素材!$1:$1016,COLUMN($F$1),FALSE))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CL243">
        <f t="shared" si="35"/>
        <v>24</v>
      </c>
      <c r="CM243" s="22" t="str">
        <f t="shared" si="36"/>
        <v>貫通.webp</v>
      </c>
      <c r="CN243">
        <f>IFERROR(VLOOKUP($C243,装備品!$1:$998,COLUMN(V$1),FALSE)*VLOOKUP($D243,素材!$1:$1016,COLUMN(N$1),FALSE)+IF(CI243="",0,VLOOKUP($CI243,付与!$1:$1176,COLUMN($CK$1),FALSE)),"")</f>
        <v>0</v>
      </c>
      <c r="CO243">
        <f>VLOOKUP(D243,素材!$A:$O,COLUMN(素材!O$1),FALSE)</f>
        <v>0</v>
      </c>
      <c r="CP243" t="str">
        <f>VLOOKUP(C243,装備品!$A:$AB,COLUMN(装備品!AB$1),FALSE)</f>
        <v>斧槍。全力時に威力が高く斬撃と突撃の両方に対応できる武器。</v>
      </c>
      <c r="CR243" t="str">
        <f t="shared" si="37"/>
        <v>e_243</v>
      </c>
      <c r="CS243">
        <f t="shared" si="38"/>
        <v>0</v>
      </c>
    </row>
    <row r="244" spans="1:97" outlineLevel="1" x14ac:dyDescent="0.4">
      <c r="A244" t="str">
        <f t="shared" si="39"/>
        <v>熱鉄の棍棒</v>
      </c>
      <c r="B244" t="str">
        <f>IFERROR(VLOOKUP($D244,素材!$1:$1016,COLUMN($B$1),FALSE)&amp;"・"&amp;VLOOKUP($C244,装備品!$1:$998,COLUMN(B$1),FALSE),"")</f>
        <v>ヒートスティール・クラブ</v>
      </c>
      <c r="C244" s="24" t="s">
        <v>229</v>
      </c>
      <c r="D244" s="24" t="s">
        <v>204</v>
      </c>
      <c r="E244" t="str">
        <f>IFERROR(VLOOKUP(C244,装備品!$1:$998,COLUMN(C$1),FALSE),"")</f>
        <v>武器</v>
      </c>
      <c r="F244">
        <f>IFERROR(ROUNDDOWN((VLOOKUP($C244,装備品!$1:$998,COLUMN(D$1),FALSE)+IFERROR(VLOOKUP($CI244,付与!$1:$1167,COLUMN(F$1),FALSE),0))*VLOOKUP($D244,素材!$1:$1016,COLUMN(D$1),FALSE),0),"")</f>
        <v>105</v>
      </c>
      <c r="G244">
        <f>IFERROR(ROUNDDOWN((VLOOKUP($C244,装備品!$1:$998,COLUMN(E$1),FALSE)+IFERROR(VLOOKUP($CI244,付与!$1:$1167,COLUMN(G$1),FALSE),0))*VLOOKUP($D244,素材!$1:$1016,COLUMN($E$1),FALSE),0),"")</f>
        <v>2</v>
      </c>
      <c r="H244">
        <f>IFERROR(ROUNDDOWN((VLOOKUP($C244,装備品!$1:$998,COLUMN(F$1),FALSE)+IFERROR(VLOOKUP($CI244,付与!$1:$1167,COLUMN(H$1),FALSE),0))*VLOOKUP($D244,素材!$1:$1016,COLUMN($E$1),FALSE),0),"")</f>
        <v>0</v>
      </c>
      <c r="I244">
        <f>IFERROR(ROUNDDOWN((VLOOKUP($C244,装備品!$1:$998,COLUMN(G$1),FALSE)+IFERROR(VLOOKUP($CI244,付与!$1:$1167,COLUMN(I$1),FALSE),0))*VLOOKUP($D244,素材!$1:$1016,COLUMN($E$1),FALSE),0),"")</f>
        <v>20</v>
      </c>
      <c r="J244">
        <f>IFERROR(ROUNDDOWN((VLOOKUP($C244,装備品!$1:$998,COLUMN(H$1),FALSE)+IFERROR(VLOOKUP($CI244,付与!$1:$1167,COLUMN(J$1),FALSE),0))*VLOOKUP($D244,素材!$1:$1016,COLUMN($E$1),FALSE),0),"")</f>
        <v>19</v>
      </c>
      <c r="K244">
        <f>IFERROR(ROUNDDOWN((VLOOKUP($C244,装備品!$1:$998,COLUMN(I$1),FALSE)+IFERROR(VLOOKUP($CI244,付与!$1:$1167,COLUMN(K$1),FALSE),0))*VLOOKUP($D244,素材!$1:$1016,COLUMN($E$1),FALSE),0),"")</f>
        <v>0</v>
      </c>
      <c r="L244" t="str">
        <f>IFERROR(VLOOKUP($D244,素材!$1:$1016,COLUMN($F$1),FALSE),"")</f>
        <v>炎</v>
      </c>
      <c r="M244">
        <f>IFERROR(VLOOKUP($C244,装備品!$1:$998,COLUMN(AA$1),FALSE)*VLOOKUP($D244,素材!$1:$1016,COLUMN($G$1),FALSE),"")</f>
        <v>52.5</v>
      </c>
      <c r="N244">
        <f>IFERROR(VLOOKUP($C244,装備品!$1:$998,COLUMN(I$1),FALSE),"")</f>
        <v>0</v>
      </c>
      <c r="O244" s="23">
        <f>IFERROR((VLOOKUP($C244,装備品!$1:$998,COLUMN(K$1),FALSE)+VLOOKUP($D244,素材!$1:$1016,COLUMN(H$1),FALSE))*100+IFERROR(VLOOKUP($CI244,付与!$1:$1167,COLUMN(O$1),FALSE),0),"")</f>
        <v>5</v>
      </c>
      <c r="P244" s="23">
        <f>IFERROR((VLOOKUP($C244,装備品!$1:$998,COLUMN(L$1),FALSE)+VLOOKUP($D244,素材!$1:$1016,COLUMN(I$1),FALSE))*100+IFERROR(VLOOKUP($CI244,付与!$1:$1167,COLUMN(P$1),FALSE),0),"")</f>
        <v>150</v>
      </c>
      <c r="Q244">
        <f>IFERROR(ROUNDUP(VLOOKUP($C244,装備品!$1:$998,COLUMN(M$1),FALSE)*(VLOOKUP($D244,素材!$1:$1002,COLUMN(D$1),FALSE)/100),1),"")</f>
        <v>0</v>
      </c>
      <c r="R244">
        <f>IFERROR(ROUNDUP(VLOOKUP($C244,装備品!$1:$998,COLUMN(N$1),FALSE)*(VLOOKUP($D244,素材!$1:$1002,COLUMN(D$1),FALSE)/100),1),"")</f>
        <v>0</v>
      </c>
      <c r="S244">
        <f>IFERROR(VLOOKUP($C244,装備品!$1:$998,COLUMN(P$1),FALSE),"")</f>
        <v>0</v>
      </c>
      <c r="T244">
        <f>IFERROR(VLOOKUP($C244,装備品!$1:$998,COLUMN(Q$1),FALSE),"")</f>
        <v>0</v>
      </c>
      <c r="U244">
        <f>IFERROR(VLOOKUP($C244,装備品!$1:$998,COLUMN(R$1),FALSE),"")</f>
        <v>0</v>
      </c>
      <c r="V244">
        <f>IFERROR(VLOOKUP($C244,装備品!$1:$998,COLUMN(Q$1),FALSE),"")</f>
        <v>0</v>
      </c>
      <c r="W244">
        <f>IFERROR(VLOOKUP($C244,装備品!$1:$998,COLUMN(T$1),FALSE),"")</f>
        <v>0</v>
      </c>
      <c r="Y244">
        <f>IFERROR(VLOOKUP($C244,装備品!$1:$998,COLUMN(U$1),FALSE),"")</f>
        <v>0</v>
      </c>
      <c r="Z244">
        <f>IFERROR(ROUNDUP(VLOOKUP($C244,装備品!$1:$998,COLUMN(O$1),FALSE)*VLOOKUP($D244,素材!$1:$1016,COLUMN(E$1),FALSE),1),"")</f>
        <v>0</v>
      </c>
      <c r="AA244">
        <f>IF(ISNUMBER(SEARCH(SUBSTITUTE(AA$1,RIGHT(AA$1,2),""),VLOOKUP($D244,素材!$1:$1016,COLUMN($F$1),FALSE))),VLOOKUP($C244,装備品!$1:$998,COLUMN($O$1),FALSE)*VLOOKUP($D244,素材!$1:$1016,COLUMN($E$1),FALSE)/(LEN(VLOOKUP($D244,素材!$1:$1016,COLUMN($F$1),FALSE))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B244">
        <f>IF(ISNUMBER(SEARCH(SUBSTITUTE(AB$1,RIGHT(AB$1,2),""),VLOOKUP($D244,素材!$1:$1016,COLUMN($F$1),FALSE))),VLOOKUP($C244,装備品!$1:$998,COLUMN($O$1),FALSE)*VLOOKUP($D244,素材!$1:$1016,COLUMN($E$1),FALSE)/(LEN(VLOOKUP($D244,素材!$1:$1016,COLUMN($F$1),FALSE))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C244">
        <f>IF(ISNUMBER(SEARCH(SUBSTITUTE(AC$1,RIGHT(AC$1,2),""),VLOOKUP($D244,素材!$1:$1016,COLUMN($F$1),FALSE))),VLOOKUP($C244,装備品!$1:$998,COLUMN($O$1),FALSE)*VLOOKUP($D244,素材!$1:$1016,COLUMN($E$1),FALSE)/(LEN(VLOOKUP($D244,素材!$1:$1016,COLUMN($F$1),FALSE))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D244">
        <f>IF(ISNUMBER(SEARCH(SUBSTITUTE(AD$1,RIGHT(AD$1,2),""),VLOOKUP($D244,素材!$1:$1016,COLUMN($F$1),FALSE))),VLOOKUP($C244,装備品!$1:$998,COLUMN($O$1),FALSE)*VLOOKUP($D244,素材!$1:$1016,COLUMN($E$1),FALSE)/(LEN(VLOOKUP($D244,素材!$1:$1016,COLUMN($F$1),FALSE))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E244">
        <f>IF(ISNUMBER(SEARCH(SUBSTITUTE(AE$1,RIGHT(AE$1,2),""),VLOOKUP($D244,素材!$1:$1016,COLUMN($F$1),FALSE))),VLOOKUP($C244,装備品!$1:$998,COLUMN($O$1),FALSE)*VLOOKUP($D244,素材!$1:$1016,COLUMN($E$1),FALSE)/(LEN(VLOOKUP($D244,素材!$1:$1016,COLUMN($F$1),FALSE))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F244">
        <f>IF(ISNUMBER(SEARCH(SUBSTITUTE(AF$1,RIGHT(AF$1,2),""),VLOOKUP($D244,素材!$1:$1016,COLUMN($F$1),FALSE))),VLOOKUP($C244,装備品!$1:$998,COLUMN($O$1),FALSE)*VLOOKUP($D244,素材!$1:$1016,COLUMN($E$1),FALSE)/(LEN(VLOOKUP($D244,素材!$1:$1016,COLUMN($F$1),FALSE))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G244">
        <f>IF(ISNUMBER(SEARCH(SUBSTITUTE(AG$1,RIGHT(AG$1,2),""),VLOOKUP($D244,素材!$1:$1016,COLUMN($F$1),FALSE))),VLOOKUP($C244,装備品!$1:$998,COLUMN($O$1),FALSE)*VLOOKUP($D244,素材!$1:$1016,COLUMN($E$1),FALSE)/(LEN(VLOOKUP($D244,素材!$1:$1016,COLUMN($F$1),FALSE))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H244">
        <f>IF(ISNUMBER(SEARCH(SUBSTITUTE(AH$1,RIGHT(AH$1,2),""),VLOOKUP($D244,素材!$1:$1016,COLUMN($F$1),FALSE))),VLOOKUP($C244,装備品!$1:$998,COLUMN($O$1),FALSE)*VLOOKUP($D244,素材!$1:$1016,COLUMN($E$1),FALSE)/(LEN(VLOOKUP($D244,素材!$1:$1016,COLUMN($F$1),FALSE))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I244">
        <f>IF(ISNUMBER(SEARCH(SUBSTITUTE(AI$1,RIGHT(AI$1,2),""),VLOOKUP($D244,素材!$1:$1016,COLUMN($F$1),FALSE))),VLOOKUP($C244,装備品!$1:$998,COLUMN($O$1),FALSE)*VLOOKUP($D244,素材!$1:$1016,COLUMN($E$1),FALSE)/(LEN(VLOOKUP($D244,素材!$1:$1016,COLUMN($F$1),FALSE))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J244">
        <f>IF(ISNUMBER(SEARCH(SUBSTITUTE(AJ$1,RIGHT(AJ$1,2),""),VLOOKUP($D244,素材!$1:$1016,COLUMN($F$1),FALSE))),VLOOKUP($C244,装備品!$1:$998,COLUMN($O$1),FALSE)*VLOOKUP($D244,素材!$1:$1016,COLUMN($E$1),FALSE)/(LEN(VLOOKUP($D244,素材!$1:$1016,COLUMN($F$1),FALSE))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K244">
        <f>IF(ISNUMBER(SEARCH(SUBSTITUTE(AK$1,RIGHT(AK$1,2),""),VLOOKUP($D244,素材!$1:$1016,COLUMN($F$1),FALSE))),VLOOKUP($C244,装備品!$1:$998,COLUMN($O$1),FALSE)*VLOOKUP($D244,素材!$1:$1016,COLUMN($E$1),FALSE)/(LEN(VLOOKUP($D244,素材!$1:$1016,COLUMN($F$1),FALSE))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L244">
        <f>IF(ISNUMBER(SEARCH(SUBSTITUTE(AL$1,RIGHT(AL$1,2),""),VLOOKUP($D244,素材!$1:$1016,COLUMN($F$1),FALSE))),VLOOKUP($C244,装備品!$1:$998,COLUMN($O$1),FALSE)*VLOOKUP($D244,素材!$1:$1016,COLUMN($E$1),FALSE)/(LEN(VLOOKUP($D244,素材!$1:$1016,COLUMN($F$1),FALSE))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M244">
        <f>IF(ISNUMBER(SEARCH(SUBSTITUTE(AM$1,RIGHT(AM$1,2),""),VLOOKUP($D244,素材!$1:$1016,COLUMN($F$1),FALSE))),VLOOKUP($C244,装備品!$1:$998,COLUMN($O$1),FALSE)*VLOOKUP($D244,素材!$1:$1016,COLUMN($E$1),FALSE)/(LEN(VLOOKUP($D244,素材!$1:$1016,COLUMN($F$1),FALSE))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N244">
        <f>IF(ISNUMBER(SEARCH(SUBSTITUTE(AN$1,RIGHT(AN$1,2),""),VLOOKUP($D244,素材!$1:$1016,COLUMN($F$1),FALSE))),VLOOKUP($C244,装備品!$1:$998,COLUMN($O$1),FALSE)*VLOOKUP($D244,素材!$1:$1016,COLUMN($E$1),FALSE)/(LEN(VLOOKUP($D244,素材!$1:$1016,COLUMN($F$1),FALSE))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O244">
        <f>IF(ISNUMBER(SEARCH(SUBSTITUTE(AO$1,RIGHT(AO$1,2),""),VLOOKUP($D244,素材!$1:$1016,COLUMN($F$1),FALSE))),VLOOKUP($C244,装備品!$1:$998,COLUMN($O$1),FALSE)*VLOOKUP($D244,素材!$1:$1016,COLUMN($E$1),FALSE)/(LEN(VLOOKUP($D244,素材!$1:$1016,COLUMN($F$1),FALSE))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P244">
        <f>IF(ISNUMBER(SEARCH(SUBSTITUTE(AP$1,RIGHT(AP$1,2),""),VLOOKUP($D244,素材!$1:$1016,COLUMN($F$1),FALSE))),VLOOKUP($C244,装備品!$1:$998,COLUMN($O$1),FALSE)*VLOOKUP($D244,素材!$1:$1016,COLUMN($E$1),FALSE)/(LEN(VLOOKUP($D244,素材!$1:$1016,COLUMN($F$1),FALSE))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Q244">
        <f>IF(ISNUMBER(SEARCH(SUBSTITUTE(AQ$1,RIGHT(AQ$1,2),""),VLOOKUP($D244,素材!$1:$1016,COLUMN($F$1),FALSE))),VLOOKUP($C244,装備品!$1:$998,COLUMN($O$1),FALSE)*VLOOKUP($D244,素材!$1:$1016,COLUMN($E$1),FALSE)/(LEN(VLOOKUP($D244,素材!$1:$1016,COLUMN($F$1),FALSE))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R244">
        <f>IF(ISNUMBER(SEARCH(SUBSTITUTE(AR$1,RIGHT(AR$1,2),""),VLOOKUP($D244,素材!$1:$1016,COLUMN($F$1),FALSE))),VLOOKUP($C244,装備品!$1:$998,COLUMN($O$1),FALSE)*VLOOKUP($D244,素材!$1:$1016,COLUMN($E$1),FALSE)/(LEN(VLOOKUP($D244,素材!$1:$1016,COLUMN($F$1),FALSE))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S244">
        <f>IF(ISNUMBER(SEARCH(SUBSTITUTE(AS$1,RIGHT(AS$1,2),""),VLOOKUP($D244,素材!$1:$1016,COLUMN($F$1),FALSE))),VLOOKUP($C244,装備品!$1:$998,COLUMN($O$1),FALSE)*VLOOKUP($D244,素材!$1:$1016,COLUMN($E$1),FALSE)/(LEN(VLOOKUP($D244,素材!$1:$1016,COLUMN($F$1),FALSE))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T244">
        <f>IF(ISNUMBER(SEARCH(SUBSTITUTE(AT$1,RIGHT(AT$1,2),""),VLOOKUP($D244,素材!$1:$1016,COLUMN($F$1),FALSE))),VLOOKUP($C244,装備品!$1:$998,COLUMN($O$1),FALSE)*VLOOKUP($D244,素材!$1:$1016,COLUMN($E$1),FALSE)/(LEN(VLOOKUP($D244,素材!$1:$1016,COLUMN($F$1),FALSE))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U244">
        <f>IF(ISNUMBER(SEARCH(SUBSTITUTE(AU$1,RIGHT(AU$1,2),""),VLOOKUP($D244,素材!$1:$1016,COLUMN($F$1),FALSE))),VLOOKUP($C244,装備品!$1:$998,COLUMN($O$1),FALSE)*VLOOKUP($D244,素材!$1:$1016,COLUMN($E$1),FALSE)/(LEN(VLOOKUP($D244,素材!$1:$1016,COLUMN($F$1),FALSE))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V244">
        <f>IF(ISNUMBER(SEARCH(SUBSTITUTE(AV$1,RIGHT(AV$1,2),""),VLOOKUP($D244,素材!$1:$1016,COLUMN($F$1),FALSE))),VLOOKUP($C244,装備品!$1:$998,COLUMN($O$1),FALSE)*VLOOKUP($D244,素材!$1:$1016,COLUMN($E$1),FALSE)/(LEN(VLOOKUP($D244,素材!$1:$1016,COLUMN($F$1),FALSE))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W244">
        <f>IF(ISNUMBER(SEARCH(SUBSTITUTE(AW$1,RIGHT(AW$1,2),""),VLOOKUP($D244,素材!$1:$1016,COLUMN($F$1),FALSE))),VLOOKUP($C244,装備品!$1:$998,COLUMN($O$1),FALSE)*VLOOKUP($D244,素材!$1:$1016,COLUMN($E$1),FALSE)/(LEN(VLOOKUP($D244,素材!$1:$1016,COLUMN($F$1),FALSE))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X244">
        <f>IF(ISNUMBER(SEARCH(SUBSTITUTE(AX$1,RIGHT(AX$1,2),""),VLOOKUP($D244,素材!$1:$1016,COLUMN($F$1),FALSE))),VLOOKUP($C244,装備品!$1:$998,COLUMN($O$1),FALSE)*VLOOKUP($D244,素材!$1:$1016,COLUMN($E$1),FALSE)/(LEN(VLOOKUP($D244,素材!$1:$1016,COLUMN($F$1),FALSE))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Y244">
        <f>IF(ISNUMBER(SEARCH(SUBSTITUTE(AY$1,RIGHT(AY$1,2),""),VLOOKUP($D244,素材!$1:$1016,COLUMN($F$1),FALSE))),VLOOKUP($C244,装備品!$1:$998,COLUMN($O$1),FALSE)*VLOOKUP($D244,素材!$1:$1016,COLUMN($E$1),FALSE)/(LEN(VLOOKUP($D244,素材!$1:$1016,COLUMN($F$1),FALSE))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Z244">
        <f>IF(ISNUMBER(SEARCH(SUBSTITUTE(AZ$1,RIGHT(AZ$1,2),""),VLOOKUP($D244,素材!$1:$1016,COLUMN($F$1),FALSE))),VLOOKUP($C244,装備品!$1:$998,COLUMN($O$1),FALSE)*VLOOKUP($D244,素材!$1:$1016,COLUMN($E$1),FALSE)/(LEN(VLOOKUP($D244,素材!$1:$1016,COLUMN($F$1),FALSE))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BA244">
        <f>IF(ISNUMBER(SEARCH(SUBSTITUTE(BA$1,RIGHT(BA$1,2),""),VLOOKUP($D244,素材!$1:$1016,COLUMN($F$1),FALSE))),VLOOKUP($C244,装備品!$1:$998,COLUMN($O$1),FALSE)*VLOOKUP($D244,素材!$1:$1016,COLUMN($E$1),FALSE)/(LEN(VLOOKUP($D244,素材!$1:$1016,COLUMN($F$1),FALSE))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BB244">
        <f>IF(ISNUMBER(SEARCH(SUBSTITUTE(BB$1,RIGHT(BB$1,2),""),VLOOKUP($D244,素材!$1:$1016,COLUMN($F$1),FALSE))),VLOOKUP($C244,装備品!$1:$998,COLUMN($O$1),FALSE)*VLOOKUP($D244,素材!$1:$1016,COLUMN($E$1),FALSE)/(LEN(VLOOKUP($D244,素材!$1:$1016,COLUMN($F$1),FALSE))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BC244">
        <f>IF(ISNUMBER(SEARCH(SUBSTITUTE(BC$1,RIGHT(BC$1,2),""),VLOOKUP($D244,素材!$1:$1016,COLUMN($F$1),FALSE))),VLOOKUP($C244,装備品!$1:$998,COLUMN($O$1),FALSE)*VLOOKUP($D244,素材!$1:$1016,COLUMN($E$1),FALSE)/(LEN(VLOOKUP($D244,素材!$1:$1016,COLUMN($F$1),FALSE))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BD244">
        <f>IF(ISNUMBER(SEARCH(SUBSTITUTE(BD$1,RIGHT(BD$1,2),""),VLOOKUP($D244,素材!$1:$1016,COLUMN($F$1),FALSE))),VLOOKUP($C244,装備品!$1:$998,COLUMN($O$1),FALSE)*VLOOKUP($D244,素材!$1:$1016,COLUMN($E$1),FALSE)/(LEN(VLOOKUP($D244,素材!$1:$1016,COLUMN($F$1),FALSE))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BE244">
        <f>IF(ISNUMBER(SEARCH(SUBSTITUTE(BE$1,RIGHT(BE$1,2),""),VLOOKUP($D244,素材!$1:$1016,COLUMN($F$1),FALSE))),VLOOKUP($C244,装備品!$1:$998,COLUMN($O$1),FALSE)*VLOOKUP($D244,素材!$1:$1016,COLUMN($E$1),FALSE)/(LEN(VLOOKUP($D244,素材!$1:$1016,COLUMN($F$1),FALSE))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CL244">
        <f t="shared" si="35"/>
        <v>22</v>
      </c>
      <c r="CM244" s="22" t="str">
        <f t="shared" si="36"/>
        <v>打撃.webp</v>
      </c>
      <c r="CN244">
        <f>IFERROR(VLOOKUP($C244,装備品!$1:$998,COLUMN(V$1),FALSE)*VLOOKUP($D244,素材!$1:$1016,COLUMN(N$1),FALSE)+IF(CI244="",0,VLOOKUP($CI244,付与!$1:$1176,COLUMN($CK$1),FALSE)),"")</f>
        <v>0</v>
      </c>
      <c r="CO244">
        <f>VLOOKUP(D244,素材!$A:$O,COLUMN(素材!O$1),FALSE)</f>
        <v>0</v>
      </c>
      <c r="CP244" t="str">
        <f>VLOOKUP(C244,装備品!$A:$AB,COLUMN(装備品!AB$1),FALSE)</f>
        <v>棍棒。打撃に特化したシンプルな武器。威力は低いがダメージ振れが少ない。</v>
      </c>
      <c r="CR244" t="str">
        <f t="shared" si="37"/>
        <v>e_244</v>
      </c>
      <c r="CS244">
        <f t="shared" si="38"/>
        <v>0</v>
      </c>
    </row>
    <row r="245" spans="1:97" outlineLevel="1" x14ac:dyDescent="0.4">
      <c r="A245" t="str">
        <f t="shared" si="39"/>
        <v>熱鉄の戦棍</v>
      </c>
      <c r="B245" t="str">
        <f>IFERROR(VLOOKUP($D245,素材!$1:$1016,COLUMN($B$1),FALSE)&amp;"・"&amp;VLOOKUP($C245,装備品!$1:$998,COLUMN(B$1),FALSE),"")</f>
        <v>ヒートスティール・メイス</v>
      </c>
      <c r="C245" s="24" t="s">
        <v>228</v>
      </c>
      <c r="D245" s="24" t="s">
        <v>204</v>
      </c>
      <c r="E245" t="str">
        <f>IFERROR(VLOOKUP(C245,装備品!$1:$998,COLUMN(C$1),FALSE),"")</f>
        <v>武器</v>
      </c>
      <c r="F245">
        <f>IFERROR(ROUNDDOWN((VLOOKUP($C245,装備品!$1:$998,COLUMN(D$1),FALSE)+IFERROR(VLOOKUP($CI245,付与!$1:$1167,COLUMN(F$1),FALSE),0))*VLOOKUP($D245,素材!$1:$1016,COLUMN(D$1),FALSE),0),"")</f>
        <v>110</v>
      </c>
      <c r="G245">
        <f>IFERROR(ROUNDDOWN((VLOOKUP($C245,装備品!$1:$998,COLUMN(E$1),FALSE)+IFERROR(VLOOKUP($CI245,付与!$1:$1167,COLUMN(G$1),FALSE),0))*VLOOKUP($D245,素材!$1:$1016,COLUMN($E$1),FALSE),0),"")</f>
        <v>0</v>
      </c>
      <c r="H245">
        <f>IFERROR(ROUNDDOWN((VLOOKUP($C245,装備品!$1:$998,COLUMN(F$1),FALSE)+IFERROR(VLOOKUP($CI245,付与!$1:$1167,COLUMN(H$1),FALSE),0))*VLOOKUP($D245,素材!$1:$1016,COLUMN($E$1),FALSE),0),"")</f>
        <v>0</v>
      </c>
      <c r="I245">
        <f>IFERROR(ROUNDDOWN((VLOOKUP($C245,装備品!$1:$998,COLUMN(G$1),FALSE)+IFERROR(VLOOKUP($CI245,付与!$1:$1167,COLUMN(I$1),FALSE),0))*VLOOKUP($D245,素材!$1:$1016,COLUMN($E$1),FALSE),0),"")</f>
        <v>23</v>
      </c>
      <c r="J245">
        <f>IFERROR(ROUNDDOWN((VLOOKUP($C245,装備品!$1:$998,COLUMN(H$1),FALSE)+IFERROR(VLOOKUP($CI245,付与!$1:$1167,COLUMN(J$1),FALSE),0))*VLOOKUP($D245,素材!$1:$1016,COLUMN($E$1),FALSE),0),"")</f>
        <v>19</v>
      </c>
      <c r="K245">
        <f>IFERROR(ROUNDDOWN((VLOOKUP($C245,装備品!$1:$998,COLUMN(I$1),FALSE)+IFERROR(VLOOKUP($CI245,付与!$1:$1167,COLUMN(K$1),FALSE),0))*VLOOKUP($D245,素材!$1:$1016,COLUMN($E$1),FALSE),0),"")</f>
        <v>0</v>
      </c>
      <c r="L245" t="str">
        <f>IFERROR(VLOOKUP($D245,素材!$1:$1016,COLUMN($F$1),FALSE),"")</f>
        <v>炎</v>
      </c>
      <c r="M245">
        <f>IFERROR(VLOOKUP($C245,装備品!$1:$998,COLUMN(AA$1),FALSE)*VLOOKUP($D245,素材!$1:$1016,COLUMN($G$1),FALSE),"")</f>
        <v>70</v>
      </c>
      <c r="N245">
        <f>IFERROR(VLOOKUP($C245,装備品!$1:$998,COLUMN(I$1),FALSE),"")</f>
        <v>0</v>
      </c>
      <c r="O245" s="23">
        <f>IFERROR((VLOOKUP($C245,装備品!$1:$998,COLUMN(K$1),FALSE)+VLOOKUP($D245,素材!$1:$1016,COLUMN(H$1),FALSE))*100+IFERROR(VLOOKUP($CI245,付与!$1:$1167,COLUMN(O$1),FALSE),0),"")</f>
        <v>15</v>
      </c>
      <c r="P245" s="23">
        <f>IFERROR((VLOOKUP($C245,装備品!$1:$998,COLUMN(L$1),FALSE)+VLOOKUP($D245,素材!$1:$1016,COLUMN(I$1),FALSE))*100+IFERROR(VLOOKUP($CI245,付与!$1:$1167,COLUMN(P$1),FALSE),0),"")</f>
        <v>125</v>
      </c>
      <c r="Q245">
        <f>IFERROR(ROUNDUP(VLOOKUP($C245,装備品!$1:$998,COLUMN(M$1),FALSE)*(VLOOKUP($D245,素材!$1:$1002,COLUMN(D$1),FALSE)/100),1),"")</f>
        <v>0</v>
      </c>
      <c r="R245">
        <f>IFERROR(ROUNDUP(VLOOKUP($C245,装備品!$1:$998,COLUMN(N$1),FALSE)*(VLOOKUP($D245,素材!$1:$1002,COLUMN(D$1),FALSE)/100),1),"")</f>
        <v>-2</v>
      </c>
      <c r="S245">
        <f>IFERROR(VLOOKUP($C245,装備品!$1:$998,COLUMN(P$1),FALSE),"")</f>
        <v>0</v>
      </c>
      <c r="T245">
        <f>IFERROR(VLOOKUP($C245,装備品!$1:$998,COLUMN(Q$1),FALSE),"")</f>
        <v>0</v>
      </c>
      <c r="U245">
        <f>IFERROR(VLOOKUP($C245,装備品!$1:$998,COLUMN(R$1),FALSE),"")</f>
        <v>0</v>
      </c>
      <c r="V245">
        <f>IFERROR(VLOOKUP($C245,装備品!$1:$998,COLUMN(Q$1),FALSE),"")</f>
        <v>0</v>
      </c>
      <c r="W245">
        <f>IFERROR(VLOOKUP($C245,装備品!$1:$998,COLUMN(T$1),FALSE),"")</f>
        <v>0</v>
      </c>
      <c r="Y245">
        <f>IFERROR(VLOOKUP($C245,装備品!$1:$998,COLUMN(U$1),FALSE),"")</f>
        <v>0</v>
      </c>
      <c r="Z245">
        <f>IFERROR(ROUNDUP(VLOOKUP($C245,装備品!$1:$998,COLUMN(O$1),FALSE)*VLOOKUP($D245,素材!$1:$1016,COLUMN(E$1),FALSE),1),"")</f>
        <v>0</v>
      </c>
      <c r="AA245">
        <f>IF(ISNUMBER(SEARCH(SUBSTITUTE(AA$1,RIGHT(AA$1,2),""),VLOOKUP($D245,素材!$1:$1016,COLUMN($F$1),FALSE))),VLOOKUP($C245,装備品!$1:$998,COLUMN($O$1),FALSE)*VLOOKUP($D245,素材!$1:$1016,COLUMN($E$1),FALSE)/(LEN(VLOOKUP($D245,素材!$1:$1016,COLUMN($F$1),FALSE))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B245">
        <f>IF(ISNUMBER(SEARCH(SUBSTITUTE(AB$1,RIGHT(AB$1,2),""),VLOOKUP($D245,素材!$1:$1016,COLUMN($F$1),FALSE))),VLOOKUP($C245,装備品!$1:$998,COLUMN($O$1),FALSE)*VLOOKUP($D245,素材!$1:$1016,COLUMN($E$1),FALSE)/(LEN(VLOOKUP($D245,素材!$1:$1016,COLUMN($F$1),FALSE))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C245">
        <f>IF(ISNUMBER(SEARCH(SUBSTITUTE(AC$1,RIGHT(AC$1,2),""),VLOOKUP($D245,素材!$1:$1016,COLUMN($F$1),FALSE))),VLOOKUP($C245,装備品!$1:$998,COLUMN($O$1),FALSE)*VLOOKUP($D245,素材!$1:$1016,COLUMN($E$1),FALSE)/(LEN(VLOOKUP($D245,素材!$1:$1016,COLUMN($F$1),FALSE))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D245">
        <f>IF(ISNUMBER(SEARCH(SUBSTITUTE(AD$1,RIGHT(AD$1,2),""),VLOOKUP($D245,素材!$1:$1016,COLUMN($F$1),FALSE))),VLOOKUP($C245,装備品!$1:$998,COLUMN($O$1),FALSE)*VLOOKUP($D245,素材!$1:$1016,COLUMN($E$1),FALSE)/(LEN(VLOOKUP($D245,素材!$1:$1016,COLUMN($F$1),FALSE))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E245">
        <f>IF(ISNUMBER(SEARCH(SUBSTITUTE(AE$1,RIGHT(AE$1,2),""),VLOOKUP($D245,素材!$1:$1016,COLUMN($F$1),FALSE))),VLOOKUP($C245,装備品!$1:$998,COLUMN($O$1),FALSE)*VLOOKUP($D245,素材!$1:$1016,COLUMN($E$1),FALSE)/(LEN(VLOOKUP($D245,素材!$1:$1016,COLUMN($F$1),FALSE))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F245">
        <f>IF(ISNUMBER(SEARCH(SUBSTITUTE(AF$1,RIGHT(AF$1,2),""),VLOOKUP($D245,素材!$1:$1016,COLUMN($F$1),FALSE))),VLOOKUP($C245,装備品!$1:$998,COLUMN($O$1),FALSE)*VLOOKUP($D245,素材!$1:$1016,COLUMN($E$1),FALSE)/(LEN(VLOOKUP($D245,素材!$1:$1016,COLUMN($F$1),FALSE))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G245">
        <f>IF(ISNUMBER(SEARCH(SUBSTITUTE(AG$1,RIGHT(AG$1,2),""),VLOOKUP($D245,素材!$1:$1016,COLUMN($F$1),FALSE))),VLOOKUP($C245,装備品!$1:$998,COLUMN($O$1),FALSE)*VLOOKUP($D245,素材!$1:$1016,COLUMN($E$1),FALSE)/(LEN(VLOOKUP($D245,素材!$1:$1016,COLUMN($F$1),FALSE))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H245">
        <f>IF(ISNUMBER(SEARCH(SUBSTITUTE(AH$1,RIGHT(AH$1,2),""),VLOOKUP($D245,素材!$1:$1016,COLUMN($F$1),FALSE))),VLOOKUP($C245,装備品!$1:$998,COLUMN($O$1),FALSE)*VLOOKUP($D245,素材!$1:$1016,COLUMN($E$1),FALSE)/(LEN(VLOOKUP($D245,素材!$1:$1016,COLUMN($F$1),FALSE))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I245">
        <f>IF(ISNUMBER(SEARCH(SUBSTITUTE(AI$1,RIGHT(AI$1,2),""),VLOOKUP($D245,素材!$1:$1016,COLUMN($F$1),FALSE))),VLOOKUP($C245,装備品!$1:$998,COLUMN($O$1),FALSE)*VLOOKUP($D245,素材!$1:$1016,COLUMN($E$1),FALSE)/(LEN(VLOOKUP($D245,素材!$1:$1016,COLUMN($F$1),FALSE))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J245">
        <f>IF(ISNUMBER(SEARCH(SUBSTITUTE(AJ$1,RIGHT(AJ$1,2),""),VLOOKUP($D245,素材!$1:$1016,COLUMN($F$1),FALSE))),VLOOKUP($C245,装備品!$1:$998,COLUMN($O$1),FALSE)*VLOOKUP($D245,素材!$1:$1016,COLUMN($E$1),FALSE)/(LEN(VLOOKUP($D245,素材!$1:$1016,COLUMN($F$1),FALSE))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K245">
        <f>IF(ISNUMBER(SEARCH(SUBSTITUTE(AK$1,RIGHT(AK$1,2),""),VLOOKUP($D245,素材!$1:$1016,COLUMN($F$1),FALSE))),VLOOKUP($C245,装備品!$1:$998,COLUMN($O$1),FALSE)*VLOOKUP($D245,素材!$1:$1016,COLUMN($E$1),FALSE)/(LEN(VLOOKUP($D245,素材!$1:$1016,COLUMN($F$1),FALSE))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L245">
        <f>IF(ISNUMBER(SEARCH(SUBSTITUTE(AL$1,RIGHT(AL$1,2),""),VLOOKUP($D245,素材!$1:$1016,COLUMN($F$1),FALSE))),VLOOKUP($C245,装備品!$1:$998,COLUMN($O$1),FALSE)*VLOOKUP($D245,素材!$1:$1016,COLUMN($E$1),FALSE)/(LEN(VLOOKUP($D245,素材!$1:$1016,COLUMN($F$1),FALSE))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M245">
        <f>IF(ISNUMBER(SEARCH(SUBSTITUTE(AM$1,RIGHT(AM$1,2),""),VLOOKUP($D245,素材!$1:$1016,COLUMN($F$1),FALSE))),VLOOKUP($C245,装備品!$1:$998,COLUMN($O$1),FALSE)*VLOOKUP($D245,素材!$1:$1016,COLUMN($E$1),FALSE)/(LEN(VLOOKUP($D245,素材!$1:$1016,COLUMN($F$1),FALSE))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N245">
        <f>IF(ISNUMBER(SEARCH(SUBSTITUTE(AN$1,RIGHT(AN$1,2),""),VLOOKUP($D245,素材!$1:$1016,COLUMN($F$1),FALSE))),VLOOKUP($C245,装備品!$1:$998,COLUMN($O$1),FALSE)*VLOOKUP($D245,素材!$1:$1016,COLUMN($E$1),FALSE)/(LEN(VLOOKUP($D245,素材!$1:$1016,COLUMN($F$1),FALSE))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O245">
        <f>IF(ISNUMBER(SEARCH(SUBSTITUTE(AO$1,RIGHT(AO$1,2),""),VLOOKUP($D245,素材!$1:$1016,COLUMN($F$1),FALSE))),VLOOKUP($C245,装備品!$1:$998,COLUMN($O$1),FALSE)*VLOOKUP($D245,素材!$1:$1016,COLUMN($E$1),FALSE)/(LEN(VLOOKUP($D245,素材!$1:$1016,COLUMN($F$1),FALSE))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P245">
        <f>IF(ISNUMBER(SEARCH(SUBSTITUTE(AP$1,RIGHT(AP$1,2),""),VLOOKUP($D245,素材!$1:$1016,COLUMN($F$1),FALSE))),VLOOKUP($C245,装備品!$1:$998,COLUMN($O$1),FALSE)*VLOOKUP($D245,素材!$1:$1016,COLUMN($E$1),FALSE)/(LEN(VLOOKUP($D245,素材!$1:$1016,COLUMN($F$1),FALSE))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Q245">
        <f>IF(ISNUMBER(SEARCH(SUBSTITUTE(AQ$1,RIGHT(AQ$1,2),""),VLOOKUP($D245,素材!$1:$1016,COLUMN($F$1),FALSE))),VLOOKUP($C245,装備品!$1:$998,COLUMN($O$1),FALSE)*VLOOKUP($D245,素材!$1:$1016,COLUMN($E$1),FALSE)/(LEN(VLOOKUP($D245,素材!$1:$1016,COLUMN($F$1),FALSE))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R245">
        <f>IF(ISNUMBER(SEARCH(SUBSTITUTE(AR$1,RIGHT(AR$1,2),""),VLOOKUP($D245,素材!$1:$1016,COLUMN($F$1),FALSE))),VLOOKUP($C245,装備品!$1:$998,COLUMN($O$1),FALSE)*VLOOKUP($D245,素材!$1:$1016,COLUMN($E$1),FALSE)/(LEN(VLOOKUP($D245,素材!$1:$1016,COLUMN($F$1),FALSE))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S245">
        <f>IF(ISNUMBER(SEARCH(SUBSTITUTE(AS$1,RIGHT(AS$1,2),""),VLOOKUP($D245,素材!$1:$1016,COLUMN($F$1),FALSE))),VLOOKUP($C245,装備品!$1:$998,COLUMN($O$1),FALSE)*VLOOKUP($D245,素材!$1:$1016,COLUMN($E$1),FALSE)/(LEN(VLOOKUP($D245,素材!$1:$1016,COLUMN($F$1),FALSE))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T245">
        <f>IF(ISNUMBER(SEARCH(SUBSTITUTE(AT$1,RIGHT(AT$1,2),""),VLOOKUP($D245,素材!$1:$1016,COLUMN($F$1),FALSE))),VLOOKUP($C245,装備品!$1:$998,COLUMN($O$1),FALSE)*VLOOKUP($D245,素材!$1:$1016,COLUMN($E$1),FALSE)/(LEN(VLOOKUP($D245,素材!$1:$1016,COLUMN($F$1),FALSE))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U245">
        <f>IF(ISNUMBER(SEARCH(SUBSTITUTE(AU$1,RIGHT(AU$1,2),""),VLOOKUP($D245,素材!$1:$1016,COLUMN($F$1),FALSE))),VLOOKUP($C245,装備品!$1:$998,COLUMN($O$1),FALSE)*VLOOKUP($D245,素材!$1:$1016,COLUMN($E$1),FALSE)/(LEN(VLOOKUP($D245,素材!$1:$1016,COLUMN($F$1),FALSE))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V245">
        <f>IF(ISNUMBER(SEARCH(SUBSTITUTE(AV$1,RIGHT(AV$1,2),""),VLOOKUP($D245,素材!$1:$1016,COLUMN($F$1),FALSE))),VLOOKUP($C245,装備品!$1:$998,COLUMN($O$1),FALSE)*VLOOKUP($D245,素材!$1:$1016,COLUMN($E$1),FALSE)/(LEN(VLOOKUP($D245,素材!$1:$1016,COLUMN($F$1),FALSE))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W245">
        <f>IF(ISNUMBER(SEARCH(SUBSTITUTE(AW$1,RIGHT(AW$1,2),""),VLOOKUP($D245,素材!$1:$1016,COLUMN($F$1),FALSE))),VLOOKUP($C245,装備品!$1:$998,COLUMN($O$1),FALSE)*VLOOKUP($D245,素材!$1:$1016,COLUMN($E$1),FALSE)/(LEN(VLOOKUP($D245,素材!$1:$1016,COLUMN($F$1),FALSE))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X245">
        <f>IF(ISNUMBER(SEARCH(SUBSTITUTE(AX$1,RIGHT(AX$1,2),""),VLOOKUP($D245,素材!$1:$1016,COLUMN($F$1),FALSE))),VLOOKUP($C245,装備品!$1:$998,COLUMN($O$1),FALSE)*VLOOKUP($D245,素材!$1:$1016,COLUMN($E$1),FALSE)/(LEN(VLOOKUP($D245,素材!$1:$1016,COLUMN($F$1),FALSE))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Y245">
        <f>IF(ISNUMBER(SEARCH(SUBSTITUTE(AY$1,RIGHT(AY$1,2),""),VLOOKUP($D245,素材!$1:$1016,COLUMN($F$1),FALSE))),VLOOKUP($C245,装備品!$1:$998,COLUMN($O$1),FALSE)*VLOOKUP($D245,素材!$1:$1016,COLUMN($E$1),FALSE)/(LEN(VLOOKUP($D245,素材!$1:$1016,COLUMN($F$1),FALSE))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Z245">
        <f>IF(ISNUMBER(SEARCH(SUBSTITUTE(AZ$1,RIGHT(AZ$1,2),""),VLOOKUP($D245,素材!$1:$1016,COLUMN($F$1),FALSE))),VLOOKUP($C245,装備品!$1:$998,COLUMN($O$1),FALSE)*VLOOKUP($D245,素材!$1:$1016,COLUMN($E$1),FALSE)/(LEN(VLOOKUP($D245,素材!$1:$1016,COLUMN($F$1),FALSE))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BA245">
        <f>IF(ISNUMBER(SEARCH(SUBSTITUTE(BA$1,RIGHT(BA$1,2),""),VLOOKUP($D245,素材!$1:$1016,COLUMN($F$1),FALSE))),VLOOKUP($C245,装備品!$1:$998,COLUMN($O$1),FALSE)*VLOOKUP($D245,素材!$1:$1016,COLUMN($E$1),FALSE)/(LEN(VLOOKUP($D245,素材!$1:$1016,COLUMN($F$1),FALSE))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BB245">
        <f>IF(ISNUMBER(SEARCH(SUBSTITUTE(BB$1,RIGHT(BB$1,2),""),VLOOKUP($D245,素材!$1:$1016,COLUMN($F$1),FALSE))),VLOOKUP($C245,装備品!$1:$998,COLUMN($O$1),FALSE)*VLOOKUP($D245,素材!$1:$1016,COLUMN($E$1),FALSE)/(LEN(VLOOKUP($D245,素材!$1:$1016,COLUMN($F$1),FALSE))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BC245">
        <f>IF(ISNUMBER(SEARCH(SUBSTITUTE(BC$1,RIGHT(BC$1,2),""),VLOOKUP($D245,素材!$1:$1016,COLUMN($F$1),FALSE))),VLOOKUP($C245,装備品!$1:$998,COLUMN($O$1),FALSE)*VLOOKUP($D245,素材!$1:$1016,COLUMN($E$1),FALSE)/(LEN(VLOOKUP($D245,素材!$1:$1016,COLUMN($F$1),FALSE))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BD245">
        <f>IF(ISNUMBER(SEARCH(SUBSTITUTE(BD$1,RIGHT(BD$1,2),""),VLOOKUP($D245,素材!$1:$1016,COLUMN($F$1),FALSE))),VLOOKUP($C245,装備品!$1:$998,COLUMN($O$1),FALSE)*VLOOKUP($D245,素材!$1:$1016,COLUMN($E$1),FALSE)/(LEN(VLOOKUP($D245,素材!$1:$1016,COLUMN($F$1),FALSE))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BE245">
        <f>IF(ISNUMBER(SEARCH(SUBSTITUTE(BE$1,RIGHT(BE$1,2),""),VLOOKUP($D245,素材!$1:$1016,COLUMN($F$1),FALSE))),VLOOKUP($C245,装備品!$1:$998,COLUMN($O$1),FALSE)*VLOOKUP($D245,素材!$1:$1016,COLUMN($E$1),FALSE)/(LEN(VLOOKUP($D245,素材!$1:$1016,COLUMN($F$1),FALSE))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CL245">
        <f t="shared" si="35"/>
        <v>23</v>
      </c>
      <c r="CM245" s="22" t="str">
        <f t="shared" si="36"/>
        <v>打撃.webp</v>
      </c>
      <c r="CN245">
        <f>IFERROR(VLOOKUP($C245,装備品!$1:$998,COLUMN(V$1),FALSE)*VLOOKUP($D245,素材!$1:$1016,COLUMN(N$1),FALSE)+IF(CI245="",0,VLOOKUP($CI245,付与!$1:$1176,COLUMN($CK$1),FALSE)),"")</f>
        <v>0</v>
      </c>
      <c r="CO245">
        <f>VLOOKUP(D245,素材!$A:$O,COLUMN(素材!O$1),FALSE)</f>
        <v>0</v>
      </c>
      <c r="CP245" t="str">
        <f>VLOOKUP(C245,装備品!$A:$AB,COLUMN(装備品!AB$1),FALSE)</f>
        <v>戦棍。打撃に優れた武器。Cr率が高い</v>
      </c>
      <c r="CR245" t="str">
        <f t="shared" si="37"/>
        <v>e_245</v>
      </c>
      <c r="CS245">
        <f t="shared" si="38"/>
        <v>0</v>
      </c>
    </row>
    <row r="246" spans="1:97" outlineLevel="1" x14ac:dyDescent="0.4">
      <c r="A246" t="str">
        <f t="shared" si="39"/>
        <v>熱鉄の棘棍</v>
      </c>
      <c r="B246" t="str">
        <f>IFERROR(VLOOKUP($D246,素材!$1:$1016,COLUMN($B$1),FALSE)&amp;"・"&amp;VLOOKUP($C246,装備品!$1:$998,COLUMN(B$1),FALSE),"")</f>
        <v>ヒートスティール・モーニングスター</v>
      </c>
      <c r="C246" t="s">
        <v>227</v>
      </c>
      <c r="D246" s="24" t="s">
        <v>204</v>
      </c>
      <c r="E246" t="str">
        <f>IFERROR(VLOOKUP(C246,装備品!$1:$998,COLUMN(C$1),FALSE),"")</f>
        <v>武器</v>
      </c>
      <c r="F246">
        <f>IFERROR(ROUNDDOWN((VLOOKUP($C246,装備品!$1:$998,COLUMN(D$1),FALSE)+IFERROR(VLOOKUP($CI246,付与!$1:$1167,COLUMN(F$1),FALSE),0))*VLOOKUP($D246,素材!$1:$1016,COLUMN(D$1),FALSE),0),"")</f>
        <v>105</v>
      </c>
      <c r="G246">
        <f>IFERROR(ROUNDDOWN((VLOOKUP($C246,装備品!$1:$998,COLUMN(E$1),FALSE)+IFERROR(VLOOKUP($CI246,付与!$1:$1167,COLUMN(G$1),FALSE),0))*VLOOKUP($D246,素材!$1:$1016,COLUMN($E$1),FALSE),0),"")</f>
        <v>0</v>
      </c>
      <c r="H246">
        <f>IFERROR(ROUNDDOWN((VLOOKUP($C246,装備品!$1:$998,COLUMN(F$1),FALSE)+IFERROR(VLOOKUP($CI246,付与!$1:$1167,COLUMN(H$1),FALSE),0))*VLOOKUP($D246,素材!$1:$1016,COLUMN($E$1),FALSE),0),"")</f>
        <v>12</v>
      </c>
      <c r="I246">
        <f>IFERROR(ROUNDDOWN((VLOOKUP($C246,装備品!$1:$998,COLUMN(G$1),FALSE)+IFERROR(VLOOKUP($CI246,付与!$1:$1167,COLUMN(I$1),FALSE),0))*VLOOKUP($D246,素材!$1:$1016,COLUMN($E$1),FALSE),0),"")</f>
        <v>12</v>
      </c>
      <c r="J246">
        <f>IFERROR(ROUNDDOWN((VLOOKUP($C246,装備品!$1:$998,COLUMN(H$1),FALSE)+IFERROR(VLOOKUP($CI246,付与!$1:$1167,COLUMN(J$1),FALSE),0))*VLOOKUP($D246,素材!$1:$1016,COLUMN($E$1),FALSE),0),"")</f>
        <v>19</v>
      </c>
      <c r="K246">
        <f>IFERROR(ROUNDDOWN((VLOOKUP($C246,装備品!$1:$998,COLUMN(I$1),FALSE)+IFERROR(VLOOKUP($CI246,付与!$1:$1167,COLUMN(K$1),FALSE),0))*VLOOKUP($D246,素材!$1:$1016,COLUMN($E$1),FALSE),0),"")</f>
        <v>0</v>
      </c>
      <c r="L246" t="str">
        <f>IFERROR(VLOOKUP($D246,素材!$1:$1016,COLUMN($F$1),FALSE),"")</f>
        <v>炎</v>
      </c>
      <c r="M246">
        <f>IFERROR(VLOOKUP($C246,装備品!$1:$998,COLUMN(AA$1),FALSE)*VLOOKUP($D246,素材!$1:$1016,COLUMN($G$1),FALSE),"")</f>
        <v>70</v>
      </c>
      <c r="N246">
        <f>IFERROR(VLOOKUP($C246,装備品!$1:$998,COLUMN(I$1),FALSE),"")</f>
        <v>0</v>
      </c>
      <c r="O246" s="23">
        <f>IFERROR((VLOOKUP($C246,装備品!$1:$998,COLUMN(K$1),FALSE)+VLOOKUP($D246,素材!$1:$1016,COLUMN(H$1),FALSE))*100+IFERROR(VLOOKUP($CI246,付与!$1:$1167,COLUMN(O$1),FALSE),0),"")</f>
        <v>10</v>
      </c>
      <c r="P246" s="23">
        <f>IFERROR((VLOOKUP($C246,装備品!$1:$998,COLUMN(L$1),FALSE)+VLOOKUP($D246,素材!$1:$1016,COLUMN(I$1),FALSE))*100+IFERROR(VLOOKUP($CI246,付与!$1:$1167,COLUMN(P$1),FALSE),0),"")</f>
        <v>125</v>
      </c>
      <c r="Q246">
        <f>IFERROR(ROUNDUP(VLOOKUP($C246,装備品!$1:$998,COLUMN(M$1),FALSE)*(VLOOKUP($D246,素材!$1:$1002,COLUMN(D$1),FALSE)/100),1),"")</f>
        <v>-2.5</v>
      </c>
      <c r="R246">
        <f>IFERROR(ROUNDUP(VLOOKUP($C246,装備品!$1:$998,COLUMN(N$1),FALSE)*(VLOOKUP($D246,素材!$1:$1002,COLUMN(D$1),FALSE)/100),1),"")</f>
        <v>-2.5</v>
      </c>
      <c r="S246">
        <f>IFERROR(VLOOKUP($C246,装備品!$1:$998,COLUMN(P$1),FALSE),"")</f>
        <v>0</v>
      </c>
      <c r="T246">
        <f>IFERROR(VLOOKUP($C246,装備品!$1:$998,COLUMN(Q$1),FALSE),"")</f>
        <v>0</v>
      </c>
      <c r="U246">
        <f>IFERROR(VLOOKUP($C246,装備品!$1:$998,COLUMN(R$1),FALSE),"")</f>
        <v>0</v>
      </c>
      <c r="V246">
        <f>IFERROR(VLOOKUP($C246,装備品!$1:$998,COLUMN(Q$1),FALSE),"")</f>
        <v>0</v>
      </c>
      <c r="W246">
        <f>IFERROR(VLOOKUP($C246,装備品!$1:$998,COLUMN(T$1),FALSE),"")</f>
        <v>0</v>
      </c>
      <c r="Y246">
        <f>IFERROR(VLOOKUP($C246,装備品!$1:$998,COLUMN(U$1),FALSE),"")</f>
        <v>0</v>
      </c>
      <c r="Z246">
        <f>IFERROR(ROUNDUP(VLOOKUP($C246,装備品!$1:$998,COLUMN(O$1),FALSE)*VLOOKUP($D246,素材!$1:$1016,COLUMN(E$1),FALSE),1),"")</f>
        <v>0</v>
      </c>
      <c r="AA246">
        <f>IF(ISNUMBER(SEARCH(SUBSTITUTE(AA$1,RIGHT(AA$1,2),""),VLOOKUP($D246,素材!$1:$1016,COLUMN($F$1),FALSE))),VLOOKUP($C246,装備品!$1:$998,COLUMN($O$1),FALSE)*VLOOKUP($D246,素材!$1:$1016,COLUMN($E$1),FALSE)/(LEN(VLOOKUP($D246,素材!$1:$1016,COLUMN($F$1),FALSE))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B246">
        <f>IF(ISNUMBER(SEARCH(SUBSTITUTE(AB$1,RIGHT(AB$1,2),""),VLOOKUP($D246,素材!$1:$1016,COLUMN($F$1),FALSE))),VLOOKUP($C246,装備品!$1:$998,COLUMN($O$1),FALSE)*VLOOKUP($D246,素材!$1:$1016,COLUMN($E$1),FALSE)/(LEN(VLOOKUP($D246,素材!$1:$1016,COLUMN($F$1),FALSE))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C246">
        <f>IF(ISNUMBER(SEARCH(SUBSTITUTE(AC$1,RIGHT(AC$1,2),""),VLOOKUP($D246,素材!$1:$1016,COLUMN($F$1),FALSE))),VLOOKUP($C246,装備品!$1:$998,COLUMN($O$1),FALSE)*VLOOKUP($D246,素材!$1:$1016,COLUMN($E$1),FALSE)/(LEN(VLOOKUP($D246,素材!$1:$1016,COLUMN($F$1),FALSE))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D246">
        <f>IF(ISNUMBER(SEARCH(SUBSTITUTE(AD$1,RIGHT(AD$1,2),""),VLOOKUP($D246,素材!$1:$1016,COLUMN($F$1),FALSE))),VLOOKUP($C246,装備品!$1:$998,COLUMN($O$1),FALSE)*VLOOKUP($D246,素材!$1:$1016,COLUMN($E$1),FALSE)/(LEN(VLOOKUP($D246,素材!$1:$1016,COLUMN($F$1),FALSE))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E246">
        <f>IF(ISNUMBER(SEARCH(SUBSTITUTE(AE$1,RIGHT(AE$1,2),""),VLOOKUP($D246,素材!$1:$1016,COLUMN($F$1),FALSE))),VLOOKUP($C246,装備品!$1:$998,COLUMN($O$1),FALSE)*VLOOKUP($D246,素材!$1:$1016,COLUMN($E$1),FALSE)/(LEN(VLOOKUP($D246,素材!$1:$1016,COLUMN($F$1),FALSE))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F246">
        <f>IF(ISNUMBER(SEARCH(SUBSTITUTE(AF$1,RIGHT(AF$1,2),""),VLOOKUP($D246,素材!$1:$1016,COLUMN($F$1),FALSE))),VLOOKUP($C246,装備品!$1:$998,COLUMN($O$1),FALSE)*VLOOKUP($D246,素材!$1:$1016,COLUMN($E$1),FALSE)/(LEN(VLOOKUP($D246,素材!$1:$1016,COLUMN($F$1),FALSE))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G246">
        <f>IF(ISNUMBER(SEARCH(SUBSTITUTE(AG$1,RIGHT(AG$1,2),""),VLOOKUP($D246,素材!$1:$1016,COLUMN($F$1),FALSE))),VLOOKUP($C246,装備品!$1:$998,COLUMN($O$1),FALSE)*VLOOKUP($D246,素材!$1:$1016,COLUMN($E$1),FALSE)/(LEN(VLOOKUP($D246,素材!$1:$1016,COLUMN($F$1),FALSE))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H246">
        <f>IF(ISNUMBER(SEARCH(SUBSTITUTE(AH$1,RIGHT(AH$1,2),""),VLOOKUP($D246,素材!$1:$1016,COLUMN($F$1),FALSE))),VLOOKUP($C246,装備品!$1:$998,COLUMN($O$1),FALSE)*VLOOKUP($D246,素材!$1:$1016,COLUMN($E$1),FALSE)/(LEN(VLOOKUP($D246,素材!$1:$1016,COLUMN($F$1),FALSE))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I246">
        <f>IF(ISNUMBER(SEARCH(SUBSTITUTE(AI$1,RIGHT(AI$1,2),""),VLOOKUP($D246,素材!$1:$1016,COLUMN($F$1),FALSE))),VLOOKUP($C246,装備品!$1:$998,COLUMN($O$1),FALSE)*VLOOKUP($D246,素材!$1:$1016,COLUMN($E$1),FALSE)/(LEN(VLOOKUP($D246,素材!$1:$1016,COLUMN($F$1),FALSE))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J246">
        <f>IF(ISNUMBER(SEARCH(SUBSTITUTE(AJ$1,RIGHT(AJ$1,2),""),VLOOKUP($D246,素材!$1:$1016,COLUMN($F$1),FALSE))),VLOOKUP($C246,装備品!$1:$998,COLUMN($O$1),FALSE)*VLOOKUP($D246,素材!$1:$1016,COLUMN($E$1),FALSE)/(LEN(VLOOKUP($D246,素材!$1:$1016,COLUMN($F$1),FALSE))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K246">
        <f>IF(ISNUMBER(SEARCH(SUBSTITUTE(AK$1,RIGHT(AK$1,2),""),VLOOKUP($D246,素材!$1:$1016,COLUMN($F$1),FALSE))),VLOOKUP($C246,装備品!$1:$998,COLUMN($O$1),FALSE)*VLOOKUP($D246,素材!$1:$1016,COLUMN($E$1),FALSE)/(LEN(VLOOKUP($D246,素材!$1:$1016,COLUMN($F$1),FALSE))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L246">
        <f>IF(ISNUMBER(SEARCH(SUBSTITUTE(AL$1,RIGHT(AL$1,2),""),VLOOKUP($D246,素材!$1:$1016,COLUMN($F$1),FALSE))),VLOOKUP($C246,装備品!$1:$998,COLUMN($O$1),FALSE)*VLOOKUP($D246,素材!$1:$1016,COLUMN($E$1),FALSE)/(LEN(VLOOKUP($D246,素材!$1:$1016,COLUMN($F$1),FALSE))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M246">
        <f>IF(ISNUMBER(SEARCH(SUBSTITUTE(AM$1,RIGHT(AM$1,2),""),VLOOKUP($D246,素材!$1:$1016,COLUMN($F$1),FALSE))),VLOOKUP($C246,装備品!$1:$998,COLUMN($O$1),FALSE)*VLOOKUP($D246,素材!$1:$1016,COLUMN($E$1),FALSE)/(LEN(VLOOKUP($D246,素材!$1:$1016,COLUMN($F$1),FALSE))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N246">
        <f>IF(ISNUMBER(SEARCH(SUBSTITUTE(AN$1,RIGHT(AN$1,2),""),VLOOKUP($D246,素材!$1:$1016,COLUMN($F$1),FALSE))),VLOOKUP($C246,装備品!$1:$998,COLUMN($O$1),FALSE)*VLOOKUP($D246,素材!$1:$1016,COLUMN($E$1),FALSE)/(LEN(VLOOKUP($D246,素材!$1:$1016,COLUMN($F$1),FALSE))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O246">
        <f>IF(ISNUMBER(SEARCH(SUBSTITUTE(AO$1,RIGHT(AO$1,2),""),VLOOKUP($D246,素材!$1:$1016,COLUMN($F$1),FALSE))),VLOOKUP($C246,装備品!$1:$998,COLUMN($O$1),FALSE)*VLOOKUP($D246,素材!$1:$1016,COLUMN($E$1),FALSE)/(LEN(VLOOKUP($D246,素材!$1:$1016,COLUMN($F$1),FALSE))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P246">
        <f>IF(ISNUMBER(SEARCH(SUBSTITUTE(AP$1,RIGHT(AP$1,2),""),VLOOKUP($D246,素材!$1:$1016,COLUMN($F$1),FALSE))),VLOOKUP($C246,装備品!$1:$998,COLUMN($O$1),FALSE)*VLOOKUP($D246,素材!$1:$1016,COLUMN($E$1),FALSE)/(LEN(VLOOKUP($D246,素材!$1:$1016,COLUMN($F$1),FALSE))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Q246">
        <f>IF(ISNUMBER(SEARCH(SUBSTITUTE(AQ$1,RIGHT(AQ$1,2),""),VLOOKUP($D246,素材!$1:$1016,COLUMN($F$1),FALSE))),VLOOKUP($C246,装備品!$1:$998,COLUMN($O$1),FALSE)*VLOOKUP($D246,素材!$1:$1016,COLUMN($E$1),FALSE)/(LEN(VLOOKUP($D246,素材!$1:$1016,COLUMN($F$1),FALSE))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R246">
        <f>IF(ISNUMBER(SEARCH(SUBSTITUTE(AR$1,RIGHT(AR$1,2),""),VLOOKUP($D246,素材!$1:$1016,COLUMN($F$1),FALSE))),VLOOKUP($C246,装備品!$1:$998,COLUMN($O$1),FALSE)*VLOOKUP($D246,素材!$1:$1016,COLUMN($E$1),FALSE)/(LEN(VLOOKUP($D246,素材!$1:$1016,COLUMN($F$1),FALSE))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S246">
        <f>IF(ISNUMBER(SEARCH(SUBSTITUTE(AS$1,RIGHT(AS$1,2),""),VLOOKUP($D246,素材!$1:$1016,COLUMN($F$1),FALSE))),VLOOKUP($C246,装備品!$1:$998,COLUMN($O$1),FALSE)*VLOOKUP($D246,素材!$1:$1016,COLUMN($E$1),FALSE)/(LEN(VLOOKUP($D246,素材!$1:$1016,COLUMN($F$1),FALSE))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T246">
        <f>IF(ISNUMBER(SEARCH(SUBSTITUTE(AT$1,RIGHT(AT$1,2),""),VLOOKUP($D246,素材!$1:$1016,COLUMN($F$1),FALSE))),VLOOKUP($C246,装備品!$1:$998,COLUMN($O$1),FALSE)*VLOOKUP($D246,素材!$1:$1016,COLUMN($E$1),FALSE)/(LEN(VLOOKUP($D246,素材!$1:$1016,COLUMN($F$1),FALSE))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U246">
        <f>IF(ISNUMBER(SEARCH(SUBSTITUTE(AU$1,RIGHT(AU$1,2),""),VLOOKUP($D246,素材!$1:$1016,COLUMN($F$1),FALSE))),VLOOKUP($C246,装備品!$1:$998,COLUMN($O$1),FALSE)*VLOOKUP($D246,素材!$1:$1016,COLUMN($E$1),FALSE)/(LEN(VLOOKUP($D246,素材!$1:$1016,COLUMN($F$1),FALSE))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V246">
        <f>IF(ISNUMBER(SEARCH(SUBSTITUTE(AV$1,RIGHT(AV$1,2),""),VLOOKUP($D246,素材!$1:$1016,COLUMN($F$1),FALSE))),VLOOKUP($C246,装備品!$1:$998,COLUMN($O$1),FALSE)*VLOOKUP($D246,素材!$1:$1016,COLUMN($E$1),FALSE)/(LEN(VLOOKUP($D246,素材!$1:$1016,COLUMN($F$1),FALSE))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W246">
        <f>IF(ISNUMBER(SEARCH(SUBSTITUTE(AW$1,RIGHT(AW$1,2),""),VLOOKUP($D246,素材!$1:$1016,COLUMN($F$1),FALSE))),VLOOKUP($C246,装備品!$1:$998,COLUMN($O$1),FALSE)*VLOOKUP($D246,素材!$1:$1016,COLUMN($E$1),FALSE)/(LEN(VLOOKUP($D246,素材!$1:$1016,COLUMN($F$1),FALSE))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X246">
        <f>IF(ISNUMBER(SEARCH(SUBSTITUTE(AX$1,RIGHT(AX$1,2),""),VLOOKUP($D246,素材!$1:$1016,COLUMN($F$1),FALSE))),VLOOKUP($C246,装備品!$1:$998,COLUMN($O$1),FALSE)*VLOOKUP($D246,素材!$1:$1016,COLUMN($E$1),FALSE)/(LEN(VLOOKUP($D246,素材!$1:$1016,COLUMN($F$1),FALSE))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Y246">
        <f>IF(ISNUMBER(SEARCH(SUBSTITUTE(AY$1,RIGHT(AY$1,2),""),VLOOKUP($D246,素材!$1:$1016,COLUMN($F$1),FALSE))),VLOOKUP($C246,装備品!$1:$998,COLUMN($O$1),FALSE)*VLOOKUP($D246,素材!$1:$1016,COLUMN($E$1),FALSE)/(LEN(VLOOKUP($D246,素材!$1:$1016,COLUMN($F$1),FALSE))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Z246">
        <f>IF(ISNUMBER(SEARCH(SUBSTITUTE(AZ$1,RIGHT(AZ$1,2),""),VLOOKUP($D246,素材!$1:$1016,COLUMN($F$1),FALSE))),VLOOKUP($C246,装備品!$1:$998,COLUMN($O$1),FALSE)*VLOOKUP($D246,素材!$1:$1016,COLUMN($E$1),FALSE)/(LEN(VLOOKUP($D246,素材!$1:$1016,COLUMN($F$1),FALSE))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BA246">
        <f>IF(ISNUMBER(SEARCH(SUBSTITUTE(BA$1,RIGHT(BA$1,2),""),VLOOKUP($D246,素材!$1:$1016,COLUMN($F$1),FALSE))),VLOOKUP($C246,装備品!$1:$998,COLUMN($O$1),FALSE)*VLOOKUP($D246,素材!$1:$1016,COLUMN($E$1),FALSE)/(LEN(VLOOKUP($D246,素材!$1:$1016,COLUMN($F$1),FALSE))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BB246">
        <f>IF(ISNUMBER(SEARCH(SUBSTITUTE(BB$1,RIGHT(BB$1,2),""),VLOOKUP($D246,素材!$1:$1016,COLUMN($F$1),FALSE))),VLOOKUP($C246,装備品!$1:$998,COLUMN($O$1),FALSE)*VLOOKUP($D246,素材!$1:$1016,COLUMN($E$1),FALSE)/(LEN(VLOOKUP($D246,素材!$1:$1016,COLUMN($F$1),FALSE))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BC246">
        <f>IF(ISNUMBER(SEARCH(SUBSTITUTE(BC$1,RIGHT(BC$1,2),""),VLOOKUP($D246,素材!$1:$1016,COLUMN($F$1),FALSE))),VLOOKUP($C246,装備品!$1:$998,COLUMN($O$1),FALSE)*VLOOKUP($D246,素材!$1:$1016,COLUMN($E$1),FALSE)/(LEN(VLOOKUP($D246,素材!$1:$1016,COLUMN($F$1),FALSE))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BD246">
        <f>IF(ISNUMBER(SEARCH(SUBSTITUTE(BD$1,RIGHT(BD$1,2),""),VLOOKUP($D246,素材!$1:$1016,COLUMN($F$1),FALSE))),VLOOKUP($C246,装備品!$1:$998,COLUMN($O$1),FALSE)*VLOOKUP($D246,素材!$1:$1016,COLUMN($E$1),FALSE)/(LEN(VLOOKUP($D246,素材!$1:$1016,COLUMN($F$1),FALSE))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BE246">
        <f>IF(ISNUMBER(SEARCH(SUBSTITUTE(BE$1,RIGHT(BE$1,2),""),VLOOKUP($D246,素材!$1:$1016,COLUMN($F$1),FALSE))),VLOOKUP($C246,装備品!$1:$998,COLUMN($O$1),FALSE)*VLOOKUP($D246,素材!$1:$1016,COLUMN($E$1),FALSE)/(LEN(VLOOKUP($D246,素材!$1:$1016,COLUMN($F$1),FALSE))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CL246">
        <f t="shared" si="35"/>
        <v>24</v>
      </c>
      <c r="CM246" s="22" t="str">
        <f t="shared" si="36"/>
        <v>貫通.webp</v>
      </c>
      <c r="CN246">
        <f>IFERROR(VLOOKUP($C246,装備品!$1:$998,COLUMN(V$1),FALSE)*VLOOKUP($D246,素材!$1:$1016,COLUMN(N$1),FALSE)+IF(CI246="",0,VLOOKUP($CI246,付与!$1:$1176,COLUMN($CK$1),FALSE)),"")</f>
        <v>0</v>
      </c>
      <c r="CO246">
        <f>VLOOKUP(D246,素材!$A:$O,COLUMN(素材!O$1),FALSE)</f>
        <v>0</v>
      </c>
      <c r="CP246" t="str">
        <f>VLOOKUP(C246,装備品!$A:$AB,COLUMN(装備品!AB$1),FALSE)</f>
        <v>棘棍。打撃と刺突を兼ね備えた武器。</v>
      </c>
      <c r="CR246" t="str">
        <f t="shared" si="37"/>
        <v>e_246</v>
      </c>
      <c r="CS246">
        <f t="shared" si="38"/>
        <v>0</v>
      </c>
    </row>
    <row r="247" spans="1:97" outlineLevel="1" x14ac:dyDescent="0.4">
      <c r="A247" t="str">
        <f t="shared" si="39"/>
        <v>熱鉄の鎚</v>
      </c>
      <c r="B247" t="str">
        <f>IFERROR(VLOOKUP($D247,素材!$1:$1016,COLUMN($B$1),FALSE)&amp;"・"&amp;VLOOKUP($C247,装備品!$1:$998,COLUMN(B$1),FALSE),"")</f>
        <v>ヒートスティール・ハンマー</v>
      </c>
      <c r="C247" t="s">
        <v>226</v>
      </c>
      <c r="D247" s="24" t="s">
        <v>204</v>
      </c>
      <c r="E247" t="str">
        <f>IFERROR(VLOOKUP(C247,装備品!$1:$998,COLUMN(C$1),FALSE),"")</f>
        <v>武器</v>
      </c>
      <c r="F247">
        <f>IFERROR(ROUNDDOWN((VLOOKUP($C247,装備品!$1:$998,COLUMN(D$1),FALSE)+IFERROR(VLOOKUP($CI247,付与!$1:$1167,COLUMN(F$1),FALSE),0))*VLOOKUP($D247,素材!$1:$1016,COLUMN(D$1),FALSE),0),"")</f>
        <v>110</v>
      </c>
      <c r="G247">
        <f>IFERROR(ROUNDDOWN((VLOOKUP($C247,装備品!$1:$998,COLUMN(E$1),FALSE)+IFERROR(VLOOKUP($CI247,付与!$1:$1167,COLUMN(G$1),FALSE),0))*VLOOKUP($D247,素材!$1:$1016,COLUMN($E$1),FALSE),0),"")</f>
        <v>0</v>
      </c>
      <c r="H247">
        <f>IFERROR(ROUNDDOWN((VLOOKUP($C247,装備品!$1:$998,COLUMN(F$1),FALSE)+IFERROR(VLOOKUP($CI247,付与!$1:$1167,COLUMN(H$1),FALSE),0))*VLOOKUP($D247,素材!$1:$1016,COLUMN($E$1),FALSE),0),"")</f>
        <v>0</v>
      </c>
      <c r="I247">
        <f>IFERROR(ROUNDDOWN((VLOOKUP($C247,装備品!$1:$998,COLUMN(G$1),FALSE)+IFERROR(VLOOKUP($CI247,付与!$1:$1167,COLUMN(I$1),FALSE),0))*VLOOKUP($D247,素材!$1:$1016,COLUMN($E$1),FALSE),0),"")</f>
        <v>22</v>
      </c>
      <c r="J247">
        <f>IFERROR(ROUNDDOWN((VLOOKUP($C247,装備品!$1:$998,COLUMN(H$1),FALSE)+IFERROR(VLOOKUP($CI247,付与!$1:$1167,COLUMN(J$1),FALSE),0))*VLOOKUP($D247,素材!$1:$1016,COLUMN($E$1),FALSE),0),"")</f>
        <v>19</v>
      </c>
      <c r="K247">
        <f>IFERROR(ROUNDDOWN((VLOOKUP($C247,装備品!$1:$998,COLUMN(I$1),FALSE)+IFERROR(VLOOKUP($CI247,付与!$1:$1167,COLUMN(K$1),FALSE),0))*VLOOKUP($D247,素材!$1:$1016,COLUMN($E$1),FALSE),0),"")</f>
        <v>0</v>
      </c>
      <c r="L247" t="str">
        <f>IFERROR(VLOOKUP($D247,素材!$1:$1016,COLUMN($F$1),FALSE),"")</f>
        <v>炎</v>
      </c>
      <c r="M247">
        <f>IFERROR(VLOOKUP($C247,装備品!$1:$998,COLUMN(AA$1),FALSE)*VLOOKUP($D247,素材!$1:$1016,COLUMN($G$1),FALSE),"")</f>
        <v>70</v>
      </c>
      <c r="N247">
        <f>IFERROR(VLOOKUP($C247,装備品!$1:$998,COLUMN(I$1),FALSE),"")</f>
        <v>0</v>
      </c>
      <c r="O247" s="23">
        <f>IFERROR((VLOOKUP($C247,装備品!$1:$998,COLUMN(K$1),FALSE)+VLOOKUP($D247,素材!$1:$1016,COLUMN(H$1),FALSE))*100+IFERROR(VLOOKUP($CI247,付与!$1:$1167,COLUMN(O$1),FALSE),0),"")</f>
        <v>10</v>
      </c>
      <c r="P247" s="23">
        <f>IFERROR((VLOOKUP($C247,装備品!$1:$998,COLUMN(L$1),FALSE)+VLOOKUP($D247,素材!$1:$1016,COLUMN(I$1),FALSE))*100+IFERROR(VLOOKUP($CI247,付与!$1:$1167,COLUMN(P$1),FALSE),0),"")</f>
        <v>150</v>
      </c>
      <c r="Q247">
        <f>IFERROR(ROUNDUP(VLOOKUP($C247,装備品!$1:$998,COLUMN(M$1),FALSE)*(VLOOKUP($D247,素材!$1:$1002,COLUMN(D$1),FALSE)/100),1),"")</f>
        <v>-2.5</v>
      </c>
      <c r="R247">
        <f>IFERROR(ROUNDUP(VLOOKUP($C247,装備品!$1:$998,COLUMN(N$1),FALSE)*(VLOOKUP($D247,素材!$1:$1002,COLUMN(D$1),FALSE)/100),1),"")</f>
        <v>0</v>
      </c>
      <c r="S247">
        <f>IFERROR(VLOOKUP($C247,装備品!$1:$998,COLUMN(P$1),FALSE),"")</f>
        <v>0</v>
      </c>
      <c r="T247">
        <f>IFERROR(VLOOKUP($C247,装備品!$1:$998,COLUMN(Q$1),FALSE),"")</f>
        <v>0</v>
      </c>
      <c r="U247">
        <f>IFERROR(VLOOKUP($C247,装備品!$1:$998,COLUMN(R$1),FALSE),"")</f>
        <v>0</v>
      </c>
      <c r="V247">
        <f>IFERROR(VLOOKUP($C247,装備品!$1:$998,COLUMN(Q$1),FALSE),"")</f>
        <v>0</v>
      </c>
      <c r="W247">
        <f>IFERROR(VLOOKUP($C247,装備品!$1:$998,COLUMN(T$1),FALSE),"")</f>
        <v>0</v>
      </c>
      <c r="Y247">
        <f>IFERROR(VLOOKUP($C247,装備品!$1:$998,COLUMN(U$1),FALSE),"")</f>
        <v>0</v>
      </c>
      <c r="Z247">
        <f>IFERROR(ROUNDUP(VLOOKUP($C247,装備品!$1:$998,COLUMN(O$1),FALSE)*VLOOKUP($D247,素材!$1:$1016,COLUMN(E$1),FALSE),1),"")</f>
        <v>0</v>
      </c>
      <c r="AA247">
        <f>IF(ISNUMBER(SEARCH(SUBSTITUTE(AA$1,RIGHT(AA$1,2),""),VLOOKUP($D247,素材!$1:$1016,COLUMN($F$1),FALSE))),VLOOKUP($C247,装備品!$1:$998,COLUMN($O$1),FALSE)*VLOOKUP($D247,素材!$1:$1016,COLUMN($E$1),FALSE)/(LEN(VLOOKUP($D247,素材!$1:$1016,COLUMN($F$1),FALSE))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B247">
        <f>IF(ISNUMBER(SEARCH(SUBSTITUTE(AB$1,RIGHT(AB$1,2),""),VLOOKUP($D247,素材!$1:$1016,COLUMN($F$1),FALSE))),VLOOKUP($C247,装備品!$1:$998,COLUMN($O$1),FALSE)*VLOOKUP($D247,素材!$1:$1016,COLUMN($E$1),FALSE)/(LEN(VLOOKUP($D247,素材!$1:$1016,COLUMN($F$1),FALSE))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C247">
        <f>IF(ISNUMBER(SEARCH(SUBSTITUTE(AC$1,RIGHT(AC$1,2),""),VLOOKUP($D247,素材!$1:$1016,COLUMN($F$1),FALSE))),VLOOKUP($C247,装備品!$1:$998,COLUMN($O$1),FALSE)*VLOOKUP($D247,素材!$1:$1016,COLUMN($E$1),FALSE)/(LEN(VLOOKUP($D247,素材!$1:$1016,COLUMN($F$1),FALSE))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D247">
        <f>IF(ISNUMBER(SEARCH(SUBSTITUTE(AD$1,RIGHT(AD$1,2),""),VLOOKUP($D247,素材!$1:$1016,COLUMN($F$1),FALSE))),VLOOKUP($C247,装備品!$1:$998,COLUMN($O$1),FALSE)*VLOOKUP($D247,素材!$1:$1016,COLUMN($E$1),FALSE)/(LEN(VLOOKUP($D247,素材!$1:$1016,COLUMN($F$1),FALSE))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E247">
        <f>IF(ISNUMBER(SEARCH(SUBSTITUTE(AE$1,RIGHT(AE$1,2),""),VLOOKUP($D247,素材!$1:$1016,COLUMN($F$1),FALSE))),VLOOKUP($C247,装備品!$1:$998,COLUMN($O$1),FALSE)*VLOOKUP($D247,素材!$1:$1016,COLUMN($E$1),FALSE)/(LEN(VLOOKUP($D247,素材!$1:$1016,COLUMN($F$1),FALSE))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F247">
        <f>IF(ISNUMBER(SEARCH(SUBSTITUTE(AF$1,RIGHT(AF$1,2),""),VLOOKUP($D247,素材!$1:$1016,COLUMN($F$1),FALSE))),VLOOKUP($C247,装備品!$1:$998,COLUMN($O$1),FALSE)*VLOOKUP($D247,素材!$1:$1016,COLUMN($E$1),FALSE)/(LEN(VLOOKUP($D247,素材!$1:$1016,COLUMN($F$1),FALSE))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G247">
        <f>IF(ISNUMBER(SEARCH(SUBSTITUTE(AG$1,RIGHT(AG$1,2),""),VLOOKUP($D247,素材!$1:$1016,COLUMN($F$1),FALSE))),VLOOKUP($C247,装備品!$1:$998,COLUMN($O$1),FALSE)*VLOOKUP($D247,素材!$1:$1016,COLUMN($E$1),FALSE)/(LEN(VLOOKUP($D247,素材!$1:$1016,COLUMN($F$1),FALSE))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H247">
        <f>IF(ISNUMBER(SEARCH(SUBSTITUTE(AH$1,RIGHT(AH$1,2),""),VLOOKUP($D247,素材!$1:$1016,COLUMN($F$1),FALSE))),VLOOKUP($C247,装備品!$1:$998,COLUMN($O$1),FALSE)*VLOOKUP($D247,素材!$1:$1016,COLUMN($E$1),FALSE)/(LEN(VLOOKUP($D247,素材!$1:$1016,COLUMN($F$1),FALSE))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I247">
        <f>IF(ISNUMBER(SEARCH(SUBSTITUTE(AI$1,RIGHT(AI$1,2),""),VLOOKUP($D247,素材!$1:$1016,COLUMN($F$1),FALSE))),VLOOKUP($C247,装備品!$1:$998,COLUMN($O$1),FALSE)*VLOOKUP($D247,素材!$1:$1016,COLUMN($E$1),FALSE)/(LEN(VLOOKUP($D247,素材!$1:$1016,COLUMN($F$1),FALSE))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J247">
        <f>IF(ISNUMBER(SEARCH(SUBSTITUTE(AJ$1,RIGHT(AJ$1,2),""),VLOOKUP($D247,素材!$1:$1016,COLUMN($F$1),FALSE))),VLOOKUP($C247,装備品!$1:$998,COLUMN($O$1),FALSE)*VLOOKUP($D247,素材!$1:$1016,COLUMN($E$1),FALSE)/(LEN(VLOOKUP($D247,素材!$1:$1016,COLUMN($F$1),FALSE))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K247">
        <f>IF(ISNUMBER(SEARCH(SUBSTITUTE(AK$1,RIGHT(AK$1,2),""),VLOOKUP($D247,素材!$1:$1016,COLUMN($F$1),FALSE))),VLOOKUP($C247,装備品!$1:$998,COLUMN($O$1),FALSE)*VLOOKUP($D247,素材!$1:$1016,COLUMN($E$1),FALSE)/(LEN(VLOOKUP($D247,素材!$1:$1016,COLUMN($F$1),FALSE))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L247">
        <f>IF(ISNUMBER(SEARCH(SUBSTITUTE(AL$1,RIGHT(AL$1,2),""),VLOOKUP($D247,素材!$1:$1016,COLUMN($F$1),FALSE))),VLOOKUP($C247,装備品!$1:$998,COLUMN($O$1),FALSE)*VLOOKUP($D247,素材!$1:$1016,COLUMN($E$1),FALSE)/(LEN(VLOOKUP($D247,素材!$1:$1016,COLUMN($F$1),FALSE))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M247">
        <f>IF(ISNUMBER(SEARCH(SUBSTITUTE(AM$1,RIGHT(AM$1,2),""),VLOOKUP($D247,素材!$1:$1016,COLUMN($F$1),FALSE))),VLOOKUP($C247,装備品!$1:$998,COLUMN($O$1),FALSE)*VLOOKUP($D247,素材!$1:$1016,COLUMN($E$1),FALSE)/(LEN(VLOOKUP($D247,素材!$1:$1016,COLUMN($F$1),FALSE))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N247">
        <f>IF(ISNUMBER(SEARCH(SUBSTITUTE(AN$1,RIGHT(AN$1,2),""),VLOOKUP($D247,素材!$1:$1016,COLUMN($F$1),FALSE))),VLOOKUP($C247,装備品!$1:$998,COLUMN($O$1),FALSE)*VLOOKUP($D247,素材!$1:$1016,COLUMN($E$1),FALSE)/(LEN(VLOOKUP($D247,素材!$1:$1016,COLUMN($F$1),FALSE))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O247">
        <f>IF(ISNUMBER(SEARCH(SUBSTITUTE(AO$1,RIGHT(AO$1,2),""),VLOOKUP($D247,素材!$1:$1016,COLUMN($F$1),FALSE))),VLOOKUP($C247,装備品!$1:$998,COLUMN($O$1),FALSE)*VLOOKUP($D247,素材!$1:$1016,COLUMN($E$1),FALSE)/(LEN(VLOOKUP($D247,素材!$1:$1016,COLUMN($F$1),FALSE))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P247">
        <f>IF(ISNUMBER(SEARCH(SUBSTITUTE(AP$1,RIGHT(AP$1,2),""),VLOOKUP($D247,素材!$1:$1016,COLUMN($F$1),FALSE))),VLOOKUP($C247,装備品!$1:$998,COLUMN($O$1),FALSE)*VLOOKUP($D247,素材!$1:$1016,COLUMN($E$1),FALSE)/(LEN(VLOOKUP($D247,素材!$1:$1016,COLUMN($F$1),FALSE))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Q247">
        <f>IF(ISNUMBER(SEARCH(SUBSTITUTE(AQ$1,RIGHT(AQ$1,2),""),VLOOKUP($D247,素材!$1:$1016,COLUMN($F$1),FALSE))),VLOOKUP($C247,装備品!$1:$998,COLUMN($O$1),FALSE)*VLOOKUP($D247,素材!$1:$1016,COLUMN($E$1),FALSE)/(LEN(VLOOKUP($D247,素材!$1:$1016,COLUMN($F$1),FALSE))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R247">
        <f>IF(ISNUMBER(SEARCH(SUBSTITUTE(AR$1,RIGHT(AR$1,2),""),VLOOKUP($D247,素材!$1:$1016,COLUMN($F$1),FALSE))),VLOOKUP($C247,装備品!$1:$998,COLUMN($O$1),FALSE)*VLOOKUP($D247,素材!$1:$1016,COLUMN($E$1),FALSE)/(LEN(VLOOKUP($D247,素材!$1:$1016,COLUMN($F$1),FALSE))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S247">
        <f>IF(ISNUMBER(SEARCH(SUBSTITUTE(AS$1,RIGHT(AS$1,2),""),VLOOKUP($D247,素材!$1:$1016,COLUMN($F$1),FALSE))),VLOOKUP($C247,装備品!$1:$998,COLUMN($O$1),FALSE)*VLOOKUP($D247,素材!$1:$1016,COLUMN($E$1),FALSE)/(LEN(VLOOKUP($D247,素材!$1:$1016,COLUMN($F$1),FALSE))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T247">
        <f>IF(ISNUMBER(SEARCH(SUBSTITUTE(AT$1,RIGHT(AT$1,2),""),VLOOKUP($D247,素材!$1:$1016,COLUMN($F$1),FALSE))),VLOOKUP($C247,装備品!$1:$998,COLUMN($O$1),FALSE)*VLOOKUP($D247,素材!$1:$1016,COLUMN($E$1),FALSE)/(LEN(VLOOKUP($D247,素材!$1:$1016,COLUMN($F$1),FALSE))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U247">
        <f>IF(ISNUMBER(SEARCH(SUBSTITUTE(AU$1,RIGHT(AU$1,2),""),VLOOKUP($D247,素材!$1:$1016,COLUMN($F$1),FALSE))),VLOOKUP($C247,装備品!$1:$998,COLUMN($O$1),FALSE)*VLOOKUP($D247,素材!$1:$1016,COLUMN($E$1),FALSE)/(LEN(VLOOKUP($D247,素材!$1:$1016,COLUMN($F$1),FALSE))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V247">
        <f>IF(ISNUMBER(SEARCH(SUBSTITUTE(AV$1,RIGHT(AV$1,2),""),VLOOKUP($D247,素材!$1:$1016,COLUMN($F$1),FALSE))),VLOOKUP($C247,装備品!$1:$998,COLUMN($O$1),FALSE)*VLOOKUP($D247,素材!$1:$1016,COLUMN($E$1),FALSE)/(LEN(VLOOKUP($D247,素材!$1:$1016,COLUMN($F$1),FALSE))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W247">
        <f>IF(ISNUMBER(SEARCH(SUBSTITUTE(AW$1,RIGHT(AW$1,2),""),VLOOKUP($D247,素材!$1:$1016,COLUMN($F$1),FALSE))),VLOOKUP($C247,装備品!$1:$998,COLUMN($O$1),FALSE)*VLOOKUP($D247,素材!$1:$1016,COLUMN($E$1),FALSE)/(LEN(VLOOKUP($D247,素材!$1:$1016,COLUMN($F$1),FALSE))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X247">
        <f>IF(ISNUMBER(SEARCH(SUBSTITUTE(AX$1,RIGHT(AX$1,2),""),VLOOKUP($D247,素材!$1:$1016,COLUMN($F$1),FALSE))),VLOOKUP($C247,装備品!$1:$998,COLUMN($O$1),FALSE)*VLOOKUP($D247,素材!$1:$1016,COLUMN($E$1),FALSE)/(LEN(VLOOKUP($D247,素材!$1:$1016,COLUMN($F$1),FALSE))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Y247">
        <f>IF(ISNUMBER(SEARCH(SUBSTITUTE(AY$1,RIGHT(AY$1,2),""),VLOOKUP($D247,素材!$1:$1016,COLUMN($F$1),FALSE))),VLOOKUP($C247,装備品!$1:$998,COLUMN($O$1),FALSE)*VLOOKUP($D247,素材!$1:$1016,COLUMN($E$1),FALSE)/(LEN(VLOOKUP($D247,素材!$1:$1016,COLUMN($F$1),FALSE))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Z247">
        <f>IF(ISNUMBER(SEARCH(SUBSTITUTE(AZ$1,RIGHT(AZ$1,2),""),VLOOKUP($D247,素材!$1:$1016,COLUMN($F$1),FALSE))),VLOOKUP($C247,装備品!$1:$998,COLUMN($O$1),FALSE)*VLOOKUP($D247,素材!$1:$1016,COLUMN($E$1),FALSE)/(LEN(VLOOKUP($D247,素材!$1:$1016,COLUMN($F$1),FALSE))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BA247">
        <f>IF(ISNUMBER(SEARCH(SUBSTITUTE(BA$1,RIGHT(BA$1,2),""),VLOOKUP($D247,素材!$1:$1016,COLUMN($F$1),FALSE))),VLOOKUP($C247,装備品!$1:$998,COLUMN($O$1),FALSE)*VLOOKUP($D247,素材!$1:$1016,COLUMN($E$1),FALSE)/(LEN(VLOOKUP($D247,素材!$1:$1016,COLUMN($F$1),FALSE))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BB247">
        <f>IF(ISNUMBER(SEARCH(SUBSTITUTE(BB$1,RIGHT(BB$1,2),""),VLOOKUP($D247,素材!$1:$1016,COLUMN($F$1),FALSE))),VLOOKUP($C247,装備品!$1:$998,COLUMN($O$1),FALSE)*VLOOKUP($D247,素材!$1:$1016,COLUMN($E$1),FALSE)/(LEN(VLOOKUP($D247,素材!$1:$1016,COLUMN($F$1),FALSE))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BC247">
        <f>IF(ISNUMBER(SEARCH(SUBSTITUTE(BC$1,RIGHT(BC$1,2),""),VLOOKUP($D247,素材!$1:$1016,COLUMN($F$1),FALSE))),VLOOKUP($C247,装備品!$1:$998,COLUMN($O$1),FALSE)*VLOOKUP($D247,素材!$1:$1016,COLUMN($E$1),FALSE)/(LEN(VLOOKUP($D247,素材!$1:$1016,COLUMN($F$1),FALSE))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BD247">
        <f>IF(ISNUMBER(SEARCH(SUBSTITUTE(BD$1,RIGHT(BD$1,2),""),VLOOKUP($D247,素材!$1:$1016,COLUMN($F$1),FALSE))),VLOOKUP($C247,装備品!$1:$998,COLUMN($O$1),FALSE)*VLOOKUP($D247,素材!$1:$1016,COLUMN($E$1),FALSE)/(LEN(VLOOKUP($D247,素材!$1:$1016,COLUMN($F$1),FALSE))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BE247">
        <f>IF(ISNUMBER(SEARCH(SUBSTITUTE(BE$1,RIGHT(BE$1,2),""),VLOOKUP($D247,素材!$1:$1016,COLUMN($F$1),FALSE))),VLOOKUP($C247,装備品!$1:$998,COLUMN($O$1),FALSE)*VLOOKUP($D247,素材!$1:$1016,COLUMN($E$1),FALSE)/(LEN(VLOOKUP($D247,素材!$1:$1016,COLUMN($F$1),FALSE))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CL247">
        <f t="shared" si="35"/>
        <v>22</v>
      </c>
      <c r="CM247" s="22" t="str">
        <f t="shared" si="36"/>
        <v>打撃.webp</v>
      </c>
      <c r="CN247">
        <f>IFERROR(VLOOKUP($C247,装備品!$1:$998,COLUMN(V$1),FALSE)*VLOOKUP($D247,素材!$1:$1016,COLUMN(N$1),FALSE)+IF(CI247="",0,VLOOKUP($CI247,付与!$1:$1176,COLUMN($CK$1),FALSE)),"")</f>
        <v>0</v>
      </c>
      <c r="CO247">
        <f>VLOOKUP(D247,素材!$A:$O,COLUMN(素材!O$1),FALSE)</f>
        <v>0</v>
      </c>
      <c r="CP247" t="str">
        <f>VLOOKUP(C247,装備品!$A:$AB,COLUMN(装備品!AB$1),FALSE)</f>
        <v>鎚。打撃力に優れ、投擲にも対応。</v>
      </c>
      <c r="CR247" t="str">
        <f t="shared" si="37"/>
        <v>e_247</v>
      </c>
      <c r="CS247">
        <f t="shared" si="38"/>
        <v>0</v>
      </c>
    </row>
    <row r="248" spans="1:97" outlineLevel="1" x14ac:dyDescent="0.4">
      <c r="A248" t="str">
        <f t="shared" si="39"/>
        <v>熱鉄の戦鎚</v>
      </c>
      <c r="B248" t="str">
        <f>IFERROR(VLOOKUP($D248,素材!$1:$1016,COLUMN($B$1),FALSE)&amp;"・"&amp;VLOOKUP($C248,装備品!$1:$998,COLUMN(B$1),FALSE),"")</f>
        <v>ヒートスティール・ウォーハンマー</v>
      </c>
      <c r="C248" t="s">
        <v>225</v>
      </c>
      <c r="D248" s="24" t="s">
        <v>204</v>
      </c>
      <c r="E248" t="str">
        <f>IFERROR(VLOOKUP(C248,装備品!$1:$998,COLUMN(C$1),FALSE),"")</f>
        <v>武器</v>
      </c>
      <c r="F248">
        <f>IFERROR(ROUNDDOWN((VLOOKUP($C248,装備品!$1:$998,COLUMN(D$1),FALSE)+IFERROR(VLOOKUP($CI248,付与!$1:$1167,COLUMN(F$1),FALSE),0))*VLOOKUP($D248,素材!$1:$1016,COLUMN(D$1),FALSE),0),"")</f>
        <v>125</v>
      </c>
      <c r="G248">
        <f>IFERROR(ROUNDDOWN((VLOOKUP($C248,装備品!$1:$998,COLUMN(E$1),FALSE)+IFERROR(VLOOKUP($CI248,付与!$1:$1167,COLUMN(G$1),FALSE),0))*VLOOKUP($D248,素材!$1:$1016,COLUMN($E$1),FALSE),0),"")</f>
        <v>0</v>
      </c>
      <c r="H248">
        <f>IFERROR(ROUNDDOWN((VLOOKUP($C248,装備品!$1:$998,COLUMN(F$1),FALSE)+IFERROR(VLOOKUP($CI248,付与!$1:$1167,COLUMN(H$1),FALSE),0))*VLOOKUP($D248,素材!$1:$1016,COLUMN($E$1),FALSE),0),"")</f>
        <v>0</v>
      </c>
      <c r="I248">
        <f>IFERROR(ROUNDDOWN((VLOOKUP($C248,装備品!$1:$998,COLUMN(G$1),FALSE)+IFERROR(VLOOKUP($CI248,付与!$1:$1167,COLUMN(I$1),FALSE),0))*VLOOKUP($D248,素材!$1:$1016,COLUMN($E$1),FALSE),0),"")</f>
        <v>24</v>
      </c>
      <c r="J248">
        <f>IFERROR(ROUNDDOWN((VLOOKUP($C248,装備品!$1:$998,COLUMN(H$1),FALSE)+IFERROR(VLOOKUP($CI248,付与!$1:$1167,COLUMN(J$1),FALSE),0))*VLOOKUP($D248,素材!$1:$1016,COLUMN($E$1),FALSE),0),"")</f>
        <v>21</v>
      </c>
      <c r="K248">
        <f>IFERROR(ROUNDDOWN((VLOOKUP($C248,装備品!$1:$998,COLUMN(I$1),FALSE)+IFERROR(VLOOKUP($CI248,付与!$1:$1167,COLUMN(K$1),FALSE),0))*VLOOKUP($D248,素材!$1:$1016,COLUMN($E$1),FALSE),0),"")</f>
        <v>0</v>
      </c>
      <c r="L248" t="str">
        <f>IFERROR(VLOOKUP($D248,素材!$1:$1016,COLUMN($F$1),FALSE),"")</f>
        <v>炎</v>
      </c>
      <c r="M248">
        <f>IFERROR(VLOOKUP($C248,装備品!$1:$998,COLUMN(AA$1),FALSE)*VLOOKUP($D248,素材!$1:$1016,COLUMN($G$1),FALSE),"")</f>
        <v>87.5</v>
      </c>
      <c r="N248">
        <f>IFERROR(VLOOKUP($C248,装備品!$1:$998,COLUMN(I$1),FALSE),"")</f>
        <v>0</v>
      </c>
      <c r="O248" s="23">
        <f>IFERROR((VLOOKUP($C248,装備品!$1:$998,COLUMN(K$1),FALSE)+VLOOKUP($D248,素材!$1:$1016,COLUMN(H$1),FALSE))*100+IFERROR(VLOOKUP($CI248,付与!$1:$1167,COLUMN(O$1),FALSE),0),"")</f>
        <v>10</v>
      </c>
      <c r="P248" s="23">
        <f>IFERROR((VLOOKUP($C248,装備品!$1:$998,COLUMN(L$1),FALSE)+VLOOKUP($D248,素材!$1:$1016,COLUMN(I$1),FALSE))*100+IFERROR(VLOOKUP($CI248,付与!$1:$1167,COLUMN(P$1),FALSE),0),"")</f>
        <v>150</v>
      </c>
      <c r="Q248">
        <f>IFERROR(ROUNDUP(VLOOKUP($C248,装備品!$1:$998,COLUMN(M$1),FALSE)*(VLOOKUP($D248,素材!$1:$1002,COLUMN(D$1),FALSE)/100),1),"")</f>
        <v>-5</v>
      </c>
      <c r="R248">
        <f>IFERROR(ROUNDUP(VLOOKUP($C248,装備品!$1:$998,COLUMN(N$1),FALSE)*(VLOOKUP($D248,素材!$1:$1002,COLUMN(D$1),FALSE)/100),1),"")</f>
        <v>-5</v>
      </c>
      <c r="S248">
        <f>IFERROR(VLOOKUP($C248,装備品!$1:$998,COLUMN(P$1),FALSE),"")</f>
        <v>0</v>
      </c>
      <c r="T248">
        <f>IFERROR(VLOOKUP($C248,装備品!$1:$998,COLUMN(Q$1),FALSE),"")</f>
        <v>0</v>
      </c>
      <c r="U248">
        <f>IFERROR(VLOOKUP($C248,装備品!$1:$998,COLUMN(R$1),FALSE),"")</f>
        <v>0</v>
      </c>
      <c r="V248">
        <f>IFERROR(VLOOKUP($C248,装備品!$1:$998,COLUMN(Q$1),FALSE),"")</f>
        <v>0</v>
      </c>
      <c r="W248">
        <f>IFERROR(VLOOKUP($C248,装備品!$1:$998,COLUMN(T$1),FALSE),"")</f>
        <v>0</v>
      </c>
      <c r="Y248">
        <f>IFERROR(VLOOKUP($C248,装備品!$1:$998,COLUMN(U$1),FALSE),"")</f>
        <v>0</v>
      </c>
      <c r="Z248">
        <f>IFERROR(ROUNDUP(VLOOKUP($C248,装備品!$1:$998,COLUMN(O$1),FALSE)*VLOOKUP($D248,素材!$1:$1016,COLUMN(E$1),FALSE),1),"")</f>
        <v>0</v>
      </c>
      <c r="AA248">
        <f>IF(ISNUMBER(SEARCH(SUBSTITUTE(AA$1,RIGHT(AA$1,2),""),VLOOKUP($D248,素材!$1:$1016,COLUMN($F$1),FALSE))),VLOOKUP($C248,装備品!$1:$998,COLUMN($O$1),FALSE)*VLOOKUP($D248,素材!$1:$1016,COLUMN($E$1),FALSE)/(LEN(VLOOKUP($D248,素材!$1:$1016,COLUMN($F$1),FALSE))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B248">
        <f>IF(ISNUMBER(SEARCH(SUBSTITUTE(AB$1,RIGHT(AB$1,2),""),VLOOKUP($D248,素材!$1:$1016,COLUMN($F$1),FALSE))),VLOOKUP($C248,装備品!$1:$998,COLUMN($O$1),FALSE)*VLOOKUP($D248,素材!$1:$1016,COLUMN($E$1),FALSE)/(LEN(VLOOKUP($D248,素材!$1:$1016,COLUMN($F$1),FALSE))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C248">
        <f>IF(ISNUMBER(SEARCH(SUBSTITUTE(AC$1,RIGHT(AC$1,2),""),VLOOKUP($D248,素材!$1:$1016,COLUMN($F$1),FALSE))),VLOOKUP($C248,装備品!$1:$998,COLUMN($O$1),FALSE)*VLOOKUP($D248,素材!$1:$1016,COLUMN($E$1),FALSE)/(LEN(VLOOKUP($D248,素材!$1:$1016,COLUMN($F$1),FALSE))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D248">
        <f>IF(ISNUMBER(SEARCH(SUBSTITUTE(AD$1,RIGHT(AD$1,2),""),VLOOKUP($D248,素材!$1:$1016,COLUMN($F$1),FALSE))),VLOOKUP($C248,装備品!$1:$998,COLUMN($O$1),FALSE)*VLOOKUP($D248,素材!$1:$1016,COLUMN($E$1),FALSE)/(LEN(VLOOKUP($D248,素材!$1:$1016,COLUMN($F$1),FALSE))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E248">
        <f>IF(ISNUMBER(SEARCH(SUBSTITUTE(AE$1,RIGHT(AE$1,2),""),VLOOKUP($D248,素材!$1:$1016,COLUMN($F$1),FALSE))),VLOOKUP($C248,装備品!$1:$998,COLUMN($O$1),FALSE)*VLOOKUP($D248,素材!$1:$1016,COLUMN($E$1),FALSE)/(LEN(VLOOKUP($D248,素材!$1:$1016,COLUMN($F$1),FALSE))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F248">
        <f>IF(ISNUMBER(SEARCH(SUBSTITUTE(AF$1,RIGHT(AF$1,2),""),VLOOKUP($D248,素材!$1:$1016,COLUMN($F$1),FALSE))),VLOOKUP($C248,装備品!$1:$998,COLUMN($O$1),FALSE)*VLOOKUP($D248,素材!$1:$1016,COLUMN($E$1),FALSE)/(LEN(VLOOKUP($D248,素材!$1:$1016,COLUMN($F$1),FALSE))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G248">
        <f>IF(ISNUMBER(SEARCH(SUBSTITUTE(AG$1,RIGHT(AG$1,2),""),VLOOKUP($D248,素材!$1:$1016,COLUMN($F$1),FALSE))),VLOOKUP($C248,装備品!$1:$998,COLUMN($O$1),FALSE)*VLOOKUP($D248,素材!$1:$1016,COLUMN($E$1),FALSE)/(LEN(VLOOKUP($D248,素材!$1:$1016,COLUMN($F$1),FALSE))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H248">
        <f>IF(ISNUMBER(SEARCH(SUBSTITUTE(AH$1,RIGHT(AH$1,2),""),VLOOKUP($D248,素材!$1:$1016,COLUMN($F$1),FALSE))),VLOOKUP($C248,装備品!$1:$998,COLUMN($O$1),FALSE)*VLOOKUP($D248,素材!$1:$1016,COLUMN($E$1),FALSE)/(LEN(VLOOKUP($D248,素材!$1:$1016,COLUMN($F$1),FALSE))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I248">
        <f>IF(ISNUMBER(SEARCH(SUBSTITUTE(AI$1,RIGHT(AI$1,2),""),VLOOKUP($D248,素材!$1:$1016,COLUMN($F$1),FALSE))),VLOOKUP($C248,装備品!$1:$998,COLUMN($O$1),FALSE)*VLOOKUP($D248,素材!$1:$1016,COLUMN($E$1),FALSE)/(LEN(VLOOKUP($D248,素材!$1:$1016,COLUMN($F$1),FALSE))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J248">
        <f>IF(ISNUMBER(SEARCH(SUBSTITUTE(AJ$1,RIGHT(AJ$1,2),""),VLOOKUP($D248,素材!$1:$1016,COLUMN($F$1),FALSE))),VLOOKUP($C248,装備品!$1:$998,COLUMN($O$1),FALSE)*VLOOKUP($D248,素材!$1:$1016,COLUMN($E$1),FALSE)/(LEN(VLOOKUP($D248,素材!$1:$1016,COLUMN($F$1),FALSE))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K248">
        <f>IF(ISNUMBER(SEARCH(SUBSTITUTE(AK$1,RIGHT(AK$1,2),""),VLOOKUP($D248,素材!$1:$1016,COLUMN($F$1),FALSE))),VLOOKUP($C248,装備品!$1:$998,COLUMN($O$1),FALSE)*VLOOKUP($D248,素材!$1:$1016,COLUMN($E$1),FALSE)/(LEN(VLOOKUP($D248,素材!$1:$1016,COLUMN($F$1),FALSE))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L248">
        <f>IF(ISNUMBER(SEARCH(SUBSTITUTE(AL$1,RIGHT(AL$1,2),""),VLOOKUP($D248,素材!$1:$1016,COLUMN($F$1),FALSE))),VLOOKUP($C248,装備品!$1:$998,COLUMN($O$1),FALSE)*VLOOKUP($D248,素材!$1:$1016,COLUMN($E$1),FALSE)/(LEN(VLOOKUP($D248,素材!$1:$1016,COLUMN($F$1),FALSE))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M248">
        <f>IF(ISNUMBER(SEARCH(SUBSTITUTE(AM$1,RIGHT(AM$1,2),""),VLOOKUP($D248,素材!$1:$1016,COLUMN($F$1),FALSE))),VLOOKUP($C248,装備品!$1:$998,COLUMN($O$1),FALSE)*VLOOKUP($D248,素材!$1:$1016,COLUMN($E$1),FALSE)/(LEN(VLOOKUP($D248,素材!$1:$1016,COLUMN($F$1),FALSE))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N248">
        <f>IF(ISNUMBER(SEARCH(SUBSTITUTE(AN$1,RIGHT(AN$1,2),""),VLOOKUP($D248,素材!$1:$1016,COLUMN($F$1),FALSE))),VLOOKUP($C248,装備品!$1:$998,COLUMN($O$1),FALSE)*VLOOKUP($D248,素材!$1:$1016,COLUMN($E$1),FALSE)/(LEN(VLOOKUP($D248,素材!$1:$1016,COLUMN($F$1),FALSE))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O248">
        <f>IF(ISNUMBER(SEARCH(SUBSTITUTE(AO$1,RIGHT(AO$1,2),""),VLOOKUP($D248,素材!$1:$1016,COLUMN($F$1),FALSE))),VLOOKUP($C248,装備品!$1:$998,COLUMN($O$1),FALSE)*VLOOKUP($D248,素材!$1:$1016,COLUMN($E$1),FALSE)/(LEN(VLOOKUP($D248,素材!$1:$1016,COLUMN($F$1),FALSE))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P248">
        <f>IF(ISNUMBER(SEARCH(SUBSTITUTE(AP$1,RIGHT(AP$1,2),""),VLOOKUP($D248,素材!$1:$1016,COLUMN($F$1),FALSE))),VLOOKUP($C248,装備品!$1:$998,COLUMN($O$1),FALSE)*VLOOKUP($D248,素材!$1:$1016,COLUMN($E$1),FALSE)/(LEN(VLOOKUP($D248,素材!$1:$1016,COLUMN($F$1),FALSE))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Q248">
        <f>IF(ISNUMBER(SEARCH(SUBSTITUTE(AQ$1,RIGHT(AQ$1,2),""),VLOOKUP($D248,素材!$1:$1016,COLUMN($F$1),FALSE))),VLOOKUP($C248,装備品!$1:$998,COLUMN($O$1),FALSE)*VLOOKUP($D248,素材!$1:$1016,COLUMN($E$1),FALSE)/(LEN(VLOOKUP($D248,素材!$1:$1016,COLUMN($F$1),FALSE))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R248">
        <f>IF(ISNUMBER(SEARCH(SUBSTITUTE(AR$1,RIGHT(AR$1,2),""),VLOOKUP($D248,素材!$1:$1016,COLUMN($F$1),FALSE))),VLOOKUP($C248,装備品!$1:$998,COLUMN($O$1),FALSE)*VLOOKUP($D248,素材!$1:$1016,COLUMN($E$1),FALSE)/(LEN(VLOOKUP($D248,素材!$1:$1016,COLUMN($F$1),FALSE))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S248">
        <f>IF(ISNUMBER(SEARCH(SUBSTITUTE(AS$1,RIGHT(AS$1,2),""),VLOOKUP($D248,素材!$1:$1016,COLUMN($F$1),FALSE))),VLOOKUP($C248,装備品!$1:$998,COLUMN($O$1),FALSE)*VLOOKUP($D248,素材!$1:$1016,COLUMN($E$1),FALSE)/(LEN(VLOOKUP($D248,素材!$1:$1016,COLUMN($F$1),FALSE))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T248">
        <f>IF(ISNUMBER(SEARCH(SUBSTITUTE(AT$1,RIGHT(AT$1,2),""),VLOOKUP($D248,素材!$1:$1016,COLUMN($F$1),FALSE))),VLOOKUP($C248,装備品!$1:$998,COLUMN($O$1),FALSE)*VLOOKUP($D248,素材!$1:$1016,COLUMN($E$1),FALSE)/(LEN(VLOOKUP($D248,素材!$1:$1016,COLUMN($F$1),FALSE))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U248">
        <f>IF(ISNUMBER(SEARCH(SUBSTITUTE(AU$1,RIGHT(AU$1,2),""),VLOOKUP($D248,素材!$1:$1016,COLUMN($F$1),FALSE))),VLOOKUP($C248,装備品!$1:$998,COLUMN($O$1),FALSE)*VLOOKUP($D248,素材!$1:$1016,COLUMN($E$1),FALSE)/(LEN(VLOOKUP($D248,素材!$1:$1016,COLUMN($F$1),FALSE))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V248">
        <f>IF(ISNUMBER(SEARCH(SUBSTITUTE(AV$1,RIGHT(AV$1,2),""),VLOOKUP($D248,素材!$1:$1016,COLUMN($F$1),FALSE))),VLOOKUP($C248,装備品!$1:$998,COLUMN($O$1),FALSE)*VLOOKUP($D248,素材!$1:$1016,COLUMN($E$1),FALSE)/(LEN(VLOOKUP($D248,素材!$1:$1016,COLUMN($F$1),FALSE))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W248">
        <f>IF(ISNUMBER(SEARCH(SUBSTITUTE(AW$1,RIGHT(AW$1,2),""),VLOOKUP($D248,素材!$1:$1016,COLUMN($F$1),FALSE))),VLOOKUP($C248,装備品!$1:$998,COLUMN($O$1),FALSE)*VLOOKUP($D248,素材!$1:$1016,COLUMN($E$1),FALSE)/(LEN(VLOOKUP($D248,素材!$1:$1016,COLUMN($F$1),FALSE))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X248">
        <f>IF(ISNUMBER(SEARCH(SUBSTITUTE(AX$1,RIGHT(AX$1,2),""),VLOOKUP($D248,素材!$1:$1016,COLUMN($F$1),FALSE))),VLOOKUP($C248,装備品!$1:$998,COLUMN($O$1),FALSE)*VLOOKUP($D248,素材!$1:$1016,COLUMN($E$1),FALSE)/(LEN(VLOOKUP($D248,素材!$1:$1016,COLUMN($F$1),FALSE))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Y248">
        <f>IF(ISNUMBER(SEARCH(SUBSTITUTE(AY$1,RIGHT(AY$1,2),""),VLOOKUP($D248,素材!$1:$1016,COLUMN($F$1),FALSE))),VLOOKUP($C248,装備品!$1:$998,COLUMN($O$1),FALSE)*VLOOKUP($D248,素材!$1:$1016,COLUMN($E$1),FALSE)/(LEN(VLOOKUP($D248,素材!$1:$1016,COLUMN($F$1),FALSE))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Z248">
        <f>IF(ISNUMBER(SEARCH(SUBSTITUTE(AZ$1,RIGHT(AZ$1,2),""),VLOOKUP($D248,素材!$1:$1016,COLUMN($F$1),FALSE))),VLOOKUP($C248,装備品!$1:$998,COLUMN($O$1),FALSE)*VLOOKUP($D248,素材!$1:$1016,COLUMN($E$1),FALSE)/(LEN(VLOOKUP($D248,素材!$1:$1016,COLUMN($F$1),FALSE))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BA248">
        <f>IF(ISNUMBER(SEARCH(SUBSTITUTE(BA$1,RIGHT(BA$1,2),""),VLOOKUP($D248,素材!$1:$1016,COLUMN($F$1),FALSE))),VLOOKUP($C248,装備品!$1:$998,COLUMN($O$1),FALSE)*VLOOKUP($D248,素材!$1:$1016,COLUMN($E$1),FALSE)/(LEN(VLOOKUP($D248,素材!$1:$1016,COLUMN($F$1),FALSE))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BB248">
        <f>IF(ISNUMBER(SEARCH(SUBSTITUTE(BB$1,RIGHT(BB$1,2),""),VLOOKUP($D248,素材!$1:$1016,COLUMN($F$1),FALSE))),VLOOKUP($C248,装備品!$1:$998,COLUMN($O$1),FALSE)*VLOOKUP($D248,素材!$1:$1016,COLUMN($E$1),FALSE)/(LEN(VLOOKUP($D248,素材!$1:$1016,COLUMN($F$1),FALSE))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BC248">
        <f>IF(ISNUMBER(SEARCH(SUBSTITUTE(BC$1,RIGHT(BC$1,2),""),VLOOKUP($D248,素材!$1:$1016,COLUMN($F$1),FALSE))),VLOOKUP($C248,装備品!$1:$998,COLUMN($O$1),FALSE)*VLOOKUP($D248,素材!$1:$1016,COLUMN($E$1),FALSE)/(LEN(VLOOKUP($D248,素材!$1:$1016,COLUMN($F$1),FALSE))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BD248">
        <f>IF(ISNUMBER(SEARCH(SUBSTITUTE(BD$1,RIGHT(BD$1,2),""),VLOOKUP($D248,素材!$1:$1016,COLUMN($F$1),FALSE))),VLOOKUP($C248,装備品!$1:$998,COLUMN($O$1),FALSE)*VLOOKUP($D248,素材!$1:$1016,COLUMN($E$1),FALSE)/(LEN(VLOOKUP($D248,素材!$1:$1016,COLUMN($F$1),FALSE))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BE248">
        <f>IF(ISNUMBER(SEARCH(SUBSTITUTE(BE$1,RIGHT(BE$1,2),""),VLOOKUP($D248,素材!$1:$1016,COLUMN($F$1),FALSE))),VLOOKUP($C248,装備品!$1:$998,COLUMN($O$1),FALSE)*VLOOKUP($D248,素材!$1:$1016,COLUMN($E$1),FALSE)/(LEN(VLOOKUP($D248,素材!$1:$1016,COLUMN($F$1),FALSE))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CL248">
        <f t="shared" si="35"/>
        <v>24</v>
      </c>
      <c r="CM248" s="22" t="str">
        <f t="shared" si="36"/>
        <v>打撃.webp</v>
      </c>
      <c r="CN248">
        <f>IFERROR(VLOOKUP($C248,装備品!$1:$998,COLUMN(V$1),FALSE)*VLOOKUP($D248,素材!$1:$1016,COLUMN(N$1),FALSE)+IF(CI248="",0,VLOOKUP($CI248,付与!$1:$1176,COLUMN($CK$1),FALSE)),"")</f>
        <v>0</v>
      </c>
      <c r="CO248">
        <f>VLOOKUP(D248,素材!$A:$O,COLUMN(素材!O$1),FALSE)</f>
        <v>0</v>
      </c>
      <c r="CP248" t="str">
        <f>VLOOKUP(C248,装備品!$A:$AB,COLUMN(装備品!AB$1),FALSE)</f>
        <v>戦鎚。重い打撃を与える強力な武器。</v>
      </c>
      <c r="CR248" t="str">
        <f t="shared" si="37"/>
        <v>e_248</v>
      </c>
      <c r="CS248">
        <f t="shared" si="38"/>
        <v>0</v>
      </c>
    </row>
    <row r="249" spans="1:97" outlineLevel="1" x14ac:dyDescent="0.4">
      <c r="A249" t="str">
        <f t="shared" si="39"/>
        <v>熱鉄の鎌</v>
      </c>
      <c r="B249" t="str">
        <f>IFERROR(VLOOKUP($D249,素材!$1:$1016,COLUMN($B$1),FALSE)&amp;"・"&amp;VLOOKUP($C249,装備品!$1:$998,COLUMN(B$1),FALSE),"")</f>
        <v>ヒートスティール・シックル</v>
      </c>
      <c r="C249" t="s">
        <v>224</v>
      </c>
      <c r="D249" s="24" t="s">
        <v>204</v>
      </c>
      <c r="E249" t="str">
        <f>IFERROR(VLOOKUP(C249,装備品!$1:$998,COLUMN(C$1),FALSE),"")</f>
        <v>武器</v>
      </c>
      <c r="F249">
        <f>IFERROR(ROUNDDOWN((VLOOKUP($C249,装備品!$1:$998,COLUMN(D$1),FALSE)+IFERROR(VLOOKUP($CI249,付与!$1:$1167,COLUMN(F$1),FALSE),0))*VLOOKUP($D249,素材!$1:$1016,COLUMN(D$1),FALSE),0),"")</f>
        <v>125</v>
      </c>
      <c r="G249">
        <f>IFERROR(ROUNDDOWN((VLOOKUP($C249,装備品!$1:$998,COLUMN(E$1),FALSE)+IFERROR(VLOOKUP($CI249,付与!$1:$1167,COLUMN(G$1),FALSE),0))*VLOOKUP($D249,素材!$1:$1016,COLUMN($E$1),FALSE),0),"")</f>
        <v>9</v>
      </c>
      <c r="H249">
        <f>IFERROR(ROUNDDOWN((VLOOKUP($C249,装備品!$1:$998,COLUMN(F$1),FALSE)+IFERROR(VLOOKUP($CI249,付与!$1:$1167,COLUMN(H$1),FALSE),0))*VLOOKUP($D249,素材!$1:$1016,COLUMN($E$1),FALSE),0),"")</f>
        <v>11</v>
      </c>
      <c r="I249">
        <f>IFERROR(ROUNDDOWN((VLOOKUP($C249,装備品!$1:$998,COLUMN(G$1),FALSE)+IFERROR(VLOOKUP($CI249,付与!$1:$1167,COLUMN(I$1),FALSE),0))*VLOOKUP($D249,素材!$1:$1016,COLUMN($E$1),FALSE),0),"")</f>
        <v>1</v>
      </c>
      <c r="J249">
        <f>IFERROR(ROUNDDOWN((VLOOKUP($C249,装備品!$1:$998,COLUMN(H$1),FALSE)+IFERROR(VLOOKUP($CI249,付与!$1:$1167,COLUMN(J$1),FALSE),0))*VLOOKUP($D249,素材!$1:$1016,COLUMN($E$1),FALSE),0),"")</f>
        <v>17</v>
      </c>
      <c r="K249">
        <f>IFERROR(ROUNDDOWN((VLOOKUP($C249,装備品!$1:$998,COLUMN(I$1),FALSE)+IFERROR(VLOOKUP($CI249,付与!$1:$1167,COLUMN(K$1),FALSE),0))*VLOOKUP($D249,素材!$1:$1016,COLUMN($E$1),FALSE),0),"")</f>
        <v>0</v>
      </c>
      <c r="L249" t="str">
        <f>IFERROR(VLOOKUP($D249,素材!$1:$1016,COLUMN($F$1),FALSE),"")</f>
        <v>炎</v>
      </c>
      <c r="M249">
        <f>IFERROR(VLOOKUP($C249,装備品!$1:$998,COLUMN(AA$1),FALSE)*VLOOKUP($D249,素材!$1:$1016,COLUMN($G$1),FALSE),"")</f>
        <v>70</v>
      </c>
      <c r="N249">
        <f>IFERROR(VLOOKUP($C249,装備品!$1:$998,COLUMN(I$1),FALSE),"")</f>
        <v>0</v>
      </c>
      <c r="O249" s="23">
        <f>IFERROR((VLOOKUP($C249,装備品!$1:$998,COLUMN(K$1),FALSE)+VLOOKUP($D249,素材!$1:$1016,COLUMN(H$1),FALSE))*100+IFERROR(VLOOKUP($CI249,付与!$1:$1167,COLUMN(O$1),FALSE),0),"")</f>
        <v>5</v>
      </c>
      <c r="P249" s="23">
        <f>IFERROR((VLOOKUP($C249,装備品!$1:$998,COLUMN(L$1),FALSE)+VLOOKUP($D249,素材!$1:$1016,COLUMN(I$1),FALSE))*100+IFERROR(VLOOKUP($CI249,付与!$1:$1167,COLUMN(P$1),FALSE),0),"")</f>
        <v>200</v>
      </c>
      <c r="Q249">
        <f>IFERROR(ROUNDUP(VLOOKUP($C249,装備品!$1:$998,COLUMN(M$1),FALSE)*(VLOOKUP($D249,素材!$1:$1002,COLUMN(D$1),FALSE)/100),1),"")</f>
        <v>0</v>
      </c>
      <c r="R249">
        <f>IFERROR(ROUNDUP(VLOOKUP($C249,装備品!$1:$998,COLUMN(N$1),FALSE)*(VLOOKUP($D249,素材!$1:$1002,COLUMN(D$1),FALSE)/100),1),"")</f>
        <v>0</v>
      </c>
      <c r="S249">
        <f>IFERROR(VLOOKUP($C249,装備品!$1:$998,COLUMN(P$1),FALSE),"")</f>
        <v>0</v>
      </c>
      <c r="T249">
        <f>IFERROR(VLOOKUP($C249,装備品!$1:$998,COLUMN(Q$1),FALSE),"")</f>
        <v>0</v>
      </c>
      <c r="U249">
        <f>IFERROR(VLOOKUP($C249,装備品!$1:$998,COLUMN(R$1),FALSE),"")</f>
        <v>0</v>
      </c>
      <c r="V249">
        <f>IFERROR(VLOOKUP($C249,装備品!$1:$998,COLUMN(Q$1),FALSE),"")</f>
        <v>0</v>
      </c>
      <c r="W249">
        <f>IFERROR(VLOOKUP($C249,装備品!$1:$998,COLUMN(T$1),FALSE),"")</f>
        <v>0</v>
      </c>
      <c r="Y249">
        <f>IFERROR(VLOOKUP($C249,装備品!$1:$998,COLUMN(U$1),FALSE),"")</f>
        <v>0</v>
      </c>
      <c r="Z249">
        <f>IFERROR(ROUNDUP(VLOOKUP($C249,装備品!$1:$998,COLUMN(O$1),FALSE)*VLOOKUP($D249,素材!$1:$1016,COLUMN(E$1),FALSE),1),"")</f>
        <v>0</v>
      </c>
      <c r="AA249">
        <f>IF(ISNUMBER(SEARCH(SUBSTITUTE(AA$1,RIGHT(AA$1,2),""),VLOOKUP($D249,素材!$1:$1016,COLUMN($F$1),FALSE))),VLOOKUP($C249,装備品!$1:$998,COLUMN($O$1),FALSE)*VLOOKUP($D249,素材!$1:$1016,COLUMN($E$1),FALSE)/(LEN(VLOOKUP($D249,素材!$1:$1016,COLUMN($F$1),FALSE))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B249">
        <f>IF(ISNUMBER(SEARCH(SUBSTITUTE(AB$1,RIGHT(AB$1,2),""),VLOOKUP($D249,素材!$1:$1016,COLUMN($F$1),FALSE))),VLOOKUP($C249,装備品!$1:$998,COLUMN($O$1),FALSE)*VLOOKUP($D249,素材!$1:$1016,COLUMN($E$1),FALSE)/(LEN(VLOOKUP($D249,素材!$1:$1016,COLUMN($F$1),FALSE))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C249">
        <f>IF(ISNUMBER(SEARCH(SUBSTITUTE(AC$1,RIGHT(AC$1,2),""),VLOOKUP($D249,素材!$1:$1016,COLUMN($F$1),FALSE))),VLOOKUP($C249,装備品!$1:$998,COLUMN($O$1),FALSE)*VLOOKUP($D249,素材!$1:$1016,COLUMN($E$1),FALSE)/(LEN(VLOOKUP($D249,素材!$1:$1016,COLUMN($F$1),FALSE))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D249">
        <f>IF(ISNUMBER(SEARCH(SUBSTITUTE(AD$1,RIGHT(AD$1,2),""),VLOOKUP($D249,素材!$1:$1016,COLUMN($F$1),FALSE))),VLOOKUP($C249,装備品!$1:$998,COLUMN($O$1),FALSE)*VLOOKUP($D249,素材!$1:$1016,COLUMN($E$1),FALSE)/(LEN(VLOOKUP($D249,素材!$1:$1016,COLUMN($F$1),FALSE))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E249">
        <f>IF(ISNUMBER(SEARCH(SUBSTITUTE(AE$1,RIGHT(AE$1,2),""),VLOOKUP($D249,素材!$1:$1016,COLUMN($F$1),FALSE))),VLOOKUP($C249,装備品!$1:$998,COLUMN($O$1),FALSE)*VLOOKUP($D249,素材!$1:$1016,COLUMN($E$1),FALSE)/(LEN(VLOOKUP($D249,素材!$1:$1016,COLUMN($F$1),FALSE))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F249">
        <f>IF(ISNUMBER(SEARCH(SUBSTITUTE(AF$1,RIGHT(AF$1,2),""),VLOOKUP($D249,素材!$1:$1016,COLUMN($F$1),FALSE))),VLOOKUP($C249,装備品!$1:$998,COLUMN($O$1),FALSE)*VLOOKUP($D249,素材!$1:$1016,COLUMN($E$1),FALSE)/(LEN(VLOOKUP($D249,素材!$1:$1016,COLUMN($F$1),FALSE))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G249">
        <f>IF(ISNUMBER(SEARCH(SUBSTITUTE(AG$1,RIGHT(AG$1,2),""),VLOOKUP($D249,素材!$1:$1016,COLUMN($F$1),FALSE))),VLOOKUP($C249,装備品!$1:$998,COLUMN($O$1),FALSE)*VLOOKUP($D249,素材!$1:$1016,COLUMN($E$1),FALSE)/(LEN(VLOOKUP($D249,素材!$1:$1016,COLUMN($F$1),FALSE))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H249">
        <f>IF(ISNUMBER(SEARCH(SUBSTITUTE(AH$1,RIGHT(AH$1,2),""),VLOOKUP($D249,素材!$1:$1016,COLUMN($F$1),FALSE))),VLOOKUP($C249,装備品!$1:$998,COLUMN($O$1),FALSE)*VLOOKUP($D249,素材!$1:$1016,COLUMN($E$1),FALSE)/(LEN(VLOOKUP($D249,素材!$1:$1016,COLUMN($F$1),FALSE))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I249">
        <f>IF(ISNUMBER(SEARCH(SUBSTITUTE(AI$1,RIGHT(AI$1,2),""),VLOOKUP($D249,素材!$1:$1016,COLUMN($F$1),FALSE))),VLOOKUP($C249,装備品!$1:$998,COLUMN($O$1),FALSE)*VLOOKUP($D249,素材!$1:$1016,COLUMN($E$1),FALSE)/(LEN(VLOOKUP($D249,素材!$1:$1016,COLUMN($F$1),FALSE))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J249">
        <f>IF(ISNUMBER(SEARCH(SUBSTITUTE(AJ$1,RIGHT(AJ$1,2),""),VLOOKUP($D249,素材!$1:$1016,COLUMN($F$1),FALSE))),VLOOKUP($C249,装備品!$1:$998,COLUMN($O$1),FALSE)*VLOOKUP($D249,素材!$1:$1016,COLUMN($E$1),FALSE)/(LEN(VLOOKUP($D249,素材!$1:$1016,COLUMN($F$1),FALSE))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K249">
        <f>IF(ISNUMBER(SEARCH(SUBSTITUTE(AK$1,RIGHT(AK$1,2),""),VLOOKUP($D249,素材!$1:$1016,COLUMN($F$1),FALSE))),VLOOKUP($C249,装備品!$1:$998,COLUMN($O$1),FALSE)*VLOOKUP($D249,素材!$1:$1016,COLUMN($E$1),FALSE)/(LEN(VLOOKUP($D249,素材!$1:$1016,COLUMN($F$1),FALSE))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L249">
        <f>IF(ISNUMBER(SEARCH(SUBSTITUTE(AL$1,RIGHT(AL$1,2),""),VLOOKUP($D249,素材!$1:$1016,COLUMN($F$1),FALSE))),VLOOKUP($C249,装備品!$1:$998,COLUMN($O$1),FALSE)*VLOOKUP($D249,素材!$1:$1016,COLUMN($E$1),FALSE)/(LEN(VLOOKUP($D249,素材!$1:$1016,COLUMN($F$1),FALSE))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M249">
        <f>IF(ISNUMBER(SEARCH(SUBSTITUTE(AM$1,RIGHT(AM$1,2),""),VLOOKUP($D249,素材!$1:$1016,COLUMN($F$1),FALSE))),VLOOKUP($C249,装備品!$1:$998,COLUMN($O$1),FALSE)*VLOOKUP($D249,素材!$1:$1016,COLUMN($E$1),FALSE)/(LEN(VLOOKUP($D249,素材!$1:$1016,COLUMN($F$1),FALSE))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N249">
        <f>IF(ISNUMBER(SEARCH(SUBSTITUTE(AN$1,RIGHT(AN$1,2),""),VLOOKUP($D249,素材!$1:$1016,COLUMN($F$1),FALSE))),VLOOKUP($C249,装備品!$1:$998,COLUMN($O$1),FALSE)*VLOOKUP($D249,素材!$1:$1016,COLUMN($E$1),FALSE)/(LEN(VLOOKUP($D249,素材!$1:$1016,COLUMN($F$1),FALSE))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O249">
        <f>IF(ISNUMBER(SEARCH(SUBSTITUTE(AO$1,RIGHT(AO$1,2),""),VLOOKUP($D249,素材!$1:$1016,COLUMN($F$1),FALSE))),VLOOKUP($C249,装備品!$1:$998,COLUMN($O$1),FALSE)*VLOOKUP($D249,素材!$1:$1016,COLUMN($E$1),FALSE)/(LEN(VLOOKUP($D249,素材!$1:$1016,COLUMN($F$1),FALSE))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P249">
        <f>IF(ISNUMBER(SEARCH(SUBSTITUTE(AP$1,RIGHT(AP$1,2),""),VLOOKUP($D249,素材!$1:$1016,COLUMN($F$1),FALSE))),VLOOKUP($C249,装備品!$1:$998,COLUMN($O$1),FALSE)*VLOOKUP($D249,素材!$1:$1016,COLUMN($E$1),FALSE)/(LEN(VLOOKUP($D249,素材!$1:$1016,COLUMN($F$1),FALSE))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Q249">
        <f>IF(ISNUMBER(SEARCH(SUBSTITUTE(AQ$1,RIGHT(AQ$1,2),""),VLOOKUP($D249,素材!$1:$1016,COLUMN($F$1),FALSE))),VLOOKUP($C249,装備品!$1:$998,COLUMN($O$1),FALSE)*VLOOKUP($D249,素材!$1:$1016,COLUMN($E$1),FALSE)/(LEN(VLOOKUP($D249,素材!$1:$1016,COLUMN($F$1),FALSE))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R249">
        <f>IF(ISNUMBER(SEARCH(SUBSTITUTE(AR$1,RIGHT(AR$1,2),""),VLOOKUP($D249,素材!$1:$1016,COLUMN($F$1),FALSE))),VLOOKUP($C249,装備品!$1:$998,COLUMN($O$1),FALSE)*VLOOKUP($D249,素材!$1:$1016,COLUMN($E$1),FALSE)/(LEN(VLOOKUP($D249,素材!$1:$1016,COLUMN($F$1),FALSE))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S249">
        <f>IF(ISNUMBER(SEARCH(SUBSTITUTE(AS$1,RIGHT(AS$1,2),""),VLOOKUP($D249,素材!$1:$1016,COLUMN($F$1),FALSE))),VLOOKUP($C249,装備品!$1:$998,COLUMN($O$1),FALSE)*VLOOKUP($D249,素材!$1:$1016,COLUMN($E$1),FALSE)/(LEN(VLOOKUP($D249,素材!$1:$1016,COLUMN($F$1),FALSE))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T249">
        <f>IF(ISNUMBER(SEARCH(SUBSTITUTE(AT$1,RIGHT(AT$1,2),""),VLOOKUP($D249,素材!$1:$1016,COLUMN($F$1),FALSE))),VLOOKUP($C249,装備品!$1:$998,COLUMN($O$1),FALSE)*VLOOKUP($D249,素材!$1:$1016,COLUMN($E$1),FALSE)/(LEN(VLOOKUP($D249,素材!$1:$1016,COLUMN($F$1),FALSE))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U249">
        <f>IF(ISNUMBER(SEARCH(SUBSTITUTE(AU$1,RIGHT(AU$1,2),""),VLOOKUP($D249,素材!$1:$1016,COLUMN($F$1),FALSE))),VLOOKUP($C249,装備品!$1:$998,COLUMN($O$1),FALSE)*VLOOKUP($D249,素材!$1:$1016,COLUMN($E$1),FALSE)/(LEN(VLOOKUP($D249,素材!$1:$1016,COLUMN($F$1),FALSE))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V249">
        <f>IF(ISNUMBER(SEARCH(SUBSTITUTE(AV$1,RIGHT(AV$1,2),""),VLOOKUP($D249,素材!$1:$1016,COLUMN($F$1),FALSE))),VLOOKUP($C249,装備品!$1:$998,COLUMN($O$1),FALSE)*VLOOKUP($D249,素材!$1:$1016,COLUMN($E$1),FALSE)/(LEN(VLOOKUP($D249,素材!$1:$1016,COLUMN($F$1),FALSE))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W249">
        <f>IF(ISNUMBER(SEARCH(SUBSTITUTE(AW$1,RIGHT(AW$1,2),""),VLOOKUP($D249,素材!$1:$1016,COLUMN($F$1),FALSE))),VLOOKUP($C249,装備品!$1:$998,COLUMN($O$1),FALSE)*VLOOKUP($D249,素材!$1:$1016,COLUMN($E$1),FALSE)/(LEN(VLOOKUP($D249,素材!$1:$1016,COLUMN($F$1),FALSE))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X249">
        <f>IF(ISNUMBER(SEARCH(SUBSTITUTE(AX$1,RIGHT(AX$1,2),""),VLOOKUP($D249,素材!$1:$1016,COLUMN($F$1),FALSE))),VLOOKUP($C249,装備品!$1:$998,COLUMN($O$1),FALSE)*VLOOKUP($D249,素材!$1:$1016,COLUMN($E$1),FALSE)/(LEN(VLOOKUP($D249,素材!$1:$1016,COLUMN($F$1),FALSE))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Y249">
        <f>IF(ISNUMBER(SEARCH(SUBSTITUTE(AY$1,RIGHT(AY$1,2),""),VLOOKUP($D249,素材!$1:$1016,COLUMN($F$1),FALSE))),VLOOKUP($C249,装備品!$1:$998,COLUMN($O$1),FALSE)*VLOOKUP($D249,素材!$1:$1016,COLUMN($E$1),FALSE)/(LEN(VLOOKUP($D249,素材!$1:$1016,COLUMN($F$1),FALSE))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Z249">
        <f>IF(ISNUMBER(SEARCH(SUBSTITUTE(AZ$1,RIGHT(AZ$1,2),""),VLOOKUP($D249,素材!$1:$1016,COLUMN($F$1),FALSE))),VLOOKUP($C249,装備品!$1:$998,COLUMN($O$1),FALSE)*VLOOKUP($D249,素材!$1:$1016,COLUMN($E$1),FALSE)/(LEN(VLOOKUP($D249,素材!$1:$1016,COLUMN($F$1),FALSE))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BA249">
        <f>IF(ISNUMBER(SEARCH(SUBSTITUTE(BA$1,RIGHT(BA$1,2),""),VLOOKUP($D249,素材!$1:$1016,COLUMN($F$1),FALSE))),VLOOKUP($C249,装備品!$1:$998,COLUMN($O$1),FALSE)*VLOOKUP($D249,素材!$1:$1016,COLUMN($E$1),FALSE)/(LEN(VLOOKUP($D249,素材!$1:$1016,COLUMN($F$1),FALSE))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BB249">
        <f>IF(ISNUMBER(SEARCH(SUBSTITUTE(BB$1,RIGHT(BB$1,2),""),VLOOKUP($D249,素材!$1:$1016,COLUMN($F$1),FALSE))),VLOOKUP($C249,装備品!$1:$998,COLUMN($O$1),FALSE)*VLOOKUP($D249,素材!$1:$1016,COLUMN($E$1),FALSE)/(LEN(VLOOKUP($D249,素材!$1:$1016,COLUMN($F$1),FALSE))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BC249">
        <f>IF(ISNUMBER(SEARCH(SUBSTITUTE(BC$1,RIGHT(BC$1,2),""),VLOOKUP($D249,素材!$1:$1016,COLUMN($F$1),FALSE))),VLOOKUP($C249,装備品!$1:$998,COLUMN($O$1),FALSE)*VLOOKUP($D249,素材!$1:$1016,COLUMN($E$1),FALSE)/(LEN(VLOOKUP($D249,素材!$1:$1016,COLUMN($F$1),FALSE))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BD249">
        <f>IF(ISNUMBER(SEARCH(SUBSTITUTE(BD$1,RIGHT(BD$1,2),""),VLOOKUP($D249,素材!$1:$1016,COLUMN($F$1),FALSE))),VLOOKUP($C249,装備品!$1:$998,COLUMN($O$1),FALSE)*VLOOKUP($D249,素材!$1:$1016,COLUMN($E$1),FALSE)/(LEN(VLOOKUP($D249,素材!$1:$1016,COLUMN($F$1),FALSE))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BE249">
        <f>IF(ISNUMBER(SEARCH(SUBSTITUTE(BE$1,RIGHT(BE$1,2),""),VLOOKUP($D249,素材!$1:$1016,COLUMN($F$1),FALSE))),VLOOKUP($C249,装備品!$1:$998,COLUMN($O$1),FALSE)*VLOOKUP($D249,素材!$1:$1016,COLUMN($E$1),FALSE)/(LEN(VLOOKUP($D249,素材!$1:$1016,COLUMN($F$1),FALSE))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CL249">
        <f t="shared" si="35"/>
        <v>21</v>
      </c>
      <c r="CM249" s="22" t="str">
        <f t="shared" si="36"/>
        <v>貫通.webp</v>
      </c>
      <c r="CN249">
        <f>IFERROR(VLOOKUP($C249,装備品!$1:$998,COLUMN(V$1),FALSE)*VLOOKUP($D249,素材!$1:$1016,COLUMN(N$1),FALSE)+IF(CI249="",0,VLOOKUP($CI249,付与!$1:$1176,COLUMN($CK$1),FALSE)),"")</f>
        <v>0</v>
      </c>
      <c r="CO249">
        <f>VLOOKUP(D249,素材!$A:$O,COLUMN(素材!O$1),FALSE)</f>
        <v>0</v>
      </c>
      <c r="CP249" t="str">
        <f>VLOOKUP(C249,装備品!$A:$AB,COLUMN(装備品!AB$1),FALSE)</f>
        <v>鎌。農具を転用した武器で、鋭い斬撃を与える。</v>
      </c>
      <c r="CR249" t="str">
        <f t="shared" si="37"/>
        <v>e_249</v>
      </c>
      <c r="CS249">
        <f t="shared" si="38"/>
        <v>0</v>
      </c>
    </row>
    <row r="250" spans="1:97" outlineLevel="1" x14ac:dyDescent="0.4">
      <c r="A250" t="str">
        <f t="shared" si="39"/>
        <v>熱鉄の戦斧</v>
      </c>
      <c r="B250" t="str">
        <f>IFERROR(VLOOKUP($D250,素材!$1:$1016,COLUMN($B$1),FALSE)&amp;"・"&amp;VLOOKUP($C250,装備品!$1:$998,COLUMN(B$1),FALSE),"")</f>
        <v>ヒートスティール・バトルアックス</v>
      </c>
      <c r="C250" t="s">
        <v>223</v>
      </c>
      <c r="D250" s="24" t="s">
        <v>204</v>
      </c>
      <c r="E250" t="str">
        <f>IFERROR(VLOOKUP(C250,装備品!$1:$998,COLUMN(C$1),FALSE),"")</f>
        <v>武器</v>
      </c>
      <c r="F250">
        <f>IFERROR(ROUNDDOWN((VLOOKUP($C250,装備品!$1:$998,COLUMN(D$1),FALSE)+IFERROR(VLOOKUP($CI250,付与!$1:$1167,COLUMN(F$1),FALSE),0))*VLOOKUP($D250,素材!$1:$1016,COLUMN(D$1),FALSE),0),"")</f>
        <v>115</v>
      </c>
      <c r="G250">
        <f>IFERROR(ROUNDDOWN((VLOOKUP($C250,装備品!$1:$998,COLUMN(E$1),FALSE)+IFERROR(VLOOKUP($CI250,付与!$1:$1167,COLUMN(G$1),FALSE),0))*VLOOKUP($D250,素材!$1:$1016,COLUMN($E$1),FALSE),0),"")</f>
        <v>19</v>
      </c>
      <c r="H250">
        <f>IFERROR(ROUNDDOWN((VLOOKUP($C250,装備品!$1:$998,COLUMN(F$1),FALSE)+IFERROR(VLOOKUP($CI250,付与!$1:$1167,COLUMN(H$1),FALSE),0))*VLOOKUP($D250,素材!$1:$1016,COLUMN($E$1),FALSE),0),"")</f>
        <v>0</v>
      </c>
      <c r="I250">
        <f>IFERROR(ROUNDDOWN((VLOOKUP($C250,装備品!$1:$998,COLUMN(G$1),FALSE)+IFERROR(VLOOKUP($CI250,付与!$1:$1167,COLUMN(I$1),FALSE),0))*VLOOKUP($D250,素材!$1:$1016,COLUMN($E$1),FALSE),0),"")</f>
        <v>6</v>
      </c>
      <c r="J250">
        <f>IFERROR(ROUNDDOWN((VLOOKUP($C250,装備品!$1:$998,COLUMN(H$1),FALSE)+IFERROR(VLOOKUP($CI250,付与!$1:$1167,COLUMN(J$1),FALSE),0))*VLOOKUP($D250,素材!$1:$1016,COLUMN($E$1),FALSE),0),"")</f>
        <v>20</v>
      </c>
      <c r="K250">
        <f>IFERROR(ROUNDDOWN((VLOOKUP($C250,装備品!$1:$998,COLUMN(I$1),FALSE)+IFERROR(VLOOKUP($CI250,付与!$1:$1167,COLUMN(K$1),FALSE),0))*VLOOKUP($D250,素材!$1:$1016,COLUMN($E$1),FALSE),0),"")</f>
        <v>0</v>
      </c>
      <c r="L250" t="str">
        <f>IFERROR(VLOOKUP($D250,素材!$1:$1016,COLUMN($F$1),FALSE),"")</f>
        <v>炎</v>
      </c>
      <c r="M250">
        <f>IFERROR(VLOOKUP($C250,装備品!$1:$998,COLUMN(AA$1),FALSE)*VLOOKUP($D250,素材!$1:$1016,COLUMN($G$1),FALSE),"")</f>
        <v>70</v>
      </c>
      <c r="N250">
        <f>IFERROR(VLOOKUP($C250,装備品!$1:$998,COLUMN(I$1),FALSE),"")</f>
        <v>0</v>
      </c>
      <c r="O250" s="23">
        <f>IFERROR((VLOOKUP($C250,装備品!$1:$998,COLUMN(K$1),FALSE)+VLOOKUP($D250,素材!$1:$1016,COLUMN(H$1),FALSE))*100+IFERROR(VLOOKUP($CI250,付与!$1:$1167,COLUMN(O$1),FALSE),0),"")</f>
        <v>5</v>
      </c>
      <c r="P250" s="23">
        <f>IFERROR((VLOOKUP($C250,装備品!$1:$998,COLUMN(L$1),FALSE)+VLOOKUP($D250,素材!$1:$1016,COLUMN(I$1),FALSE))*100+IFERROR(VLOOKUP($CI250,付与!$1:$1167,COLUMN(P$1),FALSE),0),"")</f>
        <v>175</v>
      </c>
      <c r="Q250">
        <f>IFERROR(ROUNDUP(VLOOKUP($C250,装備品!$1:$998,COLUMN(M$1),FALSE)*(VLOOKUP($D250,素材!$1:$1002,COLUMN(D$1),FALSE)/100),1),"")</f>
        <v>-2.5</v>
      </c>
      <c r="R250">
        <f>IFERROR(ROUNDUP(VLOOKUP($C250,装備品!$1:$998,COLUMN(N$1),FALSE)*(VLOOKUP($D250,素材!$1:$1002,COLUMN(D$1),FALSE)/100),1),"")</f>
        <v>0</v>
      </c>
      <c r="S250">
        <f>IFERROR(VLOOKUP($C250,装備品!$1:$998,COLUMN(P$1),FALSE),"")</f>
        <v>0</v>
      </c>
      <c r="T250">
        <f>IFERROR(VLOOKUP($C250,装備品!$1:$998,COLUMN(Q$1),FALSE),"")</f>
        <v>0</v>
      </c>
      <c r="U250">
        <f>IFERROR(VLOOKUP($C250,装備品!$1:$998,COLUMN(R$1),FALSE),"")</f>
        <v>0</v>
      </c>
      <c r="V250">
        <f>IFERROR(VLOOKUP($C250,装備品!$1:$998,COLUMN(Q$1),FALSE),"")</f>
        <v>0</v>
      </c>
      <c r="W250">
        <f>IFERROR(VLOOKUP($C250,装備品!$1:$998,COLUMN(T$1),FALSE),"")</f>
        <v>0</v>
      </c>
      <c r="Y250">
        <f>IFERROR(VLOOKUP($C250,装備品!$1:$998,COLUMN(U$1),FALSE),"")</f>
        <v>0</v>
      </c>
      <c r="Z250">
        <f>IFERROR(ROUNDUP(VLOOKUP($C250,装備品!$1:$998,COLUMN(O$1),FALSE)*VLOOKUP($D250,素材!$1:$1016,COLUMN(E$1),FALSE),1),"")</f>
        <v>0</v>
      </c>
      <c r="AA250">
        <f>IF(ISNUMBER(SEARCH(SUBSTITUTE(AA$1,RIGHT(AA$1,2),""),VLOOKUP($D250,素材!$1:$1016,COLUMN($F$1),FALSE))),VLOOKUP($C250,装備品!$1:$998,COLUMN($O$1),FALSE)*VLOOKUP($D250,素材!$1:$1016,COLUMN($E$1),FALSE)/(LEN(VLOOKUP($D250,素材!$1:$1016,COLUMN($F$1),FALSE))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B250">
        <f>IF(ISNUMBER(SEARCH(SUBSTITUTE(AB$1,RIGHT(AB$1,2),""),VLOOKUP($D250,素材!$1:$1016,COLUMN($F$1),FALSE))),VLOOKUP($C250,装備品!$1:$998,COLUMN($O$1),FALSE)*VLOOKUP($D250,素材!$1:$1016,COLUMN($E$1),FALSE)/(LEN(VLOOKUP($D250,素材!$1:$1016,COLUMN($F$1),FALSE))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C250">
        <f>IF(ISNUMBER(SEARCH(SUBSTITUTE(AC$1,RIGHT(AC$1,2),""),VLOOKUP($D250,素材!$1:$1016,COLUMN($F$1),FALSE))),VLOOKUP($C250,装備品!$1:$998,COLUMN($O$1),FALSE)*VLOOKUP($D250,素材!$1:$1016,COLUMN($E$1),FALSE)/(LEN(VLOOKUP($D250,素材!$1:$1016,COLUMN($F$1),FALSE))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D250">
        <f>IF(ISNUMBER(SEARCH(SUBSTITUTE(AD$1,RIGHT(AD$1,2),""),VLOOKUP($D250,素材!$1:$1016,COLUMN($F$1),FALSE))),VLOOKUP($C250,装備品!$1:$998,COLUMN($O$1),FALSE)*VLOOKUP($D250,素材!$1:$1016,COLUMN($E$1),FALSE)/(LEN(VLOOKUP($D250,素材!$1:$1016,COLUMN($F$1),FALSE))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E250">
        <f>IF(ISNUMBER(SEARCH(SUBSTITUTE(AE$1,RIGHT(AE$1,2),""),VLOOKUP($D250,素材!$1:$1016,COLUMN($F$1),FALSE))),VLOOKUP($C250,装備品!$1:$998,COLUMN($O$1),FALSE)*VLOOKUP($D250,素材!$1:$1016,COLUMN($E$1),FALSE)/(LEN(VLOOKUP($D250,素材!$1:$1016,COLUMN($F$1),FALSE))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F250">
        <f>IF(ISNUMBER(SEARCH(SUBSTITUTE(AF$1,RIGHT(AF$1,2),""),VLOOKUP($D250,素材!$1:$1016,COLUMN($F$1),FALSE))),VLOOKUP($C250,装備品!$1:$998,COLUMN($O$1),FALSE)*VLOOKUP($D250,素材!$1:$1016,COLUMN($E$1),FALSE)/(LEN(VLOOKUP($D250,素材!$1:$1016,COLUMN($F$1),FALSE))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G250">
        <f>IF(ISNUMBER(SEARCH(SUBSTITUTE(AG$1,RIGHT(AG$1,2),""),VLOOKUP($D250,素材!$1:$1016,COLUMN($F$1),FALSE))),VLOOKUP($C250,装備品!$1:$998,COLUMN($O$1),FALSE)*VLOOKUP($D250,素材!$1:$1016,COLUMN($E$1),FALSE)/(LEN(VLOOKUP($D250,素材!$1:$1016,COLUMN($F$1),FALSE))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H250">
        <f>IF(ISNUMBER(SEARCH(SUBSTITUTE(AH$1,RIGHT(AH$1,2),""),VLOOKUP($D250,素材!$1:$1016,COLUMN($F$1),FALSE))),VLOOKUP($C250,装備品!$1:$998,COLUMN($O$1),FALSE)*VLOOKUP($D250,素材!$1:$1016,COLUMN($E$1),FALSE)/(LEN(VLOOKUP($D250,素材!$1:$1016,COLUMN($F$1),FALSE))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I250">
        <f>IF(ISNUMBER(SEARCH(SUBSTITUTE(AI$1,RIGHT(AI$1,2),""),VLOOKUP($D250,素材!$1:$1016,COLUMN($F$1),FALSE))),VLOOKUP($C250,装備品!$1:$998,COLUMN($O$1),FALSE)*VLOOKUP($D250,素材!$1:$1016,COLUMN($E$1),FALSE)/(LEN(VLOOKUP($D250,素材!$1:$1016,COLUMN($F$1),FALSE))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J250">
        <f>IF(ISNUMBER(SEARCH(SUBSTITUTE(AJ$1,RIGHT(AJ$1,2),""),VLOOKUP($D250,素材!$1:$1016,COLUMN($F$1),FALSE))),VLOOKUP($C250,装備品!$1:$998,COLUMN($O$1),FALSE)*VLOOKUP($D250,素材!$1:$1016,COLUMN($E$1),FALSE)/(LEN(VLOOKUP($D250,素材!$1:$1016,COLUMN($F$1),FALSE))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K250">
        <f>IF(ISNUMBER(SEARCH(SUBSTITUTE(AK$1,RIGHT(AK$1,2),""),VLOOKUP($D250,素材!$1:$1016,COLUMN($F$1),FALSE))),VLOOKUP($C250,装備品!$1:$998,COLUMN($O$1),FALSE)*VLOOKUP($D250,素材!$1:$1016,COLUMN($E$1),FALSE)/(LEN(VLOOKUP($D250,素材!$1:$1016,COLUMN($F$1),FALSE))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L250">
        <f>IF(ISNUMBER(SEARCH(SUBSTITUTE(AL$1,RIGHT(AL$1,2),""),VLOOKUP($D250,素材!$1:$1016,COLUMN($F$1),FALSE))),VLOOKUP($C250,装備品!$1:$998,COLUMN($O$1),FALSE)*VLOOKUP($D250,素材!$1:$1016,COLUMN($E$1),FALSE)/(LEN(VLOOKUP($D250,素材!$1:$1016,COLUMN($F$1),FALSE))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M250">
        <f>IF(ISNUMBER(SEARCH(SUBSTITUTE(AM$1,RIGHT(AM$1,2),""),VLOOKUP($D250,素材!$1:$1016,COLUMN($F$1),FALSE))),VLOOKUP($C250,装備品!$1:$998,COLUMN($O$1),FALSE)*VLOOKUP($D250,素材!$1:$1016,COLUMN($E$1),FALSE)/(LEN(VLOOKUP($D250,素材!$1:$1016,COLUMN($F$1),FALSE))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N250">
        <f>IF(ISNUMBER(SEARCH(SUBSTITUTE(AN$1,RIGHT(AN$1,2),""),VLOOKUP($D250,素材!$1:$1016,COLUMN($F$1),FALSE))),VLOOKUP($C250,装備品!$1:$998,COLUMN($O$1),FALSE)*VLOOKUP($D250,素材!$1:$1016,COLUMN($E$1),FALSE)/(LEN(VLOOKUP($D250,素材!$1:$1016,COLUMN($F$1),FALSE))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O250">
        <f>IF(ISNUMBER(SEARCH(SUBSTITUTE(AO$1,RIGHT(AO$1,2),""),VLOOKUP($D250,素材!$1:$1016,COLUMN($F$1),FALSE))),VLOOKUP($C250,装備品!$1:$998,COLUMN($O$1),FALSE)*VLOOKUP($D250,素材!$1:$1016,COLUMN($E$1),FALSE)/(LEN(VLOOKUP($D250,素材!$1:$1016,COLUMN($F$1),FALSE))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P250">
        <f>IF(ISNUMBER(SEARCH(SUBSTITUTE(AP$1,RIGHT(AP$1,2),""),VLOOKUP($D250,素材!$1:$1016,COLUMN($F$1),FALSE))),VLOOKUP($C250,装備品!$1:$998,COLUMN($O$1),FALSE)*VLOOKUP($D250,素材!$1:$1016,COLUMN($E$1),FALSE)/(LEN(VLOOKUP($D250,素材!$1:$1016,COLUMN($F$1),FALSE))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Q250">
        <f>IF(ISNUMBER(SEARCH(SUBSTITUTE(AQ$1,RIGHT(AQ$1,2),""),VLOOKUP($D250,素材!$1:$1016,COLUMN($F$1),FALSE))),VLOOKUP($C250,装備品!$1:$998,COLUMN($O$1),FALSE)*VLOOKUP($D250,素材!$1:$1016,COLUMN($E$1),FALSE)/(LEN(VLOOKUP($D250,素材!$1:$1016,COLUMN($F$1),FALSE))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R250">
        <f>IF(ISNUMBER(SEARCH(SUBSTITUTE(AR$1,RIGHT(AR$1,2),""),VLOOKUP($D250,素材!$1:$1016,COLUMN($F$1),FALSE))),VLOOKUP($C250,装備品!$1:$998,COLUMN($O$1),FALSE)*VLOOKUP($D250,素材!$1:$1016,COLUMN($E$1),FALSE)/(LEN(VLOOKUP($D250,素材!$1:$1016,COLUMN($F$1),FALSE))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S250">
        <f>IF(ISNUMBER(SEARCH(SUBSTITUTE(AS$1,RIGHT(AS$1,2),""),VLOOKUP($D250,素材!$1:$1016,COLUMN($F$1),FALSE))),VLOOKUP($C250,装備品!$1:$998,COLUMN($O$1),FALSE)*VLOOKUP($D250,素材!$1:$1016,COLUMN($E$1),FALSE)/(LEN(VLOOKUP($D250,素材!$1:$1016,COLUMN($F$1),FALSE))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T250">
        <f>IF(ISNUMBER(SEARCH(SUBSTITUTE(AT$1,RIGHT(AT$1,2),""),VLOOKUP($D250,素材!$1:$1016,COLUMN($F$1),FALSE))),VLOOKUP($C250,装備品!$1:$998,COLUMN($O$1),FALSE)*VLOOKUP($D250,素材!$1:$1016,COLUMN($E$1),FALSE)/(LEN(VLOOKUP($D250,素材!$1:$1016,COLUMN($F$1),FALSE))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U250">
        <f>IF(ISNUMBER(SEARCH(SUBSTITUTE(AU$1,RIGHT(AU$1,2),""),VLOOKUP($D250,素材!$1:$1016,COLUMN($F$1),FALSE))),VLOOKUP($C250,装備品!$1:$998,COLUMN($O$1),FALSE)*VLOOKUP($D250,素材!$1:$1016,COLUMN($E$1),FALSE)/(LEN(VLOOKUP($D250,素材!$1:$1016,COLUMN($F$1),FALSE))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V250">
        <f>IF(ISNUMBER(SEARCH(SUBSTITUTE(AV$1,RIGHT(AV$1,2),""),VLOOKUP($D250,素材!$1:$1016,COLUMN($F$1),FALSE))),VLOOKUP($C250,装備品!$1:$998,COLUMN($O$1),FALSE)*VLOOKUP($D250,素材!$1:$1016,COLUMN($E$1),FALSE)/(LEN(VLOOKUP($D250,素材!$1:$1016,COLUMN($F$1),FALSE))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W250">
        <f>IF(ISNUMBER(SEARCH(SUBSTITUTE(AW$1,RIGHT(AW$1,2),""),VLOOKUP($D250,素材!$1:$1016,COLUMN($F$1),FALSE))),VLOOKUP($C250,装備品!$1:$998,COLUMN($O$1),FALSE)*VLOOKUP($D250,素材!$1:$1016,COLUMN($E$1),FALSE)/(LEN(VLOOKUP($D250,素材!$1:$1016,COLUMN($F$1),FALSE))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X250">
        <f>IF(ISNUMBER(SEARCH(SUBSTITUTE(AX$1,RIGHT(AX$1,2),""),VLOOKUP($D250,素材!$1:$1016,COLUMN($F$1),FALSE))),VLOOKUP($C250,装備品!$1:$998,COLUMN($O$1),FALSE)*VLOOKUP($D250,素材!$1:$1016,COLUMN($E$1),FALSE)/(LEN(VLOOKUP($D250,素材!$1:$1016,COLUMN($F$1),FALSE))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Y250">
        <f>IF(ISNUMBER(SEARCH(SUBSTITUTE(AY$1,RIGHT(AY$1,2),""),VLOOKUP($D250,素材!$1:$1016,COLUMN($F$1),FALSE))),VLOOKUP($C250,装備品!$1:$998,COLUMN($O$1),FALSE)*VLOOKUP($D250,素材!$1:$1016,COLUMN($E$1),FALSE)/(LEN(VLOOKUP($D250,素材!$1:$1016,COLUMN($F$1),FALSE))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Z250">
        <f>IF(ISNUMBER(SEARCH(SUBSTITUTE(AZ$1,RIGHT(AZ$1,2),""),VLOOKUP($D250,素材!$1:$1016,COLUMN($F$1),FALSE))),VLOOKUP($C250,装備品!$1:$998,COLUMN($O$1),FALSE)*VLOOKUP($D250,素材!$1:$1016,COLUMN($E$1),FALSE)/(LEN(VLOOKUP($D250,素材!$1:$1016,COLUMN($F$1),FALSE))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BA250">
        <f>IF(ISNUMBER(SEARCH(SUBSTITUTE(BA$1,RIGHT(BA$1,2),""),VLOOKUP($D250,素材!$1:$1016,COLUMN($F$1),FALSE))),VLOOKUP($C250,装備品!$1:$998,COLUMN($O$1),FALSE)*VLOOKUP($D250,素材!$1:$1016,COLUMN($E$1),FALSE)/(LEN(VLOOKUP($D250,素材!$1:$1016,COLUMN($F$1),FALSE))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BB250">
        <f>IF(ISNUMBER(SEARCH(SUBSTITUTE(BB$1,RIGHT(BB$1,2),""),VLOOKUP($D250,素材!$1:$1016,COLUMN($F$1),FALSE))),VLOOKUP($C250,装備品!$1:$998,COLUMN($O$1),FALSE)*VLOOKUP($D250,素材!$1:$1016,COLUMN($E$1),FALSE)/(LEN(VLOOKUP($D250,素材!$1:$1016,COLUMN($F$1),FALSE))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BC250">
        <f>IF(ISNUMBER(SEARCH(SUBSTITUTE(BC$1,RIGHT(BC$1,2),""),VLOOKUP($D250,素材!$1:$1016,COLUMN($F$1),FALSE))),VLOOKUP($C250,装備品!$1:$998,COLUMN($O$1),FALSE)*VLOOKUP($D250,素材!$1:$1016,COLUMN($E$1),FALSE)/(LEN(VLOOKUP($D250,素材!$1:$1016,COLUMN($F$1),FALSE))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BD250">
        <f>IF(ISNUMBER(SEARCH(SUBSTITUTE(BD$1,RIGHT(BD$1,2),""),VLOOKUP($D250,素材!$1:$1016,COLUMN($F$1),FALSE))),VLOOKUP($C250,装備品!$1:$998,COLUMN($O$1),FALSE)*VLOOKUP($D250,素材!$1:$1016,COLUMN($E$1),FALSE)/(LEN(VLOOKUP($D250,素材!$1:$1016,COLUMN($F$1),FALSE))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BE250">
        <f>IF(ISNUMBER(SEARCH(SUBSTITUTE(BE$1,RIGHT(BE$1,2),""),VLOOKUP($D250,素材!$1:$1016,COLUMN($F$1),FALSE))),VLOOKUP($C250,装備品!$1:$998,COLUMN($O$1),FALSE)*VLOOKUP($D250,素材!$1:$1016,COLUMN($E$1),FALSE)/(LEN(VLOOKUP($D250,素材!$1:$1016,COLUMN($F$1),FALSE))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CL250">
        <f t="shared" si="35"/>
        <v>25</v>
      </c>
      <c r="CM250" s="22" t="str">
        <f t="shared" si="36"/>
        <v>切断.webp</v>
      </c>
      <c r="CN250">
        <f>IFERROR(VLOOKUP($C250,装備品!$1:$998,COLUMN(V$1),FALSE)*VLOOKUP($D250,素材!$1:$1016,COLUMN(N$1),FALSE)+IF(CI250="",0,VLOOKUP($CI250,付与!$1:$1176,COLUMN($CK$1),FALSE)),"")</f>
        <v>0</v>
      </c>
      <c r="CO250">
        <f>VLOOKUP(D250,素材!$A:$O,COLUMN(素材!O$1),FALSE)</f>
        <v>0</v>
      </c>
      <c r="CP250" t="str">
        <f>VLOOKUP(C250,装備品!$A:$AB,COLUMN(装備品!AB$1),FALSE)</f>
        <v>戦斧。攻撃力が高く、重いが信頼性がある武器。</v>
      </c>
      <c r="CR250" t="str">
        <f t="shared" si="37"/>
        <v>e_250</v>
      </c>
      <c r="CS250">
        <f t="shared" si="38"/>
        <v>0</v>
      </c>
    </row>
    <row r="251" spans="1:97" outlineLevel="1" x14ac:dyDescent="0.4">
      <c r="A251" t="str">
        <f t="shared" si="39"/>
        <v>熱鉄の鞭</v>
      </c>
      <c r="B251" t="str">
        <f>IFERROR(VLOOKUP($D251,素材!$1:$1016,COLUMN($B$1),FALSE)&amp;"・"&amp;VLOOKUP($C251,装備品!$1:$998,COLUMN(B$1),FALSE),"")</f>
        <v>ヒートスティール・ウィップ</v>
      </c>
      <c r="C251" t="s">
        <v>222</v>
      </c>
      <c r="D251" s="24" t="s">
        <v>204</v>
      </c>
      <c r="E251" t="str">
        <f>IFERROR(VLOOKUP(C251,装備品!$1:$998,COLUMN(C$1),FALSE),"")</f>
        <v>武器</v>
      </c>
      <c r="F251">
        <f>IFERROR(ROUNDDOWN((VLOOKUP($C251,装備品!$1:$998,COLUMN(D$1),FALSE)+IFERROR(VLOOKUP($CI251,付与!$1:$1167,COLUMN(F$1),FALSE),0))*VLOOKUP($D251,素材!$1:$1016,COLUMN(D$1),FALSE),0),"")</f>
        <v>105</v>
      </c>
      <c r="G251">
        <f>IFERROR(ROUNDDOWN((VLOOKUP($C251,装備品!$1:$998,COLUMN(E$1),FALSE)+IFERROR(VLOOKUP($CI251,付与!$1:$1167,COLUMN(G$1),FALSE),0))*VLOOKUP($D251,素材!$1:$1016,COLUMN($E$1),FALSE),0),"")</f>
        <v>18</v>
      </c>
      <c r="H251">
        <f>IFERROR(ROUNDDOWN((VLOOKUP($C251,装備品!$1:$998,COLUMN(F$1),FALSE)+IFERROR(VLOOKUP($CI251,付与!$1:$1167,COLUMN(H$1),FALSE),0))*VLOOKUP($D251,素材!$1:$1016,COLUMN($E$1),FALSE),0),"")</f>
        <v>0</v>
      </c>
      <c r="I251">
        <f>IFERROR(ROUNDDOWN((VLOOKUP($C251,装備品!$1:$998,COLUMN(G$1),FALSE)+IFERROR(VLOOKUP($CI251,付与!$1:$1167,COLUMN(I$1),FALSE),0))*VLOOKUP($D251,素材!$1:$1016,COLUMN($E$1),FALSE),0),"")</f>
        <v>4</v>
      </c>
      <c r="J251">
        <f>IFERROR(ROUNDDOWN((VLOOKUP($C251,装備品!$1:$998,COLUMN(H$1),FALSE)+IFERROR(VLOOKUP($CI251,付与!$1:$1167,COLUMN(J$1),FALSE),0))*VLOOKUP($D251,素材!$1:$1016,COLUMN($E$1),FALSE),0),"")</f>
        <v>11</v>
      </c>
      <c r="K251">
        <f>IFERROR(ROUNDDOWN((VLOOKUP($C251,装備品!$1:$998,COLUMN(I$1),FALSE)+IFERROR(VLOOKUP($CI251,付与!$1:$1167,COLUMN(K$1),FALSE),0))*VLOOKUP($D251,素材!$1:$1016,COLUMN($E$1),FALSE),0),"")</f>
        <v>0</v>
      </c>
      <c r="L251" t="str">
        <f>IFERROR(VLOOKUP($D251,素材!$1:$1016,COLUMN($F$1),FALSE),"")</f>
        <v>炎</v>
      </c>
      <c r="M251">
        <f>IFERROR(VLOOKUP($C251,装備品!$1:$998,COLUMN(AA$1),FALSE)*VLOOKUP($D251,素材!$1:$1016,COLUMN($G$1),FALSE),"")</f>
        <v>87.5</v>
      </c>
      <c r="N251">
        <f>IFERROR(VLOOKUP($C251,装備品!$1:$998,COLUMN(I$1),FALSE),"")</f>
        <v>0</v>
      </c>
      <c r="O251" s="23">
        <f>IFERROR((VLOOKUP($C251,装備品!$1:$998,COLUMN(K$1),FALSE)+VLOOKUP($D251,素材!$1:$1016,COLUMN(H$1),FALSE))*100+IFERROR(VLOOKUP($CI251,付与!$1:$1167,COLUMN(O$1),FALSE),0),"")</f>
        <v>10</v>
      </c>
      <c r="P251" s="23">
        <f>IFERROR((VLOOKUP($C251,装備品!$1:$998,COLUMN(L$1),FALSE)+VLOOKUP($D251,素材!$1:$1016,COLUMN(I$1),FALSE))*100+IFERROR(VLOOKUP($CI251,付与!$1:$1167,COLUMN(P$1),FALSE),0),"")</f>
        <v>150</v>
      </c>
      <c r="Q251">
        <f>IFERROR(ROUNDUP(VLOOKUP($C251,装備品!$1:$998,COLUMN(M$1),FALSE)*(VLOOKUP($D251,素材!$1:$1002,COLUMN(D$1),FALSE)/100),1),"")</f>
        <v>0</v>
      </c>
      <c r="R251">
        <f>IFERROR(ROUNDUP(VLOOKUP($C251,装備品!$1:$998,COLUMN(N$1),FALSE)*(VLOOKUP($D251,素材!$1:$1002,COLUMN(D$1),FALSE)/100),1),"")</f>
        <v>0</v>
      </c>
      <c r="S251">
        <f>IFERROR(VLOOKUP($C251,装備品!$1:$998,COLUMN(P$1),FALSE),"")</f>
        <v>0</v>
      </c>
      <c r="T251">
        <f>IFERROR(VLOOKUP($C251,装備品!$1:$998,COLUMN(Q$1),FALSE),"")</f>
        <v>0</v>
      </c>
      <c r="U251">
        <f>IFERROR(VLOOKUP($C251,装備品!$1:$998,COLUMN(R$1),FALSE),"")</f>
        <v>0</v>
      </c>
      <c r="V251">
        <f>IFERROR(VLOOKUP($C251,装備品!$1:$998,COLUMN(Q$1),FALSE),"")</f>
        <v>0</v>
      </c>
      <c r="W251">
        <f>IFERROR(VLOOKUP($C251,装備品!$1:$998,COLUMN(T$1),FALSE),"")</f>
        <v>0</v>
      </c>
      <c r="Y251">
        <f>IFERROR(VLOOKUP($C251,装備品!$1:$998,COLUMN(U$1),FALSE),"")</f>
        <v>1</v>
      </c>
      <c r="Z251">
        <f>IFERROR(ROUNDUP(VLOOKUP($C251,装備品!$1:$998,COLUMN(O$1),FALSE)*VLOOKUP($D251,素材!$1:$1016,COLUMN(E$1),FALSE),1),"")</f>
        <v>0</v>
      </c>
      <c r="AA251">
        <f>IF(ISNUMBER(SEARCH(SUBSTITUTE(AA$1,RIGHT(AA$1,2),""),VLOOKUP($D251,素材!$1:$1016,COLUMN($F$1),FALSE))),VLOOKUP($C251,装備品!$1:$998,COLUMN($O$1),FALSE)*VLOOKUP($D251,素材!$1:$1016,COLUMN($E$1),FALSE)/(LEN(VLOOKUP($D251,素材!$1:$1016,COLUMN($F$1),FALSE))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B251">
        <f>IF(ISNUMBER(SEARCH(SUBSTITUTE(AB$1,RIGHT(AB$1,2),""),VLOOKUP($D251,素材!$1:$1016,COLUMN($F$1),FALSE))),VLOOKUP($C251,装備品!$1:$998,COLUMN($O$1),FALSE)*VLOOKUP($D251,素材!$1:$1016,COLUMN($E$1),FALSE)/(LEN(VLOOKUP($D251,素材!$1:$1016,COLUMN($F$1),FALSE))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C251">
        <f>IF(ISNUMBER(SEARCH(SUBSTITUTE(AC$1,RIGHT(AC$1,2),""),VLOOKUP($D251,素材!$1:$1016,COLUMN($F$1),FALSE))),VLOOKUP($C251,装備品!$1:$998,COLUMN($O$1),FALSE)*VLOOKUP($D251,素材!$1:$1016,COLUMN($E$1),FALSE)/(LEN(VLOOKUP($D251,素材!$1:$1016,COLUMN($F$1),FALSE))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D251">
        <f>IF(ISNUMBER(SEARCH(SUBSTITUTE(AD$1,RIGHT(AD$1,2),""),VLOOKUP($D251,素材!$1:$1016,COLUMN($F$1),FALSE))),VLOOKUP($C251,装備品!$1:$998,COLUMN($O$1),FALSE)*VLOOKUP($D251,素材!$1:$1016,COLUMN($E$1),FALSE)/(LEN(VLOOKUP($D251,素材!$1:$1016,COLUMN($F$1),FALSE))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E251">
        <f>IF(ISNUMBER(SEARCH(SUBSTITUTE(AE$1,RIGHT(AE$1,2),""),VLOOKUP($D251,素材!$1:$1016,COLUMN($F$1),FALSE))),VLOOKUP($C251,装備品!$1:$998,COLUMN($O$1),FALSE)*VLOOKUP($D251,素材!$1:$1016,COLUMN($E$1),FALSE)/(LEN(VLOOKUP($D251,素材!$1:$1016,COLUMN($F$1),FALSE))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F251">
        <f>IF(ISNUMBER(SEARCH(SUBSTITUTE(AF$1,RIGHT(AF$1,2),""),VLOOKUP($D251,素材!$1:$1016,COLUMN($F$1),FALSE))),VLOOKUP($C251,装備品!$1:$998,COLUMN($O$1),FALSE)*VLOOKUP($D251,素材!$1:$1016,COLUMN($E$1),FALSE)/(LEN(VLOOKUP($D251,素材!$1:$1016,COLUMN($F$1),FALSE))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G251">
        <f>IF(ISNUMBER(SEARCH(SUBSTITUTE(AG$1,RIGHT(AG$1,2),""),VLOOKUP($D251,素材!$1:$1016,COLUMN($F$1),FALSE))),VLOOKUP($C251,装備品!$1:$998,COLUMN($O$1),FALSE)*VLOOKUP($D251,素材!$1:$1016,COLUMN($E$1),FALSE)/(LEN(VLOOKUP($D251,素材!$1:$1016,COLUMN($F$1),FALSE))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H251">
        <f>IF(ISNUMBER(SEARCH(SUBSTITUTE(AH$1,RIGHT(AH$1,2),""),VLOOKUP($D251,素材!$1:$1016,COLUMN($F$1),FALSE))),VLOOKUP($C251,装備品!$1:$998,COLUMN($O$1),FALSE)*VLOOKUP($D251,素材!$1:$1016,COLUMN($E$1),FALSE)/(LEN(VLOOKUP($D251,素材!$1:$1016,COLUMN($F$1),FALSE))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I251">
        <f>IF(ISNUMBER(SEARCH(SUBSTITUTE(AI$1,RIGHT(AI$1,2),""),VLOOKUP($D251,素材!$1:$1016,COLUMN($F$1),FALSE))),VLOOKUP($C251,装備品!$1:$998,COLUMN($O$1),FALSE)*VLOOKUP($D251,素材!$1:$1016,COLUMN($E$1),FALSE)/(LEN(VLOOKUP($D251,素材!$1:$1016,COLUMN($F$1),FALSE))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J251">
        <f>IF(ISNUMBER(SEARCH(SUBSTITUTE(AJ$1,RIGHT(AJ$1,2),""),VLOOKUP($D251,素材!$1:$1016,COLUMN($F$1),FALSE))),VLOOKUP($C251,装備品!$1:$998,COLUMN($O$1),FALSE)*VLOOKUP($D251,素材!$1:$1016,COLUMN($E$1),FALSE)/(LEN(VLOOKUP($D251,素材!$1:$1016,COLUMN($F$1),FALSE))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K251">
        <f>IF(ISNUMBER(SEARCH(SUBSTITUTE(AK$1,RIGHT(AK$1,2),""),VLOOKUP($D251,素材!$1:$1016,COLUMN($F$1),FALSE))),VLOOKUP($C251,装備品!$1:$998,COLUMN($O$1),FALSE)*VLOOKUP($D251,素材!$1:$1016,COLUMN($E$1),FALSE)/(LEN(VLOOKUP($D251,素材!$1:$1016,COLUMN($F$1),FALSE))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L251">
        <f>IF(ISNUMBER(SEARCH(SUBSTITUTE(AL$1,RIGHT(AL$1,2),""),VLOOKUP($D251,素材!$1:$1016,COLUMN($F$1),FALSE))),VLOOKUP($C251,装備品!$1:$998,COLUMN($O$1),FALSE)*VLOOKUP($D251,素材!$1:$1016,COLUMN($E$1),FALSE)/(LEN(VLOOKUP($D251,素材!$1:$1016,COLUMN($F$1),FALSE))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M251">
        <f>IF(ISNUMBER(SEARCH(SUBSTITUTE(AM$1,RIGHT(AM$1,2),""),VLOOKUP($D251,素材!$1:$1016,COLUMN($F$1),FALSE))),VLOOKUP($C251,装備品!$1:$998,COLUMN($O$1),FALSE)*VLOOKUP($D251,素材!$1:$1016,COLUMN($E$1),FALSE)/(LEN(VLOOKUP($D251,素材!$1:$1016,COLUMN($F$1),FALSE))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N251">
        <f>IF(ISNUMBER(SEARCH(SUBSTITUTE(AN$1,RIGHT(AN$1,2),""),VLOOKUP($D251,素材!$1:$1016,COLUMN($F$1),FALSE))),VLOOKUP($C251,装備品!$1:$998,COLUMN($O$1),FALSE)*VLOOKUP($D251,素材!$1:$1016,COLUMN($E$1),FALSE)/(LEN(VLOOKUP($D251,素材!$1:$1016,COLUMN($F$1),FALSE))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O251">
        <f>IF(ISNUMBER(SEARCH(SUBSTITUTE(AO$1,RIGHT(AO$1,2),""),VLOOKUP($D251,素材!$1:$1016,COLUMN($F$1),FALSE))),VLOOKUP($C251,装備品!$1:$998,COLUMN($O$1),FALSE)*VLOOKUP($D251,素材!$1:$1016,COLUMN($E$1),FALSE)/(LEN(VLOOKUP($D251,素材!$1:$1016,COLUMN($F$1),FALSE))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P251">
        <f>IF(ISNUMBER(SEARCH(SUBSTITUTE(AP$1,RIGHT(AP$1,2),""),VLOOKUP($D251,素材!$1:$1016,COLUMN($F$1),FALSE))),VLOOKUP($C251,装備品!$1:$998,COLUMN($O$1),FALSE)*VLOOKUP($D251,素材!$1:$1016,COLUMN($E$1),FALSE)/(LEN(VLOOKUP($D251,素材!$1:$1016,COLUMN($F$1),FALSE))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Q251">
        <f>IF(ISNUMBER(SEARCH(SUBSTITUTE(AQ$1,RIGHT(AQ$1,2),""),VLOOKUP($D251,素材!$1:$1016,COLUMN($F$1),FALSE))),VLOOKUP($C251,装備品!$1:$998,COLUMN($O$1),FALSE)*VLOOKUP($D251,素材!$1:$1016,COLUMN($E$1),FALSE)/(LEN(VLOOKUP($D251,素材!$1:$1016,COLUMN($F$1),FALSE))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R251">
        <f>IF(ISNUMBER(SEARCH(SUBSTITUTE(AR$1,RIGHT(AR$1,2),""),VLOOKUP($D251,素材!$1:$1016,COLUMN($F$1),FALSE))),VLOOKUP($C251,装備品!$1:$998,COLUMN($O$1),FALSE)*VLOOKUP($D251,素材!$1:$1016,COLUMN($E$1),FALSE)/(LEN(VLOOKUP($D251,素材!$1:$1016,COLUMN($F$1),FALSE))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S251">
        <f>IF(ISNUMBER(SEARCH(SUBSTITUTE(AS$1,RIGHT(AS$1,2),""),VLOOKUP($D251,素材!$1:$1016,COLUMN($F$1),FALSE))),VLOOKUP($C251,装備品!$1:$998,COLUMN($O$1),FALSE)*VLOOKUP($D251,素材!$1:$1016,COLUMN($E$1),FALSE)/(LEN(VLOOKUP($D251,素材!$1:$1016,COLUMN($F$1),FALSE))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T251">
        <f>IF(ISNUMBER(SEARCH(SUBSTITUTE(AT$1,RIGHT(AT$1,2),""),VLOOKUP($D251,素材!$1:$1016,COLUMN($F$1),FALSE))),VLOOKUP($C251,装備品!$1:$998,COLUMN($O$1),FALSE)*VLOOKUP($D251,素材!$1:$1016,COLUMN($E$1),FALSE)/(LEN(VLOOKUP($D251,素材!$1:$1016,COLUMN($F$1),FALSE))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U251">
        <f>IF(ISNUMBER(SEARCH(SUBSTITUTE(AU$1,RIGHT(AU$1,2),""),VLOOKUP($D251,素材!$1:$1016,COLUMN($F$1),FALSE))),VLOOKUP($C251,装備品!$1:$998,COLUMN($O$1),FALSE)*VLOOKUP($D251,素材!$1:$1016,COLUMN($E$1),FALSE)/(LEN(VLOOKUP($D251,素材!$1:$1016,COLUMN($F$1),FALSE))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V251">
        <f>IF(ISNUMBER(SEARCH(SUBSTITUTE(AV$1,RIGHT(AV$1,2),""),VLOOKUP($D251,素材!$1:$1016,COLUMN($F$1),FALSE))),VLOOKUP($C251,装備品!$1:$998,COLUMN($O$1),FALSE)*VLOOKUP($D251,素材!$1:$1016,COLUMN($E$1),FALSE)/(LEN(VLOOKUP($D251,素材!$1:$1016,COLUMN($F$1),FALSE))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W251">
        <f>IF(ISNUMBER(SEARCH(SUBSTITUTE(AW$1,RIGHT(AW$1,2),""),VLOOKUP($D251,素材!$1:$1016,COLUMN($F$1),FALSE))),VLOOKUP($C251,装備品!$1:$998,COLUMN($O$1),FALSE)*VLOOKUP($D251,素材!$1:$1016,COLUMN($E$1),FALSE)/(LEN(VLOOKUP($D251,素材!$1:$1016,COLUMN($F$1),FALSE))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X251">
        <f>IF(ISNUMBER(SEARCH(SUBSTITUTE(AX$1,RIGHT(AX$1,2),""),VLOOKUP($D251,素材!$1:$1016,COLUMN($F$1),FALSE))),VLOOKUP($C251,装備品!$1:$998,COLUMN($O$1),FALSE)*VLOOKUP($D251,素材!$1:$1016,COLUMN($E$1),FALSE)/(LEN(VLOOKUP($D251,素材!$1:$1016,COLUMN($F$1),FALSE))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Y251">
        <f>IF(ISNUMBER(SEARCH(SUBSTITUTE(AY$1,RIGHT(AY$1,2),""),VLOOKUP($D251,素材!$1:$1016,COLUMN($F$1),FALSE))),VLOOKUP($C251,装備品!$1:$998,COLUMN($O$1),FALSE)*VLOOKUP($D251,素材!$1:$1016,COLUMN($E$1),FALSE)/(LEN(VLOOKUP($D251,素材!$1:$1016,COLUMN($F$1),FALSE))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Z251">
        <f>IF(ISNUMBER(SEARCH(SUBSTITUTE(AZ$1,RIGHT(AZ$1,2),""),VLOOKUP($D251,素材!$1:$1016,COLUMN($F$1),FALSE))),VLOOKUP($C251,装備品!$1:$998,COLUMN($O$1),FALSE)*VLOOKUP($D251,素材!$1:$1016,COLUMN($E$1),FALSE)/(LEN(VLOOKUP($D251,素材!$1:$1016,COLUMN($F$1),FALSE))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BA251">
        <f>IF(ISNUMBER(SEARCH(SUBSTITUTE(BA$1,RIGHT(BA$1,2),""),VLOOKUP($D251,素材!$1:$1016,COLUMN($F$1),FALSE))),VLOOKUP($C251,装備品!$1:$998,COLUMN($O$1),FALSE)*VLOOKUP($D251,素材!$1:$1016,COLUMN($E$1),FALSE)/(LEN(VLOOKUP($D251,素材!$1:$1016,COLUMN($F$1),FALSE))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BB251">
        <f>IF(ISNUMBER(SEARCH(SUBSTITUTE(BB$1,RIGHT(BB$1,2),""),VLOOKUP($D251,素材!$1:$1016,COLUMN($F$1),FALSE))),VLOOKUP($C251,装備品!$1:$998,COLUMN($O$1),FALSE)*VLOOKUP($D251,素材!$1:$1016,COLUMN($E$1),FALSE)/(LEN(VLOOKUP($D251,素材!$1:$1016,COLUMN($F$1),FALSE))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BC251">
        <f>IF(ISNUMBER(SEARCH(SUBSTITUTE(BC$1,RIGHT(BC$1,2),""),VLOOKUP($D251,素材!$1:$1016,COLUMN($F$1),FALSE))),VLOOKUP($C251,装備品!$1:$998,COLUMN($O$1),FALSE)*VLOOKUP($D251,素材!$1:$1016,COLUMN($E$1),FALSE)/(LEN(VLOOKUP($D251,素材!$1:$1016,COLUMN($F$1),FALSE))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BD251">
        <f>IF(ISNUMBER(SEARCH(SUBSTITUTE(BD$1,RIGHT(BD$1,2),""),VLOOKUP($D251,素材!$1:$1016,COLUMN($F$1),FALSE))),VLOOKUP($C251,装備品!$1:$998,COLUMN($O$1),FALSE)*VLOOKUP($D251,素材!$1:$1016,COLUMN($E$1),FALSE)/(LEN(VLOOKUP($D251,素材!$1:$1016,COLUMN($F$1),FALSE))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BE251">
        <f>IF(ISNUMBER(SEARCH(SUBSTITUTE(BE$1,RIGHT(BE$1,2),""),VLOOKUP($D251,素材!$1:$1016,COLUMN($F$1),FALSE))),VLOOKUP($C251,装備品!$1:$998,COLUMN($O$1),FALSE)*VLOOKUP($D251,素材!$1:$1016,COLUMN($E$1),FALSE)/(LEN(VLOOKUP($D251,素材!$1:$1016,COLUMN($F$1),FALSE))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CL251">
        <f t="shared" si="35"/>
        <v>22</v>
      </c>
      <c r="CM251" s="22" t="str">
        <f t="shared" si="36"/>
        <v>切断.webp</v>
      </c>
      <c r="CN251">
        <f>IFERROR(VLOOKUP($C251,装備品!$1:$998,COLUMN(V$1),FALSE)*VLOOKUP($D251,素材!$1:$1016,COLUMN(N$1),FALSE)+IF(CI251="",0,VLOOKUP($CI251,付与!$1:$1176,COLUMN($CK$1),FALSE)),"")</f>
        <v>0</v>
      </c>
      <c r="CO251">
        <f>VLOOKUP(D251,素材!$A:$O,COLUMN(素材!O$1),FALSE)</f>
        <v>0</v>
      </c>
      <c r="CP251" t="str">
        <f>VLOOKUP(C251,装備品!$A:$AB,COLUMN(装備品!AB$1),FALSE)</f>
        <v>鞭。リーチが長く、敵を絡め取る戦闘に適する。</v>
      </c>
      <c r="CR251" t="str">
        <f t="shared" si="37"/>
        <v>e_251</v>
      </c>
      <c r="CS251">
        <f t="shared" si="38"/>
        <v>0</v>
      </c>
    </row>
    <row r="252" spans="1:97" outlineLevel="1" x14ac:dyDescent="0.4">
      <c r="A252" t="str">
        <f t="shared" si="39"/>
        <v>熱鉄の丸盾</v>
      </c>
      <c r="B252" t="str">
        <f>IFERROR(VLOOKUP($D252,素材!$1:$1016,COLUMN($B$1),FALSE)&amp;"・"&amp;VLOOKUP($C252,装備品!$1:$998,COLUMN(B$1),FALSE),"")</f>
        <v>ヒートスティール・バックラー</v>
      </c>
      <c r="C252" t="s">
        <v>221</v>
      </c>
      <c r="D252" s="24" t="s">
        <v>204</v>
      </c>
      <c r="E252" t="str">
        <f>IFERROR(VLOOKUP(C252,装備品!$1:$998,COLUMN(C$1),FALSE),"")</f>
        <v>盾</v>
      </c>
      <c r="F252">
        <f>IFERROR(ROUNDDOWN((VLOOKUP($C252,装備品!$1:$998,COLUMN(D$1),FALSE)+IFERROR(VLOOKUP($CI252,付与!$1:$1167,COLUMN(F$1),FALSE),0))*VLOOKUP($D252,素材!$1:$1016,COLUMN(D$1),FALSE),0),"")</f>
        <v>100</v>
      </c>
      <c r="G252">
        <f>IFERROR(ROUNDDOWN((VLOOKUP($C252,装備品!$1:$998,COLUMN(E$1),FALSE)+IFERROR(VLOOKUP($CI252,付与!$1:$1167,COLUMN(G$1),FALSE),0))*VLOOKUP($D252,素材!$1:$1016,COLUMN($E$1),FALSE),0),"")</f>
        <v>8</v>
      </c>
      <c r="H252">
        <f>IFERROR(ROUNDDOWN((VLOOKUP($C252,装備品!$1:$998,COLUMN(F$1),FALSE)+IFERROR(VLOOKUP($CI252,付与!$1:$1167,COLUMN(H$1),FALSE),0))*VLOOKUP($D252,素材!$1:$1016,COLUMN($E$1),FALSE),0),"")</f>
        <v>0</v>
      </c>
      <c r="I252">
        <f>IFERROR(ROUNDDOWN((VLOOKUP($C252,装備品!$1:$998,COLUMN(G$1),FALSE)+IFERROR(VLOOKUP($CI252,付与!$1:$1167,COLUMN(I$1),FALSE),0))*VLOOKUP($D252,素材!$1:$1016,COLUMN($E$1),FALSE),0),"")</f>
        <v>8</v>
      </c>
      <c r="J252">
        <f>IFERROR(ROUNDDOWN((VLOOKUP($C252,装備品!$1:$998,COLUMN(H$1),FALSE)+IFERROR(VLOOKUP($CI252,付与!$1:$1167,COLUMN(J$1),FALSE),0))*VLOOKUP($D252,素材!$1:$1016,COLUMN($E$1),FALSE),0),"")</f>
        <v>23</v>
      </c>
      <c r="K252">
        <f>IFERROR(ROUNDDOWN((VLOOKUP($C252,装備品!$1:$998,COLUMN(I$1),FALSE)+IFERROR(VLOOKUP($CI252,付与!$1:$1167,COLUMN(K$1),FALSE),0))*VLOOKUP($D252,素材!$1:$1016,COLUMN($E$1),FALSE),0),"")</f>
        <v>0</v>
      </c>
      <c r="L252" t="str">
        <f>IFERROR(VLOOKUP($D252,素材!$1:$1016,COLUMN($F$1),FALSE),"")</f>
        <v>炎</v>
      </c>
      <c r="M252">
        <f>IFERROR(VLOOKUP($C252,装備品!$1:$998,COLUMN(AA$1),FALSE)*VLOOKUP($D252,素材!$1:$1016,COLUMN($G$1),FALSE),"")</f>
        <v>52.5</v>
      </c>
      <c r="N252">
        <f>IFERROR(VLOOKUP($C252,装備品!$1:$998,COLUMN(I$1),FALSE),"")</f>
        <v>0</v>
      </c>
      <c r="O252" s="23">
        <f>IFERROR((VLOOKUP($C252,装備品!$1:$998,COLUMN(K$1),FALSE)+VLOOKUP($D252,素材!$1:$1016,COLUMN(H$1),FALSE))*100+IFERROR(VLOOKUP($CI252,付与!$1:$1167,COLUMN(O$1),FALSE),0),"")</f>
        <v>5</v>
      </c>
      <c r="P252" s="23">
        <f>IFERROR((VLOOKUP($C252,装備品!$1:$998,COLUMN(L$1),FALSE)+VLOOKUP($D252,素材!$1:$1016,COLUMN(I$1),FALSE))*100+IFERROR(VLOOKUP($CI252,付与!$1:$1167,COLUMN(P$1),FALSE),0),"")</f>
        <v>125</v>
      </c>
      <c r="Q252">
        <f>IFERROR(ROUNDUP(VLOOKUP($C252,装備品!$1:$998,COLUMN(M$1),FALSE)*(VLOOKUP($D252,素材!$1:$1002,COLUMN(D$1),FALSE)/100),1),"")</f>
        <v>0</v>
      </c>
      <c r="R252">
        <f>IFERROR(ROUNDUP(VLOOKUP($C252,装備品!$1:$998,COLUMN(N$1),FALSE)*(VLOOKUP($D252,素材!$1:$1002,COLUMN(D$1),FALSE)/100),1),"")</f>
        <v>0</v>
      </c>
      <c r="S252">
        <f>IFERROR(VLOOKUP($C252,装備品!$1:$998,COLUMN(P$1),FALSE),"")</f>
        <v>0</v>
      </c>
      <c r="T252">
        <f>IFERROR(VLOOKUP($C252,装備品!$1:$998,COLUMN(Q$1),FALSE),"")</f>
        <v>0</v>
      </c>
      <c r="U252">
        <f>IFERROR(VLOOKUP($C252,装備品!$1:$998,COLUMN(R$1),FALSE),"")</f>
        <v>0</v>
      </c>
      <c r="V252">
        <f>IFERROR(VLOOKUP($C252,装備品!$1:$998,COLUMN(Q$1),FALSE),"")</f>
        <v>0</v>
      </c>
      <c r="W252">
        <f>IFERROR(VLOOKUP($C252,装備品!$1:$998,COLUMN(T$1),FALSE),"")</f>
        <v>0</v>
      </c>
      <c r="Y252">
        <f>IFERROR(VLOOKUP($C252,装備品!$1:$998,COLUMN(U$1),FALSE),"")</f>
        <v>0</v>
      </c>
      <c r="Z252">
        <f>IFERROR(ROUNDUP(VLOOKUP($C252,装備品!$1:$998,COLUMN(O$1),FALSE)*VLOOKUP($D252,素材!$1:$1016,COLUMN(E$1),FALSE),1),"")</f>
        <v>0</v>
      </c>
      <c r="AA252">
        <f>IF(ISNUMBER(SEARCH(SUBSTITUTE(AA$1,RIGHT(AA$1,2),""),VLOOKUP($D252,素材!$1:$1016,COLUMN($F$1),FALSE))),VLOOKUP($C252,装備品!$1:$998,COLUMN($O$1),FALSE)*VLOOKUP($D252,素材!$1:$1016,COLUMN($E$1),FALSE)/(LEN(VLOOKUP($D252,素材!$1:$1016,COLUMN($F$1),FALSE))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B252">
        <f>IF(ISNUMBER(SEARCH(SUBSTITUTE(AB$1,RIGHT(AB$1,2),""),VLOOKUP($D252,素材!$1:$1016,COLUMN($F$1),FALSE))),VLOOKUP($C252,装備品!$1:$998,COLUMN($O$1),FALSE)*VLOOKUP($D252,素材!$1:$1016,COLUMN($E$1),FALSE)/(LEN(VLOOKUP($D252,素材!$1:$1016,COLUMN($F$1),FALSE))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C252">
        <f>IF(ISNUMBER(SEARCH(SUBSTITUTE(AC$1,RIGHT(AC$1,2),""),VLOOKUP($D252,素材!$1:$1016,COLUMN($F$1),FALSE))),VLOOKUP($C252,装備品!$1:$998,COLUMN($O$1),FALSE)*VLOOKUP($D252,素材!$1:$1016,COLUMN($E$1),FALSE)/(LEN(VLOOKUP($D252,素材!$1:$1016,COLUMN($F$1),FALSE))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D252">
        <f>IF(ISNUMBER(SEARCH(SUBSTITUTE(AD$1,RIGHT(AD$1,2),""),VLOOKUP($D252,素材!$1:$1016,COLUMN($F$1),FALSE))),VLOOKUP($C252,装備品!$1:$998,COLUMN($O$1),FALSE)*VLOOKUP($D252,素材!$1:$1016,COLUMN($E$1),FALSE)/(LEN(VLOOKUP($D252,素材!$1:$1016,COLUMN($F$1),FALSE))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E252">
        <f>IF(ISNUMBER(SEARCH(SUBSTITUTE(AE$1,RIGHT(AE$1,2),""),VLOOKUP($D252,素材!$1:$1016,COLUMN($F$1),FALSE))),VLOOKUP($C252,装備品!$1:$998,COLUMN($O$1),FALSE)*VLOOKUP($D252,素材!$1:$1016,COLUMN($E$1),FALSE)/(LEN(VLOOKUP($D252,素材!$1:$1016,COLUMN($F$1),FALSE))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F252">
        <f>IF(ISNUMBER(SEARCH(SUBSTITUTE(AF$1,RIGHT(AF$1,2),""),VLOOKUP($D252,素材!$1:$1016,COLUMN($F$1),FALSE))),VLOOKUP($C252,装備品!$1:$998,COLUMN($O$1),FALSE)*VLOOKUP($D252,素材!$1:$1016,COLUMN($E$1),FALSE)/(LEN(VLOOKUP($D252,素材!$1:$1016,COLUMN($F$1),FALSE))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G252">
        <f>IF(ISNUMBER(SEARCH(SUBSTITUTE(AG$1,RIGHT(AG$1,2),""),VLOOKUP($D252,素材!$1:$1016,COLUMN($F$1),FALSE))),VLOOKUP($C252,装備品!$1:$998,COLUMN($O$1),FALSE)*VLOOKUP($D252,素材!$1:$1016,COLUMN($E$1),FALSE)/(LEN(VLOOKUP($D252,素材!$1:$1016,COLUMN($F$1),FALSE))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H252">
        <f>IF(ISNUMBER(SEARCH(SUBSTITUTE(AH$1,RIGHT(AH$1,2),""),VLOOKUP($D252,素材!$1:$1016,COLUMN($F$1),FALSE))),VLOOKUP($C252,装備品!$1:$998,COLUMN($O$1),FALSE)*VLOOKUP($D252,素材!$1:$1016,COLUMN($E$1),FALSE)/(LEN(VLOOKUP($D252,素材!$1:$1016,COLUMN($F$1),FALSE))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I252">
        <f>IF(ISNUMBER(SEARCH(SUBSTITUTE(AI$1,RIGHT(AI$1,2),""),VLOOKUP($D252,素材!$1:$1016,COLUMN($F$1),FALSE))),VLOOKUP($C252,装備品!$1:$998,COLUMN($O$1),FALSE)*VLOOKUP($D252,素材!$1:$1016,COLUMN($E$1),FALSE)/(LEN(VLOOKUP($D252,素材!$1:$1016,COLUMN($F$1),FALSE))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J252">
        <f>IF(ISNUMBER(SEARCH(SUBSTITUTE(AJ$1,RIGHT(AJ$1,2),""),VLOOKUP($D252,素材!$1:$1016,COLUMN($F$1),FALSE))),VLOOKUP($C252,装備品!$1:$998,COLUMN($O$1),FALSE)*VLOOKUP($D252,素材!$1:$1016,COLUMN($E$1),FALSE)/(LEN(VLOOKUP($D252,素材!$1:$1016,COLUMN($F$1),FALSE))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K252">
        <f>IF(ISNUMBER(SEARCH(SUBSTITUTE(AK$1,RIGHT(AK$1,2),""),VLOOKUP($D252,素材!$1:$1016,COLUMN($F$1),FALSE))),VLOOKUP($C252,装備品!$1:$998,COLUMN($O$1),FALSE)*VLOOKUP($D252,素材!$1:$1016,COLUMN($E$1),FALSE)/(LEN(VLOOKUP($D252,素材!$1:$1016,COLUMN($F$1),FALSE))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L252">
        <f>IF(ISNUMBER(SEARCH(SUBSTITUTE(AL$1,RIGHT(AL$1,2),""),VLOOKUP($D252,素材!$1:$1016,COLUMN($F$1),FALSE))),VLOOKUP($C252,装備品!$1:$998,COLUMN($O$1),FALSE)*VLOOKUP($D252,素材!$1:$1016,COLUMN($E$1),FALSE)/(LEN(VLOOKUP($D252,素材!$1:$1016,COLUMN($F$1),FALSE))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M252">
        <f>IF(ISNUMBER(SEARCH(SUBSTITUTE(AM$1,RIGHT(AM$1,2),""),VLOOKUP($D252,素材!$1:$1016,COLUMN($F$1),FALSE))),VLOOKUP($C252,装備品!$1:$998,COLUMN($O$1),FALSE)*VLOOKUP($D252,素材!$1:$1016,COLUMN($E$1),FALSE)/(LEN(VLOOKUP($D252,素材!$1:$1016,COLUMN($F$1),FALSE))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N252">
        <f>IF(ISNUMBER(SEARCH(SUBSTITUTE(AN$1,RIGHT(AN$1,2),""),VLOOKUP($D252,素材!$1:$1016,COLUMN($F$1),FALSE))),VLOOKUP($C252,装備品!$1:$998,COLUMN($O$1),FALSE)*VLOOKUP($D252,素材!$1:$1016,COLUMN($E$1),FALSE)/(LEN(VLOOKUP($D252,素材!$1:$1016,COLUMN($F$1),FALSE))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O252">
        <f>IF(ISNUMBER(SEARCH(SUBSTITUTE(AO$1,RIGHT(AO$1,2),""),VLOOKUP($D252,素材!$1:$1016,COLUMN($F$1),FALSE))),VLOOKUP($C252,装備品!$1:$998,COLUMN($O$1),FALSE)*VLOOKUP($D252,素材!$1:$1016,COLUMN($E$1),FALSE)/(LEN(VLOOKUP($D252,素材!$1:$1016,COLUMN($F$1),FALSE))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P252">
        <f>IF(ISNUMBER(SEARCH(SUBSTITUTE(AP$1,RIGHT(AP$1,2),""),VLOOKUP($D252,素材!$1:$1016,COLUMN($F$1),FALSE))),VLOOKUP($C252,装備品!$1:$998,COLUMN($O$1),FALSE)*VLOOKUP($D252,素材!$1:$1016,COLUMN($E$1),FALSE)/(LEN(VLOOKUP($D252,素材!$1:$1016,COLUMN($F$1),FALSE))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Q252">
        <f>IF(ISNUMBER(SEARCH(SUBSTITUTE(AQ$1,RIGHT(AQ$1,2),""),VLOOKUP($D252,素材!$1:$1016,COLUMN($F$1),FALSE))),VLOOKUP($C252,装備品!$1:$998,COLUMN($O$1),FALSE)*VLOOKUP($D252,素材!$1:$1016,COLUMN($E$1),FALSE)/(LEN(VLOOKUP($D252,素材!$1:$1016,COLUMN($F$1),FALSE))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R252">
        <f>IF(ISNUMBER(SEARCH(SUBSTITUTE(AR$1,RIGHT(AR$1,2),""),VLOOKUP($D252,素材!$1:$1016,COLUMN($F$1),FALSE))),VLOOKUP($C252,装備品!$1:$998,COLUMN($O$1),FALSE)*VLOOKUP($D252,素材!$1:$1016,COLUMN($E$1),FALSE)/(LEN(VLOOKUP($D252,素材!$1:$1016,COLUMN($F$1),FALSE))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S252">
        <f>IF(ISNUMBER(SEARCH(SUBSTITUTE(AS$1,RIGHT(AS$1,2),""),VLOOKUP($D252,素材!$1:$1016,COLUMN($F$1),FALSE))),VLOOKUP($C252,装備品!$1:$998,COLUMN($O$1),FALSE)*VLOOKUP($D252,素材!$1:$1016,COLUMN($E$1),FALSE)/(LEN(VLOOKUP($D252,素材!$1:$1016,COLUMN($F$1),FALSE))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T252">
        <f>IF(ISNUMBER(SEARCH(SUBSTITUTE(AT$1,RIGHT(AT$1,2),""),VLOOKUP($D252,素材!$1:$1016,COLUMN($F$1),FALSE))),VLOOKUP($C252,装備品!$1:$998,COLUMN($O$1),FALSE)*VLOOKUP($D252,素材!$1:$1016,COLUMN($E$1),FALSE)/(LEN(VLOOKUP($D252,素材!$1:$1016,COLUMN($F$1),FALSE))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U252">
        <f>IF(ISNUMBER(SEARCH(SUBSTITUTE(AU$1,RIGHT(AU$1,2),""),VLOOKUP($D252,素材!$1:$1016,COLUMN($F$1),FALSE))),VLOOKUP($C252,装備品!$1:$998,COLUMN($O$1),FALSE)*VLOOKUP($D252,素材!$1:$1016,COLUMN($E$1),FALSE)/(LEN(VLOOKUP($D252,素材!$1:$1016,COLUMN($F$1),FALSE))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V252">
        <f>IF(ISNUMBER(SEARCH(SUBSTITUTE(AV$1,RIGHT(AV$1,2),""),VLOOKUP($D252,素材!$1:$1016,COLUMN($F$1),FALSE))),VLOOKUP($C252,装備品!$1:$998,COLUMN($O$1),FALSE)*VLOOKUP($D252,素材!$1:$1016,COLUMN($E$1),FALSE)/(LEN(VLOOKUP($D252,素材!$1:$1016,COLUMN($F$1),FALSE))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W252">
        <f>IF(ISNUMBER(SEARCH(SUBSTITUTE(AW$1,RIGHT(AW$1,2),""),VLOOKUP($D252,素材!$1:$1016,COLUMN($F$1),FALSE))),VLOOKUP($C252,装備品!$1:$998,COLUMN($O$1),FALSE)*VLOOKUP($D252,素材!$1:$1016,COLUMN($E$1),FALSE)/(LEN(VLOOKUP($D252,素材!$1:$1016,COLUMN($F$1),FALSE))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X252">
        <f>IF(ISNUMBER(SEARCH(SUBSTITUTE(AX$1,RIGHT(AX$1,2),""),VLOOKUP($D252,素材!$1:$1016,COLUMN($F$1),FALSE))),VLOOKUP($C252,装備品!$1:$998,COLUMN($O$1),FALSE)*VLOOKUP($D252,素材!$1:$1016,COLUMN($E$1),FALSE)/(LEN(VLOOKUP($D252,素材!$1:$1016,COLUMN($F$1),FALSE))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Y252">
        <f>IF(ISNUMBER(SEARCH(SUBSTITUTE(AY$1,RIGHT(AY$1,2),""),VLOOKUP($D252,素材!$1:$1016,COLUMN($F$1),FALSE))),VLOOKUP($C252,装備品!$1:$998,COLUMN($O$1),FALSE)*VLOOKUP($D252,素材!$1:$1016,COLUMN($E$1),FALSE)/(LEN(VLOOKUP($D252,素材!$1:$1016,COLUMN($F$1),FALSE))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Z252">
        <f>IF(ISNUMBER(SEARCH(SUBSTITUTE(AZ$1,RIGHT(AZ$1,2),""),VLOOKUP($D252,素材!$1:$1016,COLUMN($F$1),FALSE))),VLOOKUP($C252,装備品!$1:$998,COLUMN($O$1),FALSE)*VLOOKUP($D252,素材!$1:$1016,COLUMN($E$1),FALSE)/(LEN(VLOOKUP($D252,素材!$1:$1016,COLUMN($F$1),FALSE))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BA252">
        <f>IF(ISNUMBER(SEARCH(SUBSTITUTE(BA$1,RIGHT(BA$1,2),""),VLOOKUP($D252,素材!$1:$1016,COLUMN($F$1),FALSE))),VLOOKUP($C252,装備品!$1:$998,COLUMN($O$1),FALSE)*VLOOKUP($D252,素材!$1:$1016,COLUMN($E$1),FALSE)/(LEN(VLOOKUP($D252,素材!$1:$1016,COLUMN($F$1),FALSE))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BB252">
        <f>IF(ISNUMBER(SEARCH(SUBSTITUTE(BB$1,RIGHT(BB$1,2),""),VLOOKUP($D252,素材!$1:$1016,COLUMN($F$1),FALSE))),VLOOKUP($C252,装備品!$1:$998,COLUMN($O$1),FALSE)*VLOOKUP($D252,素材!$1:$1016,COLUMN($E$1),FALSE)/(LEN(VLOOKUP($D252,素材!$1:$1016,COLUMN($F$1),FALSE))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BC252">
        <f>IF(ISNUMBER(SEARCH(SUBSTITUTE(BC$1,RIGHT(BC$1,2),""),VLOOKUP($D252,素材!$1:$1016,COLUMN($F$1),FALSE))),VLOOKUP($C252,装備品!$1:$998,COLUMN($O$1),FALSE)*VLOOKUP($D252,素材!$1:$1016,COLUMN($E$1),FALSE)/(LEN(VLOOKUP($D252,素材!$1:$1016,COLUMN($F$1),FALSE))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BD252">
        <f>IF(ISNUMBER(SEARCH(SUBSTITUTE(BD$1,RIGHT(BD$1,2),""),VLOOKUP($D252,素材!$1:$1016,COLUMN($F$1),FALSE))),VLOOKUP($C252,装備品!$1:$998,COLUMN($O$1),FALSE)*VLOOKUP($D252,素材!$1:$1016,COLUMN($E$1),FALSE)/(LEN(VLOOKUP($D252,素材!$1:$1016,COLUMN($F$1),FALSE))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BE252">
        <f>IF(ISNUMBER(SEARCH(SUBSTITUTE(BE$1,RIGHT(BE$1,2),""),VLOOKUP($D252,素材!$1:$1016,COLUMN($F$1),FALSE))),VLOOKUP($C252,装備品!$1:$998,COLUMN($O$1),FALSE)*VLOOKUP($D252,素材!$1:$1016,COLUMN($E$1),FALSE)/(LEN(VLOOKUP($D252,素材!$1:$1016,COLUMN($F$1),FALSE))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CL252">
        <f t="shared" si="35"/>
        <v>16</v>
      </c>
      <c r="CM252" s="22" t="str">
        <f t="shared" si="36"/>
        <v>盾.webp</v>
      </c>
      <c r="CN252">
        <f>IFERROR(VLOOKUP($C252,装備品!$1:$998,COLUMN(V$1),FALSE)*VLOOKUP($D252,素材!$1:$1016,COLUMN(N$1),FALSE)+IF(CI252="",0,VLOOKUP($CI252,付与!$1:$1176,COLUMN($CK$1),FALSE)),"")</f>
        <v>0</v>
      </c>
      <c r="CO252">
        <f>VLOOKUP(D252,素材!$A:$O,COLUMN(素材!O$1),FALSE)</f>
        <v>0</v>
      </c>
      <c r="CP252" t="str">
        <f>VLOOKUP(C252,装備品!$A:$AB,COLUMN(装備品!AB$1),FALSE)</f>
        <v>丸盾。軽量で投擲にも使える盾。</v>
      </c>
      <c r="CR252" t="str">
        <f t="shared" si="37"/>
        <v>e_252</v>
      </c>
      <c r="CS252">
        <f t="shared" si="38"/>
        <v>0</v>
      </c>
    </row>
    <row r="253" spans="1:97" outlineLevel="1" x14ac:dyDescent="0.4">
      <c r="A253" t="str">
        <f t="shared" si="39"/>
        <v>熱鉄の盾</v>
      </c>
      <c r="B253" t="str">
        <f>IFERROR(VLOOKUP($D253,素材!$1:$1016,COLUMN($B$1),FALSE)&amp;"・"&amp;VLOOKUP($C253,装備品!$1:$998,COLUMN(B$1),FALSE),"")</f>
        <v>ヒートスティール・シールド</v>
      </c>
      <c r="C253" t="s">
        <v>220</v>
      </c>
      <c r="D253" s="24" t="s">
        <v>204</v>
      </c>
      <c r="E253" t="str">
        <f>IFERROR(VLOOKUP(C253,装備品!$1:$998,COLUMN(C$1),FALSE),"")</f>
        <v>盾</v>
      </c>
      <c r="F253">
        <f>IFERROR(ROUNDDOWN((VLOOKUP($C253,装備品!$1:$998,COLUMN(D$1),FALSE)+IFERROR(VLOOKUP($CI253,付与!$1:$1167,COLUMN(F$1),FALSE),0))*VLOOKUP($D253,素材!$1:$1016,COLUMN(D$1),FALSE),0),"")</f>
        <v>100</v>
      </c>
      <c r="G253">
        <f>IFERROR(ROUNDDOWN((VLOOKUP($C253,装備品!$1:$998,COLUMN(E$1),FALSE)+IFERROR(VLOOKUP($CI253,付与!$1:$1167,COLUMN(G$1),FALSE),0))*VLOOKUP($D253,素材!$1:$1016,COLUMN($E$1),FALSE),0),"")</f>
        <v>0</v>
      </c>
      <c r="H253">
        <f>IFERROR(ROUNDDOWN((VLOOKUP($C253,装備品!$1:$998,COLUMN(F$1),FALSE)+IFERROR(VLOOKUP($CI253,付与!$1:$1167,COLUMN(H$1),FALSE),0))*VLOOKUP($D253,素材!$1:$1016,COLUMN($E$1),FALSE),0),"")</f>
        <v>0</v>
      </c>
      <c r="I253">
        <f>IFERROR(ROUNDDOWN((VLOOKUP($C253,装備品!$1:$998,COLUMN(G$1),FALSE)+IFERROR(VLOOKUP($CI253,付与!$1:$1167,COLUMN(I$1),FALSE),0))*VLOOKUP($D253,素材!$1:$1016,COLUMN($E$1),FALSE),0),"")</f>
        <v>16</v>
      </c>
      <c r="J253">
        <f>IFERROR(ROUNDDOWN((VLOOKUP($C253,装備品!$1:$998,COLUMN(H$1),FALSE)+IFERROR(VLOOKUP($CI253,付与!$1:$1167,COLUMN(J$1),FALSE),0))*VLOOKUP($D253,素材!$1:$1016,COLUMN($E$1),FALSE),0),"")</f>
        <v>25</v>
      </c>
      <c r="K253">
        <f>IFERROR(ROUNDDOWN((VLOOKUP($C253,装備品!$1:$998,COLUMN(I$1),FALSE)+IFERROR(VLOOKUP($CI253,付与!$1:$1167,COLUMN(K$1),FALSE),0))*VLOOKUP($D253,素材!$1:$1016,COLUMN($E$1),FALSE),0),"")</f>
        <v>0</v>
      </c>
      <c r="L253" t="str">
        <f>IFERROR(VLOOKUP($D253,素材!$1:$1016,COLUMN($F$1),FALSE),"")</f>
        <v>炎</v>
      </c>
      <c r="M253">
        <f>IFERROR(VLOOKUP($C253,装備品!$1:$998,COLUMN(AA$1),FALSE)*VLOOKUP($D253,素材!$1:$1016,COLUMN($G$1),FALSE),"")</f>
        <v>52.5</v>
      </c>
      <c r="N253">
        <f>IFERROR(VLOOKUP($C253,装備品!$1:$998,COLUMN(I$1),FALSE),"")</f>
        <v>0</v>
      </c>
      <c r="O253" s="23">
        <f>IFERROR((VLOOKUP($C253,装備品!$1:$998,COLUMN(K$1),FALSE)+VLOOKUP($D253,素材!$1:$1016,COLUMN(H$1),FALSE))*100+IFERROR(VLOOKUP($CI253,付与!$1:$1167,COLUMN(O$1),FALSE),0),"")</f>
        <v>5</v>
      </c>
      <c r="P253" s="23">
        <f>IFERROR((VLOOKUP($C253,装備品!$1:$998,COLUMN(L$1),FALSE)+VLOOKUP($D253,素材!$1:$1016,COLUMN(I$1),FALSE))*100+IFERROR(VLOOKUP($CI253,付与!$1:$1167,COLUMN(P$1),FALSE),0),"")</f>
        <v>125</v>
      </c>
      <c r="Q253">
        <f>IFERROR(ROUNDUP(VLOOKUP($C253,装備品!$1:$998,COLUMN(M$1),FALSE)*(VLOOKUP($D253,素材!$1:$1002,COLUMN(D$1),FALSE)/100),1),"")</f>
        <v>0</v>
      </c>
      <c r="R253">
        <f>IFERROR(ROUNDUP(VLOOKUP($C253,装備品!$1:$998,COLUMN(N$1),FALSE)*(VLOOKUP($D253,素材!$1:$1002,COLUMN(D$1),FALSE)/100),1),"")</f>
        <v>0</v>
      </c>
      <c r="S253">
        <f>IFERROR(VLOOKUP($C253,装備品!$1:$998,COLUMN(P$1),FALSE),"")</f>
        <v>0</v>
      </c>
      <c r="T253">
        <f>IFERROR(VLOOKUP($C253,装備品!$1:$998,COLUMN(Q$1),FALSE),"")</f>
        <v>0</v>
      </c>
      <c r="U253">
        <f>IFERROR(VLOOKUP($C253,装備品!$1:$998,COLUMN(R$1),FALSE),"")</f>
        <v>0</v>
      </c>
      <c r="V253">
        <f>IFERROR(VLOOKUP($C253,装備品!$1:$998,COLUMN(Q$1),FALSE),"")</f>
        <v>0</v>
      </c>
      <c r="W253">
        <f>IFERROR(VLOOKUP($C253,装備品!$1:$998,COLUMN(T$1),FALSE),"")</f>
        <v>0</v>
      </c>
      <c r="Y253">
        <f>IFERROR(VLOOKUP($C253,装備品!$1:$998,COLUMN(U$1),FALSE),"")</f>
        <v>0</v>
      </c>
      <c r="Z253">
        <f>IFERROR(ROUNDUP(VLOOKUP($C253,装備品!$1:$998,COLUMN(O$1),FALSE)*VLOOKUP($D253,素材!$1:$1016,COLUMN(E$1),FALSE),1),"")</f>
        <v>0</v>
      </c>
      <c r="AA253">
        <f>IF(ISNUMBER(SEARCH(SUBSTITUTE(AA$1,RIGHT(AA$1,2),""),VLOOKUP($D253,素材!$1:$1016,COLUMN($F$1),FALSE))),VLOOKUP($C253,装備品!$1:$998,COLUMN($O$1),FALSE)*VLOOKUP($D253,素材!$1:$1016,COLUMN($E$1),FALSE)/(LEN(VLOOKUP($D253,素材!$1:$1016,COLUMN($F$1),FALSE))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B253">
        <f>IF(ISNUMBER(SEARCH(SUBSTITUTE(AB$1,RIGHT(AB$1,2),""),VLOOKUP($D253,素材!$1:$1016,COLUMN($F$1),FALSE))),VLOOKUP($C253,装備品!$1:$998,COLUMN($O$1),FALSE)*VLOOKUP($D253,素材!$1:$1016,COLUMN($E$1),FALSE)/(LEN(VLOOKUP($D253,素材!$1:$1016,COLUMN($F$1),FALSE))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C253">
        <f>IF(ISNUMBER(SEARCH(SUBSTITUTE(AC$1,RIGHT(AC$1,2),""),VLOOKUP($D253,素材!$1:$1016,COLUMN($F$1),FALSE))),VLOOKUP($C253,装備品!$1:$998,COLUMN($O$1),FALSE)*VLOOKUP($D253,素材!$1:$1016,COLUMN($E$1),FALSE)/(LEN(VLOOKUP($D253,素材!$1:$1016,COLUMN($F$1),FALSE))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D253">
        <f>IF(ISNUMBER(SEARCH(SUBSTITUTE(AD$1,RIGHT(AD$1,2),""),VLOOKUP($D253,素材!$1:$1016,COLUMN($F$1),FALSE))),VLOOKUP($C253,装備品!$1:$998,COLUMN($O$1),FALSE)*VLOOKUP($D253,素材!$1:$1016,COLUMN($E$1),FALSE)/(LEN(VLOOKUP($D253,素材!$1:$1016,COLUMN($F$1),FALSE))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E253">
        <f>IF(ISNUMBER(SEARCH(SUBSTITUTE(AE$1,RIGHT(AE$1,2),""),VLOOKUP($D253,素材!$1:$1016,COLUMN($F$1),FALSE))),VLOOKUP($C253,装備品!$1:$998,COLUMN($O$1),FALSE)*VLOOKUP($D253,素材!$1:$1016,COLUMN($E$1),FALSE)/(LEN(VLOOKUP($D253,素材!$1:$1016,COLUMN($F$1),FALSE))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F253">
        <f>IF(ISNUMBER(SEARCH(SUBSTITUTE(AF$1,RIGHT(AF$1,2),""),VLOOKUP($D253,素材!$1:$1016,COLUMN($F$1),FALSE))),VLOOKUP($C253,装備品!$1:$998,COLUMN($O$1),FALSE)*VLOOKUP($D253,素材!$1:$1016,COLUMN($E$1),FALSE)/(LEN(VLOOKUP($D253,素材!$1:$1016,COLUMN($F$1),FALSE))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G253">
        <f>IF(ISNUMBER(SEARCH(SUBSTITUTE(AG$1,RIGHT(AG$1,2),""),VLOOKUP($D253,素材!$1:$1016,COLUMN($F$1),FALSE))),VLOOKUP($C253,装備品!$1:$998,COLUMN($O$1),FALSE)*VLOOKUP($D253,素材!$1:$1016,COLUMN($E$1),FALSE)/(LEN(VLOOKUP($D253,素材!$1:$1016,COLUMN($F$1),FALSE))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H253">
        <f>IF(ISNUMBER(SEARCH(SUBSTITUTE(AH$1,RIGHT(AH$1,2),""),VLOOKUP($D253,素材!$1:$1016,COLUMN($F$1),FALSE))),VLOOKUP($C253,装備品!$1:$998,COLUMN($O$1),FALSE)*VLOOKUP($D253,素材!$1:$1016,COLUMN($E$1),FALSE)/(LEN(VLOOKUP($D253,素材!$1:$1016,COLUMN($F$1),FALSE))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I253">
        <f>IF(ISNUMBER(SEARCH(SUBSTITUTE(AI$1,RIGHT(AI$1,2),""),VLOOKUP($D253,素材!$1:$1016,COLUMN($F$1),FALSE))),VLOOKUP($C253,装備品!$1:$998,COLUMN($O$1),FALSE)*VLOOKUP($D253,素材!$1:$1016,COLUMN($E$1),FALSE)/(LEN(VLOOKUP($D253,素材!$1:$1016,COLUMN($F$1),FALSE))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J253">
        <f>IF(ISNUMBER(SEARCH(SUBSTITUTE(AJ$1,RIGHT(AJ$1,2),""),VLOOKUP($D253,素材!$1:$1016,COLUMN($F$1),FALSE))),VLOOKUP($C253,装備品!$1:$998,COLUMN($O$1),FALSE)*VLOOKUP($D253,素材!$1:$1016,COLUMN($E$1),FALSE)/(LEN(VLOOKUP($D253,素材!$1:$1016,COLUMN($F$1),FALSE))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K253">
        <f>IF(ISNUMBER(SEARCH(SUBSTITUTE(AK$1,RIGHT(AK$1,2),""),VLOOKUP($D253,素材!$1:$1016,COLUMN($F$1),FALSE))),VLOOKUP($C253,装備品!$1:$998,COLUMN($O$1),FALSE)*VLOOKUP($D253,素材!$1:$1016,COLUMN($E$1),FALSE)/(LEN(VLOOKUP($D253,素材!$1:$1016,COLUMN($F$1),FALSE))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L253">
        <f>IF(ISNUMBER(SEARCH(SUBSTITUTE(AL$1,RIGHT(AL$1,2),""),VLOOKUP($D253,素材!$1:$1016,COLUMN($F$1),FALSE))),VLOOKUP($C253,装備品!$1:$998,COLUMN($O$1),FALSE)*VLOOKUP($D253,素材!$1:$1016,COLUMN($E$1),FALSE)/(LEN(VLOOKUP($D253,素材!$1:$1016,COLUMN($F$1),FALSE))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M253">
        <f>IF(ISNUMBER(SEARCH(SUBSTITUTE(AM$1,RIGHT(AM$1,2),""),VLOOKUP($D253,素材!$1:$1016,COLUMN($F$1),FALSE))),VLOOKUP($C253,装備品!$1:$998,COLUMN($O$1),FALSE)*VLOOKUP($D253,素材!$1:$1016,COLUMN($E$1),FALSE)/(LEN(VLOOKUP($D253,素材!$1:$1016,COLUMN($F$1),FALSE))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N253">
        <f>IF(ISNUMBER(SEARCH(SUBSTITUTE(AN$1,RIGHT(AN$1,2),""),VLOOKUP($D253,素材!$1:$1016,COLUMN($F$1),FALSE))),VLOOKUP($C253,装備品!$1:$998,COLUMN($O$1),FALSE)*VLOOKUP($D253,素材!$1:$1016,COLUMN($E$1),FALSE)/(LEN(VLOOKUP($D253,素材!$1:$1016,COLUMN($F$1),FALSE))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O253">
        <f>IF(ISNUMBER(SEARCH(SUBSTITUTE(AO$1,RIGHT(AO$1,2),""),VLOOKUP($D253,素材!$1:$1016,COLUMN($F$1),FALSE))),VLOOKUP($C253,装備品!$1:$998,COLUMN($O$1),FALSE)*VLOOKUP($D253,素材!$1:$1016,COLUMN($E$1),FALSE)/(LEN(VLOOKUP($D253,素材!$1:$1016,COLUMN($F$1),FALSE))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P253">
        <f>IF(ISNUMBER(SEARCH(SUBSTITUTE(AP$1,RIGHT(AP$1,2),""),VLOOKUP($D253,素材!$1:$1016,COLUMN($F$1),FALSE))),VLOOKUP($C253,装備品!$1:$998,COLUMN($O$1),FALSE)*VLOOKUP($D253,素材!$1:$1016,COLUMN($E$1),FALSE)/(LEN(VLOOKUP($D253,素材!$1:$1016,COLUMN($F$1),FALSE))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Q253">
        <f>IF(ISNUMBER(SEARCH(SUBSTITUTE(AQ$1,RIGHT(AQ$1,2),""),VLOOKUP($D253,素材!$1:$1016,COLUMN($F$1),FALSE))),VLOOKUP($C253,装備品!$1:$998,COLUMN($O$1),FALSE)*VLOOKUP($D253,素材!$1:$1016,COLUMN($E$1),FALSE)/(LEN(VLOOKUP($D253,素材!$1:$1016,COLUMN($F$1),FALSE))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R253">
        <f>IF(ISNUMBER(SEARCH(SUBSTITUTE(AR$1,RIGHT(AR$1,2),""),VLOOKUP($D253,素材!$1:$1016,COLUMN($F$1),FALSE))),VLOOKUP($C253,装備品!$1:$998,COLUMN($O$1),FALSE)*VLOOKUP($D253,素材!$1:$1016,COLUMN($E$1),FALSE)/(LEN(VLOOKUP($D253,素材!$1:$1016,COLUMN($F$1),FALSE))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S253">
        <f>IF(ISNUMBER(SEARCH(SUBSTITUTE(AS$1,RIGHT(AS$1,2),""),VLOOKUP($D253,素材!$1:$1016,COLUMN($F$1),FALSE))),VLOOKUP($C253,装備品!$1:$998,COLUMN($O$1),FALSE)*VLOOKUP($D253,素材!$1:$1016,COLUMN($E$1),FALSE)/(LEN(VLOOKUP($D253,素材!$1:$1016,COLUMN($F$1),FALSE))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T253">
        <f>IF(ISNUMBER(SEARCH(SUBSTITUTE(AT$1,RIGHT(AT$1,2),""),VLOOKUP($D253,素材!$1:$1016,COLUMN($F$1),FALSE))),VLOOKUP($C253,装備品!$1:$998,COLUMN($O$1),FALSE)*VLOOKUP($D253,素材!$1:$1016,COLUMN($E$1),FALSE)/(LEN(VLOOKUP($D253,素材!$1:$1016,COLUMN($F$1),FALSE))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U253">
        <f>IF(ISNUMBER(SEARCH(SUBSTITUTE(AU$1,RIGHT(AU$1,2),""),VLOOKUP($D253,素材!$1:$1016,COLUMN($F$1),FALSE))),VLOOKUP($C253,装備品!$1:$998,COLUMN($O$1),FALSE)*VLOOKUP($D253,素材!$1:$1016,COLUMN($E$1),FALSE)/(LEN(VLOOKUP($D253,素材!$1:$1016,COLUMN($F$1),FALSE))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V253">
        <f>IF(ISNUMBER(SEARCH(SUBSTITUTE(AV$1,RIGHT(AV$1,2),""),VLOOKUP($D253,素材!$1:$1016,COLUMN($F$1),FALSE))),VLOOKUP($C253,装備品!$1:$998,COLUMN($O$1),FALSE)*VLOOKUP($D253,素材!$1:$1016,COLUMN($E$1),FALSE)/(LEN(VLOOKUP($D253,素材!$1:$1016,COLUMN($F$1),FALSE))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W253">
        <f>IF(ISNUMBER(SEARCH(SUBSTITUTE(AW$1,RIGHT(AW$1,2),""),VLOOKUP($D253,素材!$1:$1016,COLUMN($F$1),FALSE))),VLOOKUP($C253,装備品!$1:$998,COLUMN($O$1),FALSE)*VLOOKUP($D253,素材!$1:$1016,COLUMN($E$1),FALSE)/(LEN(VLOOKUP($D253,素材!$1:$1016,COLUMN($F$1),FALSE))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X253">
        <f>IF(ISNUMBER(SEARCH(SUBSTITUTE(AX$1,RIGHT(AX$1,2),""),VLOOKUP($D253,素材!$1:$1016,COLUMN($F$1),FALSE))),VLOOKUP($C253,装備品!$1:$998,COLUMN($O$1),FALSE)*VLOOKUP($D253,素材!$1:$1016,COLUMN($E$1),FALSE)/(LEN(VLOOKUP($D253,素材!$1:$1016,COLUMN($F$1),FALSE))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Y253">
        <f>IF(ISNUMBER(SEARCH(SUBSTITUTE(AY$1,RIGHT(AY$1,2),""),VLOOKUP($D253,素材!$1:$1016,COLUMN($F$1),FALSE))),VLOOKUP($C253,装備品!$1:$998,COLUMN($O$1),FALSE)*VLOOKUP($D253,素材!$1:$1016,COLUMN($E$1),FALSE)/(LEN(VLOOKUP($D253,素材!$1:$1016,COLUMN($F$1),FALSE))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Z253">
        <f>IF(ISNUMBER(SEARCH(SUBSTITUTE(AZ$1,RIGHT(AZ$1,2),""),VLOOKUP($D253,素材!$1:$1016,COLUMN($F$1),FALSE))),VLOOKUP($C253,装備品!$1:$998,COLUMN($O$1),FALSE)*VLOOKUP($D253,素材!$1:$1016,COLUMN($E$1),FALSE)/(LEN(VLOOKUP($D253,素材!$1:$1016,COLUMN($F$1),FALSE))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BA253">
        <f>IF(ISNUMBER(SEARCH(SUBSTITUTE(BA$1,RIGHT(BA$1,2),""),VLOOKUP($D253,素材!$1:$1016,COLUMN($F$1),FALSE))),VLOOKUP($C253,装備品!$1:$998,COLUMN($O$1),FALSE)*VLOOKUP($D253,素材!$1:$1016,COLUMN($E$1),FALSE)/(LEN(VLOOKUP($D253,素材!$1:$1016,COLUMN($F$1),FALSE))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BB253">
        <f>IF(ISNUMBER(SEARCH(SUBSTITUTE(BB$1,RIGHT(BB$1,2),""),VLOOKUP($D253,素材!$1:$1016,COLUMN($F$1),FALSE))),VLOOKUP($C253,装備品!$1:$998,COLUMN($O$1),FALSE)*VLOOKUP($D253,素材!$1:$1016,COLUMN($E$1),FALSE)/(LEN(VLOOKUP($D253,素材!$1:$1016,COLUMN($F$1),FALSE))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BC253">
        <f>IF(ISNUMBER(SEARCH(SUBSTITUTE(BC$1,RIGHT(BC$1,2),""),VLOOKUP($D253,素材!$1:$1016,COLUMN($F$1),FALSE))),VLOOKUP($C253,装備品!$1:$998,COLUMN($O$1),FALSE)*VLOOKUP($D253,素材!$1:$1016,COLUMN($E$1),FALSE)/(LEN(VLOOKUP($D253,素材!$1:$1016,COLUMN($F$1),FALSE))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BD253">
        <f>IF(ISNUMBER(SEARCH(SUBSTITUTE(BD$1,RIGHT(BD$1,2),""),VLOOKUP($D253,素材!$1:$1016,COLUMN($F$1),FALSE))),VLOOKUP($C253,装備品!$1:$998,COLUMN($O$1),FALSE)*VLOOKUP($D253,素材!$1:$1016,COLUMN($E$1),FALSE)/(LEN(VLOOKUP($D253,素材!$1:$1016,COLUMN($F$1),FALSE))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BE253">
        <f>IF(ISNUMBER(SEARCH(SUBSTITUTE(BE$1,RIGHT(BE$1,2),""),VLOOKUP($D253,素材!$1:$1016,COLUMN($F$1),FALSE))),VLOOKUP($C253,装備品!$1:$998,COLUMN($O$1),FALSE)*VLOOKUP($D253,素材!$1:$1016,COLUMN($E$1),FALSE)/(LEN(VLOOKUP($D253,素材!$1:$1016,COLUMN($F$1),FALSE))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CL253">
        <f t="shared" si="35"/>
        <v>16</v>
      </c>
      <c r="CM253" s="22" t="str">
        <f t="shared" si="36"/>
        <v>盾.webp</v>
      </c>
      <c r="CN253">
        <f>IFERROR(VLOOKUP($C253,装備品!$1:$998,COLUMN(V$1),FALSE)*VLOOKUP($D253,素材!$1:$1016,COLUMN(N$1),FALSE)+IF(CI253="",0,VLOOKUP($CI253,付与!$1:$1176,COLUMN($CK$1),FALSE)),"")</f>
        <v>0</v>
      </c>
      <c r="CO253">
        <f>VLOOKUP(D253,素材!$A:$O,COLUMN(素材!O$1),FALSE)</f>
        <v>0</v>
      </c>
      <c r="CP253" t="str">
        <f>VLOOKUP(C253,装備品!$A:$AB,COLUMN(装備品!AB$1),FALSE)</f>
        <v>盾。防御力が高く、汎用性がある防具。</v>
      </c>
      <c r="CR253" t="str">
        <f t="shared" si="37"/>
        <v>e_253</v>
      </c>
      <c r="CS253">
        <f t="shared" si="38"/>
        <v>0</v>
      </c>
    </row>
    <row r="254" spans="1:97" outlineLevel="1" x14ac:dyDescent="0.4">
      <c r="A254" t="str">
        <f t="shared" ref="A254:A268" si="40">D254&amp;"の"&amp;C254</f>
        <v>熱鉄の丸大盾</v>
      </c>
      <c r="B254" t="str">
        <f>IFERROR(VLOOKUP($D254,素材!$1:$1016,COLUMN($B$1),FALSE)&amp;"・"&amp;VLOOKUP($C254,装備品!$1:$998,COLUMN(B$1),FALSE),"")</f>
        <v>ヒートスティール・ラウンドシールド</v>
      </c>
      <c r="C254" t="s">
        <v>219</v>
      </c>
      <c r="D254" s="24" t="s">
        <v>204</v>
      </c>
      <c r="E254" t="str">
        <f>IFERROR(VLOOKUP(C254,装備品!$1:$998,COLUMN(C$1),FALSE),"")</f>
        <v>盾</v>
      </c>
      <c r="F254">
        <f>IFERROR(ROUNDDOWN((VLOOKUP($C254,装備品!$1:$998,COLUMN(D$1),FALSE)+IFERROR(VLOOKUP($CI254,付与!$1:$1167,COLUMN(F$1),FALSE),0))*VLOOKUP($D254,素材!$1:$1016,COLUMN(D$1),FALSE),0),"")</f>
        <v>110</v>
      </c>
      <c r="G254">
        <f>IFERROR(ROUNDDOWN((VLOOKUP($C254,装備品!$1:$998,COLUMN(E$1),FALSE)+IFERROR(VLOOKUP($CI254,付与!$1:$1167,COLUMN(G$1),FALSE),0))*VLOOKUP($D254,素材!$1:$1016,COLUMN($E$1),FALSE),0),"")</f>
        <v>9</v>
      </c>
      <c r="H254">
        <f>IFERROR(ROUNDDOWN((VLOOKUP($C254,装備品!$1:$998,COLUMN(F$1),FALSE)+IFERROR(VLOOKUP($CI254,付与!$1:$1167,COLUMN(H$1),FALSE),0))*VLOOKUP($D254,素材!$1:$1016,COLUMN($E$1),FALSE),0),"")</f>
        <v>0</v>
      </c>
      <c r="I254">
        <f>IFERROR(ROUNDDOWN((VLOOKUP($C254,装備品!$1:$998,COLUMN(G$1),FALSE)+IFERROR(VLOOKUP($CI254,付与!$1:$1167,COLUMN(I$1),FALSE),0))*VLOOKUP($D254,素材!$1:$1016,COLUMN($E$1),FALSE),0),"")</f>
        <v>9</v>
      </c>
      <c r="J254">
        <f>IFERROR(ROUNDDOWN((VLOOKUP($C254,装備品!$1:$998,COLUMN(H$1),FALSE)+IFERROR(VLOOKUP($CI254,付与!$1:$1167,COLUMN(J$1),FALSE),0))*VLOOKUP($D254,素材!$1:$1016,COLUMN($E$1),FALSE),0),"")</f>
        <v>25</v>
      </c>
      <c r="K254">
        <f>IFERROR(ROUNDDOWN((VLOOKUP($C254,装備品!$1:$998,COLUMN(I$1),FALSE)+IFERROR(VLOOKUP($CI254,付与!$1:$1167,COLUMN(K$1),FALSE),0))*VLOOKUP($D254,素材!$1:$1016,COLUMN($E$1),FALSE),0),"")</f>
        <v>0</v>
      </c>
      <c r="L254" t="str">
        <f>IFERROR(VLOOKUP($D254,素材!$1:$1016,COLUMN($F$1),FALSE),"")</f>
        <v>炎</v>
      </c>
      <c r="M254">
        <f>IFERROR(VLOOKUP($C254,装備品!$1:$998,COLUMN(AA$1),FALSE)*VLOOKUP($D254,素材!$1:$1016,COLUMN($G$1),FALSE),"")</f>
        <v>70</v>
      </c>
      <c r="N254">
        <f>IFERROR(VLOOKUP($C254,装備品!$1:$998,COLUMN(I$1),FALSE),"")</f>
        <v>0</v>
      </c>
      <c r="O254" s="23">
        <f>IFERROR((VLOOKUP($C254,装備品!$1:$998,COLUMN(K$1),FALSE)+VLOOKUP($D254,素材!$1:$1016,COLUMN(H$1),FALSE))*100+IFERROR(VLOOKUP($CI254,付与!$1:$1167,COLUMN(O$1),FALSE),0),"")</f>
        <v>5</v>
      </c>
      <c r="P254" s="23">
        <f>IFERROR((VLOOKUP($C254,装備品!$1:$998,COLUMN(L$1),FALSE)+VLOOKUP($D254,素材!$1:$1016,COLUMN(I$1),FALSE))*100+IFERROR(VLOOKUP($CI254,付与!$1:$1167,COLUMN(P$1),FALSE),0),"")</f>
        <v>125</v>
      </c>
      <c r="Q254">
        <f>IFERROR(ROUNDUP(VLOOKUP($C254,装備品!$1:$998,COLUMN(M$1),FALSE)*(VLOOKUP($D254,素材!$1:$1002,COLUMN(D$1),FALSE)/100),1),"")</f>
        <v>-5</v>
      </c>
      <c r="R254">
        <f>IFERROR(ROUNDUP(VLOOKUP($C254,装備品!$1:$998,COLUMN(N$1),FALSE)*(VLOOKUP($D254,素材!$1:$1002,COLUMN(D$1),FALSE)/100),1),"")</f>
        <v>0</v>
      </c>
      <c r="S254">
        <f>IFERROR(VLOOKUP($C254,装備品!$1:$998,COLUMN(P$1),FALSE),"")</f>
        <v>0</v>
      </c>
      <c r="T254">
        <f>IFERROR(VLOOKUP($C254,装備品!$1:$998,COLUMN(Q$1),FALSE),"")</f>
        <v>0</v>
      </c>
      <c r="U254">
        <f>IFERROR(VLOOKUP($C254,装備品!$1:$998,COLUMN(R$1),FALSE),"")</f>
        <v>0</v>
      </c>
      <c r="V254">
        <f>IFERROR(VLOOKUP($C254,装備品!$1:$998,COLUMN(Q$1),FALSE),"")</f>
        <v>0</v>
      </c>
      <c r="W254">
        <f>IFERROR(VLOOKUP($C254,装備品!$1:$998,COLUMN(T$1),FALSE),"")</f>
        <v>0</v>
      </c>
      <c r="Y254">
        <f>IFERROR(VLOOKUP($C254,装備品!$1:$998,COLUMN(U$1),FALSE),"")</f>
        <v>0</v>
      </c>
      <c r="Z254">
        <f>IFERROR(ROUNDUP(VLOOKUP($C254,装備品!$1:$998,COLUMN(O$1),FALSE)*VLOOKUP($D254,素材!$1:$1016,COLUMN(E$1),FALSE),1),"")</f>
        <v>0</v>
      </c>
      <c r="AA254">
        <f>IF(ISNUMBER(SEARCH(SUBSTITUTE(AA$1,RIGHT(AA$1,2),""),VLOOKUP($D254,素材!$1:$1016,COLUMN($F$1),FALSE))),VLOOKUP($C254,装備品!$1:$998,COLUMN($O$1),FALSE)*VLOOKUP($D254,素材!$1:$1016,COLUMN($E$1),FALSE)/(LEN(VLOOKUP($D254,素材!$1:$1016,COLUMN($F$1),FALSE))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B254">
        <f>IF(ISNUMBER(SEARCH(SUBSTITUTE(AB$1,RIGHT(AB$1,2),""),VLOOKUP($D254,素材!$1:$1016,COLUMN($F$1),FALSE))),VLOOKUP($C254,装備品!$1:$998,COLUMN($O$1),FALSE)*VLOOKUP($D254,素材!$1:$1016,COLUMN($E$1),FALSE)/(LEN(VLOOKUP($D254,素材!$1:$1016,COLUMN($F$1),FALSE))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C254">
        <f>IF(ISNUMBER(SEARCH(SUBSTITUTE(AC$1,RIGHT(AC$1,2),""),VLOOKUP($D254,素材!$1:$1016,COLUMN($F$1),FALSE))),VLOOKUP($C254,装備品!$1:$998,COLUMN($O$1),FALSE)*VLOOKUP($D254,素材!$1:$1016,COLUMN($E$1),FALSE)/(LEN(VLOOKUP($D254,素材!$1:$1016,COLUMN($F$1),FALSE))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D254">
        <f>IF(ISNUMBER(SEARCH(SUBSTITUTE(AD$1,RIGHT(AD$1,2),""),VLOOKUP($D254,素材!$1:$1016,COLUMN($F$1),FALSE))),VLOOKUP($C254,装備品!$1:$998,COLUMN($O$1),FALSE)*VLOOKUP($D254,素材!$1:$1016,COLUMN($E$1),FALSE)/(LEN(VLOOKUP($D254,素材!$1:$1016,COLUMN($F$1),FALSE))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E254">
        <f>IF(ISNUMBER(SEARCH(SUBSTITUTE(AE$1,RIGHT(AE$1,2),""),VLOOKUP($D254,素材!$1:$1016,COLUMN($F$1),FALSE))),VLOOKUP($C254,装備品!$1:$998,COLUMN($O$1),FALSE)*VLOOKUP($D254,素材!$1:$1016,COLUMN($E$1),FALSE)/(LEN(VLOOKUP($D254,素材!$1:$1016,COLUMN($F$1),FALSE))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F254">
        <f>IF(ISNUMBER(SEARCH(SUBSTITUTE(AF$1,RIGHT(AF$1,2),""),VLOOKUP($D254,素材!$1:$1016,COLUMN($F$1),FALSE))),VLOOKUP($C254,装備品!$1:$998,COLUMN($O$1),FALSE)*VLOOKUP($D254,素材!$1:$1016,COLUMN($E$1),FALSE)/(LEN(VLOOKUP($D254,素材!$1:$1016,COLUMN($F$1),FALSE))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G254">
        <f>IF(ISNUMBER(SEARCH(SUBSTITUTE(AG$1,RIGHT(AG$1,2),""),VLOOKUP($D254,素材!$1:$1016,COLUMN($F$1),FALSE))),VLOOKUP($C254,装備品!$1:$998,COLUMN($O$1),FALSE)*VLOOKUP($D254,素材!$1:$1016,COLUMN($E$1),FALSE)/(LEN(VLOOKUP($D254,素材!$1:$1016,COLUMN($F$1),FALSE))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H254">
        <f>IF(ISNUMBER(SEARCH(SUBSTITUTE(AH$1,RIGHT(AH$1,2),""),VLOOKUP($D254,素材!$1:$1016,COLUMN($F$1),FALSE))),VLOOKUP($C254,装備品!$1:$998,COLUMN($O$1),FALSE)*VLOOKUP($D254,素材!$1:$1016,COLUMN($E$1),FALSE)/(LEN(VLOOKUP($D254,素材!$1:$1016,COLUMN($F$1),FALSE))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I254">
        <f>IF(ISNUMBER(SEARCH(SUBSTITUTE(AI$1,RIGHT(AI$1,2),""),VLOOKUP($D254,素材!$1:$1016,COLUMN($F$1),FALSE))),VLOOKUP($C254,装備品!$1:$998,COLUMN($O$1),FALSE)*VLOOKUP($D254,素材!$1:$1016,COLUMN($E$1),FALSE)/(LEN(VLOOKUP($D254,素材!$1:$1016,COLUMN($F$1),FALSE))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J254">
        <f>IF(ISNUMBER(SEARCH(SUBSTITUTE(AJ$1,RIGHT(AJ$1,2),""),VLOOKUP($D254,素材!$1:$1016,COLUMN($F$1),FALSE))),VLOOKUP($C254,装備品!$1:$998,COLUMN($O$1),FALSE)*VLOOKUP($D254,素材!$1:$1016,COLUMN($E$1),FALSE)/(LEN(VLOOKUP($D254,素材!$1:$1016,COLUMN($F$1),FALSE))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K254">
        <f>IF(ISNUMBER(SEARCH(SUBSTITUTE(AK$1,RIGHT(AK$1,2),""),VLOOKUP($D254,素材!$1:$1016,COLUMN($F$1),FALSE))),VLOOKUP($C254,装備品!$1:$998,COLUMN($O$1),FALSE)*VLOOKUP($D254,素材!$1:$1016,COLUMN($E$1),FALSE)/(LEN(VLOOKUP($D254,素材!$1:$1016,COLUMN($F$1),FALSE))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L254">
        <f>IF(ISNUMBER(SEARCH(SUBSTITUTE(AL$1,RIGHT(AL$1,2),""),VLOOKUP($D254,素材!$1:$1016,COLUMN($F$1),FALSE))),VLOOKUP($C254,装備品!$1:$998,COLUMN($O$1),FALSE)*VLOOKUP($D254,素材!$1:$1016,COLUMN($E$1),FALSE)/(LEN(VLOOKUP($D254,素材!$1:$1016,COLUMN($F$1),FALSE))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M254">
        <f>IF(ISNUMBER(SEARCH(SUBSTITUTE(AM$1,RIGHT(AM$1,2),""),VLOOKUP($D254,素材!$1:$1016,COLUMN($F$1),FALSE))),VLOOKUP($C254,装備品!$1:$998,COLUMN($O$1),FALSE)*VLOOKUP($D254,素材!$1:$1016,COLUMN($E$1),FALSE)/(LEN(VLOOKUP($D254,素材!$1:$1016,COLUMN($F$1),FALSE))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N254">
        <f>IF(ISNUMBER(SEARCH(SUBSTITUTE(AN$1,RIGHT(AN$1,2),""),VLOOKUP($D254,素材!$1:$1016,COLUMN($F$1),FALSE))),VLOOKUP($C254,装備品!$1:$998,COLUMN($O$1),FALSE)*VLOOKUP($D254,素材!$1:$1016,COLUMN($E$1),FALSE)/(LEN(VLOOKUP($D254,素材!$1:$1016,COLUMN($F$1),FALSE))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O254">
        <f>IF(ISNUMBER(SEARCH(SUBSTITUTE(AO$1,RIGHT(AO$1,2),""),VLOOKUP($D254,素材!$1:$1016,COLUMN($F$1),FALSE))),VLOOKUP($C254,装備品!$1:$998,COLUMN($O$1),FALSE)*VLOOKUP($D254,素材!$1:$1016,COLUMN($E$1),FALSE)/(LEN(VLOOKUP($D254,素材!$1:$1016,COLUMN($F$1),FALSE))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P254">
        <f>IF(ISNUMBER(SEARCH(SUBSTITUTE(AP$1,RIGHT(AP$1,2),""),VLOOKUP($D254,素材!$1:$1016,COLUMN($F$1),FALSE))),VLOOKUP($C254,装備品!$1:$998,COLUMN($O$1),FALSE)*VLOOKUP($D254,素材!$1:$1016,COLUMN($E$1),FALSE)/(LEN(VLOOKUP($D254,素材!$1:$1016,COLUMN($F$1),FALSE))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Q254">
        <f>IF(ISNUMBER(SEARCH(SUBSTITUTE(AQ$1,RIGHT(AQ$1,2),""),VLOOKUP($D254,素材!$1:$1016,COLUMN($F$1),FALSE))),VLOOKUP($C254,装備品!$1:$998,COLUMN($O$1),FALSE)*VLOOKUP($D254,素材!$1:$1016,COLUMN($E$1),FALSE)/(LEN(VLOOKUP($D254,素材!$1:$1016,COLUMN($F$1),FALSE))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R254">
        <f>IF(ISNUMBER(SEARCH(SUBSTITUTE(AR$1,RIGHT(AR$1,2),""),VLOOKUP($D254,素材!$1:$1016,COLUMN($F$1),FALSE))),VLOOKUP($C254,装備品!$1:$998,COLUMN($O$1),FALSE)*VLOOKUP($D254,素材!$1:$1016,COLUMN($E$1),FALSE)/(LEN(VLOOKUP($D254,素材!$1:$1016,COLUMN($F$1),FALSE))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S254">
        <f>IF(ISNUMBER(SEARCH(SUBSTITUTE(AS$1,RIGHT(AS$1,2),""),VLOOKUP($D254,素材!$1:$1016,COLUMN($F$1),FALSE))),VLOOKUP($C254,装備品!$1:$998,COLUMN($O$1),FALSE)*VLOOKUP($D254,素材!$1:$1016,COLUMN($E$1),FALSE)/(LEN(VLOOKUP($D254,素材!$1:$1016,COLUMN($F$1),FALSE))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T254">
        <f>IF(ISNUMBER(SEARCH(SUBSTITUTE(AT$1,RIGHT(AT$1,2),""),VLOOKUP($D254,素材!$1:$1016,COLUMN($F$1),FALSE))),VLOOKUP($C254,装備品!$1:$998,COLUMN($O$1),FALSE)*VLOOKUP($D254,素材!$1:$1016,COLUMN($E$1),FALSE)/(LEN(VLOOKUP($D254,素材!$1:$1016,COLUMN($F$1),FALSE))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U254">
        <f>IF(ISNUMBER(SEARCH(SUBSTITUTE(AU$1,RIGHT(AU$1,2),""),VLOOKUP($D254,素材!$1:$1016,COLUMN($F$1),FALSE))),VLOOKUP($C254,装備品!$1:$998,COLUMN($O$1),FALSE)*VLOOKUP($D254,素材!$1:$1016,COLUMN($E$1),FALSE)/(LEN(VLOOKUP($D254,素材!$1:$1016,COLUMN($F$1),FALSE))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V254">
        <f>IF(ISNUMBER(SEARCH(SUBSTITUTE(AV$1,RIGHT(AV$1,2),""),VLOOKUP($D254,素材!$1:$1016,COLUMN($F$1),FALSE))),VLOOKUP($C254,装備品!$1:$998,COLUMN($O$1),FALSE)*VLOOKUP($D254,素材!$1:$1016,COLUMN($E$1),FALSE)/(LEN(VLOOKUP($D254,素材!$1:$1016,COLUMN($F$1),FALSE))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W254">
        <f>IF(ISNUMBER(SEARCH(SUBSTITUTE(AW$1,RIGHT(AW$1,2),""),VLOOKUP($D254,素材!$1:$1016,COLUMN($F$1),FALSE))),VLOOKUP($C254,装備品!$1:$998,COLUMN($O$1),FALSE)*VLOOKUP($D254,素材!$1:$1016,COLUMN($E$1),FALSE)/(LEN(VLOOKUP($D254,素材!$1:$1016,COLUMN($F$1),FALSE))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X254">
        <f>IF(ISNUMBER(SEARCH(SUBSTITUTE(AX$1,RIGHT(AX$1,2),""),VLOOKUP($D254,素材!$1:$1016,COLUMN($F$1),FALSE))),VLOOKUP($C254,装備品!$1:$998,COLUMN($O$1),FALSE)*VLOOKUP($D254,素材!$1:$1016,COLUMN($E$1),FALSE)/(LEN(VLOOKUP($D254,素材!$1:$1016,COLUMN($F$1),FALSE))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Y254">
        <f>IF(ISNUMBER(SEARCH(SUBSTITUTE(AY$1,RIGHT(AY$1,2),""),VLOOKUP($D254,素材!$1:$1016,COLUMN($F$1),FALSE))),VLOOKUP($C254,装備品!$1:$998,COLUMN($O$1),FALSE)*VLOOKUP($D254,素材!$1:$1016,COLUMN($E$1),FALSE)/(LEN(VLOOKUP($D254,素材!$1:$1016,COLUMN($F$1),FALSE))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Z254">
        <f>IF(ISNUMBER(SEARCH(SUBSTITUTE(AZ$1,RIGHT(AZ$1,2),""),VLOOKUP($D254,素材!$1:$1016,COLUMN($F$1),FALSE))),VLOOKUP($C254,装備品!$1:$998,COLUMN($O$1),FALSE)*VLOOKUP($D254,素材!$1:$1016,COLUMN($E$1),FALSE)/(LEN(VLOOKUP($D254,素材!$1:$1016,COLUMN($F$1),FALSE))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BA254">
        <f>IF(ISNUMBER(SEARCH(SUBSTITUTE(BA$1,RIGHT(BA$1,2),""),VLOOKUP($D254,素材!$1:$1016,COLUMN($F$1),FALSE))),VLOOKUP($C254,装備品!$1:$998,COLUMN($O$1),FALSE)*VLOOKUP($D254,素材!$1:$1016,COLUMN($E$1),FALSE)/(LEN(VLOOKUP($D254,素材!$1:$1016,COLUMN($F$1),FALSE))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BB254">
        <f>IF(ISNUMBER(SEARCH(SUBSTITUTE(BB$1,RIGHT(BB$1,2),""),VLOOKUP($D254,素材!$1:$1016,COLUMN($F$1),FALSE))),VLOOKUP($C254,装備品!$1:$998,COLUMN($O$1),FALSE)*VLOOKUP($D254,素材!$1:$1016,COLUMN($E$1),FALSE)/(LEN(VLOOKUP($D254,素材!$1:$1016,COLUMN($F$1),FALSE))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BC254">
        <f>IF(ISNUMBER(SEARCH(SUBSTITUTE(BC$1,RIGHT(BC$1,2),""),VLOOKUP($D254,素材!$1:$1016,COLUMN($F$1),FALSE))),VLOOKUP($C254,装備品!$1:$998,COLUMN($O$1),FALSE)*VLOOKUP($D254,素材!$1:$1016,COLUMN($E$1),FALSE)/(LEN(VLOOKUP($D254,素材!$1:$1016,COLUMN($F$1),FALSE))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BD254">
        <f>IF(ISNUMBER(SEARCH(SUBSTITUTE(BD$1,RIGHT(BD$1,2),""),VLOOKUP($D254,素材!$1:$1016,COLUMN($F$1),FALSE))),VLOOKUP($C254,装備品!$1:$998,COLUMN($O$1),FALSE)*VLOOKUP($D254,素材!$1:$1016,COLUMN($E$1),FALSE)/(LEN(VLOOKUP($D254,素材!$1:$1016,COLUMN($F$1),FALSE))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BE254">
        <f>IF(ISNUMBER(SEARCH(SUBSTITUTE(BE$1,RIGHT(BE$1,2),""),VLOOKUP($D254,素材!$1:$1016,COLUMN($F$1),FALSE))),VLOOKUP($C254,装備品!$1:$998,COLUMN($O$1),FALSE)*VLOOKUP($D254,素材!$1:$1016,COLUMN($E$1),FALSE)/(LEN(VLOOKUP($D254,素材!$1:$1016,COLUMN($F$1),FALSE))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CL254">
        <f t="shared" si="35"/>
        <v>18</v>
      </c>
      <c r="CM254" s="22" t="str">
        <f t="shared" si="36"/>
        <v>盾.webp</v>
      </c>
      <c r="CN254">
        <f>IFERROR(VLOOKUP($C254,装備品!$1:$998,COLUMN(V$1),FALSE)*VLOOKUP($D254,素材!$1:$1016,COLUMN(N$1),FALSE)+IF(CI254="",0,VLOOKUP($CI254,付与!$1:$1176,COLUMN($CK$1),FALSE)),"")</f>
        <v>0</v>
      </c>
      <c r="CO254">
        <f>VLOOKUP(D254,素材!$A:$O,COLUMN(素材!O$1),FALSE)</f>
        <v>0</v>
      </c>
      <c r="CP254" t="str">
        <f>VLOOKUP(C254,装備品!$A:$AB,COLUMN(装備品!AB$1),FALSE)</f>
        <v>丸大盾。防御範囲が広く、投擲も可能。</v>
      </c>
      <c r="CR254" t="str">
        <f t="shared" si="37"/>
        <v>e_254</v>
      </c>
      <c r="CS254">
        <f t="shared" si="38"/>
        <v>0</v>
      </c>
    </row>
    <row r="255" spans="1:97" outlineLevel="1" x14ac:dyDescent="0.4">
      <c r="A255" t="str">
        <f t="shared" si="40"/>
        <v>熱鉄の大盾</v>
      </c>
      <c r="B255" t="str">
        <f>IFERROR(VLOOKUP($D255,素材!$1:$1016,COLUMN($B$1),FALSE)&amp;"・"&amp;VLOOKUP($C255,装備品!$1:$998,COLUMN(B$1),FALSE),"")</f>
        <v>ヒートスティール・ラージシールド</v>
      </c>
      <c r="C255" t="s">
        <v>218</v>
      </c>
      <c r="D255" s="24" t="s">
        <v>204</v>
      </c>
      <c r="E255" t="str">
        <f>IFERROR(VLOOKUP(C255,装備品!$1:$998,COLUMN(C$1),FALSE),"")</f>
        <v>盾</v>
      </c>
      <c r="F255">
        <f>IFERROR(ROUNDDOWN((VLOOKUP($C255,装備品!$1:$998,COLUMN(D$1),FALSE)+IFERROR(VLOOKUP($CI255,付与!$1:$1167,COLUMN(F$1),FALSE),0))*VLOOKUP($D255,素材!$1:$1016,COLUMN(D$1),FALSE),0),"")</f>
        <v>115</v>
      </c>
      <c r="G255">
        <f>IFERROR(ROUNDDOWN((VLOOKUP($C255,装備品!$1:$998,COLUMN(E$1),FALSE)+IFERROR(VLOOKUP($CI255,付与!$1:$1167,COLUMN(G$1),FALSE),0))*VLOOKUP($D255,素材!$1:$1016,COLUMN($E$1),FALSE),0),"")</f>
        <v>0</v>
      </c>
      <c r="H255">
        <f>IFERROR(ROUNDDOWN((VLOOKUP($C255,装備品!$1:$998,COLUMN(F$1),FALSE)+IFERROR(VLOOKUP($CI255,付与!$1:$1167,COLUMN(H$1),FALSE),0))*VLOOKUP($D255,素材!$1:$1016,COLUMN($E$1),FALSE),0),"")</f>
        <v>0</v>
      </c>
      <c r="I255">
        <f>IFERROR(ROUNDDOWN((VLOOKUP($C255,装備品!$1:$998,COLUMN(G$1),FALSE)+IFERROR(VLOOKUP($CI255,付与!$1:$1167,COLUMN(I$1),FALSE),0))*VLOOKUP($D255,素材!$1:$1016,COLUMN($E$1),FALSE),0),"")</f>
        <v>17</v>
      </c>
      <c r="J255">
        <f>IFERROR(ROUNDDOWN((VLOOKUP($C255,装備品!$1:$998,COLUMN(H$1),FALSE)+IFERROR(VLOOKUP($CI255,付与!$1:$1167,COLUMN(J$1),FALSE),0))*VLOOKUP($D255,素材!$1:$1016,COLUMN($E$1),FALSE),0),"")</f>
        <v>27</v>
      </c>
      <c r="K255">
        <f>IFERROR(ROUNDDOWN((VLOOKUP($C255,装備品!$1:$998,COLUMN(I$1),FALSE)+IFERROR(VLOOKUP($CI255,付与!$1:$1167,COLUMN(K$1),FALSE),0))*VLOOKUP($D255,素材!$1:$1016,COLUMN($E$1),FALSE),0),"")</f>
        <v>0</v>
      </c>
      <c r="L255" t="str">
        <f>IFERROR(VLOOKUP($D255,素材!$1:$1016,COLUMN($F$1),FALSE),"")</f>
        <v>炎</v>
      </c>
      <c r="M255">
        <f>IFERROR(VLOOKUP($C255,装備品!$1:$998,COLUMN(AA$1),FALSE)*VLOOKUP($D255,素材!$1:$1016,COLUMN($G$1),FALSE),"")</f>
        <v>70</v>
      </c>
      <c r="N255">
        <f>IFERROR(VLOOKUP($C255,装備品!$1:$998,COLUMN(I$1),FALSE),"")</f>
        <v>0</v>
      </c>
      <c r="O255" s="23">
        <f>IFERROR((VLOOKUP($C255,装備品!$1:$998,COLUMN(K$1),FALSE)+VLOOKUP($D255,素材!$1:$1016,COLUMN(H$1),FALSE))*100+IFERROR(VLOOKUP($CI255,付与!$1:$1167,COLUMN(O$1),FALSE),0),"")</f>
        <v>5</v>
      </c>
      <c r="P255" s="23">
        <f>IFERROR((VLOOKUP($C255,装備品!$1:$998,COLUMN(L$1),FALSE)+VLOOKUP($D255,素材!$1:$1016,COLUMN(I$1),FALSE))*100+IFERROR(VLOOKUP($CI255,付与!$1:$1167,COLUMN(P$1),FALSE),0),"")</f>
        <v>125</v>
      </c>
      <c r="Q255">
        <f>IFERROR(ROUNDUP(VLOOKUP($C255,装備品!$1:$998,COLUMN(M$1),FALSE)*(VLOOKUP($D255,素材!$1:$1002,COLUMN(D$1),FALSE)/100),1),"")</f>
        <v>-5</v>
      </c>
      <c r="R255">
        <f>IFERROR(ROUNDUP(VLOOKUP($C255,装備品!$1:$998,COLUMN(N$1),FALSE)*(VLOOKUP($D255,素材!$1:$1002,COLUMN(D$1),FALSE)/100),1),"")</f>
        <v>0</v>
      </c>
      <c r="S255">
        <f>IFERROR(VLOOKUP($C255,装備品!$1:$998,COLUMN(P$1),FALSE),"")</f>
        <v>0</v>
      </c>
      <c r="T255">
        <f>IFERROR(VLOOKUP($C255,装備品!$1:$998,COLUMN(Q$1),FALSE),"")</f>
        <v>0</v>
      </c>
      <c r="U255">
        <f>IFERROR(VLOOKUP($C255,装備品!$1:$998,COLUMN(R$1),FALSE),"")</f>
        <v>0</v>
      </c>
      <c r="V255">
        <f>IFERROR(VLOOKUP($C255,装備品!$1:$998,COLUMN(Q$1),FALSE),"")</f>
        <v>0</v>
      </c>
      <c r="W255">
        <f>IFERROR(VLOOKUP($C255,装備品!$1:$998,COLUMN(T$1),FALSE),"")</f>
        <v>0</v>
      </c>
      <c r="Y255">
        <f>IFERROR(VLOOKUP($C255,装備品!$1:$998,COLUMN(U$1),FALSE),"")</f>
        <v>0</v>
      </c>
      <c r="Z255">
        <f>IFERROR(ROUNDUP(VLOOKUP($C255,装備品!$1:$998,COLUMN(O$1),FALSE)*VLOOKUP($D255,素材!$1:$1016,COLUMN(E$1),FALSE),1),"")</f>
        <v>0</v>
      </c>
      <c r="AA255">
        <f>IF(ISNUMBER(SEARCH(SUBSTITUTE(AA$1,RIGHT(AA$1,2),""),VLOOKUP($D255,素材!$1:$1016,COLUMN($F$1),FALSE))),VLOOKUP($C255,装備品!$1:$998,COLUMN($O$1),FALSE)*VLOOKUP($D255,素材!$1:$1016,COLUMN($E$1),FALSE)/(LEN(VLOOKUP($D255,素材!$1:$1016,COLUMN($F$1),FALSE))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B255">
        <f>IF(ISNUMBER(SEARCH(SUBSTITUTE(AB$1,RIGHT(AB$1,2),""),VLOOKUP($D255,素材!$1:$1016,COLUMN($F$1),FALSE))),VLOOKUP($C255,装備品!$1:$998,COLUMN($O$1),FALSE)*VLOOKUP($D255,素材!$1:$1016,COLUMN($E$1),FALSE)/(LEN(VLOOKUP($D255,素材!$1:$1016,COLUMN($F$1),FALSE))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C255">
        <f>IF(ISNUMBER(SEARCH(SUBSTITUTE(AC$1,RIGHT(AC$1,2),""),VLOOKUP($D255,素材!$1:$1016,COLUMN($F$1),FALSE))),VLOOKUP($C255,装備品!$1:$998,COLUMN($O$1),FALSE)*VLOOKUP($D255,素材!$1:$1016,COLUMN($E$1),FALSE)/(LEN(VLOOKUP($D255,素材!$1:$1016,COLUMN($F$1),FALSE))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D255">
        <f>IF(ISNUMBER(SEARCH(SUBSTITUTE(AD$1,RIGHT(AD$1,2),""),VLOOKUP($D255,素材!$1:$1016,COLUMN($F$1),FALSE))),VLOOKUP($C255,装備品!$1:$998,COLUMN($O$1),FALSE)*VLOOKUP($D255,素材!$1:$1016,COLUMN($E$1),FALSE)/(LEN(VLOOKUP($D255,素材!$1:$1016,COLUMN($F$1),FALSE))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E255">
        <f>IF(ISNUMBER(SEARCH(SUBSTITUTE(AE$1,RIGHT(AE$1,2),""),VLOOKUP($D255,素材!$1:$1016,COLUMN($F$1),FALSE))),VLOOKUP($C255,装備品!$1:$998,COLUMN($O$1),FALSE)*VLOOKUP($D255,素材!$1:$1016,COLUMN($E$1),FALSE)/(LEN(VLOOKUP($D255,素材!$1:$1016,COLUMN($F$1),FALSE))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F255">
        <f>IF(ISNUMBER(SEARCH(SUBSTITUTE(AF$1,RIGHT(AF$1,2),""),VLOOKUP($D255,素材!$1:$1016,COLUMN($F$1),FALSE))),VLOOKUP($C255,装備品!$1:$998,COLUMN($O$1),FALSE)*VLOOKUP($D255,素材!$1:$1016,COLUMN($E$1),FALSE)/(LEN(VLOOKUP($D255,素材!$1:$1016,COLUMN($F$1),FALSE))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G255">
        <f>IF(ISNUMBER(SEARCH(SUBSTITUTE(AG$1,RIGHT(AG$1,2),""),VLOOKUP($D255,素材!$1:$1016,COLUMN($F$1),FALSE))),VLOOKUP($C255,装備品!$1:$998,COLUMN($O$1),FALSE)*VLOOKUP($D255,素材!$1:$1016,COLUMN($E$1),FALSE)/(LEN(VLOOKUP($D255,素材!$1:$1016,COLUMN($F$1),FALSE))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H255">
        <f>IF(ISNUMBER(SEARCH(SUBSTITUTE(AH$1,RIGHT(AH$1,2),""),VLOOKUP($D255,素材!$1:$1016,COLUMN($F$1),FALSE))),VLOOKUP($C255,装備品!$1:$998,COLUMN($O$1),FALSE)*VLOOKUP($D255,素材!$1:$1016,COLUMN($E$1),FALSE)/(LEN(VLOOKUP($D255,素材!$1:$1016,COLUMN($F$1),FALSE))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I255">
        <f>IF(ISNUMBER(SEARCH(SUBSTITUTE(AI$1,RIGHT(AI$1,2),""),VLOOKUP($D255,素材!$1:$1016,COLUMN($F$1),FALSE))),VLOOKUP($C255,装備品!$1:$998,COLUMN($O$1),FALSE)*VLOOKUP($D255,素材!$1:$1016,COLUMN($E$1),FALSE)/(LEN(VLOOKUP($D255,素材!$1:$1016,COLUMN($F$1),FALSE))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J255">
        <f>IF(ISNUMBER(SEARCH(SUBSTITUTE(AJ$1,RIGHT(AJ$1,2),""),VLOOKUP($D255,素材!$1:$1016,COLUMN($F$1),FALSE))),VLOOKUP($C255,装備品!$1:$998,COLUMN($O$1),FALSE)*VLOOKUP($D255,素材!$1:$1016,COLUMN($E$1),FALSE)/(LEN(VLOOKUP($D255,素材!$1:$1016,COLUMN($F$1),FALSE))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K255">
        <f>IF(ISNUMBER(SEARCH(SUBSTITUTE(AK$1,RIGHT(AK$1,2),""),VLOOKUP($D255,素材!$1:$1016,COLUMN($F$1),FALSE))),VLOOKUP($C255,装備品!$1:$998,COLUMN($O$1),FALSE)*VLOOKUP($D255,素材!$1:$1016,COLUMN($E$1),FALSE)/(LEN(VLOOKUP($D255,素材!$1:$1016,COLUMN($F$1),FALSE))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L255">
        <f>IF(ISNUMBER(SEARCH(SUBSTITUTE(AL$1,RIGHT(AL$1,2),""),VLOOKUP($D255,素材!$1:$1016,COLUMN($F$1),FALSE))),VLOOKUP($C255,装備品!$1:$998,COLUMN($O$1),FALSE)*VLOOKUP($D255,素材!$1:$1016,COLUMN($E$1),FALSE)/(LEN(VLOOKUP($D255,素材!$1:$1016,COLUMN($F$1),FALSE))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M255">
        <f>IF(ISNUMBER(SEARCH(SUBSTITUTE(AM$1,RIGHT(AM$1,2),""),VLOOKUP($D255,素材!$1:$1016,COLUMN($F$1),FALSE))),VLOOKUP($C255,装備品!$1:$998,COLUMN($O$1),FALSE)*VLOOKUP($D255,素材!$1:$1016,COLUMN($E$1),FALSE)/(LEN(VLOOKUP($D255,素材!$1:$1016,COLUMN($F$1),FALSE))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N255">
        <f>IF(ISNUMBER(SEARCH(SUBSTITUTE(AN$1,RIGHT(AN$1,2),""),VLOOKUP($D255,素材!$1:$1016,COLUMN($F$1),FALSE))),VLOOKUP($C255,装備品!$1:$998,COLUMN($O$1),FALSE)*VLOOKUP($D255,素材!$1:$1016,COLUMN($E$1),FALSE)/(LEN(VLOOKUP($D255,素材!$1:$1016,COLUMN($F$1),FALSE))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O255">
        <f>IF(ISNUMBER(SEARCH(SUBSTITUTE(AO$1,RIGHT(AO$1,2),""),VLOOKUP($D255,素材!$1:$1016,COLUMN($F$1),FALSE))),VLOOKUP($C255,装備品!$1:$998,COLUMN($O$1),FALSE)*VLOOKUP($D255,素材!$1:$1016,COLUMN($E$1),FALSE)/(LEN(VLOOKUP($D255,素材!$1:$1016,COLUMN($F$1),FALSE))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P255">
        <f>IF(ISNUMBER(SEARCH(SUBSTITUTE(AP$1,RIGHT(AP$1,2),""),VLOOKUP($D255,素材!$1:$1016,COLUMN($F$1),FALSE))),VLOOKUP($C255,装備品!$1:$998,COLUMN($O$1),FALSE)*VLOOKUP($D255,素材!$1:$1016,COLUMN($E$1),FALSE)/(LEN(VLOOKUP($D255,素材!$1:$1016,COLUMN($F$1),FALSE))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Q255">
        <f>IF(ISNUMBER(SEARCH(SUBSTITUTE(AQ$1,RIGHT(AQ$1,2),""),VLOOKUP($D255,素材!$1:$1016,COLUMN($F$1),FALSE))),VLOOKUP($C255,装備品!$1:$998,COLUMN($O$1),FALSE)*VLOOKUP($D255,素材!$1:$1016,COLUMN($E$1),FALSE)/(LEN(VLOOKUP($D255,素材!$1:$1016,COLUMN($F$1),FALSE))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R255">
        <f>IF(ISNUMBER(SEARCH(SUBSTITUTE(AR$1,RIGHT(AR$1,2),""),VLOOKUP($D255,素材!$1:$1016,COLUMN($F$1),FALSE))),VLOOKUP($C255,装備品!$1:$998,COLUMN($O$1),FALSE)*VLOOKUP($D255,素材!$1:$1016,COLUMN($E$1),FALSE)/(LEN(VLOOKUP($D255,素材!$1:$1016,COLUMN($F$1),FALSE))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S255">
        <f>IF(ISNUMBER(SEARCH(SUBSTITUTE(AS$1,RIGHT(AS$1,2),""),VLOOKUP($D255,素材!$1:$1016,COLUMN($F$1),FALSE))),VLOOKUP($C255,装備品!$1:$998,COLUMN($O$1),FALSE)*VLOOKUP($D255,素材!$1:$1016,COLUMN($E$1),FALSE)/(LEN(VLOOKUP($D255,素材!$1:$1016,COLUMN($F$1),FALSE))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T255">
        <f>IF(ISNUMBER(SEARCH(SUBSTITUTE(AT$1,RIGHT(AT$1,2),""),VLOOKUP($D255,素材!$1:$1016,COLUMN($F$1),FALSE))),VLOOKUP($C255,装備品!$1:$998,COLUMN($O$1),FALSE)*VLOOKUP($D255,素材!$1:$1016,COLUMN($E$1),FALSE)/(LEN(VLOOKUP($D255,素材!$1:$1016,COLUMN($F$1),FALSE))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U255">
        <f>IF(ISNUMBER(SEARCH(SUBSTITUTE(AU$1,RIGHT(AU$1,2),""),VLOOKUP($D255,素材!$1:$1016,COLUMN($F$1),FALSE))),VLOOKUP($C255,装備品!$1:$998,COLUMN($O$1),FALSE)*VLOOKUP($D255,素材!$1:$1016,COLUMN($E$1),FALSE)/(LEN(VLOOKUP($D255,素材!$1:$1016,COLUMN($F$1),FALSE))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V255">
        <f>IF(ISNUMBER(SEARCH(SUBSTITUTE(AV$1,RIGHT(AV$1,2),""),VLOOKUP($D255,素材!$1:$1016,COLUMN($F$1),FALSE))),VLOOKUP($C255,装備品!$1:$998,COLUMN($O$1),FALSE)*VLOOKUP($D255,素材!$1:$1016,COLUMN($E$1),FALSE)/(LEN(VLOOKUP($D255,素材!$1:$1016,COLUMN($F$1),FALSE))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W255">
        <f>IF(ISNUMBER(SEARCH(SUBSTITUTE(AW$1,RIGHT(AW$1,2),""),VLOOKUP($D255,素材!$1:$1016,COLUMN($F$1),FALSE))),VLOOKUP($C255,装備品!$1:$998,COLUMN($O$1),FALSE)*VLOOKUP($D255,素材!$1:$1016,COLUMN($E$1),FALSE)/(LEN(VLOOKUP($D255,素材!$1:$1016,COLUMN($F$1),FALSE))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X255">
        <f>IF(ISNUMBER(SEARCH(SUBSTITUTE(AX$1,RIGHT(AX$1,2),""),VLOOKUP($D255,素材!$1:$1016,COLUMN($F$1),FALSE))),VLOOKUP($C255,装備品!$1:$998,COLUMN($O$1),FALSE)*VLOOKUP($D255,素材!$1:$1016,COLUMN($E$1),FALSE)/(LEN(VLOOKUP($D255,素材!$1:$1016,COLUMN($F$1),FALSE))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Y255">
        <f>IF(ISNUMBER(SEARCH(SUBSTITUTE(AY$1,RIGHT(AY$1,2),""),VLOOKUP($D255,素材!$1:$1016,COLUMN($F$1),FALSE))),VLOOKUP($C255,装備品!$1:$998,COLUMN($O$1),FALSE)*VLOOKUP($D255,素材!$1:$1016,COLUMN($E$1),FALSE)/(LEN(VLOOKUP($D255,素材!$1:$1016,COLUMN($F$1),FALSE))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Z255">
        <f>IF(ISNUMBER(SEARCH(SUBSTITUTE(AZ$1,RIGHT(AZ$1,2),""),VLOOKUP($D255,素材!$1:$1016,COLUMN($F$1),FALSE))),VLOOKUP($C255,装備品!$1:$998,COLUMN($O$1),FALSE)*VLOOKUP($D255,素材!$1:$1016,COLUMN($E$1),FALSE)/(LEN(VLOOKUP($D255,素材!$1:$1016,COLUMN($F$1),FALSE))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BA255">
        <f>IF(ISNUMBER(SEARCH(SUBSTITUTE(BA$1,RIGHT(BA$1,2),""),VLOOKUP($D255,素材!$1:$1016,COLUMN($F$1),FALSE))),VLOOKUP($C255,装備品!$1:$998,COLUMN($O$1),FALSE)*VLOOKUP($D255,素材!$1:$1016,COLUMN($E$1),FALSE)/(LEN(VLOOKUP($D255,素材!$1:$1016,COLUMN($F$1),FALSE))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BB255">
        <f>IF(ISNUMBER(SEARCH(SUBSTITUTE(BB$1,RIGHT(BB$1,2),""),VLOOKUP($D255,素材!$1:$1016,COLUMN($F$1),FALSE))),VLOOKUP($C255,装備品!$1:$998,COLUMN($O$1),FALSE)*VLOOKUP($D255,素材!$1:$1016,COLUMN($E$1),FALSE)/(LEN(VLOOKUP($D255,素材!$1:$1016,COLUMN($F$1),FALSE))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BC255">
        <f>IF(ISNUMBER(SEARCH(SUBSTITUTE(BC$1,RIGHT(BC$1,2),""),VLOOKUP($D255,素材!$1:$1016,COLUMN($F$1),FALSE))),VLOOKUP($C255,装備品!$1:$998,COLUMN($O$1),FALSE)*VLOOKUP($D255,素材!$1:$1016,COLUMN($E$1),FALSE)/(LEN(VLOOKUP($D255,素材!$1:$1016,COLUMN($F$1),FALSE))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BD255">
        <f>IF(ISNUMBER(SEARCH(SUBSTITUTE(BD$1,RIGHT(BD$1,2),""),VLOOKUP($D255,素材!$1:$1016,COLUMN($F$1),FALSE))),VLOOKUP($C255,装備品!$1:$998,COLUMN($O$1),FALSE)*VLOOKUP($D255,素材!$1:$1016,COLUMN($E$1),FALSE)/(LEN(VLOOKUP($D255,素材!$1:$1016,COLUMN($F$1),FALSE))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BE255">
        <f>IF(ISNUMBER(SEARCH(SUBSTITUTE(BE$1,RIGHT(BE$1,2),""),VLOOKUP($D255,素材!$1:$1016,COLUMN($F$1),FALSE))),VLOOKUP($C255,装備品!$1:$998,COLUMN($O$1),FALSE)*VLOOKUP($D255,素材!$1:$1016,COLUMN($E$1),FALSE)/(LEN(VLOOKUP($D255,素材!$1:$1016,COLUMN($F$1),FALSE))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CL255">
        <f t="shared" si="35"/>
        <v>17</v>
      </c>
      <c r="CM255" s="22" t="str">
        <f t="shared" si="36"/>
        <v>盾.webp</v>
      </c>
      <c r="CN255">
        <f>IFERROR(VLOOKUP($C255,装備品!$1:$998,COLUMN(V$1),FALSE)*VLOOKUP($D255,素材!$1:$1016,COLUMN(N$1),FALSE)+IF(CI255="",0,VLOOKUP($CI255,付与!$1:$1176,COLUMN($CK$1),FALSE)),"")</f>
        <v>0</v>
      </c>
      <c r="CO255">
        <f>VLOOKUP(D255,素材!$A:$O,COLUMN(素材!O$1),FALSE)</f>
        <v>0</v>
      </c>
      <c r="CP255" t="str">
        <f>VLOOKUP(C255,装備品!$A:$AB,COLUMN(装備品!AB$1),FALSE)</f>
        <v>大盾。さらに大きな盾で、高い防御力を持つ。</v>
      </c>
      <c r="CR255" t="str">
        <f t="shared" si="37"/>
        <v>e_255</v>
      </c>
      <c r="CS255">
        <f t="shared" si="38"/>
        <v>0</v>
      </c>
    </row>
    <row r="256" spans="1:97" outlineLevel="1" x14ac:dyDescent="0.4">
      <c r="A256" t="str">
        <f t="shared" si="40"/>
        <v>熱鉄の短弓</v>
      </c>
      <c r="B256" t="str">
        <f>IFERROR(VLOOKUP($D256,素材!$1:$1016,COLUMN($B$1),FALSE)&amp;"・"&amp;VLOOKUP($C256,装備品!$1:$998,COLUMN(B$1),FALSE),"")</f>
        <v>ヒートスティール・ボウ</v>
      </c>
      <c r="C256" t="s">
        <v>217</v>
      </c>
      <c r="D256" s="24" t="s">
        <v>204</v>
      </c>
      <c r="E256" t="str">
        <f>IFERROR(VLOOKUP(C256,装備品!$1:$998,COLUMN(C$1),FALSE),"")</f>
        <v>武器</v>
      </c>
      <c r="F256">
        <f>IFERROR(ROUNDDOWN((VLOOKUP($C256,装備品!$1:$998,COLUMN(D$1),FALSE)+IFERROR(VLOOKUP($CI256,付与!$1:$1167,COLUMN(F$1),FALSE),0))*VLOOKUP($D256,素材!$1:$1016,COLUMN(D$1),FALSE),0),"")</f>
        <v>110</v>
      </c>
      <c r="G256">
        <f>IFERROR(ROUNDDOWN((VLOOKUP($C256,装備品!$1:$998,COLUMN(E$1),FALSE)+IFERROR(VLOOKUP($CI256,付与!$1:$1167,COLUMN(G$1),FALSE),0))*VLOOKUP($D256,素材!$1:$1016,COLUMN($E$1),FALSE),0),"")</f>
        <v>5</v>
      </c>
      <c r="H256">
        <f>IFERROR(ROUNDDOWN((VLOOKUP($C256,装備品!$1:$998,COLUMN(F$1),FALSE)+IFERROR(VLOOKUP($CI256,付与!$1:$1167,COLUMN(H$1),FALSE),0))*VLOOKUP($D256,素材!$1:$1016,COLUMN($E$1),FALSE),0),"")</f>
        <v>5</v>
      </c>
      <c r="I256">
        <f>IFERROR(ROUNDDOWN((VLOOKUP($C256,装備品!$1:$998,COLUMN(G$1),FALSE)+IFERROR(VLOOKUP($CI256,付与!$1:$1167,COLUMN(I$1),FALSE),0))*VLOOKUP($D256,素材!$1:$1016,COLUMN($E$1),FALSE),0),"")</f>
        <v>0</v>
      </c>
      <c r="J256">
        <f>IFERROR(ROUNDDOWN((VLOOKUP($C256,装備品!$1:$998,COLUMN(H$1),FALSE)+IFERROR(VLOOKUP($CI256,付与!$1:$1167,COLUMN(J$1),FALSE),0))*VLOOKUP($D256,素材!$1:$1016,COLUMN($E$1),FALSE),0),"")</f>
        <v>0</v>
      </c>
      <c r="K256">
        <f>IFERROR(ROUNDDOWN((VLOOKUP($C256,装備品!$1:$998,COLUMN(I$1),FALSE)+IFERROR(VLOOKUP($CI256,付与!$1:$1167,COLUMN(K$1),FALSE),0))*VLOOKUP($D256,素材!$1:$1016,COLUMN($E$1),FALSE),0),"")</f>
        <v>20</v>
      </c>
      <c r="L256" t="str">
        <f>IFERROR(VLOOKUP($D256,素材!$1:$1016,COLUMN($F$1),FALSE),"")</f>
        <v>炎</v>
      </c>
      <c r="M256">
        <f>IFERROR(VLOOKUP($C256,装備品!$1:$998,COLUMN(AA$1),FALSE)*VLOOKUP($D256,素材!$1:$1016,COLUMN($G$1),FALSE),"")</f>
        <v>52.5</v>
      </c>
      <c r="N256">
        <f>IFERROR(VLOOKUP($C256,装備品!$1:$998,COLUMN(I$1),FALSE),"")</f>
        <v>1</v>
      </c>
      <c r="O256" s="23">
        <f>IFERROR((VLOOKUP($C256,装備品!$1:$998,COLUMN(K$1),FALSE)+VLOOKUP($D256,素材!$1:$1016,COLUMN(H$1),FALSE))*100+IFERROR(VLOOKUP($CI256,付与!$1:$1167,COLUMN(O$1),FALSE),0),"")</f>
        <v>10</v>
      </c>
      <c r="P256" s="23">
        <f>IFERROR((VLOOKUP($C256,装備品!$1:$998,COLUMN(L$1),FALSE)+VLOOKUP($D256,素材!$1:$1016,COLUMN(I$1),FALSE))*100+IFERROR(VLOOKUP($CI256,付与!$1:$1167,COLUMN(P$1),FALSE),0),"")</f>
        <v>130</v>
      </c>
      <c r="Q256">
        <f>IFERROR(ROUNDUP(VLOOKUP($C256,装備品!$1:$998,COLUMN(M$1),FALSE)*(VLOOKUP($D256,素材!$1:$1002,COLUMN(D$1),FALSE)/100),1),"")</f>
        <v>-2.5</v>
      </c>
      <c r="R256">
        <f>IFERROR(ROUNDUP(VLOOKUP($C256,装備品!$1:$998,COLUMN(N$1),FALSE)*(VLOOKUP($D256,素材!$1:$1002,COLUMN(D$1),FALSE)/100),1),"")</f>
        <v>0</v>
      </c>
      <c r="S256">
        <f>IFERROR(VLOOKUP($C256,装備品!$1:$998,COLUMN(P$1),FALSE),"")</f>
        <v>0</v>
      </c>
      <c r="T256">
        <f>IFERROR(VLOOKUP($C256,装備品!$1:$998,COLUMN(Q$1),FALSE),"")</f>
        <v>0</v>
      </c>
      <c r="U256">
        <f>IFERROR(VLOOKUP($C256,装備品!$1:$998,COLUMN(R$1),FALSE),"")</f>
        <v>0</v>
      </c>
      <c r="V256">
        <f>IFERROR(VLOOKUP($C256,装備品!$1:$998,COLUMN(Q$1),FALSE),"")</f>
        <v>0</v>
      </c>
      <c r="W256">
        <f>IFERROR(VLOOKUP($C256,装備品!$1:$998,COLUMN(T$1),FALSE),"")</f>
        <v>0</v>
      </c>
      <c r="Y256">
        <f>IFERROR(VLOOKUP($C256,装備品!$1:$998,COLUMN(U$1),FALSE),"")</f>
        <v>2</v>
      </c>
      <c r="Z256">
        <f>IFERROR(ROUNDUP(VLOOKUP($C256,装備品!$1:$998,COLUMN(O$1),FALSE)*VLOOKUP($D256,素材!$1:$1016,COLUMN(E$1),FALSE),1),"")</f>
        <v>0</v>
      </c>
      <c r="AA256">
        <f>IF(ISNUMBER(SEARCH(SUBSTITUTE(AA$1,RIGHT(AA$1,2),""),VLOOKUP($D256,素材!$1:$1016,COLUMN($F$1),FALSE))),VLOOKUP($C256,装備品!$1:$998,COLUMN($O$1),FALSE)*VLOOKUP($D256,素材!$1:$1016,COLUMN($E$1),FALSE)/(LEN(VLOOKUP($D256,素材!$1:$1016,COLUMN($F$1),FALSE))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B256">
        <f>IF(ISNUMBER(SEARCH(SUBSTITUTE(AB$1,RIGHT(AB$1,2),""),VLOOKUP($D256,素材!$1:$1016,COLUMN($F$1),FALSE))),VLOOKUP($C256,装備品!$1:$998,COLUMN($O$1),FALSE)*VLOOKUP($D256,素材!$1:$1016,COLUMN($E$1),FALSE)/(LEN(VLOOKUP($D256,素材!$1:$1016,COLUMN($F$1),FALSE))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C256">
        <f>IF(ISNUMBER(SEARCH(SUBSTITUTE(AC$1,RIGHT(AC$1,2),""),VLOOKUP($D256,素材!$1:$1016,COLUMN($F$1),FALSE))),VLOOKUP($C256,装備品!$1:$998,COLUMN($O$1),FALSE)*VLOOKUP($D256,素材!$1:$1016,COLUMN($E$1),FALSE)/(LEN(VLOOKUP($D256,素材!$1:$1016,COLUMN($F$1),FALSE))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D256">
        <f>IF(ISNUMBER(SEARCH(SUBSTITUTE(AD$1,RIGHT(AD$1,2),""),VLOOKUP($D256,素材!$1:$1016,COLUMN($F$1),FALSE))),VLOOKUP($C256,装備品!$1:$998,COLUMN($O$1),FALSE)*VLOOKUP($D256,素材!$1:$1016,COLUMN($E$1),FALSE)/(LEN(VLOOKUP($D256,素材!$1:$1016,COLUMN($F$1),FALSE))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E256">
        <f>IF(ISNUMBER(SEARCH(SUBSTITUTE(AE$1,RIGHT(AE$1,2),""),VLOOKUP($D256,素材!$1:$1016,COLUMN($F$1),FALSE))),VLOOKUP($C256,装備品!$1:$998,COLUMN($O$1),FALSE)*VLOOKUP($D256,素材!$1:$1016,COLUMN($E$1),FALSE)/(LEN(VLOOKUP($D256,素材!$1:$1016,COLUMN($F$1),FALSE))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F256">
        <f>IF(ISNUMBER(SEARCH(SUBSTITUTE(AF$1,RIGHT(AF$1,2),""),VLOOKUP($D256,素材!$1:$1016,COLUMN($F$1),FALSE))),VLOOKUP($C256,装備品!$1:$998,COLUMN($O$1),FALSE)*VLOOKUP($D256,素材!$1:$1016,COLUMN($E$1),FALSE)/(LEN(VLOOKUP($D256,素材!$1:$1016,COLUMN($F$1),FALSE))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G256">
        <f>IF(ISNUMBER(SEARCH(SUBSTITUTE(AG$1,RIGHT(AG$1,2),""),VLOOKUP($D256,素材!$1:$1016,COLUMN($F$1),FALSE))),VLOOKUP($C256,装備品!$1:$998,COLUMN($O$1),FALSE)*VLOOKUP($D256,素材!$1:$1016,COLUMN($E$1),FALSE)/(LEN(VLOOKUP($D256,素材!$1:$1016,COLUMN($F$1),FALSE))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H256">
        <f>IF(ISNUMBER(SEARCH(SUBSTITUTE(AH$1,RIGHT(AH$1,2),""),VLOOKUP($D256,素材!$1:$1016,COLUMN($F$1),FALSE))),VLOOKUP($C256,装備品!$1:$998,COLUMN($O$1),FALSE)*VLOOKUP($D256,素材!$1:$1016,COLUMN($E$1),FALSE)/(LEN(VLOOKUP($D256,素材!$1:$1016,COLUMN($F$1),FALSE))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I256">
        <f>IF(ISNUMBER(SEARCH(SUBSTITUTE(AI$1,RIGHT(AI$1,2),""),VLOOKUP($D256,素材!$1:$1016,COLUMN($F$1),FALSE))),VLOOKUP($C256,装備品!$1:$998,COLUMN($O$1),FALSE)*VLOOKUP($D256,素材!$1:$1016,COLUMN($E$1),FALSE)/(LEN(VLOOKUP($D256,素材!$1:$1016,COLUMN($F$1),FALSE))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J256">
        <f>IF(ISNUMBER(SEARCH(SUBSTITUTE(AJ$1,RIGHT(AJ$1,2),""),VLOOKUP($D256,素材!$1:$1016,COLUMN($F$1),FALSE))),VLOOKUP($C256,装備品!$1:$998,COLUMN($O$1),FALSE)*VLOOKUP($D256,素材!$1:$1016,COLUMN($E$1),FALSE)/(LEN(VLOOKUP($D256,素材!$1:$1016,COLUMN($F$1),FALSE))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K256">
        <f>IF(ISNUMBER(SEARCH(SUBSTITUTE(AK$1,RIGHT(AK$1,2),""),VLOOKUP($D256,素材!$1:$1016,COLUMN($F$1),FALSE))),VLOOKUP($C256,装備品!$1:$998,COLUMN($O$1),FALSE)*VLOOKUP($D256,素材!$1:$1016,COLUMN($E$1),FALSE)/(LEN(VLOOKUP($D256,素材!$1:$1016,COLUMN($F$1),FALSE))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L256">
        <f>IF(ISNUMBER(SEARCH(SUBSTITUTE(AL$1,RIGHT(AL$1,2),""),VLOOKUP($D256,素材!$1:$1016,COLUMN($F$1),FALSE))),VLOOKUP($C256,装備品!$1:$998,COLUMN($O$1),FALSE)*VLOOKUP($D256,素材!$1:$1016,COLUMN($E$1),FALSE)/(LEN(VLOOKUP($D256,素材!$1:$1016,COLUMN($F$1),FALSE))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M256">
        <f>IF(ISNUMBER(SEARCH(SUBSTITUTE(AM$1,RIGHT(AM$1,2),""),VLOOKUP($D256,素材!$1:$1016,COLUMN($F$1),FALSE))),VLOOKUP($C256,装備品!$1:$998,COLUMN($O$1),FALSE)*VLOOKUP($D256,素材!$1:$1016,COLUMN($E$1),FALSE)/(LEN(VLOOKUP($D256,素材!$1:$1016,COLUMN($F$1),FALSE))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N256">
        <f>IF(ISNUMBER(SEARCH(SUBSTITUTE(AN$1,RIGHT(AN$1,2),""),VLOOKUP($D256,素材!$1:$1016,COLUMN($F$1),FALSE))),VLOOKUP($C256,装備品!$1:$998,COLUMN($O$1),FALSE)*VLOOKUP($D256,素材!$1:$1016,COLUMN($E$1),FALSE)/(LEN(VLOOKUP($D256,素材!$1:$1016,COLUMN($F$1),FALSE))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O256">
        <f>IF(ISNUMBER(SEARCH(SUBSTITUTE(AO$1,RIGHT(AO$1,2),""),VLOOKUP($D256,素材!$1:$1016,COLUMN($F$1),FALSE))),VLOOKUP($C256,装備品!$1:$998,COLUMN($O$1),FALSE)*VLOOKUP($D256,素材!$1:$1016,COLUMN($E$1),FALSE)/(LEN(VLOOKUP($D256,素材!$1:$1016,COLUMN($F$1),FALSE))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P256">
        <f>IF(ISNUMBER(SEARCH(SUBSTITUTE(AP$1,RIGHT(AP$1,2),""),VLOOKUP($D256,素材!$1:$1016,COLUMN($F$1),FALSE))),VLOOKUP($C256,装備品!$1:$998,COLUMN($O$1),FALSE)*VLOOKUP($D256,素材!$1:$1016,COLUMN($E$1),FALSE)/(LEN(VLOOKUP($D256,素材!$1:$1016,COLUMN($F$1),FALSE))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Q256">
        <f>IF(ISNUMBER(SEARCH(SUBSTITUTE(AQ$1,RIGHT(AQ$1,2),""),VLOOKUP($D256,素材!$1:$1016,COLUMN($F$1),FALSE))),VLOOKUP($C256,装備品!$1:$998,COLUMN($O$1),FALSE)*VLOOKUP($D256,素材!$1:$1016,COLUMN($E$1),FALSE)/(LEN(VLOOKUP($D256,素材!$1:$1016,COLUMN($F$1),FALSE))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R256">
        <f>IF(ISNUMBER(SEARCH(SUBSTITUTE(AR$1,RIGHT(AR$1,2),""),VLOOKUP($D256,素材!$1:$1016,COLUMN($F$1),FALSE))),VLOOKUP($C256,装備品!$1:$998,COLUMN($O$1),FALSE)*VLOOKUP($D256,素材!$1:$1016,COLUMN($E$1),FALSE)/(LEN(VLOOKUP($D256,素材!$1:$1016,COLUMN($F$1),FALSE))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S256">
        <f>IF(ISNUMBER(SEARCH(SUBSTITUTE(AS$1,RIGHT(AS$1,2),""),VLOOKUP($D256,素材!$1:$1016,COLUMN($F$1),FALSE))),VLOOKUP($C256,装備品!$1:$998,COLUMN($O$1),FALSE)*VLOOKUP($D256,素材!$1:$1016,COLUMN($E$1),FALSE)/(LEN(VLOOKUP($D256,素材!$1:$1016,COLUMN($F$1),FALSE))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T256">
        <f>IF(ISNUMBER(SEARCH(SUBSTITUTE(AT$1,RIGHT(AT$1,2),""),VLOOKUP($D256,素材!$1:$1016,COLUMN($F$1),FALSE))),VLOOKUP($C256,装備品!$1:$998,COLUMN($O$1),FALSE)*VLOOKUP($D256,素材!$1:$1016,COLUMN($E$1),FALSE)/(LEN(VLOOKUP($D256,素材!$1:$1016,COLUMN($F$1),FALSE))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U256">
        <f>IF(ISNUMBER(SEARCH(SUBSTITUTE(AU$1,RIGHT(AU$1,2),""),VLOOKUP($D256,素材!$1:$1016,COLUMN($F$1),FALSE))),VLOOKUP($C256,装備品!$1:$998,COLUMN($O$1),FALSE)*VLOOKUP($D256,素材!$1:$1016,COLUMN($E$1),FALSE)/(LEN(VLOOKUP($D256,素材!$1:$1016,COLUMN($F$1),FALSE))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V256">
        <f>IF(ISNUMBER(SEARCH(SUBSTITUTE(AV$1,RIGHT(AV$1,2),""),VLOOKUP($D256,素材!$1:$1016,COLUMN($F$1),FALSE))),VLOOKUP($C256,装備品!$1:$998,COLUMN($O$1),FALSE)*VLOOKUP($D256,素材!$1:$1016,COLUMN($E$1),FALSE)/(LEN(VLOOKUP($D256,素材!$1:$1016,COLUMN($F$1),FALSE))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W256">
        <f>IF(ISNUMBER(SEARCH(SUBSTITUTE(AW$1,RIGHT(AW$1,2),""),VLOOKUP($D256,素材!$1:$1016,COLUMN($F$1),FALSE))),VLOOKUP($C256,装備品!$1:$998,COLUMN($O$1),FALSE)*VLOOKUP($D256,素材!$1:$1016,COLUMN($E$1),FALSE)/(LEN(VLOOKUP($D256,素材!$1:$1016,COLUMN($F$1),FALSE))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X256">
        <f>IF(ISNUMBER(SEARCH(SUBSTITUTE(AX$1,RIGHT(AX$1,2),""),VLOOKUP($D256,素材!$1:$1016,COLUMN($F$1),FALSE))),VLOOKUP($C256,装備品!$1:$998,COLUMN($O$1),FALSE)*VLOOKUP($D256,素材!$1:$1016,COLUMN($E$1),FALSE)/(LEN(VLOOKUP($D256,素材!$1:$1016,COLUMN($F$1),FALSE))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Y256">
        <f>IF(ISNUMBER(SEARCH(SUBSTITUTE(AY$1,RIGHT(AY$1,2),""),VLOOKUP($D256,素材!$1:$1016,COLUMN($F$1),FALSE))),VLOOKUP($C256,装備品!$1:$998,COLUMN($O$1),FALSE)*VLOOKUP($D256,素材!$1:$1016,COLUMN($E$1),FALSE)/(LEN(VLOOKUP($D256,素材!$1:$1016,COLUMN($F$1),FALSE))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Z256">
        <f>IF(ISNUMBER(SEARCH(SUBSTITUTE(AZ$1,RIGHT(AZ$1,2),""),VLOOKUP($D256,素材!$1:$1016,COLUMN($F$1),FALSE))),VLOOKUP($C256,装備品!$1:$998,COLUMN($O$1),FALSE)*VLOOKUP($D256,素材!$1:$1016,COLUMN($E$1),FALSE)/(LEN(VLOOKUP($D256,素材!$1:$1016,COLUMN($F$1),FALSE))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BA256">
        <f>IF(ISNUMBER(SEARCH(SUBSTITUTE(BA$1,RIGHT(BA$1,2),""),VLOOKUP($D256,素材!$1:$1016,COLUMN($F$1),FALSE))),VLOOKUP($C256,装備品!$1:$998,COLUMN($O$1),FALSE)*VLOOKUP($D256,素材!$1:$1016,COLUMN($E$1),FALSE)/(LEN(VLOOKUP($D256,素材!$1:$1016,COLUMN($F$1),FALSE))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BB256">
        <f>IF(ISNUMBER(SEARCH(SUBSTITUTE(BB$1,RIGHT(BB$1,2),""),VLOOKUP($D256,素材!$1:$1016,COLUMN($F$1),FALSE))),VLOOKUP($C256,装備品!$1:$998,COLUMN($O$1),FALSE)*VLOOKUP($D256,素材!$1:$1016,COLUMN($E$1),FALSE)/(LEN(VLOOKUP($D256,素材!$1:$1016,COLUMN($F$1),FALSE))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BC256">
        <f>IF(ISNUMBER(SEARCH(SUBSTITUTE(BC$1,RIGHT(BC$1,2),""),VLOOKUP($D256,素材!$1:$1016,COLUMN($F$1),FALSE))),VLOOKUP($C256,装備品!$1:$998,COLUMN($O$1),FALSE)*VLOOKUP($D256,素材!$1:$1016,COLUMN($E$1),FALSE)/(LEN(VLOOKUP($D256,素材!$1:$1016,COLUMN($F$1),FALSE))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BD256">
        <f>IF(ISNUMBER(SEARCH(SUBSTITUTE(BD$1,RIGHT(BD$1,2),""),VLOOKUP($D256,素材!$1:$1016,COLUMN($F$1),FALSE))),VLOOKUP($C256,装備品!$1:$998,COLUMN($O$1),FALSE)*VLOOKUP($D256,素材!$1:$1016,COLUMN($E$1),FALSE)/(LEN(VLOOKUP($D256,素材!$1:$1016,COLUMN($F$1),FALSE))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BE256">
        <f>IF(ISNUMBER(SEARCH(SUBSTITUTE(BE$1,RIGHT(BE$1,2),""),VLOOKUP($D256,素材!$1:$1016,COLUMN($F$1),FALSE))),VLOOKUP($C256,装備品!$1:$998,COLUMN($O$1),FALSE)*VLOOKUP($D256,素材!$1:$1016,COLUMN($E$1),FALSE)/(LEN(VLOOKUP($D256,素材!$1:$1016,COLUMN($F$1),FALSE))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CL256">
        <f t="shared" si="35"/>
        <v>10</v>
      </c>
      <c r="CM256" s="22" t="str">
        <f t="shared" si="36"/>
        <v>切断.webp</v>
      </c>
      <c r="CN256">
        <f>IFERROR(VLOOKUP($C256,装備品!$1:$998,COLUMN(V$1),FALSE)*VLOOKUP($D256,素材!$1:$1016,COLUMN(N$1),FALSE)+IF(CI256="",0,VLOOKUP($CI256,付与!$1:$1176,COLUMN($CK$1),FALSE)),"")</f>
        <v>0</v>
      </c>
      <c r="CO256">
        <f>VLOOKUP(D256,素材!$A:$O,COLUMN(素材!O$1),FALSE)</f>
        <v>0</v>
      </c>
      <c r="CP256" t="str">
        <f>VLOOKUP(C256,装備品!$A:$AB,COLUMN(装備品!AB$1),FALSE)</f>
        <v>短弓。軽量で扱いやすい遠距離武器。</v>
      </c>
      <c r="CR256" t="str">
        <f t="shared" si="37"/>
        <v>e_256</v>
      </c>
      <c r="CS256">
        <f t="shared" si="38"/>
        <v>0</v>
      </c>
    </row>
    <row r="257" spans="1:97" outlineLevel="1" x14ac:dyDescent="0.4">
      <c r="A257" t="str">
        <f t="shared" si="40"/>
        <v>熱鉄の長弓</v>
      </c>
      <c r="B257" t="str">
        <f>IFERROR(VLOOKUP($D257,素材!$1:$1016,COLUMN($B$1),FALSE)&amp;"・"&amp;VLOOKUP($C257,装備品!$1:$998,COLUMN(B$1),FALSE),"")</f>
        <v>ヒートスティール・ロングボウ</v>
      </c>
      <c r="C257" t="s">
        <v>216</v>
      </c>
      <c r="D257" s="24" t="s">
        <v>204</v>
      </c>
      <c r="E257" t="str">
        <f>IFERROR(VLOOKUP(C257,装備品!$1:$998,COLUMN(C$1),FALSE),"")</f>
        <v>武器</v>
      </c>
      <c r="F257">
        <f>IFERROR(ROUNDDOWN((VLOOKUP($C257,装備品!$1:$998,COLUMN(D$1),FALSE)+IFERROR(VLOOKUP($CI257,付与!$1:$1167,COLUMN(F$1),FALSE),0))*VLOOKUP($D257,素材!$1:$1016,COLUMN(D$1),FALSE),0),"")</f>
        <v>120</v>
      </c>
      <c r="G257">
        <f>IFERROR(ROUNDDOWN((VLOOKUP($C257,装備品!$1:$998,COLUMN(E$1),FALSE)+IFERROR(VLOOKUP($CI257,付与!$1:$1167,COLUMN(G$1),FALSE),0))*VLOOKUP($D257,素材!$1:$1016,COLUMN($E$1),FALSE),0),"")</f>
        <v>5</v>
      </c>
      <c r="H257">
        <f>IFERROR(ROUNDDOWN((VLOOKUP($C257,装備品!$1:$998,COLUMN(F$1),FALSE)+IFERROR(VLOOKUP($CI257,付与!$1:$1167,COLUMN(H$1),FALSE),0))*VLOOKUP($D257,素材!$1:$1016,COLUMN($E$1),FALSE),0),"")</f>
        <v>5</v>
      </c>
      <c r="I257">
        <f>IFERROR(ROUNDDOWN((VLOOKUP($C257,装備品!$1:$998,COLUMN(G$1),FALSE)+IFERROR(VLOOKUP($CI257,付与!$1:$1167,COLUMN(I$1),FALSE),0))*VLOOKUP($D257,素材!$1:$1016,COLUMN($E$1),FALSE),0),"")</f>
        <v>0</v>
      </c>
      <c r="J257">
        <f>IFERROR(ROUNDDOWN((VLOOKUP($C257,装備品!$1:$998,COLUMN(H$1),FALSE)+IFERROR(VLOOKUP($CI257,付与!$1:$1167,COLUMN(J$1),FALSE),0))*VLOOKUP($D257,素材!$1:$1016,COLUMN($E$1),FALSE),0),"")</f>
        <v>0</v>
      </c>
      <c r="K257">
        <f>IFERROR(ROUNDDOWN((VLOOKUP($C257,装備品!$1:$998,COLUMN(I$1),FALSE)+IFERROR(VLOOKUP($CI257,付与!$1:$1167,COLUMN(K$1),FALSE),0))*VLOOKUP($D257,素材!$1:$1016,COLUMN($E$1),FALSE),0),"")</f>
        <v>23</v>
      </c>
      <c r="L257" t="str">
        <f>IFERROR(VLOOKUP($D257,素材!$1:$1016,COLUMN($F$1),FALSE),"")</f>
        <v>炎</v>
      </c>
      <c r="M257">
        <f>IFERROR(VLOOKUP($C257,装備品!$1:$998,COLUMN(AA$1),FALSE)*VLOOKUP($D257,素材!$1:$1016,COLUMN($G$1),FALSE),"")</f>
        <v>70</v>
      </c>
      <c r="N257">
        <f>IFERROR(VLOOKUP($C257,装備品!$1:$998,COLUMN(I$1),FALSE),"")</f>
        <v>1.1499999999999999</v>
      </c>
      <c r="O257" s="23">
        <f>IFERROR((VLOOKUP($C257,装備品!$1:$998,COLUMN(K$1),FALSE)+VLOOKUP($D257,素材!$1:$1016,COLUMN(H$1),FALSE))*100+IFERROR(VLOOKUP($CI257,付与!$1:$1167,COLUMN(O$1),FALSE),0),"")</f>
        <v>10</v>
      </c>
      <c r="P257" s="23">
        <f>IFERROR((VLOOKUP($C257,装備品!$1:$998,COLUMN(L$1),FALSE)+VLOOKUP($D257,素材!$1:$1016,COLUMN(I$1),FALSE))*100+IFERROR(VLOOKUP($CI257,付与!$1:$1167,COLUMN(P$1),FALSE),0),"")</f>
        <v>130</v>
      </c>
      <c r="Q257">
        <f>IFERROR(ROUNDUP(VLOOKUP($C257,装備品!$1:$998,COLUMN(M$1),FALSE)*(VLOOKUP($D257,素材!$1:$1002,COLUMN(D$1),FALSE)/100),1),"")</f>
        <v>-5</v>
      </c>
      <c r="R257">
        <f>IFERROR(ROUNDUP(VLOOKUP($C257,装備品!$1:$998,COLUMN(N$1),FALSE)*(VLOOKUP($D257,素材!$1:$1002,COLUMN(D$1),FALSE)/100),1),"")</f>
        <v>-2.5</v>
      </c>
      <c r="S257">
        <f>IFERROR(VLOOKUP($C257,装備品!$1:$998,COLUMN(P$1),FALSE),"")</f>
        <v>0</v>
      </c>
      <c r="T257">
        <f>IFERROR(VLOOKUP($C257,装備品!$1:$998,COLUMN(Q$1),FALSE),"")</f>
        <v>0</v>
      </c>
      <c r="U257">
        <f>IFERROR(VLOOKUP($C257,装備品!$1:$998,COLUMN(R$1),FALSE),"")</f>
        <v>0</v>
      </c>
      <c r="V257">
        <f>IFERROR(VLOOKUP($C257,装備品!$1:$998,COLUMN(Q$1),FALSE),"")</f>
        <v>0</v>
      </c>
      <c r="W257">
        <f>IFERROR(VLOOKUP($C257,装備品!$1:$998,COLUMN(T$1),FALSE),"")</f>
        <v>0</v>
      </c>
      <c r="Y257">
        <f>IFERROR(VLOOKUP($C257,装備品!$1:$998,COLUMN(U$1),FALSE),"")</f>
        <v>2</v>
      </c>
      <c r="Z257">
        <f>IFERROR(ROUNDUP(VLOOKUP($C257,装備品!$1:$998,COLUMN(O$1),FALSE)*VLOOKUP($D257,素材!$1:$1016,COLUMN(E$1),FALSE),1),"")</f>
        <v>0</v>
      </c>
      <c r="AA257">
        <f>IF(ISNUMBER(SEARCH(SUBSTITUTE(AA$1,RIGHT(AA$1,2),""),VLOOKUP($D257,素材!$1:$1016,COLUMN($F$1),FALSE))),VLOOKUP($C257,装備品!$1:$998,COLUMN($O$1),FALSE)*VLOOKUP($D257,素材!$1:$1016,COLUMN($E$1),FALSE)/(LEN(VLOOKUP($D257,素材!$1:$1016,COLUMN($F$1),FALSE))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B257">
        <f>IF(ISNUMBER(SEARCH(SUBSTITUTE(AB$1,RIGHT(AB$1,2),""),VLOOKUP($D257,素材!$1:$1016,COLUMN($F$1),FALSE))),VLOOKUP($C257,装備品!$1:$998,COLUMN($O$1),FALSE)*VLOOKUP($D257,素材!$1:$1016,COLUMN($E$1),FALSE)/(LEN(VLOOKUP($D257,素材!$1:$1016,COLUMN($F$1),FALSE))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C257">
        <f>IF(ISNUMBER(SEARCH(SUBSTITUTE(AC$1,RIGHT(AC$1,2),""),VLOOKUP($D257,素材!$1:$1016,COLUMN($F$1),FALSE))),VLOOKUP($C257,装備品!$1:$998,COLUMN($O$1),FALSE)*VLOOKUP($D257,素材!$1:$1016,COLUMN($E$1),FALSE)/(LEN(VLOOKUP($D257,素材!$1:$1016,COLUMN($F$1),FALSE))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D257">
        <f>IF(ISNUMBER(SEARCH(SUBSTITUTE(AD$1,RIGHT(AD$1,2),""),VLOOKUP($D257,素材!$1:$1016,COLUMN($F$1),FALSE))),VLOOKUP($C257,装備品!$1:$998,COLUMN($O$1),FALSE)*VLOOKUP($D257,素材!$1:$1016,COLUMN($E$1),FALSE)/(LEN(VLOOKUP($D257,素材!$1:$1016,COLUMN($F$1),FALSE))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E257">
        <f>IF(ISNUMBER(SEARCH(SUBSTITUTE(AE$1,RIGHT(AE$1,2),""),VLOOKUP($D257,素材!$1:$1016,COLUMN($F$1),FALSE))),VLOOKUP($C257,装備品!$1:$998,COLUMN($O$1),FALSE)*VLOOKUP($D257,素材!$1:$1016,COLUMN($E$1),FALSE)/(LEN(VLOOKUP($D257,素材!$1:$1016,COLUMN($F$1),FALSE))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F257">
        <f>IF(ISNUMBER(SEARCH(SUBSTITUTE(AF$1,RIGHT(AF$1,2),""),VLOOKUP($D257,素材!$1:$1016,COLUMN($F$1),FALSE))),VLOOKUP($C257,装備品!$1:$998,COLUMN($O$1),FALSE)*VLOOKUP($D257,素材!$1:$1016,COLUMN($E$1),FALSE)/(LEN(VLOOKUP($D257,素材!$1:$1016,COLUMN($F$1),FALSE))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G257">
        <f>IF(ISNUMBER(SEARCH(SUBSTITUTE(AG$1,RIGHT(AG$1,2),""),VLOOKUP($D257,素材!$1:$1016,COLUMN($F$1),FALSE))),VLOOKUP($C257,装備品!$1:$998,COLUMN($O$1),FALSE)*VLOOKUP($D257,素材!$1:$1016,COLUMN($E$1),FALSE)/(LEN(VLOOKUP($D257,素材!$1:$1016,COLUMN($F$1),FALSE))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H257">
        <f>IF(ISNUMBER(SEARCH(SUBSTITUTE(AH$1,RIGHT(AH$1,2),""),VLOOKUP($D257,素材!$1:$1016,COLUMN($F$1),FALSE))),VLOOKUP($C257,装備品!$1:$998,COLUMN($O$1),FALSE)*VLOOKUP($D257,素材!$1:$1016,COLUMN($E$1),FALSE)/(LEN(VLOOKUP($D257,素材!$1:$1016,COLUMN($F$1),FALSE))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I257">
        <f>IF(ISNUMBER(SEARCH(SUBSTITUTE(AI$1,RIGHT(AI$1,2),""),VLOOKUP($D257,素材!$1:$1016,COLUMN($F$1),FALSE))),VLOOKUP($C257,装備品!$1:$998,COLUMN($O$1),FALSE)*VLOOKUP($D257,素材!$1:$1016,COLUMN($E$1),FALSE)/(LEN(VLOOKUP($D257,素材!$1:$1016,COLUMN($F$1),FALSE))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J257">
        <f>IF(ISNUMBER(SEARCH(SUBSTITUTE(AJ$1,RIGHT(AJ$1,2),""),VLOOKUP($D257,素材!$1:$1016,COLUMN($F$1),FALSE))),VLOOKUP($C257,装備品!$1:$998,COLUMN($O$1),FALSE)*VLOOKUP($D257,素材!$1:$1016,COLUMN($E$1),FALSE)/(LEN(VLOOKUP($D257,素材!$1:$1016,COLUMN($F$1),FALSE))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K257">
        <f>IF(ISNUMBER(SEARCH(SUBSTITUTE(AK$1,RIGHT(AK$1,2),""),VLOOKUP($D257,素材!$1:$1016,COLUMN($F$1),FALSE))),VLOOKUP($C257,装備品!$1:$998,COLUMN($O$1),FALSE)*VLOOKUP($D257,素材!$1:$1016,COLUMN($E$1),FALSE)/(LEN(VLOOKUP($D257,素材!$1:$1016,COLUMN($F$1),FALSE))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L257">
        <f>IF(ISNUMBER(SEARCH(SUBSTITUTE(AL$1,RIGHT(AL$1,2),""),VLOOKUP($D257,素材!$1:$1016,COLUMN($F$1),FALSE))),VLOOKUP($C257,装備品!$1:$998,COLUMN($O$1),FALSE)*VLOOKUP($D257,素材!$1:$1016,COLUMN($E$1),FALSE)/(LEN(VLOOKUP($D257,素材!$1:$1016,COLUMN($F$1),FALSE))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M257">
        <f>IF(ISNUMBER(SEARCH(SUBSTITUTE(AM$1,RIGHT(AM$1,2),""),VLOOKUP($D257,素材!$1:$1016,COLUMN($F$1),FALSE))),VLOOKUP($C257,装備品!$1:$998,COLUMN($O$1),FALSE)*VLOOKUP($D257,素材!$1:$1016,COLUMN($E$1),FALSE)/(LEN(VLOOKUP($D257,素材!$1:$1016,COLUMN($F$1),FALSE))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N257">
        <f>IF(ISNUMBER(SEARCH(SUBSTITUTE(AN$1,RIGHT(AN$1,2),""),VLOOKUP($D257,素材!$1:$1016,COLUMN($F$1),FALSE))),VLOOKUP($C257,装備品!$1:$998,COLUMN($O$1),FALSE)*VLOOKUP($D257,素材!$1:$1016,COLUMN($E$1),FALSE)/(LEN(VLOOKUP($D257,素材!$1:$1016,COLUMN($F$1),FALSE))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O257">
        <f>IF(ISNUMBER(SEARCH(SUBSTITUTE(AO$1,RIGHT(AO$1,2),""),VLOOKUP($D257,素材!$1:$1016,COLUMN($F$1),FALSE))),VLOOKUP($C257,装備品!$1:$998,COLUMN($O$1),FALSE)*VLOOKUP($D257,素材!$1:$1016,COLUMN($E$1),FALSE)/(LEN(VLOOKUP($D257,素材!$1:$1016,COLUMN($F$1),FALSE))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P257">
        <f>IF(ISNUMBER(SEARCH(SUBSTITUTE(AP$1,RIGHT(AP$1,2),""),VLOOKUP($D257,素材!$1:$1016,COLUMN($F$1),FALSE))),VLOOKUP($C257,装備品!$1:$998,COLUMN($O$1),FALSE)*VLOOKUP($D257,素材!$1:$1016,COLUMN($E$1),FALSE)/(LEN(VLOOKUP($D257,素材!$1:$1016,COLUMN($F$1),FALSE))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Q257">
        <f>IF(ISNUMBER(SEARCH(SUBSTITUTE(AQ$1,RIGHT(AQ$1,2),""),VLOOKUP($D257,素材!$1:$1016,COLUMN($F$1),FALSE))),VLOOKUP($C257,装備品!$1:$998,COLUMN($O$1),FALSE)*VLOOKUP($D257,素材!$1:$1016,COLUMN($E$1),FALSE)/(LEN(VLOOKUP($D257,素材!$1:$1016,COLUMN($F$1),FALSE))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R257">
        <f>IF(ISNUMBER(SEARCH(SUBSTITUTE(AR$1,RIGHT(AR$1,2),""),VLOOKUP($D257,素材!$1:$1016,COLUMN($F$1),FALSE))),VLOOKUP($C257,装備品!$1:$998,COLUMN($O$1),FALSE)*VLOOKUP($D257,素材!$1:$1016,COLUMN($E$1),FALSE)/(LEN(VLOOKUP($D257,素材!$1:$1016,COLUMN($F$1),FALSE))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S257">
        <f>IF(ISNUMBER(SEARCH(SUBSTITUTE(AS$1,RIGHT(AS$1,2),""),VLOOKUP($D257,素材!$1:$1016,COLUMN($F$1),FALSE))),VLOOKUP($C257,装備品!$1:$998,COLUMN($O$1),FALSE)*VLOOKUP($D257,素材!$1:$1016,COLUMN($E$1),FALSE)/(LEN(VLOOKUP($D257,素材!$1:$1016,COLUMN($F$1),FALSE))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T257">
        <f>IF(ISNUMBER(SEARCH(SUBSTITUTE(AT$1,RIGHT(AT$1,2),""),VLOOKUP($D257,素材!$1:$1016,COLUMN($F$1),FALSE))),VLOOKUP($C257,装備品!$1:$998,COLUMN($O$1),FALSE)*VLOOKUP($D257,素材!$1:$1016,COLUMN($E$1),FALSE)/(LEN(VLOOKUP($D257,素材!$1:$1016,COLUMN($F$1),FALSE))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U257">
        <f>IF(ISNUMBER(SEARCH(SUBSTITUTE(AU$1,RIGHT(AU$1,2),""),VLOOKUP($D257,素材!$1:$1016,COLUMN($F$1),FALSE))),VLOOKUP($C257,装備品!$1:$998,COLUMN($O$1),FALSE)*VLOOKUP($D257,素材!$1:$1016,COLUMN($E$1),FALSE)/(LEN(VLOOKUP($D257,素材!$1:$1016,COLUMN($F$1),FALSE))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V257">
        <f>IF(ISNUMBER(SEARCH(SUBSTITUTE(AV$1,RIGHT(AV$1,2),""),VLOOKUP($D257,素材!$1:$1016,COLUMN($F$1),FALSE))),VLOOKUP($C257,装備品!$1:$998,COLUMN($O$1),FALSE)*VLOOKUP($D257,素材!$1:$1016,COLUMN($E$1),FALSE)/(LEN(VLOOKUP($D257,素材!$1:$1016,COLUMN($F$1),FALSE))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W257">
        <f>IF(ISNUMBER(SEARCH(SUBSTITUTE(AW$1,RIGHT(AW$1,2),""),VLOOKUP($D257,素材!$1:$1016,COLUMN($F$1),FALSE))),VLOOKUP($C257,装備品!$1:$998,COLUMN($O$1),FALSE)*VLOOKUP($D257,素材!$1:$1016,COLUMN($E$1),FALSE)/(LEN(VLOOKUP($D257,素材!$1:$1016,COLUMN($F$1),FALSE))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X257">
        <f>IF(ISNUMBER(SEARCH(SUBSTITUTE(AX$1,RIGHT(AX$1,2),""),VLOOKUP($D257,素材!$1:$1016,COLUMN($F$1),FALSE))),VLOOKUP($C257,装備品!$1:$998,COLUMN($O$1),FALSE)*VLOOKUP($D257,素材!$1:$1016,COLUMN($E$1),FALSE)/(LEN(VLOOKUP($D257,素材!$1:$1016,COLUMN($F$1),FALSE))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Y257">
        <f>IF(ISNUMBER(SEARCH(SUBSTITUTE(AY$1,RIGHT(AY$1,2),""),VLOOKUP($D257,素材!$1:$1016,COLUMN($F$1),FALSE))),VLOOKUP($C257,装備品!$1:$998,COLUMN($O$1),FALSE)*VLOOKUP($D257,素材!$1:$1016,COLUMN($E$1),FALSE)/(LEN(VLOOKUP($D257,素材!$1:$1016,COLUMN($F$1),FALSE))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Z257">
        <f>IF(ISNUMBER(SEARCH(SUBSTITUTE(AZ$1,RIGHT(AZ$1,2),""),VLOOKUP($D257,素材!$1:$1016,COLUMN($F$1),FALSE))),VLOOKUP($C257,装備品!$1:$998,COLUMN($O$1),FALSE)*VLOOKUP($D257,素材!$1:$1016,COLUMN($E$1),FALSE)/(LEN(VLOOKUP($D257,素材!$1:$1016,COLUMN($F$1),FALSE))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BA257">
        <f>IF(ISNUMBER(SEARCH(SUBSTITUTE(BA$1,RIGHT(BA$1,2),""),VLOOKUP($D257,素材!$1:$1016,COLUMN($F$1),FALSE))),VLOOKUP($C257,装備品!$1:$998,COLUMN($O$1),FALSE)*VLOOKUP($D257,素材!$1:$1016,COLUMN($E$1),FALSE)/(LEN(VLOOKUP($D257,素材!$1:$1016,COLUMN($F$1),FALSE))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BB257">
        <f>IF(ISNUMBER(SEARCH(SUBSTITUTE(BB$1,RIGHT(BB$1,2),""),VLOOKUP($D257,素材!$1:$1016,COLUMN($F$1),FALSE))),VLOOKUP($C257,装備品!$1:$998,COLUMN($O$1),FALSE)*VLOOKUP($D257,素材!$1:$1016,COLUMN($E$1),FALSE)/(LEN(VLOOKUP($D257,素材!$1:$1016,COLUMN($F$1),FALSE))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BC257">
        <f>IF(ISNUMBER(SEARCH(SUBSTITUTE(BC$1,RIGHT(BC$1,2),""),VLOOKUP($D257,素材!$1:$1016,COLUMN($F$1),FALSE))),VLOOKUP($C257,装備品!$1:$998,COLUMN($O$1),FALSE)*VLOOKUP($D257,素材!$1:$1016,COLUMN($E$1),FALSE)/(LEN(VLOOKUP($D257,素材!$1:$1016,COLUMN($F$1),FALSE))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BD257">
        <f>IF(ISNUMBER(SEARCH(SUBSTITUTE(BD$1,RIGHT(BD$1,2),""),VLOOKUP($D257,素材!$1:$1016,COLUMN($F$1),FALSE))),VLOOKUP($C257,装備品!$1:$998,COLUMN($O$1),FALSE)*VLOOKUP($D257,素材!$1:$1016,COLUMN($E$1),FALSE)/(LEN(VLOOKUP($D257,素材!$1:$1016,COLUMN($F$1),FALSE))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BE257">
        <f>IF(ISNUMBER(SEARCH(SUBSTITUTE(BE$1,RIGHT(BE$1,2),""),VLOOKUP($D257,素材!$1:$1016,COLUMN($F$1),FALSE))),VLOOKUP($C257,装備品!$1:$998,COLUMN($O$1),FALSE)*VLOOKUP($D257,素材!$1:$1016,COLUMN($E$1),FALSE)/(LEN(VLOOKUP($D257,素材!$1:$1016,COLUMN($F$1),FALSE))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CL257">
        <f t="shared" si="35"/>
        <v>10</v>
      </c>
      <c r="CM257" s="22" t="str">
        <f t="shared" si="36"/>
        <v>切断.webp</v>
      </c>
      <c r="CN257">
        <f>IFERROR(VLOOKUP($C257,装備品!$1:$998,COLUMN(V$1),FALSE)*VLOOKUP($D257,素材!$1:$1016,COLUMN(N$1),FALSE)+IF(CI257="",0,VLOOKUP($CI257,付与!$1:$1176,COLUMN($CK$1),FALSE)),"")</f>
        <v>0</v>
      </c>
      <c r="CO257">
        <f>VLOOKUP(D257,素材!$A:$O,COLUMN(素材!O$1),FALSE)</f>
        <v>0</v>
      </c>
      <c r="CP257" t="str">
        <f>VLOOKUP(C257,装備品!$A:$AB,COLUMN(装備品!AB$1),FALSE)</f>
        <v>長弓。射程が長く、高い威力を持つ。</v>
      </c>
      <c r="CR257" t="str">
        <f t="shared" si="37"/>
        <v>e_257</v>
      </c>
      <c r="CS257">
        <f t="shared" si="38"/>
        <v>0</v>
      </c>
    </row>
    <row r="258" spans="1:97" outlineLevel="1" x14ac:dyDescent="0.4">
      <c r="A258" t="str">
        <f t="shared" si="40"/>
        <v>熱鉄の杖</v>
      </c>
      <c r="B258" t="str">
        <f>IFERROR(VLOOKUP($D258,素材!$1:$1016,COLUMN($B$1),FALSE)&amp;"・"&amp;VLOOKUP($C258,装備品!$1:$998,COLUMN(B$1),FALSE),"")</f>
        <v>ヒートスティール・ロッド</v>
      </c>
      <c r="C258" t="s">
        <v>215</v>
      </c>
      <c r="D258" s="24" t="s">
        <v>204</v>
      </c>
      <c r="E258" t="str">
        <f>IFERROR(VLOOKUP(C258,装備品!$1:$998,COLUMN(C$1),FALSE),"")</f>
        <v>杖</v>
      </c>
      <c r="F258">
        <f>IFERROR(ROUNDDOWN((VLOOKUP($C258,装備品!$1:$998,COLUMN(D$1),FALSE)+IFERROR(VLOOKUP($CI258,付与!$1:$1167,COLUMN(F$1),FALSE),0))*VLOOKUP($D258,素材!$1:$1016,COLUMN(D$1),FALSE),0),"")</f>
        <v>110</v>
      </c>
      <c r="G258">
        <f>IFERROR(ROUNDDOWN((VLOOKUP($C258,装備品!$1:$998,COLUMN(E$1),FALSE)+IFERROR(VLOOKUP($CI258,付与!$1:$1167,COLUMN(G$1),FALSE),0))*VLOOKUP($D258,素材!$1:$1016,COLUMN($E$1),FALSE),0),"")</f>
        <v>0</v>
      </c>
      <c r="H258">
        <f>IFERROR(ROUNDDOWN((VLOOKUP($C258,装備品!$1:$998,COLUMN(F$1),FALSE)+IFERROR(VLOOKUP($CI258,付与!$1:$1167,COLUMN(H$1),FALSE),0))*VLOOKUP($D258,素材!$1:$1016,COLUMN($E$1),FALSE),0),"")</f>
        <v>5</v>
      </c>
      <c r="I258">
        <f>IFERROR(ROUNDDOWN((VLOOKUP($C258,装備品!$1:$998,COLUMN(G$1),FALSE)+IFERROR(VLOOKUP($CI258,付与!$1:$1167,COLUMN(I$1),FALSE),0))*VLOOKUP($D258,素材!$1:$1016,COLUMN($E$1),FALSE),0),"")</f>
        <v>14</v>
      </c>
      <c r="J258">
        <f>IFERROR(ROUNDDOWN((VLOOKUP($C258,装備品!$1:$998,COLUMN(H$1),FALSE)+IFERROR(VLOOKUP($CI258,付与!$1:$1167,COLUMN(J$1),FALSE),0))*VLOOKUP($D258,素材!$1:$1016,COLUMN($E$1),FALSE),0),"")</f>
        <v>18</v>
      </c>
      <c r="K258">
        <f>IFERROR(ROUNDDOWN((VLOOKUP($C258,装備品!$1:$998,COLUMN(I$1),FALSE)+IFERROR(VLOOKUP($CI258,付与!$1:$1167,COLUMN(K$1),FALSE),0))*VLOOKUP($D258,素材!$1:$1016,COLUMN($E$1),FALSE),0),"")</f>
        <v>0</v>
      </c>
      <c r="L258" t="str">
        <f>IFERROR(VLOOKUP($D258,素材!$1:$1016,COLUMN($F$1),FALSE),"")</f>
        <v>炎</v>
      </c>
      <c r="M258">
        <f>IFERROR(VLOOKUP($C258,装備品!$1:$998,COLUMN(AA$1),FALSE)*VLOOKUP($D258,素材!$1:$1016,COLUMN($G$1),FALSE),"")</f>
        <v>70</v>
      </c>
      <c r="N258">
        <f>IFERROR(VLOOKUP($C258,装備品!$1:$998,COLUMN(I$1),FALSE),"")</f>
        <v>0</v>
      </c>
      <c r="O258" s="23">
        <f>IFERROR((VLOOKUP($C258,装備品!$1:$998,COLUMN(K$1),FALSE)+VLOOKUP($D258,素材!$1:$1016,COLUMN(H$1),FALSE))*100+IFERROR(VLOOKUP($CI258,付与!$1:$1167,COLUMN(O$1),FALSE),0),"")</f>
        <v>5</v>
      </c>
      <c r="P258" s="23">
        <f>IFERROR((VLOOKUP($C258,装備品!$1:$998,COLUMN(L$1),FALSE)+VLOOKUP($D258,素材!$1:$1016,COLUMN(I$1),FALSE))*100+IFERROR(VLOOKUP($CI258,付与!$1:$1167,COLUMN(P$1),FALSE),0),"")</f>
        <v>150</v>
      </c>
      <c r="Q258">
        <f>IFERROR(ROUNDUP(VLOOKUP($C258,装備品!$1:$998,COLUMN(M$1),FALSE)*(VLOOKUP($D258,素材!$1:$1002,COLUMN(D$1),FALSE)/100),1),"")</f>
        <v>0</v>
      </c>
      <c r="R258">
        <f>IFERROR(ROUNDUP(VLOOKUP($C258,装備品!$1:$998,COLUMN(N$1),FALSE)*(VLOOKUP($D258,素材!$1:$1002,COLUMN(D$1),FALSE)/100),1),"")</f>
        <v>0</v>
      </c>
      <c r="S258">
        <f>IFERROR(VLOOKUP($C258,装備品!$1:$998,COLUMN(P$1),FALSE),"")</f>
        <v>0</v>
      </c>
      <c r="T258">
        <f>IFERROR(VLOOKUP($C258,装備品!$1:$998,COLUMN(Q$1),FALSE),"")</f>
        <v>0</v>
      </c>
      <c r="U258">
        <f>IFERROR(VLOOKUP($C258,装備品!$1:$998,COLUMN(R$1),FALSE),"")</f>
        <v>0</v>
      </c>
      <c r="V258">
        <f>IFERROR(VLOOKUP($C258,装備品!$1:$998,COLUMN(Q$1),FALSE),"")</f>
        <v>0</v>
      </c>
      <c r="W258">
        <f>IFERROR(VLOOKUP($C258,装備品!$1:$998,COLUMN(T$1),FALSE),"")</f>
        <v>0</v>
      </c>
      <c r="Y258">
        <f>IFERROR(VLOOKUP($C258,装備品!$1:$998,COLUMN(U$1),FALSE),"")</f>
        <v>0</v>
      </c>
      <c r="Z258">
        <f>IFERROR(ROUNDUP(VLOOKUP($C258,装備品!$1:$998,COLUMN(O$1),FALSE)*VLOOKUP($D258,素材!$1:$1016,COLUMN(E$1),FALSE),1),"")</f>
        <v>0</v>
      </c>
      <c r="AA258">
        <f>IF(ISNUMBER(SEARCH(SUBSTITUTE(AA$1,RIGHT(AA$1,2),""),VLOOKUP($D258,素材!$1:$1016,COLUMN($F$1),FALSE))),VLOOKUP($C258,装備品!$1:$998,COLUMN($O$1),FALSE)*VLOOKUP($D258,素材!$1:$1016,COLUMN($E$1),FALSE)/(LEN(VLOOKUP($D258,素材!$1:$1016,COLUMN($F$1),FALSE))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B258">
        <f>IF(ISNUMBER(SEARCH(SUBSTITUTE(AB$1,RIGHT(AB$1,2),""),VLOOKUP($D258,素材!$1:$1016,COLUMN($F$1),FALSE))),VLOOKUP($C258,装備品!$1:$998,COLUMN($O$1),FALSE)*VLOOKUP($D258,素材!$1:$1016,COLUMN($E$1),FALSE)/(LEN(VLOOKUP($D258,素材!$1:$1016,COLUMN($F$1),FALSE))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C258">
        <f>IF(ISNUMBER(SEARCH(SUBSTITUTE(AC$1,RIGHT(AC$1,2),""),VLOOKUP($D258,素材!$1:$1016,COLUMN($F$1),FALSE))),VLOOKUP($C258,装備品!$1:$998,COLUMN($O$1),FALSE)*VLOOKUP($D258,素材!$1:$1016,COLUMN($E$1),FALSE)/(LEN(VLOOKUP($D258,素材!$1:$1016,COLUMN($F$1),FALSE))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D258">
        <f>IF(ISNUMBER(SEARCH(SUBSTITUTE(AD$1,RIGHT(AD$1,2),""),VLOOKUP($D258,素材!$1:$1016,COLUMN($F$1),FALSE))),VLOOKUP($C258,装備品!$1:$998,COLUMN($O$1),FALSE)*VLOOKUP($D258,素材!$1:$1016,COLUMN($E$1),FALSE)/(LEN(VLOOKUP($D258,素材!$1:$1016,COLUMN($F$1),FALSE))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E258">
        <f>IF(ISNUMBER(SEARCH(SUBSTITUTE(AE$1,RIGHT(AE$1,2),""),VLOOKUP($D258,素材!$1:$1016,COLUMN($F$1),FALSE))),VLOOKUP($C258,装備品!$1:$998,COLUMN($O$1),FALSE)*VLOOKUP($D258,素材!$1:$1016,COLUMN($E$1),FALSE)/(LEN(VLOOKUP($D258,素材!$1:$1016,COLUMN($F$1),FALSE))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F258">
        <f>IF(ISNUMBER(SEARCH(SUBSTITUTE(AF$1,RIGHT(AF$1,2),""),VLOOKUP($D258,素材!$1:$1016,COLUMN($F$1),FALSE))),VLOOKUP($C258,装備品!$1:$998,COLUMN($O$1),FALSE)*VLOOKUP($D258,素材!$1:$1016,COLUMN($E$1),FALSE)/(LEN(VLOOKUP($D258,素材!$1:$1016,COLUMN($F$1),FALSE))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G258">
        <f>IF(ISNUMBER(SEARCH(SUBSTITUTE(AG$1,RIGHT(AG$1,2),""),VLOOKUP($D258,素材!$1:$1016,COLUMN($F$1),FALSE))),VLOOKUP($C258,装備品!$1:$998,COLUMN($O$1),FALSE)*VLOOKUP($D258,素材!$1:$1016,COLUMN($E$1),FALSE)/(LEN(VLOOKUP($D258,素材!$1:$1016,COLUMN($F$1),FALSE))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H258">
        <f>IF(ISNUMBER(SEARCH(SUBSTITUTE(AH$1,RIGHT(AH$1,2),""),VLOOKUP($D258,素材!$1:$1016,COLUMN($F$1),FALSE))),VLOOKUP($C258,装備品!$1:$998,COLUMN($O$1),FALSE)*VLOOKUP($D258,素材!$1:$1016,COLUMN($E$1),FALSE)/(LEN(VLOOKUP($D258,素材!$1:$1016,COLUMN($F$1),FALSE))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I258">
        <f>IF(ISNUMBER(SEARCH(SUBSTITUTE(AI$1,RIGHT(AI$1,2),""),VLOOKUP($D258,素材!$1:$1016,COLUMN($F$1),FALSE))),VLOOKUP($C258,装備品!$1:$998,COLUMN($O$1),FALSE)*VLOOKUP($D258,素材!$1:$1016,COLUMN($E$1),FALSE)/(LEN(VLOOKUP($D258,素材!$1:$1016,COLUMN($F$1),FALSE))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J258">
        <f>IF(ISNUMBER(SEARCH(SUBSTITUTE(AJ$1,RIGHT(AJ$1,2),""),VLOOKUP($D258,素材!$1:$1016,COLUMN($F$1),FALSE))),VLOOKUP($C258,装備品!$1:$998,COLUMN($O$1),FALSE)*VLOOKUP($D258,素材!$1:$1016,COLUMN($E$1),FALSE)/(LEN(VLOOKUP($D258,素材!$1:$1016,COLUMN($F$1),FALSE))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K258">
        <f>IF(ISNUMBER(SEARCH(SUBSTITUTE(AK$1,RIGHT(AK$1,2),""),VLOOKUP($D258,素材!$1:$1016,COLUMN($F$1),FALSE))),VLOOKUP($C258,装備品!$1:$998,COLUMN($O$1),FALSE)*VLOOKUP($D258,素材!$1:$1016,COLUMN($E$1),FALSE)/(LEN(VLOOKUP($D258,素材!$1:$1016,COLUMN($F$1),FALSE))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L258">
        <f>IF(ISNUMBER(SEARCH(SUBSTITUTE(AL$1,RIGHT(AL$1,2),""),VLOOKUP($D258,素材!$1:$1016,COLUMN($F$1),FALSE))),VLOOKUP($C258,装備品!$1:$998,COLUMN($O$1),FALSE)*VLOOKUP($D258,素材!$1:$1016,COLUMN($E$1),FALSE)/(LEN(VLOOKUP($D258,素材!$1:$1016,COLUMN($F$1),FALSE))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M258">
        <f>IF(ISNUMBER(SEARCH(SUBSTITUTE(AM$1,RIGHT(AM$1,2),""),VLOOKUP($D258,素材!$1:$1016,COLUMN($F$1),FALSE))),VLOOKUP($C258,装備品!$1:$998,COLUMN($O$1),FALSE)*VLOOKUP($D258,素材!$1:$1016,COLUMN($E$1),FALSE)/(LEN(VLOOKUP($D258,素材!$1:$1016,COLUMN($F$1),FALSE))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N258">
        <f>IF(ISNUMBER(SEARCH(SUBSTITUTE(AN$1,RIGHT(AN$1,2),""),VLOOKUP($D258,素材!$1:$1016,COLUMN($F$1),FALSE))),VLOOKUP($C258,装備品!$1:$998,COLUMN($O$1),FALSE)*VLOOKUP($D258,素材!$1:$1016,COLUMN($E$1),FALSE)/(LEN(VLOOKUP($D258,素材!$1:$1016,COLUMN($F$1),FALSE))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O258">
        <f>IF(ISNUMBER(SEARCH(SUBSTITUTE(AO$1,RIGHT(AO$1,2),""),VLOOKUP($D258,素材!$1:$1016,COLUMN($F$1),FALSE))),VLOOKUP($C258,装備品!$1:$998,COLUMN($O$1),FALSE)*VLOOKUP($D258,素材!$1:$1016,COLUMN($E$1),FALSE)/(LEN(VLOOKUP($D258,素材!$1:$1016,COLUMN($F$1),FALSE))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P258">
        <f>IF(ISNUMBER(SEARCH(SUBSTITUTE(AP$1,RIGHT(AP$1,2),""),VLOOKUP($D258,素材!$1:$1016,COLUMN($F$1),FALSE))),VLOOKUP($C258,装備品!$1:$998,COLUMN($O$1),FALSE)*VLOOKUP($D258,素材!$1:$1016,COLUMN($E$1),FALSE)/(LEN(VLOOKUP($D258,素材!$1:$1016,COLUMN($F$1),FALSE))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Q258">
        <f>IF(ISNUMBER(SEARCH(SUBSTITUTE(AQ$1,RIGHT(AQ$1,2),""),VLOOKUP($D258,素材!$1:$1016,COLUMN($F$1),FALSE))),VLOOKUP($C258,装備品!$1:$998,COLUMN($O$1),FALSE)*VLOOKUP($D258,素材!$1:$1016,COLUMN($E$1),FALSE)/(LEN(VLOOKUP($D258,素材!$1:$1016,COLUMN($F$1),FALSE))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R258">
        <f>IF(ISNUMBER(SEARCH(SUBSTITUTE(AR$1,RIGHT(AR$1,2),""),VLOOKUP($D258,素材!$1:$1016,COLUMN($F$1),FALSE))),VLOOKUP($C258,装備品!$1:$998,COLUMN($O$1),FALSE)*VLOOKUP($D258,素材!$1:$1016,COLUMN($E$1),FALSE)/(LEN(VLOOKUP($D258,素材!$1:$1016,COLUMN($F$1),FALSE))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S258">
        <f>IF(ISNUMBER(SEARCH(SUBSTITUTE(AS$1,RIGHT(AS$1,2),""),VLOOKUP($D258,素材!$1:$1016,COLUMN($F$1),FALSE))),VLOOKUP($C258,装備品!$1:$998,COLUMN($O$1),FALSE)*VLOOKUP($D258,素材!$1:$1016,COLUMN($E$1),FALSE)/(LEN(VLOOKUP($D258,素材!$1:$1016,COLUMN($F$1),FALSE))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T258">
        <f>IF(ISNUMBER(SEARCH(SUBSTITUTE(AT$1,RIGHT(AT$1,2),""),VLOOKUP($D258,素材!$1:$1016,COLUMN($F$1),FALSE))),VLOOKUP($C258,装備品!$1:$998,COLUMN($O$1),FALSE)*VLOOKUP($D258,素材!$1:$1016,COLUMN($E$1),FALSE)/(LEN(VLOOKUP($D258,素材!$1:$1016,COLUMN($F$1),FALSE))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U258">
        <f>IF(ISNUMBER(SEARCH(SUBSTITUTE(AU$1,RIGHT(AU$1,2),""),VLOOKUP($D258,素材!$1:$1016,COLUMN($F$1),FALSE))),VLOOKUP($C258,装備品!$1:$998,COLUMN($O$1),FALSE)*VLOOKUP($D258,素材!$1:$1016,COLUMN($E$1),FALSE)/(LEN(VLOOKUP($D258,素材!$1:$1016,COLUMN($F$1),FALSE))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V258">
        <f>IF(ISNUMBER(SEARCH(SUBSTITUTE(AV$1,RIGHT(AV$1,2),""),VLOOKUP($D258,素材!$1:$1016,COLUMN($F$1),FALSE))),VLOOKUP($C258,装備品!$1:$998,COLUMN($O$1),FALSE)*VLOOKUP($D258,素材!$1:$1016,COLUMN($E$1),FALSE)/(LEN(VLOOKUP($D258,素材!$1:$1016,COLUMN($F$1),FALSE))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W258">
        <f>IF(ISNUMBER(SEARCH(SUBSTITUTE(AW$1,RIGHT(AW$1,2),""),VLOOKUP($D258,素材!$1:$1016,COLUMN($F$1),FALSE))),VLOOKUP($C258,装備品!$1:$998,COLUMN($O$1),FALSE)*VLOOKUP($D258,素材!$1:$1016,COLUMN($E$1),FALSE)/(LEN(VLOOKUP($D258,素材!$1:$1016,COLUMN($F$1),FALSE))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X258">
        <f>IF(ISNUMBER(SEARCH(SUBSTITUTE(AX$1,RIGHT(AX$1,2),""),VLOOKUP($D258,素材!$1:$1016,COLUMN($F$1),FALSE))),VLOOKUP($C258,装備品!$1:$998,COLUMN($O$1),FALSE)*VLOOKUP($D258,素材!$1:$1016,COLUMN($E$1),FALSE)/(LEN(VLOOKUP($D258,素材!$1:$1016,COLUMN($F$1),FALSE))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Y258">
        <f>IF(ISNUMBER(SEARCH(SUBSTITUTE(AY$1,RIGHT(AY$1,2),""),VLOOKUP($D258,素材!$1:$1016,COLUMN($F$1),FALSE))),VLOOKUP($C258,装備品!$1:$998,COLUMN($O$1),FALSE)*VLOOKUP($D258,素材!$1:$1016,COLUMN($E$1),FALSE)/(LEN(VLOOKUP($D258,素材!$1:$1016,COLUMN($F$1),FALSE))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Z258">
        <f>IF(ISNUMBER(SEARCH(SUBSTITUTE(AZ$1,RIGHT(AZ$1,2),""),VLOOKUP($D258,素材!$1:$1016,COLUMN($F$1),FALSE))),VLOOKUP($C258,装備品!$1:$998,COLUMN($O$1),FALSE)*VLOOKUP($D258,素材!$1:$1016,COLUMN($E$1),FALSE)/(LEN(VLOOKUP($D258,素材!$1:$1016,COLUMN($F$1),FALSE))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BA258">
        <f>IF(ISNUMBER(SEARCH(SUBSTITUTE(BA$1,RIGHT(BA$1,2),""),VLOOKUP($D258,素材!$1:$1016,COLUMN($F$1),FALSE))),VLOOKUP($C258,装備品!$1:$998,COLUMN($O$1),FALSE)*VLOOKUP($D258,素材!$1:$1016,COLUMN($E$1),FALSE)/(LEN(VLOOKUP($D258,素材!$1:$1016,COLUMN($F$1),FALSE))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BB258">
        <f>IF(ISNUMBER(SEARCH(SUBSTITUTE(BB$1,RIGHT(BB$1,2),""),VLOOKUP($D258,素材!$1:$1016,COLUMN($F$1),FALSE))),VLOOKUP($C258,装備品!$1:$998,COLUMN($O$1),FALSE)*VLOOKUP($D258,素材!$1:$1016,COLUMN($E$1),FALSE)/(LEN(VLOOKUP($D258,素材!$1:$1016,COLUMN($F$1),FALSE))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BC258">
        <f>IF(ISNUMBER(SEARCH(SUBSTITUTE(BC$1,RIGHT(BC$1,2),""),VLOOKUP($D258,素材!$1:$1016,COLUMN($F$1),FALSE))),VLOOKUP($C258,装備品!$1:$998,COLUMN($O$1),FALSE)*VLOOKUP($D258,素材!$1:$1016,COLUMN($E$1),FALSE)/(LEN(VLOOKUP($D258,素材!$1:$1016,COLUMN($F$1),FALSE))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BD258">
        <f>IF(ISNUMBER(SEARCH(SUBSTITUTE(BD$1,RIGHT(BD$1,2),""),VLOOKUP($D258,素材!$1:$1016,COLUMN($F$1),FALSE))),VLOOKUP($C258,装備品!$1:$998,COLUMN($O$1),FALSE)*VLOOKUP($D258,素材!$1:$1016,COLUMN($E$1),FALSE)/(LEN(VLOOKUP($D258,素材!$1:$1016,COLUMN($F$1),FALSE))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BE258">
        <f>IF(ISNUMBER(SEARCH(SUBSTITUTE(BE$1,RIGHT(BE$1,2),""),VLOOKUP($D258,素材!$1:$1016,COLUMN($F$1),FALSE))),VLOOKUP($C258,装備品!$1:$998,COLUMN($O$1),FALSE)*VLOOKUP($D258,素材!$1:$1016,COLUMN($E$1),FALSE)/(LEN(VLOOKUP($D258,素材!$1:$1016,COLUMN($F$1),FALSE))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CL258">
        <f t="shared" si="35"/>
        <v>19</v>
      </c>
      <c r="CM258" s="22" t="str">
        <f t="shared" si="36"/>
        <v>杖.webp</v>
      </c>
      <c r="CN258">
        <f>IFERROR(VLOOKUP($C258,装備品!$1:$998,COLUMN(V$1),FALSE)*VLOOKUP($D258,素材!$1:$1016,COLUMN(N$1),FALSE)+IF(CI258="",0,VLOOKUP($CI258,付与!$1:$1176,COLUMN($CK$1),FALSE)),"")</f>
        <v>0</v>
      </c>
      <c r="CO258">
        <f>VLOOKUP(D258,素材!$A:$O,COLUMN(素材!O$1),FALSE)</f>
        <v>0</v>
      </c>
      <c r="CP258" t="str">
        <f>VLOOKUP(C258,装備品!$A:$AB,COLUMN(装備品!AB$1),FALSE)</f>
        <v>杖。バランスの取れた魔法武器。</v>
      </c>
      <c r="CR258" t="str">
        <f t="shared" si="37"/>
        <v>e_258</v>
      </c>
      <c r="CS258">
        <f t="shared" si="38"/>
        <v>0</v>
      </c>
    </row>
    <row r="259" spans="1:97" outlineLevel="1" x14ac:dyDescent="0.4">
      <c r="A259" t="str">
        <f t="shared" si="40"/>
        <v>熱鉄の長杖</v>
      </c>
      <c r="B259" t="str">
        <f>IFERROR(VLOOKUP($D259,素材!$1:$1016,COLUMN($B$1),FALSE)&amp;"・"&amp;VLOOKUP($C259,装備品!$1:$998,COLUMN(B$1),FALSE),"")</f>
        <v>ヒートスティール・スタッフ</v>
      </c>
      <c r="C259" t="s">
        <v>214</v>
      </c>
      <c r="D259" s="24" t="s">
        <v>204</v>
      </c>
      <c r="E259" t="str">
        <f>IFERROR(VLOOKUP(C259,装備品!$1:$998,COLUMN(C$1),FALSE),"")</f>
        <v>杖</v>
      </c>
      <c r="F259">
        <f>IFERROR(ROUNDDOWN((VLOOKUP($C259,装備品!$1:$998,COLUMN(D$1),FALSE)+IFERROR(VLOOKUP($CI259,付与!$1:$1167,COLUMN(F$1),FALSE),0))*VLOOKUP($D259,素材!$1:$1016,COLUMN(D$1),FALSE),0),"")</f>
        <v>115</v>
      </c>
      <c r="G259">
        <f>IFERROR(ROUNDDOWN((VLOOKUP($C259,装備品!$1:$998,COLUMN(E$1),FALSE)+IFERROR(VLOOKUP($CI259,付与!$1:$1167,COLUMN(G$1),FALSE),0))*VLOOKUP($D259,素材!$1:$1016,COLUMN($E$1),FALSE),0),"")</f>
        <v>0</v>
      </c>
      <c r="H259">
        <f>IFERROR(ROUNDDOWN((VLOOKUP($C259,装備品!$1:$998,COLUMN(F$1),FALSE)+IFERROR(VLOOKUP($CI259,付与!$1:$1167,COLUMN(H$1),FALSE),0))*VLOOKUP($D259,素材!$1:$1016,COLUMN($E$1),FALSE),0),"")</f>
        <v>6</v>
      </c>
      <c r="I259">
        <f>IFERROR(ROUNDDOWN((VLOOKUP($C259,装備品!$1:$998,COLUMN(G$1),FALSE)+IFERROR(VLOOKUP($CI259,付与!$1:$1167,COLUMN(I$1),FALSE),0))*VLOOKUP($D259,素材!$1:$1016,COLUMN($E$1),FALSE),0),"")</f>
        <v>16</v>
      </c>
      <c r="J259">
        <f>IFERROR(ROUNDDOWN((VLOOKUP($C259,装備品!$1:$998,COLUMN(H$1),FALSE)+IFERROR(VLOOKUP($CI259,付与!$1:$1167,COLUMN(J$1),FALSE),0))*VLOOKUP($D259,素材!$1:$1016,COLUMN($E$1),FALSE),0),"")</f>
        <v>19</v>
      </c>
      <c r="K259">
        <f>IFERROR(ROUNDDOWN((VLOOKUP($C259,装備品!$1:$998,COLUMN(I$1),FALSE)+IFERROR(VLOOKUP($CI259,付与!$1:$1167,COLUMN(K$1),FALSE),0))*VLOOKUP($D259,素材!$1:$1016,COLUMN($E$1),FALSE),0),"")</f>
        <v>0</v>
      </c>
      <c r="L259" t="str">
        <f>IFERROR(VLOOKUP($D259,素材!$1:$1016,COLUMN($F$1),FALSE),"")</f>
        <v>炎</v>
      </c>
      <c r="M259">
        <f>IFERROR(VLOOKUP($C259,装備品!$1:$998,COLUMN(AA$1),FALSE)*VLOOKUP($D259,素材!$1:$1016,COLUMN($G$1),FALSE),"")</f>
        <v>105</v>
      </c>
      <c r="N259">
        <f>IFERROR(VLOOKUP($C259,装備品!$1:$998,COLUMN(I$1),FALSE),"")</f>
        <v>0</v>
      </c>
      <c r="O259" s="23">
        <f>IFERROR((VLOOKUP($C259,装備品!$1:$998,COLUMN(K$1),FALSE)+VLOOKUP($D259,素材!$1:$1016,COLUMN(H$1),FALSE))*100+IFERROR(VLOOKUP($CI259,付与!$1:$1167,COLUMN(O$1),FALSE),0),"")</f>
        <v>5</v>
      </c>
      <c r="P259" s="23">
        <f>IFERROR((VLOOKUP($C259,装備品!$1:$998,COLUMN(L$1),FALSE)+VLOOKUP($D259,素材!$1:$1016,COLUMN(I$1),FALSE))*100+IFERROR(VLOOKUP($CI259,付与!$1:$1167,COLUMN(P$1),FALSE),0),"")</f>
        <v>150</v>
      </c>
      <c r="Q259">
        <f>IFERROR(ROUNDUP(VLOOKUP($C259,装備品!$1:$998,COLUMN(M$1),FALSE)*(VLOOKUP($D259,素材!$1:$1002,COLUMN(D$1),FALSE)/100),1),"")</f>
        <v>-4</v>
      </c>
      <c r="R259">
        <f>IFERROR(ROUNDUP(VLOOKUP($C259,装備品!$1:$998,COLUMN(N$1),FALSE)*(VLOOKUP($D259,素材!$1:$1002,COLUMN(D$1),FALSE)/100),1),"")</f>
        <v>-4</v>
      </c>
      <c r="S259">
        <f>IFERROR(VLOOKUP($C259,装備品!$1:$998,COLUMN(P$1),FALSE),"")</f>
        <v>0</v>
      </c>
      <c r="T259">
        <f>IFERROR(VLOOKUP($C259,装備品!$1:$998,COLUMN(Q$1),FALSE),"")</f>
        <v>0</v>
      </c>
      <c r="U259">
        <f>IFERROR(VLOOKUP($C259,装備品!$1:$998,COLUMN(R$1),FALSE),"")</f>
        <v>0</v>
      </c>
      <c r="V259">
        <f>IFERROR(VLOOKUP($C259,装備品!$1:$998,COLUMN(Q$1),FALSE),"")</f>
        <v>0</v>
      </c>
      <c r="W259">
        <f>IFERROR(VLOOKUP($C259,装備品!$1:$998,COLUMN(T$1),FALSE),"")</f>
        <v>0</v>
      </c>
      <c r="Y259">
        <f>IFERROR(VLOOKUP($C259,装備品!$1:$998,COLUMN(U$1),FALSE),"")</f>
        <v>0</v>
      </c>
      <c r="Z259">
        <f>IFERROR(ROUNDUP(VLOOKUP($C259,装備品!$1:$998,COLUMN(O$1),FALSE)*VLOOKUP($D259,素材!$1:$1016,COLUMN(E$1),FALSE),1),"")</f>
        <v>0</v>
      </c>
      <c r="AA259">
        <f>IF(ISNUMBER(SEARCH(SUBSTITUTE(AA$1,RIGHT(AA$1,2),""),VLOOKUP($D259,素材!$1:$1016,COLUMN($F$1),FALSE))),VLOOKUP($C259,装備品!$1:$998,COLUMN($O$1),FALSE)*VLOOKUP($D259,素材!$1:$1016,COLUMN($E$1),FALSE)/(LEN(VLOOKUP($D259,素材!$1:$1016,COLUMN($F$1),FALSE))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B259">
        <f>IF(ISNUMBER(SEARCH(SUBSTITUTE(AB$1,RIGHT(AB$1,2),""),VLOOKUP($D259,素材!$1:$1016,COLUMN($F$1),FALSE))),VLOOKUP($C259,装備品!$1:$998,COLUMN($O$1),FALSE)*VLOOKUP($D259,素材!$1:$1016,COLUMN($E$1),FALSE)/(LEN(VLOOKUP($D259,素材!$1:$1016,COLUMN($F$1),FALSE))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C259">
        <f>IF(ISNUMBER(SEARCH(SUBSTITUTE(AC$1,RIGHT(AC$1,2),""),VLOOKUP($D259,素材!$1:$1016,COLUMN($F$1),FALSE))),VLOOKUP($C259,装備品!$1:$998,COLUMN($O$1),FALSE)*VLOOKUP($D259,素材!$1:$1016,COLUMN($E$1),FALSE)/(LEN(VLOOKUP($D259,素材!$1:$1016,COLUMN($F$1),FALSE))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D259">
        <f>IF(ISNUMBER(SEARCH(SUBSTITUTE(AD$1,RIGHT(AD$1,2),""),VLOOKUP($D259,素材!$1:$1016,COLUMN($F$1),FALSE))),VLOOKUP($C259,装備品!$1:$998,COLUMN($O$1),FALSE)*VLOOKUP($D259,素材!$1:$1016,COLUMN($E$1),FALSE)/(LEN(VLOOKUP($D259,素材!$1:$1016,COLUMN($F$1),FALSE))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E259">
        <f>IF(ISNUMBER(SEARCH(SUBSTITUTE(AE$1,RIGHT(AE$1,2),""),VLOOKUP($D259,素材!$1:$1016,COLUMN($F$1),FALSE))),VLOOKUP($C259,装備品!$1:$998,COLUMN($O$1),FALSE)*VLOOKUP($D259,素材!$1:$1016,COLUMN($E$1),FALSE)/(LEN(VLOOKUP($D259,素材!$1:$1016,COLUMN($F$1),FALSE))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F259">
        <f>IF(ISNUMBER(SEARCH(SUBSTITUTE(AF$1,RIGHT(AF$1,2),""),VLOOKUP($D259,素材!$1:$1016,COLUMN($F$1),FALSE))),VLOOKUP($C259,装備品!$1:$998,COLUMN($O$1),FALSE)*VLOOKUP($D259,素材!$1:$1016,COLUMN($E$1),FALSE)/(LEN(VLOOKUP($D259,素材!$1:$1016,COLUMN($F$1),FALSE))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G259">
        <f>IF(ISNUMBER(SEARCH(SUBSTITUTE(AG$1,RIGHT(AG$1,2),""),VLOOKUP($D259,素材!$1:$1016,COLUMN($F$1),FALSE))),VLOOKUP($C259,装備品!$1:$998,COLUMN($O$1),FALSE)*VLOOKUP($D259,素材!$1:$1016,COLUMN($E$1),FALSE)/(LEN(VLOOKUP($D259,素材!$1:$1016,COLUMN($F$1),FALSE))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H259">
        <f>IF(ISNUMBER(SEARCH(SUBSTITUTE(AH$1,RIGHT(AH$1,2),""),VLOOKUP($D259,素材!$1:$1016,COLUMN($F$1),FALSE))),VLOOKUP($C259,装備品!$1:$998,COLUMN($O$1),FALSE)*VLOOKUP($D259,素材!$1:$1016,COLUMN($E$1),FALSE)/(LEN(VLOOKUP($D259,素材!$1:$1016,COLUMN($F$1),FALSE))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I259">
        <f>IF(ISNUMBER(SEARCH(SUBSTITUTE(AI$1,RIGHT(AI$1,2),""),VLOOKUP($D259,素材!$1:$1016,COLUMN($F$1),FALSE))),VLOOKUP($C259,装備品!$1:$998,COLUMN($O$1),FALSE)*VLOOKUP($D259,素材!$1:$1016,COLUMN($E$1),FALSE)/(LEN(VLOOKUP($D259,素材!$1:$1016,COLUMN($F$1),FALSE))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J259">
        <f>IF(ISNUMBER(SEARCH(SUBSTITUTE(AJ$1,RIGHT(AJ$1,2),""),VLOOKUP($D259,素材!$1:$1016,COLUMN($F$1),FALSE))),VLOOKUP($C259,装備品!$1:$998,COLUMN($O$1),FALSE)*VLOOKUP($D259,素材!$1:$1016,COLUMN($E$1),FALSE)/(LEN(VLOOKUP($D259,素材!$1:$1016,COLUMN($F$1),FALSE))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K259">
        <f>IF(ISNUMBER(SEARCH(SUBSTITUTE(AK$1,RIGHT(AK$1,2),""),VLOOKUP($D259,素材!$1:$1016,COLUMN($F$1),FALSE))),VLOOKUP($C259,装備品!$1:$998,COLUMN($O$1),FALSE)*VLOOKUP($D259,素材!$1:$1016,COLUMN($E$1),FALSE)/(LEN(VLOOKUP($D259,素材!$1:$1016,COLUMN($F$1),FALSE))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L259">
        <f>IF(ISNUMBER(SEARCH(SUBSTITUTE(AL$1,RIGHT(AL$1,2),""),VLOOKUP($D259,素材!$1:$1016,COLUMN($F$1),FALSE))),VLOOKUP($C259,装備品!$1:$998,COLUMN($O$1),FALSE)*VLOOKUP($D259,素材!$1:$1016,COLUMN($E$1),FALSE)/(LEN(VLOOKUP($D259,素材!$1:$1016,COLUMN($F$1),FALSE))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M259">
        <f>IF(ISNUMBER(SEARCH(SUBSTITUTE(AM$1,RIGHT(AM$1,2),""),VLOOKUP($D259,素材!$1:$1016,COLUMN($F$1),FALSE))),VLOOKUP($C259,装備品!$1:$998,COLUMN($O$1),FALSE)*VLOOKUP($D259,素材!$1:$1016,COLUMN($E$1),FALSE)/(LEN(VLOOKUP($D259,素材!$1:$1016,COLUMN($F$1),FALSE))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N259">
        <f>IF(ISNUMBER(SEARCH(SUBSTITUTE(AN$1,RIGHT(AN$1,2),""),VLOOKUP($D259,素材!$1:$1016,COLUMN($F$1),FALSE))),VLOOKUP($C259,装備品!$1:$998,COLUMN($O$1),FALSE)*VLOOKUP($D259,素材!$1:$1016,COLUMN($E$1),FALSE)/(LEN(VLOOKUP($D259,素材!$1:$1016,COLUMN($F$1),FALSE))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O259">
        <f>IF(ISNUMBER(SEARCH(SUBSTITUTE(AO$1,RIGHT(AO$1,2),""),VLOOKUP($D259,素材!$1:$1016,COLUMN($F$1),FALSE))),VLOOKUP($C259,装備品!$1:$998,COLUMN($O$1),FALSE)*VLOOKUP($D259,素材!$1:$1016,COLUMN($E$1),FALSE)/(LEN(VLOOKUP($D259,素材!$1:$1016,COLUMN($F$1),FALSE))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P259">
        <f>IF(ISNUMBER(SEARCH(SUBSTITUTE(AP$1,RIGHT(AP$1,2),""),VLOOKUP($D259,素材!$1:$1016,COLUMN($F$1),FALSE))),VLOOKUP($C259,装備品!$1:$998,COLUMN($O$1),FALSE)*VLOOKUP($D259,素材!$1:$1016,COLUMN($E$1),FALSE)/(LEN(VLOOKUP($D259,素材!$1:$1016,COLUMN($F$1),FALSE))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Q259">
        <f>IF(ISNUMBER(SEARCH(SUBSTITUTE(AQ$1,RIGHT(AQ$1,2),""),VLOOKUP($D259,素材!$1:$1016,COLUMN($F$1),FALSE))),VLOOKUP($C259,装備品!$1:$998,COLUMN($O$1),FALSE)*VLOOKUP($D259,素材!$1:$1016,COLUMN($E$1),FALSE)/(LEN(VLOOKUP($D259,素材!$1:$1016,COLUMN($F$1),FALSE))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R259">
        <f>IF(ISNUMBER(SEARCH(SUBSTITUTE(AR$1,RIGHT(AR$1,2),""),VLOOKUP($D259,素材!$1:$1016,COLUMN($F$1),FALSE))),VLOOKUP($C259,装備品!$1:$998,COLUMN($O$1),FALSE)*VLOOKUP($D259,素材!$1:$1016,COLUMN($E$1),FALSE)/(LEN(VLOOKUP($D259,素材!$1:$1016,COLUMN($F$1),FALSE))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S259">
        <f>IF(ISNUMBER(SEARCH(SUBSTITUTE(AS$1,RIGHT(AS$1,2),""),VLOOKUP($D259,素材!$1:$1016,COLUMN($F$1),FALSE))),VLOOKUP($C259,装備品!$1:$998,COLUMN($O$1),FALSE)*VLOOKUP($D259,素材!$1:$1016,COLUMN($E$1),FALSE)/(LEN(VLOOKUP($D259,素材!$1:$1016,COLUMN($F$1),FALSE))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T259">
        <f>IF(ISNUMBER(SEARCH(SUBSTITUTE(AT$1,RIGHT(AT$1,2),""),VLOOKUP($D259,素材!$1:$1016,COLUMN($F$1),FALSE))),VLOOKUP($C259,装備品!$1:$998,COLUMN($O$1),FALSE)*VLOOKUP($D259,素材!$1:$1016,COLUMN($E$1),FALSE)/(LEN(VLOOKUP($D259,素材!$1:$1016,COLUMN($F$1),FALSE))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U259">
        <f>IF(ISNUMBER(SEARCH(SUBSTITUTE(AU$1,RIGHT(AU$1,2),""),VLOOKUP($D259,素材!$1:$1016,COLUMN($F$1),FALSE))),VLOOKUP($C259,装備品!$1:$998,COLUMN($O$1),FALSE)*VLOOKUP($D259,素材!$1:$1016,COLUMN($E$1),FALSE)/(LEN(VLOOKUP($D259,素材!$1:$1016,COLUMN($F$1),FALSE))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V259">
        <f>IF(ISNUMBER(SEARCH(SUBSTITUTE(AV$1,RIGHT(AV$1,2),""),VLOOKUP($D259,素材!$1:$1016,COLUMN($F$1),FALSE))),VLOOKUP($C259,装備品!$1:$998,COLUMN($O$1),FALSE)*VLOOKUP($D259,素材!$1:$1016,COLUMN($E$1),FALSE)/(LEN(VLOOKUP($D259,素材!$1:$1016,COLUMN($F$1),FALSE))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W259">
        <f>IF(ISNUMBER(SEARCH(SUBSTITUTE(AW$1,RIGHT(AW$1,2),""),VLOOKUP($D259,素材!$1:$1016,COLUMN($F$1),FALSE))),VLOOKUP($C259,装備品!$1:$998,COLUMN($O$1),FALSE)*VLOOKUP($D259,素材!$1:$1016,COLUMN($E$1),FALSE)/(LEN(VLOOKUP($D259,素材!$1:$1016,COLUMN($F$1),FALSE))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X259">
        <f>IF(ISNUMBER(SEARCH(SUBSTITUTE(AX$1,RIGHT(AX$1,2),""),VLOOKUP($D259,素材!$1:$1016,COLUMN($F$1),FALSE))),VLOOKUP($C259,装備品!$1:$998,COLUMN($O$1),FALSE)*VLOOKUP($D259,素材!$1:$1016,COLUMN($E$1),FALSE)/(LEN(VLOOKUP($D259,素材!$1:$1016,COLUMN($F$1),FALSE))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Y259">
        <f>IF(ISNUMBER(SEARCH(SUBSTITUTE(AY$1,RIGHT(AY$1,2),""),VLOOKUP($D259,素材!$1:$1016,COLUMN($F$1),FALSE))),VLOOKUP($C259,装備品!$1:$998,COLUMN($O$1),FALSE)*VLOOKUP($D259,素材!$1:$1016,COLUMN($E$1),FALSE)/(LEN(VLOOKUP($D259,素材!$1:$1016,COLUMN($F$1),FALSE))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Z259">
        <f>IF(ISNUMBER(SEARCH(SUBSTITUTE(AZ$1,RIGHT(AZ$1,2),""),VLOOKUP($D259,素材!$1:$1016,COLUMN($F$1),FALSE))),VLOOKUP($C259,装備品!$1:$998,COLUMN($O$1),FALSE)*VLOOKUP($D259,素材!$1:$1016,COLUMN($E$1),FALSE)/(LEN(VLOOKUP($D259,素材!$1:$1016,COLUMN($F$1),FALSE))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BA259">
        <f>IF(ISNUMBER(SEARCH(SUBSTITUTE(BA$1,RIGHT(BA$1,2),""),VLOOKUP($D259,素材!$1:$1016,COLUMN($F$1),FALSE))),VLOOKUP($C259,装備品!$1:$998,COLUMN($O$1),FALSE)*VLOOKUP($D259,素材!$1:$1016,COLUMN($E$1),FALSE)/(LEN(VLOOKUP($D259,素材!$1:$1016,COLUMN($F$1),FALSE))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BB259">
        <f>IF(ISNUMBER(SEARCH(SUBSTITUTE(BB$1,RIGHT(BB$1,2),""),VLOOKUP($D259,素材!$1:$1016,COLUMN($F$1),FALSE))),VLOOKUP($C259,装備品!$1:$998,COLUMN($O$1),FALSE)*VLOOKUP($D259,素材!$1:$1016,COLUMN($E$1),FALSE)/(LEN(VLOOKUP($D259,素材!$1:$1016,COLUMN($F$1),FALSE))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BC259">
        <f>IF(ISNUMBER(SEARCH(SUBSTITUTE(BC$1,RIGHT(BC$1,2),""),VLOOKUP($D259,素材!$1:$1016,COLUMN($F$1),FALSE))),VLOOKUP($C259,装備品!$1:$998,COLUMN($O$1),FALSE)*VLOOKUP($D259,素材!$1:$1016,COLUMN($E$1),FALSE)/(LEN(VLOOKUP($D259,素材!$1:$1016,COLUMN($F$1),FALSE))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BD259">
        <f>IF(ISNUMBER(SEARCH(SUBSTITUTE(BD$1,RIGHT(BD$1,2),""),VLOOKUP($D259,素材!$1:$1016,COLUMN($F$1),FALSE))),VLOOKUP($C259,装備品!$1:$998,COLUMN($O$1),FALSE)*VLOOKUP($D259,素材!$1:$1016,COLUMN($E$1),FALSE)/(LEN(VLOOKUP($D259,素材!$1:$1016,COLUMN($F$1),FALSE))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BE259">
        <f>IF(ISNUMBER(SEARCH(SUBSTITUTE(BE$1,RIGHT(BE$1,2),""),VLOOKUP($D259,素材!$1:$1016,COLUMN($F$1),FALSE))),VLOOKUP($C259,装備品!$1:$998,COLUMN($O$1),FALSE)*VLOOKUP($D259,素材!$1:$1016,COLUMN($E$1),FALSE)/(LEN(VLOOKUP($D259,素材!$1:$1016,COLUMN($F$1),FALSE))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CL259">
        <f t="shared" ref="CL259:CL322" si="41">SUM(G259:I259)</f>
        <v>22</v>
      </c>
      <c r="CM259" s="22" t="str">
        <f t="shared" ref="CM259:CM322" si="42">IF(E259="武器",IF(J259-1&gt;SUM(G259:I259),"盾",IF(MAX(G259:I259)=G259,"切断",IF(MAX(G259:I259)=H259,"貫通",IF(MAX(G259:I259)=I259,"打撃","射撃")))),E259)&amp;".webp"</f>
        <v>杖.webp</v>
      </c>
      <c r="CN259">
        <f>IFERROR(VLOOKUP($C259,装備品!$1:$998,COLUMN(V$1),FALSE)*VLOOKUP($D259,素材!$1:$1016,COLUMN(N$1),FALSE)+IF(CI259="",0,VLOOKUP($CI259,付与!$1:$1176,COLUMN($CK$1),FALSE)),"")</f>
        <v>0</v>
      </c>
      <c r="CO259">
        <f>VLOOKUP(D259,素材!$A:$O,COLUMN(素材!O$1),FALSE)</f>
        <v>0</v>
      </c>
      <c r="CP259" t="str">
        <f>VLOOKUP(C259,装備品!$A:$AB,COLUMN(装備品!AB$1),FALSE)</f>
        <v>長杖。強力な魔法を扱える杖だが、重い。</v>
      </c>
      <c r="CR259" t="str">
        <f t="shared" si="37"/>
        <v>e_259</v>
      </c>
      <c r="CS259">
        <f t="shared" si="38"/>
        <v>0</v>
      </c>
    </row>
    <row r="260" spans="1:97" outlineLevel="1" x14ac:dyDescent="0.4">
      <c r="A260" t="str">
        <f t="shared" si="40"/>
        <v>熱鉄の軽射出弓</v>
      </c>
      <c r="B260" t="str">
        <f>IFERROR(VLOOKUP($D260,素材!$1:$1016,COLUMN($B$1),FALSE)&amp;"・"&amp;VLOOKUP($C260,装備品!$1:$998,COLUMN(B$1),FALSE),"")</f>
        <v>ヒートスティール・ライトクロスボウ</v>
      </c>
      <c r="C260" t="s">
        <v>213</v>
      </c>
      <c r="D260" s="24" t="s">
        <v>204</v>
      </c>
      <c r="E260" t="str">
        <f>IFERROR(VLOOKUP(C260,装備品!$1:$998,COLUMN(C$1),FALSE),"")</f>
        <v>銃</v>
      </c>
      <c r="F260">
        <f>IFERROR(ROUNDDOWN((VLOOKUP($C260,装備品!$1:$998,COLUMN(D$1),FALSE)+IFERROR(VLOOKUP($CI260,付与!$1:$1167,COLUMN(F$1),FALSE),0))*VLOOKUP($D260,素材!$1:$1016,COLUMN(D$1),FALSE),0),"")</f>
        <v>100</v>
      </c>
      <c r="G260">
        <f>IFERROR(ROUNDDOWN((VLOOKUP($C260,装備品!$1:$998,COLUMN(E$1),FALSE)+IFERROR(VLOOKUP($CI260,付与!$1:$1167,COLUMN(G$1),FALSE),0))*VLOOKUP($D260,素材!$1:$1016,COLUMN($E$1),FALSE),0),"")</f>
        <v>0</v>
      </c>
      <c r="H260">
        <f>IFERROR(ROUNDDOWN((VLOOKUP($C260,装備品!$1:$998,COLUMN(F$1),FALSE)+IFERROR(VLOOKUP($CI260,付与!$1:$1167,COLUMN(H$1),FALSE),0))*VLOOKUP($D260,素材!$1:$1016,COLUMN($E$1),FALSE),0),"")</f>
        <v>0</v>
      </c>
      <c r="I260">
        <f>IFERROR(ROUNDDOWN((VLOOKUP($C260,装備品!$1:$998,COLUMN(G$1),FALSE)+IFERROR(VLOOKUP($CI260,付与!$1:$1167,COLUMN(I$1),FALSE),0))*VLOOKUP($D260,素材!$1:$1016,COLUMN($E$1),FALSE),0),"")</f>
        <v>0</v>
      </c>
      <c r="J260">
        <f>IFERROR(ROUNDDOWN((VLOOKUP($C260,装備品!$1:$998,COLUMN(H$1),FALSE)+IFERROR(VLOOKUP($CI260,付与!$1:$1167,COLUMN(J$1),FALSE),0))*VLOOKUP($D260,素材!$1:$1016,COLUMN($E$1),FALSE),0),"")</f>
        <v>0</v>
      </c>
      <c r="K260">
        <f>IFERROR(ROUNDDOWN((VLOOKUP($C260,装備品!$1:$998,COLUMN(I$1),FALSE)+IFERROR(VLOOKUP($CI260,付与!$1:$1167,COLUMN(K$1),FALSE),0))*VLOOKUP($D260,素材!$1:$1016,COLUMN($E$1),FALSE),0),"")</f>
        <v>54</v>
      </c>
      <c r="L260" t="str">
        <f>IFERROR(VLOOKUP($D260,素材!$1:$1016,COLUMN($F$1),FALSE),"")</f>
        <v>炎</v>
      </c>
      <c r="M260">
        <f>IFERROR(VLOOKUP($C260,装備品!$1:$998,COLUMN(AA$1),FALSE)*VLOOKUP($D260,素材!$1:$1016,COLUMN($G$1),FALSE),"")</f>
        <v>87.5</v>
      </c>
      <c r="N260">
        <f>IFERROR(VLOOKUP($C260,装備品!$1:$998,COLUMN(I$1),FALSE),"")</f>
        <v>2.7</v>
      </c>
      <c r="O260" s="23">
        <f>IFERROR((VLOOKUP($C260,装備品!$1:$998,COLUMN(K$1),FALSE)+VLOOKUP($D260,素材!$1:$1016,COLUMN(H$1),FALSE))*100+IFERROR(VLOOKUP($CI260,付与!$1:$1167,COLUMN(O$1),FALSE),0),"")</f>
        <v>10</v>
      </c>
      <c r="P260" s="23">
        <f>IFERROR((VLOOKUP($C260,装備品!$1:$998,COLUMN(L$1),FALSE)+VLOOKUP($D260,素材!$1:$1016,COLUMN(I$1),FALSE))*100+IFERROR(VLOOKUP($CI260,付与!$1:$1167,COLUMN(P$1),FALSE),0),"")</f>
        <v>150</v>
      </c>
      <c r="Q260">
        <f>IFERROR(ROUNDUP(VLOOKUP($C260,装備品!$1:$998,COLUMN(M$1),FALSE)*(VLOOKUP($D260,素材!$1:$1002,COLUMN(D$1),FALSE)/100),1),"")</f>
        <v>0</v>
      </c>
      <c r="R260">
        <f>IFERROR(ROUNDUP(VLOOKUP($C260,装備品!$1:$998,COLUMN(N$1),FALSE)*(VLOOKUP($D260,素材!$1:$1002,COLUMN(D$1),FALSE)/100),1),"")</f>
        <v>-15</v>
      </c>
      <c r="S260">
        <f>IFERROR(VLOOKUP($C260,装備品!$1:$998,COLUMN(P$1),FALSE),"")</f>
        <v>0</v>
      </c>
      <c r="T260">
        <f>IFERROR(VLOOKUP($C260,装備品!$1:$998,COLUMN(Q$1),FALSE),"")</f>
        <v>0</v>
      </c>
      <c r="U260">
        <f>IFERROR(VLOOKUP($C260,装備品!$1:$998,COLUMN(R$1),FALSE),"")</f>
        <v>0</v>
      </c>
      <c r="V260">
        <f>IFERROR(VLOOKUP($C260,装備品!$1:$998,COLUMN(Q$1),FALSE),"")</f>
        <v>0</v>
      </c>
      <c r="W260">
        <f>IFERROR(VLOOKUP($C260,装備品!$1:$998,COLUMN(T$1),FALSE),"")</f>
        <v>0</v>
      </c>
      <c r="Y260">
        <f>IFERROR(VLOOKUP($C260,装備品!$1:$998,COLUMN(U$1),FALSE),"")</f>
        <v>0</v>
      </c>
      <c r="Z260">
        <f>IFERROR(ROUNDUP(VLOOKUP($C260,装備品!$1:$998,COLUMN(O$1),FALSE)*VLOOKUP($D260,素材!$1:$1016,COLUMN(E$1),FALSE),1),"")</f>
        <v>0</v>
      </c>
      <c r="AA260">
        <f>IF(ISNUMBER(SEARCH(SUBSTITUTE(AA$1,RIGHT(AA$1,2),""),VLOOKUP($D260,素材!$1:$1016,COLUMN($F$1),FALSE))),VLOOKUP($C260,装備品!$1:$998,COLUMN($O$1),FALSE)*VLOOKUP($D260,素材!$1:$1016,COLUMN($E$1),FALSE)/(LEN(VLOOKUP($D260,素材!$1:$1016,COLUMN($F$1),FALSE))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B260">
        <f>IF(ISNUMBER(SEARCH(SUBSTITUTE(AB$1,RIGHT(AB$1,2),""),VLOOKUP($D260,素材!$1:$1016,COLUMN($F$1),FALSE))),VLOOKUP($C260,装備品!$1:$998,COLUMN($O$1),FALSE)*VLOOKUP($D260,素材!$1:$1016,COLUMN($E$1),FALSE)/(LEN(VLOOKUP($D260,素材!$1:$1016,COLUMN($F$1),FALSE))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C260">
        <f>IF(ISNUMBER(SEARCH(SUBSTITUTE(AC$1,RIGHT(AC$1,2),""),VLOOKUP($D260,素材!$1:$1016,COLUMN($F$1),FALSE))),VLOOKUP($C260,装備品!$1:$998,COLUMN($O$1),FALSE)*VLOOKUP($D260,素材!$1:$1016,COLUMN($E$1),FALSE)/(LEN(VLOOKUP($D260,素材!$1:$1016,COLUMN($F$1),FALSE))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D260">
        <f>IF(ISNUMBER(SEARCH(SUBSTITUTE(AD$1,RIGHT(AD$1,2),""),VLOOKUP($D260,素材!$1:$1016,COLUMN($F$1),FALSE))),VLOOKUP($C260,装備品!$1:$998,COLUMN($O$1),FALSE)*VLOOKUP($D260,素材!$1:$1016,COLUMN($E$1),FALSE)/(LEN(VLOOKUP($D260,素材!$1:$1016,COLUMN($F$1),FALSE))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E260">
        <f>IF(ISNUMBER(SEARCH(SUBSTITUTE(AE$1,RIGHT(AE$1,2),""),VLOOKUP($D260,素材!$1:$1016,COLUMN($F$1),FALSE))),VLOOKUP($C260,装備品!$1:$998,COLUMN($O$1),FALSE)*VLOOKUP($D260,素材!$1:$1016,COLUMN($E$1),FALSE)/(LEN(VLOOKUP($D260,素材!$1:$1016,COLUMN($F$1),FALSE))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F260">
        <f>IF(ISNUMBER(SEARCH(SUBSTITUTE(AF$1,RIGHT(AF$1,2),""),VLOOKUP($D260,素材!$1:$1016,COLUMN($F$1),FALSE))),VLOOKUP($C260,装備品!$1:$998,COLUMN($O$1),FALSE)*VLOOKUP($D260,素材!$1:$1016,COLUMN($E$1),FALSE)/(LEN(VLOOKUP($D260,素材!$1:$1016,COLUMN($F$1),FALSE))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G260">
        <f>IF(ISNUMBER(SEARCH(SUBSTITUTE(AG$1,RIGHT(AG$1,2),""),VLOOKUP($D260,素材!$1:$1016,COLUMN($F$1),FALSE))),VLOOKUP($C260,装備品!$1:$998,COLUMN($O$1),FALSE)*VLOOKUP($D260,素材!$1:$1016,COLUMN($E$1),FALSE)/(LEN(VLOOKUP($D260,素材!$1:$1016,COLUMN($F$1),FALSE))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H260">
        <f>IF(ISNUMBER(SEARCH(SUBSTITUTE(AH$1,RIGHT(AH$1,2),""),VLOOKUP($D260,素材!$1:$1016,COLUMN($F$1),FALSE))),VLOOKUP($C260,装備品!$1:$998,COLUMN($O$1),FALSE)*VLOOKUP($D260,素材!$1:$1016,COLUMN($E$1),FALSE)/(LEN(VLOOKUP($D260,素材!$1:$1016,COLUMN($F$1),FALSE))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I260">
        <f>IF(ISNUMBER(SEARCH(SUBSTITUTE(AI$1,RIGHT(AI$1,2),""),VLOOKUP($D260,素材!$1:$1016,COLUMN($F$1),FALSE))),VLOOKUP($C260,装備品!$1:$998,COLUMN($O$1),FALSE)*VLOOKUP($D260,素材!$1:$1016,COLUMN($E$1),FALSE)/(LEN(VLOOKUP($D260,素材!$1:$1016,COLUMN($F$1),FALSE))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J260">
        <f>IF(ISNUMBER(SEARCH(SUBSTITUTE(AJ$1,RIGHT(AJ$1,2),""),VLOOKUP($D260,素材!$1:$1016,COLUMN($F$1),FALSE))),VLOOKUP($C260,装備品!$1:$998,COLUMN($O$1),FALSE)*VLOOKUP($D260,素材!$1:$1016,COLUMN($E$1),FALSE)/(LEN(VLOOKUP($D260,素材!$1:$1016,COLUMN($F$1),FALSE))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K260">
        <f>IF(ISNUMBER(SEARCH(SUBSTITUTE(AK$1,RIGHT(AK$1,2),""),VLOOKUP($D260,素材!$1:$1016,COLUMN($F$1),FALSE))),VLOOKUP($C260,装備品!$1:$998,COLUMN($O$1),FALSE)*VLOOKUP($D260,素材!$1:$1016,COLUMN($E$1),FALSE)/(LEN(VLOOKUP($D260,素材!$1:$1016,COLUMN($F$1),FALSE))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L260">
        <f>IF(ISNUMBER(SEARCH(SUBSTITUTE(AL$1,RIGHT(AL$1,2),""),VLOOKUP($D260,素材!$1:$1016,COLUMN($F$1),FALSE))),VLOOKUP($C260,装備品!$1:$998,COLUMN($O$1),FALSE)*VLOOKUP($D260,素材!$1:$1016,COLUMN($E$1),FALSE)/(LEN(VLOOKUP($D260,素材!$1:$1016,COLUMN($F$1),FALSE))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M260">
        <f>IF(ISNUMBER(SEARCH(SUBSTITUTE(AM$1,RIGHT(AM$1,2),""),VLOOKUP($D260,素材!$1:$1016,COLUMN($F$1),FALSE))),VLOOKUP($C260,装備品!$1:$998,COLUMN($O$1),FALSE)*VLOOKUP($D260,素材!$1:$1016,COLUMN($E$1),FALSE)/(LEN(VLOOKUP($D260,素材!$1:$1016,COLUMN($F$1),FALSE))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N260">
        <f>IF(ISNUMBER(SEARCH(SUBSTITUTE(AN$1,RIGHT(AN$1,2),""),VLOOKUP($D260,素材!$1:$1016,COLUMN($F$1),FALSE))),VLOOKUP($C260,装備品!$1:$998,COLUMN($O$1),FALSE)*VLOOKUP($D260,素材!$1:$1016,COLUMN($E$1),FALSE)/(LEN(VLOOKUP($D260,素材!$1:$1016,COLUMN($F$1),FALSE))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O260">
        <f>IF(ISNUMBER(SEARCH(SUBSTITUTE(AO$1,RIGHT(AO$1,2),""),VLOOKUP($D260,素材!$1:$1016,COLUMN($F$1),FALSE))),VLOOKUP($C260,装備品!$1:$998,COLUMN($O$1),FALSE)*VLOOKUP($D260,素材!$1:$1016,COLUMN($E$1),FALSE)/(LEN(VLOOKUP($D260,素材!$1:$1016,COLUMN($F$1),FALSE))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P260">
        <f>IF(ISNUMBER(SEARCH(SUBSTITUTE(AP$1,RIGHT(AP$1,2),""),VLOOKUP($D260,素材!$1:$1016,COLUMN($F$1),FALSE))),VLOOKUP($C260,装備品!$1:$998,COLUMN($O$1),FALSE)*VLOOKUP($D260,素材!$1:$1016,COLUMN($E$1),FALSE)/(LEN(VLOOKUP($D260,素材!$1:$1016,COLUMN($F$1),FALSE))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Q260">
        <f>IF(ISNUMBER(SEARCH(SUBSTITUTE(AQ$1,RIGHT(AQ$1,2),""),VLOOKUP($D260,素材!$1:$1016,COLUMN($F$1),FALSE))),VLOOKUP($C260,装備品!$1:$998,COLUMN($O$1),FALSE)*VLOOKUP($D260,素材!$1:$1016,COLUMN($E$1),FALSE)/(LEN(VLOOKUP($D260,素材!$1:$1016,COLUMN($F$1),FALSE))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R260">
        <f>IF(ISNUMBER(SEARCH(SUBSTITUTE(AR$1,RIGHT(AR$1,2),""),VLOOKUP($D260,素材!$1:$1016,COLUMN($F$1),FALSE))),VLOOKUP($C260,装備品!$1:$998,COLUMN($O$1),FALSE)*VLOOKUP($D260,素材!$1:$1016,COLUMN($E$1),FALSE)/(LEN(VLOOKUP($D260,素材!$1:$1016,COLUMN($F$1),FALSE))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S260">
        <f>IF(ISNUMBER(SEARCH(SUBSTITUTE(AS$1,RIGHT(AS$1,2),""),VLOOKUP($D260,素材!$1:$1016,COLUMN($F$1),FALSE))),VLOOKUP($C260,装備品!$1:$998,COLUMN($O$1),FALSE)*VLOOKUP($D260,素材!$1:$1016,COLUMN($E$1),FALSE)/(LEN(VLOOKUP($D260,素材!$1:$1016,COLUMN($F$1),FALSE))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T260">
        <f>IF(ISNUMBER(SEARCH(SUBSTITUTE(AT$1,RIGHT(AT$1,2),""),VLOOKUP($D260,素材!$1:$1016,COLUMN($F$1),FALSE))),VLOOKUP($C260,装備品!$1:$998,COLUMN($O$1),FALSE)*VLOOKUP($D260,素材!$1:$1016,COLUMN($E$1),FALSE)/(LEN(VLOOKUP($D260,素材!$1:$1016,COLUMN($F$1),FALSE))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U260">
        <f>IF(ISNUMBER(SEARCH(SUBSTITUTE(AU$1,RIGHT(AU$1,2),""),VLOOKUP($D260,素材!$1:$1016,COLUMN($F$1),FALSE))),VLOOKUP($C260,装備品!$1:$998,COLUMN($O$1),FALSE)*VLOOKUP($D260,素材!$1:$1016,COLUMN($E$1),FALSE)/(LEN(VLOOKUP($D260,素材!$1:$1016,COLUMN($F$1),FALSE))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V260">
        <f>IF(ISNUMBER(SEARCH(SUBSTITUTE(AV$1,RIGHT(AV$1,2),""),VLOOKUP($D260,素材!$1:$1016,COLUMN($F$1),FALSE))),VLOOKUP($C260,装備品!$1:$998,COLUMN($O$1),FALSE)*VLOOKUP($D260,素材!$1:$1016,COLUMN($E$1),FALSE)/(LEN(VLOOKUP($D260,素材!$1:$1016,COLUMN($F$1),FALSE))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W260">
        <f>IF(ISNUMBER(SEARCH(SUBSTITUTE(AW$1,RIGHT(AW$1,2),""),VLOOKUP($D260,素材!$1:$1016,COLUMN($F$1),FALSE))),VLOOKUP($C260,装備品!$1:$998,COLUMN($O$1),FALSE)*VLOOKUP($D260,素材!$1:$1016,COLUMN($E$1),FALSE)/(LEN(VLOOKUP($D260,素材!$1:$1016,COLUMN($F$1),FALSE))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X260">
        <f>IF(ISNUMBER(SEARCH(SUBSTITUTE(AX$1,RIGHT(AX$1,2),""),VLOOKUP($D260,素材!$1:$1016,COLUMN($F$1),FALSE))),VLOOKUP($C260,装備品!$1:$998,COLUMN($O$1),FALSE)*VLOOKUP($D260,素材!$1:$1016,COLUMN($E$1),FALSE)/(LEN(VLOOKUP($D260,素材!$1:$1016,COLUMN($F$1),FALSE))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Y260">
        <f>IF(ISNUMBER(SEARCH(SUBSTITUTE(AY$1,RIGHT(AY$1,2),""),VLOOKUP($D260,素材!$1:$1016,COLUMN($F$1),FALSE))),VLOOKUP($C260,装備品!$1:$998,COLUMN($O$1),FALSE)*VLOOKUP($D260,素材!$1:$1016,COLUMN($E$1),FALSE)/(LEN(VLOOKUP($D260,素材!$1:$1016,COLUMN($F$1),FALSE))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Z260">
        <f>IF(ISNUMBER(SEARCH(SUBSTITUTE(AZ$1,RIGHT(AZ$1,2),""),VLOOKUP($D260,素材!$1:$1016,COLUMN($F$1),FALSE))),VLOOKUP($C260,装備品!$1:$998,COLUMN($O$1),FALSE)*VLOOKUP($D260,素材!$1:$1016,COLUMN($E$1),FALSE)/(LEN(VLOOKUP($D260,素材!$1:$1016,COLUMN($F$1),FALSE))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BA260">
        <f>IF(ISNUMBER(SEARCH(SUBSTITUTE(BA$1,RIGHT(BA$1,2),""),VLOOKUP($D260,素材!$1:$1016,COLUMN($F$1),FALSE))),VLOOKUP($C260,装備品!$1:$998,COLUMN($O$1),FALSE)*VLOOKUP($D260,素材!$1:$1016,COLUMN($E$1),FALSE)/(LEN(VLOOKUP($D260,素材!$1:$1016,COLUMN($F$1),FALSE))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BB260">
        <f>IF(ISNUMBER(SEARCH(SUBSTITUTE(BB$1,RIGHT(BB$1,2),""),VLOOKUP($D260,素材!$1:$1016,COLUMN($F$1),FALSE))),VLOOKUP($C260,装備品!$1:$998,COLUMN($O$1),FALSE)*VLOOKUP($D260,素材!$1:$1016,COLUMN($E$1),FALSE)/(LEN(VLOOKUP($D260,素材!$1:$1016,COLUMN($F$1),FALSE))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BC260">
        <f>IF(ISNUMBER(SEARCH(SUBSTITUTE(BC$1,RIGHT(BC$1,2),""),VLOOKUP($D260,素材!$1:$1016,COLUMN($F$1),FALSE))),VLOOKUP($C260,装備品!$1:$998,COLUMN($O$1),FALSE)*VLOOKUP($D260,素材!$1:$1016,COLUMN($E$1),FALSE)/(LEN(VLOOKUP($D260,素材!$1:$1016,COLUMN($F$1),FALSE))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BD260">
        <f>IF(ISNUMBER(SEARCH(SUBSTITUTE(BD$1,RIGHT(BD$1,2),""),VLOOKUP($D260,素材!$1:$1016,COLUMN($F$1),FALSE))),VLOOKUP($C260,装備品!$1:$998,COLUMN($O$1),FALSE)*VLOOKUP($D260,素材!$1:$1016,COLUMN($E$1),FALSE)/(LEN(VLOOKUP($D260,素材!$1:$1016,COLUMN($F$1),FALSE))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BE260">
        <f>IF(ISNUMBER(SEARCH(SUBSTITUTE(BE$1,RIGHT(BE$1,2),""),VLOOKUP($D260,素材!$1:$1016,COLUMN($F$1),FALSE))),VLOOKUP($C260,装備品!$1:$998,COLUMN($O$1),FALSE)*VLOOKUP($D260,素材!$1:$1016,COLUMN($E$1),FALSE)/(LEN(VLOOKUP($D260,素材!$1:$1016,COLUMN($F$1),FALSE))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CL260">
        <f t="shared" si="41"/>
        <v>0</v>
      </c>
      <c r="CM260" s="22" t="str">
        <f t="shared" si="42"/>
        <v>銃.webp</v>
      </c>
      <c r="CN260">
        <f>IFERROR(VLOOKUP($C260,装備品!$1:$998,COLUMN(V$1),FALSE)*VLOOKUP($D260,素材!$1:$1016,COLUMN(N$1),FALSE)+IF(CI260="",0,VLOOKUP($CI260,付与!$1:$1176,COLUMN($CK$1),FALSE)),"")</f>
        <v>1500</v>
      </c>
      <c r="CO260">
        <f>VLOOKUP(D260,素材!$A:$O,COLUMN(素材!O$1),FALSE)</f>
        <v>0</v>
      </c>
      <c r="CP260" t="str">
        <f>VLOOKUP(C260,装備品!$A:$AB,COLUMN(装備品!AB$1),FALSE)</f>
        <v/>
      </c>
      <c r="CR260" t="str">
        <f t="shared" si="37"/>
        <v>e_260</v>
      </c>
      <c r="CS260">
        <f t="shared" si="38"/>
        <v>150000</v>
      </c>
    </row>
    <row r="261" spans="1:97" outlineLevel="1" x14ac:dyDescent="0.4">
      <c r="A261" t="str">
        <f t="shared" si="40"/>
        <v>熱鉄の射出弓</v>
      </c>
      <c r="B261" t="str">
        <f>IFERROR(VLOOKUP($D261,素材!$1:$1016,COLUMN($B$1),FALSE)&amp;"・"&amp;VLOOKUP($C261,装備品!$1:$998,COLUMN(B$1),FALSE),"")</f>
        <v>ヒートスティール・クロスボウ</v>
      </c>
      <c r="C261" t="s">
        <v>212</v>
      </c>
      <c r="D261" s="24" t="s">
        <v>204</v>
      </c>
      <c r="E261" t="str">
        <f>IFERROR(VLOOKUP(C261,装備品!$1:$998,COLUMN(C$1),FALSE),"")</f>
        <v>銃</v>
      </c>
      <c r="F261">
        <f>IFERROR(ROUNDDOWN((VLOOKUP($C261,装備品!$1:$998,COLUMN(D$1),FALSE)+IFERROR(VLOOKUP($CI261,付与!$1:$1167,COLUMN(F$1),FALSE),0))*VLOOKUP($D261,素材!$1:$1016,COLUMN(D$1),FALSE),0),"")</f>
        <v>100</v>
      </c>
      <c r="G261">
        <f>IFERROR(ROUNDDOWN((VLOOKUP($C261,装備品!$1:$998,COLUMN(E$1),FALSE)+IFERROR(VLOOKUP($CI261,付与!$1:$1167,COLUMN(G$1),FALSE),0))*VLOOKUP($D261,素材!$1:$1016,COLUMN($E$1),FALSE),0),"")</f>
        <v>0</v>
      </c>
      <c r="H261">
        <f>IFERROR(ROUNDDOWN((VLOOKUP($C261,装備品!$1:$998,COLUMN(F$1),FALSE)+IFERROR(VLOOKUP($CI261,付与!$1:$1167,COLUMN(H$1),FALSE),0))*VLOOKUP($D261,素材!$1:$1016,COLUMN($E$1),FALSE),0),"")</f>
        <v>0</v>
      </c>
      <c r="I261">
        <f>IFERROR(ROUNDDOWN((VLOOKUP($C261,装備品!$1:$998,COLUMN(G$1),FALSE)+IFERROR(VLOOKUP($CI261,付与!$1:$1167,COLUMN(I$1),FALSE),0))*VLOOKUP($D261,素材!$1:$1016,COLUMN($E$1),FALSE),0),"")</f>
        <v>0</v>
      </c>
      <c r="J261">
        <f>IFERROR(ROUNDDOWN((VLOOKUP($C261,装備品!$1:$998,COLUMN(H$1),FALSE)+IFERROR(VLOOKUP($CI261,付与!$1:$1167,COLUMN(J$1),FALSE),0))*VLOOKUP($D261,素材!$1:$1016,COLUMN($E$1),FALSE),0),"")</f>
        <v>0</v>
      </c>
      <c r="K261">
        <f>IFERROR(ROUNDDOWN((VLOOKUP($C261,装備品!$1:$998,COLUMN(I$1),FALSE)+IFERROR(VLOOKUP($CI261,付与!$1:$1167,COLUMN(K$1),FALSE),0))*VLOOKUP($D261,素材!$1:$1016,COLUMN($E$1),FALSE),0),"")</f>
        <v>78</v>
      </c>
      <c r="L261" t="str">
        <f>IFERROR(VLOOKUP($D261,素材!$1:$1016,COLUMN($F$1),FALSE),"")</f>
        <v>炎</v>
      </c>
      <c r="M261">
        <f>IFERROR(VLOOKUP($C261,装備品!$1:$998,COLUMN(AA$1),FALSE)*VLOOKUP($D261,素材!$1:$1016,COLUMN($G$1),FALSE),"")</f>
        <v>105</v>
      </c>
      <c r="N261">
        <f>IFERROR(VLOOKUP($C261,装備品!$1:$998,COLUMN(I$1),FALSE),"")</f>
        <v>3.9</v>
      </c>
      <c r="O261" s="23">
        <f>IFERROR((VLOOKUP($C261,装備品!$1:$998,COLUMN(K$1),FALSE)+VLOOKUP($D261,素材!$1:$1016,COLUMN(H$1),FALSE))*100+IFERROR(VLOOKUP($CI261,付与!$1:$1167,COLUMN(O$1),FALSE),0),"")</f>
        <v>10</v>
      </c>
      <c r="P261" s="23">
        <f>IFERROR((VLOOKUP($C261,装備品!$1:$998,COLUMN(L$1),FALSE)+VLOOKUP($D261,素材!$1:$1016,COLUMN(I$1),FALSE))*100+IFERROR(VLOOKUP($CI261,付与!$1:$1167,COLUMN(P$1),FALSE),0),"")</f>
        <v>150</v>
      </c>
      <c r="Q261">
        <f>IFERROR(ROUNDUP(VLOOKUP($C261,装備品!$1:$998,COLUMN(M$1),FALSE)*(VLOOKUP($D261,素材!$1:$1002,COLUMN(D$1),FALSE)/100),1),"")</f>
        <v>0</v>
      </c>
      <c r="R261">
        <f>IFERROR(ROUNDUP(VLOOKUP($C261,装備品!$1:$998,COLUMN(N$1),FALSE)*(VLOOKUP($D261,素材!$1:$1002,COLUMN(D$1),FALSE)/100),1),"")</f>
        <v>-15</v>
      </c>
      <c r="S261">
        <f>IFERROR(VLOOKUP($C261,装備品!$1:$998,COLUMN(P$1),FALSE),"")</f>
        <v>0</v>
      </c>
      <c r="T261">
        <f>IFERROR(VLOOKUP($C261,装備品!$1:$998,COLUMN(Q$1),FALSE),"")</f>
        <v>0</v>
      </c>
      <c r="U261">
        <f>IFERROR(VLOOKUP($C261,装備品!$1:$998,COLUMN(R$1),FALSE),"")</f>
        <v>0</v>
      </c>
      <c r="V261">
        <f>IFERROR(VLOOKUP($C261,装備品!$1:$998,COLUMN(Q$1),FALSE),"")</f>
        <v>0</v>
      </c>
      <c r="W261">
        <f>IFERROR(VLOOKUP($C261,装備品!$1:$998,COLUMN(T$1),FALSE),"")</f>
        <v>0</v>
      </c>
      <c r="Y261">
        <f>IFERROR(VLOOKUP($C261,装備品!$1:$998,COLUMN(U$1),FALSE),"")</f>
        <v>0</v>
      </c>
      <c r="Z261">
        <f>IFERROR(ROUNDUP(VLOOKUP($C261,装備品!$1:$998,COLUMN(O$1),FALSE)*VLOOKUP($D261,素材!$1:$1016,COLUMN(E$1),FALSE),1),"")</f>
        <v>0</v>
      </c>
      <c r="AA261">
        <f>IF(ISNUMBER(SEARCH(SUBSTITUTE(AA$1,RIGHT(AA$1,2),""),VLOOKUP($D261,素材!$1:$1016,COLUMN($F$1),FALSE))),VLOOKUP($C261,装備品!$1:$998,COLUMN($O$1),FALSE)*VLOOKUP($D261,素材!$1:$1016,COLUMN($E$1),FALSE)/(LEN(VLOOKUP($D261,素材!$1:$1016,COLUMN($F$1),FALSE))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B261">
        <f>IF(ISNUMBER(SEARCH(SUBSTITUTE(AB$1,RIGHT(AB$1,2),""),VLOOKUP($D261,素材!$1:$1016,COLUMN($F$1),FALSE))),VLOOKUP($C261,装備品!$1:$998,COLUMN($O$1),FALSE)*VLOOKUP($D261,素材!$1:$1016,COLUMN($E$1),FALSE)/(LEN(VLOOKUP($D261,素材!$1:$1016,COLUMN($F$1),FALSE))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C261">
        <f>IF(ISNUMBER(SEARCH(SUBSTITUTE(AC$1,RIGHT(AC$1,2),""),VLOOKUP($D261,素材!$1:$1016,COLUMN($F$1),FALSE))),VLOOKUP($C261,装備品!$1:$998,COLUMN($O$1),FALSE)*VLOOKUP($D261,素材!$1:$1016,COLUMN($E$1),FALSE)/(LEN(VLOOKUP($D261,素材!$1:$1016,COLUMN($F$1),FALSE))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D261">
        <f>IF(ISNUMBER(SEARCH(SUBSTITUTE(AD$1,RIGHT(AD$1,2),""),VLOOKUP($D261,素材!$1:$1016,COLUMN($F$1),FALSE))),VLOOKUP($C261,装備品!$1:$998,COLUMN($O$1),FALSE)*VLOOKUP($D261,素材!$1:$1016,COLUMN($E$1),FALSE)/(LEN(VLOOKUP($D261,素材!$1:$1016,COLUMN($F$1),FALSE))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E261">
        <f>IF(ISNUMBER(SEARCH(SUBSTITUTE(AE$1,RIGHT(AE$1,2),""),VLOOKUP($D261,素材!$1:$1016,COLUMN($F$1),FALSE))),VLOOKUP($C261,装備品!$1:$998,COLUMN($O$1),FALSE)*VLOOKUP($D261,素材!$1:$1016,COLUMN($E$1),FALSE)/(LEN(VLOOKUP($D261,素材!$1:$1016,COLUMN($F$1),FALSE))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F261">
        <f>IF(ISNUMBER(SEARCH(SUBSTITUTE(AF$1,RIGHT(AF$1,2),""),VLOOKUP($D261,素材!$1:$1016,COLUMN($F$1),FALSE))),VLOOKUP($C261,装備品!$1:$998,COLUMN($O$1),FALSE)*VLOOKUP($D261,素材!$1:$1016,COLUMN($E$1),FALSE)/(LEN(VLOOKUP($D261,素材!$1:$1016,COLUMN($F$1),FALSE))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G261">
        <f>IF(ISNUMBER(SEARCH(SUBSTITUTE(AG$1,RIGHT(AG$1,2),""),VLOOKUP($D261,素材!$1:$1016,COLUMN($F$1),FALSE))),VLOOKUP($C261,装備品!$1:$998,COLUMN($O$1),FALSE)*VLOOKUP($D261,素材!$1:$1016,COLUMN($E$1),FALSE)/(LEN(VLOOKUP($D261,素材!$1:$1016,COLUMN($F$1),FALSE))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H261">
        <f>IF(ISNUMBER(SEARCH(SUBSTITUTE(AH$1,RIGHT(AH$1,2),""),VLOOKUP($D261,素材!$1:$1016,COLUMN($F$1),FALSE))),VLOOKUP($C261,装備品!$1:$998,COLUMN($O$1),FALSE)*VLOOKUP($D261,素材!$1:$1016,COLUMN($E$1),FALSE)/(LEN(VLOOKUP($D261,素材!$1:$1016,COLUMN($F$1),FALSE))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I261">
        <f>IF(ISNUMBER(SEARCH(SUBSTITUTE(AI$1,RIGHT(AI$1,2),""),VLOOKUP($D261,素材!$1:$1016,COLUMN($F$1),FALSE))),VLOOKUP($C261,装備品!$1:$998,COLUMN($O$1),FALSE)*VLOOKUP($D261,素材!$1:$1016,COLUMN($E$1),FALSE)/(LEN(VLOOKUP($D261,素材!$1:$1016,COLUMN($F$1),FALSE))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J261">
        <f>IF(ISNUMBER(SEARCH(SUBSTITUTE(AJ$1,RIGHT(AJ$1,2),""),VLOOKUP($D261,素材!$1:$1016,COLUMN($F$1),FALSE))),VLOOKUP($C261,装備品!$1:$998,COLUMN($O$1),FALSE)*VLOOKUP($D261,素材!$1:$1016,COLUMN($E$1),FALSE)/(LEN(VLOOKUP($D261,素材!$1:$1016,COLUMN($F$1),FALSE))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K261">
        <f>IF(ISNUMBER(SEARCH(SUBSTITUTE(AK$1,RIGHT(AK$1,2),""),VLOOKUP($D261,素材!$1:$1016,COLUMN($F$1),FALSE))),VLOOKUP($C261,装備品!$1:$998,COLUMN($O$1),FALSE)*VLOOKUP($D261,素材!$1:$1016,COLUMN($E$1),FALSE)/(LEN(VLOOKUP($D261,素材!$1:$1016,COLUMN($F$1),FALSE))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L261">
        <f>IF(ISNUMBER(SEARCH(SUBSTITUTE(AL$1,RIGHT(AL$1,2),""),VLOOKUP($D261,素材!$1:$1016,COLUMN($F$1),FALSE))),VLOOKUP($C261,装備品!$1:$998,COLUMN($O$1),FALSE)*VLOOKUP($D261,素材!$1:$1016,COLUMN($E$1),FALSE)/(LEN(VLOOKUP($D261,素材!$1:$1016,COLUMN($F$1),FALSE))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M261">
        <f>IF(ISNUMBER(SEARCH(SUBSTITUTE(AM$1,RIGHT(AM$1,2),""),VLOOKUP($D261,素材!$1:$1016,COLUMN($F$1),FALSE))),VLOOKUP($C261,装備品!$1:$998,COLUMN($O$1),FALSE)*VLOOKUP($D261,素材!$1:$1016,COLUMN($E$1),FALSE)/(LEN(VLOOKUP($D261,素材!$1:$1016,COLUMN($F$1),FALSE))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N261">
        <f>IF(ISNUMBER(SEARCH(SUBSTITUTE(AN$1,RIGHT(AN$1,2),""),VLOOKUP($D261,素材!$1:$1016,COLUMN($F$1),FALSE))),VLOOKUP($C261,装備品!$1:$998,COLUMN($O$1),FALSE)*VLOOKUP($D261,素材!$1:$1016,COLUMN($E$1),FALSE)/(LEN(VLOOKUP($D261,素材!$1:$1016,COLUMN($F$1),FALSE))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O261">
        <f>IF(ISNUMBER(SEARCH(SUBSTITUTE(AO$1,RIGHT(AO$1,2),""),VLOOKUP($D261,素材!$1:$1016,COLUMN($F$1),FALSE))),VLOOKUP($C261,装備品!$1:$998,COLUMN($O$1),FALSE)*VLOOKUP($D261,素材!$1:$1016,COLUMN($E$1),FALSE)/(LEN(VLOOKUP($D261,素材!$1:$1016,COLUMN($F$1),FALSE))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P261">
        <f>IF(ISNUMBER(SEARCH(SUBSTITUTE(AP$1,RIGHT(AP$1,2),""),VLOOKUP($D261,素材!$1:$1016,COLUMN($F$1),FALSE))),VLOOKUP($C261,装備品!$1:$998,COLUMN($O$1),FALSE)*VLOOKUP($D261,素材!$1:$1016,COLUMN($E$1),FALSE)/(LEN(VLOOKUP($D261,素材!$1:$1016,COLUMN($F$1),FALSE))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Q261">
        <f>IF(ISNUMBER(SEARCH(SUBSTITUTE(AQ$1,RIGHT(AQ$1,2),""),VLOOKUP($D261,素材!$1:$1016,COLUMN($F$1),FALSE))),VLOOKUP($C261,装備品!$1:$998,COLUMN($O$1),FALSE)*VLOOKUP($D261,素材!$1:$1016,COLUMN($E$1),FALSE)/(LEN(VLOOKUP($D261,素材!$1:$1016,COLUMN($F$1),FALSE))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R261">
        <f>IF(ISNUMBER(SEARCH(SUBSTITUTE(AR$1,RIGHT(AR$1,2),""),VLOOKUP($D261,素材!$1:$1016,COLUMN($F$1),FALSE))),VLOOKUP($C261,装備品!$1:$998,COLUMN($O$1),FALSE)*VLOOKUP($D261,素材!$1:$1016,COLUMN($E$1),FALSE)/(LEN(VLOOKUP($D261,素材!$1:$1016,COLUMN($F$1),FALSE))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S261">
        <f>IF(ISNUMBER(SEARCH(SUBSTITUTE(AS$1,RIGHT(AS$1,2),""),VLOOKUP($D261,素材!$1:$1016,COLUMN($F$1),FALSE))),VLOOKUP($C261,装備品!$1:$998,COLUMN($O$1),FALSE)*VLOOKUP($D261,素材!$1:$1016,COLUMN($E$1),FALSE)/(LEN(VLOOKUP($D261,素材!$1:$1016,COLUMN($F$1),FALSE))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T261">
        <f>IF(ISNUMBER(SEARCH(SUBSTITUTE(AT$1,RIGHT(AT$1,2),""),VLOOKUP($D261,素材!$1:$1016,COLUMN($F$1),FALSE))),VLOOKUP($C261,装備品!$1:$998,COLUMN($O$1),FALSE)*VLOOKUP($D261,素材!$1:$1016,COLUMN($E$1),FALSE)/(LEN(VLOOKUP($D261,素材!$1:$1016,COLUMN($F$1),FALSE))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U261">
        <f>IF(ISNUMBER(SEARCH(SUBSTITUTE(AU$1,RIGHT(AU$1,2),""),VLOOKUP($D261,素材!$1:$1016,COLUMN($F$1),FALSE))),VLOOKUP($C261,装備品!$1:$998,COLUMN($O$1),FALSE)*VLOOKUP($D261,素材!$1:$1016,COLUMN($E$1),FALSE)/(LEN(VLOOKUP($D261,素材!$1:$1016,COLUMN($F$1),FALSE))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V261">
        <f>IF(ISNUMBER(SEARCH(SUBSTITUTE(AV$1,RIGHT(AV$1,2),""),VLOOKUP($D261,素材!$1:$1016,COLUMN($F$1),FALSE))),VLOOKUP($C261,装備品!$1:$998,COLUMN($O$1),FALSE)*VLOOKUP($D261,素材!$1:$1016,COLUMN($E$1),FALSE)/(LEN(VLOOKUP($D261,素材!$1:$1016,COLUMN($F$1),FALSE))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W261">
        <f>IF(ISNUMBER(SEARCH(SUBSTITUTE(AW$1,RIGHT(AW$1,2),""),VLOOKUP($D261,素材!$1:$1016,COLUMN($F$1),FALSE))),VLOOKUP($C261,装備品!$1:$998,COLUMN($O$1),FALSE)*VLOOKUP($D261,素材!$1:$1016,COLUMN($E$1),FALSE)/(LEN(VLOOKUP($D261,素材!$1:$1016,COLUMN($F$1),FALSE))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X261">
        <f>IF(ISNUMBER(SEARCH(SUBSTITUTE(AX$1,RIGHT(AX$1,2),""),VLOOKUP($D261,素材!$1:$1016,COLUMN($F$1),FALSE))),VLOOKUP($C261,装備品!$1:$998,COLUMN($O$1),FALSE)*VLOOKUP($D261,素材!$1:$1016,COLUMN($E$1),FALSE)/(LEN(VLOOKUP($D261,素材!$1:$1016,COLUMN($F$1),FALSE))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Y261">
        <f>IF(ISNUMBER(SEARCH(SUBSTITUTE(AY$1,RIGHT(AY$1,2),""),VLOOKUP($D261,素材!$1:$1016,COLUMN($F$1),FALSE))),VLOOKUP($C261,装備品!$1:$998,COLUMN($O$1),FALSE)*VLOOKUP($D261,素材!$1:$1016,COLUMN($E$1),FALSE)/(LEN(VLOOKUP($D261,素材!$1:$1016,COLUMN($F$1),FALSE))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Z261">
        <f>IF(ISNUMBER(SEARCH(SUBSTITUTE(AZ$1,RIGHT(AZ$1,2),""),VLOOKUP($D261,素材!$1:$1016,COLUMN($F$1),FALSE))),VLOOKUP($C261,装備品!$1:$998,COLUMN($O$1),FALSE)*VLOOKUP($D261,素材!$1:$1016,COLUMN($E$1),FALSE)/(LEN(VLOOKUP($D261,素材!$1:$1016,COLUMN($F$1),FALSE))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BA261">
        <f>IF(ISNUMBER(SEARCH(SUBSTITUTE(BA$1,RIGHT(BA$1,2),""),VLOOKUP($D261,素材!$1:$1016,COLUMN($F$1),FALSE))),VLOOKUP($C261,装備品!$1:$998,COLUMN($O$1),FALSE)*VLOOKUP($D261,素材!$1:$1016,COLUMN($E$1),FALSE)/(LEN(VLOOKUP($D261,素材!$1:$1016,COLUMN($F$1),FALSE))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BB261">
        <f>IF(ISNUMBER(SEARCH(SUBSTITUTE(BB$1,RIGHT(BB$1,2),""),VLOOKUP($D261,素材!$1:$1016,COLUMN($F$1),FALSE))),VLOOKUP($C261,装備品!$1:$998,COLUMN($O$1),FALSE)*VLOOKUP($D261,素材!$1:$1016,COLUMN($E$1),FALSE)/(LEN(VLOOKUP($D261,素材!$1:$1016,COLUMN($F$1),FALSE))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BC261">
        <f>IF(ISNUMBER(SEARCH(SUBSTITUTE(BC$1,RIGHT(BC$1,2),""),VLOOKUP($D261,素材!$1:$1016,COLUMN($F$1),FALSE))),VLOOKUP($C261,装備品!$1:$998,COLUMN($O$1),FALSE)*VLOOKUP($D261,素材!$1:$1016,COLUMN($E$1),FALSE)/(LEN(VLOOKUP($D261,素材!$1:$1016,COLUMN($F$1),FALSE))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BD261">
        <f>IF(ISNUMBER(SEARCH(SUBSTITUTE(BD$1,RIGHT(BD$1,2),""),VLOOKUP($D261,素材!$1:$1016,COLUMN($F$1),FALSE))),VLOOKUP($C261,装備品!$1:$998,COLUMN($O$1),FALSE)*VLOOKUP($D261,素材!$1:$1016,COLUMN($E$1),FALSE)/(LEN(VLOOKUP($D261,素材!$1:$1016,COLUMN($F$1),FALSE))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BE261">
        <f>IF(ISNUMBER(SEARCH(SUBSTITUTE(BE$1,RIGHT(BE$1,2),""),VLOOKUP($D261,素材!$1:$1016,COLUMN($F$1),FALSE))),VLOOKUP($C261,装備品!$1:$998,COLUMN($O$1),FALSE)*VLOOKUP($D261,素材!$1:$1016,COLUMN($E$1),FALSE)/(LEN(VLOOKUP($D261,素材!$1:$1016,COLUMN($F$1),FALSE))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CL261">
        <f t="shared" si="41"/>
        <v>0</v>
      </c>
      <c r="CM261" s="22" t="str">
        <f t="shared" si="42"/>
        <v>銃.webp</v>
      </c>
      <c r="CN261">
        <f>IFERROR(VLOOKUP($C261,装備品!$1:$998,COLUMN(V$1),FALSE)*VLOOKUP($D261,素材!$1:$1016,COLUMN(N$1),FALSE)+IF(CI261="",0,VLOOKUP($CI261,付与!$1:$1176,COLUMN($CK$1),FALSE)),"")</f>
        <v>1500</v>
      </c>
      <c r="CO261">
        <f>VLOOKUP(D261,素材!$A:$O,COLUMN(素材!O$1),FALSE)</f>
        <v>0</v>
      </c>
      <c r="CP261" t="str">
        <f>VLOOKUP(C261,装備品!$A:$AB,COLUMN(装備品!AB$1),FALSE)</f>
        <v/>
      </c>
      <c r="CR261" t="str">
        <f t="shared" si="37"/>
        <v>e_261</v>
      </c>
      <c r="CS261">
        <f t="shared" si="38"/>
        <v>150000</v>
      </c>
    </row>
    <row r="262" spans="1:97" outlineLevel="1" x14ac:dyDescent="0.4">
      <c r="A262" t="str">
        <f t="shared" si="40"/>
        <v>熱鉄の回転式拳銃</v>
      </c>
      <c r="B262" t="str">
        <f>IFERROR(VLOOKUP($D262,素材!$1:$1016,COLUMN($B$1),FALSE)&amp;"・"&amp;VLOOKUP($C262,装備品!$1:$998,COLUMN(B$1),FALSE),"")</f>
        <v>ヒートスティール・リボルバー</v>
      </c>
      <c r="C262" t="s">
        <v>211</v>
      </c>
      <c r="D262" s="24" t="s">
        <v>204</v>
      </c>
      <c r="E262" t="str">
        <f>IFERROR(VLOOKUP(C262,装備品!$1:$998,COLUMN(C$1),FALSE),"")</f>
        <v>銃</v>
      </c>
      <c r="F262">
        <f>IFERROR(ROUNDDOWN((VLOOKUP($C262,装備品!$1:$998,COLUMN(D$1),FALSE)+IFERROR(VLOOKUP($CI262,付与!$1:$1167,COLUMN(F$1),FALSE),0))*VLOOKUP($D262,素材!$1:$1016,COLUMN(D$1),FALSE),0),"")</f>
        <v>100</v>
      </c>
      <c r="G262">
        <f>IFERROR(ROUNDDOWN((VLOOKUP($C262,装備品!$1:$998,COLUMN(E$1),FALSE)+IFERROR(VLOOKUP($CI262,付与!$1:$1167,COLUMN(G$1),FALSE),0))*VLOOKUP($D262,素材!$1:$1016,COLUMN($E$1),FALSE),0),"")</f>
        <v>0</v>
      </c>
      <c r="H262">
        <f>IFERROR(ROUNDDOWN((VLOOKUP($C262,装備品!$1:$998,COLUMN(F$1),FALSE)+IFERROR(VLOOKUP($CI262,付与!$1:$1167,COLUMN(H$1),FALSE),0))*VLOOKUP($D262,素材!$1:$1016,COLUMN($E$1),FALSE),0),"")</f>
        <v>0</v>
      </c>
      <c r="I262">
        <f>IFERROR(ROUNDDOWN((VLOOKUP($C262,装備品!$1:$998,COLUMN(G$1),FALSE)+IFERROR(VLOOKUP($CI262,付与!$1:$1167,COLUMN(I$1),FALSE),0))*VLOOKUP($D262,素材!$1:$1016,COLUMN($E$1),FALSE),0),"")</f>
        <v>0</v>
      </c>
      <c r="J262">
        <f>IFERROR(ROUNDDOWN((VLOOKUP($C262,装備品!$1:$998,COLUMN(H$1),FALSE)+IFERROR(VLOOKUP($CI262,付与!$1:$1167,COLUMN(J$1),FALSE),0))*VLOOKUP($D262,素材!$1:$1016,COLUMN($E$1),FALSE),0),"")</f>
        <v>0</v>
      </c>
      <c r="K262">
        <f>IFERROR(ROUNDDOWN((VLOOKUP($C262,装備品!$1:$998,COLUMN(I$1),FALSE)+IFERROR(VLOOKUP($CI262,付与!$1:$1167,COLUMN(K$1),FALSE),0))*VLOOKUP($D262,素材!$1:$1016,COLUMN($E$1),FALSE),0),"")</f>
        <v>51</v>
      </c>
      <c r="L262" t="str">
        <f>IFERROR(VLOOKUP($D262,素材!$1:$1016,COLUMN($F$1),FALSE),"")</f>
        <v>炎</v>
      </c>
      <c r="M262">
        <f>IFERROR(VLOOKUP($C262,装備品!$1:$998,COLUMN(AA$1),FALSE)*VLOOKUP($D262,素材!$1:$1016,COLUMN($G$1),FALSE),"")</f>
        <v>70</v>
      </c>
      <c r="N262">
        <f>IFERROR(VLOOKUP($C262,装備品!$1:$998,COLUMN(I$1),FALSE),"")</f>
        <v>2.5700000000000003</v>
      </c>
      <c r="O262" s="23">
        <f>IFERROR((VLOOKUP($C262,装備品!$1:$998,COLUMN(K$1),FALSE)+VLOOKUP($D262,素材!$1:$1016,COLUMN(H$1),FALSE))*100+IFERROR(VLOOKUP($CI262,付与!$1:$1167,COLUMN(O$1),FALSE),0),"")</f>
        <v>10</v>
      </c>
      <c r="P262" s="23">
        <f>IFERROR((VLOOKUP($C262,装備品!$1:$998,COLUMN(L$1),FALSE)+VLOOKUP($D262,素材!$1:$1016,COLUMN(I$1),FALSE))*100+IFERROR(VLOOKUP($CI262,付与!$1:$1167,COLUMN(P$1),FALSE),0),"")</f>
        <v>140</v>
      </c>
      <c r="Q262">
        <f>IFERROR(ROUNDUP(VLOOKUP($C262,装備品!$1:$998,COLUMN(M$1),FALSE)*(VLOOKUP($D262,素材!$1:$1002,COLUMN(D$1),FALSE)/100),1),"")</f>
        <v>0</v>
      </c>
      <c r="R262">
        <f>IFERROR(ROUNDUP(VLOOKUP($C262,装備品!$1:$998,COLUMN(N$1),FALSE)*(VLOOKUP($D262,素材!$1:$1002,COLUMN(D$1),FALSE)/100),1),"")</f>
        <v>-25</v>
      </c>
      <c r="S262">
        <f>IFERROR(VLOOKUP($C262,装備品!$1:$998,COLUMN(P$1),FALSE),"")</f>
        <v>0</v>
      </c>
      <c r="T262">
        <f>IFERROR(VLOOKUP($C262,装備品!$1:$998,COLUMN(Q$1),FALSE),"")</f>
        <v>0</v>
      </c>
      <c r="U262">
        <f>IFERROR(VLOOKUP($C262,装備品!$1:$998,COLUMN(R$1),FALSE),"")</f>
        <v>0</v>
      </c>
      <c r="V262">
        <f>IFERROR(VLOOKUP($C262,装備品!$1:$998,COLUMN(Q$1),FALSE),"")</f>
        <v>0</v>
      </c>
      <c r="W262">
        <f>IFERROR(VLOOKUP($C262,装備品!$1:$998,COLUMN(T$1),FALSE),"")</f>
        <v>0</v>
      </c>
      <c r="Y262">
        <f>IFERROR(VLOOKUP($C262,装備品!$1:$998,COLUMN(U$1),FALSE),"")</f>
        <v>0</v>
      </c>
      <c r="Z262">
        <f>IFERROR(ROUNDUP(VLOOKUP($C262,装備品!$1:$998,COLUMN(O$1),FALSE)*VLOOKUP($D262,素材!$1:$1016,COLUMN(E$1),FALSE),1),"")</f>
        <v>0</v>
      </c>
      <c r="AA262">
        <f>IF(ISNUMBER(SEARCH(SUBSTITUTE(AA$1,RIGHT(AA$1,2),""),VLOOKUP($D262,素材!$1:$1016,COLUMN($F$1),FALSE))),VLOOKUP($C262,装備品!$1:$998,COLUMN($O$1),FALSE)*VLOOKUP($D262,素材!$1:$1016,COLUMN($E$1),FALSE)/(LEN(VLOOKUP($D262,素材!$1:$1016,COLUMN($F$1),FALSE))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B262">
        <f>IF(ISNUMBER(SEARCH(SUBSTITUTE(AB$1,RIGHT(AB$1,2),""),VLOOKUP($D262,素材!$1:$1016,COLUMN($F$1),FALSE))),VLOOKUP($C262,装備品!$1:$998,COLUMN($O$1),FALSE)*VLOOKUP($D262,素材!$1:$1016,COLUMN($E$1),FALSE)/(LEN(VLOOKUP($D262,素材!$1:$1016,COLUMN($F$1),FALSE))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C262">
        <f>IF(ISNUMBER(SEARCH(SUBSTITUTE(AC$1,RIGHT(AC$1,2),""),VLOOKUP($D262,素材!$1:$1016,COLUMN($F$1),FALSE))),VLOOKUP($C262,装備品!$1:$998,COLUMN($O$1),FALSE)*VLOOKUP($D262,素材!$1:$1016,COLUMN($E$1),FALSE)/(LEN(VLOOKUP($D262,素材!$1:$1016,COLUMN($F$1),FALSE))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D262">
        <f>IF(ISNUMBER(SEARCH(SUBSTITUTE(AD$1,RIGHT(AD$1,2),""),VLOOKUP($D262,素材!$1:$1016,COLUMN($F$1),FALSE))),VLOOKUP($C262,装備品!$1:$998,COLUMN($O$1),FALSE)*VLOOKUP($D262,素材!$1:$1016,COLUMN($E$1),FALSE)/(LEN(VLOOKUP($D262,素材!$1:$1016,COLUMN($F$1),FALSE))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E262">
        <f>IF(ISNUMBER(SEARCH(SUBSTITUTE(AE$1,RIGHT(AE$1,2),""),VLOOKUP($D262,素材!$1:$1016,COLUMN($F$1),FALSE))),VLOOKUP($C262,装備品!$1:$998,COLUMN($O$1),FALSE)*VLOOKUP($D262,素材!$1:$1016,COLUMN($E$1),FALSE)/(LEN(VLOOKUP($D262,素材!$1:$1016,COLUMN($F$1),FALSE))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F262">
        <f>IF(ISNUMBER(SEARCH(SUBSTITUTE(AF$1,RIGHT(AF$1,2),""),VLOOKUP($D262,素材!$1:$1016,COLUMN($F$1),FALSE))),VLOOKUP($C262,装備品!$1:$998,COLUMN($O$1),FALSE)*VLOOKUP($D262,素材!$1:$1016,COLUMN($E$1),FALSE)/(LEN(VLOOKUP($D262,素材!$1:$1016,COLUMN($F$1),FALSE))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G262">
        <f>IF(ISNUMBER(SEARCH(SUBSTITUTE(AG$1,RIGHT(AG$1,2),""),VLOOKUP($D262,素材!$1:$1016,COLUMN($F$1),FALSE))),VLOOKUP($C262,装備品!$1:$998,COLUMN($O$1),FALSE)*VLOOKUP($D262,素材!$1:$1016,COLUMN($E$1),FALSE)/(LEN(VLOOKUP($D262,素材!$1:$1016,COLUMN($F$1),FALSE))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H262">
        <f>IF(ISNUMBER(SEARCH(SUBSTITUTE(AH$1,RIGHT(AH$1,2),""),VLOOKUP($D262,素材!$1:$1016,COLUMN($F$1),FALSE))),VLOOKUP($C262,装備品!$1:$998,COLUMN($O$1),FALSE)*VLOOKUP($D262,素材!$1:$1016,COLUMN($E$1),FALSE)/(LEN(VLOOKUP($D262,素材!$1:$1016,COLUMN($F$1),FALSE))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I262">
        <f>IF(ISNUMBER(SEARCH(SUBSTITUTE(AI$1,RIGHT(AI$1,2),""),VLOOKUP($D262,素材!$1:$1016,COLUMN($F$1),FALSE))),VLOOKUP($C262,装備品!$1:$998,COLUMN($O$1),FALSE)*VLOOKUP($D262,素材!$1:$1016,COLUMN($E$1),FALSE)/(LEN(VLOOKUP($D262,素材!$1:$1016,COLUMN($F$1),FALSE))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J262">
        <f>IF(ISNUMBER(SEARCH(SUBSTITUTE(AJ$1,RIGHT(AJ$1,2),""),VLOOKUP($D262,素材!$1:$1016,COLUMN($F$1),FALSE))),VLOOKUP($C262,装備品!$1:$998,COLUMN($O$1),FALSE)*VLOOKUP($D262,素材!$1:$1016,COLUMN($E$1),FALSE)/(LEN(VLOOKUP($D262,素材!$1:$1016,COLUMN($F$1),FALSE))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K262">
        <f>IF(ISNUMBER(SEARCH(SUBSTITUTE(AK$1,RIGHT(AK$1,2),""),VLOOKUP($D262,素材!$1:$1016,COLUMN($F$1),FALSE))),VLOOKUP($C262,装備品!$1:$998,COLUMN($O$1),FALSE)*VLOOKUP($D262,素材!$1:$1016,COLUMN($E$1),FALSE)/(LEN(VLOOKUP($D262,素材!$1:$1016,COLUMN($F$1),FALSE))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L262">
        <f>IF(ISNUMBER(SEARCH(SUBSTITUTE(AL$1,RIGHT(AL$1,2),""),VLOOKUP($D262,素材!$1:$1016,COLUMN($F$1),FALSE))),VLOOKUP($C262,装備品!$1:$998,COLUMN($O$1),FALSE)*VLOOKUP($D262,素材!$1:$1016,COLUMN($E$1),FALSE)/(LEN(VLOOKUP($D262,素材!$1:$1016,COLUMN($F$1),FALSE))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M262">
        <f>IF(ISNUMBER(SEARCH(SUBSTITUTE(AM$1,RIGHT(AM$1,2),""),VLOOKUP($D262,素材!$1:$1016,COLUMN($F$1),FALSE))),VLOOKUP($C262,装備品!$1:$998,COLUMN($O$1),FALSE)*VLOOKUP($D262,素材!$1:$1016,COLUMN($E$1),FALSE)/(LEN(VLOOKUP($D262,素材!$1:$1016,COLUMN($F$1),FALSE))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N262">
        <f>IF(ISNUMBER(SEARCH(SUBSTITUTE(AN$1,RIGHT(AN$1,2),""),VLOOKUP($D262,素材!$1:$1016,COLUMN($F$1),FALSE))),VLOOKUP($C262,装備品!$1:$998,COLUMN($O$1),FALSE)*VLOOKUP($D262,素材!$1:$1016,COLUMN($E$1),FALSE)/(LEN(VLOOKUP($D262,素材!$1:$1016,COLUMN($F$1),FALSE))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O262">
        <f>IF(ISNUMBER(SEARCH(SUBSTITUTE(AO$1,RIGHT(AO$1,2),""),VLOOKUP($D262,素材!$1:$1016,COLUMN($F$1),FALSE))),VLOOKUP($C262,装備品!$1:$998,COLUMN($O$1),FALSE)*VLOOKUP($D262,素材!$1:$1016,COLUMN($E$1),FALSE)/(LEN(VLOOKUP($D262,素材!$1:$1016,COLUMN($F$1),FALSE))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P262">
        <f>IF(ISNUMBER(SEARCH(SUBSTITUTE(AP$1,RIGHT(AP$1,2),""),VLOOKUP($D262,素材!$1:$1016,COLUMN($F$1),FALSE))),VLOOKUP($C262,装備品!$1:$998,COLUMN($O$1),FALSE)*VLOOKUP($D262,素材!$1:$1016,COLUMN($E$1),FALSE)/(LEN(VLOOKUP($D262,素材!$1:$1016,COLUMN($F$1),FALSE))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Q262">
        <f>IF(ISNUMBER(SEARCH(SUBSTITUTE(AQ$1,RIGHT(AQ$1,2),""),VLOOKUP($D262,素材!$1:$1016,COLUMN($F$1),FALSE))),VLOOKUP($C262,装備品!$1:$998,COLUMN($O$1),FALSE)*VLOOKUP($D262,素材!$1:$1016,COLUMN($E$1),FALSE)/(LEN(VLOOKUP($D262,素材!$1:$1016,COLUMN($F$1),FALSE))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R262">
        <f>IF(ISNUMBER(SEARCH(SUBSTITUTE(AR$1,RIGHT(AR$1,2),""),VLOOKUP($D262,素材!$1:$1016,COLUMN($F$1),FALSE))),VLOOKUP($C262,装備品!$1:$998,COLUMN($O$1),FALSE)*VLOOKUP($D262,素材!$1:$1016,COLUMN($E$1),FALSE)/(LEN(VLOOKUP($D262,素材!$1:$1016,COLUMN($F$1),FALSE))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S262">
        <f>IF(ISNUMBER(SEARCH(SUBSTITUTE(AS$1,RIGHT(AS$1,2),""),VLOOKUP($D262,素材!$1:$1016,COLUMN($F$1),FALSE))),VLOOKUP($C262,装備品!$1:$998,COLUMN($O$1),FALSE)*VLOOKUP($D262,素材!$1:$1016,COLUMN($E$1),FALSE)/(LEN(VLOOKUP($D262,素材!$1:$1016,COLUMN($F$1),FALSE))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T262">
        <f>IF(ISNUMBER(SEARCH(SUBSTITUTE(AT$1,RIGHT(AT$1,2),""),VLOOKUP($D262,素材!$1:$1016,COLUMN($F$1),FALSE))),VLOOKUP($C262,装備品!$1:$998,COLUMN($O$1),FALSE)*VLOOKUP($D262,素材!$1:$1016,COLUMN($E$1),FALSE)/(LEN(VLOOKUP($D262,素材!$1:$1016,COLUMN($F$1),FALSE))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U262">
        <f>IF(ISNUMBER(SEARCH(SUBSTITUTE(AU$1,RIGHT(AU$1,2),""),VLOOKUP($D262,素材!$1:$1016,COLUMN($F$1),FALSE))),VLOOKUP($C262,装備品!$1:$998,COLUMN($O$1),FALSE)*VLOOKUP($D262,素材!$1:$1016,COLUMN($E$1),FALSE)/(LEN(VLOOKUP($D262,素材!$1:$1016,COLUMN($F$1),FALSE))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V262">
        <f>IF(ISNUMBER(SEARCH(SUBSTITUTE(AV$1,RIGHT(AV$1,2),""),VLOOKUP($D262,素材!$1:$1016,COLUMN($F$1),FALSE))),VLOOKUP($C262,装備品!$1:$998,COLUMN($O$1),FALSE)*VLOOKUP($D262,素材!$1:$1016,COLUMN($E$1),FALSE)/(LEN(VLOOKUP($D262,素材!$1:$1016,COLUMN($F$1),FALSE))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W262">
        <f>IF(ISNUMBER(SEARCH(SUBSTITUTE(AW$1,RIGHT(AW$1,2),""),VLOOKUP($D262,素材!$1:$1016,COLUMN($F$1),FALSE))),VLOOKUP($C262,装備品!$1:$998,COLUMN($O$1),FALSE)*VLOOKUP($D262,素材!$1:$1016,COLUMN($E$1),FALSE)/(LEN(VLOOKUP($D262,素材!$1:$1016,COLUMN($F$1),FALSE))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X262">
        <f>IF(ISNUMBER(SEARCH(SUBSTITUTE(AX$1,RIGHT(AX$1,2),""),VLOOKUP($D262,素材!$1:$1016,COLUMN($F$1),FALSE))),VLOOKUP($C262,装備品!$1:$998,COLUMN($O$1),FALSE)*VLOOKUP($D262,素材!$1:$1016,COLUMN($E$1),FALSE)/(LEN(VLOOKUP($D262,素材!$1:$1016,COLUMN($F$1),FALSE))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Y262">
        <f>IF(ISNUMBER(SEARCH(SUBSTITUTE(AY$1,RIGHT(AY$1,2),""),VLOOKUP($D262,素材!$1:$1016,COLUMN($F$1),FALSE))),VLOOKUP($C262,装備品!$1:$998,COLUMN($O$1),FALSE)*VLOOKUP($D262,素材!$1:$1016,COLUMN($E$1),FALSE)/(LEN(VLOOKUP($D262,素材!$1:$1016,COLUMN($F$1),FALSE))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Z262">
        <f>IF(ISNUMBER(SEARCH(SUBSTITUTE(AZ$1,RIGHT(AZ$1,2),""),VLOOKUP($D262,素材!$1:$1016,COLUMN($F$1),FALSE))),VLOOKUP($C262,装備品!$1:$998,COLUMN($O$1),FALSE)*VLOOKUP($D262,素材!$1:$1016,COLUMN($E$1),FALSE)/(LEN(VLOOKUP($D262,素材!$1:$1016,COLUMN($F$1),FALSE))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BA262">
        <f>IF(ISNUMBER(SEARCH(SUBSTITUTE(BA$1,RIGHT(BA$1,2),""),VLOOKUP($D262,素材!$1:$1016,COLUMN($F$1),FALSE))),VLOOKUP($C262,装備品!$1:$998,COLUMN($O$1),FALSE)*VLOOKUP($D262,素材!$1:$1016,COLUMN($E$1),FALSE)/(LEN(VLOOKUP($D262,素材!$1:$1016,COLUMN($F$1),FALSE))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BB262">
        <f>IF(ISNUMBER(SEARCH(SUBSTITUTE(BB$1,RIGHT(BB$1,2),""),VLOOKUP($D262,素材!$1:$1016,COLUMN($F$1),FALSE))),VLOOKUP($C262,装備品!$1:$998,COLUMN($O$1),FALSE)*VLOOKUP($D262,素材!$1:$1016,COLUMN($E$1),FALSE)/(LEN(VLOOKUP($D262,素材!$1:$1016,COLUMN($F$1),FALSE))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BC262">
        <f>IF(ISNUMBER(SEARCH(SUBSTITUTE(BC$1,RIGHT(BC$1,2),""),VLOOKUP($D262,素材!$1:$1016,COLUMN($F$1),FALSE))),VLOOKUP($C262,装備品!$1:$998,COLUMN($O$1),FALSE)*VLOOKUP($D262,素材!$1:$1016,COLUMN($E$1),FALSE)/(LEN(VLOOKUP($D262,素材!$1:$1016,COLUMN($F$1),FALSE))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BD262">
        <f>IF(ISNUMBER(SEARCH(SUBSTITUTE(BD$1,RIGHT(BD$1,2),""),VLOOKUP($D262,素材!$1:$1016,COLUMN($F$1),FALSE))),VLOOKUP($C262,装備品!$1:$998,COLUMN($O$1),FALSE)*VLOOKUP($D262,素材!$1:$1016,COLUMN($E$1),FALSE)/(LEN(VLOOKUP($D262,素材!$1:$1016,COLUMN($F$1),FALSE))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BE262">
        <f>IF(ISNUMBER(SEARCH(SUBSTITUTE(BE$1,RIGHT(BE$1,2),""),VLOOKUP($D262,素材!$1:$1016,COLUMN($F$1),FALSE))),VLOOKUP($C262,装備品!$1:$998,COLUMN($O$1),FALSE)*VLOOKUP($D262,素材!$1:$1016,COLUMN($E$1),FALSE)/(LEN(VLOOKUP($D262,素材!$1:$1016,COLUMN($F$1),FALSE))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CL262">
        <f t="shared" si="41"/>
        <v>0</v>
      </c>
      <c r="CM262" s="22" t="str">
        <f t="shared" si="42"/>
        <v>銃.webp</v>
      </c>
      <c r="CN262">
        <f>IFERROR(VLOOKUP($C262,装備品!$1:$998,COLUMN(V$1),FALSE)*VLOOKUP($D262,素材!$1:$1016,COLUMN(N$1),FALSE)+IF(CI262="",0,VLOOKUP($CI262,付与!$1:$1176,COLUMN($CK$1),FALSE)),"")</f>
        <v>9000</v>
      </c>
      <c r="CO262">
        <f>VLOOKUP(D262,素材!$A:$O,COLUMN(素材!O$1),FALSE)</f>
        <v>0</v>
      </c>
      <c r="CP262" t="str">
        <f>VLOOKUP(C262,装備品!$A:$AB,COLUMN(装備品!AB$1),FALSE)</f>
        <v/>
      </c>
      <c r="CR262" t="str">
        <f t="shared" si="37"/>
        <v>e_262</v>
      </c>
      <c r="CS262">
        <f t="shared" si="38"/>
        <v>900000</v>
      </c>
    </row>
    <row r="263" spans="1:97" outlineLevel="1" x14ac:dyDescent="0.4">
      <c r="A263" t="str">
        <f t="shared" si="40"/>
        <v>熱鉄の拳銃</v>
      </c>
      <c r="B263" t="str">
        <f>IFERROR(VLOOKUP($D263,素材!$1:$1016,COLUMN($B$1),FALSE)&amp;"・"&amp;VLOOKUP($C263,装備品!$1:$998,COLUMN(B$1),FALSE),"")</f>
        <v>ヒートスティール・ハンドガン</v>
      </c>
      <c r="C263" t="s">
        <v>210</v>
      </c>
      <c r="D263" s="24" t="s">
        <v>204</v>
      </c>
      <c r="E263" t="str">
        <f>IFERROR(VLOOKUP(C263,装備品!$1:$998,COLUMN(C$1),FALSE),"")</f>
        <v>銃</v>
      </c>
      <c r="F263">
        <f>IFERROR(ROUNDDOWN((VLOOKUP($C263,装備品!$1:$998,COLUMN(D$1),FALSE)+IFERROR(VLOOKUP($CI263,付与!$1:$1167,COLUMN(F$1),FALSE),0))*VLOOKUP($D263,素材!$1:$1016,COLUMN(D$1),FALSE),0),"")</f>
        <v>100</v>
      </c>
      <c r="G263">
        <f>IFERROR(ROUNDDOWN((VLOOKUP($C263,装備品!$1:$998,COLUMN(E$1),FALSE)+IFERROR(VLOOKUP($CI263,付与!$1:$1167,COLUMN(G$1),FALSE),0))*VLOOKUP($D263,素材!$1:$1016,COLUMN($E$1),FALSE),0),"")</f>
        <v>0</v>
      </c>
      <c r="H263">
        <f>IFERROR(ROUNDDOWN((VLOOKUP($C263,装備品!$1:$998,COLUMN(F$1),FALSE)+IFERROR(VLOOKUP($CI263,付与!$1:$1167,COLUMN(H$1),FALSE),0))*VLOOKUP($D263,素材!$1:$1016,COLUMN($E$1),FALSE),0),"")</f>
        <v>0</v>
      </c>
      <c r="I263">
        <f>IFERROR(ROUNDDOWN((VLOOKUP($C263,装備品!$1:$998,COLUMN(G$1),FALSE)+IFERROR(VLOOKUP($CI263,付与!$1:$1167,COLUMN(I$1),FALSE),0))*VLOOKUP($D263,素材!$1:$1016,COLUMN($E$1),FALSE),0),"")</f>
        <v>0</v>
      </c>
      <c r="J263">
        <f>IFERROR(ROUNDDOWN((VLOOKUP($C263,装備品!$1:$998,COLUMN(H$1),FALSE)+IFERROR(VLOOKUP($CI263,付与!$1:$1167,COLUMN(J$1),FALSE),0))*VLOOKUP($D263,素材!$1:$1016,COLUMN($E$1),FALSE),0),"")</f>
        <v>0</v>
      </c>
      <c r="K263">
        <f>IFERROR(ROUNDDOWN((VLOOKUP($C263,装備品!$1:$998,COLUMN(I$1),FALSE)+IFERROR(VLOOKUP($CI263,付与!$1:$1167,COLUMN(K$1),FALSE),0))*VLOOKUP($D263,素材!$1:$1016,COLUMN($E$1),FALSE),0),"")</f>
        <v>36</v>
      </c>
      <c r="L263" t="str">
        <f>IFERROR(VLOOKUP($D263,素材!$1:$1016,COLUMN($F$1),FALSE),"")</f>
        <v>炎</v>
      </c>
      <c r="M263">
        <f>IFERROR(VLOOKUP($C263,装備品!$1:$998,COLUMN(AA$1),FALSE)*VLOOKUP($D263,素材!$1:$1016,COLUMN($G$1),FALSE),"")</f>
        <v>70</v>
      </c>
      <c r="N263">
        <f>IFERROR(VLOOKUP($C263,装備品!$1:$998,COLUMN(I$1),FALSE),"")</f>
        <v>1.8</v>
      </c>
      <c r="O263" s="23">
        <f>IFERROR((VLOOKUP($C263,装備品!$1:$998,COLUMN(K$1),FALSE)+VLOOKUP($D263,素材!$1:$1016,COLUMN(H$1),FALSE))*100+IFERROR(VLOOKUP($CI263,付与!$1:$1167,COLUMN(O$1),FALSE),0),"")</f>
        <v>15</v>
      </c>
      <c r="P263" s="23">
        <f>IFERROR((VLOOKUP($C263,装備品!$1:$998,COLUMN(L$1),FALSE)+VLOOKUP($D263,素材!$1:$1016,COLUMN(I$1),FALSE))*100+IFERROR(VLOOKUP($CI263,付与!$1:$1167,COLUMN(P$1),FALSE),0),"")</f>
        <v>175</v>
      </c>
      <c r="Q263">
        <f>IFERROR(ROUNDUP(VLOOKUP($C263,装備品!$1:$998,COLUMN(M$1),FALSE)*(VLOOKUP($D263,素材!$1:$1002,COLUMN(D$1),FALSE)/100),1),"")</f>
        <v>0</v>
      </c>
      <c r="R263">
        <f>IFERROR(ROUNDUP(VLOOKUP($C263,装備品!$1:$998,COLUMN(N$1),FALSE)*(VLOOKUP($D263,素材!$1:$1002,COLUMN(D$1),FALSE)/100),1),"")</f>
        <v>-15</v>
      </c>
      <c r="S263">
        <f>IFERROR(VLOOKUP($C263,装備品!$1:$998,COLUMN(P$1),FALSE),"")</f>
        <v>0</v>
      </c>
      <c r="T263">
        <f>IFERROR(VLOOKUP($C263,装備品!$1:$998,COLUMN(Q$1),FALSE),"")</f>
        <v>0</v>
      </c>
      <c r="U263">
        <f>IFERROR(VLOOKUP($C263,装備品!$1:$998,COLUMN(R$1),FALSE),"")</f>
        <v>0</v>
      </c>
      <c r="V263">
        <f>IFERROR(VLOOKUP($C263,装備品!$1:$998,COLUMN(Q$1),FALSE),"")</f>
        <v>0</v>
      </c>
      <c r="W263">
        <f>IFERROR(VLOOKUP($C263,装備品!$1:$998,COLUMN(T$1),FALSE),"")</f>
        <v>0</v>
      </c>
      <c r="Y263">
        <f>IFERROR(VLOOKUP($C263,装備品!$1:$998,COLUMN(U$1),FALSE),"")</f>
        <v>0</v>
      </c>
      <c r="Z263">
        <f>IFERROR(ROUNDUP(VLOOKUP($C263,装備品!$1:$998,COLUMN(O$1),FALSE)*VLOOKUP($D263,素材!$1:$1016,COLUMN(E$1),FALSE),1),"")</f>
        <v>0</v>
      </c>
      <c r="AA263">
        <f>IF(ISNUMBER(SEARCH(SUBSTITUTE(AA$1,RIGHT(AA$1,2),""),VLOOKUP($D263,素材!$1:$1016,COLUMN($F$1),FALSE))),VLOOKUP($C263,装備品!$1:$998,COLUMN($O$1),FALSE)*VLOOKUP($D263,素材!$1:$1016,COLUMN($E$1),FALSE)/(LEN(VLOOKUP($D263,素材!$1:$1016,COLUMN($F$1),FALSE))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B263">
        <f>IF(ISNUMBER(SEARCH(SUBSTITUTE(AB$1,RIGHT(AB$1,2),""),VLOOKUP($D263,素材!$1:$1016,COLUMN($F$1),FALSE))),VLOOKUP($C263,装備品!$1:$998,COLUMN($O$1),FALSE)*VLOOKUP($D263,素材!$1:$1016,COLUMN($E$1),FALSE)/(LEN(VLOOKUP($D263,素材!$1:$1016,COLUMN($F$1),FALSE))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C263">
        <f>IF(ISNUMBER(SEARCH(SUBSTITUTE(AC$1,RIGHT(AC$1,2),""),VLOOKUP($D263,素材!$1:$1016,COLUMN($F$1),FALSE))),VLOOKUP($C263,装備品!$1:$998,COLUMN($O$1),FALSE)*VLOOKUP($D263,素材!$1:$1016,COLUMN($E$1),FALSE)/(LEN(VLOOKUP($D263,素材!$1:$1016,COLUMN($F$1),FALSE))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D263">
        <f>IF(ISNUMBER(SEARCH(SUBSTITUTE(AD$1,RIGHT(AD$1,2),""),VLOOKUP($D263,素材!$1:$1016,COLUMN($F$1),FALSE))),VLOOKUP($C263,装備品!$1:$998,COLUMN($O$1),FALSE)*VLOOKUP($D263,素材!$1:$1016,COLUMN($E$1),FALSE)/(LEN(VLOOKUP($D263,素材!$1:$1016,COLUMN($F$1),FALSE))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E263">
        <f>IF(ISNUMBER(SEARCH(SUBSTITUTE(AE$1,RIGHT(AE$1,2),""),VLOOKUP($D263,素材!$1:$1016,COLUMN($F$1),FALSE))),VLOOKUP($C263,装備品!$1:$998,COLUMN($O$1),FALSE)*VLOOKUP($D263,素材!$1:$1016,COLUMN($E$1),FALSE)/(LEN(VLOOKUP($D263,素材!$1:$1016,COLUMN($F$1),FALSE))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F263">
        <f>IF(ISNUMBER(SEARCH(SUBSTITUTE(AF$1,RIGHT(AF$1,2),""),VLOOKUP($D263,素材!$1:$1016,COLUMN($F$1),FALSE))),VLOOKUP($C263,装備品!$1:$998,COLUMN($O$1),FALSE)*VLOOKUP($D263,素材!$1:$1016,COLUMN($E$1),FALSE)/(LEN(VLOOKUP($D263,素材!$1:$1016,COLUMN($F$1),FALSE))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G263">
        <f>IF(ISNUMBER(SEARCH(SUBSTITUTE(AG$1,RIGHT(AG$1,2),""),VLOOKUP($D263,素材!$1:$1016,COLUMN($F$1),FALSE))),VLOOKUP($C263,装備品!$1:$998,COLUMN($O$1),FALSE)*VLOOKUP($D263,素材!$1:$1016,COLUMN($E$1),FALSE)/(LEN(VLOOKUP($D263,素材!$1:$1016,COLUMN($F$1),FALSE))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H263">
        <f>IF(ISNUMBER(SEARCH(SUBSTITUTE(AH$1,RIGHT(AH$1,2),""),VLOOKUP($D263,素材!$1:$1016,COLUMN($F$1),FALSE))),VLOOKUP($C263,装備品!$1:$998,COLUMN($O$1),FALSE)*VLOOKUP($D263,素材!$1:$1016,COLUMN($E$1),FALSE)/(LEN(VLOOKUP($D263,素材!$1:$1016,COLUMN($F$1),FALSE))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I263">
        <f>IF(ISNUMBER(SEARCH(SUBSTITUTE(AI$1,RIGHT(AI$1,2),""),VLOOKUP($D263,素材!$1:$1016,COLUMN($F$1),FALSE))),VLOOKUP($C263,装備品!$1:$998,COLUMN($O$1),FALSE)*VLOOKUP($D263,素材!$1:$1016,COLUMN($E$1),FALSE)/(LEN(VLOOKUP($D263,素材!$1:$1016,COLUMN($F$1),FALSE))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J263">
        <f>IF(ISNUMBER(SEARCH(SUBSTITUTE(AJ$1,RIGHT(AJ$1,2),""),VLOOKUP($D263,素材!$1:$1016,COLUMN($F$1),FALSE))),VLOOKUP($C263,装備品!$1:$998,COLUMN($O$1),FALSE)*VLOOKUP($D263,素材!$1:$1016,COLUMN($E$1),FALSE)/(LEN(VLOOKUP($D263,素材!$1:$1016,COLUMN($F$1),FALSE))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K263">
        <f>IF(ISNUMBER(SEARCH(SUBSTITUTE(AK$1,RIGHT(AK$1,2),""),VLOOKUP($D263,素材!$1:$1016,COLUMN($F$1),FALSE))),VLOOKUP($C263,装備品!$1:$998,COLUMN($O$1),FALSE)*VLOOKUP($D263,素材!$1:$1016,COLUMN($E$1),FALSE)/(LEN(VLOOKUP($D263,素材!$1:$1016,COLUMN($F$1),FALSE))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L263">
        <f>IF(ISNUMBER(SEARCH(SUBSTITUTE(AL$1,RIGHT(AL$1,2),""),VLOOKUP($D263,素材!$1:$1016,COLUMN($F$1),FALSE))),VLOOKUP($C263,装備品!$1:$998,COLUMN($O$1),FALSE)*VLOOKUP($D263,素材!$1:$1016,COLUMN($E$1),FALSE)/(LEN(VLOOKUP($D263,素材!$1:$1016,COLUMN($F$1),FALSE))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M263">
        <f>IF(ISNUMBER(SEARCH(SUBSTITUTE(AM$1,RIGHT(AM$1,2),""),VLOOKUP($D263,素材!$1:$1016,COLUMN($F$1),FALSE))),VLOOKUP($C263,装備品!$1:$998,COLUMN($O$1),FALSE)*VLOOKUP($D263,素材!$1:$1016,COLUMN($E$1),FALSE)/(LEN(VLOOKUP($D263,素材!$1:$1016,COLUMN($F$1),FALSE))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N263">
        <f>IF(ISNUMBER(SEARCH(SUBSTITUTE(AN$1,RIGHT(AN$1,2),""),VLOOKUP($D263,素材!$1:$1016,COLUMN($F$1),FALSE))),VLOOKUP($C263,装備品!$1:$998,COLUMN($O$1),FALSE)*VLOOKUP($D263,素材!$1:$1016,COLUMN($E$1),FALSE)/(LEN(VLOOKUP($D263,素材!$1:$1016,COLUMN($F$1),FALSE))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O263">
        <f>IF(ISNUMBER(SEARCH(SUBSTITUTE(AO$1,RIGHT(AO$1,2),""),VLOOKUP($D263,素材!$1:$1016,COLUMN($F$1),FALSE))),VLOOKUP($C263,装備品!$1:$998,COLUMN($O$1),FALSE)*VLOOKUP($D263,素材!$1:$1016,COLUMN($E$1),FALSE)/(LEN(VLOOKUP($D263,素材!$1:$1016,COLUMN($F$1),FALSE))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P263">
        <f>IF(ISNUMBER(SEARCH(SUBSTITUTE(AP$1,RIGHT(AP$1,2),""),VLOOKUP($D263,素材!$1:$1016,COLUMN($F$1),FALSE))),VLOOKUP($C263,装備品!$1:$998,COLUMN($O$1),FALSE)*VLOOKUP($D263,素材!$1:$1016,COLUMN($E$1),FALSE)/(LEN(VLOOKUP($D263,素材!$1:$1016,COLUMN($F$1),FALSE))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Q263">
        <f>IF(ISNUMBER(SEARCH(SUBSTITUTE(AQ$1,RIGHT(AQ$1,2),""),VLOOKUP($D263,素材!$1:$1016,COLUMN($F$1),FALSE))),VLOOKUP($C263,装備品!$1:$998,COLUMN($O$1),FALSE)*VLOOKUP($D263,素材!$1:$1016,COLUMN($E$1),FALSE)/(LEN(VLOOKUP($D263,素材!$1:$1016,COLUMN($F$1),FALSE))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R263">
        <f>IF(ISNUMBER(SEARCH(SUBSTITUTE(AR$1,RIGHT(AR$1,2),""),VLOOKUP($D263,素材!$1:$1016,COLUMN($F$1),FALSE))),VLOOKUP($C263,装備品!$1:$998,COLUMN($O$1),FALSE)*VLOOKUP($D263,素材!$1:$1016,COLUMN($E$1),FALSE)/(LEN(VLOOKUP($D263,素材!$1:$1016,COLUMN($F$1),FALSE))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S263">
        <f>IF(ISNUMBER(SEARCH(SUBSTITUTE(AS$1,RIGHT(AS$1,2),""),VLOOKUP($D263,素材!$1:$1016,COLUMN($F$1),FALSE))),VLOOKUP($C263,装備品!$1:$998,COLUMN($O$1),FALSE)*VLOOKUP($D263,素材!$1:$1016,COLUMN($E$1),FALSE)/(LEN(VLOOKUP($D263,素材!$1:$1016,COLUMN($F$1),FALSE))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T263">
        <f>IF(ISNUMBER(SEARCH(SUBSTITUTE(AT$1,RIGHT(AT$1,2),""),VLOOKUP($D263,素材!$1:$1016,COLUMN($F$1),FALSE))),VLOOKUP($C263,装備品!$1:$998,COLUMN($O$1),FALSE)*VLOOKUP($D263,素材!$1:$1016,COLUMN($E$1),FALSE)/(LEN(VLOOKUP($D263,素材!$1:$1016,COLUMN($F$1),FALSE))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U263">
        <f>IF(ISNUMBER(SEARCH(SUBSTITUTE(AU$1,RIGHT(AU$1,2),""),VLOOKUP($D263,素材!$1:$1016,COLUMN($F$1),FALSE))),VLOOKUP($C263,装備品!$1:$998,COLUMN($O$1),FALSE)*VLOOKUP($D263,素材!$1:$1016,COLUMN($E$1),FALSE)/(LEN(VLOOKUP($D263,素材!$1:$1016,COLUMN($F$1),FALSE))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V263">
        <f>IF(ISNUMBER(SEARCH(SUBSTITUTE(AV$1,RIGHT(AV$1,2),""),VLOOKUP($D263,素材!$1:$1016,COLUMN($F$1),FALSE))),VLOOKUP($C263,装備品!$1:$998,COLUMN($O$1),FALSE)*VLOOKUP($D263,素材!$1:$1016,COLUMN($E$1),FALSE)/(LEN(VLOOKUP($D263,素材!$1:$1016,COLUMN($F$1),FALSE))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W263">
        <f>IF(ISNUMBER(SEARCH(SUBSTITUTE(AW$1,RIGHT(AW$1,2),""),VLOOKUP($D263,素材!$1:$1016,COLUMN($F$1),FALSE))),VLOOKUP($C263,装備品!$1:$998,COLUMN($O$1),FALSE)*VLOOKUP($D263,素材!$1:$1016,COLUMN($E$1),FALSE)/(LEN(VLOOKUP($D263,素材!$1:$1016,COLUMN($F$1),FALSE))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X263">
        <f>IF(ISNUMBER(SEARCH(SUBSTITUTE(AX$1,RIGHT(AX$1,2),""),VLOOKUP($D263,素材!$1:$1016,COLUMN($F$1),FALSE))),VLOOKUP($C263,装備品!$1:$998,COLUMN($O$1),FALSE)*VLOOKUP($D263,素材!$1:$1016,COLUMN($E$1),FALSE)/(LEN(VLOOKUP($D263,素材!$1:$1016,COLUMN($F$1),FALSE))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Y263">
        <f>IF(ISNUMBER(SEARCH(SUBSTITUTE(AY$1,RIGHT(AY$1,2),""),VLOOKUP($D263,素材!$1:$1016,COLUMN($F$1),FALSE))),VLOOKUP($C263,装備品!$1:$998,COLUMN($O$1),FALSE)*VLOOKUP($D263,素材!$1:$1016,COLUMN($E$1),FALSE)/(LEN(VLOOKUP($D263,素材!$1:$1016,COLUMN($F$1),FALSE))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Z263">
        <f>IF(ISNUMBER(SEARCH(SUBSTITUTE(AZ$1,RIGHT(AZ$1,2),""),VLOOKUP($D263,素材!$1:$1016,COLUMN($F$1),FALSE))),VLOOKUP($C263,装備品!$1:$998,COLUMN($O$1),FALSE)*VLOOKUP($D263,素材!$1:$1016,COLUMN($E$1),FALSE)/(LEN(VLOOKUP($D263,素材!$1:$1016,COLUMN($F$1),FALSE))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BA263">
        <f>IF(ISNUMBER(SEARCH(SUBSTITUTE(BA$1,RIGHT(BA$1,2),""),VLOOKUP($D263,素材!$1:$1016,COLUMN($F$1),FALSE))),VLOOKUP($C263,装備品!$1:$998,COLUMN($O$1),FALSE)*VLOOKUP($D263,素材!$1:$1016,COLUMN($E$1),FALSE)/(LEN(VLOOKUP($D263,素材!$1:$1016,COLUMN($F$1),FALSE))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BB263">
        <f>IF(ISNUMBER(SEARCH(SUBSTITUTE(BB$1,RIGHT(BB$1,2),""),VLOOKUP($D263,素材!$1:$1016,COLUMN($F$1),FALSE))),VLOOKUP($C263,装備品!$1:$998,COLUMN($O$1),FALSE)*VLOOKUP($D263,素材!$1:$1016,COLUMN($E$1),FALSE)/(LEN(VLOOKUP($D263,素材!$1:$1016,COLUMN($F$1),FALSE))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BC263">
        <f>IF(ISNUMBER(SEARCH(SUBSTITUTE(BC$1,RIGHT(BC$1,2),""),VLOOKUP($D263,素材!$1:$1016,COLUMN($F$1),FALSE))),VLOOKUP($C263,装備品!$1:$998,COLUMN($O$1),FALSE)*VLOOKUP($D263,素材!$1:$1016,COLUMN($E$1),FALSE)/(LEN(VLOOKUP($D263,素材!$1:$1016,COLUMN($F$1),FALSE))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BD263">
        <f>IF(ISNUMBER(SEARCH(SUBSTITUTE(BD$1,RIGHT(BD$1,2),""),VLOOKUP($D263,素材!$1:$1016,COLUMN($F$1),FALSE))),VLOOKUP($C263,装備品!$1:$998,COLUMN($O$1),FALSE)*VLOOKUP($D263,素材!$1:$1016,COLUMN($E$1),FALSE)/(LEN(VLOOKUP($D263,素材!$1:$1016,COLUMN($F$1),FALSE))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BE263">
        <f>IF(ISNUMBER(SEARCH(SUBSTITUTE(BE$1,RIGHT(BE$1,2),""),VLOOKUP($D263,素材!$1:$1016,COLUMN($F$1),FALSE))),VLOOKUP($C263,装備品!$1:$998,COLUMN($O$1),FALSE)*VLOOKUP($D263,素材!$1:$1016,COLUMN($E$1),FALSE)/(LEN(VLOOKUP($D263,素材!$1:$1016,COLUMN($F$1),FALSE))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CL263">
        <f t="shared" si="41"/>
        <v>0</v>
      </c>
      <c r="CM263" s="22" t="str">
        <f t="shared" si="42"/>
        <v>銃.webp</v>
      </c>
      <c r="CN263">
        <f>IFERROR(VLOOKUP($C263,装備品!$1:$998,COLUMN(V$1),FALSE)*VLOOKUP($D263,素材!$1:$1016,COLUMN(N$1),FALSE)+IF(CI263="",0,VLOOKUP($CI263,付与!$1:$1176,COLUMN($CK$1),FALSE)),"")</f>
        <v>18000</v>
      </c>
      <c r="CO263">
        <f>VLOOKUP(D263,素材!$A:$O,COLUMN(素材!O$1),FALSE)</f>
        <v>0</v>
      </c>
      <c r="CP263" t="str">
        <f>VLOOKUP(C263,装備品!$A:$AB,COLUMN(装備品!AB$1),FALSE)</f>
        <v/>
      </c>
      <c r="CR263" t="str">
        <f t="shared" si="37"/>
        <v>e_263</v>
      </c>
      <c r="CS263">
        <f t="shared" si="38"/>
        <v>1800000</v>
      </c>
    </row>
    <row r="264" spans="1:97" outlineLevel="1" x14ac:dyDescent="0.4">
      <c r="A264" t="str">
        <f t="shared" si="40"/>
        <v>熱鉄の面兜</v>
      </c>
      <c r="B264" t="str">
        <f>IFERROR(VLOOKUP($D264,素材!$1:$1016,COLUMN($B$1),FALSE)&amp;"・"&amp;VLOOKUP($C264,装備品!$1:$998,COLUMN(B$1),FALSE),"")</f>
        <v>ヒートスティール・バイザーヘルム</v>
      </c>
      <c r="C264" t="s">
        <v>209</v>
      </c>
      <c r="D264" s="24" t="s">
        <v>1247</v>
      </c>
      <c r="E264" t="str">
        <f>IFERROR(VLOOKUP(C264,装備品!$1:$998,COLUMN(C$1),FALSE),"")</f>
        <v>頭</v>
      </c>
      <c r="F264">
        <f>IFERROR(ROUNDDOWN((VLOOKUP($C264,装備品!$1:$998,COLUMN(D$1),FALSE)+IFERROR(VLOOKUP($CI264,付与!$1:$1167,COLUMN(F$1),FALSE),0))*VLOOKUP($D264,素材!$1:$1016,COLUMN(D$1),FALSE),0),"")</f>
        <v>0</v>
      </c>
      <c r="G264">
        <f>IFERROR(ROUNDDOWN((VLOOKUP($C264,装備品!$1:$998,COLUMN(E$1),FALSE)+IFERROR(VLOOKUP($CI264,付与!$1:$1167,COLUMN(G$1),FALSE),0))*VLOOKUP($D264,素材!$1:$1016,COLUMN($E$1),FALSE),0),"")</f>
        <v>0</v>
      </c>
      <c r="H264">
        <f>IFERROR(ROUNDDOWN((VLOOKUP($C264,装備品!$1:$998,COLUMN(F$1),FALSE)+IFERROR(VLOOKUP($CI264,付与!$1:$1167,COLUMN(H$1),FALSE),0))*VLOOKUP($D264,素材!$1:$1016,COLUMN($E$1),FALSE),0),"")</f>
        <v>0</v>
      </c>
      <c r="I264">
        <f>IFERROR(ROUNDDOWN((VLOOKUP($C264,装備品!$1:$998,COLUMN(G$1),FALSE)+IFERROR(VLOOKUP($CI264,付与!$1:$1167,COLUMN(I$1),FALSE),0))*VLOOKUP($D264,素材!$1:$1016,COLUMN($E$1),FALSE),0),"")</f>
        <v>17</v>
      </c>
      <c r="J264">
        <f>IFERROR(ROUNDDOWN((VLOOKUP($C264,装備品!$1:$998,COLUMN(H$1),FALSE)+IFERROR(VLOOKUP($CI264,付与!$1:$1167,COLUMN(J$1),FALSE),0))*VLOOKUP($D264,素材!$1:$1016,COLUMN($E$1),FALSE),0),"")</f>
        <v>0</v>
      </c>
      <c r="K264">
        <f>IFERROR(ROUNDDOWN((VLOOKUP($C264,装備品!$1:$998,COLUMN(I$1),FALSE)+IFERROR(VLOOKUP($CI264,付与!$1:$1167,COLUMN(K$1),FALSE),0))*VLOOKUP($D264,素材!$1:$1016,COLUMN($E$1),FALSE),0),"")</f>
        <v>0</v>
      </c>
      <c r="L264" t="str">
        <f>IFERROR(VLOOKUP($D264,素材!$1:$1016,COLUMN($F$1),FALSE),"")</f>
        <v>炎</v>
      </c>
      <c r="M264">
        <f>IFERROR(VLOOKUP($C264,装備品!$1:$998,COLUMN(AA$1),FALSE)*VLOOKUP($D264,素材!$1:$1016,COLUMN($G$1),FALSE),"")</f>
        <v>70</v>
      </c>
      <c r="N264">
        <f>IFERROR(VLOOKUP($C264,装備品!$1:$998,COLUMN(I$1),FALSE),"")</f>
        <v>0</v>
      </c>
      <c r="O264" s="23">
        <f>IFERROR((VLOOKUP($C264,装備品!$1:$998,COLUMN(K$1),FALSE)+VLOOKUP($D264,素材!$1:$1016,COLUMN(H$1),FALSE))*100+IFERROR(VLOOKUP($CI264,付与!$1:$1167,COLUMN(O$1),FALSE),0),"")</f>
        <v>5</v>
      </c>
      <c r="P264" s="23">
        <f>IFERROR((VLOOKUP($C264,装備品!$1:$998,COLUMN(L$1),FALSE)+VLOOKUP($D264,素材!$1:$1016,COLUMN(I$1),FALSE))*100+IFERROR(VLOOKUP($CI264,付与!$1:$1167,COLUMN(P$1),FALSE),0),"")</f>
        <v>125</v>
      </c>
      <c r="Q264">
        <f>IFERROR(ROUNDUP(VLOOKUP($C264,装備品!$1:$998,COLUMN(M$1),FALSE)*(VLOOKUP($D264,素材!$1:$1002,COLUMN(D$1),FALSE)/100),1),"")</f>
        <v>-7.5</v>
      </c>
      <c r="R264">
        <f>IFERROR(ROUNDUP(VLOOKUP($C264,装備品!$1:$998,COLUMN(N$1),FALSE)*(VLOOKUP($D264,素材!$1:$1002,COLUMN(D$1),FALSE)/100),1),"")</f>
        <v>0</v>
      </c>
      <c r="S264">
        <f>IFERROR(VLOOKUP($C264,装備品!$1:$998,COLUMN(P$1),FALSE),"")</f>
        <v>0</v>
      </c>
      <c r="T264">
        <f>IFERROR(VLOOKUP($C264,装備品!$1:$998,COLUMN(Q$1),FALSE),"")</f>
        <v>0</v>
      </c>
      <c r="U264">
        <f>IFERROR(VLOOKUP($C264,装備品!$1:$998,COLUMN(R$1),FALSE),"")</f>
        <v>0</v>
      </c>
      <c r="V264">
        <f>IFERROR(VLOOKUP($C264,装備品!$1:$998,COLUMN(Q$1),FALSE),"")</f>
        <v>0</v>
      </c>
      <c r="W264">
        <f>IFERROR(VLOOKUP($C264,装備品!$1:$998,COLUMN(T$1),FALSE),"")</f>
        <v>0.35</v>
      </c>
      <c r="Y264">
        <f>IFERROR(VLOOKUP($C264,装備品!$1:$998,COLUMN(U$1),FALSE),"")</f>
        <v>0</v>
      </c>
      <c r="Z264">
        <f>IFERROR(ROUNDUP(VLOOKUP($C264,装備品!$1:$998,COLUMN(O$1),FALSE)*VLOOKUP($D264,素材!$1:$1016,COLUMN(E$1),FALSE),1),"")</f>
        <v>-600</v>
      </c>
      <c r="AA264">
        <f>IF(ISNUMBER(SEARCH(SUBSTITUTE(AA$1,RIGHT(AA$1,2),""),VLOOKUP($D264,素材!$1:$1016,COLUMN($F$1),FALSE))),VLOOKUP($C264,装備品!$1:$998,COLUMN($O$1),FALSE)*VLOOKUP($D264,素材!$1:$1016,COLUMN($E$1),FALSE)/(LEN(VLOOKUP($D264,素材!$1:$1016,COLUMN($F$1),FALSE))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B264">
        <f>IF(ISNUMBER(SEARCH(SUBSTITUTE(AB$1,RIGHT(AB$1,2),""),VLOOKUP($D264,素材!$1:$1016,COLUMN($F$1),FALSE))),VLOOKUP($C264,装備品!$1:$998,COLUMN($O$1),FALSE)*VLOOKUP($D264,素材!$1:$1016,COLUMN($E$1),FALSE)/(LEN(VLOOKUP($D264,素材!$1:$1016,COLUMN($F$1),FALSE))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C264">
        <f>IF(ISNUMBER(SEARCH(SUBSTITUTE(AC$1,RIGHT(AC$1,2),""),VLOOKUP($D264,素材!$1:$1016,COLUMN($F$1),FALSE))),VLOOKUP($C264,装備品!$1:$998,COLUMN($O$1),FALSE)*VLOOKUP($D264,素材!$1:$1016,COLUMN($E$1),FALSE)/(LEN(VLOOKUP($D264,素材!$1:$1016,COLUMN($F$1),FALSE))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D264">
        <f>IF(ISNUMBER(SEARCH(SUBSTITUTE(AD$1,RIGHT(AD$1,2),""),VLOOKUP($D264,素材!$1:$1016,COLUMN($F$1),FALSE))),VLOOKUP($C264,装備品!$1:$998,COLUMN($O$1),FALSE)*VLOOKUP($D264,素材!$1:$1016,COLUMN($E$1),FALSE)/(LEN(VLOOKUP($D264,素材!$1:$1016,COLUMN($F$1),FALSE))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E264">
        <f>IF(ISNUMBER(SEARCH(SUBSTITUTE(AE$1,RIGHT(AE$1,2),""),VLOOKUP($D264,素材!$1:$1016,COLUMN($F$1),FALSE))),VLOOKUP($C264,装備品!$1:$998,COLUMN($O$1),FALSE)*VLOOKUP($D264,素材!$1:$1016,COLUMN($E$1),FALSE)/(LEN(VLOOKUP($D264,素材!$1:$1016,COLUMN($F$1),FALSE))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-600</v>
      </c>
      <c r="AF264">
        <f>IF(ISNUMBER(SEARCH(SUBSTITUTE(AF$1,RIGHT(AF$1,2),""),VLOOKUP($D264,素材!$1:$1016,COLUMN($F$1),FALSE))),VLOOKUP($C264,装備品!$1:$998,COLUMN($O$1),FALSE)*VLOOKUP($D264,素材!$1:$1016,COLUMN($E$1),FALSE)/(LEN(VLOOKUP($D264,素材!$1:$1016,COLUMN($F$1),FALSE))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G264">
        <f>IF(ISNUMBER(SEARCH(SUBSTITUTE(AG$1,RIGHT(AG$1,2),""),VLOOKUP($D264,素材!$1:$1016,COLUMN($F$1),FALSE))),VLOOKUP($C264,装備品!$1:$998,COLUMN($O$1),FALSE)*VLOOKUP($D264,素材!$1:$1016,COLUMN($E$1),FALSE)/(LEN(VLOOKUP($D264,素材!$1:$1016,COLUMN($F$1),FALSE))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H264">
        <f>IF(ISNUMBER(SEARCH(SUBSTITUTE(AH$1,RIGHT(AH$1,2),""),VLOOKUP($D264,素材!$1:$1016,COLUMN($F$1),FALSE))),VLOOKUP($C264,装備品!$1:$998,COLUMN($O$1),FALSE)*VLOOKUP($D264,素材!$1:$1016,COLUMN($E$1),FALSE)/(LEN(VLOOKUP($D264,素材!$1:$1016,COLUMN($F$1),FALSE))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I264">
        <f>IF(ISNUMBER(SEARCH(SUBSTITUTE(AI$1,RIGHT(AI$1,2),""),VLOOKUP($D264,素材!$1:$1016,COLUMN($F$1),FALSE))),VLOOKUP($C264,装備品!$1:$998,COLUMN($O$1),FALSE)*VLOOKUP($D264,素材!$1:$1016,COLUMN($E$1),FALSE)/(LEN(VLOOKUP($D264,素材!$1:$1016,COLUMN($F$1),FALSE))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J264">
        <f>IF(ISNUMBER(SEARCH(SUBSTITUTE(AJ$1,RIGHT(AJ$1,2),""),VLOOKUP($D264,素材!$1:$1016,COLUMN($F$1),FALSE))),VLOOKUP($C264,装備品!$1:$998,COLUMN($O$1),FALSE)*VLOOKUP($D264,素材!$1:$1016,COLUMN($E$1),FALSE)/(LEN(VLOOKUP($D264,素材!$1:$1016,COLUMN($F$1),FALSE))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K264">
        <f>IF(ISNUMBER(SEARCH(SUBSTITUTE(AK$1,RIGHT(AK$1,2),""),VLOOKUP($D264,素材!$1:$1016,COLUMN($F$1),FALSE))),VLOOKUP($C264,装備品!$1:$998,COLUMN($O$1),FALSE)*VLOOKUP($D264,素材!$1:$1016,COLUMN($E$1),FALSE)/(LEN(VLOOKUP($D264,素材!$1:$1016,COLUMN($F$1),FALSE))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L264">
        <f>IF(ISNUMBER(SEARCH(SUBSTITUTE(AL$1,RIGHT(AL$1,2),""),VLOOKUP($D264,素材!$1:$1016,COLUMN($F$1),FALSE))),VLOOKUP($C264,装備品!$1:$998,COLUMN($O$1),FALSE)*VLOOKUP($D264,素材!$1:$1016,COLUMN($E$1),FALSE)/(LEN(VLOOKUP($D264,素材!$1:$1016,COLUMN($F$1),FALSE))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M264">
        <f>IF(ISNUMBER(SEARCH(SUBSTITUTE(AM$1,RIGHT(AM$1,2),""),VLOOKUP($D264,素材!$1:$1016,COLUMN($F$1),FALSE))),VLOOKUP($C264,装備品!$1:$998,COLUMN($O$1),FALSE)*VLOOKUP($D264,素材!$1:$1016,COLUMN($E$1),FALSE)/(LEN(VLOOKUP($D264,素材!$1:$1016,COLUMN($F$1),FALSE))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N264">
        <f>IF(ISNUMBER(SEARCH(SUBSTITUTE(AN$1,RIGHT(AN$1,2),""),VLOOKUP($D264,素材!$1:$1016,COLUMN($F$1),FALSE))),VLOOKUP($C264,装備品!$1:$998,COLUMN($O$1),FALSE)*VLOOKUP($D264,素材!$1:$1016,COLUMN($E$1),FALSE)/(LEN(VLOOKUP($D264,素材!$1:$1016,COLUMN($F$1),FALSE))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O264">
        <f>IF(ISNUMBER(SEARCH(SUBSTITUTE(AO$1,RIGHT(AO$1,2),""),VLOOKUP($D264,素材!$1:$1016,COLUMN($F$1),FALSE))),VLOOKUP($C264,装備品!$1:$998,COLUMN($O$1),FALSE)*VLOOKUP($D264,素材!$1:$1016,COLUMN($E$1),FALSE)/(LEN(VLOOKUP($D264,素材!$1:$1016,COLUMN($F$1),FALSE))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P264">
        <f>IF(ISNUMBER(SEARCH(SUBSTITUTE(AP$1,RIGHT(AP$1,2),""),VLOOKUP($D264,素材!$1:$1016,COLUMN($F$1),FALSE))),VLOOKUP($C264,装備品!$1:$998,COLUMN($O$1),FALSE)*VLOOKUP($D264,素材!$1:$1016,COLUMN($E$1),FALSE)/(LEN(VLOOKUP($D264,素材!$1:$1016,COLUMN($F$1),FALSE))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Q264">
        <f>IF(ISNUMBER(SEARCH(SUBSTITUTE(AQ$1,RIGHT(AQ$1,2),""),VLOOKUP($D264,素材!$1:$1016,COLUMN($F$1),FALSE))),VLOOKUP($C264,装備品!$1:$998,COLUMN($O$1),FALSE)*VLOOKUP($D264,素材!$1:$1016,COLUMN($E$1),FALSE)/(LEN(VLOOKUP($D264,素材!$1:$1016,COLUMN($F$1),FALSE))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R264">
        <f>IF(ISNUMBER(SEARCH(SUBSTITUTE(AR$1,RIGHT(AR$1,2),""),VLOOKUP($D264,素材!$1:$1016,COLUMN($F$1),FALSE))),VLOOKUP($C264,装備品!$1:$998,COLUMN($O$1),FALSE)*VLOOKUP($D264,素材!$1:$1016,COLUMN($E$1),FALSE)/(LEN(VLOOKUP($D264,素材!$1:$1016,COLUMN($F$1),FALSE))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S264">
        <f>IF(ISNUMBER(SEARCH(SUBSTITUTE(AS$1,RIGHT(AS$1,2),""),VLOOKUP($D264,素材!$1:$1016,COLUMN($F$1),FALSE))),VLOOKUP($C264,装備品!$1:$998,COLUMN($O$1),FALSE)*VLOOKUP($D264,素材!$1:$1016,COLUMN($E$1),FALSE)/(LEN(VLOOKUP($D264,素材!$1:$1016,COLUMN($F$1),FALSE))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T264">
        <f>IF(ISNUMBER(SEARCH(SUBSTITUTE(AT$1,RIGHT(AT$1,2),""),VLOOKUP($D264,素材!$1:$1016,COLUMN($F$1),FALSE))),VLOOKUP($C264,装備品!$1:$998,COLUMN($O$1),FALSE)*VLOOKUP($D264,素材!$1:$1016,COLUMN($E$1),FALSE)/(LEN(VLOOKUP($D264,素材!$1:$1016,COLUMN($F$1),FALSE))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U264">
        <f>IF(ISNUMBER(SEARCH(SUBSTITUTE(AU$1,RIGHT(AU$1,2),""),VLOOKUP($D264,素材!$1:$1016,COLUMN($F$1),FALSE))),VLOOKUP($C264,装備品!$1:$998,COLUMN($O$1),FALSE)*VLOOKUP($D264,素材!$1:$1016,COLUMN($E$1),FALSE)/(LEN(VLOOKUP($D264,素材!$1:$1016,COLUMN($F$1),FALSE))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V264">
        <f>IF(ISNUMBER(SEARCH(SUBSTITUTE(AV$1,RIGHT(AV$1,2),""),VLOOKUP($D264,素材!$1:$1016,COLUMN($F$1),FALSE))),VLOOKUP($C264,装備品!$1:$998,COLUMN($O$1),FALSE)*VLOOKUP($D264,素材!$1:$1016,COLUMN($E$1),FALSE)/(LEN(VLOOKUP($D264,素材!$1:$1016,COLUMN($F$1),FALSE))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W264">
        <f>IF(ISNUMBER(SEARCH(SUBSTITUTE(AW$1,RIGHT(AW$1,2),""),VLOOKUP($D264,素材!$1:$1016,COLUMN($F$1),FALSE))),VLOOKUP($C264,装備品!$1:$998,COLUMN($O$1),FALSE)*VLOOKUP($D264,素材!$1:$1016,COLUMN($E$1),FALSE)/(LEN(VLOOKUP($D264,素材!$1:$1016,COLUMN($F$1),FALSE))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X264">
        <f>IF(ISNUMBER(SEARCH(SUBSTITUTE(AX$1,RIGHT(AX$1,2),""),VLOOKUP($D264,素材!$1:$1016,COLUMN($F$1),FALSE))),VLOOKUP($C264,装備品!$1:$998,COLUMN($O$1),FALSE)*VLOOKUP($D264,素材!$1:$1016,COLUMN($E$1),FALSE)/(LEN(VLOOKUP($D264,素材!$1:$1016,COLUMN($F$1),FALSE))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Y264">
        <f>IF(ISNUMBER(SEARCH(SUBSTITUTE(AY$1,RIGHT(AY$1,2),""),VLOOKUP($D264,素材!$1:$1016,COLUMN($F$1),FALSE))),VLOOKUP($C264,装備品!$1:$998,COLUMN($O$1),FALSE)*VLOOKUP($D264,素材!$1:$1016,COLUMN($E$1),FALSE)/(LEN(VLOOKUP($D264,素材!$1:$1016,COLUMN($F$1),FALSE))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Z264">
        <f>IF(ISNUMBER(SEARCH(SUBSTITUTE(AZ$1,RIGHT(AZ$1,2),""),VLOOKUP($D264,素材!$1:$1016,COLUMN($F$1),FALSE))),VLOOKUP($C264,装備品!$1:$998,COLUMN($O$1),FALSE)*VLOOKUP($D264,素材!$1:$1016,COLUMN($E$1),FALSE)/(LEN(VLOOKUP($D264,素材!$1:$1016,COLUMN($F$1),FALSE))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BA264">
        <f>IF(ISNUMBER(SEARCH(SUBSTITUTE(BA$1,RIGHT(BA$1,2),""),VLOOKUP($D264,素材!$1:$1016,COLUMN($F$1),FALSE))),VLOOKUP($C264,装備品!$1:$998,COLUMN($O$1),FALSE)*VLOOKUP($D264,素材!$1:$1016,COLUMN($E$1),FALSE)/(LEN(VLOOKUP($D264,素材!$1:$1016,COLUMN($F$1),FALSE))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BB264">
        <f>IF(ISNUMBER(SEARCH(SUBSTITUTE(BB$1,RIGHT(BB$1,2),""),VLOOKUP($D264,素材!$1:$1016,COLUMN($F$1),FALSE))),VLOOKUP($C264,装備品!$1:$998,COLUMN($O$1),FALSE)*VLOOKUP($D264,素材!$1:$1016,COLUMN($E$1),FALSE)/(LEN(VLOOKUP($D264,素材!$1:$1016,COLUMN($F$1),FALSE))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BC264">
        <f>IF(ISNUMBER(SEARCH(SUBSTITUTE(BC$1,RIGHT(BC$1,2),""),VLOOKUP($D264,素材!$1:$1016,COLUMN($F$1),FALSE))),VLOOKUP($C264,装備品!$1:$998,COLUMN($O$1),FALSE)*VLOOKUP($D264,素材!$1:$1016,COLUMN($E$1),FALSE)/(LEN(VLOOKUP($D264,素材!$1:$1016,COLUMN($F$1),FALSE))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BD264">
        <f>IF(ISNUMBER(SEARCH(SUBSTITUTE(BD$1,RIGHT(BD$1,2),""),VLOOKUP($D264,素材!$1:$1016,COLUMN($F$1),FALSE))),VLOOKUP($C264,装備品!$1:$998,COLUMN($O$1),FALSE)*VLOOKUP($D264,素材!$1:$1016,COLUMN($E$1),FALSE)/(LEN(VLOOKUP($D264,素材!$1:$1016,COLUMN($F$1),FALSE))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BE264">
        <f>IF(ISNUMBER(SEARCH(SUBSTITUTE(BE$1,RIGHT(BE$1,2),""),VLOOKUP($D264,素材!$1:$1016,COLUMN($F$1),FALSE))),VLOOKUP($C264,装備品!$1:$998,COLUMN($O$1),FALSE)*VLOOKUP($D264,素材!$1:$1016,COLUMN($E$1),FALSE)/(LEN(VLOOKUP($D264,素材!$1:$1016,COLUMN($F$1),FALSE))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CL264">
        <f t="shared" si="41"/>
        <v>17</v>
      </c>
      <c r="CM264" s="22" t="str">
        <f t="shared" si="42"/>
        <v>頭.webp</v>
      </c>
      <c r="CN264">
        <f>IFERROR(VLOOKUP($C264,装備品!$1:$998,COLUMN(V$1),FALSE)*VLOOKUP($D264,素材!$1:$1016,COLUMN(N$1),FALSE)+IF(CI264="",0,VLOOKUP($CI264,付与!$1:$1176,COLUMN($CK$1),FALSE)),"")</f>
        <v>0</v>
      </c>
      <c r="CO264">
        <f>VLOOKUP(D264,素材!$A:$O,COLUMN(素材!O$1),FALSE)</f>
        <v>0</v>
      </c>
      <c r="CP264" t="str">
        <f>VLOOKUP(C264,装備品!$A:$AB,COLUMN(装備品!AB$1),FALSE)</f>
        <v>命中 魔防 Cr</v>
      </c>
      <c r="CR264" t="str">
        <f t="shared" si="37"/>
        <v>e_264</v>
      </c>
      <c r="CS264">
        <f t="shared" si="38"/>
        <v>0</v>
      </c>
    </row>
    <row r="265" spans="1:97" outlineLevel="1" x14ac:dyDescent="0.4">
      <c r="A265" t="str">
        <f t="shared" si="40"/>
        <v>熱鉄の兜</v>
      </c>
      <c r="B265" t="str">
        <f>IFERROR(VLOOKUP($D265,素材!$1:$1016,COLUMN($B$1),FALSE)&amp;"・"&amp;VLOOKUP($C265,装備品!$1:$998,COLUMN(B$1),FALSE),"")</f>
        <v>ヒートスティール・ヘルム</v>
      </c>
      <c r="C265" t="s">
        <v>208</v>
      </c>
      <c r="D265" s="24" t="s">
        <v>204</v>
      </c>
      <c r="E265" t="str">
        <f>IFERROR(VLOOKUP(C265,装備品!$1:$998,COLUMN(C$1),FALSE),"")</f>
        <v>頭</v>
      </c>
      <c r="F265">
        <f>IFERROR(ROUNDDOWN((VLOOKUP($C265,装備品!$1:$998,COLUMN(D$1),FALSE)+IFERROR(VLOOKUP($CI265,付与!$1:$1167,COLUMN(F$1),FALSE),0))*VLOOKUP($D265,素材!$1:$1016,COLUMN(D$1),FALSE),0),"")</f>
        <v>0</v>
      </c>
      <c r="G265">
        <f>IFERROR(ROUNDDOWN((VLOOKUP($C265,装備品!$1:$998,COLUMN(E$1),FALSE)+IFERROR(VLOOKUP($CI265,付与!$1:$1167,COLUMN(G$1),FALSE),0))*VLOOKUP($D265,素材!$1:$1016,COLUMN($E$1),FALSE),0),"")</f>
        <v>0</v>
      </c>
      <c r="H265">
        <f>IFERROR(ROUNDDOWN((VLOOKUP($C265,装備品!$1:$998,COLUMN(F$1),FALSE)+IFERROR(VLOOKUP($CI265,付与!$1:$1167,COLUMN(H$1),FALSE),0))*VLOOKUP($D265,素材!$1:$1016,COLUMN($E$1),FALSE),0),"")</f>
        <v>0</v>
      </c>
      <c r="I265">
        <f>IFERROR(ROUNDDOWN((VLOOKUP($C265,装備品!$1:$998,COLUMN(G$1),FALSE)+IFERROR(VLOOKUP($CI265,付与!$1:$1167,COLUMN(I$1),FALSE),0))*VLOOKUP($D265,素材!$1:$1016,COLUMN($E$1),FALSE),0),"")</f>
        <v>17</v>
      </c>
      <c r="J265">
        <f>IFERROR(ROUNDDOWN((VLOOKUP($C265,装備品!$1:$998,COLUMN(H$1),FALSE)+IFERROR(VLOOKUP($CI265,付与!$1:$1167,COLUMN(J$1),FALSE),0))*VLOOKUP($D265,素材!$1:$1016,COLUMN($E$1),FALSE),0),"")</f>
        <v>0</v>
      </c>
      <c r="K265">
        <f>IFERROR(ROUNDDOWN((VLOOKUP($C265,装備品!$1:$998,COLUMN(I$1),FALSE)+IFERROR(VLOOKUP($CI265,付与!$1:$1167,COLUMN(K$1),FALSE),0))*VLOOKUP($D265,素材!$1:$1016,COLUMN($E$1),FALSE),0),"")</f>
        <v>0</v>
      </c>
      <c r="L265" t="str">
        <f>IFERROR(VLOOKUP($D265,素材!$1:$1016,COLUMN($F$1),FALSE),"")</f>
        <v>炎</v>
      </c>
      <c r="M265">
        <f>IFERROR(VLOOKUP($C265,装備品!$1:$998,COLUMN(AA$1),FALSE)*VLOOKUP($D265,素材!$1:$1016,COLUMN($G$1),FALSE),"")</f>
        <v>52.5</v>
      </c>
      <c r="N265">
        <f>IFERROR(VLOOKUP($C265,装備品!$1:$998,COLUMN(I$1),FALSE),"")</f>
        <v>0</v>
      </c>
      <c r="O265" s="23">
        <f>IFERROR((VLOOKUP($C265,装備品!$1:$998,COLUMN(K$1),FALSE)+VLOOKUP($D265,素材!$1:$1016,COLUMN(H$1),FALSE))*100+IFERROR(VLOOKUP($CI265,付与!$1:$1167,COLUMN(O$1),FALSE),0),"")</f>
        <v>5</v>
      </c>
      <c r="P265" s="23">
        <f>IFERROR((VLOOKUP($C265,装備品!$1:$998,COLUMN(L$1),FALSE)+VLOOKUP($D265,素材!$1:$1016,COLUMN(I$1),FALSE))*100+IFERROR(VLOOKUP($CI265,付与!$1:$1167,COLUMN(P$1),FALSE),0),"")</f>
        <v>125</v>
      </c>
      <c r="Q265">
        <f>IFERROR(ROUNDUP(VLOOKUP($C265,装備品!$1:$998,COLUMN(M$1),FALSE)*(VLOOKUP($D265,素材!$1:$1002,COLUMN(D$1),FALSE)/100),1),"")</f>
        <v>-5</v>
      </c>
      <c r="R265">
        <f>IFERROR(ROUNDUP(VLOOKUP($C265,装備品!$1:$998,COLUMN(N$1),FALSE)*(VLOOKUP($D265,素材!$1:$1002,COLUMN(D$1),FALSE)/100),1),"")</f>
        <v>0</v>
      </c>
      <c r="S265">
        <f>IFERROR(VLOOKUP($C265,装備品!$1:$998,COLUMN(P$1),FALSE),"")</f>
        <v>0</v>
      </c>
      <c r="T265">
        <f>IFERROR(VLOOKUP($C265,装備品!$1:$998,COLUMN(Q$1),FALSE),"")</f>
        <v>0</v>
      </c>
      <c r="U265">
        <f>IFERROR(VLOOKUP($C265,装備品!$1:$998,COLUMN(R$1),FALSE),"")</f>
        <v>0</v>
      </c>
      <c r="V265">
        <f>IFERROR(VLOOKUP($C265,装備品!$1:$998,COLUMN(Q$1),FALSE),"")</f>
        <v>0</v>
      </c>
      <c r="W265">
        <f>IFERROR(VLOOKUP($C265,装備品!$1:$998,COLUMN(T$1),FALSE),"")</f>
        <v>0.25</v>
      </c>
      <c r="Y265">
        <f>IFERROR(VLOOKUP($C265,装備品!$1:$998,COLUMN(U$1),FALSE),"")</f>
        <v>0</v>
      </c>
      <c r="Z265">
        <f>IFERROR(ROUNDUP(VLOOKUP($C265,装備品!$1:$998,COLUMN(O$1),FALSE)*VLOOKUP($D265,素材!$1:$1016,COLUMN(E$1),FALSE),1),"")</f>
        <v>-300</v>
      </c>
      <c r="AA265">
        <f>IF(ISNUMBER(SEARCH(SUBSTITUTE(AA$1,RIGHT(AA$1,2),""),VLOOKUP($D265,素材!$1:$1016,COLUMN($F$1),FALSE))),VLOOKUP($C265,装備品!$1:$998,COLUMN($O$1),FALSE)*VLOOKUP($D265,素材!$1:$1016,COLUMN($E$1),FALSE)/(LEN(VLOOKUP($D265,素材!$1:$1016,COLUMN($F$1),FALSE))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B265">
        <f>IF(ISNUMBER(SEARCH(SUBSTITUTE(AB$1,RIGHT(AB$1,2),""),VLOOKUP($D265,素材!$1:$1016,COLUMN($F$1),FALSE))),VLOOKUP($C265,装備品!$1:$998,COLUMN($O$1),FALSE)*VLOOKUP($D265,素材!$1:$1016,COLUMN($E$1),FALSE)/(LEN(VLOOKUP($D265,素材!$1:$1016,COLUMN($F$1),FALSE))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C265">
        <f>IF(ISNUMBER(SEARCH(SUBSTITUTE(AC$1,RIGHT(AC$1,2),""),VLOOKUP($D265,素材!$1:$1016,COLUMN($F$1),FALSE))),VLOOKUP($C265,装備品!$1:$998,COLUMN($O$1),FALSE)*VLOOKUP($D265,素材!$1:$1016,COLUMN($E$1),FALSE)/(LEN(VLOOKUP($D265,素材!$1:$1016,COLUMN($F$1),FALSE))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D265">
        <f>IF(ISNUMBER(SEARCH(SUBSTITUTE(AD$1,RIGHT(AD$1,2),""),VLOOKUP($D265,素材!$1:$1016,COLUMN($F$1),FALSE))),VLOOKUP($C265,装備品!$1:$998,COLUMN($O$1),FALSE)*VLOOKUP($D265,素材!$1:$1016,COLUMN($E$1),FALSE)/(LEN(VLOOKUP($D265,素材!$1:$1016,COLUMN($F$1),FALSE))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E265">
        <f>IF(ISNUMBER(SEARCH(SUBSTITUTE(AE$1,RIGHT(AE$1,2),""),VLOOKUP($D265,素材!$1:$1016,COLUMN($F$1),FALSE))),VLOOKUP($C265,装備品!$1:$998,COLUMN($O$1),FALSE)*VLOOKUP($D265,素材!$1:$1016,COLUMN($E$1),FALSE)/(LEN(VLOOKUP($D265,素材!$1:$1016,COLUMN($F$1),FALSE))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-300</v>
      </c>
      <c r="AF265">
        <f>IF(ISNUMBER(SEARCH(SUBSTITUTE(AF$1,RIGHT(AF$1,2),""),VLOOKUP($D265,素材!$1:$1016,COLUMN($F$1),FALSE))),VLOOKUP($C265,装備品!$1:$998,COLUMN($O$1),FALSE)*VLOOKUP($D265,素材!$1:$1016,COLUMN($E$1),FALSE)/(LEN(VLOOKUP($D265,素材!$1:$1016,COLUMN($F$1),FALSE))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G265">
        <f>IF(ISNUMBER(SEARCH(SUBSTITUTE(AG$1,RIGHT(AG$1,2),""),VLOOKUP($D265,素材!$1:$1016,COLUMN($F$1),FALSE))),VLOOKUP($C265,装備品!$1:$998,COLUMN($O$1),FALSE)*VLOOKUP($D265,素材!$1:$1016,COLUMN($E$1),FALSE)/(LEN(VLOOKUP($D265,素材!$1:$1016,COLUMN($F$1),FALSE))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H265">
        <f>IF(ISNUMBER(SEARCH(SUBSTITUTE(AH$1,RIGHT(AH$1,2),""),VLOOKUP($D265,素材!$1:$1016,COLUMN($F$1),FALSE))),VLOOKUP($C265,装備品!$1:$998,COLUMN($O$1),FALSE)*VLOOKUP($D265,素材!$1:$1016,COLUMN($E$1),FALSE)/(LEN(VLOOKUP($D265,素材!$1:$1016,COLUMN($F$1),FALSE))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I265">
        <f>IF(ISNUMBER(SEARCH(SUBSTITUTE(AI$1,RIGHT(AI$1,2),""),VLOOKUP($D265,素材!$1:$1016,COLUMN($F$1),FALSE))),VLOOKUP($C265,装備品!$1:$998,COLUMN($O$1),FALSE)*VLOOKUP($D265,素材!$1:$1016,COLUMN($E$1),FALSE)/(LEN(VLOOKUP($D265,素材!$1:$1016,COLUMN($F$1),FALSE))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J265">
        <f>IF(ISNUMBER(SEARCH(SUBSTITUTE(AJ$1,RIGHT(AJ$1,2),""),VLOOKUP($D265,素材!$1:$1016,COLUMN($F$1),FALSE))),VLOOKUP($C265,装備品!$1:$998,COLUMN($O$1),FALSE)*VLOOKUP($D265,素材!$1:$1016,COLUMN($E$1),FALSE)/(LEN(VLOOKUP($D265,素材!$1:$1016,COLUMN($F$1),FALSE))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K265">
        <f>IF(ISNUMBER(SEARCH(SUBSTITUTE(AK$1,RIGHT(AK$1,2),""),VLOOKUP($D265,素材!$1:$1016,COLUMN($F$1),FALSE))),VLOOKUP($C265,装備品!$1:$998,COLUMN($O$1),FALSE)*VLOOKUP($D265,素材!$1:$1016,COLUMN($E$1),FALSE)/(LEN(VLOOKUP($D265,素材!$1:$1016,COLUMN($F$1),FALSE))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L265">
        <f>IF(ISNUMBER(SEARCH(SUBSTITUTE(AL$1,RIGHT(AL$1,2),""),VLOOKUP($D265,素材!$1:$1016,COLUMN($F$1),FALSE))),VLOOKUP($C265,装備品!$1:$998,COLUMN($O$1),FALSE)*VLOOKUP($D265,素材!$1:$1016,COLUMN($E$1),FALSE)/(LEN(VLOOKUP($D265,素材!$1:$1016,COLUMN($F$1),FALSE))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M265">
        <f>IF(ISNUMBER(SEARCH(SUBSTITUTE(AM$1,RIGHT(AM$1,2),""),VLOOKUP($D265,素材!$1:$1016,COLUMN($F$1),FALSE))),VLOOKUP($C265,装備品!$1:$998,COLUMN($O$1),FALSE)*VLOOKUP($D265,素材!$1:$1016,COLUMN($E$1),FALSE)/(LEN(VLOOKUP($D265,素材!$1:$1016,COLUMN($F$1),FALSE))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N265">
        <f>IF(ISNUMBER(SEARCH(SUBSTITUTE(AN$1,RIGHT(AN$1,2),""),VLOOKUP($D265,素材!$1:$1016,COLUMN($F$1),FALSE))),VLOOKUP($C265,装備品!$1:$998,COLUMN($O$1),FALSE)*VLOOKUP($D265,素材!$1:$1016,COLUMN($E$1),FALSE)/(LEN(VLOOKUP($D265,素材!$1:$1016,COLUMN($F$1),FALSE))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O265">
        <f>IF(ISNUMBER(SEARCH(SUBSTITUTE(AO$1,RIGHT(AO$1,2),""),VLOOKUP($D265,素材!$1:$1016,COLUMN($F$1),FALSE))),VLOOKUP($C265,装備品!$1:$998,COLUMN($O$1),FALSE)*VLOOKUP($D265,素材!$1:$1016,COLUMN($E$1),FALSE)/(LEN(VLOOKUP($D265,素材!$1:$1016,COLUMN($F$1),FALSE))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P265">
        <f>IF(ISNUMBER(SEARCH(SUBSTITUTE(AP$1,RIGHT(AP$1,2),""),VLOOKUP($D265,素材!$1:$1016,COLUMN($F$1),FALSE))),VLOOKUP($C265,装備品!$1:$998,COLUMN($O$1),FALSE)*VLOOKUP($D265,素材!$1:$1016,COLUMN($E$1),FALSE)/(LEN(VLOOKUP($D265,素材!$1:$1016,COLUMN($F$1),FALSE))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Q265">
        <f>IF(ISNUMBER(SEARCH(SUBSTITUTE(AQ$1,RIGHT(AQ$1,2),""),VLOOKUP($D265,素材!$1:$1016,COLUMN($F$1),FALSE))),VLOOKUP($C265,装備品!$1:$998,COLUMN($O$1),FALSE)*VLOOKUP($D265,素材!$1:$1016,COLUMN($E$1),FALSE)/(LEN(VLOOKUP($D265,素材!$1:$1016,COLUMN($F$1),FALSE))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R265">
        <f>IF(ISNUMBER(SEARCH(SUBSTITUTE(AR$1,RIGHT(AR$1,2),""),VLOOKUP($D265,素材!$1:$1016,COLUMN($F$1),FALSE))),VLOOKUP($C265,装備品!$1:$998,COLUMN($O$1),FALSE)*VLOOKUP($D265,素材!$1:$1016,COLUMN($E$1),FALSE)/(LEN(VLOOKUP($D265,素材!$1:$1016,COLUMN($F$1),FALSE))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S265">
        <f>IF(ISNUMBER(SEARCH(SUBSTITUTE(AS$1,RIGHT(AS$1,2),""),VLOOKUP($D265,素材!$1:$1016,COLUMN($F$1),FALSE))),VLOOKUP($C265,装備品!$1:$998,COLUMN($O$1),FALSE)*VLOOKUP($D265,素材!$1:$1016,COLUMN($E$1),FALSE)/(LEN(VLOOKUP($D265,素材!$1:$1016,COLUMN($F$1),FALSE))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T265">
        <f>IF(ISNUMBER(SEARCH(SUBSTITUTE(AT$1,RIGHT(AT$1,2),""),VLOOKUP($D265,素材!$1:$1016,COLUMN($F$1),FALSE))),VLOOKUP($C265,装備品!$1:$998,COLUMN($O$1),FALSE)*VLOOKUP($D265,素材!$1:$1016,COLUMN($E$1),FALSE)/(LEN(VLOOKUP($D265,素材!$1:$1016,COLUMN($F$1),FALSE))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U265">
        <f>IF(ISNUMBER(SEARCH(SUBSTITUTE(AU$1,RIGHT(AU$1,2),""),VLOOKUP($D265,素材!$1:$1016,COLUMN($F$1),FALSE))),VLOOKUP($C265,装備品!$1:$998,COLUMN($O$1),FALSE)*VLOOKUP($D265,素材!$1:$1016,COLUMN($E$1),FALSE)/(LEN(VLOOKUP($D265,素材!$1:$1016,COLUMN($F$1),FALSE))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V265">
        <f>IF(ISNUMBER(SEARCH(SUBSTITUTE(AV$1,RIGHT(AV$1,2),""),VLOOKUP($D265,素材!$1:$1016,COLUMN($F$1),FALSE))),VLOOKUP($C265,装備品!$1:$998,COLUMN($O$1),FALSE)*VLOOKUP($D265,素材!$1:$1016,COLUMN($E$1),FALSE)/(LEN(VLOOKUP($D265,素材!$1:$1016,COLUMN($F$1),FALSE))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W265">
        <f>IF(ISNUMBER(SEARCH(SUBSTITUTE(AW$1,RIGHT(AW$1,2),""),VLOOKUP($D265,素材!$1:$1016,COLUMN($F$1),FALSE))),VLOOKUP($C265,装備品!$1:$998,COLUMN($O$1),FALSE)*VLOOKUP($D265,素材!$1:$1016,COLUMN($E$1),FALSE)/(LEN(VLOOKUP($D265,素材!$1:$1016,COLUMN($F$1),FALSE))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X265">
        <f>IF(ISNUMBER(SEARCH(SUBSTITUTE(AX$1,RIGHT(AX$1,2),""),VLOOKUP($D265,素材!$1:$1016,COLUMN($F$1),FALSE))),VLOOKUP($C265,装備品!$1:$998,COLUMN($O$1),FALSE)*VLOOKUP($D265,素材!$1:$1016,COLUMN($E$1),FALSE)/(LEN(VLOOKUP($D265,素材!$1:$1016,COLUMN($F$1),FALSE))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Y265">
        <f>IF(ISNUMBER(SEARCH(SUBSTITUTE(AY$1,RIGHT(AY$1,2),""),VLOOKUP($D265,素材!$1:$1016,COLUMN($F$1),FALSE))),VLOOKUP($C265,装備品!$1:$998,COLUMN($O$1),FALSE)*VLOOKUP($D265,素材!$1:$1016,COLUMN($E$1),FALSE)/(LEN(VLOOKUP($D265,素材!$1:$1016,COLUMN($F$1),FALSE))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Z265">
        <f>IF(ISNUMBER(SEARCH(SUBSTITUTE(AZ$1,RIGHT(AZ$1,2),""),VLOOKUP($D265,素材!$1:$1016,COLUMN($F$1),FALSE))),VLOOKUP($C265,装備品!$1:$998,COLUMN($O$1),FALSE)*VLOOKUP($D265,素材!$1:$1016,COLUMN($E$1),FALSE)/(LEN(VLOOKUP($D265,素材!$1:$1016,COLUMN($F$1),FALSE))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BA265">
        <f>IF(ISNUMBER(SEARCH(SUBSTITUTE(BA$1,RIGHT(BA$1,2),""),VLOOKUP($D265,素材!$1:$1016,COLUMN($F$1),FALSE))),VLOOKUP($C265,装備品!$1:$998,COLUMN($O$1),FALSE)*VLOOKUP($D265,素材!$1:$1016,COLUMN($E$1),FALSE)/(LEN(VLOOKUP($D265,素材!$1:$1016,COLUMN($F$1),FALSE))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BB265">
        <f>IF(ISNUMBER(SEARCH(SUBSTITUTE(BB$1,RIGHT(BB$1,2),""),VLOOKUP($D265,素材!$1:$1016,COLUMN($F$1),FALSE))),VLOOKUP($C265,装備品!$1:$998,COLUMN($O$1),FALSE)*VLOOKUP($D265,素材!$1:$1016,COLUMN($E$1),FALSE)/(LEN(VLOOKUP($D265,素材!$1:$1016,COLUMN($F$1),FALSE))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BC265">
        <f>IF(ISNUMBER(SEARCH(SUBSTITUTE(BC$1,RIGHT(BC$1,2),""),VLOOKUP($D265,素材!$1:$1016,COLUMN($F$1),FALSE))),VLOOKUP($C265,装備品!$1:$998,COLUMN($O$1),FALSE)*VLOOKUP($D265,素材!$1:$1016,COLUMN($E$1),FALSE)/(LEN(VLOOKUP($D265,素材!$1:$1016,COLUMN($F$1),FALSE))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BD265">
        <f>IF(ISNUMBER(SEARCH(SUBSTITUTE(BD$1,RIGHT(BD$1,2),""),VLOOKUP($D265,素材!$1:$1016,COLUMN($F$1),FALSE))),VLOOKUP($C265,装備品!$1:$998,COLUMN($O$1),FALSE)*VLOOKUP($D265,素材!$1:$1016,COLUMN($E$1),FALSE)/(LEN(VLOOKUP($D265,素材!$1:$1016,COLUMN($F$1),FALSE))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BE265">
        <f>IF(ISNUMBER(SEARCH(SUBSTITUTE(BE$1,RIGHT(BE$1,2),""),VLOOKUP($D265,素材!$1:$1016,COLUMN($F$1),FALSE))),VLOOKUP($C265,装備品!$1:$998,COLUMN($O$1),FALSE)*VLOOKUP($D265,素材!$1:$1016,COLUMN($E$1),FALSE)/(LEN(VLOOKUP($D265,素材!$1:$1016,COLUMN($F$1),FALSE))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CL265">
        <f t="shared" si="41"/>
        <v>17</v>
      </c>
      <c r="CM265" s="22" t="str">
        <f t="shared" si="42"/>
        <v>頭.webp</v>
      </c>
      <c r="CN265">
        <f>IFERROR(VLOOKUP($C265,装備品!$1:$998,COLUMN(V$1),FALSE)*VLOOKUP($D265,素材!$1:$1016,COLUMN(N$1),FALSE)+IF(CI265="",0,VLOOKUP($CI265,付与!$1:$1176,COLUMN($CK$1),FALSE)),"")</f>
        <v>0</v>
      </c>
      <c r="CO265">
        <f>VLOOKUP(D265,素材!$A:$O,COLUMN(素材!O$1),FALSE)</f>
        <v>0</v>
      </c>
      <c r="CP265" t="str">
        <f>VLOOKUP(C265,装備品!$A:$AB,COLUMN(装備品!AB$1),FALSE)</f>
        <v>命中 魔防 Cr</v>
      </c>
      <c r="CR265" t="str">
        <f t="shared" si="37"/>
        <v>e_265</v>
      </c>
      <c r="CS265">
        <f t="shared" si="38"/>
        <v>0</v>
      </c>
    </row>
    <row r="266" spans="1:97" outlineLevel="1" x14ac:dyDescent="0.4">
      <c r="A266" t="str">
        <f t="shared" si="40"/>
        <v>熱鉄の鎧</v>
      </c>
      <c r="B266" t="str">
        <f>IFERROR(VLOOKUP($D266,素材!$1:$1016,COLUMN($B$1),FALSE)&amp;"・"&amp;VLOOKUP($C266,装備品!$1:$998,COLUMN(B$1),FALSE),"")</f>
        <v>ヒートスティール・アーマー</v>
      </c>
      <c r="C266" t="s">
        <v>207</v>
      </c>
      <c r="D266" s="24" t="s">
        <v>204</v>
      </c>
      <c r="E266" t="str">
        <f>IFERROR(VLOOKUP(C266,装備品!$1:$998,COLUMN(C$1),FALSE),"")</f>
        <v>体</v>
      </c>
      <c r="F266">
        <f>IFERROR(ROUNDDOWN((VLOOKUP($C266,装備品!$1:$998,COLUMN(D$1),FALSE)+IFERROR(VLOOKUP($CI266,付与!$1:$1167,COLUMN(F$1),FALSE),0))*VLOOKUP($D266,素材!$1:$1016,COLUMN(D$1),FALSE),0),"")</f>
        <v>0</v>
      </c>
      <c r="G266">
        <f>IFERROR(ROUNDDOWN((VLOOKUP($C266,装備品!$1:$998,COLUMN(E$1),FALSE)+IFERROR(VLOOKUP($CI266,付与!$1:$1167,COLUMN(G$1),FALSE),0))*VLOOKUP($D266,素材!$1:$1016,COLUMN($E$1),FALSE),0),"")</f>
        <v>0</v>
      </c>
      <c r="H266">
        <f>IFERROR(ROUNDDOWN((VLOOKUP($C266,装備品!$1:$998,COLUMN(F$1),FALSE)+IFERROR(VLOOKUP($CI266,付与!$1:$1167,COLUMN(H$1),FALSE),0))*VLOOKUP($D266,素材!$1:$1016,COLUMN($E$1),FALSE),0),"")</f>
        <v>0</v>
      </c>
      <c r="I266">
        <f>IFERROR(ROUNDDOWN((VLOOKUP($C266,装備品!$1:$998,COLUMN(G$1),FALSE)+IFERROR(VLOOKUP($CI266,付与!$1:$1167,COLUMN(I$1),FALSE),0))*VLOOKUP($D266,素材!$1:$1016,COLUMN($E$1),FALSE),0),"")</f>
        <v>0</v>
      </c>
      <c r="J266">
        <f>IFERROR(ROUNDDOWN((VLOOKUP($C266,装備品!$1:$998,COLUMN(H$1),FALSE)+IFERROR(VLOOKUP($CI266,付与!$1:$1167,COLUMN(J$1),FALSE),0))*VLOOKUP($D266,素材!$1:$1016,COLUMN($E$1),FALSE),0),"")</f>
        <v>0</v>
      </c>
      <c r="K266">
        <f>IFERROR(ROUNDDOWN((VLOOKUP($C266,装備品!$1:$998,COLUMN(I$1),FALSE)+IFERROR(VLOOKUP($CI266,付与!$1:$1167,COLUMN(K$1),FALSE),0))*VLOOKUP($D266,素材!$1:$1016,COLUMN($E$1),FALSE),0),"")</f>
        <v>0</v>
      </c>
      <c r="L266" t="str">
        <f>IFERROR(VLOOKUP($D266,素材!$1:$1016,COLUMN($F$1),FALSE),"")</f>
        <v>炎</v>
      </c>
      <c r="M266">
        <f>IFERROR(VLOOKUP($C266,装備品!$1:$998,COLUMN(AA$1),FALSE)*VLOOKUP($D266,素材!$1:$1016,COLUMN($G$1),FALSE),"")</f>
        <v>105</v>
      </c>
      <c r="N266">
        <f>IFERROR(VLOOKUP($C266,装備品!$1:$998,COLUMN(I$1),FALSE),"")</f>
        <v>0</v>
      </c>
      <c r="O266" s="23">
        <f>IFERROR((VLOOKUP($C266,装備品!$1:$998,COLUMN(K$1),FALSE)+VLOOKUP($D266,素材!$1:$1016,COLUMN(H$1),FALSE))*100+IFERROR(VLOOKUP($CI266,付与!$1:$1167,COLUMN(O$1),FALSE),0),"")</f>
        <v>0</v>
      </c>
      <c r="P266" s="23">
        <f>IFERROR((VLOOKUP($C266,装備品!$1:$998,COLUMN(L$1),FALSE)+VLOOKUP($D266,素材!$1:$1016,COLUMN(I$1),FALSE))*100+IFERROR(VLOOKUP($CI266,付与!$1:$1167,COLUMN(P$1),FALSE),0),"")</f>
        <v>0</v>
      </c>
      <c r="Q266">
        <f>IFERROR(ROUNDUP(VLOOKUP($C266,装備品!$1:$998,COLUMN(M$1),FALSE)*(VLOOKUP($D266,素材!$1:$1002,COLUMN(D$1),FALSE)/100),1),"")</f>
        <v>-15</v>
      </c>
      <c r="R266">
        <f>IFERROR(ROUNDUP(VLOOKUP($C266,装備品!$1:$998,COLUMN(N$1),FALSE)*(VLOOKUP($D266,素材!$1:$1002,COLUMN(D$1),FALSE)/100),1),"")</f>
        <v>0</v>
      </c>
      <c r="S266">
        <f>IFERROR(VLOOKUP($C266,装備品!$1:$998,COLUMN(P$1),FALSE),"")</f>
        <v>-35</v>
      </c>
      <c r="T266">
        <f>IFERROR(VLOOKUP($C266,装備品!$1:$998,COLUMN(Q$1),FALSE),"")</f>
        <v>0</v>
      </c>
      <c r="U266">
        <f>IFERROR(VLOOKUP($C266,装備品!$1:$998,COLUMN(R$1),FALSE),"")</f>
        <v>0</v>
      </c>
      <c r="V266">
        <f>IFERROR(VLOOKUP($C266,装備品!$1:$998,COLUMN(Q$1),FALSE),"")</f>
        <v>0</v>
      </c>
      <c r="W266">
        <f>IFERROR(VLOOKUP($C266,装備品!$1:$998,COLUMN(T$1),FALSE),"")</f>
        <v>0.7</v>
      </c>
      <c r="Y266">
        <f>IFERROR(VLOOKUP($C266,装備品!$1:$998,COLUMN(U$1),FALSE),"")</f>
        <v>0</v>
      </c>
      <c r="Z266">
        <f>IFERROR(ROUNDUP(VLOOKUP($C266,装備品!$1:$998,COLUMN(O$1),FALSE)*VLOOKUP($D266,素材!$1:$1016,COLUMN(E$1),FALSE),1),"")</f>
        <v>0</v>
      </c>
      <c r="AA266">
        <f>IF(ISNUMBER(SEARCH(SUBSTITUTE(AA$1,RIGHT(AA$1,2),""),VLOOKUP($D266,素材!$1:$1016,COLUMN($F$1),FALSE))),VLOOKUP($C266,装備品!$1:$998,COLUMN($O$1),FALSE)*VLOOKUP($D266,素材!$1:$1016,COLUMN($E$1),FALSE)/(LEN(VLOOKUP($D266,素材!$1:$1016,COLUMN($F$1),FALSE))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B266">
        <f>IF(ISNUMBER(SEARCH(SUBSTITUTE(AB$1,RIGHT(AB$1,2),""),VLOOKUP($D266,素材!$1:$1016,COLUMN($F$1),FALSE))),VLOOKUP($C266,装備品!$1:$998,COLUMN($O$1),FALSE)*VLOOKUP($D266,素材!$1:$1016,COLUMN($E$1),FALSE)/(LEN(VLOOKUP($D266,素材!$1:$1016,COLUMN($F$1),FALSE))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C266">
        <f>IF(ISNUMBER(SEARCH(SUBSTITUTE(AC$1,RIGHT(AC$1,2),""),VLOOKUP($D266,素材!$1:$1016,COLUMN($F$1),FALSE))),VLOOKUP($C266,装備品!$1:$998,COLUMN($O$1),FALSE)*VLOOKUP($D266,素材!$1:$1016,COLUMN($E$1),FALSE)/(LEN(VLOOKUP($D266,素材!$1:$1016,COLUMN($F$1),FALSE))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D266">
        <f>IF(ISNUMBER(SEARCH(SUBSTITUTE(AD$1,RIGHT(AD$1,2),""),VLOOKUP($D266,素材!$1:$1016,COLUMN($F$1),FALSE))),VLOOKUP($C266,装備品!$1:$998,COLUMN($O$1),FALSE)*VLOOKUP($D266,素材!$1:$1016,COLUMN($E$1),FALSE)/(LEN(VLOOKUP($D266,素材!$1:$1016,COLUMN($F$1),FALSE))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E266">
        <f>IF(ISNUMBER(SEARCH(SUBSTITUTE(AE$1,RIGHT(AE$1,2),""),VLOOKUP($D266,素材!$1:$1016,COLUMN($F$1),FALSE))),VLOOKUP($C266,装備品!$1:$998,COLUMN($O$1),FALSE)*VLOOKUP($D266,素材!$1:$1016,COLUMN($E$1),FALSE)/(LEN(VLOOKUP($D266,素材!$1:$1016,COLUMN($F$1),FALSE))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F266">
        <f>IF(ISNUMBER(SEARCH(SUBSTITUTE(AF$1,RIGHT(AF$1,2),""),VLOOKUP($D266,素材!$1:$1016,COLUMN($F$1),FALSE))),VLOOKUP($C266,装備品!$1:$998,COLUMN($O$1),FALSE)*VLOOKUP($D266,素材!$1:$1016,COLUMN($E$1),FALSE)/(LEN(VLOOKUP($D266,素材!$1:$1016,COLUMN($F$1),FALSE))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G266">
        <f>IF(ISNUMBER(SEARCH(SUBSTITUTE(AG$1,RIGHT(AG$1,2),""),VLOOKUP($D266,素材!$1:$1016,COLUMN($F$1),FALSE))),VLOOKUP($C266,装備品!$1:$998,COLUMN($O$1),FALSE)*VLOOKUP($D266,素材!$1:$1016,COLUMN($E$1),FALSE)/(LEN(VLOOKUP($D266,素材!$1:$1016,COLUMN($F$1),FALSE))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H266">
        <f>IF(ISNUMBER(SEARCH(SUBSTITUTE(AH$1,RIGHT(AH$1,2),""),VLOOKUP($D266,素材!$1:$1016,COLUMN($F$1),FALSE))),VLOOKUP($C266,装備品!$1:$998,COLUMN($O$1),FALSE)*VLOOKUP($D266,素材!$1:$1016,COLUMN($E$1),FALSE)/(LEN(VLOOKUP($D266,素材!$1:$1016,COLUMN($F$1),FALSE))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I266">
        <f>IF(ISNUMBER(SEARCH(SUBSTITUTE(AI$1,RIGHT(AI$1,2),""),VLOOKUP($D266,素材!$1:$1016,COLUMN($F$1),FALSE))),VLOOKUP($C266,装備品!$1:$998,COLUMN($O$1),FALSE)*VLOOKUP($D266,素材!$1:$1016,COLUMN($E$1),FALSE)/(LEN(VLOOKUP($D266,素材!$1:$1016,COLUMN($F$1),FALSE))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J266">
        <f>IF(ISNUMBER(SEARCH(SUBSTITUTE(AJ$1,RIGHT(AJ$1,2),""),VLOOKUP($D266,素材!$1:$1016,COLUMN($F$1),FALSE))),VLOOKUP($C266,装備品!$1:$998,COLUMN($O$1),FALSE)*VLOOKUP($D266,素材!$1:$1016,COLUMN($E$1),FALSE)/(LEN(VLOOKUP($D266,素材!$1:$1016,COLUMN($F$1),FALSE))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K266">
        <f>IF(ISNUMBER(SEARCH(SUBSTITUTE(AK$1,RIGHT(AK$1,2),""),VLOOKUP($D266,素材!$1:$1016,COLUMN($F$1),FALSE))),VLOOKUP($C266,装備品!$1:$998,COLUMN($O$1),FALSE)*VLOOKUP($D266,素材!$1:$1016,COLUMN($E$1),FALSE)/(LEN(VLOOKUP($D266,素材!$1:$1016,COLUMN($F$1),FALSE))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L266">
        <f>IF(ISNUMBER(SEARCH(SUBSTITUTE(AL$1,RIGHT(AL$1,2),""),VLOOKUP($D266,素材!$1:$1016,COLUMN($F$1),FALSE))),VLOOKUP($C266,装備品!$1:$998,COLUMN($O$1),FALSE)*VLOOKUP($D266,素材!$1:$1016,COLUMN($E$1),FALSE)/(LEN(VLOOKUP($D266,素材!$1:$1016,COLUMN($F$1),FALSE))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M266">
        <f>IF(ISNUMBER(SEARCH(SUBSTITUTE(AM$1,RIGHT(AM$1,2),""),VLOOKUP($D266,素材!$1:$1016,COLUMN($F$1),FALSE))),VLOOKUP($C266,装備品!$1:$998,COLUMN($O$1),FALSE)*VLOOKUP($D266,素材!$1:$1016,COLUMN($E$1),FALSE)/(LEN(VLOOKUP($D266,素材!$1:$1016,COLUMN($F$1),FALSE))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N266">
        <f>IF(ISNUMBER(SEARCH(SUBSTITUTE(AN$1,RIGHT(AN$1,2),""),VLOOKUP($D266,素材!$1:$1016,COLUMN($F$1),FALSE))),VLOOKUP($C266,装備品!$1:$998,COLUMN($O$1),FALSE)*VLOOKUP($D266,素材!$1:$1016,COLUMN($E$1),FALSE)/(LEN(VLOOKUP($D266,素材!$1:$1016,COLUMN($F$1),FALSE))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O266">
        <f>IF(ISNUMBER(SEARCH(SUBSTITUTE(AO$1,RIGHT(AO$1,2),""),VLOOKUP($D266,素材!$1:$1016,COLUMN($F$1),FALSE))),VLOOKUP($C266,装備品!$1:$998,COLUMN($O$1),FALSE)*VLOOKUP($D266,素材!$1:$1016,COLUMN($E$1),FALSE)/(LEN(VLOOKUP($D266,素材!$1:$1016,COLUMN($F$1),FALSE))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P266">
        <f>IF(ISNUMBER(SEARCH(SUBSTITUTE(AP$1,RIGHT(AP$1,2),""),VLOOKUP($D266,素材!$1:$1016,COLUMN($F$1),FALSE))),VLOOKUP($C266,装備品!$1:$998,COLUMN($O$1),FALSE)*VLOOKUP($D266,素材!$1:$1016,COLUMN($E$1),FALSE)/(LEN(VLOOKUP($D266,素材!$1:$1016,COLUMN($F$1),FALSE))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Q266">
        <f>IF(ISNUMBER(SEARCH(SUBSTITUTE(AQ$1,RIGHT(AQ$1,2),""),VLOOKUP($D266,素材!$1:$1016,COLUMN($F$1),FALSE))),VLOOKUP($C266,装備品!$1:$998,COLUMN($O$1),FALSE)*VLOOKUP($D266,素材!$1:$1016,COLUMN($E$1),FALSE)/(LEN(VLOOKUP($D266,素材!$1:$1016,COLUMN($F$1),FALSE))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R266">
        <f>IF(ISNUMBER(SEARCH(SUBSTITUTE(AR$1,RIGHT(AR$1,2),""),VLOOKUP($D266,素材!$1:$1016,COLUMN($F$1),FALSE))),VLOOKUP($C266,装備品!$1:$998,COLUMN($O$1),FALSE)*VLOOKUP($D266,素材!$1:$1016,COLUMN($E$1),FALSE)/(LEN(VLOOKUP($D266,素材!$1:$1016,COLUMN($F$1),FALSE))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S266">
        <f>IF(ISNUMBER(SEARCH(SUBSTITUTE(AS$1,RIGHT(AS$1,2),""),VLOOKUP($D266,素材!$1:$1016,COLUMN($F$1),FALSE))),VLOOKUP($C266,装備品!$1:$998,COLUMN($O$1),FALSE)*VLOOKUP($D266,素材!$1:$1016,COLUMN($E$1),FALSE)/(LEN(VLOOKUP($D266,素材!$1:$1016,COLUMN($F$1),FALSE))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T266">
        <f>IF(ISNUMBER(SEARCH(SUBSTITUTE(AT$1,RIGHT(AT$1,2),""),VLOOKUP($D266,素材!$1:$1016,COLUMN($F$1),FALSE))),VLOOKUP($C266,装備品!$1:$998,COLUMN($O$1),FALSE)*VLOOKUP($D266,素材!$1:$1016,COLUMN($E$1),FALSE)/(LEN(VLOOKUP($D266,素材!$1:$1016,COLUMN($F$1),FALSE))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U266">
        <f>IF(ISNUMBER(SEARCH(SUBSTITUTE(AU$1,RIGHT(AU$1,2),""),VLOOKUP($D266,素材!$1:$1016,COLUMN($F$1),FALSE))),VLOOKUP($C266,装備品!$1:$998,COLUMN($O$1),FALSE)*VLOOKUP($D266,素材!$1:$1016,COLUMN($E$1),FALSE)/(LEN(VLOOKUP($D266,素材!$1:$1016,COLUMN($F$1),FALSE))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V266">
        <f>IF(ISNUMBER(SEARCH(SUBSTITUTE(AV$1,RIGHT(AV$1,2),""),VLOOKUP($D266,素材!$1:$1016,COLUMN($F$1),FALSE))),VLOOKUP($C266,装備品!$1:$998,COLUMN($O$1),FALSE)*VLOOKUP($D266,素材!$1:$1016,COLUMN($E$1),FALSE)/(LEN(VLOOKUP($D266,素材!$1:$1016,COLUMN($F$1),FALSE))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W266">
        <f>IF(ISNUMBER(SEARCH(SUBSTITUTE(AW$1,RIGHT(AW$1,2),""),VLOOKUP($D266,素材!$1:$1016,COLUMN($F$1),FALSE))),VLOOKUP($C266,装備品!$1:$998,COLUMN($O$1),FALSE)*VLOOKUP($D266,素材!$1:$1016,COLUMN($E$1),FALSE)/(LEN(VLOOKUP($D266,素材!$1:$1016,COLUMN($F$1),FALSE))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X266">
        <f>IF(ISNUMBER(SEARCH(SUBSTITUTE(AX$1,RIGHT(AX$1,2),""),VLOOKUP($D266,素材!$1:$1016,COLUMN($F$1),FALSE))),VLOOKUP($C266,装備品!$1:$998,COLUMN($O$1),FALSE)*VLOOKUP($D266,素材!$1:$1016,COLUMN($E$1),FALSE)/(LEN(VLOOKUP($D266,素材!$1:$1016,COLUMN($F$1),FALSE))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Y266">
        <f>IF(ISNUMBER(SEARCH(SUBSTITUTE(AY$1,RIGHT(AY$1,2),""),VLOOKUP($D266,素材!$1:$1016,COLUMN($F$1),FALSE))),VLOOKUP($C266,装備品!$1:$998,COLUMN($O$1),FALSE)*VLOOKUP($D266,素材!$1:$1016,COLUMN($E$1),FALSE)/(LEN(VLOOKUP($D266,素材!$1:$1016,COLUMN($F$1),FALSE))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Z266">
        <f>IF(ISNUMBER(SEARCH(SUBSTITUTE(AZ$1,RIGHT(AZ$1,2),""),VLOOKUP($D266,素材!$1:$1016,COLUMN($F$1),FALSE))),VLOOKUP($C266,装備品!$1:$998,COLUMN($O$1),FALSE)*VLOOKUP($D266,素材!$1:$1016,COLUMN($E$1),FALSE)/(LEN(VLOOKUP($D266,素材!$1:$1016,COLUMN($F$1),FALSE))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BA266">
        <f>IF(ISNUMBER(SEARCH(SUBSTITUTE(BA$1,RIGHT(BA$1,2),""),VLOOKUP($D266,素材!$1:$1016,COLUMN($F$1),FALSE))),VLOOKUP($C266,装備品!$1:$998,COLUMN($O$1),FALSE)*VLOOKUP($D266,素材!$1:$1016,COLUMN($E$1),FALSE)/(LEN(VLOOKUP($D266,素材!$1:$1016,COLUMN($F$1),FALSE))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BB266">
        <f>IF(ISNUMBER(SEARCH(SUBSTITUTE(BB$1,RIGHT(BB$1,2),""),VLOOKUP($D266,素材!$1:$1016,COLUMN($F$1),FALSE))),VLOOKUP($C266,装備品!$1:$998,COLUMN($O$1),FALSE)*VLOOKUP($D266,素材!$1:$1016,COLUMN($E$1),FALSE)/(LEN(VLOOKUP($D266,素材!$1:$1016,COLUMN($F$1),FALSE))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BC266">
        <f>IF(ISNUMBER(SEARCH(SUBSTITUTE(BC$1,RIGHT(BC$1,2),""),VLOOKUP($D266,素材!$1:$1016,COLUMN($F$1),FALSE))),VLOOKUP($C266,装備品!$1:$998,COLUMN($O$1),FALSE)*VLOOKUP($D266,素材!$1:$1016,COLUMN($E$1),FALSE)/(LEN(VLOOKUP($D266,素材!$1:$1016,COLUMN($F$1),FALSE))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BD266">
        <f>IF(ISNUMBER(SEARCH(SUBSTITUTE(BD$1,RIGHT(BD$1,2),""),VLOOKUP($D266,素材!$1:$1016,COLUMN($F$1),FALSE))),VLOOKUP($C266,装備品!$1:$998,COLUMN($O$1),FALSE)*VLOOKUP($D266,素材!$1:$1016,COLUMN($E$1),FALSE)/(LEN(VLOOKUP($D266,素材!$1:$1016,COLUMN($F$1),FALSE))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BE266">
        <f>IF(ISNUMBER(SEARCH(SUBSTITUTE(BE$1,RIGHT(BE$1,2),""),VLOOKUP($D266,素材!$1:$1016,COLUMN($F$1),FALSE))),VLOOKUP($C266,装備品!$1:$998,COLUMN($O$1),FALSE)*VLOOKUP($D266,素材!$1:$1016,COLUMN($E$1),FALSE)/(LEN(VLOOKUP($D266,素材!$1:$1016,COLUMN($F$1),FALSE))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CL266">
        <f t="shared" si="41"/>
        <v>0</v>
      </c>
      <c r="CM266" s="22" t="str">
        <f t="shared" si="42"/>
        <v>体.webp</v>
      </c>
      <c r="CN266">
        <f>IFERROR(VLOOKUP($C266,装備品!$1:$998,COLUMN(V$1),FALSE)*VLOOKUP($D266,素材!$1:$1016,COLUMN(N$1),FALSE)+IF(CI266="",0,VLOOKUP($CI266,付与!$1:$1176,COLUMN($CK$1),FALSE)),"")</f>
        <v>0</v>
      </c>
      <c r="CO266">
        <f>VLOOKUP(D266,素材!$A:$O,COLUMN(素材!O$1),FALSE)</f>
        <v>0</v>
      </c>
      <c r="CP266" t="str">
        <f>VLOOKUP(C266,装備品!$A:$AB,COLUMN(装備品!AB$1),FALSE)</f>
        <v>HP 物理 魔法 体幹 出血 疲労 Cr</v>
      </c>
      <c r="CR266" t="str">
        <f t="shared" si="37"/>
        <v>e_266</v>
      </c>
      <c r="CS266">
        <f t="shared" si="38"/>
        <v>0</v>
      </c>
    </row>
    <row r="267" spans="1:97" outlineLevel="1" x14ac:dyDescent="0.4">
      <c r="A267" t="str">
        <f t="shared" si="40"/>
        <v>熱鉄の胴衣</v>
      </c>
      <c r="B267" t="str">
        <f>IFERROR(VLOOKUP($D267,素材!$1:$1016,COLUMN($B$1),FALSE)&amp;"・"&amp;VLOOKUP($C267,装備品!$1:$998,COLUMN(B$1),FALSE),"")</f>
        <v>ヒートスティール・ベスト</v>
      </c>
      <c r="C267" t="s">
        <v>206</v>
      </c>
      <c r="D267" s="24" t="s">
        <v>204</v>
      </c>
      <c r="E267" t="str">
        <f>IFERROR(VLOOKUP(C267,装備品!$1:$998,COLUMN(C$1),FALSE),"")</f>
        <v>体</v>
      </c>
      <c r="F267">
        <f>IFERROR(ROUNDDOWN((VLOOKUP($C267,装備品!$1:$998,COLUMN(D$1),FALSE)+IFERROR(VLOOKUP($CI267,付与!$1:$1167,COLUMN(F$1),FALSE),0))*VLOOKUP($D267,素材!$1:$1016,COLUMN(D$1),FALSE),0),"")</f>
        <v>0</v>
      </c>
      <c r="G267">
        <f>IFERROR(ROUNDDOWN((VLOOKUP($C267,装備品!$1:$998,COLUMN(E$1),FALSE)+IFERROR(VLOOKUP($CI267,付与!$1:$1167,COLUMN(G$1),FALSE),0))*VLOOKUP($D267,素材!$1:$1016,COLUMN($E$1),FALSE),0),"")</f>
        <v>0</v>
      </c>
      <c r="H267">
        <f>IFERROR(ROUNDDOWN((VLOOKUP($C267,装備品!$1:$998,COLUMN(F$1),FALSE)+IFERROR(VLOOKUP($CI267,付与!$1:$1167,COLUMN(H$1),FALSE),0))*VLOOKUP($D267,素材!$1:$1016,COLUMN($E$1),FALSE),0),"")</f>
        <v>0</v>
      </c>
      <c r="I267">
        <f>IFERROR(ROUNDDOWN((VLOOKUP($C267,装備品!$1:$998,COLUMN(G$1),FALSE)+IFERROR(VLOOKUP($CI267,付与!$1:$1167,COLUMN(I$1),FALSE),0))*VLOOKUP($D267,素材!$1:$1016,COLUMN($E$1),FALSE),0),"")</f>
        <v>0</v>
      </c>
      <c r="J267">
        <f>IFERROR(ROUNDDOWN((VLOOKUP($C267,装備品!$1:$998,COLUMN(H$1),FALSE)+IFERROR(VLOOKUP($CI267,付与!$1:$1167,COLUMN(J$1),FALSE),0))*VLOOKUP($D267,素材!$1:$1016,COLUMN($E$1),FALSE),0),"")</f>
        <v>0</v>
      </c>
      <c r="K267">
        <f>IFERROR(ROUNDDOWN((VLOOKUP($C267,装備品!$1:$998,COLUMN(I$1),FALSE)+IFERROR(VLOOKUP($CI267,付与!$1:$1167,COLUMN(K$1),FALSE),0))*VLOOKUP($D267,素材!$1:$1016,COLUMN($E$1),FALSE),0),"")</f>
        <v>0</v>
      </c>
      <c r="L267" t="str">
        <f>IFERROR(VLOOKUP($D267,素材!$1:$1016,COLUMN($F$1),FALSE),"")</f>
        <v>炎</v>
      </c>
      <c r="M267">
        <f>IFERROR(VLOOKUP($C267,装備品!$1:$998,COLUMN(AA$1),FALSE)*VLOOKUP($D267,素材!$1:$1016,COLUMN($G$1),FALSE),"")</f>
        <v>87.5</v>
      </c>
      <c r="N267">
        <f>IFERROR(VLOOKUP($C267,装備品!$1:$998,COLUMN(I$1),FALSE),"")</f>
        <v>0</v>
      </c>
      <c r="O267" s="23">
        <f>IFERROR((VLOOKUP($C267,装備品!$1:$998,COLUMN(K$1),FALSE)+VLOOKUP($D267,素材!$1:$1016,COLUMN(H$1),FALSE))*100+IFERROR(VLOOKUP($CI267,付与!$1:$1167,COLUMN(O$1),FALSE),0),"")</f>
        <v>0</v>
      </c>
      <c r="P267" s="23">
        <f>IFERROR((VLOOKUP($C267,装備品!$1:$998,COLUMN(L$1),FALSE)+VLOOKUP($D267,素材!$1:$1016,COLUMN(I$1),FALSE))*100+IFERROR(VLOOKUP($CI267,付与!$1:$1167,COLUMN(P$1),FALSE),0),"")</f>
        <v>0</v>
      </c>
      <c r="Q267">
        <f>IFERROR(ROUNDUP(VLOOKUP($C267,装備品!$1:$998,COLUMN(M$1),FALSE)*(VLOOKUP($D267,素材!$1:$1002,COLUMN(D$1),FALSE)/100),1),"")</f>
        <v>-7.5</v>
      </c>
      <c r="R267">
        <f>IFERROR(ROUNDUP(VLOOKUP($C267,装備品!$1:$998,COLUMN(N$1),FALSE)*(VLOOKUP($D267,素材!$1:$1002,COLUMN(D$1),FALSE)/100),1),"")</f>
        <v>0</v>
      </c>
      <c r="S267">
        <f>IFERROR(VLOOKUP($C267,装備品!$1:$998,COLUMN(P$1),FALSE),"")</f>
        <v>-15</v>
      </c>
      <c r="T267">
        <f>IFERROR(VLOOKUP($C267,装備品!$1:$998,COLUMN(Q$1),FALSE),"")</f>
        <v>0</v>
      </c>
      <c r="U267">
        <f>IFERROR(VLOOKUP($C267,装備品!$1:$998,COLUMN(R$1),FALSE),"")</f>
        <v>0</v>
      </c>
      <c r="V267">
        <f>IFERROR(VLOOKUP($C267,装備品!$1:$998,COLUMN(Q$1),FALSE),"")</f>
        <v>0</v>
      </c>
      <c r="W267">
        <f>IFERROR(VLOOKUP($C267,装備品!$1:$998,COLUMN(T$1),FALSE),"")</f>
        <v>0.5</v>
      </c>
      <c r="Y267">
        <f>IFERROR(VLOOKUP($C267,装備品!$1:$998,COLUMN(U$1),FALSE),"")</f>
        <v>0</v>
      </c>
      <c r="Z267">
        <f>IFERROR(ROUNDUP(VLOOKUP($C267,装備品!$1:$998,COLUMN(O$1),FALSE)*VLOOKUP($D267,素材!$1:$1016,COLUMN(E$1),FALSE),1),"")</f>
        <v>0</v>
      </c>
      <c r="AA267">
        <f>IF(ISNUMBER(SEARCH(SUBSTITUTE(AA$1,RIGHT(AA$1,2),""),VLOOKUP($D267,素材!$1:$1016,COLUMN($F$1),FALSE))),VLOOKUP($C267,装備品!$1:$998,COLUMN($O$1),FALSE)*VLOOKUP($D267,素材!$1:$1016,COLUMN($E$1),FALSE)/(LEN(VLOOKUP($D267,素材!$1:$1016,COLUMN($F$1),FALSE))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B267">
        <f>IF(ISNUMBER(SEARCH(SUBSTITUTE(AB$1,RIGHT(AB$1,2),""),VLOOKUP($D267,素材!$1:$1016,COLUMN($F$1),FALSE))),VLOOKUP($C267,装備品!$1:$998,COLUMN($O$1),FALSE)*VLOOKUP($D267,素材!$1:$1016,COLUMN($E$1),FALSE)/(LEN(VLOOKUP($D267,素材!$1:$1016,COLUMN($F$1),FALSE))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C267">
        <f>IF(ISNUMBER(SEARCH(SUBSTITUTE(AC$1,RIGHT(AC$1,2),""),VLOOKUP($D267,素材!$1:$1016,COLUMN($F$1),FALSE))),VLOOKUP($C267,装備品!$1:$998,COLUMN($O$1),FALSE)*VLOOKUP($D267,素材!$1:$1016,COLUMN($E$1),FALSE)/(LEN(VLOOKUP($D267,素材!$1:$1016,COLUMN($F$1),FALSE))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D267">
        <f>IF(ISNUMBER(SEARCH(SUBSTITUTE(AD$1,RIGHT(AD$1,2),""),VLOOKUP($D267,素材!$1:$1016,COLUMN($F$1),FALSE))),VLOOKUP($C267,装備品!$1:$998,COLUMN($O$1),FALSE)*VLOOKUP($D267,素材!$1:$1016,COLUMN($E$1),FALSE)/(LEN(VLOOKUP($D267,素材!$1:$1016,COLUMN($F$1),FALSE))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E267">
        <f>IF(ISNUMBER(SEARCH(SUBSTITUTE(AE$1,RIGHT(AE$1,2),""),VLOOKUP($D267,素材!$1:$1016,COLUMN($F$1),FALSE))),VLOOKUP($C267,装備品!$1:$998,COLUMN($O$1),FALSE)*VLOOKUP($D267,素材!$1:$1016,COLUMN($E$1),FALSE)/(LEN(VLOOKUP($D267,素材!$1:$1016,COLUMN($F$1),FALSE))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F267">
        <f>IF(ISNUMBER(SEARCH(SUBSTITUTE(AF$1,RIGHT(AF$1,2),""),VLOOKUP($D267,素材!$1:$1016,COLUMN($F$1),FALSE))),VLOOKUP($C267,装備品!$1:$998,COLUMN($O$1),FALSE)*VLOOKUP($D267,素材!$1:$1016,COLUMN($E$1),FALSE)/(LEN(VLOOKUP($D267,素材!$1:$1016,COLUMN($F$1),FALSE))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G267">
        <f>IF(ISNUMBER(SEARCH(SUBSTITUTE(AG$1,RIGHT(AG$1,2),""),VLOOKUP($D267,素材!$1:$1016,COLUMN($F$1),FALSE))),VLOOKUP($C267,装備品!$1:$998,COLUMN($O$1),FALSE)*VLOOKUP($D267,素材!$1:$1016,COLUMN($E$1),FALSE)/(LEN(VLOOKUP($D267,素材!$1:$1016,COLUMN($F$1),FALSE))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H267">
        <f>IF(ISNUMBER(SEARCH(SUBSTITUTE(AH$1,RIGHT(AH$1,2),""),VLOOKUP($D267,素材!$1:$1016,COLUMN($F$1),FALSE))),VLOOKUP($C267,装備品!$1:$998,COLUMN($O$1),FALSE)*VLOOKUP($D267,素材!$1:$1016,COLUMN($E$1),FALSE)/(LEN(VLOOKUP($D267,素材!$1:$1016,COLUMN($F$1),FALSE))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I267">
        <f>IF(ISNUMBER(SEARCH(SUBSTITUTE(AI$1,RIGHT(AI$1,2),""),VLOOKUP($D267,素材!$1:$1016,COLUMN($F$1),FALSE))),VLOOKUP($C267,装備品!$1:$998,COLUMN($O$1),FALSE)*VLOOKUP($D267,素材!$1:$1016,COLUMN($E$1),FALSE)/(LEN(VLOOKUP($D267,素材!$1:$1016,COLUMN($F$1),FALSE))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J267">
        <f>IF(ISNUMBER(SEARCH(SUBSTITUTE(AJ$1,RIGHT(AJ$1,2),""),VLOOKUP($D267,素材!$1:$1016,COLUMN($F$1),FALSE))),VLOOKUP($C267,装備品!$1:$998,COLUMN($O$1),FALSE)*VLOOKUP($D267,素材!$1:$1016,COLUMN($E$1),FALSE)/(LEN(VLOOKUP($D267,素材!$1:$1016,COLUMN($F$1),FALSE))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K267">
        <f>IF(ISNUMBER(SEARCH(SUBSTITUTE(AK$1,RIGHT(AK$1,2),""),VLOOKUP($D267,素材!$1:$1016,COLUMN($F$1),FALSE))),VLOOKUP($C267,装備品!$1:$998,COLUMN($O$1),FALSE)*VLOOKUP($D267,素材!$1:$1016,COLUMN($E$1),FALSE)/(LEN(VLOOKUP($D267,素材!$1:$1016,COLUMN($F$1),FALSE))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L267">
        <f>IF(ISNUMBER(SEARCH(SUBSTITUTE(AL$1,RIGHT(AL$1,2),""),VLOOKUP($D267,素材!$1:$1016,COLUMN($F$1),FALSE))),VLOOKUP($C267,装備品!$1:$998,COLUMN($O$1),FALSE)*VLOOKUP($D267,素材!$1:$1016,COLUMN($E$1),FALSE)/(LEN(VLOOKUP($D267,素材!$1:$1016,COLUMN($F$1),FALSE))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M267">
        <f>IF(ISNUMBER(SEARCH(SUBSTITUTE(AM$1,RIGHT(AM$1,2),""),VLOOKUP($D267,素材!$1:$1016,COLUMN($F$1),FALSE))),VLOOKUP($C267,装備品!$1:$998,COLUMN($O$1),FALSE)*VLOOKUP($D267,素材!$1:$1016,COLUMN($E$1),FALSE)/(LEN(VLOOKUP($D267,素材!$1:$1016,COLUMN($F$1),FALSE))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N267">
        <f>IF(ISNUMBER(SEARCH(SUBSTITUTE(AN$1,RIGHT(AN$1,2),""),VLOOKUP($D267,素材!$1:$1016,COLUMN($F$1),FALSE))),VLOOKUP($C267,装備品!$1:$998,COLUMN($O$1),FALSE)*VLOOKUP($D267,素材!$1:$1016,COLUMN($E$1),FALSE)/(LEN(VLOOKUP($D267,素材!$1:$1016,COLUMN($F$1),FALSE))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O267">
        <f>IF(ISNUMBER(SEARCH(SUBSTITUTE(AO$1,RIGHT(AO$1,2),""),VLOOKUP($D267,素材!$1:$1016,COLUMN($F$1),FALSE))),VLOOKUP($C267,装備品!$1:$998,COLUMN($O$1),FALSE)*VLOOKUP($D267,素材!$1:$1016,COLUMN($E$1),FALSE)/(LEN(VLOOKUP($D267,素材!$1:$1016,COLUMN($F$1),FALSE))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P267">
        <f>IF(ISNUMBER(SEARCH(SUBSTITUTE(AP$1,RIGHT(AP$1,2),""),VLOOKUP($D267,素材!$1:$1016,COLUMN($F$1),FALSE))),VLOOKUP($C267,装備品!$1:$998,COLUMN($O$1),FALSE)*VLOOKUP($D267,素材!$1:$1016,COLUMN($E$1),FALSE)/(LEN(VLOOKUP($D267,素材!$1:$1016,COLUMN($F$1),FALSE))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Q267">
        <f>IF(ISNUMBER(SEARCH(SUBSTITUTE(AQ$1,RIGHT(AQ$1,2),""),VLOOKUP($D267,素材!$1:$1016,COLUMN($F$1),FALSE))),VLOOKUP($C267,装備品!$1:$998,COLUMN($O$1),FALSE)*VLOOKUP($D267,素材!$1:$1016,COLUMN($E$1),FALSE)/(LEN(VLOOKUP($D267,素材!$1:$1016,COLUMN($F$1),FALSE))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R267">
        <f>IF(ISNUMBER(SEARCH(SUBSTITUTE(AR$1,RIGHT(AR$1,2),""),VLOOKUP($D267,素材!$1:$1016,COLUMN($F$1),FALSE))),VLOOKUP($C267,装備品!$1:$998,COLUMN($O$1),FALSE)*VLOOKUP($D267,素材!$1:$1016,COLUMN($E$1),FALSE)/(LEN(VLOOKUP($D267,素材!$1:$1016,COLUMN($F$1),FALSE))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S267">
        <f>IF(ISNUMBER(SEARCH(SUBSTITUTE(AS$1,RIGHT(AS$1,2),""),VLOOKUP($D267,素材!$1:$1016,COLUMN($F$1),FALSE))),VLOOKUP($C267,装備品!$1:$998,COLUMN($O$1),FALSE)*VLOOKUP($D267,素材!$1:$1016,COLUMN($E$1),FALSE)/(LEN(VLOOKUP($D267,素材!$1:$1016,COLUMN($F$1),FALSE))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T267">
        <f>IF(ISNUMBER(SEARCH(SUBSTITUTE(AT$1,RIGHT(AT$1,2),""),VLOOKUP($D267,素材!$1:$1016,COLUMN($F$1),FALSE))),VLOOKUP($C267,装備品!$1:$998,COLUMN($O$1),FALSE)*VLOOKUP($D267,素材!$1:$1016,COLUMN($E$1),FALSE)/(LEN(VLOOKUP($D267,素材!$1:$1016,COLUMN($F$1),FALSE))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U267">
        <f>IF(ISNUMBER(SEARCH(SUBSTITUTE(AU$1,RIGHT(AU$1,2),""),VLOOKUP($D267,素材!$1:$1016,COLUMN($F$1),FALSE))),VLOOKUP($C267,装備品!$1:$998,COLUMN($O$1),FALSE)*VLOOKUP($D267,素材!$1:$1016,COLUMN($E$1),FALSE)/(LEN(VLOOKUP($D267,素材!$1:$1016,COLUMN($F$1),FALSE))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V267">
        <f>IF(ISNUMBER(SEARCH(SUBSTITUTE(AV$1,RIGHT(AV$1,2),""),VLOOKUP($D267,素材!$1:$1016,COLUMN($F$1),FALSE))),VLOOKUP($C267,装備品!$1:$998,COLUMN($O$1),FALSE)*VLOOKUP($D267,素材!$1:$1016,COLUMN($E$1),FALSE)/(LEN(VLOOKUP($D267,素材!$1:$1016,COLUMN($F$1),FALSE))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W267">
        <f>IF(ISNUMBER(SEARCH(SUBSTITUTE(AW$1,RIGHT(AW$1,2),""),VLOOKUP($D267,素材!$1:$1016,COLUMN($F$1),FALSE))),VLOOKUP($C267,装備品!$1:$998,COLUMN($O$1),FALSE)*VLOOKUP($D267,素材!$1:$1016,COLUMN($E$1),FALSE)/(LEN(VLOOKUP($D267,素材!$1:$1016,COLUMN($F$1),FALSE))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X267">
        <f>IF(ISNUMBER(SEARCH(SUBSTITUTE(AX$1,RIGHT(AX$1,2),""),VLOOKUP($D267,素材!$1:$1016,COLUMN($F$1),FALSE))),VLOOKUP($C267,装備品!$1:$998,COLUMN($O$1),FALSE)*VLOOKUP($D267,素材!$1:$1016,COLUMN($E$1),FALSE)/(LEN(VLOOKUP($D267,素材!$1:$1016,COLUMN($F$1),FALSE))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Y267">
        <f>IF(ISNUMBER(SEARCH(SUBSTITUTE(AY$1,RIGHT(AY$1,2),""),VLOOKUP($D267,素材!$1:$1016,COLUMN($F$1),FALSE))),VLOOKUP($C267,装備品!$1:$998,COLUMN($O$1),FALSE)*VLOOKUP($D267,素材!$1:$1016,COLUMN($E$1),FALSE)/(LEN(VLOOKUP($D267,素材!$1:$1016,COLUMN($F$1),FALSE))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Z267">
        <f>IF(ISNUMBER(SEARCH(SUBSTITUTE(AZ$1,RIGHT(AZ$1,2),""),VLOOKUP($D267,素材!$1:$1016,COLUMN($F$1),FALSE))),VLOOKUP($C267,装備品!$1:$998,COLUMN($O$1),FALSE)*VLOOKUP($D267,素材!$1:$1016,COLUMN($E$1),FALSE)/(LEN(VLOOKUP($D267,素材!$1:$1016,COLUMN($F$1),FALSE))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BA267">
        <f>IF(ISNUMBER(SEARCH(SUBSTITUTE(BA$1,RIGHT(BA$1,2),""),VLOOKUP($D267,素材!$1:$1016,COLUMN($F$1),FALSE))),VLOOKUP($C267,装備品!$1:$998,COLUMN($O$1),FALSE)*VLOOKUP($D267,素材!$1:$1016,COLUMN($E$1),FALSE)/(LEN(VLOOKUP($D267,素材!$1:$1016,COLUMN($F$1),FALSE))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BB267">
        <f>IF(ISNUMBER(SEARCH(SUBSTITUTE(BB$1,RIGHT(BB$1,2),""),VLOOKUP($D267,素材!$1:$1016,COLUMN($F$1),FALSE))),VLOOKUP($C267,装備品!$1:$998,COLUMN($O$1),FALSE)*VLOOKUP($D267,素材!$1:$1016,COLUMN($E$1),FALSE)/(LEN(VLOOKUP($D267,素材!$1:$1016,COLUMN($F$1),FALSE))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BC267">
        <f>IF(ISNUMBER(SEARCH(SUBSTITUTE(BC$1,RIGHT(BC$1,2),""),VLOOKUP($D267,素材!$1:$1016,COLUMN($F$1),FALSE))),VLOOKUP($C267,装備品!$1:$998,COLUMN($O$1),FALSE)*VLOOKUP($D267,素材!$1:$1016,COLUMN($E$1),FALSE)/(LEN(VLOOKUP($D267,素材!$1:$1016,COLUMN($F$1),FALSE))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BD267">
        <f>IF(ISNUMBER(SEARCH(SUBSTITUTE(BD$1,RIGHT(BD$1,2),""),VLOOKUP($D267,素材!$1:$1016,COLUMN($F$1),FALSE))),VLOOKUP($C267,装備品!$1:$998,COLUMN($O$1),FALSE)*VLOOKUP($D267,素材!$1:$1016,COLUMN($E$1),FALSE)/(LEN(VLOOKUP($D267,素材!$1:$1016,COLUMN($F$1),FALSE))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BE267">
        <f>IF(ISNUMBER(SEARCH(SUBSTITUTE(BE$1,RIGHT(BE$1,2),""),VLOOKUP($D267,素材!$1:$1016,COLUMN($F$1),FALSE))),VLOOKUP($C267,装備品!$1:$998,COLUMN($O$1),FALSE)*VLOOKUP($D267,素材!$1:$1016,COLUMN($E$1),FALSE)/(LEN(VLOOKUP($D267,素材!$1:$1016,COLUMN($F$1),FALSE))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CL267">
        <f t="shared" si="41"/>
        <v>0</v>
      </c>
      <c r="CM267" s="22" t="str">
        <f t="shared" si="42"/>
        <v>体.webp</v>
      </c>
      <c r="CN267">
        <f>IFERROR(VLOOKUP($C267,装備品!$1:$998,COLUMN(V$1),FALSE)*VLOOKUP($D267,素材!$1:$1016,COLUMN(N$1),FALSE)+IF(CI267="",0,VLOOKUP($CI267,付与!$1:$1176,COLUMN($CK$1),FALSE)),"")</f>
        <v>0</v>
      </c>
      <c r="CO267">
        <f>VLOOKUP(D267,素材!$A:$O,COLUMN(素材!O$1),FALSE)</f>
        <v>0</v>
      </c>
      <c r="CP267" t="str">
        <f>VLOOKUP(C267,装備品!$A:$AB,COLUMN(装備品!AB$1),FALSE)</f>
        <v>HP 物理 魔法 体幹 出血 疲労 Cr</v>
      </c>
      <c r="CR267" t="str">
        <f t="shared" si="37"/>
        <v>e_267</v>
      </c>
      <c r="CS267">
        <f t="shared" si="38"/>
        <v>0</v>
      </c>
    </row>
    <row r="268" spans="1:97" outlineLevel="1" x14ac:dyDescent="0.4">
      <c r="A268" t="str">
        <f t="shared" si="40"/>
        <v>熱鉄の靴</v>
      </c>
      <c r="B268" t="str">
        <f>IFERROR(VLOOKUP($D268,素材!$1:$1016,COLUMN($B$1),FALSE)&amp;"・"&amp;VLOOKUP($C268,装備品!$1:$998,COLUMN(B$1),FALSE),"")</f>
        <v>ヒートスティール・ブーツ</v>
      </c>
      <c r="C268" t="s">
        <v>205</v>
      </c>
      <c r="D268" s="24" t="s">
        <v>204</v>
      </c>
      <c r="E268" t="str">
        <f>IFERROR(VLOOKUP(C268,装備品!$1:$998,COLUMN(C$1),FALSE),"")</f>
        <v>足</v>
      </c>
      <c r="F268">
        <f>IFERROR(ROUNDDOWN((VLOOKUP($C268,装備品!$1:$998,COLUMN(D$1),FALSE)+IFERROR(VLOOKUP($CI268,付与!$1:$1167,COLUMN(F$1),FALSE),0))*VLOOKUP($D268,素材!$1:$1016,COLUMN(D$1),FALSE),0),"")</f>
        <v>0</v>
      </c>
      <c r="G268">
        <f>IFERROR(ROUNDDOWN((VLOOKUP($C268,装備品!$1:$998,COLUMN(E$1),FALSE)+IFERROR(VLOOKUP($CI268,付与!$1:$1167,COLUMN(G$1),FALSE),0))*VLOOKUP($D268,素材!$1:$1016,COLUMN($E$1),FALSE),0),"")</f>
        <v>0</v>
      </c>
      <c r="H268">
        <f>IFERROR(ROUNDDOWN((VLOOKUP($C268,装備品!$1:$998,COLUMN(F$1),FALSE)+IFERROR(VLOOKUP($CI268,付与!$1:$1167,COLUMN(H$1),FALSE),0))*VLOOKUP($D268,素材!$1:$1016,COLUMN($E$1),FALSE),0),"")</f>
        <v>0</v>
      </c>
      <c r="I268">
        <f>IFERROR(ROUNDDOWN((VLOOKUP($C268,装備品!$1:$998,COLUMN(G$1),FALSE)+IFERROR(VLOOKUP($CI268,付与!$1:$1167,COLUMN(I$1),FALSE),0))*VLOOKUP($D268,素材!$1:$1016,COLUMN($E$1),FALSE),0),"")</f>
        <v>20</v>
      </c>
      <c r="J268">
        <f>IFERROR(ROUNDDOWN((VLOOKUP($C268,装備品!$1:$998,COLUMN(H$1),FALSE)+IFERROR(VLOOKUP($CI268,付与!$1:$1167,COLUMN(J$1),FALSE),0))*VLOOKUP($D268,素材!$1:$1016,COLUMN($E$1),FALSE),0),"")</f>
        <v>0</v>
      </c>
      <c r="K268">
        <f>IFERROR(ROUNDDOWN((VLOOKUP($C268,装備品!$1:$998,COLUMN(I$1),FALSE)+IFERROR(VLOOKUP($CI268,付与!$1:$1167,COLUMN(K$1),FALSE),0))*VLOOKUP($D268,素材!$1:$1016,COLUMN($E$1),FALSE),0),"")</f>
        <v>0</v>
      </c>
      <c r="L268" t="str">
        <f>IFERROR(VLOOKUP($D268,素材!$1:$1016,COLUMN($F$1),FALSE),"")</f>
        <v>炎</v>
      </c>
      <c r="M268">
        <f>IFERROR(VLOOKUP($C268,装備品!$1:$998,COLUMN(AA$1),FALSE)*VLOOKUP($D268,素材!$1:$1016,COLUMN($G$1),FALSE),"")</f>
        <v>35</v>
      </c>
      <c r="N268">
        <f>IFERROR(VLOOKUP($C268,装備品!$1:$998,COLUMN(I$1),FALSE),"")</f>
        <v>0</v>
      </c>
      <c r="O268" s="23">
        <f>IFERROR((VLOOKUP($C268,装備品!$1:$998,COLUMN(K$1),FALSE)+VLOOKUP($D268,素材!$1:$1016,COLUMN(H$1),FALSE))*100+IFERROR(VLOOKUP($CI268,付与!$1:$1167,COLUMN(O$1),FALSE),0),"")</f>
        <v>10</v>
      </c>
      <c r="P268" s="23">
        <f>IFERROR((VLOOKUP($C268,装備品!$1:$998,COLUMN(L$1),FALSE)+VLOOKUP($D268,素材!$1:$1016,COLUMN(I$1),FALSE))*100+IFERROR(VLOOKUP($CI268,付与!$1:$1167,COLUMN(P$1),FALSE),0),"")</f>
        <v>150</v>
      </c>
      <c r="Q268">
        <f>IFERROR(ROUNDUP(VLOOKUP($C268,装備品!$1:$998,COLUMN(M$1),FALSE)*(VLOOKUP($D268,素材!$1:$1002,COLUMN(D$1),FALSE)/100),1),"")</f>
        <v>0</v>
      </c>
      <c r="R268">
        <f>IFERROR(ROUNDUP(VLOOKUP($C268,装備品!$1:$998,COLUMN(N$1),FALSE)*(VLOOKUP($D268,素材!$1:$1002,COLUMN(D$1),FALSE)/100),1),"")</f>
        <v>0</v>
      </c>
      <c r="S268">
        <f>IFERROR(VLOOKUP($C268,装備品!$1:$998,COLUMN(P$1),FALSE),"")</f>
        <v>0</v>
      </c>
      <c r="T268">
        <f>IFERROR(VLOOKUP($C268,装備品!$1:$998,COLUMN(Q$1),FALSE),"")</f>
        <v>0</v>
      </c>
      <c r="U268">
        <f>IFERROR(VLOOKUP($C268,装備品!$1:$998,COLUMN(R$1),FALSE),"")</f>
        <v>0</v>
      </c>
      <c r="V268">
        <f>IFERROR(VLOOKUP($C268,装備品!$1:$998,COLUMN(Q$1),FALSE),"")</f>
        <v>0</v>
      </c>
      <c r="W268">
        <f>IFERROR(VLOOKUP($C268,装備品!$1:$998,COLUMN(T$1),FALSE),"")</f>
        <v>0.15</v>
      </c>
      <c r="Y268">
        <f>IFERROR(VLOOKUP($C268,装備品!$1:$998,COLUMN(U$1),FALSE),"")</f>
        <v>0</v>
      </c>
      <c r="Z268">
        <f>IFERROR(ROUNDUP(VLOOKUP($C268,装備品!$1:$998,COLUMN(O$1),FALSE)*VLOOKUP($D268,素材!$1:$1016,COLUMN(E$1),FALSE),1),"")</f>
        <v>0</v>
      </c>
      <c r="AA268">
        <f>IF(ISNUMBER(SEARCH(SUBSTITUTE(AA$1,RIGHT(AA$1,2),""),VLOOKUP($D268,素材!$1:$1016,COLUMN($F$1),FALSE))),VLOOKUP($C268,装備品!$1:$998,COLUMN($O$1),FALSE)*VLOOKUP($D268,素材!$1:$1016,COLUMN($E$1),FALSE)/(LEN(VLOOKUP($D268,素材!$1:$1016,COLUMN($F$1),FALSE))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B268">
        <f>IF(ISNUMBER(SEARCH(SUBSTITUTE(AB$1,RIGHT(AB$1,2),""),VLOOKUP($D268,素材!$1:$1016,COLUMN($F$1),FALSE))),VLOOKUP($C268,装備品!$1:$998,COLUMN($O$1),FALSE)*VLOOKUP($D268,素材!$1:$1016,COLUMN($E$1),FALSE)/(LEN(VLOOKUP($D268,素材!$1:$1016,COLUMN($F$1),FALSE))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C268">
        <f>IF(ISNUMBER(SEARCH(SUBSTITUTE(AC$1,RIGHT(AC$1,2),""),VLOOKUP($D268,素材!$1:$1016,COLUMN($F$1),FALSE))),VLOOKUP($C268,装備品!$1:$998,COLUMN($O$1),FALSE)*VLOOKUP($D268,素材!$1:$1016,COLUMN($E$1),FALSE)/(LEN(VLOOKUP($D268,素材!$1:$1016,COLUMN($F$1),FALSE))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D268">
        <f>IF(ISNUMBER(SEARCH(SUBSTITUTE(AD$1,RIGHT(AD$1,2),""),VLOOKUP($D268,素材!$1:$1016,COLUMN($F$1),FALSE))),VLOOKUP($C268,装備品!$1:$998,COLUMN($O$1),FALSE)*VLOOKUP($D268,素材!$1:$1016,COLUMN($E$1),FALSE)/(LEN(VLOOKUP($D268,素材!$1:$1016,COLUMN($F$1),FALSE))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E268">
        <f>IF(ISNUMBER(SEARCH(SUBSTITUTE(AE$1,RIGHT(AE$1,2),""),VLOOKUP($D268,素材!$1:$1016,COLUMN($F$1),FALSE))),VLOOKUP($C268,装備品!$1:$998,COLUMN($O$1),FALSE)*VLOOKUP($D268,素材!$1:$1016,COLUMN($E$1),FALSE)/(LEN(VLOOKUP($D268,素材!$1:$1016,COLUMN($F$1),FALSE))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F268">
        <f>IF(ISNUMBER(SEARCH(SUBSTITUTE(AF$1,RIGHT(AF$1,2),""),VLOOKUP($D268,素材!$1:$1016,COLUMN($F$1),FALSE))),VLOOKUP($C268,装備品!$1:$998,COLUMN($O$1),FALSE)*VLOOKUP($D268,素材!$1:$1016,COLUMN($E$1),FALSE)/(LEN(VLOOKUP($D268,素材!$1:$1016,COLUMN($F$1),FALSE))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G268">
        <f>IF(ISNUMBER(SEARCH(SUBSTITUTE(AG$1,RIGHT(AG$1,2),""),VLOOKUP($D268,素材!$1:$1016,COLUMN($F$1),FALSE))),VLOOKUP($C268,装備品!$1:$998,COLUMN($O$1),FALSE)*VLOOKUP($D268,素材!$1:$1016,COLUMN($E$1),FALSE)/(LEN(VLOOKUP($D268,素材!$1:$1016,COLUMN($F$1),FALSE))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H268">
        <f>IF(ISNUMBER(SEARCH(SUBSTITUTE(AH$1,RIGHT(AH$1,2),""),VLOOKUP($D268,素材!$1:$1016,COLUMN($F$1),FALSE))),VLOOKUP($C268,装備品!$1:$998,COLUMN($O$1),FALSE)*VLOOKUP($D268,素材!$1:$1016,COLUMN($E$1),FALSE)/(LEN(VLOOKUP($D268,素材!$1:$1016,COLUMN($F$1),FALSE))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I268">
        <f>IF(ISNUMBER(SEARCH(SUBSTITUTE(AI$1,RIGHT(AI$1,2),""),VLOOKUP($D268,素材!$1:$1016,COLUMN($F$1),FALSE))),VLOOKUP($C268,装備品!$1:$998,COLUMN($O$1),FALSE)*VLOOKUP($D268,素材!$1:$1016,COLUMN($E$1),FALSE)/(LEN(VLOOKUP($D268,素材!$1:$1016,COLUMN($F$1),FALSE))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J268">
        <f>IF(ISNUMBER(SEARCH(SUBSTITUTE(AJ$1,RIGHT(AJ$1,2),""),VLOOKUP($D268,素材!$1:$1016,COLUMN($F$1),FALSE))),VLOOKUP($C268,装備品!$1:$998,COLUMN($O$1),FALSE)*VLOOKUP($D268,素材!$1:$1016,COLUMN($E$1),FALSE)/(LEN(VLOOKUP($D268,素材!$1:$1016,COLUMN($F$1),FALSE))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K268">
        <f>IF(ISNUMBER(SEARCH(SUBSTITUTE(AK$1,RIGHT(AK$1,2),""),VLOOKUP($D268,素材!$1:$1016,COLUMN($F$1),FALSE))),VLOOKUP($C268,装備品!$1:$998,COLUMN($O$1),FALSE)*VLOOKUP($D268,素材!$1:$1016,COLUMN($E$1),FALSE)/(LEN(VLOOKUP($D268,素材!$1:$1016,COLUMN($F$1),FALSE))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L268">
        <f>IF(ISNUMBER(SEARCH(SUBSTITUTE(AL$1,RIGHT(AL$1,2),""),VLOOKUP($D268,素材!$1:$1016,COLUMN($F$1),FALSE))),VLOOKUP($C268,装備品!$1:$998,COLUMN($O$1),FALSE)*VLOOKUP($D268,素材!$1:$1016,COLUMN($E$1),FALSE)/(LEN(VLOOKUP($D268,素材!$1:$1016,COLUMN($F$1),FALSE))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M268">
        <f>IF(ISNUMBER(SEARCH(SUBSTITUTE(AM$1,RIGHT(AM$1,2),""),VLOOKUP($D268,素材!$1:$1016,COLUMN($F$1),FALSE))),VLOOKUP($C268,装備品!$1:$998,COLUMN($O$1),FALSE)*VLOOKUP($D268,素材!$1:$1016,COLUMN($E$1),FALSE)/(LEN(VLOOKUP($D268,素材!$1:$1016,COLUMN($F$1),FALSE))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N268">
        <f>IF(ISNUMBER(SEARCH(SUBSTITUTE(AN$1,RIGHT(AN$1,2),""),VLOOKUP($D268,素材!$1:$1016,COLUMN($F$1),FALSE))),VLOOKUP($C268,装備品!$1:$998,COLUMN($O$1),FALSE)*VLOOKUP($D268,素材!$1:$1016,COLUMN($E$1),FALSE)/(LEN(VLOOKUP($D268,素材!$1:$1016,COLUMN($F$1),FALSE))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O268">
        <f>IF(ISNUMBER(SEARCH(SUBSTITUTE(AO$1,RIGHT(AO$1,2),""),VLOOKUP($D268,素材!$1:$1016,COLUMN($F$1),FALSE))),VLOOKUP($C268,装備品!$1:$998,COLUMN($O$1),FALSE)*VLOOKUP($D268,素材!$1:$1016,COLUMN($E$1),FALSE)/(LEN(VLOOKUP($D268,素材!$1:$1016,COLUMN($F$1),FALSE))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P268">
        <f>IF(ISNUMBER(SEARCH(SUBSTITUTE(AP$1,RIGHT(AP$1,2),""),VLOOKUP($D268,素材!$1:$1016,COLUMN($F$1),FALSE))),VLOOKUP($C268,装備品!$1:$998,COLUMN($O$1),FALSE)*VLOOKUP($D268,素材!$1:$1016,COLUMN($E$1),FALSE)/(LEN(VLOOKUP($D268,素材!$1:$1016,COLUMN($F$1),FALSE))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Q268">
        <f>IF(ISNUMBER(SEARCH(SUBSTITUTE(AQ$1,RIGHT(AQ$1,2),""),VLOOKUP($D268,素材!$1:$1016,COLUMN($F$1),FALSE))),VLOOKUP($C268,装備品!$1:$998,COLUMN($O$1),FALSE)*VLOOKUP($D268,素材!$1:$1016,COLUMN($E$1),FALSE)/(LEN(VLOOKUP($D268,素材!$1:$1016,COLUMN($F$1),FALSE))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R268">
        <f>IF(ISNUMBER(SEARCH(SUBSTITUTE(AR$1,RIGHT(AR$1,2),""),VLOOKUP($D268,素材!$1:$1016,COLUMN($F$1),FALSE))),VLOOKUP($C268,装備品!$1:$998,COLUMN($O$1),FALSE)*VLOOKUP($D268,素材!$1:$1016,COLUMN($E$1),FALSE)/(LEN(VLOOKUP($D268,素材!$1:$1016,COLUMN($F$1),FALSE))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S268">
        <f>IF(ISNUMBER(SEARCH(SUBSTITUTE(AS$1,RIGHT(AS$1,2),""),VLOOKUP($D268,素材!$1:$1016,COLUMN($F$1),FALSE))),VLOOKUP($C268,装備品!$1:$998,COLUMN($O$1),FALSE)*VLOOKUP($D268,素材!$1:$1016,COLUMN($E$1),FALSE)/(LEN(VLOOKUP($D268,素材!$1:$1016,COLUMN($F$1),FALSE))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T268">
        <f>IF(ISNUMBER(SEARCH(SUBSTITUTE(AT$1,RIGHT(AT$1,2),""),VLOOKUP($D268,素材!$1:$1016,COLUMN($F$1),FALSE))),VLOOKUP($C268,装備品!$1:$998,COLUMN($O$1),FALSE)*VLOOKUP($D268,素材!$1:$1016,COLUMN($E$1),FALSE)/(LEN(VLOOKUP($D268,素材!$1:$1016,COLUMN($F$1),FALSE))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U268">
        <f>IF(ISNUMBER(SEARCH(SUBSTITUTE(AU$1,RIGHT(AU$1,2),""),VLOOKUP($D268,素材!$1:$1016,COLUMN($F$1),FALSE))),VLOOKUP($C268,装備品!$1:$998,COLUMN($O$1),FALSE)*VLOOKUP($D268,素材!$1:$1016,COLUMN($E$1),FALSE)/(LEN(VLOOKUP($D268,素材!$1:$1016,COLUMN($F$1),FALSE))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V268">
        <f>IF(ISNUMBER(SEARCH(SUBSTITUTE(AV$1,RIGHT(AV$1,2),""),VLOOKUP($D268,素材!$1:$1016,COLUMN($F$1),FALSE))),VLOOKUP($C268,装備品!$1:$998,COLUMN($O$1),FALSE)*VLOOKUP($D268,素材!$1:$1016,COLUMN($E$1),FALSE)/(LEN(VLOOKUP($D268,素材!$1:$1016,COLUMN($F$1),FALSE))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W268">
        <f>IF(ISNUMBER(SEARCH(SUBSTITUTE(AW$1,RIGHT(AW$1,2),""),VLOOKUP($D268,素材!$1:$1016,COLUMN($F$1),FALSE))),VLOOKUP($C268,装備品!$1:$998,COLUMN($O$1),FALSE)*VLOOKUP($D268,素材!$1:$1016,COLUMN($E$1),FALSE)/(LEN(VLOOKUP($D268,素材!$1:$1016,COLUMN($F$1),FALSE))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X268">
        <f>IF(ISNUMBER(SEARCH(SUBSTITUTE(AX$1,RIGHT(AX$1,2),""),VLOOKUP($D268,素材!$1:$1016,COLUMN($F$1),FALSE))),VLOOKUP($C268,装備品!$1:$998,COLUMN($O$1),FALSE)*VLOOKUP($D268,素材!$1:$1016,COLUMN($E$1),FALSE)/(LEN(VLOOKUP($D268,素材!$1:$1016,COLUMN($F$1),FALSE))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Y268">
        <f>IF(ISNUMBER(SEARCH(SUBSTITUTE(AY$1,RIGHT(AY$1,2),""),VLOOKUP($D268,素材!$1:$1016,COLUMN($F$1),FALSE))),VLOOKUP($C268,装備品!$1:$998,COLUMN($O$1),FALSE)*VLOOKUP($D268,素材!$1:$1016,COLUMN($E$1),FALSE)/(LEN(VLOOKUP($D268,素材!$1:$1016,COLUMN($F$1),FALSE))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Z268">
        <f>IF(ISNUMBER(SEARCH(SUBSTITUTE(AZ$1,RIGHT(AZ$1,2),""),VLOOKUP($D268,素材!$1:$1016,COLUMN($F$1),FALSE))),VLOOKUP($C268,装備品!$1:$998,COLUMN($O$1),FALSE)*VLOOKUP($D268,素材!$1:$1016,COLUMN($E$1),FALSE)/(LEN(VLOOKUP($D268,素材!$1:$1016,COLUMN($F$1),FALSE))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BA268">
        <f>IF(ISNUMBER(SEARCH(SUBSTITUTE(BA$1,RIGHT(BA$1,2),""),VLOOKUP($D268,素材!$1:$1016,COLUMN($F$1),FALSE))),VLOOKUP($C268,装備品!$1:$998,COLUMN($O$1),FALSE)*VLOOKUP($D268,素材!$1:$1016,COLUMN($E$1),FALSE)/(LEN(VLOOKUP($D268,素材!$1:$1016,COLUMN($F$1),FALSE))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BB268">
        <f>IF(ISNUMBER(SEARCH(SUBSTITUTE(BB$1,RIGHT(BB$1,2),""),VLOOKUP($D268,素材!$1:$1016,COLUMN($F$1),FALSE))),VLOOKUP($C268,装備品!$1:$998,COLUMN($O$1),FALSE)*VLOOKUP($D268,素材!$1:$1016,COLUMN($E$1),FALSE)/(LEN(VLOOKUP($D268,素材!$1:$1016,COLUMN($F$1),FALSE))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BC268">
        <f>IF(ISNUMBER(SEARCH(SUBSTITUTE(BC$1,RIGHT(BC$1,2),""),VLOOKUP($D268,素材!$1:$1016,COLUMN($F$1),FALSE))),VLOOKUP($C268,装備品!$1:$998,COLUMN($O$1),FALSE)*VLOOKUP($D268,素材!$1:$1016,COLUMN($E$1),FALSE)/(LEN(VLOOKUP($D268,素材!$1:$1016,COLUMN($F$1),FALSE))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BD268">
        <f>IF(ISNUMBER(SEARCH(SUBSTITUTE(BD$1,RIGHT(BD$1,2),""),VLOOKUP($D268,素材!$1:$1016,COLUMN($F$1),FALSE))),VLOOKUP($C268,装備品!$1:$998,COLUMN($O$1),FALSE)*VLOOKUP($D268,素材!$1:$1016,COLUMN($E$1),FALSE)/(LEN(VLOOKUP($D268,素材!$1:$1016,COLUMN($F$1),FALSE))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BE268">
        <f>IF(ISNUMBER(SEARCH(SUBSTITUTE(BE$1,RIGHT(BE$1,2),""),VLOOKUP($D268,素材!$1:$1016,COLUMN($F$1),FALSE))),VLOOKUP($C268,装備品!$1:$998,COLUMN($O$1),FALSE)*VLOOKUP($D268,素材!$1:$1016,COLUMN($E$1),FALSE)/(LEN(VLOOKUP($D268,素材!$1:$1016,COLUMN($F$1),FALSE))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CL268">
        <f t="shared" si="41"/>
        <v>20</v>
      </c>
      <c r="CM268" s="22" t="str">
        <f t="shared" si="42"/>
        <v>足.webp</v>
      </c>
      <c r="CN268">
        <f>IFERROR(VLOOKUP($C268,装備品!$1:$998,COLUMN(V$1),FALSE)*VLOOKUP($D268,素材!$1:$1016,COLUMN(N$1),FALSE)+IF(CI268="",0,VLOOKUP($CI268,付与!$1:$1176,COLUMN($CK$1),FALSE)),"")</f>
        <v>0</v>
      </c>
      <c r="CO268">
        <f>VLOOKUP(D268,素材!$A:$O,COLUMN(素材!O$1),FALSE)</f>
        <v>0</v>
      </c>
      <c r="CP268" t="str">
        <f>VLOOKUP(C268,装備品!$A:$AB,COLUMN(装備品!AB$1),FALSE)</f>
        <v>速度 隠密 軽業 体幹</v>
      </c>
      <c r="CR268" t="str">
        <f t="shared" si="37"/>
        <v>e_268</v>
      </c>
      <c r="CS268">
        <f t="shared" si="38"/>
        <v>0</v>
      </c>
    </row>
    <row r="269" spans="1:97" x14ac:dyDescent="0.4">
      <c r="B269" t="str">
        <f>IFERROR(VLOOKUP($D269,素材!$1:$1016,COLUMN($B$1),FALSE)&amp;"・"&amp;VLOOKUP($C269,装備品!$1:$998,COLUMN(B$1),FALSE),"")</f>
        <v/>
      </c>
      <c r="C269" s="24"/>
      <c r="D269" s="24"/>
      <c r="E269" t="str">
        <f>IFERROR(VLOOKUP(C269,装備品!$1:$998,COLUMN(C$1),FALSE),"")</f>
        <v/>
      </c>
      <c r="F269" t="str">
        <f>IFERROR(ROUNDDOWN((VLOOKUP($C269,装備品!$1:$998,COLUMN(D$1),FALSE)+IFERROR(VLOOKUP($CI269,付与!$1:$1167,COLUMN(F$1),FALSE),0))*VLOOKUP($D269,素材!$1:$1016,COLUMN(D$1),FALSE),0),"")</f>
        <v/>
      </c>
      <c r="G269" t="str">
        <f>IFERROR(ROUNDDOWN((VLOOKUP($C269,装備品!$1:$998,COLUMN(E$1),FALSE)+IFERROR(VLOOKUP($CI269,付与!$1:$1167,COLUMN(G$1),FALSE),0))*VLOOKUP($D269,素材!$1:$1016,COLUMN($E$1),FALSE),0),"")</f>
        <v/>
      </c>
      <c r="H269" t="str">
        <f>IFERROR(ROUNDDOWN((VLOOKUP($C269,装備品!$1:$998,COLUMN(F$1),FALSE)+IFERROR(VLOOKUP($CI269,付与!$1:$1167,COLUMN(H$1),FALSE),0))*VLOOKUP($D269,素材!$1:$1016,COLUMN($E$1),FALSE),0),"")</f>
        <v/>
      </c>
      <c r="I269" t="str">
        <f>IFERROR(ROUNDDOWN((VLOOKUP($C269,装備品!$1:$998,COLUMN(G$1),FALSE)+IFERROR(VLOOKUP($CI269,付与!$1:$1167,COLUMN(I$1),FALSE),0))*VLOOKUP($D269,素材!$1:$1016,COLUMN($E$1),FALSE),0),"")</f>
        <v/>
      </c>
      <c r="J269" t="str">
        <f>IFERROR(ROUNDDOWN((VLOOKUP($C269,装備品!$1:$998,COLUMN(H$1),FALSE)+IFERROR(VLOOKUP($CI269,付与!$1:$1167,COLUMN(J$1),FALSE),0))*VLOOKUP($D269,素材!$1:$1016,COLUMN($E$1),FALSE),0),"")</f>
        <v/>
      </c>
      <c r="K269" t="str">
        <f>IFERROR(ROUNDDOWN((VLOOKUP($C269,装備品!$1:$998,COLUMN(I$1),FALSE)+IFERROR(VLOOKUP($CI269,付与!$1:$1167,COLUMN(K$1),FALSE),0))*VLOOKUP($D269,素材!$1:$1016,COLUMN($E$1),FALSE),0),"")</f>
        <v/>
      </c>
      <c r="L269" t="str">
        <f>IFERROR(VLOOKUP($D269,素材!$1:$1016,COLUMN($F$1),FALSE),"")</f>
        <v/>
      </c>
      <c r="M269" t="str">
        <f>IFERROR(VLOOKUP($C269,装備品!$1:$998,COLUMN(AA$1),FALSE)*VLOOKUP($D269,素材!$1:$1016,COLUMN($G$1),FALSE),"")</f>
        <v/>
      </c>
      <c r="N269" t="str">
        <f>IFERROR(VLOOKUP($C269,装備品!$1:$998,COLUMN(I$1),FALSE),"")</f>
        <v/>
      </c>
      <c r="O269" s="23" t="str">
        <f>IFERROR((VLOOKUP($C269,装備品!$1:$998,COLUMN(K$1),FALSE)+VLOOKUP($D269,素材!$1:$1016,COLUMN(H$1),FALSE))*100+IFERROR(VLOOKUP($CI269,付与!$1:$1167,COLUMN(O$1),FALSE),0),"")</f>
        <v/>
      </c>
      <c r="P269" s="23" t="str">
        <f>IFERROR((VLOOKUP($C269,装備品!$1:$998,COLUMN(L$1),FALSE)+VLOOKUP($D269,素材!$1:$1016,COLUMN(I$1),FALSE))*100+IFERROR(VLOOKUP($CI269,付与!$1:$1167,COLUMN(P$1),FALSE),0),"")</f>
        <v/>
      </c>
      <c r="Q269" t="str">
        <f>IFERROR(ROUNDUP(VLOOKUP($C269,装備品!$1:$998,COLUMN(M$1),FALSE)*(VLOOKUP($D269,素材!$1:$1002,COLUMN(D$1),FALSE)/100),1),"")</f>
        <v/>
      </c>
      <c r="R269" t="str">
        <f>IFERROR(ROUNDUP(VLOOKUP($C269,装備品!$1:$998,COLUMN(N$1),FALSE)*(VLOOKUP($D269,素材!$1:$1002,COLUMN(D$1),FALSE)/100),1),"")</f>
        <v/>
      </c>
      <c r="S269" t="str">
        <f>IFERROR(VLOOKUP($C269,装備品!$1:$998,COLUMN(P$1),FALSE),"")</f>
        <v/>
      </c>
      <c r="T269" t="str">
        <f>IFERROR(VLOOKUP($C269,装備品!$1:$998,COLUMN(Q$1),FALSE),"")</f>
        <v/>
      </c>
      <c r="U269" t="str">
        <f>IFERROR(VLOOKUP($C269,装備品!$1:$998,COLUMN(R$1),FALSE),"")</f>
        <v/>
      </c>
      <c r="V269" t="str">
        <f>IFERROR(VLOOKUP($C269,装備品!$1:$998,COLUMN(Q$1),FALSE),"")</f>
        <v/>
      </c>
      <c r="W269" t="str">
        <f>IFERROR(VLOOKUP($C269,装備品!$1:$998,COLUMN(T$1),FALSE),"")</f>
        <v/>
      </c>
      <c r="Y269" t="str">
        <f>IFERROR(VLOOKUP($C269,装備品!$1:$998,COLUMN(U$1),FALSE),"")</f>
        <v/>
      </c>
      <c r="Z269" t="str">
        <f>IFERROR(ROUNDUP(VLOOKUP($C269,装備品!$1:$998,COLUMN(O$1),FALSE)*VLOOKUP($D269,素材!$1:$1016,COLUMN(E$1),FALSE),1),"")</f>
        <v/>
      </c>
      <c r="AA269">
        <f>IF(ISNUMBER(SEARCH(SUBSTITUTE(AA$1,RIGHT(AA$1,2),""),VLOOKUP($D269,素材!$1:$1016,COLUMN($F$1),FALSE))),VLOOKUP($C269,装備品!$1:$998,COLUMN($O$1),FALSE)*VLOOKUP($D269,素材!$1:$1016,COLUMN($E$1),FALSE)/(LEN(VLOOKUP($D269,素材!$1:$1016,COLUMN($F$1),FALSE))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B269">
        <f>IF(ISNUMBER(SEARCH(SUBSTITUTE(AB$1,RIGHT(AB$1,2),""),VLOOKUP($D269,素材!$1:$1016,COLUMN($F$1),FALSE))),VLOOKUP($C269,装備品!$1:$998,COLUMN($O$1),FALSE)*VLOOKUP($D269,素材!$1:$1016,COLUMN($E$1),FALSE)/(LEN(VLOOKUP($D269,素材!$1:$1016,COLUMN($F$1),FALSE))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C269">
        <f>IF(ISNUMBER(SEARCH(SUBSTITUTE(AC$1,RIGHT(AC$1,2),""),VLOOKUP($D269,素材!$1:$1016,COLUMN($F$1),FALSE))),VLOOKUP($C269,装備品!$1:$998,COLUMN($O$1),FALSE)*VLOOKUP($D269,素材!$1:$1016,COLUMN($E$1),FALSE)/(LEN(VLOOKUP($D269,素材!$1:$1016,COLUMN($F$1),FALSE))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D269">
        <f>IF(ISNUMBER(SEARCH(SUBSTITUTE(AD$1,RIGHT(AD$1,2),""),VLOOKUP($D269,素材!$1:$1016,COLUMN($F$1),FALSE))),VLOOKUP($C269,装備品!$1:$998,COLUMN($O$1),FALSE)*VLOOKUP($D269,素材!$1:$1016,COLUMN($E$1),FALSE)/(LEN(VLOOKUP($D269,素材!$1:$1016,COLUMN($F$1),FALSE))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E269">
        <f>IF(ISNUMBER(SEARCH(SUBSTITUTE(AE$1,RIGHT(AE$1,2),""),VLOOKUP($D269,素材!$1:$1016,COLUMN($F$1),FALSE))),VLOOKUP($C269,装備品!$1:$998,COLUMN($O$1),FALSE)*VLOOKUP($D269,素材!$1:$1016,COLUMN($E$1),FALSE)/(LEN(VLOOKUP($D269,素材!$1:$1016,COLUMN($F$1),FALSE))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F269">
        <f>IF(ISNUMBER(SEARCH(SUBSTITUTE(AF$1,RIGHT(AF$1,2),""),VLOOKUP($D269,素材!$1:$1016,COLUMN($F$1),FALSE))),VLOOKUP($C269,装備品!$1:$998,COLUMN($O$1),FALSE)*VLOOKUP($D269,素材!$1:$1016,COLUMN($E$1),FALSE)/(LEN(VLOOKUP($D269,素材!$1:$1016,COLUMN($F$1),FALSE))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G269">
        <f>IF(ISNUMBER(SEARCH(SUBSTITUTE(AG$1,RIGHT(AG$1,2),""),VLOOKUP($D269,素材!$1:$1016,COLUMN($F$1),FALSE))),VLOOKUP($C269,装備品!$1:$998,COLUMN($O$1),FALSE)*VLOOKUP($D269,素材!$1:$1016,COLUMN($E$1),FALSE)/(LEN(VLOOKUP($D269,素材!$1:$1016,COLUMN($F$1),FALSE))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H269">
        <f>IF(ISNUMBER(SEARCH(SUBSTITUTE(AH$1,RIGHT(AH$1,2),""),VLOOKUP($D269,素材!$1:$1016,COLUMN($F$1),FALSE))),VLOOKUP($C269,装備品!$1:$998,COLUMN($O$1),FALSE)*VLOOKUP($D269,素材!$1:$1016,COLUMN($E$1),FALSE)/(LEN(VLOOKUP($D269,素材!$1:$1016,COLUMN($F$1),FALSE))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I269">
        <f>IF(ISNUMBER(SEARCH(SUBSTITUTE(AI$1,RIGHT(AI$1,2),""),VLOOKUP($D269,素材!$1:$1016,COLUMN($F$1),FALSE))),VLOOKUP($C269,装備品!$1:$998,COLUMN($O$1),FALSE)*VLOOKUP($D269,素材!$1:$1016,COLUMN($E$1),FALSE)/(LEN(VLOOKUP($D269,素材!$1:$1016,COLUMN($F$1),FALSE))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J269">
        <f>IF(ISNUMBER(SEARCH(SUBSTITUTE(AJ$1,RIGHT(AJ$1,2),""),VLOOKUP($D269,素材!$1:$1016,COLUMN($F$1),FALSE))),VLOOKUP($C269,装備品!$1:$998,COLUMN($O$1),FALSE)*VLOOKUP($D269,素材!$1:$1016,COLUMN($E$1),FALSE)/(LEN(VLOOKUP($D269,素材!$1:$1016,COLUMN($F$1),FALSE))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K269">
        <f>IF(ISNUMBER(SEARCH(SUBSTITUTE(AK$1,RIGHT(AK$1,2),""),VLOOKUP($D269,素材!$1:$1016,COLUMN($F$1),FALSE))),VLOOKUP($C269,装備品!$1:$998,COLUMN($O$1),FALSE)*VLOOKUP($D269,素材!$1:$1016,COLUMN($E$1),FALSE)/(LEN(VLOOKUP($D269,素材!$1:$1016,COLUMN($F$1),FALSE))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L269">
        <f>IF(ISNUMBER(SEARCH(SUBSTITUTE(AL$1,RIGHT(AL$1,2),""),VLOOKUP($D269,素材!$1:$1016,COLUMN($F$1),FALSE))),VLOOKUP($C269,装備品!$1:$998,COLUMN($O$1),FALSE)*VLOOKUP($D269,素材!$1:$1016,COLUMN($E$1),FALSE)/(LEN(VLOOKUP($D269,素材!$1:$1016,COLUMN($F$1),FALSE))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M269">
        <f>IF(ISNUMBER(SEARCH(SUBSTITUTE(AM$1,RIGHT(AM$1,2),""),VLOOKUP($D269,素材!$1:$1016,COLUMN($F$1),FALSE))),VLOOKUP($C269,装備品!$1:$998,COLUMN($O$1),FALSE)*VLOOKUP($D269,素材!$1:$1016,COLUMN($E$1),FALSE)/(LEN(VLOOKUP($D269,素材!$1:$1016,COLUMN($F$1),FALSE))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N269">
        <f>IF(ISNUMBER(SEARCH(SUBSTITUTE(AN$1,RIGHT(AN$1,2),""),VLOOKUP($D269,素材!$1:$1016,COLUMN($F$1),FALSE))),VLOOKUP($C269,装備品!$1:$998,COLUMN($O$1),FALSE)*VLOOKUP($D269,素材!$1:$1016,COLUMN($E$1),FALSE)/(LEN(VLOOKUP($D269,素材!$1:$1016,COLUMN($F$1),FALSE))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O269">
        <f>IF(ISNUMBER(SEARCH(SUBSTITUTE(AO$1,RIGHT(AO$1,2),""),VLOOKUP($D269,素材!$1:$1016,COLUMN($F$1),FALSE))),VLOOKUP($C269,装備品!$1:$998,COLUMN($O$1),FALSE)*VLOOKUP($D269,素材!$1:$1016,COLUMN($E$1),FALSE)/(LEN(VLOOKUP($D269,素材!$1:$1016,COLUMN($F$1),FALSE))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P269">
        <f>IF(ISNUMBER(SEARCH(SUBSTITUTE(AP$1,RIGHT(AP$1,2),""),VLOOKUP($D269,素材!$1:$1016,COLUMN($F$1),FALSE))),VLOOKUP($C269,装備品!$1:$998,COLUMN($O$1),FALSE)*VLOOKUP($D269,素材!$1:$1016,COLUMN($E$1),FALSE)/(LEN(VLOOKUP($D269,素材!$1:$1016,COLUMN($F$1),FALSE))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Q269">
        <f>IF(ISNUMBER(SEARCH(SUBSTITUTE(AQ$1,RIGHT(AQ$1,2),""),VLOOKUP($D269,素材!$1:$1016,COLUMN($F$1),FALSE))),VLOOKUP($C269,装備品!$1:$998,COLUMN($O$1),FALSE)*VLOOKUP($D269,素材!$1:$1016,COLUMN($E$1),FALSE)/(LEN(VLOOKUP($D269,素材!$1:$1016,COLUMN($F$1),FALSE))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R269">
        <f>IF(ISNUMBER(SEARCH(SUBSTITUTE(AR$1,RIGHT(AR$1,2),""),VLOOKUP($D269,素材!$1:$1016,COLUMN($F$1),FALSE))),VLOOKUP($C269,装備品!$1:$998,COLUMN($O$1),FALSE)*VLOOKUP($D269,素材!$1:$1016,COLUMN($E$1),FALSE)/(LEN(VLOOKUP($D269,素材!$1:$1016,COLUMN($F$1),FALSE))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S269">
        <f>IF(ISNUMBER(SEARCH(SUBSTITUTE(AS$1,RIGHT(AS$1,2),""),VLOOKUP($D269,素材!$1:$1016,COLUMN($F$1),FALSE))),VLOOKUP($C269,装備品!$1:$998,COLUMN($O$1),FALSE)*VLOOKUP($D269,素材!$1:$1016,COLUMN($E$1),FALSE)/(LEN(VLOOKUP($D269,素材!$1:$1016,COLUMN($F$1),FALSE))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T269">
        <f>IF(ISNUMBER(SEARCH(SUBSTITUTE(AT$1,RIGHT(AT$1,2),""),VLOOKUP($D269,素材!$1:$1016,COLUMN($F$1),FALSE))),VLOOKUP($C269,装備品!$1:$998,COLUMN($O$1),FALSE)*VLOOKUP($D269,素材!$1:$1016,COLUMN($E$1),FALSE)/(LEN(VLOOKUP($D269,素材!$1:$1016,COLUMN($F$1),FALSE))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U269">
        <f>IF(ISNUMBER(SEARCH(SUBSTITUTE(AU$1,RIGHT(AU$1,2),""),VLOOKUP($D269,素材!$1:$1016,COLUMN($F$1),FALSE))),VLOOKUP($C269,装備品!$1:$998,COLUMN($O$1),FALSE)*VLOOKUP($D269,素材!$1:$1016,COLUMN($E$1),FALSE)/(LEN(VLOOKUP($D269,素材!$1:$1016,COLUMN($F$1),FALSE))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V269">
        <f>IF(ISNUMBER(SEARCH(SUBSTITUTE(AV$1,RIGHT(AV$1,2),""),VLOOKUP($D269,素材!$1:$1016,COLUMN($F$1),FALSE))),VLOOKUP($C269,装備品!$1:$998,COLUMN($O$1),FALSE)*VLOOKUP($D269,素材!$1:$1016,COLUMN($E$1),FALSE)/(LEN(VLOOKUP($D269,素材!$1:$1016,COLUMN($F$1),FALSE))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W269">
        <f>IF(ISNUMBER(SEARCH(SUBSTITUTE(AW$1,RIGHT(AW$1,2),""),VLOOKUP($D269,素材!$1:$1016,COLUMN($F$1),FALSE))),VLOOKUP($C269,装備品!$1:$998,COLUMN($O$1),FALSE)*VLOOKUP($D269,素材!$1:$1016,COLUMN($E$1),FALSE)/(LEN(VLOOKUP($D269,素材!$1:$1016,COLUMN($F$1),FALSE))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X269">
        <f>IF(ISNUMBER(SEARCH(SUBSTITUTE(AX$1,RIGHT(AX$1,2),""),VLOOKUP($D269,素材!$1:$1016,COLUMN($F$1),FALSE))),VLOOKUP($C269,装備品!$1:$998,COLUMN($O$1),FALSE)*VLOOKUP($D269,素材!$1:$1016,COLUMN($E$1),FALSE)/(LEN(VLOOKUP($D269,素材!$1:$1016,COLUMN($F$1),FALSE))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Y269">
        <f>IF(ISNUMBER(SEARCH(SUBSTITUTE(AY$1,RIGHT(AY$1,2),""),VLOOKUP($D269,素材!$1:$1016,COLUMN($F$1),FALSE))),VLOOKUP($C269,装備品!$1:$998,COLUMN($O$1),FALSE)*VLOOKUP($D269,素材!$1:$1016,COLUMN($E$1),FALSE)/(LEN(VLOOKUP($D269,素材!$1:$1016,COLUMN($F$1),FALSE))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Z269">
        <f>IF(ISNUMBER(SEARCH(SUBSTITUTE(AZ$1,RIGHT(AZ$1,2),""),VLOOKUP($D269,素材!$1:$1016,COLUMN($F$1),FALSE))),VLOOKUP($C269,装備品!$1:$998,COLUMN($O$1),FALSE)*VLOOKUP($D269,素材!$1:$1016,COLUMN($E$1),FALSE)/(LEN(VLOOKUP($D269,素材!$1:$1016,COLUMN($F$1),FALSE))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BA269">
        <f>IF(ISNUMBER(SEARCH(SUBSTITUTE(BA$1,RIGHT(BA$1,2),""),VLOOKUP($D269,素材!$1:$1016,COLUMN($F$1),FALSE))),VLOOKUP($C269,装備品!$1:$998,COLUMN($O$1),FALSE)*VLOOKUP($D269,素材!$1:$1016,COLUMN($E$1),FALSE)/(LEN(VLOOKUP($D269,素材!$1:$1016,COLUMN($F$1),FALSE))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BB269">
        <f>IF(ISNUMBER(SEARCH(SUBSTITUTE(BB$1,RIGHT(BB$1,2),""),VLOOKUP($D269,素材!$1:$1016,COLUMN($F$1),FALSE))),VLOOKUP($C269,装備品!$1:$998,COLUMN($O$1),FALSE)*VLOOKUP($D269,素材!$1:$1016,COLUMN($E$1),FALSE)/(LEN(VLOOKUP($D269,素材!$1:$1016,COLUMN($F$1),FALSE))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BC269">
        <f>IF(ISNUMBER(SEARCH(SUBSTITUTE(BC$1,RIGHT(BC$1,2),""),VLOOKUP($D269,素材!$1:$1016,COLUMN($F$1),FALSE))),VLOOKUP($C269,装備品!$1:$998,COLUMN($O$1),FALSE)*VLOOKUP($D269,素材!$1:$1016,COLUMN($E$1),FALSE)/(LEN(VLOOKUP($D269,素材!$1:$1016,COLUMN($F$1),FALSE))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BD269">
        <f>IF(ISNUMBER(SEARCH(SUBSTITUTE(BD$1,RIGHT(BD$1,2),""),VLOOKUP($D269,素材!$1:$1016,COLUMN($F$1),FALSE))),VLOOKUP($C269,装備品!$1:$998,COLUMN($O$1),FALSE)*VLOOKUP($D269,素材!$1:$1016,COLUMN($E$1),FALSE)/(LEN(VLOOKUP($D269,素材!$1:$1016,COLUMN($F$1),FALSE))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BE269">
        <f>IF(ISNUMBER(SEARCH(SUBSTITUTE(BE$1,RIGHT(BE$1,2),""),VLOOKUP($D269,素材!$1:$1016,COLUMN($F$1),FALSE))),VLOOKUP($C269,装備品!$1:$998,COLUMN($O$1),FALSE)*VLOOKUP($D269,素材!$1:$1016,COLUMN($E$1),FALSE)/(LEN(VLOOKUP($D269,素材!$1:$1016,COLUMN($F$1),FALSE))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CL269">
        <f t="shared" si="41"/>
        <v>0</v>
      </c>
      <c r="CM269" s="22" t="str">
        <f t="shared" si="42"/>
        <v>.webp</v>
      </c>
      <c r="CN269" t="str">
        <f>IFERROR(VLOOKUP($C269,装備品!$1:$998,COLUMN(V$1),FALSE)*VLOOKUP($D269,素材!$1:$1016,COLUMN(N$1),FALSE)+IF(CI269="",0,VLOOKUP($CI269,付与!$1:$1176,COLUMN($CK$1),FALSE)),"")</f>
        <v/>
      </c>
      <c r="CO269" t="e">
        <f>VLOOKUP(D269,素材!$A:$O,COLUMN(素材!O$1),FALSE)</f>
        <v>#N/A</v>
      </c>
      <c r="CP269" t="e">
        <f>VLOOKUP(C269,装備品!$A:$AB,COLUMN(装備品!AB$1),FALSE)</f>
        <v>#N/A</v>
      </c>
      <c r="CR269" t="str">
        <f t="shared" si="37"/>
        <v>e_269</v>
      </c>
      <c r="CS269" t="e">
        <f t="shared" si="38"/>
        <v>#VALUE!</v>
      </c>
    </row>
    <row r="270" spans="1:97" x14ac:dyDescent="0.4">
      <c r="B270" t="str">
        <f>IFERROR(VLOOKUP($D270,素材!$1:$1016,COLUMN($B$1),FALSE)&amp;"・"&amp;VLOOKUP($C270,装備品!$1:$998,COLUMN(B$1),FALSE),"")</f>
        <v/>
      </c>
      <c r="C270" s="24"/>
      <c r="D270" s="24"/>
      <c r="E270" t="str">
        <f>IFERROR(VLOOKUP(C270,装備品!$1:$998,COLUMN(C$1),FALSE),"")</f>
        <v/>
      </c>
      <c r="F270" t="str">
        <f>IFERROR(ROUNDDOWN((VLOOKUP($C270,装備品!$1:$998,COLUMN(D$1),FALSE)+IFERROR(VLOOKUP($CI270,付与!$1:$1167,COLUMN(F$1),FALSE),0))*VLOOKUP($D270,素材!$1:$1016,COLUMN(D$1),FALSE),0),"")</f>
        <v/>
      </c>
      <c r="G270" t="str">
        <f>IFERROR(ROUNDDOWN((VLOOKUP($C270,装備品!$1:$998,COLUMN(E$1),FALSE)+IFERROR(VLOOKUP($CI270,付与!$1:$1167,COLUMN(G$1),FALSE),0))*VLOOKUP($D270,素材!$1:$1016,COLUMN($E$1),FALSE),0),"")</f>
        <v/>
      </c>
      <c r="H270" t="str">
        <f>IFERROR(ROUNDDOWN((VLOOKUP($C270,装備品!$1:$998,COLUMN(F$1),FALSE)+IFERROR(VLOOKUP($CI270,付与!$1:$1167,COLUMN(H$1),FALSE),0))*VLOOKUP($D270,素材!$1:$1016,COLUMN($E$1),FALSE),0),"")</f>
        <v/>
      </c>
      <c r="I270" t="str">
        <f>IFERROR(ROUNDDOWN((VLOOKUP($C270,装備品!$1:$998,COLUMN(G$1),FALSE)+IFERROR(VLOOKUP($CI270,付与!$1:$1167,COLUMN(I$1),FALSE),0))*VLOOKUP($D270,素材!$1:$1016,COLUMN($E$1),FALSE),0),"")</f>
        <v/>
      </c>
      <c r="J270" t="str">
        <f>IFERROR(ROUNDDOWN((VLOOKUP($C270,装備品!$1:$998,COLUMN(H$1),FALSE)+IFERROR(VLOOKUP($CI270,付与!$1:$1167,COLUMN(J$1),FALSE),0))*VLOOKUP($D270,素材!$1:$1016,COLUMN($E$1),FALSE),0),"")</f>
        <v/>
      </c>
      <c r="K270" t="str">
        <f>IFERROR(ROUNDDOWN((VLOOKUP($C270,装備品!$1:$998,COLUMN(I$1),FALSE)+IFERROR(VLOOKUP($CI270,付与!$1:$1167,COLUMN(K$1),FALSE),0))*VLOOKUP($D270,素材!$1:$1016,COLUMN($E$1),FALSE),0),"")</f>
        <v/>
      </c>
      <c r="L270" t="str">
        <f>IFERROR(VLOOKUP($D270,素材!$1:$1016,COLUMN($F$1),FALSE),"")</f>
        <v/>
      </c>
      <c r="M270" t="str">
        <f>IFERROR(VLOOKUP($C270,装備品!$1:$998,COLUMN(AA$1),FALSE)*VLOOKUP($D270,素材!$1:$1016,COLUMN($G$1),FALSE),"")</f>
        <v/>
      </c>
      <c r="N270" t="str">
        <f>IFERROR(VLOOKUP($C270,装備品!$1:$998,COLUMN(I$1),FALSE),"")</f>
        <v/>
      </c>
      <c r="O270" s="23" t="str">
        <f>IFERROR((VLOOKUP($C270,装備品!$1:$998,COLUMN(K$1),FALSE)+VLOOKUP($D270,素材!$1:$1016,COLUMN(H$1),FALSE))*100+IFERROR(VLOOKUP($CI270,付与!$1:$1167,COLUMN(O$1),FALSE),0),"")</f>
        <v/>
      </c>
      <c r="P270" s="23" t="str">
        <f>IFERROR((VLOOKUP($C270,装備品!$1:$998,COLUMN(L$1),FALSE)+VLOOKUP($D270,素材!$1:$1016,COLUMN(I$1),FALSE))*100+IFERROR(VLOOKUP($CI270,付与!$1:$1167,COLUMN(P$1),FALSE),0),"")</f>
        <v/>
      </c>
      <c r="Q270" t="str">
        <f>IFERROR(ROUNDUP(VLOOKUP($C270,装備品!$1:$998,COLUMN(M$1),FALSE)*(VLOOKUP($D270,素材!$1:$1002,COLUMN(D$1),FALSE)/100),1),"")</f>
        <v/>
      </c>
      <c r="R270" t="str">
        <f>IFERROR(ROUNDUP(VLOOKUP($C270,装備品!$1:$998,COLUMN(N$1),FALSE)*(VLOOKUP($D270,素材!$1:$1002,COLUMN(D$1),FALSE)/100),1),"")</f>
        <v/>
      </c>
      <c r="S270" t="str">
        <f>IFERROR(VLOOKUP($C270,装備品!$1:$998,COLUMN(P$1),FALSE),"")</f>
        <v/>
      </c>
      <c r="T270" t="str">
        <f>IFERROR(VLOOKUP($C270,装備品!$1:$998,COLUMN(Q$1),FALSE),"")</f>
        <v/>
      </c>
      <c r="U270" t="str">
        <f>IFERROR(VLOOKUP($C270,装備品!$1:$998,COLUMN(R$1),FALSE),"")</f>
        <v/>
      </c>
      <c r="V270" t="str">
        <f>IFERROR(VLOOKUP($C270,装備品!$1:$998,COLUMN(Q$1),FALSE),"")</f>
        <v/>
      </c>
      <c r="W270" t="str">
        <f>IFERROR(VLOOKUP($C270,装備品!$1:$998,COLUMN(T$1),FALSE),"")</f>
        <v/>
      </c>
      <c r="Y270" t="str">
        <f>IFERROR(VLOOKUP($C270,装備品!$1:$998,COLUMN(U$1),FALSE),"")</f>
        <v/>
      </c>
      <c r="Z270" t="str">
        <f>IFERROR(ROUNDUP(VLOOKUP($C270,装備品!$1:$998,COLUMN(O$1),FALSE)*VLOOKUP($D270,素材!$1:$1016,COLUMN(E$1),FALSE),1),"")</f>
        <v/>
      </c>
      <c r="AA270">
        <f>IF(ISNUMBER(SEARCH(SUBSTITUTE(AA$1,RIGHT(AA$1,2),""),VLOOKUP($D270,素材!$1:$1016,COLUMN($F$1),FALSE))),VLOOKUP($C270,装備品!$1:$998,COLUMN($O$1),FALSE)*VLOOKUP($D270,素材!$1:$1016,COLUMN($E$1),FALSE)/(LEN(VLOOKUP($D270,素材!$1:$1016,COLUMN($F$1),FALSE))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B270">
        <f>IF(ISNUMBER(SEARCH(SUBSTITUTE(AB$1,RIGHT(AB$1,2),""),VLOOKUP($D270,素材!$1:$1016,COLUMN($F$1),FALSE))),VLOOKUP($C270,装備品!$1:$998,COLUMN($O$1),FALSE)*VLOOKUP($D270,素材!$1:$1016,COLUMN($E$1),FALSE)/(LEN(VLOOKUP($D270,素材!$1:$1016,COLUMN($F$1),FALSE))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C270">
        <f>IF(ISNUMBER(SEARCH(SUBSTITUTE(AC$1,RIGHT(AC$1,2),""),VLOOKUP($D270,素材!$1:$1016,COLUMN($F$1),FALSE))),VLOOKUP($C270,装備品!$1:$998,COLUMN($O$1),FALSE)*VLOOKUP($D270,素材!$1:$1016,COLUMN($E$1),FALSE)/(LEN(VLOOKUP($D270,素材!$1:$1016,COLUMN($F$1),FALSE))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D270">
        <f>IF(ISNUMBER(SEARCH(SUBSTITUTE(AD$1,RIGHT(AD$1,2),""),VLOOKUP($D270,素材!$1:$1016,COLUMN($F$1),FALSE))),VLOOKUP($C270,装備品!$1:$998,COLUMN($O$1),FALSE)*VLOOKUP($D270,素材!$1:$1016,COLUMN($E$1),FALSE)/(LEN(VLOOKUP($D270,素材!$1:$1016,COLUMN($F$1),FALSE))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E270">
        <f>IF(ISNUMBER(SEARCH(SUBSTITUTE(AE$1,RIGHT(AE$1,2),""),VLOOKUP($D270,素材!$1:$1016,COLUMN($F$1),FALSE))),VLOOKUP($C270,装備品!$1:$998,COLUMN($O$1),FALSE)*VLOOKUP($D270,素材!$1:$1016,COLUMN($E$1),FALSE)/(LEN(VLOOKUP($D270,素材!$1:$1016,COLUMN($F$1),FALSE))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F270">
        <f>IF(ISNUMBER(SEARCH(SUBSTITUTE(AF$1,RIGHT(AF$1,2),""),VLOOKUP($D270,素材!$1:$1016,COLUMN($F$1),FALSE))),VLOOKUP($C270,装備品!$1:$998,COLUMN($O$1),FALSE)*VLOOKUP($D270,素材!$1:$1016,COLUMN($E$1),FALSE)/(LEN(VLOOKUP($D270,素材!$1:$1016,COLUMN($F$1),FALSE))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G270">
        <f>IF(ISNUMBER(SEARCH(SUBSTITUTE(AG$1,RIGHT(AG$1,2),""),VLOOKUP($D270,素材!$1:$1016,COLUMN($F$1),FALSE))),VLOOKUP($C270,装備品!$1:$998,COLUMN($O$1),FALSE)*VLOOKUP($D270,素材!$1:$1016,COLUMN($E$1),FALSE)/(LEN(VLOOKUP($D270,素材!$1:$1016,COLUMN($F$1),FALSE))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H270">
        <f>IF(ISNUMBER(SEARCH(SUBSTITUTE(AH$1,RIGHT(AH$1,2),""),VLOOKUP($D270,素材!$1:$1016,COLUMN($F$1),FALSE))),VLOOKUP($C270,装備品!$1:$998,COLUMN($O$1),FALSE)*VLOOKUP($D270,素材!$1:$1016,COLUMN($E$1),FALSE)/(LEN(VLOOKUP($D270,素材!$1:$1016,COLUMN($F$1),FALSE))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I270">
        <f>IF(ISNUMBER(SEARCH(SUBSTITUTE(AI$1,RIGHT(AI$1,2),""),VLOOKUP($D270,素材!$1:$1016,COLUMN($F$1),FALSE))),VLOOKUP($C270,装備品!$1:$998,COLUMN($O$1),FALSE)*VLOOKUP($D270,素材!$1:$1016,COLUMN($E$1),FALSE)/(LEN(VLOOKUP($D270,素材!$1:$1016,COLUMN($F$1),FALSE))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J270">
        <f>IF(ISNUMBER(SEARCH(SUBSTITUTE(AJ$1,RIGHT(AJ$1,2),""),VLOOKUP($D270,素材!$1:$1016,COLUMN($F$1),FALSE))),VLOOKUP($C270,装備品!$1:$998,COLUMN($O$1),FALSE)*VLOOKUP($D270,素材!$1:$1016,COLUMN($E$1),FALSE)/(LEN(VLOOKUP($D270,素材!$1:$1016,COLUMN($F$1),FALSE))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K270">
        <f>IF(ISNUMBER(SEARCH(SUBSTITUTE(AK$1,RIGHT(AK$1,2),""),VLOOKUP($D270,素材!$1:$1016,COLUMN($F$1),FALSE))),VLOOKUP($C270,装備品!$1:$998,COLUMN($O$1),FALSE)*VLOOKUP($D270,素材!$1:$1016,COLUMN($E$1),FALSE)/(LEN(VLOOKUP($D270,素材!$1:$1016,COLUMN($F$1),FALSE))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L270">
        <f>IF(ISNUMBER(SEARCH(SUBSTITUTE(AL$1,RIGHT(AL$1,2),""),VLOOKUP($D270,素材!$1:$1016,COLUMN($F$1),FALSE))),VLOOKUP($C270,装備品!$1:$998,COLUMN($O$1),FALSE)*VLOOKUP($D270,素材!$1:$1016,COLUMN($E$1),FALSE)/(LEN(VLOOKUP($D270,素材!$1:$1016,COLUMN($F$1),FALSE))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M270">
        <f>IF(ISNUMBER(SEARCH(SUBSTITUTE(AM$1,RIGHT(AM$1,2),""),VLOOKUP($D270,素材!$1:$1016,COLUMN($F$1),FALSE))),VLOOKUP($C270,装備品!$1:$998,COLUMN($O$1),FALSE)*VLOOKUP($D270,素材!$1:$1016,COLUMN($E$1),FALSE)/(LEN(VLOOKUP($D270,素材!$1:$1016,COLUMN($F$1),FALSE))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N270">
        <f>IF(ISNUMBER(SEARCH(SUBSTITUTE(AN$1,RIGHT(AN$1,2),""),VLOOKUP($D270,素材!$1:$1016,COLUMN($F$1),FALSE))),VLOOKUP($C270,装備品!$1:$998,COLUMN($O$1),FALSE)*VLOOKUP($D270,素材!$1:$1016,COLUMN($E$1),FALSE)/(LEN(VLOOKUP($D270,素材!$1:$1016,COLUMN($F$1),FALSE))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O270">
        <f>IF(ISNUMBER(SEARCH(SUBSTITUTE(AO$1,RIGHT(AO$1,2),""),VLOOKUP($D270,素材!$1:$1016,COLUMN($F$1),FALSE))),VLOOKUP($C270,装備品!$1:$998,COLUMN($O$1),FALSE)*VLOOKUP($D270,素材!$1:$1016,COLUMN($E$1),FALSE)/(LEN(VLOOKUP($D270,素材!$1:$1016,COLUMN($F$1),FALSE))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P270">
        <f>IF(ISNUMBER(SEARCH(SUBSTITUTE(AP$1,RIGHT(AP$1,2),""),VLOOKUP($D270,素材!$1:$1016,COLUMN($F$1),FALSE))),VLOOKUP($C270,装備品!$1:$998,COLUMN($O$1),FALSE)*VLOOKUP($D270,素材!$1:$1016,COLUMN($E$1),FALSE)/(LEN(VLOOKUP($D270,素材!$1:$1016,COLUMN($F$1),FALSE))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Q270">
        <f>IF(ISNUMBER(SEARCH(SUBSTITUTE(AQ$1,RIGHT(AQ$1,2),""),VLOOKUP($D270,素材!$1:$1016,COLUMN($F$1),FALSE))),VLOOKUP($C270,装備品!$1:$998,COLUMN($O$1),FALSE)*VLOOKUP($D270,素材!$1:$1016,COLUMN($E$1),FALSE)/(LEN(VLOOKUP($D270,素材!$1:$1016,COLUMN($F$1),FALSE))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R270">
        <f>IF(ISNUMBER(SEARCH(SUBSTITUTE(AR$1,RIGHT(AR$1,2),""),VLOOKUP($D270,素材!$1:$1016,COLUMN($F$1),FALSE))),VLOOKUP($C270,装備品!$1:$998,COLUMN($O$1),FALSE)*VLOOKUP($D270,素材!$1:$1016,COLUMN($E$1),FALSE)/(LEN(VLOOKUP($D270,素材!$1:$1016,COLUMN($F$1),FALSE))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S270">
        <f>IF(ISNUMBER(SEARCH(SUBSTITUTE(AS$1,RIGHT(AS$1,2),""),VLOOKUP($D270,素材!$1:$1016,COLUMN($F$1),FALSE))),VLOOKUP($C270,装備品!$1:$998,COLUMN($O$1),FALSE)*VLOOKUP($D270,素材!$1:$1016,COLUMN($E$1),FALSE)/(LEN(VLOOKUP($D270,素材!$1:$1016,COLUMN($F$1),FALSE))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T270">
        <f>IF(ISNUMBER(SEARCH(SUBSTITUTE(AT$1,RIGHT(AT$1,2),""),VLOOKUP($D270,素材!$1:$1016,COLUMN($F$1),FALSE))),VLOOKUP($C270,装備品!$1:$998,COLUMN($O$1),FALSE)*VLOOKUP($D270,素材!$1:$1016,COLUMN($E$1),FALSE)/(LEN(VLOOKUP($D270,素材!$1:$1016,COLUMN($F$1),FALSE))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U270">
        <f>IF(ISNUMBER(SEARCH(SUBSTITUTE(AU$1,RIGHT(AU$1,2),""),VLOOKUP($D270,素材!$1:$1016,COLUMN($F$1),FALSE))),VLOOKUP($C270,装備品!$1:$998,COLUMN($O$1),FALSE)*VLOOKUP($D270,素材!$1:$1016,COLUMN($E$1),FALSE)/(LEN(VLOOKUP($D270,素材!$1:$1016,COLUMN($F$1),FALSE))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V270">
        <f>IF(ISNUMBER(SEARCH(SUBSTITUTE(AV$1,RIGHT(AV$1,2),""),VLOOKUP($D270,素材!$1:$1016,COLUMN($F$1),FALSE))),VLOOKUP($C270,装備品!$1:$998,COLUMN($O$1),FALSE)*VLOOKUP($D270,素材!$1:$1016,COLUMN($E$1),FALSE)/(LEN(VLOOKUP($D270,素材!$1:$1016,COLUMN($F$1),FALSE))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W270">
        <f>IF(ISNUMBER(SEARCH(SUBSTITUTE(AW$1,RIGHT(AW$1,2),""),VLOOKUP($D270,素材!$1:$1016,COLUMN($F$1),FALSE))),VLOOKUP($C270,装備品!$1:$998,COLUMN($O$1),FALSE)*VLOOKUP($D270,素材!$1:$1016,COLUMN($E$1),FALSE)/(LEN(VLOOKUP($D270,素材!$1:$1016,COLUMN($F$1),FALSE))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X270">
        <f>IF(ISNUMBER(SEARCH(SUBSTITUTE(AX$1,RIGHT(AX$1,2),""),VLOOKUP($D270,素材!$1:$1016,COLUMN($F$1),FALSE))),VLOOKUP($C270,装備品!$1:$998,COLUMN($O$1),FALSE)*VLOOKUP($D270,素材!$1:$1016,COLUMN($E$1),FALSE)/(LEN(VLOOKUP($D270,素材!$1:$1016,COLUMN($F$1),FALSE))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Y270">
        <f>IF(ISNUMBER(SEARCH(SUBSTITUTE(AY$1,RIGHT(AY$1,2),""),VLOOKUP($D270,素材!$1:$1016,COLUMN($F$1),FALSE))),VLOOKUP($C270,装備品!$1:$998,COLUMN($O$1),FALSE)*VLOOKUP($D270,素材!$1:$1016,COLUMN($E$1),FALSE)/(LEN(VLOOKUP($D270,素材!$1:$1016,COLUMN($F$1),FALSE))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Z270">
        <f>IF(ISNUMBER(SEARCH(SUBSTITUTE(AZ$1,RIGHT(AZ$1,2),""),VLOOKUP($D270,素材!$1:$1016,COLUMN($F$1),FALSE))),VLOOKUP($C270,装備品!$1:$998,COLUMN($O$1),FALSE)*VLOOKUP($D270,素材!$1:$1016,COLUMN($E$1),FALSE)/(LEN(VLOOKUP($D270,素材!$1:$1016,COLUMN($F$1),FALSE))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BA270">
        <f>IF(ISNUMBER(SEARCH(SUBSTITUTE(BA$1,RIGHT(BA$1,2),""),VLOOKUP($D270,素材!$1:$1016,COLUMN($F$1),FALSE))),VLOOKUP($C270,装備品!$1:$998,COLUMN($O$1),FALSE)*VLOOKUP($D270,素材!$1:$1016,COLUMN($E$1),FALSE)/(LEN(VLOOKUP($D270,素材!$1:$1016,COLUMN($F$1),FALSE))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BB270">
        <f>IF(ISNUMBER(SEARCH(SUBSTITUTE(BB$1,RIGHT(BB$1,2),""),VLOOKUP($D270,素材!$1:$1016,COLUMN($F$1),FALSE))),VLOOKUP($C270,装備品!$1:$998,COLUMN($O$1),FALSE)*VLOOKUP($D270,素材!$1:$1016,COLUMN($E$1),FALSE)/(LEN(VLOOKUP($D270,素材!$1:$1016,COLUMN($F$1),FALSE))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BC270">
        <f>IF(ISNUMBER(SEARCH(SUBSTITUTE(BC$1,RIGHT(BC$1,2),""),VLOOKUP($D270,素材!$1:$1016,COLUMN($F$1),FALSE))),VLOOKUP($C270,装備品!$1:$998,COLUMN($O$1),FALSE)*VLOOKUP($D270,素材!$1:$1016,COLUMN($E$1),FALSE)/(LEN(VLOOKUP($D270,素材!$1:$1016,COLUMN($F$1),FALSE))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BD270">
        <f>IF(ISNUMBER(SEARCH(SUBSTITUTE(BD$1,RIGHT(BD$1,2),""),VLOOKUP($D270,素材!$1:$1016,COLUMN($F$1),FALSE))),VLOOKUP($C270,装備品!$1:$998,COLUMN($O$1),FALSE)*VLOOKUP($D270,素材!$1:$1016,COLUMN($E$1),FALSE)/(LEN(VLOOKUP($D270,素材!$1:$1016,COLUMN($F$1),FALSE))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BE270">
        <f>IF(ISNUMBER(SEARCH(SUBSTITUTE(BE$1,RIGHT(BE$1,2),""),VLOOKUP($D270,素材!$1:$1016,COLUMN($F$1),FALSE))),VLOOKUP($C270,装備品!$1:$998,COLUMN($O$1),FALSE)*VLOOKUP($D270,素材!$1:$1016,COLUMN($E$1),FALSE)/(LEN(VLOOKUP($D270,素材!$1:$1016,COLUMN($F$1),FALSE))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CL270">
        <f t="shared" si="41"/>
        <v>0</v>
      </c>
      <c r="CM270" s="22" t="str">
        <f t="shared" si="42"/>
        <v>.webp</v>
      </c>
      <c r="CN270" t="str">
        <f>IFERROR(VLOOKUP($C270,装備品!$1:$998,COLUMN(V$1),FALSE)*VLOOKUP($D270,素材!$1:$1016,COLUMN(N$1),FALSE)+IF(CI270="",0,VLOOKUP($CI270,付与!$1:$1176,COLUMN($CK$1),FALSE)),"")</f>
        <v/>
      </c>
      <c r="CO270" t="e">
        <f>VLOOKUP(D270,素材!$A:$O,COLUMN(素材!O$1),FALSE)</f>
        <v>#N/A</v>
      </c>
      <c r="CP270" t="e">
        <f>VLOOKUP(C270,装備品!$A:$AB,COLUMN(装備品!AB$1),FALSE)</f>
        <v>#N/A</v>
      </c>
      <c r="CR270" t="str">
        <f t="shared" ref="CR270:CR333" si="43">"e_"&amp;ROW(CR270)</f>
        <v>e_270</v>
      </c>
      <c r="CS270" t="e">
        <f t="shared" si="38"/>
        <v>#VALUE!</v>
      </c>
    </row>
    <row r="271" spans="1:97" x14ac:dyDescent="0.4">
      <c r="B271" t="str">
        <f>IFERROR(VLOOKUP($D271,素材!$1:$1016,COLUMN($B$1),FALSE)&amp;"・"&amp;VLOOKUP($C271,装備品!$1:$998,COLUMN(B$1),FALSE),"")</f>
        <v/>
      </c>
      <c r="C271" s="24"/>
      <c r="D271" s="24"/>
      <c r="E271" t="str">
        <f>IFERROR(VLOOKUP(C271,装備品!$1:$998,COLUMN(C$1),FALSE),"")</f>
        <v/>
      </c>
      <c r="F271" t="str">
        <f>IFERROR(ROUNDDOWN((VLOOKUP($C271,装備品!$1:$998,COLUMN(D$1),FALSE)+IFERROR(VLOOKUP($CI271,付与!$1:$1167,COLUMN(F$1),FALSE),0))*VLOOKUP($D271,素材!$1:$1016,COLUMN(D$1),FALSE),0),"")</f>
        <v/>
      </c>
      <c r="G271" t="str">
        <f>IFERROR(ROUNDDOWN((VLOOKUP($C271,装備品!$1:$998,COLUMN(E$1),FALSE)+IFERROR(VLOOKUP($CI271,付与!$1:$1167,COLUMN(G$1),FALSE),0))*VLOOKUP($D271,素材!$1:$1016,COLUMN($E$1),FALSE),0),"")</f>
        <v/>
      </c>
      <c r="H271" t="str">
        <f>IFERROR(ROUNDDOWN((VLOOKUP($C271,装備品!$1:$998,COLUMN(F$1),FALSE)+IFERROR(VLOOKUP($CI271,付与!$1:$1167,COLUMN(H$1),FALSE),0))*VLOOKUP($D271,素材!$1:$1016,COLUMN($E$1),FALSE),0),"")</f>
        <v/>
      </c>
      <c r="I271" t="str">
        <f>IFERROR(ROUNDDOWN((VLOOKUP($C271,装備品!$1:$998,COLUMN(G$1),FALSE)+IFERROR(VLOOKUP($CI271,付与!$1:$1167,COLUMN(I$1),FALSE),0))*VLOOKUP($D271,素材!$1:$1016,COLUMN($E$1),FALSE),0),"")</f>
        <v/>
      </c>
      <c r="J271" t="str">
        <f>IFERROR(ROUNDDOWN((VLOOKUP($C271,装備品!$1:$998,COLUMN(H$1),FALSE)+IFERROR(VLOOKUP($CI271,付与!$1:$1167,COLUMN(J$1),FALSE),0))*VLOOKUP($D271,素材!$1:$1016,COLUMN($E$1),FALSE),0),"")</f>
        <v/>
      </c>
      <c r="K271" t="str">
        <f>IFERROR(ROUNDDOWN((VLOOKUP($C271,装備品!$1:$998,COLUMN(I$1),FALSE)+IFERROR(VLOOKUP($CI271,付与!$1:$1167,COLUMN(K$1),FALSE),0))*VLOOKUP($D271,素材!$1:$1016,COLUMN($E$1),FALSE),0),"")</f>
        <v/>
      </c>
      <c r="L271" t="str">
        <f>IFERROR(VLOOKUP($D271,素材!$1:$1016,COLUMN($F$1),FALSE),"")</f>
        <v/>
      </c>
      <c r="M271" t="str">
        <f>IFERROR(VLOOKUP($C271,装備品!$1:$998,COLUMN(AA$1),FALSE)*VLOOKUP($D271,素材!$1:$1016,COLUMN($G$1),FALSE),"")</f>
        <v/>
      </c>
      <c r="N271" t="str">
        <f>IFERROR(VLOOKUP($C271,装備品!$1:$998,COLUMN(I$1),FALSE),"")</f>
        <v/>
      </c>
      <c r="O271" s="23" t="str">
        <f>IFERROR((VLOOKUP($C271,装備品!$1:$998,COLUMN(K$1),FALSE)+VLOOKUP($D271,素材!$1:$1016,COLUMN(H$1),FALSE))*100+IFERROR(VLOOKUP($CI271,付与!$1:$1167,COLUMN(O$1),FALSE),0),"")</f>
        <v/>
      </c>
      <c r="P271" s="23" t="str">
        <f>IFERROR((VLOOKUP($C271,装備品!$1:$998,COLUMN(L$1),FALSE)+VLOOKUP($D271,素材!$1:$1016,COLUMN(I$1),FALSE))*100+IFERROR(VLOOKUP($CI271,付与!$1:$1167,COLUMN(P$1),FALSE),0),"")</f>
        <v/>
      </c>
      <c r="Q271" t="str">
        <f>IFERROR(ROUNDUP(VLOOKUP($C271,装備品!$1:$998,COLUMN(M$1),FALSE)*(VLOOKUP($D271,素材!$1:$1002,COLUMN(D$1),FALSE)/100),1),"")</f>
        <v/>
      </c>
      <c r="R271" t="str">
        <f>IFERROR(ROUNDUP(VLOOKUP($C271,装備品!$1:$998,COLUMN(N$1),FALSE)*(VLOOKUP($D271,素材!$1:$1002,COLUMN(D$1),FALSE)/100),1),"")</f>
        <v/>
      </c>
      <c r="S271" t="str">
        <f>IFERROR(VLOOKUP($C271,装備品!$1:$998,COLUMN(P$1),FALSE),"")</f>
        <v/>
      </c>
      <c r="T271" t="str">
        <f>IFERROR(VLOOKUP($C271,装備品!$1:$998,COLUMN(Q$1),FALSE),"")</f>
        <v/>
      </c>
      <c r="U271" t="str">
        <f>IFERROR(VLOOKUP($C271,装備品!$1:$998,COLUMN(R$1),FALSE),"")</f>
        <v/>
      </c>
      <c r="V271" t="str">
        <f>IFERROR(VLOOKUP($C271,装備品!$1:$998,COLUMN(Q$1),FALSE),"")</f>
        <v/>
      </c>
      <c r="W271" t="str">
        <f>IFERROR(VLOOKUP($C271,装備品!$1:$998,COLUMN(T$1),FALSE),"")</f>
        <v/>
      </c>
      <c r="Y271" t="str">
        <f>IFERROR(VLOOKUP($C271,装備品!$1:$998,COLUMN(U$1),FALSE),"")</f>
        <v/>
      </c>
      <c r="Z271" t="str">
        <f>IFERROR(ROUNDUP(VLOOKUP($C271,装備品!$1:$998,COLUMN(O$1),FALSE)*VLOOKUP($D271,素材!$1:$1016,COLUMN(E$1),FALSE),1),"")</f>
        <v/>
      </c>
      <c r="AA271">
        <f>IF(ISNUMBER(SEARCH(SUBSTITUTE(AA$1,RIGHT(AA$1,2),""),VLOOKUP($D271,素材!$1:$1016,COLUMN($F$1),FALSE))),VLOOKUP($C271,装備品!$1:$998,COLUMN($O$1),FALSE)*VLOOKUP($D271,素材!$1:$1016,COLUMN($E$1),FALSE)/(LEN(VLOOKUP($D271,素材!$1:$1016,COLUMN($F$1),FALSE))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B271">
        <f>IF(ISNUMBER(SEARCH(SUBSTITUTE(AB$1,RIGHT(AB$1,2),""),VLOOKUP($D271,素材!$1:$1016,COLUMN($F$1),FALSE))),VLOOKUP($C271,装備品!$1:$998,COLUMN($O$1),FALSE)*VLOOKUP($D271,素材!$1:$1016,COLUMN($E$1),FALSE)/(LEN(VLOOKUP($D271,素材!$1:$1016,COLUMN($F$1),FALSE))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C271">
        <f>IF(ISNUMBER(SEARCH(SUBSTITUTE(AC$1,RIGHT(AC$1,2),""),VLOOKUP($D271,素材!$1:$1016,COLUMN($F$1),FALSE))),VLOOKUP($C271,装備品!$1:$998,COLUMN($O$1),FALSE)*VLOOKUP($D271,素材!$1:$1016,COLUMN($E$1),FALSE)/(LEN(VLOOKUP($D271,素材!$1:$1016,COLUMN($F$1),FALSE))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D271">
        <f>IF(ISNUMBER(SEARCH(SUBSTITUTE(AD$1,RIGHT(AD$1,2),""),VLOOKUP($D271,素材!$1:$1016,COLUMN($F$1),FALSE))),VLOOKUP($C271,装備品!$1:$998,COLUMN($O$1),FALSE)*VLOOKUP($D271,素材!$1:$1016,COLUMN($E$1),FALSE)/(LEN(VLOOKUP($D271,素材!$1:$1016,COLUMN($F$1),FALSE))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E271">
        <f>IF(ISNUMBER(SEARCH(SUBSTITUTE(AE$1,RIGHT(AE$1,2),""),VLOOKUP($D271,素材!$1:$1016,COLUMN($F$1),FALSE))),VLOOKUP($C271,装備品!$1:$998,COLUMN($O$1),FALSE)*VLOOKUP($D271,素材!$1:$1016,COLUMN($E$1),FALSE)/(LEN(VLOOKUP($D271,素材!$1:$1016,COLUMN($F$1),FALSE))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F271">
        <f>IF(ISNUMBER(SEARCH(SUBSTITUTE(AF$1,RIGHT(AF$1,2),""),VLOOKUP($D271,素材!$1:$1016,COLUMN($F$1),FALSE))),VLOOKUP($C271,装備品!$1:$998,COLUMN($O$1),FALSE)*VLOOKUP($D271,素材!$1:$1016,COLUMN($E$1),FALSE)/(LEN(VLOOKUP($D271,素材!$1:$1016,COLUMN($F$1),FALSE))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G271">
        <f>IF(ISNUMBER(SEARCH(SUBSTITUTE(AG$1,RIGHT(AG$1,2),""),VLOOKUP($D271,素材!$1:$1016,COLUMN($F$1),FALSE))),VLOOKUP($C271,装備品!$1:$998,COLUMN($O$1),FALSE)*VLOOKUP($D271,素材!$1:$1016,COLUMN($E$1),FALSE)/(LEN(VLOOKUP($D271,素材!$1:$1016,COLUMN($F$1),FALSE))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H271">
        <f>IF(ISNUMBER(SEARCH(SUBSTITUTE(AH$1,RIGHT(AH$1,2),""),VLOOKUP($D271,素材!$1:$1016,COLUMN($F$1),FALSE))),VLOOKUP($C271,装備品!$1:$998,COLUMN($O$1),FALSE)*VLOOKUP($D271,素材!$1:$1016,COLUMN($E$1),FALSE)/(LEN(VLOOKUP($D271,素材!$1:$1016,COLUMN($F$1),FALSE))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I271">
        <f>IF(ISNUMBER(SEARCH(SUBSTITUTE(AI$1,RIGHT(AI$1,2),""),VLOOKUP($D271,素材!$1:$1016,COLUMN($F$1),FALSE))),VLOOKUP($C271,装備品!$1:$998,COLUMN($O$1),FALSE)*VLOOKUP($D271,素材!$1:$1016,COLUMN($E$1),FALSE)/(LEN(VLOOKUP($D271,素材!$1:$1016,COLUMN($F$1),FALSE))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J271">
        <f>IF(ISNUMBER(SEARCH(SUBSTITUTE(AJ$1,RIGHT(AJ$1,2),""),VLOOKUP($D271,素材!$1:$1016,COLUMN($F$1),FALSE))),VLOOKUP($C271,装備品!$1:$998,COLUMN($O$1),FALSE)*VLOOKUP($D271,素材!$1:$1016,COLUMN($E$1),FALSE)/(LEN(VLOOKUP($D271,素材!$1:$1016,COLUMN($F$1),FALSE))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K271">
        <f>IF(ISNUMBER(SEARCH(SUBSTITUTE(AK$1,RIGHT(AK$1,2),""),VLOOKUP($D271,素材!$1:$1016,COLUMN($F$1),FALSE))),VLOOKUP($C271,装備品!$1:$998,COLUMN($O$1),FALSE)*VLOOKUP($D271,素材!$1:$1016,COLUMN($E$1),FALSE)/(LEN(VLOOKUP($D271,素材!$1:$1016,COLUMN($F$1),FALSE))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L271">
        <f>IF(ISNUMBER(SEARCH(SUBSTITUTE(AL$1,RIGHT(AL$1,2),""),VLOOKUP($D271,素材!$1:$1016,COLUMN($F$1),FALSE))),VLOOKUP($C271,装備品!$1:$998,COLUMN($O$1),FALSE)*VLOOKUP($D271,素材!$1:$1016,COLUMN($E$1),FALSE)/(LEN(VLOOKUP($D271,素材!$1:$1016,COLUMN($F$1),FALSE))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M271">
        <f>IF(ISNUMBER(SEARCH(SUBSTITUTE(AM$1,RIGHT(AM$1,2),""),VLOOKUP($D271,素材!$1:$1016,COLUMN($F$1),FALSE))),VLOOKUP($C271,装備品!$1:$998,COLUMN($O$1),FALSE)*VLOOKUP($D271,素材!$1:$1016,COLUMN($E$1),FALSE)/(LEN(VLOOKUP($D271,素材!$1:$1016,COLUMN($F$1),FALSE))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N271">
        <f>IF(ISNUMBER(SEARCH(SUBSTITUTE(AN$1,RIGHT(AN$1,2),""),VLOOKUP($D271,素材!$1:$1016,COLUMN($F$1),FALSE))),VLOOKUP($C271,装備品!$1:$998,COLUMN($O$1),FALSE)*VLOOKUP($D271,素材!$1:$1016,COLUMN($E$1),FALSE)/(LEN(VLOOKUP($D271,素材!$1:$1016,COLUMN($F$1),FALSE))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O271">
        <f>IF(ISNUMBER(SEARCH(SUBSTITUTE(AO$1,RIGHT(AO$1,2),""),VLOOKUP($D271,素材!$1:$1016,COLUMN($F$1),FALSE))),VLOOKUP($C271,装備品!$1:$998,COLUMN($O$1),FALSE)*VLOOKUP($D271,素材!$1:$1016,COLUMN($E$1),FALSE)/(LEN(VLOOKUP($D271,素材!$1:$1016,COLUMN($F$1),FALSE))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P271">
        <f>IF(ISNUMBER(SEARCH(SUBSTITUTE(AP$1,RIGHT(AP$1,2),""),VLOOKUP($D271,素材!$1:$1016,COLUMN($F$1),FALSE))),VLOOKUP($C271,装備品!$1:$998,COLUMN($O$1),FALSE)*VLOOKUP($D271,素材!$1:$1016,COLUMN($E$1),FALSE)/(LEN(VLOOKUP($D271,素材!$1:$1016,COLUMN($F$1),FALSE))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Q271">
        <f>IF(ISNUMBER(SEARCH(SUBSTITUTE(AQ$1,RIGHT(AQ$1,2),""),VLOOKUP($D271,素材!$1:$1016,COLUMN($F$1),FALSE))),VLOOKUP($C271,装備品!$1:$998,COLUMN($O$1),FALSE)*VLOOKUP($D271,素材!$1:$1016,COLUMN($E$1),FALSE)/(LEN(VLOOKUP($D271,素材!$1:$1016,COLUMN($F$1),FALSE))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R271">
        <f>IF(ISNUMBER(SEARCH(SUBSTITUTE(AR$1,RIGHT(AR$1,2),""),VLOOKUP($D271,素材!$1:$1016,COLUMN($F$1),FALSE))),VLOOKUP($C271,装備品!$1:$998,COLUMN($O$1),FALSE)*VLOOKUP($D271,素材!$1:$1016,COLUMN($E$1),FALSE)/(LEN(VLOOKUP($D271,素材!$1:$1016,COLUMN($F$1),FALSE))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S271">
        <f>IF(ISNUMBER(SEARCH(SUBSTITUTE(AS$1,RIGHT(AS$1,2),""),VLOOKUP($D271,素材!$1:$1016,COLUMN($F$1),FALSE))),VLOOKUP($C271,装備品!$1:$998,COLUMN($O$1),FALSE)*VLOOKUP($D271,素材!$1:$1016,COLUMN($E$1),FALSE)/(LEN(VLOOKUP($D271,素材!$1:$1016,COLUMN($F$1),FALSE))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T271">
        <f>IF(ISNUMBER(SEARCH(SUBSTITUTE(AT$1,RIGHT(AT$1,2),""),VLOOKUP($D271,素材!$1:$1016,COLUMN($F$1),FALSE))),VLOOKUP($C271,装備品!$1:$998,COLUMN($O$1),FALSE)*VLOOKUP($D271,素材!$1:$1016,COLUMN($E$1),FALSE)/(LEN(VLOOKUP($D271,素材!$1:$1016,COLUMN($F$1),FALSE))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U271">
        <f>IF(ISNUMBER(SEARCH(SUBSTITUTE(AU$1,RIGHT(AU$1,2),""),VLOOKUP($D271,素材!$1:$1016,COLUMN($F$1),FALSE))),VLOOKUP($C271,装備品!$1:$998,COLUMN($O$1),FALSE)*VLOOKUP($D271,素材!$1:$1016,COLUMN($E$1),FALSE)/(LEN(VLOOKUP($D271,素材!$1:$1016,COLUMN($F$1),FALSE))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V271">
        <f>IF(ISNUMBER(SEARCH(SUBSTITUTE(AV$1,RIGHT(AV$1,2),""),VLOOKUP($D271,素材!$1:$1016,COLUMN($F$1),FALSE))),VLOOKUP($C271,装備品!$1:$998,COLUMN($O$1),FALSE)*VLOOKUP($D271,素材!$1:$1016,COLUMN($E$1),FALSE)/(LEN(VLOOKUP($D271,素材!$1:$1016,COLUMN($F$1),FALSE))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W271">
        <f>IF(ISNUMBER(SEARCH(SUBSTITUTE(AW$1,RIGHT(AW$1,2),""),VLOOKUP($D271,素材!$1:$1016,COLUMN($F$1),FALSE))),VLOOKUP($C271,装備品!$1:$998,COLUMN($O$1),FALSE)*VLOOKUP($D271,素材!$1:$1016,COLUMN($E$1),FALSE)/(LEN(VLOOKUP($D271,素材!$1:$1016,COLUMN($F$1),FALSE))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X271">
        <f>IF(ISNUMBER(SEARCH(SUBSTITUTE(AX$1,RIGHT(AX$1,2),""),VLOOKUP($D271,素材!$1:$1016,COLUMN($F$1),FALSE))),VLOOKUP($C271,装備品!$1:$998,COLUMN($O$1),FALSE)*VLOOKUP($D271,素材!$1:$1016,COLUMN($E$1),FALSE)/(LEN(VLOOKUP($D271,素材!$1:$1016,COLUMN($F$1),FALSE))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Y271">
        <f>IF(ISNUMBER(SEARCH(SUBSTITUTE(AY$1,RIGHT(AY$1,2),""),VLOOKUP($D271,素材!$1:$1016,COLUMN($F$1),FALSE))),VLOOKUP($C271,装備品!$1:$998,COLUMN($O$1),FALSE)*VLOOKUP($D271,素材!$1:$1016,COLUMN($E$1),FALSE)/(LEN(VLOOKUP($D271,素材!$1:$1016,COLUMN($F$1),FALSE))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Z271">
        <f>IF(ISNUMBER(SEARCH(SUBSTITUTE(AZ$1,RIGHT(AZ$1,2),""),VLOOKUP($D271,素材!$1:$1016,COLUMN($F$1),FALSE))),VLOOKUP($C271,装備品!$1:$998,COLUMN($O$1),FALSE)*VLOOKUP($D271,素材!$1:$1016,COLUMN($E$1),FALSE)/(LEN(VLOOKUP($D271,素材!$1:$1016,COLUMN($F$1),FALSE))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BA271">
        <f>IF(ISNUMBER(SEARCH(SUBSTITUTE(BA$1,RIGHT(BA$1,2),""),VLOOKUP($D271,素材!$1:$1016,COLUMN($F$1),FALSE))),VLOOKUP($C271,装備品!$1:$998,COLUMN($O$1),FALSE)*VLOOKUP($D271,素材!$1:$1016,COLUMN($E$1),FALSE)/(LEN(VLOOKUP($D271,素材!$1:$1016,COLUMN($F$1),FALSE))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BB271">
        <f>IF(ISNUMBER(SEARCH(SUBSTITUTE(BB$1,RIGHT(BB$1,2),""),VLOOKUP($D271,素材!$1:$1016,COLUMN($F$1),FALSE))),VLOOKUP($C271,装備品!$1:$998,COLUMN($O$1),FALSE)*VLOOKUP($D271,素材!$1:$1016,COLUMN($E$1),FALSE)/(LEN(VLOOKUP($D271,素材!$1:$1016,COLUMN($F$1),FALSE))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BC271">
        <f>IF(ISNUMBER(SEARCH(SUBSTITUTE(BC$1,RIGHT(BC$1,2),""),VLOOKUP($D271,素材!$1:$1016,COLUMN($F$1),FALSE))),VLOOKUP($C271,装備品!$1:$998,COLUMN($O$1),FALSE)*VLOOKUP($D271,素材!$1:$1016,COLUMN($E$1),FALSE)/(LEN(VLOOKUP($D271,素材!$1:$1016,COLUMN($F$1),FALSE))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BD271">
        <f>IF(ISNUMBER(SEARCH(SUBSTITUTE(BD$1,RIGHT(BD$1,2),""),VLOOKUP($D271,素材!$1:$1016,COLUMN($F$1),FALSE))),VLOOKUP($C271,装備品!$1:$998,COLUMN($O$1),FALSE)*VLOOKUP($D271,素材!$1:$1016,COLUMN($E$1),FALSE)/(LEN(VLOOKUP($D271,素材!$1:$1016,COLUMN($F$1),FALSE))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BE271">
        <f>IF(ISNUMBER(SEARCH(SUBSTITUTE(BE$1,RIGHT(BE$1,2),""),VLOOKUP($D271,素材!$1:$1016,COLUMN($F$1),FALSE))),VLOOKUP($C271,装備品!$1:$998,COLUMN($O$1),FALSE)*VLOOKUP($D271,素材!$1:$1016,COLUMN($E$1),FALSE)/(LEN(VLOOKUP($D271,素材!$1:$1016,COLUMN($F$1),FALSE))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CL271">
        <f t="shared" si="41"/>
        <v>0</v>
      </c>
      <c r="CM271" s="22" t="str">
        <f t="shared" si="42"/>
        <v>.webp</v>
      </c>
      <c r="CN271" t="str">
        <f>IFERROR(VLOOKUP($C271,装備品!$1:$998,COLUMN(V$1),FALSE)*VLOOKUP($D271,素材!$1:$1016,COLUMN(N$1),FALSE)+IF(CI271="",0,VLOOKUP($CI271,付与!$1:$1176,COLUMN($CK$1),FALSE)),"")</f>
        <v/>
      </c>
      <c r="CO271" t="e">
        <f>VLOOKUP(D271,素材!$A:$O,COLUMN(素材!O$1),FALSE)</f>
        <v>#N/A</v>
      </c>
      <c r="CP271" t="e">
        <f>VLOOKUP(C271,装備品!$A:$AB,COLUMN(装備品!AB$1),FALSE)</f>
        <v>#N/A</v>
      </c>
      <c r="CR271" t="str">
        <f t="shared" si="43"/>
        <v>e_271</v>
      </c>
      <c r="CS271" t="e">
        <f t="shared" ref="CS271:CS334" si="44">CN271*100</f>
        <v>#VALUE!</v>
      </c>
    </row>
    <row r="272" spans="1:97" x14ac:dyDescent="0.4">
      <c r="B272" t="str">
        <f>IFERROR(VLOOKUP($D272,素材!$1:$1016,COLUMN($B$1),FALSE)&amp;"・"&amp;VLOOKUP($C272,装備品!$1:$998,COLUMN(B$1),FALSE),"")</f>
        <v/>
      </c>
      <c r="C272" s="24"/>
      <c r="D272" s="24"/>
      <c r="E272" t="str">
        <f>IFERROR(VLOOKUP(C272,装備品!$1:$998,COLUMN(C$1),FALSE),"")</f>
        <v/>
      </c>
      <c r="F272" t="str">
        <f>IFERROR(ROUNDDOWN((VLOOKUP($C272,装備品!$1:$998,COLUMN(D$1),FALSE)+IFERROR(VLOOKUP($CI272,付与!$1:$1167,COLUMN(F$1),FALSE),0))*VLOOKUP($D272,素材!$1:$1016,COLUMN(D$1),FALSE),0),"")</f>
        <v/>
      </c>
      <c r="G272" t="str">
        <f>IFERROR(ROUNDDOWN((VLOOKUP($C272,装備品!$1:$998,COLUMN(E$1),FALSE)+IFERROR(VLOOKUP($CI272,付与!$1:$1167,COLUMN(G$1),FALSE),0))*VLOOKUP($D272,素材!$1:$1016,COLUMN($E$1),FALSE),0),"")</f>
        <v/>
      </c>
      <c r="H272" t="str">
        <f>IFERROR(ROUNDDOWN((VLOOKUP($C272,装備品!$1:$998,COLUMN(F$1),FALSE)+IFERROR(VLOOKUP($CI272,付与!$1:$1167,COLUMN(H$1),FALSE),0))*VLOOKUP($D272,素材!$1:$1016,COLUMN($E$1),FALSE),0),"")</f>
        <v/>
      </c>
      <c r="I272" t="str">
        <f>IFERROR(ROUNDDOWN((VLOOKUP($C272,装備品!$1:$998,COLUMN(G$1),FALSE)+IFERROR(VLOOKUP($CI272,付与!$1:$1167,COLUMN(I$1),FALSE),0))*VLOOKUP($D272,素材!$1:$1016,COLUMN($E$1),FALSE),0),"")</f>
        <v/>
      </c>
      <c r="J272" t="str">
        <f>IFERROR(ROUNDDOWN((VLOOKUP($C272,装備品!$1:$998,COLUMN(H$1),FALSE)+IFERROR(VLOOKUP($CI272,付与!$1:$1167,COLUMN(J$1),FALSE),0))*VLOOKUP($D272,素材!$1:$1016,COLUMN($E$1),FALSE),0),"")</f>
        <v/>
      </c>
      <c r="K272" t="str">
        <f>IFERROR(ROUNDDOWN((VLOOKUP($C272,装備品!$1:$998,COLUMN(I$1),FALSE)+IFERROR(VLOOKUP($CI272,付与!$1:$1167,COLUMN(K$1),FALSE),0))*VLOOKUP($D272,素材!$1:$1016,COLUMN($E$1),FALSE),0),"")</f>
        <v/>
      </c>
      <c r="L272" t="str">
        <f>IFERROR(VLOOKUP($D272,素材!$1:$1016,COLUMN($F$1),FALSE),"")</f>
        <v/>
      </c>
      <c r="M272" t="str">
        <f>IFERROR(VLOOKUP($C272,装備品!$1:$998,COLUMN(AA$1),FALSE)*VLOOKUP($D272,素材!$1:$1016,COLUMN($G$1),FALSE),"")</f>
        <v/>
      </c>
      <c r="N272" t="str">
        <f>IFERROR(VLOOKUP($C272,装備品!$1:$998,COLUMN(I$1),FALSE),"")</f>
        <v/>
      </c>
      <c r="O272" s="23" t="str">
        <f>IFERROR((VLOOKUP($C272,装備品!$1:$998,COLUMN(K$1),FALSE)+VLOOKUP($D272,素材!$1:$1016,COLUMN(H$1),FALSE))*100+IFERROR(VLOOKUP($CI272,付与!$1:$1167,COLUMN(O$1),FALSE),0),"")</f>
        <v/>
      </c>
      <c r="P272" s="23" t="str">
        <f>IFERROR((VLOOKUP($C272,装備品!$1:$998,COLUMN(L$1),FALSE)+VLOOKUP($D272,素材!$1:$1016,COLUMN(I$1),FALSE))*100+IFERROR(VLOOKUP($CI272,付与!$1:$1167,COLUMN(P$1),FALSE),0),"")</f>
        <v/>
      </c>
      <c r="Q272" t="str">
        <f>IFERROR(ROUNDUP(VLOOKUP($C272,装備品!$1:$998,COLUMN(M$1),FALSE)*(VLOOKUP($D272,素材!$1:$1002,COLUMN(D$1),FALSE)/100),1),"")</f>
        <v/>
      </c>
      <c r="R272" t="str">
        <f>IFERROR(ROUNDUP(VLOOKUP($C272,装備品!$1:$998,COLUMN(N$1),FALSE)*(VLOOKUP($D272,素材!$1:$1002,COLUMN(D$1),FALSE)/100),1),"")</f>
        <v/>
      </c>
      <c r="S272" t="str">
        <f>IFERROR(VLOOKUP($C272,装備品!$1:$998,COLUMN(P$1),FALSE),"")</f>
        <v/>
      </c>
      <c r="T272" t="str">
        <f>IFERROR(VLOOKUP($C272,装備品!$1:$998,COLUMN(Q$1),FALSE),"")</f>
        <v/>
      </c>
      <c r="U272" t="str">
        <f>IFERROR(VLOOKUP($C272,装備品!$1:$998,COLUMN(R$1),FALSE),"")</f>
        <v/>
      </c>
      <c r="V272" t="str">
        <f>IFERROR(VLOOKUP($C272,装備品!$1:$998,COLUMN(Q$1),FALSE),"")</f>
        <v/>
      </c>
      <c r="W272" t="str">
        <f>IFERROR(VLOOKUP($C272,装備品!$1:$998,COLUMN(T$1),FALSE),"")</f>
        <v/>
      </c>
      <c r="Y272" t="str">
        <f>IFERROR(VLOOKUP($C272,装備品!$1:$998,COLUMN(U$1),FALSE),"")</f>
        <v/>
      </c>
      <c r="Z272" t="str">
        <f>IFERROR(ROUNDUP(VLOOKUP($C272,装備品!$1:$998,COLUMN(O$1),FALSE)*VLOOKUP($D272,素材!$1:$1016,COLUMN(E$1),FALSE),1),"")</f>
        <v/>
      </c>
      <c r="AA272">
        <f>IF(ISNUMBER(SEARCH(SUBSTITUTE(AA$1,RIGHT(AA$1,2),""),VLOOKUP($D272,素材!$1:$1016,COLUMN($F$1),FALSE))),VLOOKUP($C272,装備品!$1:$998,COLUMN($O$1),FALSE)*VLOOKUP($D272,素材!$1:$1016,COLUMN($E$1),FALSE)/(LEN(VLOOKUP($D272,素材!$1:$1016,COLUMN($F$1),FALSE))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B272">
        <f>IF(ISNUMBER(SEARCH(SUBSTITUTE(AB$1,RIGHT(AB$1,2),""),VLOOKUP($D272,素材!$1:$1016,COLUMN($F$1),FALSE))),VLOOKUP($C272,装備品!$1:$998,COLUMN($O$1),FALSE)*VLOOKUP($D272,素材!$1:$1016,COLUMN($E$1),FALSE)/(LEN(VLOOKUP($D272,素材!$1:$1016,COLUMN($F$1),FALSE))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C272">
        <f>IF(ISNUMBER(SEARCH(SUBSTITUTE(AC$1,RIGHT(AC$1,2),""),VLOOKUP($D272,素材!$1:$1016,COLUMN($F$1),FALSE))),VLOOKUP($C272,装備品!$1:$998,COLUMN($O$1),FALSE)*VLOOKUP($D272,素材!$1:$1016,COLUMN($E$1),FALSE)/(LEN(VLOOKUP($D272,素材!$1:$1016,COLUMN($F$1),FALSE))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D272">
        <f>IF(ISNUMBER(SEARCH(SUBSTITUTE(AD$1,RIGHT(AD$1,2),""),VLOOKUP($D272,素材!$1:$1016,COLUMN($F$1),FALSE))),VLOOKUP($C272,装備品!$1:$998,COLUMN($O$1),FALSE)*VLOOKUP($D272,素材!$1:$1016,COLUMN($E$1),FALSE)/(LEN(VLOOKUP($D272,素材!$1:$1016,COLUMN($F$1),FALSE))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E272">
        <f>IF(ISNUMBER(SEARCH(SUBSTITUTE(AE$1,RIGHT(AE$1,2),""),VLOOKUP($D272,素材!$1:$1016,COLUMN($F$1),FALSE))),VLOOKUP($C272,装備品!$1:$998,COLUMN($O$1),FALSE)*VLOOKUP($D272,素材!$1:$1016,COLUMN($E$1),FALSE)/(LEN(VLOOKUP($D272,素材!$1:$1016,COLUMN($F$1),FALSE))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F272">
        <f>IF(ISNUMBER(SEARCH(SUBSTITUTE(AF$1,RIGHT(AF$1,2),""),VLOOKUP($D272,素材!$1:$1016,COLUMN($F$1),FALSE))),VLOOKUP($C272,装備品!$1:$998,COLUMN($O$1),FALSE)*VLOOKUP($D272,素材!$1:$1016,COLUMN($E$1),FALSE)/(LEN(VLOOKUP($D272,素材!$1:$1016,COLUMN($F$1),FALSE))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G272">
        <f>IF(ISNUMBER(SEARCH(SUBSTITUTE(AG$1,RIGHT(AG$1,2),""),VLOOKUP($D272,素材!$1:$1016,COLUMN($F$1),FALSE))),VLOOKUP($C272,装備品!$1:$998,COLUMN($O$1),FALSE)*VLOOKUP($D272,素材!$1:$1016,COLUMN($E$1),FALSE)/(LEN(VLOOKUP($D272,素材!$1:$1016,COLUMN($F$1),FALSE))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H272">
        <f>IF(ISNUMBER(SEARCH(SUBSTITUTE(AH$1,RIGHT(AH$1,2),""),VLOOKUP($D272,素材!$1:$1016,COLUMN($F$1),FALSE))),VLOOKUP($C272,装備品!$1:$998,COLUMN($O$1),FALSE)*VLOOKUP($D272,素材!$1:$1016,COLUMN($E$1),FALSE)/(LEN(VLOOKUP($D272,素材!$1:$1016,COLUMN($F$1),FALSE))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I272">
        <f>IF(ISNUMBER(SEARCH(SUBSTITUTE(AI$1,RIGHT(AI$1,2),""),VLOOKUP($D272,素材!$1:$1016,COLUMN($F$1),FALSE))),VLOOKUP($C272,装備品!$1:$998,COLUMN($O$1),FALSE)*VLOOKUP($D272,素材!$1:$1016,COLUMN($E$1),FALSE)/(LEN(VLOOKUP($D272,素材!$1:$1016,COLUMN($F$1),FALSE))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J272">
        <f>IF(ISNUMBER(SEARCH(SUBSTITUTE(AJ$1,RIGHT(AJ$1,2),""),VLOOKUP($D272,素材!$1:$1016,COLUMN($F$1),FALSE))),VLOOKUP($C272,装備品!$1:$998,COLUMN($O$1),FALSE)*VLOOKUP($D272,素材!$1:$1016,COLUMN($E$1),FALSE)/(LEN(VLOOKUP($D272,素材!$1:$1016,COLUMN($F$1),FALSE))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K272">
        <f>IF(ISNUMBER(SEARCH(SUBSTITUTE(AK$1,RIGHT(AK$1,2),""),VLOOKUP($D272,素材!$1:$1016,COLUMN($F$1),FALSE))),VLOOKUP($C272,装備品!$1:$998,COLUMN($O$1),FALSE)*VLOOKUP($D272,素材!$1:$1016,COLUMN($E$1),FALSE)/(LEN(VLOOKUP($D272,素材!$1:$1016,COLUMN($F$1),FALSE))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L272">
        <f>IF(ISNUMBER(SEARCH(SUBSTITUTE(AL$1,RIGHT(AL$1,2),""),VLOOKUP($D272,素材!$1:$1016,COLUMN($F$1),FALSE))),VLOOKUP($C272,装備品!$1:$998,COLUMN($O$1),FALSE)*VLOOKUP($D272,素材!$1:$1016,COLUMN($E$1),FALSE)/(LEN(VLOOKUP($D272,素材!$1:$1016,COLUMN($F$1),FALSE))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M272">
        <f>IF(ISNUMBER(SEARCH(SUBSTITUTE(AM$1,RIGHT(AM$1,2),""),VLOOKUP($D272,素材!$1:$1016,COLUMN($F$1),FALSE))),VLOOKUP($C272,装備品!$1:$998,COLUMN($O$1),FALSE)*VLOOKUP($D272,素材!$1:$1016,COLUMN($E$1),FALSE)/(LEN(VLOOKUP($D272,素材!$1:$1016,COLUMN($F$1),FALSE))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N272">
        <f>IF(ISNUMBER(SEARCH(SUBSTITUTE(AN$1,RIGHT(AN$1,2),""),VLOOKUP($D272,素材!$1:$1016,COLUMN($F$1),FALSE))),VLOOKUP($C272,装備品!$1:$998,COLUMN($O$1),FALSE)*VLOOKUP($D272,素材!$1:$1016,COLUMN($E$1),FALSE)/(LEN(VLOOKUP($D272,素材!$1:$1016,COLUMN($F$1),FALSE))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O272">
        <f>IF(ISNUMBER(SEARCH(SUBSTITUTE(AO$1,RIGHT(AO$1,2),""),VLOOKUP($D272,素材!$1:$1016,COLUMN($F$1),FALSE))),VLOOKUP($C272,装備品!$1:$998,COLUMN($O$1),FALSE)*VLOOKUP($D272,素材!$1:$1016,COLUMN($E$1),FALSE)/(LEN(VLOOKUP($D272,素材!$1:$1016,COLUMN($F$1),FALSE))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P272">
        <f>IF(ISNUMBER(SEARCH(SUBSTITUTE(AP$1,RIGHT(AP$1,2),""),VLOOKUP($D272,素材!$1:$1016,COLUMN($F$1),FALSE))),VLOOKUP($C272,装備品!$1:$998,COLUMN($O$1),FALSE)*VLOOKUP($D272,素材!$1:$1016,COLUMN($E$1),FALSE)/(LEN(VLOOKUP($D272,素材!$1:$1016,COLUMN($F$1),FALSE))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Q272">
        <f>IF(ISNUMBER(SEARCH(SUBSTITUTE(AQ$1,RIGHT(AQ$1,2),""),VLOOKUP($D272,素材!$1:$1016,COLUMN($F$1),FALSE))),VLOOKUP($C272,装備品!$1:$998,COLUMN($O$1),FALSE)*VLOOKUP($D272,素材!$1:$1016,COLUMN($E$1),FALSE)/(LEN(VLOOKUP($D272,素材!$1:$1016,COLUMN($F$1),FALSE))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R272">
        <f>IF(ISNUMBER(SEARCH(SUBSTITUTE(AR$1,RIGHT(AR$1,2),""),VLOOKUP($D272,素材!$1:$1016,COLUMN($F$1),FALSE))),VLOOKUP($C272,装備品!$1:$998,COLUMN($O$1),FALSE)*VLOOKUP($D272,素材!$1:$1016,COLUMN($E$1),FALSE)/(LEN(VLOOKUP($D272,素材!$1:$1016,COLUMN($F$1),FALSE))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S272">
        <f>IF(ISNUMBER(SEARCH(SUBSTITUTE(AS$1,RIGHT(AS$1,2),""),VLOOKUP($D272,素材!$1:$1016,COLUMN($F$1),FALSE))),VLOOKUP($C272,装備品!$1:$998,COLUMN($O$1),FALSE)*VLOOKUP($D272,素材!$1:$1016,COLUMN($E$1),FALSE)/(LEN(VLOOKUP($D272,素材!$1:$1016,COLUMN($F$1),FALSE))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T272">
        <f>IF(ISNUMBER(SEARCH(SUBSTITUTE(AT$1,RIGHT(AT$1,2),""),VLOOKUP($D272,素材!$1:$1016,COLUMN($F$1),FALSE))),VLOOKUP($C272,装備品!$1:$998,COLUMN($O$1),FALSE)*VLOOKUP($D272,素材!$1:$1016,COLUMN($E$1),FALSE)/(LEN(VLOOKUP($D272,素材!$1:$1016,COLUMN($F$1),FALSE))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U272">
        <f>IF(ISNUMBER(SEARCH(SUBSTITUTE(AU$1,RIGHT(AU$1,2),""),VLOOKUP($D272,素材!$1:$1016,COLUMN($F$1),FALSE))),VLOOKUP($C272,装備品!$1:$998,COLUMN($O$1),FALSE)*VLOOKUP($D272,素材!$1:$1016,COLUMN($E$1),FALSE)/(LEN(VLOOKUP($D272,素材!$1:$1016,COLUMN($F$1),FALSE))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V272">
        <f>IF(ISNUMBER(SEARCH(SUBSTITUTE(AV$1,RIGHT(AV$1,2),""),VLOOKUP($D272,素材!$1:$1016,COLUMN($F$1),FALSE))),VLOOKUP($C272,装備品!$1:$998,COLUMN($O$1),FALSE)*VLOOKUP($D272,素材!$1:$1016,COLUMN($E$1),FALSE)/(LEN(VLOOKUP($D272,素材!$1:$1016,COLUMN($F$1),FALSE))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W272">
        <f>IF(ISNUMBER(SEARCH(SUBSTITUTE(AW$1,RIGHT(AW$1,2),""),VLOOKUP($D272,素材!$1:$1016,COLUMN($F$1),FALSE))),VLOOKUP($C272,装備品!$1:$998,COLUMN($O$1),FALSE)*VLOOKUP($D272,素材!$1:$1016,COLUMN($E$1),FALSE)/(LEN(VLOOKUP($D272,素材!$1:$1016,COLUMN($F$1),FALSE))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X272">
        <f>IF(ISNUMBER(SEARCH(SUBSTITUTE(AX$1,RIGHT(AX$1,2),""),VLOOKUP($D272,素材!$1:$1016,COLUMN($F$1),FALSE))),VLOOKUP($C272,装備品!$1:$998,COLUMN($O$1),FALSE)*VLOOKUP($D272,素材!$1:$1016,COLUMN($E$1),FALSE)/(LEN(VLOOKUP($D272,素材!$1:$1016,COLUMN($F$1),FALSE))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Y272">
        <f>IF(ISNUMBER(SEARCH(SUBSTITUTE(AY$1,RIGHT(AY$1,2),""),VLOOKUP($D272,素材!$1:$1016,COLUMN($F$1),FALSE))),VLOOKUP($C272,装備品!$1:$998,COLUMN($O$1),FALSE)*VLOOKUP($D272,素材!$1:$1016,COLUMN($E$1),FALSE)/(LEN(VLOOKUP($D272,素材!$1:$1016,COLUMN($F$1),FALSE))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Z272">
        <f>IF(ISNUMBER(SEARCH(SUBSTITUTE(AZ$1,RIGHT(AZ$1,2),""),VLOOKUP($D272,素材!$1:$1016,COLUMN($F$1),FALSE))),VLOOKUP($C272,装備品!$1:$998,COLUMN($O$1),FALSE)*VLOOKUP($D272,素材!$1:$1016,COLUMN($E$1),FALSE)/(LEN(VLOOKUP($D272,素材!$1:$1016,COLUMN($F$1),FALSE))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BA272">
        <f>IF(ISNUMBER(SEARCH(SUBSTITUTE(BA$1,RIGHT(BA$1,2),""),VLOOKUP($D272,素材!$1:$1016,COLUMN($F$1),FALSE))),VLOOKUP($C272,装備品!$1:$998,COLUMN($O$1),FALSE)*VLOOKUP($D272,素材!$1:$1016,COLUMN($E$1),FALSE)/(LEN(VLOOKUP($D272,素材!$1:$1016,COLUMN($F$1),FALSE))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BB272">
        <f>IF(ISNUMBER(SEARCH(SUBSTITUTE(BB$1,RIGHT(BB$1,2),""),VLOOKUP($D272,素材!$1:$1016,COLUMN($F$1),FALSE))),VLOOKUP($C272,装備品!$1:$998,COLUMN($O$1),FALSE)*VLOOKUP($D272,素材!$1:$1016,COLUMN($E$1),FALSE)/(LEN(VLOOKUP($D272,素材!$1:$1016,COLUMN($F$1),FALSE))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BC272">
        <f>IF(ISNUMBER(SEARCH(SUBSTITUTE(BC$1,RIGHT(BC$1,2),""),VLOOKUP($D272,素材!$1:$1016,COLUMN($F$1),FALSE))),VLOOKUP($C272,装備品!$1:$998,COLUMN($O$1),FALSE)*VLOOKUP($D272,素材!$1:$1016,COLUMN($E$1),FALSE)/(LEN(VLOOKUP($D272,素材!$1:$1016,COLUMN($F$1),FALSE))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BD272">
        <f>IF(ISNUMBER(SEARCH(SUBSTITUTE(BD$1,RIGHT(BD$1,2),""),VLOOKUP($D272,素材!$1:$1016,COLUMN($F$1),FALSE))),VLOOKUP($C272,装備品!$1:$998,COLUMN($O$1),FALSE)*VLOOKUP($D272,素材!$1:$1016,COLUMN($E$1),FALSE)/(LEN(VLOOKUP($D272,素材!$1:$1016,COLUMN($F$1),FALSE))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BE272">
        <f>IF(ISNUMBER(SEARCH(SUBSTITUTE(BE$1,RIGHT(BE$1,2),""),VLOOKUP($D272,素材!$1:$1016,COLUMN($F$1),FALSE))),VLOOKUP($C272,装備品!$1:$998,COLUMN($O$1),FALSE)*VLOOKUP($D272,素材!$1:$1016,COLUMN($E$1),FALSE)/(LEN(VLOOKUP($D272,素材!$1:$1016,COLUMN($F$1),FALSE))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CL272">
        <f t="shared" si="41"/>
        <v>0</v>
      </c>
      <c r="CM272" s="22" t="str">
        <f t="shared" si="42"/>
        <v>.webp</v>
      </c>
      <c r="CN272" t="str">
        <f>IFERROR(VLOOKUP($C272,装備品!$1:$998,COLUMN(V$1),FALSE)*VLOOKUP($D272,素材!$1:$1016,COLUMN(N$1),FALSE)+IF(CI272="",0,VLOOKUP($CI272,付与!$1:$1176,COLUMN($CK$1),FALSE)),"")</f>
        <v/>
      </c>
      <c r="CO272" t="e">
        <f>VLOOKUP(D272,素材!$A:$O,COLUMN(素材!O$1),FALSE)</f>
        <v>#N/A</v>
      </c>
      <c r="CP272" t="e">
        <f>VLOOKUP(C272,装備品!$A:$AB,COLUMN(装備品!AB$1),FALSE)</f>
        <v>#N/A</v>
      </c>
      <c r="CR272" t="str">
        <f t="shared" si="43"/>
        <v>e_272</v>
      </c>
      <c r="CS272" t="e">
        <f t="shared" si="44"/>
        <v>#VALUE!</v>
      </c>
    </row>
    <row r="273" spans="1:97" x14ac:dyDescent="0.4">
      <c r="A273" t="str">
        <f t="shared" ref="A273:A304" si="45">IF(CI273="",D273&amp;"の"&amp;C273,CI273&amp;"の"&amp;C273)</f>
        <v>魔獣皮の帯</v>
      </c>
      <c r="B273" t="str">
        <f>IFERROR(IF(CI273="",VLOOKUP($D273,素材!$1:$1016,COLUMN($B$1),FALSE)&amp;"・"&amp;VLOOKUP($C273,装備品!$1:$998,COLUMN(B$1),FALSE),VLOOKUP($CI273,付与!$1:$1176,COLUMN($B$1),FALSE)&amp;"・"&amp;VLOOKUP($C273,装備品!$1:$998,COLUMN(B$1),FALSE)),"")</f>
        <v>マジックレザー・ベルト</v>
      </c>
      <c r="C273" s="24" t="s">
        <v>203</v>
      </c>
      <c r="D273" s="24" t="s">
        <v>201</v>
      </c>
      <c r="E273" t="str">
        <f>IFERROR(VLOOKUP(C273,装備品!$1:$998,COLUMN(C$1),FALSE),"")</f>
        <v>装飾</v>
      </c>
      <c r="F273">
        <f>IFERROR(ROUNDDOWN((VLOOKUP($C273,装備品!$1:$998,COLUMN(D$1),FALSE)+IFERROR(VLOOKUP($CI273,付与!$1:$1167,COLUMN(F$1),FALSE),0))*VLOOKUP($D273,素材!$1:$1016,COLUMN(D$1),FALSE),0),"")</f>
        <v>0</v>
      </c>
      <c r="G273">
        <f>IFERROR(ROUNDDOWN((VLOOKUP($C273,装備品!$1:$998,COLUMN(E$1),FALSE)+IFERROR(VLOOKUP($CI273,付与!$1:$1167,COLUMN(G$1),FALSE),0))*VLOOKUP($D273,素材!$1:$1016,COLUMN($E$1),FALSE),0),"")</f>
        <v>0</v>
      </c>
      <c r="H273">
        <f>IFERROR(ROUNDDOWN((VLOOKUP($C273,装備品!$1:$998,COLUMN(F$1),FALSE)+IFERROR(VLOOKUP($CI273,付与!$1:$1167,COLUMN(H$1),FALSE),0))*VLOOKUP($D273,素材!$1:$1016,COLUMN($E$1),FALSE),0),"")</f>
        <v>0</v>
      </c>
      <c r="I273">
        <f>IFERROR(ROUNDDOWN((VLOOKUP($C273,装備品!$1:$998,COLUMN(G$1),FALSE)+IFERROR(VLOOKUP($CI273,付与!$1:$1167,COLUMN(I$1),FALSE),0))*VLOOKUP($D273,素材!$1:$1016,COLUMN($E$1),FALSE),0),"")</f>
        <v>0</v>
      </c>
      <c r="J273">
        <f>IFERROR(ROUNDDOWN((VLOOKUP($C273,装備品!$1:$998,COLUMN(H$1),FALSE)+IFERROR(VLOOKUP($CI273,付与!$1:$1167,COLUMN(J$1),FALSE),0))*VLOOKUP($D273,素材!$1:$1016,COLUMN($E$1),FALSE),0),"")</f>
        <v>0</v>
      </c>
      <c r="K273">
        <f>IFERROR(ROUNDDOWN((VLOOKUP($C273,装備品!$1:$998,COLUMN(I$1),FALSE)+IFERROR(VLOOKUP($CI273,付与!$1:$1167,COLUMN(K$1),FALSE),0))*VLOOKUP($D273,素材!$1:$1016,COLUMN($E$1),FALSE),0),"")</f>
        <v>0</v>
      </c>
      <c r="L273" t="str">
        <f>IFERROR(VLOOKUP($D273,素材!$1:$1016,COLUMN($F$1),FALSE),"")</f>
        <v>魔法</v>
      </c>
      <c r="M273" t="str">
        <f>IFERROR(VLOOKUP($C273,装備品!$1:$998,COLUMN(AA$1),FALSE)*VLOOKUP($D273,素材!$1:$1016,COLUMN($G$1),FALSE),"")</f>
        <v/>
      </c>
      <c r="N273">
        <f>IFERROR(VLOOKUP($C273,装備品!$1:$998,COLUMN(I$1),FALSE),"")</f>
        <v>0</v>
      </c>
      <c r="O273" s="23" t="str">
        <f>IFERROR((VLOOKUP($C273,装備品!$1:$998,COLUMN(K$1),FALSE)+VLOOKUP($D273,素材!$1:$1016,COLUMN(H$1),FALSE))*100+IFERROR(VLOOKUP($CI273,付与!$1:$1167,COLUMN(O$1),FALSE),0),"")</f>
        <v/>
      </c>
      <c r="P273" s="23" t="str">
        <f>IFERROR((VLOOKUP($C273,装備品!$1:$998,COLUMN(L$1),FALSE)+VLOOKUP($D273,素材!$1:$1016,COLUMN(I$1),FALSE))*100+IFERROR(VLOOKUP($CI273,付与!$1:$1167,COLUMN(P$1),FALSE),0),"")</f>
        <v/>
      </c>
      <c r="Q273">
        <f>IFERROR(ROUNDUP(VLOOKUP($C273,装備品!$1:$998,COLUMN(M$1),FALSE)*(VLOOKUP($D273,素材!$1:$1002,COLUMN(D$1),FALSE)/100),1),"")</f>
        <v>0</v>
      </c>
      <c r="R273">
        <f>IFERROR(ROUNDUP(VLOOKUP($C273,装備品!$1:$998,COLUMN(N$1),FALSE)*(VLOOKUP($D273,素材!$1:$1002,COLUMN(D$1),FALSE)/100),1),"")</f>
        <v>0</v>
      </c>
      <c r="S273">
        <f>IFERROR(VLOOKUP($C273,装備品!$1:$998,COLUMN(P$1),FALSE),"")</f>
        <v>0</v>
      </c>
      <c r="T273">
        <f>IFERROR(VLOOKUP($C273,装備品!$1:$998,COLUMN(Q$1),FALSE),"")</f>
        <v>0</v>
      </c>
      <c r="U273">
        <f>IFERROR(VLOOKUP($C273,装備品!$1:$998,COLUMN(R$1),FALSE),"")</f>
        <v>0</v>
      </c>
      <c r="V273">
        <f>IFERROR(VLOOKUP($C273,装備品!$1:$998,COLUMN(Q$1),FALSE),"")</f>
        <v>0</v>
      </c>
      <c r="W273">
        <f>IFERROR(VLOOKUP($C273,装備品!$1:$998,COLUMN(T$1),FALSE),"")</f>
        <v>0</v>
      </c>
      <c r="Y273">
        <f>IFERROR(VLOOKUP($C273,装備品!$1:$998,COLUMN(U$1),FALSE),"")</f>
        <v>0</v>
      </c>
      <c r="Z273">
        <f>IFERROR(ROUNDUP(VLOOKUP($C273,装備品!$1:$998,COLUMN(O$1),FALSE)*VLOOKUP($D273,素材!$1:$1016,COLUMN(E$1),FALSE),1),"")</f>
        <v>0</v>
      </c>
      <c r="AA273">
        <f>IF(ISNUMBER(SEARCH(SUBSTITUTE(AA$1,RIGHT(AA$1,2),""),VLOOKUP($D273,素材!$1:$1016,COLUMN($F$1),FALSE))),VLOOKUP($C273,装備品!$1:$998,COLUMN($O$1),FALSE)*VLOOKUP($D273,素材!$1:$1016,COLUMN($E$1),FALSE)/(LEN(VLOOKUP($D273,素材!$1:$1016,COLUMN($F$1),FALSE))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B273">
        <f>IF(ISNUMBER(SEARCH(SUBSTITUTE(AB$1,RIGHT(AB$1,2),""),VLOOKUP($D273,素材!$1:$1016,COLUMN($F$1),FALSE))),VLOOKUP($C273,装備品!$1:$998,COLUMN($O$1),FALSE)*VLOOKUP($D273,素材!$1:$1016,COLUMN($E$1),FALSE)/(LEN(VLOOKUP($D273,素材!$1:$1016,COLUMN($F$1),FALSE))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C273">
        <f>IF(ISNUMBER(SEARCH(SUBSTITUTE(AC$1,RIGHT(AC$1,2),""),VLOOKUP($D273,素材!$1:$1016,COLUMN($F$1),FALSE))),VLOOKUP($C273,装備品!$1:$998,COLUMN($O$1),FALSE)*VLOOKUP($D273,素材!$1:$1016,COLUMN($E$1),FALSE)/(LEN(VLOOKUP($D273,素材!$1:$1016,COLUMN($F$1),FALSE))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D273">
        <f>IF(ISNUMBER(SEARCH(SUBSTITUTE(AD$1,RIGHT(AD$1,2),""),VLOOKUP($D273,素材!$1:$1016,COLUMN($F$1),FALSE))),VLOOKUP($C273,装備品!$1:$998,COLUMN($O$1),FALSE)*VLOOKUP($D273,素材!$1:$1016,COLUMN($E$1),FALSE)/(LEN(VLOOKUP($D273,素材!$1:$1016,COLUMN($F$1),FALSE))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E273">
        <f>IF(ISNUMBER(SEARCH(SUBSTITUTE(AE$1,RIGHT(AE$1,2),""),VLOOKUP($D273,素材!$1:$1016,COLUMN($F$1),FALSE))),VLOOKUP($C273,装備品!$1:$998,COLUMN($O$1),FALSE)*VLOOKUP($D273,素材!$1:$1016,COLUMN($E$1),FALSE)/(LEN(VLOOKUP($D273,素材!$1:$1016,COLUMN($F$1),FALSE))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F273">
        <f>IF(ISNUMBER(SEARCH(SUBSTITUTE(AF$1,RIGHT(AF$1,2),""),VLOOKUP($D273,素材!$1:$1016,COLUMN($F$1),FALSE))),VLOOKUP($C273,装備品!$1:$998,COLUMN($O$1),FALSE)*VLOOKUP($D273,素材!$1:$1016,COLUMN($E$1),FALSE)/(LEN(VLOOKUP($D273,素材!$1:$1016,COLUMN($F$1),FALSE))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G273">
        <f>IF(ISNUMBER(SEARCH(SUBSTITUTE(AG$1,RIGHT(AG$1,2),""),VLOOKUP($D273,素材!$1:$1016,COLUMN($F$1),FALSE))),VLOOKUP($C273,装備品!$1:$998,COLUMN($O$1),FALSE)*VLOOKUP($D273,素材!$1:$1016,COLUMN($E$1),FALSE)/(LEN(VLOOKUP($D273,素材!$1:$1016,COLUMN($F$1),FALSE))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H273">
        <f>IF(ISNUMBER(SEARCH(SUBSTITUTE(AH$1,RIGHT(AH$1,2),""),VLOOKUP($D273,素材!$1:$1016,COLUMN($F$1),FALSE))),VLOOKUP($C273,装備品!$1:$998,COLUMN($O$1),FALSE)*VLOOKUP($D273,素材!$1:$1016,COLUMN($E$1),FALSE)/(LEN(VLOOKUP($D273,素材!$1:$1016,COLUMN($F$1),FALSE))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I273">
        <f>IF(ISNUMBER(SEARCH(SUBSTITUTE(AI$1,RIGHT(AI$1,2),""),VLOOKUP($D273,素材!$1:$1016,COLUMN($F$1),FALSE))),VLOOKUP($C273,装備品!$1:$998,COLUMN($O$1),FALSE)*VLOOKUP($D273,素材!$1:$1016,COLUMN($E$1),FALSE)/(LEN(VLOOKUP($D273,素材!$1:$1016,COLUMN($F$1),FALSE))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J273">
        <f>IF(ISNUMBER(SEARCH(SUBSTITUTE(AJ$1,RIGHT(AJ$1,2),""),VLOOKUP($D273,素材!$1:$1016,COLUMN($F$1),FALSE))),VLOOKUP($C273,装備品!$1:$998,COLUMN($O$1),FALSE)*VLOOKUP($D273,素材!$1:$1016,COLUMN($E$1),FALSE)/(LEN(VLOOKUP($D273,素材!$1:$1016,COLUMN($F$1),FALSE))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K273">
        <f>IF(ISNUMBER(SEARCH(SUBSTITUTE(AK$1,RIGHT(AK$1,2),""),VLOOKUP($D273,素材!$1:$1016,COLUMN($F$1),FALSE))),VLOOKUP($C273,装備品!$1:$998,COLUMN($O$1),FALSE)*VLOOKUP($D273,素材!$1:$1016,COLUMN($E$1),FALSE)/(LEN(VLOOKUP($D273,素材!$1:$1016,COLUMN($F$1),FALSE))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L273">
        <f>IF(ISNUMBER(SEARCH(SUBSTITUTE(AL$1,RIGHT(AL$1,2),""),VLOOKUP($D273,素材!$1:$1016,COLUMN($F$1),FALSE))),VLOOKUP($C273,装備品!$1:$998,COLUMN($O$1),FALSE)*VLOOKUP($D273,素材!$1:$1016,COLUMN($E$1),FALSE)/(LEN(VLOOKUP($D273,素材!$1:$1016,COLUMN($F$1),FALSE))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M273">
        <f>IF(ISNUMBER(SEARCH(SUBSTITUTE(AM$1,RIGHT(AM$1,2),""),VLOOKUP($D273,素材!$1:$1016,COLUMN($F$1),FALSE))),VLOOKUP($C273,装備品!$1:$998,COLUMN($O$1),FALSE)*VLOOKUP($D273,素材!$1:$1016,COLUMN($E$1),FALSE)/(LEN(VLOOKUP($D273,素材!$1:$1016,COLUMN($F$1),FALSE))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N273">
        <f>IF(ISNUMBER(SEARCH(SUBSTITUTE(AN$1,RIGHT(AN$1,2),""),VLOOKUP($D273,素材!$1:$1016,COLUMN($F$1),FALSE))),VLOOKUP($C273,装備品!$1:$998,COLUMN($O$1),FALSE)*VLOOKUP($D273,素材!$1:$1016,COLUMN($E$1),FALSE)/(LEN(VLOOKUP($D273,素材!$1:$1016,COLUMN($F$1),FALSE))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O273">
        <f>IF(ISNUMBER(SEARCH(SUBSTITUTE(AO$1,RIGHT(AO$1,2),""),VLOOKUP($D273,素材!$1:$1016,COLUMN($F$1),FALSE))),VLOOKUP($C273,装備品!$1:$998,COLUMN($O$1),FALSE)*VLOOKUP($D273,素材!$1:$1016,COLUMN($E$1),FALSE)/(LEN(VLOOKUP($D273,素材!$1:$1016,COLUMN($F$1),FALSE))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P273">
        <f>IF(ISNUMBER(SEARCH(SUBSTITUTE(AP$1,RIGHT(AP$1,2),""),VLOOKUP($D273,素材!$1:$1016,COLUMN($F$1),FALSE))),VLOOKUP($C273,装備品!$1:$998,COLUMN($O$1),FALSE)*VLOOKUP($D273,素材!$1:$1016,COLUMN($E$1),FALSE)/(LEN(VLOOKUP($D273,素材!$1:$1016,COLUMN($F$1),FALSE))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Q273">
        <f>IF(ISNUMBER(SEARCH(SUBSTITUTE(AQ$1,RIGHT(AQ$1,2),""),VLOOKUP($D273,素材!$1:$1016,COLUMN($F$1),FALSE))),VLOOKUP($C273,装備品!$1:$998,COLUMN($O$1),FALSE)*VLOOKUP($D273,素材!$1:$1016,COLUMN($E$1),FALSE)/(LEN(VLOOKUP($D273,素材!$1:$1016,COLUMN($F$1),FALSE))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R273">
        <f>IF(ISNUMBER(SEARCH(SUBSTITUTE(AR$1,RIGHT(AR$1,2),""),VLOOKUP($D273,素材!$1:$1016,COLUMN($F$1),FALSE))),VLOOKUP($C273,装備品!$1:$998,COLUMN($O$1),FALSE)*VLOOKUP($D273,素材!$1:$1016,COLUMN($E$1),FALSE)/(LEN(VLOOKUP($D273,素材!$1:$1016,COLUMN($F$1),FALSE))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S273">
        <f>IF(ISNUMBER(SEARCH(SUBSTITUTE(AS$1,RIGHT(AS$1,2),""),VLOOKUP($D273,素材!$1:$1016,COLUMN($F$1),FALSE))),VLOOKUP($C273,装備品!$1:$998,COLUMN($O$1),FALSE)*VLOOKUP($D273,素材!$1:$1016,COLUMN($E$1),FALSE)/(LEN(VLOOKUP($D273,素材!$1:$1016,COLUMN($F$1),FALSE))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T273">
        <f>IF(ISNUMBER(SEARCH(SUBSTITUTE(AT$1,RIGHT(AT$1,2),""),VLOOKUP($D273,素材!$1:$1016,COLUMN($F$1),FALSE))),VLOOKUP($C273,装備品!$1:$998,COLUMN($O$1),FALSE)*VLOOKUP($D273,素材!$1:$1016,COLUMN($E$1),FALSE)/(LEN(VLOOKUP($D273,素材!$1:$1016,COLUMN($F$1),FALSE))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U273">
        <f>IF(ISNUMBER(SEARCH(SUBSTITUTE(AU$1,RIGHT(AU$1,2),""),VLOOKUP($D273,素材!$1:$1016,COLUMN($F$1),FALSE))),VLOOKUP($C273,装備品!$1:$998,COLUMN($O$1),FALSE)*VLOOKUP($D273,素材!$1:$1016,COLUMN($E$1),FALSE)/(LEN(VLOOKUP($D273,素材!$1:$1016,COLUMN($F$1),FALSE))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V273">
        <f>IF(ISNUMBER(SEARCH(SUBSTITUTE(AV$1,RIGHT(AV$1,2),""),VLOOKUP($D273,素材!$1:$1016,COLUMN($F$1),FALSE))),VLOOKUP($C273,装備品!$1:$998,COLUMN($O$1),FALSE)*VLOOKUP($D273,素材!$1:$1016,COLUMN($E$1),FALSE)/(LEN(VLOOKUP($D273,素材!$1:$1016,COLUMN($F$1),FALSE))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W273">
        <f>IF(ISNUMBER(SEARCH(SUBSTITUTE(AW$1,RIGHT(AW$1,2),""),VLOOKUP($D273,素材!$1:$1016,COLUMN($F$1),FALSE))),VLOOKUP($C273,装備品!$1:$998,COLUMN($O$1),FALSE)*VLOOKUP($D273,素材!$1:$1016,COLUMN($E$1),FALSE)/(LEN(VLOOKUP($D273,素材!$1:$1016,COLUMN($F$1),FALSE))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X273">
        <f>IF(ISNUMBER(SEARCH(SUBSTITUTE(AX$1,RIGHT(AX$1,2),""),VLOOKUP($D273,素材!$1:$1016,COLUMN($F$1),FALSE))),VLOOKUP($C273,装備品!$1:$998,COLUMN($O$1),FALSE)*VLOOKUP($D273,素材!$1:$1016,COLUMN($E$1),FALSE)/(LEN(VLOOKUP($D273,素材!$1:$1016,COLUMN($F$1),FALSE))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Y273">
        <f>IF(ISNUMBER(SEARCH(SUBSTITUTE(AY$1,RIGHT(AY$1,2),""),VLOOKUP($D273,素材!$1:$1016,COLUMN($F$1),FALSE))),VLOOKUP($C273,装備品!$1:$998,COLUMN($O$1),FALSE)*VLOOKUP($D273,素材!$1:$1016,COLUMN($E$1),FALSE)/(LEN(VLOOKUP($D273,素材!$1:$1016,COLUMN($F$1),FALSE))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Z273">
        <f>IF(ISNUMBER(SEARCH(SUBSTITUTE(AZ$1,RIGHT(AZ$1,2),""),VLOOKUP($D273,素材!$1:$1016,COLUMN($F$1),FALSE))),VLOOKUP($C273,装備品!$1:$998,COLUMN($O$1),FALSE)*VLOOKUP($D273,素材!$1:$1016,COLUMN($E$1),FALSE)/(LEN(VLOOKUP($D273,素材!$1:$1016,COLUMN($F$1),FALSE))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BA273">
        <f>IF(ISNUMBER(SEARCH(SUBSTITUTE(BA$1,RIGHT(BA$1,2),""),VLOOKUP($D273,素材!$1:$1016,COLUMN($F$1),FALSE))),VLOOKUP($C273,装備品!$1:$998,COLUMN($O$1),FALSE)*VLOOKUP($D273,素材!$1:$1016,COLUMN($E$1),FALSE)/(LEN(VLOOKUP($D273,素材!$1:$1016,COLUMN($F$1),FALSE))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BB273">
        <f>IF(ISNUMBER(SEARCH(SUBSTITUTE(BB$1,RIGHT(BB$1,2),""),VLOOKUP($D273,素材!$1:$1016,COLUMN($F$1),FALSE))),VLOOKUP($C273,装備品!$1:$998,COLUMN($O$1),FALSE)*VLOOKUP($D273,素材!$1:$1016,COLUMN($E$1),FALSE)/(LEN(VLOOKUP($D273,素材!$1:$1016,COLUMN($F$1),FALSE))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BC273">
        <f>IF(ISNUMBER(SEARCH(SUBSTITUTE(BC$1,RIGHT(BC$1,2),""),VLOOKUP($D273,素材!$1:$1016,COLUMN($F$1),FALSE))),VLOOKUP($C273,装備品!$1:$998,COLUMN($O$1),FALSE)*VLOOKUP($D273,素材!$1:$1016,COLUMN($E$1),FALSE)/(LEN(VLOOKUP($D273,素材!$1:$1016,COLUMN($F$1),FALSE))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BD273">
        <f>IF(ISNUMBER(SEARCH(SUBSTITUTE(BD$1,RIGHT(BD$1,2),""),VLOOKUP($D273,素材!$1:$1016,COLUMN($F$1),FALSE))),VLOOKUP($C273,装備品!$1:$998,COLUMN($O$1),FALSE)*VLOOKUP($D273,素材!$1:$1016,COLUMN($E$1),FALSE)/(LEN(VLOOKUP($D273,素材!$1:$1016,COLUMN($F$1),FALSE))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BE273">
        <f>IF(ISNUMBER(SEARCH(SUBSTITUTE(BE$1,RIGHT(BE$1,2),""),VLOOKUP($D273,素材!$1:$1016,COLUMN($F$1),FALSE))),VLOOKUP($C273,装備品!$1:$998,COLUMN($O$1),FALSE)*VLOOKUP($D273,素材!$1:$1016,COLUMN($E$1),FALSE)/(LEN(VLOOKUP($D273,素材!$1:$1016,COLUMN($F$1),FALSE))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CL273">
        <f t="shared" si="41"/>
        <v>0</v>
      </c>
      <c r="CM273" s="22" t="str">
        <f t="shared" si="42"/>
        <v>装飾.webp</v>
      </c>
      <c r="CN273">
        <f>IFERROR(VLOOKUP($C273,装備品!$1:$998,COLUMN(V$1),FALSE)*VLOOKUP($D273,素材!$1:$1016,COLUMN(N$1),FALSE)+IF(CI273="",0,VLOOKUP($CI273,付与!$1:$1176,COLUMN($CK$1),FALSE)),"")</f>
        <v>0</v>
      </c>
      <c r="CO273" t="str">
        <f>VLOOKUP(D273,素材!$A:$O,COLUMN(素材!O$1),FALSE)</f>
        <v>魔力を帯びた特殊な皮素材。魔法防御や属性耐性を強化する効果があり、高レベルの冒険者に重宝されます。</v>
      </c>
      <c r="CP273" t="str">
        <f>VLOOKUP(C273,装備品!$A:$AB,COLUMN(装備品!AB$1),FALSE)</f>
        <v xml:space="preserve">HP ST 攻撃 防御 体幹 怯み 疲労 </v>
      </c>
      <c r="CR273" t="str">
        <f t="shared" si="43"/>
        <v>e_273</v>
      </c>
      <c r="CS273">
        <f t="shared" si="44"/>
        <v>0</v>
      </c>
    </row>
    <row r="274" spans="1:97" hidden="1" outlineLevel="1" x14ac:dyDescent="0.4">
      <c r="A274" t="str">
        <f t="shared" si="45"/>
        <v>魔獣皮の帯</v>
      </c>
      <c r="B274" t="str">
        <f>IFERROR(IF(CI274="",VLOOKUP($D274,素材!$1:$1016,COLUMN($B$1),FALSE)&amp;"・"&amp;VLOOKUP($C274,装備品!$1:$998,COLUMN(B$1),FALSE),VLOOKUP($CI274,付与!$1:$1176,COLUMN($B$1),FALSE)&amp;"・"&amp;VLOOKUP($C274,装備品!$1:$998,COLUMN(B$1),FALSE)),"")</f>
        <v>マジックレザー・ベルト</v>
      </c>
      <c r="C274" s="24" t="s">
        <v>203</v>
      </c>
      <c r="D274" s="24" t="s">
        <v>201</v>
      </c>
      <c r="E274" t="str">
        <f>IFERROR(VLOOKUP(C274,装備品!$1:$998,COLUMN(C$1),FALSE),"")</f>
        <v>装飾</v>
      </c>
      <c r="F274">
        <f>IFERROR(ROUNDDOWN((VLOOKUP($C274,装備品!$1:$998,COLUMN(D$1),FALSE)+IFERROR(VLOOKUP($CI274,付与!$1:$1167,COLUMN(F$1),FALSE),0))*VLOOKUP($D274,素材!$1:$1016,COLUMN(D$1),FALSE),0),"")</f>
        <v>0</v>
      </c>
      <c r="G274">
        <f>IFERROR(ROUNDDOWN((VLOOKUP($C274,装備品!$1:$998,COLUMN(E$1),FALSE)+IFERROR(VLOOKUP($CI274,付与!$1:$1167,COLUMN(G$1),FALSE),0))*VLOOKUP($D274,素材!$1:$1016,COLUMN($E$1),FALSE),0),"")</f>
        <v>0</v>
      </c>
      <c r="H274">
        <f>IFERROR(ROUNDDOWN((VLOOKUP($C274,装備品!$1:$998,COLUMN(F$1),FALSE)+IFERROR(VLOOKUP($CI274,付与!$1:$1167,COLUMN(H$1),FALSE),0))*VLOOKUP($D274,素材!$1:$1016,COLUMN($E$1),FALSE),0),"")</f>
        <v>0</v>
      </c>
      <c r="I274">
        <f>IFERROR(ROUNDDOWN((VLOOKUP($C274,装備品!$1:$998,COLUMN(G$1),FALSE)+IFERROR(VLOOKUP($CI274,付与!$1:$1167,COLUMN(I$1),FALSE),0))*VLOOKUP($D274,素材!$1:$1016,COLUMN($E$1),FALSE),0),"")</f>
        <v>0</v>
      </c>
      <c r="J274">
        <f>IFERROR(ROUNDDOWN((VLOOKUP($C274,装備品!$1:$998,COLUMN(H$1),FALSE)+IFERROR(VLOOKUP($CI274,付与!$1:$1167,COLUMN(J$1),FALSE),0))*VLOOKUP($D274,素材!$1:$1016,COLUMN($E$1),FALSE),0),"")</f>
        <v>0</v>
      </c>
      <c r="K274">
        <f>IFERROR(ROUNDDOWN((VLOOKUP($C274,装備品!$1:$998,COLUMN(I$1),FALSE)+IFERROR(VLOOKUP($CI274,付与!$1:$1167,COLUMN(K$1),FALSE),0))*VLOOKUP($D274,素材!$1:$1016,COLUMN($E$1),FALSE),0),"")</f>
        <v>0</v>
      </c>
      <c r="L274" t="str">
        <f>IFERROR(VLOOKUP($D274,素材!$1:$1016,COLUMN($F$1),FALSE),"")</f>
        <v>魔法</v>
      </c>
      <c r="M274" t="str">
        <f>IFERROR(VLOOKUP($C274,装備品!$1:$998,COLUMN(AA$1),FALSE)*VLOOKUP($D274,素材!$1:$1016,COLUMN($G$1),FALSE),"")</f>
        <v/>
      </c>
      <c r="N274">
        <f>IFERROR(VLOOKUP($C274,装備品!$1:$998,COLUMN(I$1),FALSE),"")</f>
        <v>0</v>
      </c>
      <c r="O274" s="23" t="str">
        <f>IFERROR((VLOOKUP($C274,装備品!$1:$998,COLUMN(K$1),FALSE)+VLOOKUP($D274,素材!$1:$1016,COLUMN(H$1),FALSE))*100+IFERROR(VLOOKUP($CI274,付与!$1:$1167,COLUMN(O$1),FALSE),0),"")</f>
        <v/>
      </c>
      <c r="P274" s="23" t="str">
        <f>IFERROR((VLOOKUP($C274,装備品!$1:$998,COLUMN(L$1),FALSE)+VLOOKUP($D274,素材!$1:$1016,COLUMN(I$1),FALSE))*100+IFERROR(VLOOKUP($CI274,付与!$1:$1167,COLUMN(P$1),FALSE),0),"")</f>
        <v/>
      </c>
      <c r="Q274">
        <f>IFERROR(ROUNDUP(VLOOKUP($C274,装備品!$1:$998,COLUMN(M$1),FALSE)*(VLOOKUP($D274,素材!$1:$1002,COLUMN(D$1),FALSE)/100),1),"")</f>
        <v>0</v>
      </c>
      <c r="R274">
        <f>IFERROR(ROUNDUP(VLOOKUP($C274,装備品!$1:$998,COLUMN(N$1),FALSE)*(VLOOKUP($D274,素材!$1:$1002,COLUMN(D$1),FALSE)/100),1),"")</f>
        <v>0</v>
      </c>
      <c r="S274">
        <f>IFERROR(VLOOKUP($C274,装備品!$1:$998,COLUMN(P$1),FALSE),"")</f>
        <v>0</v>
      </c>
      <c r="T274">
        <f>IFERROR(VLOOKUP($C274,装備品!$1:$998,COLUMN(Q$1),FALSE),"")</f>
        <v>0</v>
      </c>
      <c r="U274">
        <f>IFERROR(VLOOKUP($C274,装備品!$1:$998,COLUMN(R$1),FALSE),"")</f>
        <v>0</v>
      </c>
      <c r="V274">
        <f>IFERROR(VLOOKUP($C274,装備品!$1:$998,COLUMN(Q$1),FALSE),"")</f>
        <v>0</v>
      </c>
      <c r="W274">
        <f>IFERROR(VLOOKUP($C274,装備品!$1:$998,COLUMN(T$1),FALSE),"")</f>
        <v>0</v>
      </c>
      <c r="Y274">
        <f>IFERROR(VLOOKUP($C274,装備品!$1:$998,COLUMN(U$1),FALSE),"")</f>
        <v>0</v>
      </c>
      <c r="Z274">
        <f>IFERROR(ROUNDUP(VLOOKUP($C274,装備品!$1:$998,COLUMN(O$1),FALSE)*VLOOKUP($D274,素材!$1:$1016,COLUMN(E$1),FALSE),1),"")</f>
        <v>0</v>
      </c>
      <c r="AA274">
        <f>IF(ISNUMBER(SEARCH(SUBSTITUTE(AA$1,RIGHT(AA$1,2),""),VLOOKUP($D274,素材!$1:$1016,COLUMN($F$1),FALSE))),VLOOKUP($C274,装備品!$1:$998,COLUMN($O$1),FALSE)*VLOOKUP($D274,素材!$1:$1016,COLUMN($E$1),FALSE)/(LEN(VLOOKUP($D274,素材!$1:$1016,COLUMN($F$1),FALSE))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B274">
        <f>IF(ISNUMBER(SEARCH(SUBSTITUTE(AB$1,RIGHT(AB$1,2),""),VLOOKUP($D274,素材!$1:$1016,COLUMN($F$1),FALSE))),VLOOKUP($C274,装備品!$1:$998,COLUMN($O$1),FALSE)*VLOOKUP($D274,素材!$1:$1016,COLUMN($E$1),FALSE)/(LEN(VLOOKUP($D274,素材!$1:$1016,COLUMN($F$1),FALSE))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C274">
        <f>IF(ISNUMBER(SEARCH(SUBSTITUTE(AC$1,RIGHT(AC$1,2),""),VLOOKUP($D274,素材!$1:$1016,COLUMN($F$1),FALSE))),VLOOKUP($C274,装備品!$1:$998,COLUMN($O$1),FALSE)*VLOOKUP($D274,素材!$1:$1016,COLUMN($E$1),FALSE)/(LEN(VLOOKUP($D274,素材!$1:$1016,COLUMN($F$1),FALSE))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D274">
        <f>IF(ISNUMBER(SEARCH(SUBSTITUTE(AD$1,RIGHT(AD$1,2),""),VLOOKUP($D274,素材!$1:$1016,COLUMN($F$1),FALSE))),VLOOKUP($C274,装備品!$1:$998,COLUMN($O$1),FALSE)*VLOOKUP($D274,素材!$1:$1016,COLUMN($E$1),FALSE)/(LEN(VLOOKUP($D274,素材!$1:$1016,COLUMN($F$1),FALSE))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E274">
        <f>IF(ISNUMBER(SEARCH(SUBSTITUTE(AE$1,RIGHT(AE$1,2),""),VLOOKUP($D274,素材!$1:$1016,COLUMN($F$1),FALSE))),VLOOKUP($C274,装備品!$1:$998,COLUMN($O$1),FALSE)*VLOOKUP($D274,素材!$1:$1016,COLUMN($E$1),FALSE)/(LEN(VLOOKUP($D274,素材!$1:$1016,COLUMN($F$1),FALSE))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F274">
        <f>IF(ISNUMBER(SEARCH(SUBSTITUTE(AF$1,RIGHT(AF$1,2),""),VLOOKUP($D274,素材!$1:$1016,COLUMN($F$1),FALSE))),VLOOKUP($C274,装備品!$1:$998,COLUMN($O$1),FALSE)*VLOOKUP($D274,素材!$1:$1016,COLUMN($E$1),FALSE)/(LEN(VLOOKUP($D274,素材!$1:$1016,COLUMN($F$1),FALSE))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G274">
        <f>IF(ISNUMBER(SEARCH(SUBSTITUTE(AG$1,RIGHT(AG$1,2),""),VLOOKUP($D274,素材!$1:$1016,COLUMN($F$1),FALSE))),VLOOKUP($C274,装備品!$1:$998,COLUMN($O$1),FALSE)*VLOOKUP($D274,素材!$1:$1016,COLUMN($E$1),FALSE)/(LEN(VLOOKUP($D274,素材!$1:$1016,COLUMN($F$1),FALSE))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H274">
        <f>IF(ISNUMBER(SEARCH(SUBSTITUTE(AH$1,RIGHT(AH$1,2),""),VLOOKUP($D274,素材!$1:$1016,COLUMN($F$1),FALSE))),VLOOKUP($C274,装備品!$1:$998,COLUMN($O$1),FALSE)*VLOOKUP($D274,素材!$1:$1016,COLUMN($E$1),FALSE)/(LEN(VLOOKUP($D274,素材!$1:$1016,COLUMN($F$1),FALSE))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I274">
        <f>IF(ISNUMBER(SEARCH(SUBSTITUTE(AI$1,RIGHT(AI$1,2),""),VLOOKUP($D274,素材!$1:$1016,COLUMN($F$1),FALSE))),VLOOKUP($C274,装備品!$1:$998,COLUMN($O$1),FALSE)*VLOOKUP($D274,素材!$1:$1016,COLUMN($E$1),FALSE)/(LEN(VLOOKUP($D274,素材!$1:$1016,COLUMN($F$1),FALSE))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J274">
        <f>IF(ISNUMBER(SEARCH(SUBSTITUTE(AJ$1,RIGHT(AJ$1,2),""),VLOOKUP($D274,素材!$1:$1016,COLUMN($F$1),FALSE))),VLOOKUP($C274,装備品!$1:$998,COLUMN($O$1),FALSE)*VLOOKUP($D274,素材!$1:$1016,COLUMN($E$1),FALSE)/(LEN(VLOOKUP($D274,素材!$1:$1016,COLUMN($F$1),FALSE))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K274">
        <f>IF(ISNUMBER(SEARCH(SUBSTITUTE(AK$1,RIGHT(AK$1,2),""),VLOOKUP($D274,素材!$1:$1016,COLUMN($F$1),FALSE))),VLOOKUP($C274,装備品!$1:$998,COLUMN($O$1),FALSE)*VLOOKUP($D274,素材!$1:$1016,COLUMN($E$1),FALSE)/(LEN(VLOOKUP($D274,素材!$1:$1016,COLUMN($F$1),FALSE))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L274">
        <f>IF(ISNUMBER(SEARCH(SUBSTITUTE(AL$1,RIGHT(AL$1,2),""),VLOOKUP($D274,素材!$1:$1016,COLUMN($F$1),FALSE))),VLOOKUP($C274,装備品!$1:$998,COLUMN($O$1),FALSE)*VLOOKUP($D274,素材!$1:$1016,COLUMN($E$1),FALSE)/(LEN(VLOOKUP($D274,素材!$1:$1016,COLUMN($F$1),FALSE))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M274">
        <f>IF(ISNUMBER(SEARCH(SUBSTITUTE(AM$1,RIGHT(AM$1,2),""),VLOOKUP($D274,素材!$1:$1016,COLUMN($F$1),FALSE))),VLOOKUP($C274,装備品!$1:$998,COLUMN($O$1),FALSE)*VLOOKUP($D274,素材!$1:$1016,COLUMN($E$1),FALSE)/(LEN(VLOOKUP($D274,素材!$1:$1016,COLUMN($F$1),FALSE))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N274">
        <f>IF(ISNUMBER(SEARCH(SUBSTITUTE(AN$1,RIGHT(AN$1,2),""),VLOOKUP($D274,素材!$1:$1016,COLUMN($F$1),FALSE))),VLOOKUP($C274,装備品!$1:$998,COLUMN($O$1),FALSE)*VLOOKUP($D274,素材!$1:$1016,COLUMN($E$1),FALSE)/(LEN(VLOOKUP($D274,素材!$1:$1016,COLUMN($F$1),FALSE))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O274">
        <f>IF(ISNUMBER(SEARCH(SUBSTITUTE(AO$1,RIGHT(AO$1,2),""),VLOOKUP($D274,素材!$1:$1016,COLUMN($F$1),FALSE))),VLOOKUP($C274,装備品!$1:$998,COLUMN($O$1),FALSE)*VLOOKUP($D274,素材!$1:$1016,COLUMN($E$1),FALSE)/(LEN(VLOOKUP($D274,素材!$1:$1016,COLUMN($F$1),FALSE))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P274">
        <f>IF(ISNUMBER(SEARCH(SUBSTITUTE(AP$1,RIGHT(AP$1,2),""),VLOOKUP($D274,素材!$1:$1016,COLUMN($F$1),FALSE))),VLOOKUP($C274,装備品!$1:$998,COLUMN($O$1),FALSE)*VLOOKUP($D274,素材!$1:$1016,COLUMN($E$1),FALSE)/(LEN(VLOOKUP($D274,素材!$1:$1016,COLUMN($F$1),FALSE))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Q274">
        <f>IF(ISNUMBER(SEARCH(SUBSTITUTE(AQ$1,RIGHT(AQ$1,2),""),VLOOKUP($D274,素材!$1:$1016,COLUMN($F$1),FALSE))),VLOOKUP($C274,装備品!$1:$998,COLUMN($O$1),FALSE)*VLOOKUP($D274,素材!$1:$1016,COLUMN($E$1),FALSE)/(LEN(VLOOKUP($D274,素材!$1:$1016,COLUMN($F$1),FALSE))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R274">
        <f>IF(ISNUMBER(SEARCH(SUBSTITUTE(AR$1,RIGHT(AR$1,2),""),VLOOKUP($D274,素材!$1:$1016,COLUMN($F$1),FALSE))),VLOOKUP($C274,装備品!$1:$998,COLUMN($O$1),FALSE)*VLOOKUP($D274,素材!$1:$1016,COLUMN($E$1),FALSE)/(LEN(VLOOKUP($D274,素材!$1:$1016,COLUMN($F$1),FALSE))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S274">
        <f>IF(ISNUMBER(SEARCH(SUBSTITUTE(AS$1,RIGHT(AS$1,2),""),VLOOKUP($D274,素材!$1:$1016,COLUMN($F$1),FALSE))),VLOOKUP($C274,装備品!$1:$998,COLUMN($O$1),FALSE)*VLOOKUP($D274,素材!$1:$1016,COLUMN($E$1),FALSE)/(LEN(VLOOKUP($D274,素材!$1:$1016,COLUMN($F$1),FALSE))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T274">
        <f>IF(ISNUMBER(SEARCH(SUBSTITUTE(AT$1,RIGHT(AT$1,2),""),VLOOKUP($D274,素材!$1:$1016,COLUMN($F$1),FALSE))),VLOOKUP($C274,装備品!$1:$998,COLUMN($O$1),FALSE)*VLOOKUP($D274,素材!$1:$1016,COLUMN($E$1),FALSE)/(LEN(VLOOKUP($D274,素材!$1:$1016,COLUMN($F$1),FALSE))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U274">
        <f>IF(ISNUMBER(SEARCH(SUBSTITUTE(AU$1,RIGHT(AU$1,2),""),VLOOKUP($D274,素材!$1:$1016,COLUMN($F$1),FALSE))),VLOOKUP($C274,装備品!$1:$998,COLUMN($O$1),FALSE)*VLOOKUP($D274,素材!$1:$1016,COLUMN($E$1),FALSE)/(LEN(VLOOKUP($D274,素材!$1:$1016,COLUMN($F$1),FALSE))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V274">
        <f>IF(ISNUMBER(SEARCH(SUBSTITUTE(AV$1,RIGHT(AV$1,2),""),VLOOKUP($D274,素材!$1:$1016,COLUMN($F$1),FALSE))),VLOOKUP($C274,装備品!$1:$998,COLUMN($O$1),FALSE)*VLOOKUP($D274,素材!$1:$1016,COLUMN($E$1),FALSE)/(LEN(VLOOKUP($D274,素材!$1:$1016,COLUMN($F$1),FALSE))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W274">
        <f>IF(ISNUMBER(SEARCH(SUBSTITUTE(AW$1,RIGHT(AW$1,2),""),VLOOKUP($D274,素材!$1:$1016,COLUMN($F$1),FALSE))),VLOOKUP($C274,装備品!$1:$998,COLUMN($O$1),FALSE)*VLOOKUP($D274,素材!$1:$1016,COLUMN($E$1),FALSE)/(LEN(VLOOKUP($D274,素材!$1:$1016,COLUMN($F$1),FALSE))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X274">
        <f>IF(ISNUMBER(SEARCH(SUBSTITUTE(AX$1,RIGHT(AX$1,2),""),VLOOKUP($D274,素材!$1:$1016,COLUMN($F$1),FALSE))),VLOOKUP($C274,装備品!$1:$998,COLUMN($O$1),FALSE)*VLOOKUP($D274,素材!$1:$1016,COLUMN($E$1),FALSE)/(LEN(VLOOKUP($D274,素材!$1:$1016,COLUMN($F$1),FALSE))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Y274">
        <f>IF(ISNUMBER(SEARCH(SUBSTITUTE(AY$1,RIGHT(AY$1,2),""),VLOOKUP($D274,素材!$1:$1016,COLUMN($F$1),FALSE))),VLOOKUP($C274,装備品!$1:$998,COLUMN($O$1),FALSE)*VLOOKUP($D274,素材!$1:$1016,COLUMN($E$1),FALSE)/(LEN(VLOOKUP($D274,素材!$1:$1016,COLUMN($F$1),FALSE))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Z274">
        <f>IF(ISNUMBER(SEARCH(SUBSTITUTE(AZ$1,RIGHT(AZ$1,2),""),VLOOKUP($D274,素材!$1:$1016,COLUMN($F$1),FALSE))),VLOOKUP($C274,装備品!$1:$998,COLUMN($O$1),FALSE)*VLOOKUP($D274,素材!$1:$1016,COLUMN($E$1),FALSE)/(LEN(VLOOKUP($D274,素材!$1:$1016,COLUMN($F$1),FALSE))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BA274">
        <f>IF(ISNUMBER(SEARCH(SUBSTITUTE(BA$1,RIGHT(BA$1,2),""),VLOOKUP($D274,素材!$1:$1016,COLUMN($F$1),FALSE))),VLOOKUP($C274,装備品!$1:$998,COLUMN($O$1),FALSE)*VLOOKUP($D274,素材!$1:$1016,COLUMN($E$1),FALSE)/(LEN(VLOOKUP($D274,素材!$1:$1016,COLUMN($F$1),FALSE))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BB274">
        <f>IF(ISNUMBER(SEARCH(SUBSTITUTE(BB$1,RIGHT(BB$1,2),""),VLOOKUP($D274,素材!$1:$1016,COLUMN($F$1),FALSE))),VLOOKUP($C274,装備品!$1:$998,COLUMN($O$1),FALSE)*VLOOKUP($D274,素材!$1:$1016,COLUMN($E$1),FALSE)/(LEN(VLOOKUP($D274,素材!$1:$1016,COLUMN($F$1),FALSE))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BC274">
        <f>IF(ISNUMBER(SEARCH(SUBSTITUTE(BC$1,RIGHT(BC$1,2),""),VLOOKUP($D274,素材!$1:$1016,COLUMN($F$1),FALSE))),VLOOKUP($C274,装備品!$1:$998,COLUMN($O$1),FALSE)*VLOOKUP($D274,素材!$1:$1016,COLUMN($E$1),FALSE)/(LEN(VLOOKUP($D274,素材!$1:$1016,COLUMN($F$1),FALSE))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BD274">
        <f>IF(ISNUMBER(SEARCH(SUBSTITUTE(BD$1,RIGHT(BD$1,2),""),VLOOKUP($D274,素材!$1:$1016,COLUMN($F$1),FALSE))),VLOOKUP($C274,装備品!$1:$998,COLUMN($O$1),FALSE)*VLOOKUP($D274,素材!$1:$1016,COLUMN($E$1),FALSE)/(LEN(VLOOKUP($D274,素材!$1:$1016,COLUMN($F$1),FALSE))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BE274">
        <f>IF(ISNUMBER(SEARCH(SUBSTITUTE(BE$1,RIGHT(BE$1,2),""),VLOOKUP($D274,素材!$1:$1016,COLUMN($F$1),FALSE))),VLOOKUP($C274,装備品!$1:$998,COLUMN($O$1),FALSE)*VLOOKUP($D274,素材!$1:$1016,COLUMN($E$1),FALSE)/(LEN(VLOOKUP($D274,素材!$1:$1016,COLUMN($F$1),FALSE))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CL274">
        <f t="shared" si="41"/>
        <v>0</v>
      </c>
      <c r="CM274" s="22" t="str">
        <f t="shared" si="42"/>
        <v>装飾.webp</v>
      </c>
      <c r="CN274">
        <f>IFERROR(VLOOKUP($C274,装備品!$1:$998,COLUMN(V$1),FALSE)*VLOOKUP($D274,素材!$1:$1016,COLUMN(N$1),FALSE)+IF(CI274="",0,VLOOKUP($CI274,付与!$1:$1176,COLUMN($CK$1),FALSE)),"")</f>
        <v>0</v>
      </c>
      <c r="CO274" t="str">
        <f>VLOOKUP(D274,素材!$A:$O,COLUMN(素材!O$1),FALSE)</f>
        <v>魔力を帯びた特殊な皮素材。魔法防御や属性耐性を強化する効果があり、高レベルの冒険者に重宝されます。</v>
      </c>
      <c r="CP274" t="str">
        <f>VLOOKUP(C274,装備品!$A:$AB,COLUMN(装備品!AB$1),FALSE)</f>
        <v xml:space="preserve">HP ST 攻撃 防御 体幹 怯み 疲労 </v>
      </c>
      <c r="CR274" t="str">
        <f t="shared" si="43"/>
        <v>e_274</v>
      </c>
      <c r="CS274">
        <f t="shared" si="44"/>
        <v>0</v>
      </c>
    </row>
    <row r="275" spans="1:97" hidden="1" outlineLevel="1" x14ac:dyDescent="0.4">
      <c r="A275" t="str">
        <f t="shared" si="45"/>
        <v>魔獣皮の帯</v>
      </c>
      <c r="B275" t="str">
        <f>IFERROR(IF(CI275="",VLOOKUP($D275,素材!$1:$1016,COLUMN($B$1),FALSE)&amp;"・"&amp;VLOOKUP($C275,装備品!$1:$998,COLUMN(B$1),FALSE),VLOOKUP($CI275,付与!$1:$1176,COLUMN($B$1),FALSE)&amp;"・"&amp;VLOOKUP($C275,装備品!$1:$998,COLUMN(B$1),FALSE)),"")</f>
        <v>マジックレザー・ベルト</v>
      </c>
      <c r="C275" s="24" t="s">
        <v>203</v>
      </c>
      <c r="D275" s="24" t="s">
        <v>201</v>
      </c>
      <c r="E275" t="str">
        <f>IFERROR(VLOOKUP(C275,装備品!$1:$998,COLUMN(C$1),FALSE),"")</f>
        <v>装飾</v>
      </c>
      <c r="F275">
        <f>IFERROR(ROUNDDOWN((VLOOKUP($C275,装備品!$1:$998,COLUMN(D$1),FALSE)+IFERROR(VLOOKUP($CI275,付与!$1:$1167,COLUMN(F$1),FALSE),0))*VLOOKUP($D275,素材!$1:$1016,COLUMN(D$1),FALSE),0),"")</f>
        <v>0</v>
      </c>
      <c r="G275">
        <f>IFERROR(ROUNDDOWN((VLOOKUP($C275,装備品!$1:$998,COLUMN(E$1),FALSE)+IFERROR(VLOOKUP($CI275,付与!$1:$1167,COLUMN(G$1),FALSE),0))*VLOOKUP($D275,素材!$1:$1016,COLUMN($E$1),FALSE),0),"")</f>
        <v>0</v>
      </c>
      <c r="H275">
        <f>IFERROR(ROUNDDOWN((VLOOKUP($C275,装備品!$1:$998,COLUMN(F$1),FALSE)+IFERROR(VLOOKUP($CI275,付与!$1:$1167,COLUMN(H$1),FALSE),0))*VLOOKUP($D275,素材!$1:$1016,COLUMN($E$1),FALSE),0),"")</f>
        <v>0</v>
      </c>
      <c r="I275">
        <f>IFERROR(ROUNDDOWN((VLOOKUP($C275,装備品!$1:$998,COLUMN(G$1),FALSE)+IFERROR(VLOOKUP($CI275,付与!$1:$1167,COLUMN(I$1),FALSE),0))*VLOOKUP($D275,素材!$1:$1016,COLUMN($E$1),FALSE),0),"")</f>
        <v>0</v>
      </c>
      <c r="J275">
        <f>IFERROR(ROUNDDOWN((VLOOKUP($C275,装備品!$1:$998,COLUMN(H$1),FALSE)+IFERROR(VLOOKUP($CI275,付与!$1:$1167,COLUMN(J$1),FALSE),0))*VLOOKUP($D275,素材!$1:$1016,COLUMN($E$1),FALSE),0),"")</f>
        <v>0</v>
      </c>
      <c r="K275">
        <f>IFERROR(ROUNDDOWN((VLOOKUP($C275,装備品!$1:$998,COLUMN(I$1),FALSE)+IFERROR(VLOOKUP($CI275,付与!$1:$1167,COLUMN(K$1),FALSE),0))*VLOOKUP($D275,素材!$1:$1016,COLUMN($E$1),FALSE),0),"")</f>
        <v>0</v>
      </c>
      <c r="L275" t="str">
        <f>IFERROR(VLOOKUP($D275,素材!$1:$1016,COLUMN($F$1),FALSE),"")</f>
        <v>魔法</v>
      </c>
      <c r="M275" t="str">
        <f>IFERROR(VLOOKUP($C275,装備品!$1:$998,COLUMN(AA$1),FALSE)*VLOOKUP($D275,素材!$1:$1016,COLUMN($G$1),FALSE),"")</f>
        <v/>
      </c>
      <c r="N275">
        <f>IFERROR(VLOOKUP($C275,装備品!$1:$998,COLUMN(I$1),FALSE),"")</f>
        <v>0</v>
      </c>
      <c r="O275" s="23" t="str">
        <f>IFERROR((VLOOKUP($C275,装備品!$1:$998,COLUMN(K$1),FALSE)+VLOOKUP($D275,素材!$1:$1016,COLUMN(H$1),FALSE))*100+IFERROR(VLOOKUP($CI275,付与!$1:$1167,COLUMN(O$1),FALSE),0),"")</f>
        <v/>
      </c>
      <c r="P275" s="23" t="str">
        <f>IFERROR((VLOOKUP($C275,装備品!$1:$998,COLUMN(L$1),FALSE)+VLOOKUP($D275,素材!$1:$1016,COLUMN(I$1),FALSE))*100+IFERROR(VLOOKUP($CI275,付与!$1:$1167,COLUMN(P$1),FALSE),0),"")</f>
        <v/>
      </c>
      <c r="Q275">
        <f>IFERROR(ROUNDUP(VLOOKUP($C275,装備品!$1:$998,COLUMN(M$1),FALSE)*(VLOOKUP($D275,素材!$1:$1002,COLUMN(D$1),FALSE)/100),1),"")</f>
        <v>0</v>
      </c>
      <c r="R275">
        <f>IFERROR(ROUNDUP(VLOOKUP($C275,装備品!$1:$998,COLUMN(N$1),FALSE)*(VLOOKUP($D275,素材!$1:$1002,COLUMN(D$1),FALSE)/100),1),"")</f>
        <v>0</v>
      </c>
      <c r="S275">
        <f>IFERROR(VLOOKUP($C275,装備品!$1:$998,COLUMN(P$1),FALSE),"")</f>
        <v>0</v>
      </c>
      <c r="T275">
        <f>IFERROR(VLOOKUP($C275,装備品!$1:$998,COLUMN(Q$1),FALSE),"")</f>
        <v>0</v>
      </c>
      <c r="U275">
        <f>IFERROR(VLOOKUP($C275,装備品!$1:$998,COLUMN(R$1),FALSE),"")</f>
        <v>0</v>
      </c>
      <c r="V275">
        <f>IFERROR(VLOOKUP($C275,装備品!$1:$998,COLUMN(Q$1),FALSE),"")</f>
        <v>0</v>
      </c>
      <c r="W275">
        <f>IFERROR(VLOOKUP($C275,装備品!$1:$998,COLUMN(T$1),FALSE),"")</f>
        <v>0</v>
      </c>
      <c r="Y275">
        <f>IFERROR(VLOOKUP($C275,装備品!$1:$998,COLUMN(U$1),FALSE),"")</f>
        <v>0</v>
      </c>
      <c r="Z275">
        <f>IFERROR(ROUNDUP(VLOOKUP($C275,装備品!$1:$998,COLUMN(O$1),FALSE)*VLOOKUP($D275,素材!$1:$1016,COLUMN(E$1),FALSE),1),"")</f>
        <v>0</v>
      </c>
      <c r="AA275">
        <f>IF(ISNUMBER(SEARCH(SUBSTITUTE(AA$1,RIGHT(AA$1,2),""),VLOOKUP($D275,素材!$1:$1016,COLUMN($F$1),FALSE))),VLOOKUP($C275,装備品!$1:$998,COLUMN($O$1),FALSE)*VLOOKUP($D275,素材!$1:$1016,COLUMN($E$1),FALSE)/(LEN(VLOOKUP($D275,素材!$1:$1016,COLUMN($F$1),FALSE))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B275">
        <f>IF(ISNUMBER(SEARCH(SUBSTITUTE(AB$1,RIGHT(AB$1,2),""),VLOOKUP($D275,素材!$1:$1016,COLUMN($F$1),FALSE))),VLOOKUP($C275,装備品!$1:$998,COLUMN($O$1),FALSE)*VLOOKUP($D275,素材!$1:$1016,COLUMN($E$1),FALSE)/(LEN(VLOOKUP($D275,素材!$1:$1016,COLUMN($F$1),FALSE))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C275">
        <f>IF(ISNUMBER(SEARCH(SUBSTITUTE(AC$1,RIGHT(AC$1,2),""),VLOOKUP($D275,素材!$1:$1016,COLUMN($F$1),FALSE))),VLOOKUP($C275,装備品!$1:$998,COLUMN($O$1),FALSE)*VLOOKUP($D275,素材!$1:$1016,COLUMN($E$1),FALSE)/(LEN(VLOOKUP($D275,素材!$1:$1016,COLUMN($F$1),FALSE))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D275">
        <f>IF(ISNUMBER(SEARCH(SUBSTITUTE(AD$1,RIGHT(AD$1,2),""),VLOOKUP($D275,素材!$1:$1016,COLUMN($F$1),FALSE))),VLOOKUP($C275,装備品!$1:$998,COLUMN($O$1),FALSE)*VLOOKUP($D275,素材!$1:$1016,COLUMN($E$1),FALSE)/(LEN(VLOOKUP($D275,素材!$1:$1016,COLUMN($F$1),FALSE))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E275">
        <f>IF(ISNUMBER(SEARCH(SUBSTITUTE(AE$1,RIGHT(AE$1,2),""),VLOOKUP($D275,素材!$1:$1016,COLUMN($F$1),FALSE))),VLOOKUP($C275,装備品!$1:$998,COLUMN($O$1),FALSE)*VLOOKUP($D275,素材!$1:$1016,COLUMN($E$1),FALSE)/(LEN(VLOOKUP($D275,素材!$1:$1016,COLUMN($F$1),FALSE))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F275">
        <f>IF(ISNUMBER(SEARCH(SUBSTITUTE(AF$1,RIGHT(AF$1,2),""),VLOOKUP($D275,素材!$1:$1016,COLUMN($F$1),FALSE))),VLOOKUP($C275,装備品!$1:$998,COLUMN($O$1),FALSE)*VLOOKUP($D275,素材!$1:$1016,COLUMN($E$1),FALSE)/(LEN(VLOOKUP($D275,素材!$1:$1016,COLUMN($F$1),FALSE))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G275">
        <f>IF(ISNUMBER(SEARCH(SUBSTITUTE(AG$1,RIGHT(AG$1,2),""),VLOOKUP($D275,素材!$1:$1016,COLUMN($F$1),FALSE))),VLOOKUP($C275,装備品!$1:$998,COLUMN($O$1),FALSE)*VLOOKUP($D275,素材!$1:$1016,COLUMN($E$1),FALSE)/(LEN(VLOOKUP($D275,素材!$1:$1016,COLUMN($F$1),FALSE))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H275">
        <f>IF(ISNUMBER(SEARCH(SUBSTITUTE(AH$1,RIGHT(AH$1,2),""),VLOOKUP($D275,素材!$1:$1016,COLUMN($F$1),FALSE))),VLOOKUP($C275,装備品!$1:$998,COLUMN($O$1),FALSE)*VLOOKUP($D275,素材!$1:$1016,COLUMN($E$1),FALSE)/(LEN(VLOOKUP($D275,素材!$1:$1016,COLUMN($F$1),FALSE))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I275">
        <f>IF(ISNUMBER(SEARCH(SUBSTITUTE(AI$1,RIGHT(AI$1,2),""),VLOOKUP($D275,素材!$1:$1016,COLUMN($F$1),FALSE))),VLOOKUP($C275,装備品!$1:$998,COLUMN($O$1),FALSE)*VLOOKUP($D275,素材!$1:$1016,COLUMN($E$1),FALSE)/(LEN(VLOOKUP($D275,素材!$1:$1016,COLUMN($F$1),FALSE))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J275">
        <f>IF(ISNUMBER(SEARCH(SUBSTITUTE(AJ$1,RIGHT(AJ$1,2),""),VLOOKUP($D275,素材!$1:$1016,COLUMN($F$1),FALSE))),VLOOKUP($C275,装備品!$1:$998,COLUMN($O$1),FALSE)*VLOOKUP($D275,素材!$1:$1016,COLUMN($E$1),FALSE)/(LEN(VLOOKUP($D275,素材!$1:$1016,COLUMN($F$1),FALSE))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K275">
        <f>IF(ISNUMBER(SEARCH(SUBSTITUTE(AK$1,RIGHT(AK$1,2),""),VLOOKUP($D275,素材!$1:$1016,COLUMN($F$1),FALSE))),VLOOKUP($C275,装備品!$1:$998,COLUMN($O$1),FALSE)*VLOOKUP($D275,素材!$1:$1016,COLUMN($E$1),FALSE)/(LEN(VLOOKUP($D275,素材!$1:$1016,COLUMN($F$1),FALSE))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L275">
        <f>IF(ISNUMBER(SEARCH(SUBSTITUTE(AL$1,RIGHT(AL$1,2),""),VLOOKUP($D275,素材!$1:$1016,COLUMN($F$1),FALSE))),VLOOKUP($C275,装備品!$1:$998,COLUMN($O$1),FALSE)*VLOOKUP($D275,素材!$1:$1016,COLUMN($E$1),FALSE)/(LEN(VLOOKUP($D275,素材!$1:$1016,COLUMN($F$1),FALSE))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M275">
        <f>IF(ISNUMBER(SEARCH(SUBSTITUTE(AM$1,RIGHT(AM$1,2),""),VLOOKUP($D275,素材!$1:$1016,COLUMN($F$1),FALSE))),VLOOKUP($C275,装備品!$1:$998,COLUMN($O$1),FALSE)*VLOOKUP($D275,素材!$1:$1016,COLUMN($E$1),FALSE)/(LEN(VLOOKUP($D275,素材!$1:$1016,COLUMN($F$1),FALSE))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N275">
        <f>IF(ISNUMBER(SEARCH(SUBSTITUTE(AN$1,RIGHT(AN$1,2),""),VLOOKUP($D275,素材!$1:$1016,COLUMN($F$1),FALSE))),VLOOKUP($C275,装備品!$1:$998,COLUMN($O$1),FALSE)*VLOOKUP($D275,素材!$1:$1016,COLUMN($E$1),FALSE)/(LEN(VLOOKUP($D275,素材!$1:$1016,COLUMN($F$1),FALSE))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O275">
        <f>IF(ISNUMBER(SEARCH(SUBSTITUTE(AO$1,RIGHT(AO$1,2),""),VLOOKUP($D275,素材!$1:$1016,COLUMN($F$1),FALSE))),VLOOKUP($C275,装備品!$1:$998,COLUMN($O$1),FALSE)*VLOOKUP($D275,素材!$1:$1016,COLUMN($E$1),FALSE)/(LEN(VLOOKUP($D275,素材!$1:$1016,COLUMN($F$1),FALSE))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P275">
        <f>IF(ISNUMBER(SEARCH(SUBSTITUTE(AP$1,RIGHT(AP$1,2),""),VLOOKUP($D275,素材!$1:$1016,COLUMN($F$1),FALSE))),VLOOKUP($C275,装備品!$1:$998,COLUMN($O$1),FALSE)*VLOOKUP($D275,素材!$1:$1016,COLUMN($E$1),FALSE)/(LEN(VLOOKUP($D275,素材!$1:$1016,COLUMN($F$1),FALSE))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Q275">
        <f>IF(ISNUMBER(SEARCH(SUBSTITUTE(AQ$1,RIGHT(AQ$1,2),""),VLOOKUP($D275,素材!$1:$1016,COLUMN($F$1),FALSE))),VLOOKUP($C275,装備品!$1:$998,COLUMN($O$1),FALSE)*VLOOKUP($D275,素材!$1:$1016,COLUMN($E$1),FALSE)/(LEN(VLOOKUP($D275,素材!$1:$1016,COLUMN($F$1),FALSE))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R275">
        <f>IF(ISNUMBER(SEARCH(SUBSTITUTE(AR$1,RIGHT(AR$1,2),""),VLOOKUP($D275,素材!$1:$1016,COLUMN($F$1),FALSE))),VLOOKUP($C275,装備品!$1:$998,COLUMN($O$1),FALSE)*VLOOKUP($D275,素材!$1:$1016,COLUMN($E$1),FALSE)/(LEN(VLOOKUP($D275,素材!$1:$1016,COLUMN($F$1),FALSE))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S275">
        <f>IF(ISNUMBER(SEARCH(SUBSTITUTE(AS$1,RIGHT(AS$1,2),""),VLOOKUP($D275,素材!$1:$1016,COLUMN($F$1),FALSE))),VLOOKUP($C275,装備品!$1:$998,COLUMN($O$1),FALSE)*VLOOKUP($D275,素材!$1:$1016,COLUMN($E$1),FALSE)/(LEN(VLOOKUP($D275,素材!$1:$1016,COLUMN($F$1),FALSE))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T275">
        <f>IF(ISNUMBER(SEARCH(SUBSTITUTE(AT$1,RIGHT(AT$1,2),""),VLOOKUP($D275,素材!$1:$1016,COLUMN($F$1),FALSE))),VLOOKUP($C275,装備品!$1:$998,COLUMN($O$1),FALSE)*VLOOKUP($D275,素材!$1:$1016,COLUMN($E$1),FALSE)/(LEN(VLOOKUP($D275,素材!$1:$1016,COLUMN($F$1),FALSE))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U275">
        <f>IF(ISNUMBER(SEARCH(SUBSTITUTE(AU$1,RIGHT(AU$1,2),""),VLOOKUP($D275,素材!$1:$1016,COLUMN($F$1),FALSE))),VLOOKUP($C275,装備品!$1:$998,COLUMN($O$1),FALSE)*VLOOKUP($D275,素材!$1:$1016,COLUMN($E$1),FALSE)/(LEN(VLOOKUP($D275,素材!$1:$1016,COLUMN($F$1),FALSE))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V275">
        <f>IF(ISNUMBER(SEARCH(SUBSTITUTE(AV$1,RIGHT(AV$1,2),""),VLOOKUP($D275,素材!$1:$1016,COLUMN($F$1),FALSE))),VLOOKUP($C275,装備品!$1:$998,COLUMN($O$1),FALSE)*VLOOKUP($D275,素材!$1:$1016,COLUMN($E$1),FALSE)/(LEN(VLOOKUP($D275,素材!$1:$1016,COLUMN($F$1),FALSE))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W275">
        <f>IF(ISNUMBER(SEARCH(SUBSTITUTE(AW$1,RIGHT(AW$1,2),""),VLOOKUP($D275,素材!$1:$1016,COLUMN($F$1),FALSE))),VLOOKUP($C275,装備品!$1:$998,COLUMN($O$1),FALSE)*VLOOKUP($D275,素材!$1:$1016,COLUMN($E$1),FALSE)/(LEN(VLOOKUP($D275,素材!$1:$1016,COLUMN($F$1),FALSE))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X275">
        <f>IF(ISNUMBER(SEARCH(SUBSTITUTE(AX$1,RIGHT(AX$1,2),""),VLOOKUP($D275,素材!$1:$1016,COLUMN($F$1),FALSE))),VLOOKUP($C275,装備品!$1:$998,COLUMN($O$1),FALSE)*VLOOKUP($D275,素材!$1:$1016,COLUMN($E$1),FALSE)/(LEN(VLOOKUP($D275,素材!$1:$1016,COLUMN($F$1),FALSE))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Y275">
        <f>IF(ISNUMBER(SEARCH(SUBSTITUTE(AY$1,RIGHT(AY$1,2),""),VLOOKUP($D275,素材!$1:$1016,COLUMN($F$1),FALSE))),VLOOKUP($C275,装備品!$1:$998,COLUMN($O$1),FALSE)*VLOOKUP($D275,素材!$1:$1016,COLUMN($E$1),FALSE)/(LEN(VLOOKUP($D275,素材!$1:$1016,COLUMN($F$1),FALSE))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Z275">
        <f>IF(ISNUMBER(SEARCH(SUBSTITUTE(AZ$1,RIGHT(AZ$1,2),""),VLOOKUP($D275,素材!$1:$1016,COLUMN($F$1),FALSE))),VLOOKUP($C275,装備品!$1:$998,COLUMN($O$1),FALSE)*VLOOKUP($D275,素材!$1:$1016,COLUMN($E$1),FALSE)/(LEN(VLOOKUP($D275,素材!$1:$1016,COLUMN($F$1),FALSE))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BA275">
        <f>IF(ISNUMBER(SEARCH(SUBSTITUTE(BA$1,RIGHT(BA$1,2),""),VLOOKUP($D275,素材!$1:$1016,COLUMN($F$1),FALSE))),VLOOKUP($C275,装備品!$1:$998,COLUMN($O$1),FALSE)*VLOOKUP($D275,素材!$1:$1016,COLUMN($E$1),FALSE)/(LEN(VLOOKUP($D275,素材!$1:$1016,COLUMN($F$1),FALSE))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BB275">
        <f>IF(ISNUMBER(SEARCH(SUBSTITUTE(BB$1,RIGHT(BB$1,2),""),VLOOKUP($D275,素材!$1:$1016,COLUMN($F$1),FALSE))),VLOOKUP($C275,装備品!$1:$998,COLUMN($O$1),FALSE)*VLOOKUP($D275,素材!$1:$1016,COLUMN($E$1),FALSE)/(LEN(VLOOKUP($D275,素材!$1:$1016,COLUMN($F$1),FALSE))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BC275">
        <f>IF(ISNUMBER(SEARCH(SUBSTITUTE(BC$1,RIGHT(BC$1,2),""),VLOOKUP($D275,素材!$1:$1016,COLUMN($F$1),FALSE))),VLOOKUP($C275,装備品!$1:$998,COLUMN($O$1),FALSE)*VLOOKUP($D275,素材!$1:$1016,COLUMN($E$1),FALSE)/(LEN(VLOOKUP($D275,素材!$1:$1016,COLUMN($F$1),FALSE))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BD275">
        <f>IF(ISNUMBER(SEARCH(SUBSTITUTE(BD$1,RIGHT(BD$1,2),""),VLOOKUP($D275,素材!$1:$1016,COLUMN($F$1),FALSE))),VLOOKUP($C275,装備品!$1:$998,COLUMN($O$1),FALSE)*VLOOKUP($D275,素材!$1:$1016,COLUMN($E$1),FALSE)/(LEN(VLOOKUP($D275,素材!$1:$1016,COLUMN($F$1),FALSE))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BE275">
        <f>IF(ISNUMBER(SEARCH(SUBSTITUTE(BE$1,RIGHT(BE$1,2),""),VLOOKUP($D275,素材!$1:$1016,COLUMN($F$1),FALSE))),VLOOKUP($C275,装備品!$1:$998,COLUMN($O$1),FALSE)*VLOOKUP($D275,素材!$1:$1016,COLUMN($E$1),FALSE)/(LEN(VLOOKUP($D275,素材!$1:$1016,COLUMN($F$1),FALSE))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CL275">
        <f t="shared" si="41"/>
        <v>0</v>
      </c>
      <c r="CM275" s="22" t="str">
        <f t="shared" si="42"/>
        <v>装飾.webp</v>
      </c>
      <c r="CN275">
        <f>IFERROR(VLOOKUP($C275,装備品!$1:$998,COLUMN(V$1),FALSE)*VLOOKUP($D275,素材!$1:$1016,COLUMN(N$1),FALSE)+IF(CI275="",0,VLOOKUP($CI275,付与!$1:$1176,COLUMN($CK$1),FALSE)),"")</f>
        <v>0</v>
      </c>
      <c r="CO275" t="str">
        <f>VLOOKUP(D275,素材!$A:$O,COLUMN(素材!O$1),FALSE)</f>
        <v>魔力を帯びた特殊な皮素材。魔法防御や属性耐性を強化する効果があり、高レベルの冒険者に重宝されます。</v>
      </c>
      <c r="CP275" t="str">
        <f>VLOOKUP(C275,装備品!$A:$AB,COLUMN(装備品!AB$1),FALSE)</f>
        <v xml:space="preserve">HP ST 攻撃 防御 体幹 怯み 疲労 </v>
      </c>
      <c r="CR275" t="str">
        <f t="shared" si="43"/>
        <v>e_275</v>
      </c>
      <c r="CS275">
        <f t="shared" si="44"/>
        <v>0</v>
      </c>
    </row>
    <row r="276" spans="1:97" hidden="1" outlineLevel="1" x14ac:dyDescent="0.4">
      <c r="A276" t="str">
        <f t="shared" si="45"/>
        <v>魔獣皮の帯</v>
      </c>
      <c r="B276" t="str">
        <f>IFERROR(IF(CI276="",VLOOKUP($D276,素材!$1:$1016,COLUMN($B$1),FALSE)&amp;"・"&amp;VLOOKUP($C276,装備品!$1:$998,COLUMN(B$1),FALSE),VLOOKUP($CI276,付与!$1:$1176,COLUMN($B$1),FALSE)&amp;"・"&amp;VLOOKUP($C276,装備品!$1:$998,COLUMN(B$1),FALSE)),"")</f>
        <v>マジックレザー・ベルト</v>
      </c>
      <c r="C276" s="24" t="s">
        <v>203</v>
      </c>
      <c r="D276" s="24" t="s">
        <v>201</v>
      </c>
      <c r="E276" t="str">
        <f>IFERROR(VLOOKUP(C276,装備品!$1:$998,COLUMN(C$1),FALSE),"")</f>
        <v>装飾</v>
      </c>
      <c r="F276">
        <f>IFERROR(ROUNDDOWN((VLOOKUP($C276,装備品!$1:$998,COLUMN(D$1),FALSE)+IFERROR(VLOOKUP($CI276,付与!$1:$1167,COLUMN(F$1),FALSE),0))*VLOOKUP($D276,素材!$1:$1016,COLUMN(D$1),FALSE),0),"")</f>
        <v>0</v>
      </c>
      <c r="G276">
        <f>IFERROR(ROUNDDOWN((VLOOKUP($C276,装備品!$1:$998,COLUMN(E$1),FALSE)+IFERROR(VLOOKUP($CI276,付与!$1:$1167,COLUMN(G$1),FALSE),0))*VLOOKUP($D276,素材!$1:$1016,COLUMN($E$1),FALSE),0),"")</f>
        <v>0</v>
      </c>
      <c r="H276">
        <f>IFERROR(ROUNDDOWN((VLOOKUP($C276,装備品!$1:$998,COLUMN(F$1),FALSE)+IFERROR(VLOOKUP($CI276,付与!$1:$1167,COLUMN(H$1),FALSE),0))*VLOOKUP($D276,素材!$1:$1016,COLUMN($E$1),FALSE),0),"")</f>
        <v>0</v>
      </c>
      <c r="I276">
        <f>IFERROR(ROUNDDOWN((VLOOKUP($C276,装備品!$1:$998,COLUMN(G$1),FALSE)+IFERROR(VLOOKUP($CI276,付与!$1:$1167,COLUMN(I$1),FALSE),0))*VLOOKUP($D276,素材!$1:$1016,COLUMN($E$1),FALSE),0),"")</f>
        <v>0</v>
      </c>
      <c r="J276">
        <f>IFERROR(ROUNDDOWN((VLOOKUP($C276,装備品!$1:$998,COLUMN(H$1),FALSE)+IFERROR(VLOOKUP($CI276,付与!$1:$1167,COLUMN(J$1),FALSE),0))*VLOOKUP($D276,素材!$1:$1016,COLUMN($E$1),FALSE),0),"")</f>
        <v>0</v>
      </c>
      <c r="K276">
        <f>IFERROR(ROUNDDOWN((VLOOKUP($C276,装備品!$1:$998,COLUMN(I$1),FALSE)+IFERROR(VLOOKUP($CI276,付与!$1:$1167,COLUMN(K$1),FALSE),0))*VLOOKUP($D276,素材!$1:$1016,COLUMN($E$1),FALSE),0),"")</f>
        <v>0</v>
      </c>
      <c r="L276" t="str">
        <f>IFERROR(VLOOKUP($D276,素材!$1:$1016,COLUMN($F$1),FALSE),"")</f>
        <v>魔法</v>
      </c>
      <c r="M276" t="str">
        <f>IFERROR(VLOOKUP($C276,装備品!$1:$998,COLUMN(AA$1),FALSE)*VLOOKUP($D276,素材!$1:$1016,COLUMN($G$1),FALSE),"")</f>
        <v/>
      </c>
      <c r="N276">
        <f>IFERROR(VLOOKUP($C276,装備品!$1:$998,COLUMN(I$1),FALSE),"")</f>
        <v>0</v>
      </c>
      <c r="O276" s="23" t="str">
        <f>IFERROR((VLOOKUP($C276,装備品!$1:$998,COLUMN(K$1),FALSE)+VLOOKUP($D276,素材!$1:$1016,COLUMN(H$1),FALSE))*100+IFERROR(VLOOKUP($CI276,付与!$1:$1167,COLUMN(O$1),FALSE),0),"")</f>
        <v/>
      </c>
      <c r="P276" s="23" t="str">
        <f>IFERROR((VLOOKUP($C276,装備品!$1:$998,COLUMN(L$1),FALSE)+VLOOKUP($D276,素材!$1:$1016,COLUMN(I$1),FALSE))*100+IFERROR(VLOOKUP($CI276,付与!$1:$1167,COLUMN(P$1),FALSE),0),"")</f>
        <v/>
      </c>
      <c r="Q276">
        <f>IFERROR(ROUNDUP(VLOOKUP($C276,装備品!$1:$998,COLUMN(M$1),FALSE)*(VLOOKUP($D276,素材!$1:$1002,COLUMN(D$1),FALSE)/100),1),"")</f>
        <v>0</v>
      </c>
      <c r="R276">
        <f>IFERROR(ROUNDUP(VLOOKUP($C276,装備品!$1:$998,COLUMN(N$1),FALSE)*(VLOOKUP($D276,素材!$1:$1002,COLUMN(D$1),FALSE)/100),1),"")</f>
        <v>0</v>
      </c>
      <c r="S276">
        <f>IFERROR(VLOOKUP($C276,装備品!$1:$998,COLUMN(P$1),FALSE),"")</f>
        <v>0</v>
      </c>
      <c r="T276">
        <f>IFERROR(VLOOKUP($C276,装備品!$1:$998,COLUMN(Q$1),FALSE),"")</f>
        <v>0</v>
      </c>
      <c r="U276">
        <f>IFERROR(VLOOKUP($C276,装備品!$1:$998,COLUMN(R$1),FALSE),"")</f>
        <v>0</v>
      </c>
      <c r="V276">
        <f>IFERROR(VLOOKUP($C276,装備品!$1:$998,COLUMN(Q$1),FALSE),"")</f>
        <v>0</v>
      </c>
      <c r="W276">
        <f>IFERROR(VLOOKUP($C276,装備品!$1:$998,COLUMN(T$1),FALSE),"")</f>
        <v>0</v>
      </c>
      <c r="Y276">
        <f>IFERROR(VLOOKUP($C276,装備品!$1:$998,COLUMN(U$1),FALSE),"")</f>
        <v>0</v>
      </c>
      <c r="Z276">
        <f>IFERROR(ROUNDUP(VLOOKUP($C276,装備品!$1:$998,COLUMN(O$1),FALSE)*VLOOKUP($D276,素材!$1:$1016,COLUMN(E$1),FALSE),1),"")</f>
        <v>0</v>
      </c>
      <c r="AA276">
        <f>IF(ISNUMBER(SEARCH(SUBSTITUTE(AA$1,RIGHT(AA$1,2),""),VLOOKUP($D276,素材!$1:$1016,COLUMN($F$1),FALSE))),VLOOKUP($C276,装備品!$1:$998,COLUMN($O$1),FALSE)*VLOOKUP($D276,素材!$1:$1016,COLUMN($E$1),FALSE)/(LEN(VLOOKUP($D276,素材!$1:$1016,COLUMN($F$1),FALSE))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B276">
        <f>IF(ISNUMBER(SEARCH(SUBSTITUTE(AB$1,RIGHT(AB$1,2),""),VLOOKUP($D276,素材!$1:$1016,COLUMN($F$1),FALSE))),VLOOKUP($C276,装備品!$1:$998,COLUMN($O$1),FALSE)*VLOOKUP($D276,素材!$1:$1016,COLUMN($E$1),FALSE)/(LEN(VLOOKUP($D276,素材!$1:$1016,COLUMN($F$1),FALSE))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C276">
        <f>IF(ISNUMBER(SEARCH(SUBSTITUTE(AC$1,RIGHT(AC$1,2),""),VLOOKUP($D276,素材!$1:$1016,COLUMN($F$1),FALSE))),VLOOKUP($C276,装備品!$1:$998,COLUMN($O$1),FALSE)*VLOOKUP($D276,素材!$1:$1016,COLUMN($E$1),FALSE)/(LEN(VLOOKUP($D276,素材!$1:$1016,COLUMN($F$1),FALSE))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D276">
        <f>IF(ISNUMBER(SEARCH(SUBSTITUTE(AD$1,RIGHT(AD$1,2),""),VLOOKUP($D276,素材!$1:$1016,COLUMN($F$1),FALSE))),VLOOKUP($C276,装備品!$1:$998,COLUMN($O$1),FALSE)*VLOOKUP($D276,素材!$1:$1016,COLUMN($E$1),FALSE)/(LEN(VLOOKUP($D276,素材!$1:$1016,COLUMN($F$1),FALSE))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E276">
        <f>IF(ISNUMBER(SEARCH(SUBSTITUTE(AE$1,RIGHT(AE$1,2),""),VLOOKUP($D276,素材!$1:$1016,COLUMN($F$1),FALSE))),VLOOKUP($C276,装備品!$1:$998,COLUMN($O$1),FALSE)*VLOOKUP($D276,素材!$1:$1016,COLUMN($E$1),FALSE)/(LEN(VLOOKUP($D276,素材!$1:$1016,COLUMN($F$1),FALSE))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F276">
        <f>IF(ISNUMBER(SEARCH(SUBSTITUTE(AF$1,RIGHT(AF$1,2),""),VLOOKUP($D276,素材!$1:$1016,COLUMN($F$1),FALSE))),VLOOKUP($C276,装備品!$1:$998,COLUMN($O$1),FALSE)*VLOOKUP($D276,素材!$1:$1016,COLUMN($E$1),FALSE)/(LEN(VLOOKUP($D276,素材!$1:$1016,COLUMN($F$1),FALSE))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G276">
        <f>IF(ISNUMBER(SEARCH(SUBSTITUTE(AG$1,RIGHT(AG$1,2),""),VLOOKUP($D276,素材!$1:$1016,COLUMN($F$1),FALSE))),VLOOKUP($C276,装備品!$1:$998,COLUMN($O$1),FALSE)*VLOOKUP($D276,素材!$1:$1016,COLUMN($E$1),FALSE)/(LEN(VLOOKUP($D276,素材!$1:$1016,COLUMN($F$1),FALSE))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H276">
        <f>IF(ISNUMBER(SEARCH(SUBSTITUTE(AH$1,RIGHT(AH$1,2),""),VLOOKUP($D276,素材!$1:$1016,COLUMN($F$1),FALSE))),VLOOKUP($C276,装備品!$1:$998,COLUMN($O$1),FALSE)*VLOOKUP($D276,素材!$1:$1016,COLUMN($E$1),FALSE)/(LEN(VLOOKUP($D276,素材!$1:$1016,COLUMN($F$1),FALSE))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I276">
        <f>IF(ISNUMBER(SEARCH(SUBSTITUTE(AI$1,RIGHT(AI$1,2),""),VLOOKUP($D276,素材!$1:$1016,COLUMN($F$1),FALSE))),VLOOKUP($C276,装備品!$1:$998,COLUMN($O$1),FALSE)*VLOOKUP($D276,素材!$1:$1016,COLUMN($E$1),FALSE)/(LEN(VLOOKUP($D276,素材!$1:$1016,COLUMN($F$1),FALSE))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J276">
        <f>IF(ISNUMBER(SEARCH(SUBSTITUTE(AJ$1,RIGHT(AJ$1,2),""),VLOOKUP($D276,素材!$1:$1016,COLUMN($F$1),FALSE))),VLOOKUP($C276,装備品!$1:$998,COLUMN($O$1),FALSE)*VLOOKUP($D276,素材!$1:$1016,COLUMN($E$1),FALSE)/(LEN(VLOOKUP($D276,素材!$1:$1016,COLUMN($F$1),FALSE))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K276">
        <f>IF(ISNUMBER(SEARCH(SUBSTITUTE(AK$1,RIGHT(AK$1,2),""),VLOOKUP($D276,素材!$1:$1016,COLUMN($F$1),FALSE))),VLOOKUP($C276,装備品!$1:$998,COLUMN($O$1),FALSE)*VLOOKUP($D276,素材!$1:$1016,COLUMN($E$1),FALSE)/(LEN(VLOOKUP($D276,素材!$1:$1016,COLUMN($F$1),FALSE))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L276">
        <f>IF(ISNUMBER(SEARCH(SUBSTITUTE(AL$1,RIGHT(AL$1,2),""),VLOOKUP($D276,素材!$1:$1016,COLUMN($F$1),FALSE))),VLOOKUP($C276,装備品!$1:$998,COLUMN($O$1),FALSE)*VLOOKUP($D276,素材!$1:$1016,COLUMN($E$1),FALSE)/(LEN(VLOOKUP($D276,素材!$1:$1016,COLUMN($F$1),FALSE))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M276">
        <f>IF(ISNUMBER(SEARCH(SUBSTITUTE(AM$1,RIGHT(AM$1,2),""),VLOOKUP($D276,素材!$1:$1016,COLUMN($F$1),FALSE))),VLOOKUP($C276,装備品!$1:$998,COLUMN($O$1),FALSE)*VLOOKUP($D276,素材!$1:$1016,COLUMN($E$1),FALSE)/(LEN(VLOOKUP($D276,素材!$1:$1016,COLUMN($F$1),FALSE))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N276">
        <f>IF(ISNUMBER(SEARCH(SUBSTITUTE(AN$1,RIGHT(AN$1,2),""),VLOOKUP($D276,素材!$1:$1016,COLUMN($F$1),FALSE))),VLOOKUP($C276,装備品!$1:$998,COLUMN($O$1),FALSE)*VLOOKUP($D276,素材!$1:$1016,COLUMN($E$1),FALSE)/(LEN(VLOOKUP($D276,素材!$1:$1016,COLUMN($F$1),FALSE))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O276">
        <f>IF(ISNUMBER(SEARCH(SUBSTITUTE(AO$1,RIGHT(AO$1,2),""),VLOOKUP($D276,素材!$1:$1016,COLUMN($F$1),FALSE))),VLOOKUP($C276,装備品!$1:$998,COLUMN($O$1),FALSE)*VLOOKUP($D276,素材!$1:$1016,COLUMN($E$1),FALSE)/(LEN(VLOOKUP($D276,素材!$1:$1016,COLUMN($F$1),FALSE))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P276">
        <f>IF(ISNUMBER(SEARCH(SUBSTITUTE(AP$1,RIGHT(AP$1,2),""),VLOOKUP($D276,素材!$1:$1016,COLUMN($F$1),FALSE))),VLOOKUP($C276,装備品!$1:$998,COLUMN($O$1),FALSE)*VLOOKUP($D276,素材!$1:$1016,COLUMN($E$1),FALSE)/(LEN(VLOOKUP($D276,素材!$1:$1016,COLUMN($F$1),FALSE))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Q276">
        <f>IF(ISNUMBER(SEARCH(SUBSTITUTE(AQ$1,RIGHT(AQ$1,2),""),VLOOKUP($D276,素材!$1:$1016,COLUMN($F$1),FALSE))),VLOOKUP($C276,装備品!$1:$998,COLUMN($O$1),FALSE)*VLOOKUP($D276,素材!$1:$1016,COLUMN($E$1),FALSE)/(LEN(VLOOKUP($D276,素材!$1:$1016,COLUMN($F$1),FALSE))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R276">
        <f>IF(ISNUMBER(SEARCH(SUBSTITUTE(AR$1,RIGHT(AR$1,2),""),VLOOKUP($D276,素材!$1:$1016,COLUMN($F$1),FALSE))),VLOOKUP($C276,装備品!$1:$998,COLUMN($O$1),FALSE)*VLOOKUP($D276,素材!$1:$1016,COLUMN($E$1),FALSE)/(LEN(VLOOKUP($D276,素材!$1:$1016,COLUMN($F$1),FALSE))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S276">
        <f>IF(ISNUMBER(SEARCH(SUBSTITUTE(AS$1,RIGHT(AS$1,2),""),VLOOKUP($D276,素材!$1:$1016,COLUMN($F$1),FALSE))),VLOOKUP($C276,装備品!$1:$998,COLUMN($O$1),FALSE)*VLOOKUP($D276,素材!$1:$1016,COLUMN($E$1),FALSE)/(LEN(VLOOKUP($D276,素材!$1:$1016,COLUMN($F$1),FALSE))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T276">
        <f>IF(ISNUMBER(SEARCH(SUBSTITUTE(AT$1,RIGHT(AT$1,2),""),VLOOKUP($D276,素材!$1:$1016,COLUMN($F$1),FALSE))),VLOOKUP($C276,装備品!$1:$998,COLUMN($O$1),FALSE)*VLOOKUP($D276,素材!$1:$1016,COLUMN($E$1),FALSE)/(LEN(VLOOKUP($D276,素材!$1:$1016,COLUMN($F$1),FALSE))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U276">
        <f>IF(ISNUMBER(SEARCH(SUBSTITUTE(AU$1,RIGHT(AU$1,2),""),VLOOKUP($D276,素材!$1:$1016,COLUMN($F$1),FALSE))),VLOOKUP($C276,装備品!$1:$998,COLUMN($O$1),FALSE)*VLOOKUP($D276,素材!$1:$1016,COLUMN($E$1),FALSE)/(LEN(VLOOKUP($D276,素材!$1:$1016,COLUMN($F$1),FALSE))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V276">
        <f>IF(ISNUMBER(SEARCH(SUBSTITUTE(AV$1,RIGHT(AV$1,2),""),VLOOKUP($D276,素材!$1:$1016,COLUMN($F$1),FALSE))),VLOOKUP($C276,装備品!$1:$998,COLUMN($O$1),FALSE)*VLOOKUP($D276,素材!$1:$1016,COLUMN($E$1),FALSE)/(LEN(VLOOKUP($D276,素材!$1:$1016,COLUMN($F$1),FALSE))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W276">
        <f>IF(ISNUMBER(SEARCH(SUBSTITUTE(AW$1,RIGHT(AW$1,2),""),VLOOKUP($D276,素材!$1:$1016,COLUMN($F$1),FALSE))),VLOOKUP($C276,装備品!$1:$998,COLUMN($O$1),FALSE)*VLOOKUP($D276,素材!$1:$1016,COLUMN($E$1),FALSE)/(LEN(VLOOKUP($D276,素材!$1:$1016,COLUMN($F$1),FALSE))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X276">
        <f>IF(ISNUMBER(SEARCH(SUBSTITUTE(AX$1,RIGHT(AX$1,2),""),VLOOKUP($D276,素材!$1:$1016,COLUMN($F$1),FALSE))),VLOOKUP($C276,装備品!$1:$998,COLUMN($O$1),FALSE)*VLOOKUP($D276,素材!$1:$1016,COLUMN($E$1),FALSE)/(LEN(VLOOKUP($D276,素材!$1:$1016,COLUMN($F$1),FALSE))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Y276">
        <f>IF(ISNUMBER(SEARCH(SUBSTITUTE(AY$1,RIGHT(AY$1,2),""),VLOOKUP($D276,素材!$1:$1016,COLUMN($F$1),FALSE))),VLOOKUP($C276,装備品!$1:$998,COLUMN($O$1),FALSE)*VLOOKUP($D276,素材!$1:$1016,COLUMN($E$1),FALSE)/(LEN(VLOOKUP($D276,素材!$1:$1016,COLUMN($F$1),FALSE))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Z276">
        <f>IF(ISNUMBER(SEARCH(SUBSTITUTE(AZ$1,RIGHT(AZ$1,2),""),VLOOKUP($D276,素材!$1:$1016,COLUMN($F$1),FALSE))),VLOOKUP($C276,装備品!$1:$998,COLUMN($O$1),FALSE)*VLOOKUP($D276,素材!$1:$1016,COLUMN($E$1),FALSE)/(LEN(VLOOKUP($D276,素材!$1:$1016,COLUMN($F$1),FALSE))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BA276">
        <f>IF(ISNUMBER(SEARCH(SUBSTITUTE(BA$1,RIGHT(BA$1,2),""),VLOOKUP($D276,素材!$1:$1016,COLUMN($F$1),FALSE))),VLOOKUP($C276,装備品!$1:$998,COLUMN($O$1),FALSE)*VLOOKUP($D276,素材!$1:$1016,COLUMN($E$1),FALSE)/(LEN(VLOOKUP($D276,素材!$1:$1016,COLUMN($F$1),FALSE))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BB276">
        <f>IF(ISNUMBER(SEARCH(SUBSTITUTE(BB$1,RIGHT(BB$1,2),""),VLOOKUP($D276,素材!$1:$1016,COLUMN($F$1),FALSE))),VLOOKUP($C276,装備品!$1:$998,COLUMN($O$1),FALSE)*VLOOKUP($D276,素材!$1:$1016,COLUMN($E$1),FALSE)/(LEN(VLOOKUP($D276,素材!$1:$1016,COLUMN($F$1),FALSE))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BC276">
        <f>IF(ISNUMBER(SEARCH(SUBSTITUTE(BC$1,RIGHT(BC$1,2),""),VLOOKUP($D276,素材!$1:$1016,COLUMN($F$1),FALSE))),VLOOKUP($C276,装備品!$1:$998,COLUMN($O$1),FALSE)*VLOOKUP($D276,素材!$1:$1016,COLUMN($E$1),FALSE)/(LEN(VLOOKUP($D276,素材!$1:$1016,COLUMN($F$1),FALSE))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BD276">
        <f>IF(ISNUMBER(SEARCH(SUBSTITUTE(BD$1,RIGHT(BD$1,2),""),VLOOKUP($D276,素材!$1:$1016,COLUMN($F$1),FALSE))),VLOOKUP($C276,装備品!$1:$998,COLUMN($O$1),FALSE)*VLOOKUP($D276,素材!$1:$1016,COLUMN($E$1),FALSE)/(LEN(VLOOKUP($D276,素材!$1:$1016,COLUMN($F$1),FALSE))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BE276">
        <f>IF(ISNUMBER(SEARCH(SUBSTITUTE(BE$1,RIGHT(BE$1,2),""),VLOOKUP($D276,素材!$1:$1016,COLUMN($F$1),FALSE))),VLOOKUP($C276,装備品!$1:$998,COLUMN($O$1),FALSE)*VLOOKUP($D276,素材!$1:$1016,COLUMN($E$1),FALSE)/(LEN(VLOOKUP($D276,素材!$1:$1016,COLUMN($F$1),FALSE))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CL276">
        <f t="shared" si="41"/>
        <v>0</v>
      </c>
      <c r="CM276" s="22" t="str">
        <f t="shared" si="42"/>
        <v>装飾.webp</v>
      </c>
      <c r="CN276">
        <f>IFERROR(VLOOKUP($C276,装備品!$1:$998,COLUMN(V$1),FALSE)*VLOOKUP($D276,素材!$1:$1016,COLUMN(N$1),FALSE)+IF(CI276="",0,VLOOKUP($CI276,付与!$1:$1176,COLUMN($CK$1),FALSE)),"")</f>
        <v>0</v>
      </c>
      <c r="CO276" t="str">
        <f>VLOOKUP(D276,素材!$A:$O,COLUMN(素材!O$1),FALSE)</f>
        <v>魔力を帯びた特殊な皮素材。魔法防御や属性耐性を強化する効果があり、高レベルの冒険者に重宝されます。</v>
      </c>
      <c r="CP276" t="str">
        <f>VLOOKUP(C276,装備品!$A:$AB,COLUMN(装備品!AB$1),FALSE)</f>
        <v xml:space="preserve">HP ST 攻撃 防御 体幹 怯み 疲労 </v>
      </c>
      <c r="CR276" t="str">
        <f t="shared" si="43"/>
        <v>e_276</v>
      </c>
      <c r="CS276">
        <f t="shared" si="44"/>
        <v>0</v>
      </c>
    </row>
    <row r="277" spans="1:97" hidden="1" outlineLevel="1" x14ac:dyDescent="0.4">
      <c r="A277" t="str">
        <f t="shared" si="45"/>
        <v>魔獣皮の帯</v>
      </c>
      <c r="B277" t="str">
        <f>IFERROR(IF(CI277="",VLOOKUP($D277,素材!$1:$1016,COLUMN($B$1),FALSE)&amp;"・"&amp;VLOOKUP($C277,装備品!$1:$998,COLUMN(B$1),FALSE),VLOOKUP($CI277,付与!$1:$1176,COLUMN($B$1),FALSE)&amp;"・"&amp;VLOOKUP($C277,装備品!$1:$998,COLUMN(B$1),FALSE)),"")</f>
        <v>マジックレザー・ベルト</v>
      </c>
      <c r="C277" s="24" t="s">
        <v>203</v>
      </c>
      <c r="D277" s="24" t="s">
        <v>201</v>
      </c>
      <c r="E277" t="str">
        <f>IFERROR(VLOOKUP(C277,装備品!$1:$998,COLUMN(C$1),FALSE),"")</f>
        <v>装飾</v>
      </c>
      <c r="F277">
        <f>IFERROR(ROUNDDOWN((VLOOKUP($C277,装備品!$1:$998,COLUMN(D$1),FALSE)+IFERROR(VLOOKUP($CI277,付与!$1:$1167,COLUMN(F$1),FALSE),0))*VLOOKUP($D277,素材!$1:$1016,COLUMN(D$1),FALSE),0),"")</f>
        <v>0</v>
      </c>
      <c r="G277">
        <f>IFERROR(ROUNDDOWN((VLOOKUP($C277,装備品!$1:$998,COLUMN(E$1),FALSE)+IFERROR(VLOOKUP($CI277,付与!$1:$1167,COLUMN(G$1),FALSE),0))*VLOOKUP($D277,素材!$1:$1016,COLUMN($E$1),FALSE),0),"")</f>
        <v>0</v>
      </c>
      <c r="H277">
        <f>IFERROR(ROUNDDOWN((VLOOKUP($C277,装備品!$1:$998,COLUMN(F$1),FALSE)+IFERROR(VLOOKUP($CI277,付与!$1:$1167,COLUMN(H$1),FALSE),0))*VLOOKUP($D277,素材!$1:$1016,COLUMN($E$1),FALSE),0),"")</f>
        <v>0</v>
      </c>
      <c r="I277">
        <f>IFERROR(ROUNDDOWN((VLOOKUP($C277,装備品!$1:$998,COLUMN(G$1),FALSE)+IFERROR(VLOOKUP($CI277,付与!$1:$1167,COLUMN(I$1),FALSE),0))*VLOOKUP($D277,素材!$1:$1016,COLUMN($E$1),FALSE),0),"")</f>
        <v>0</v>
      </c>
      <c r="J277">
        <f>IFERROR(ROUNDDOWN((VLOOKUP($C277,装備品!$1:$998,COLUMN(H$1),FALSE)+IFERROR(VLOOKUP($CI277,付与!$1:$1167,COLUMN(J$1),FALSE),0))*VLOOKUP($D277,素材!$1:$1016,COLUMN($E$1),FALSE),0),"")</f>
        <v>0</v>
      </c>
      <c r="K277">
        <f>IFERROR(ROUNDDOWN((VLOOKUP($C277,装備品!$1:$998,COLUMN(I$1),FALSE)+IFERROR(VLOOKUP($CI277,付与!$1:$1167,COLUMN(K$1),FALSE),0))*VLOOKUP($D277,素材!$1:$1016,COLUMN($E$1),FALSE),0),"")</f>
        <v>0</v>
      </c>
      <c r="L277" t="str">
        <f>IFERROR(VLOOKUP($D277,素材!$1:$1016,COLUMN($F$1),FALSE),"")</f>
        <v>魔法</v>
      </c>
      <c r="M277" t="str">
        <f>IFERROR(VLOOKUP($C277,装備品!$1:$998,COLUMN(AA$1),FALSE)*VLOOKUP($D277,素材!$1:$1016,COLUMN($G$1),FALSE),"")</f>
        <v/>
      </c>
      <c r="N277">
        <f>IFERROR(VLOOKUP($C277,装備品!$1:$998,COLUMN(I$1),FALSE),"")</f>
        <v>0</v>
      </c>
      <c r="O277" s="23" t="str">
        <f>IFERROR((VLOOKUP($C277,装備品!$1:$998,COLUMN(K$1),FALSE)+VLOOKUP($D277,素材!$1:$1016,COLUMN(H$1),FALSE))*100+IFERROR(VLOOKUP($CI277,付与!$1:$1167,COLUMN(O$1),FALSE),0),"")</f>
        <v/>
      </c>
      <c r="P277" s="23" t="str">
        <f>IFERROR((VLOOKUP($C277,装備品!$1:$998,COLUMN(L$1),FALSE)+VLOOKUP($D277,素材!$1:$1016,COLUMN(I$1),FALSE))*100+IFERROR(VLOOKUP($CI277,付与!$1:$1167,COLUMN(P$1),FALSE),0),"")</f>
        <v/>
      </c>
      <c r="Q277">
        <f>IFERROR(ROUNDUP(VLOOKUP($C277,装備品!$1:$998,COLUMN(M$1),FALSE)*(VLOOKUP($D277,素材!$1:$1002,COLUMN(D$1),FALSE)/100),1),"")</f>
        <v>0</v>
      </c>
      <c r="R277">
        <f>IFERROR(ROUNDUP(VLOOKUP($C277,装備品!$1:$998,COLUMN(N$1),FALSE)*(VLOOKUP($D277,素材!$1:$1002,COLUMN(D$1),FALSE)/100),1),"")</f>
        <v>0</v>
      </c>
      <c r="S277">
        <f>IFERROR(VLOOKUP($C277,装備品!$1:$998,COLUMN(P$1),FALSE),"")</f>
        <v>0</v>
      </c>
      <c r="T277">
        <f>IFERROR(VLOOKUP($C277,装備品!$1:$998,COLUMN(Q$1),FALSE),"")</f>
        <v>0</v>
      </c>
      <c r="U277">
        <f>IFERROR(VLOOKUP($C277,装備品!$1:$998,COLUMN(R$1),FALSE),"")</f>
        <v>0</v>
      </c>
      <c r="V277">
        <f>IFERROR(VLOOKUP($C277,装備品!$1:$998,COLUMN(Q$1),FALSE),"")</f>
        <v>0</v>
      </c>
      <c r="W277">
        <f>IFERROR(VLOOKUP($C277,装備品!$1:$998,COLUMN(T$1),FALSE),"")</f>
        <v>0</v>
      </c>
      <c r="Y277">
        <f>IFERROR(VLOOKUP($C277,装備品!$1:$998,COLUMN(U$1),FALSE),"")</f>
        <v>0</v>
      </c>
      <c r="Z277">
        <f>IFERROR(ROUNDUP(VLOOKUP($C277,装備品!$1:$998,COLUMN(O$1),FALSE)*VLOOKUP($D277,素材!$1:$1016,COLUMN(E$1),FALSE),1),"")</f>
        <v>0</v>
      </c>
      <c r="AA277">
        <f>IF(ISNUMBER(SEARCH(SUBSTITUTE(AA$1,RIGHT(AA$1,2),""),VLOOKUP($D277,素材!$1:$1016,COLUMN($F$1),FALSE))),VLOOKUP($C277,装備品!$1:$998,COLUMN($O$1),FALSE)*VLOOKUP($D277,素材!$1:$1016,COLUMN($E$1),FALSE)/(LEN(VLOOKUP($D277,素材!$1:$1016,COLUMN($F$1),FALSE))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B277">
        <f>IF(ISNUMBER(SEARCH(SUBSTITUTE(AB$1,RIGHT(AB$1,2),""),VLOOKUP($D277,素材!$1:$1016,COLUMN($F$1),FALSE))),VLOOKUP($C277,装備品!$1:$998,COLUMN($O$1),FALSE)*VLOOKUP($D277,素材!$1:$1016,COLUMN($E$1),FALSE)/(LEN(VLOOKUP($D277,素材!$1:$1016,COLUMN($F$1),FALSE))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C277">
        <f>IF(ISNUMBER(SEARCH(SUBSTITUTE(AC$1,RIGHT(AC$1,2),""),VLOOKUP($D277,素材!$1:$1016,COLUMN($F$1),FALSE))),VLOOKUP($C277,装備品!$1:$998,COLUMN($O$1),FALSE)*VLOOKUP($D277,素材!$1:$1016,COLUMN($E$1),FALSE)/(LEN(VLOOKUP($D277,素材!$1:$1016,COLUMN($F$1),FALSE))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D277">
        <f>IF(ISNUMBER(SEARCH(SUBSTITUTE(AD$1,RIGHT(AD$1,2),""),VLOOKUP($D277,素材!$1:$1016,COLUMN($F$1),FALSE))),VLOOKUP($C277,装備品!$1:$998,COLUMN($O$1),FALSE)*VLOOKUP($D277,素材!$1:$1016,COLUMN($E$1),FALSE)/(LEN(VLOOKUP($D277,素材!$1:$1016,COLUMN($F$1),FALSE))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E277">
        <f>IF(ISNUMBER(SEARCH(SUBSTITUTE(AE$1,RIGHT(AE$1,2),""),VLOOKUP($D277,素材!$1:$1016,COLUMN($F$1),FALSE))),VLOOKUP($C277,装備品!$1:$998,COLUMN($O$1),FALSE)*VLOOKUP($D277,素材!$1:$1016,COLUMN($E$1),FALSE)/(LEN(VLOOKUP($D277,素材!$1:$1016,COLUMN($F$1),FALSE))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F277">
        <f>IF(ISNUMBER(SEARCH(SUBSTITUTE(AF$1,RIGHT(AF$1,2),""),VLOOKUP($D277,素材!$1:$1016,COLUMN($F$1),FALSE))),VLOOKUP($C277,装備品!$1:$998,COLUMN($O$1),FALSE)*VLOOKUP($D277,素材!$1:$1016,COLUMN($E$1),FALSE)/(LEN(VLOOKUP($D277,素材!$1:$1016,COLUMN($F$1),FALSE))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G277">
        <f>IF(ISNUMBER(SEARCH(SUBSTITUTE(AG$1,RIGHT(AG$1,2),""),VLOOKUP($D277,素材!$1:$1016,COLUMN($F$1),FALSE))),VLOOKUP($C277,装備品!$1:$998,COLUMN($O$1),FALSE)*VLOOKUP($D277,素材!$1:$1016,COLUMN($E$1),FALSE)/(LEN(VLOOKUP($D277,素材!$1:$1016,COLUMN($F$1),FALSE))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H277">
        <f>IF(ISNUMBER(SEARCH(SUBSTITUTE(AH$1,RIGHT(AH$1,2),""),VLOOKUP($D277,素材!$1:$1016,COLUMN($F$1),FALSE))),VLOOKUP($C277,装備品!$1:$998,COLUMN($O$1),FALSE)*VLOOKUP($D277,素材!$1:$1016,COLUMN($E$1),FALSE)/(LEN(VLOOKUP($D277,素材!$1:$1016,COLUMN($F$1),FALSE))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I277">
        <f>IF(ISNUMBER(SEARCH(SUBSTITUTE(AI$1,RIGHT(AI$1,2),""),VLOOKUP($D277,素材!$1:$1016,COLUMN($F$1),FALSE))),VLOOKUP($C277,装備品!$1:$998,COLUMN($O$1),FALSE)*VLOOKUP($D277,素材!$1:$1016,COLUMN($E$1),FALSE)/(LEN(VLOOKUP($D277,素材!$1:$1016,COLUMN($F$1),FALSE))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J277">
        <f>IF(ISNUMBER(SEARCH(SUBSTITUTE(AJ$1,RIGHT(AJ$1,2),""),VLOOKUP($D277,素材!$1:$1016,COLUMN($F$1),FALSE))),VLOOKUP($C277,装備品!$1:$998,COLUMN($O$1),FALSE)*VLOOKUP($D277,素材!$1:$1016,COLUMN($E$1),FALSE)/(LEN(VLOOKUP($D277,素材!$1:$1016,COLUMN($F$1),FALSE))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K277">
        <f>IF(ISNUMBER(SEARCH(SUBSTITUTE(AK$1,RIGHT(AK$1,2),""),VLOOKUP($D277,素材!$1:$1016,COLUMN($F$1),FALSE))),VLOOKUP($C277,装備品!$1:$998,COLUMN($O$1),FALSE)*VLOOKUP($D277,素材!$1:$1016,COLUMN($E$1),FALSE)/(LEN(VLOOKUP($D277,素材!$1:$1016,COLUMN($F$1),FALSE))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L277">
        <f>IF(ISNUMBER(SEARCH(SUBSTITUTE(AL$1,RIGHT(AL$1,2),""),VLOOKUP($D277,素材!$1:$1016,COLUMN($F$1),FALSE))),VLOOKUP($C277,装備品!$1:$998,COLUMN($O$1),FALSE)*VLOOKUP($D277,素材!$1:$1016,COLUMN($E$1),FALSE)/(LEN(VLOOKUP($D277,素材!$1:$1016,COLUMN($F$1),FALSE))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M277">
        <f>IF(ISNUMBER(SEARCH(SUBSTITUTE(AM$1,RIGHT(AM$1,2),""),VLOOKUP($D277,素材!$1:$1016,COLUMN($F$1),FALSE))),VLOOKUP($C277,装備品!$1:$998,COLUMN($O$1),FALSE)*VLOOKUP($D277,素材!$1:$1016,COLUMN($E$1),FALSE)/(LEN(VLOOKUP($D277,素材!$1:$1016,COLUMN($F$1),FALSE))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N277">
        <f>IF(ISNUMBER(SEARCH(SUBSTITUTE(AN$1,RIGHT(AN$1,2),""),VLOOKUP($D277,素材!$1:$1016,COLUMN($F$1),FALSE))),VLOOKUP($C277,装備品!$1:$998,COLUMN($O$1),FALSE)*VLOOKUP($D277,素材!$1:$1016,COLUMN($E$1),FALSE)/(LEN(VLOOKUP($D277,素材!$1:$1016,COLUMN($F$1),FALSE))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O277">
        <f>IF(ISNUMBER(SEARCH(SUBSTITUTE(AO$1,RIGHT(AO$1,2),""),VLOOKUP($D277,素材!$1:$1016,COLUMN($F$1),FALSE))),VLOOKUP($C277,装備品!$1:$998,COLUMN($O$1),FALSE)*VLOOKUP($D277,素材!$1:$1016,COLUMN($E$1),FALSE)/(LEN(VLOOKUP($D277,素材!$1:$1016,COLUMN($F$1),FALSE))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P277">
        <f>IF(ISNUMBER(SEARCH(SUBSTITUTE(AP$1,RIGHT(AP$1,2),""),VLOOKUP($D277,素材!$1:$1016,COLUMN($F$1),FALSE))),VLOOKUP($C277,装備品!$1:$998,COLUMN($O$1),FALSE)*VLOOKUP($D277,素材!$1:$1016,COLUMN($E$1),FALSE)/(LEN(VLOOKUP($D277,素材!$1:$1016,COLUMN($F$1),FALSE))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Q277">
        <f>IF(ISNUMBER(SEARCH(SUBSTITUTE(AQ$1,RIGHT(AQ$1,2),""),VLOOKUP($D277,素材!$1:$1016,COLUMN($F$1),FALSE))),VLOOKUP($C277,装備品!$1:$998,COLUMN($O$1),FALSE)*VLOOKUP($D277,素材!$1:$1016,COLUMN($E$1),FALSE)/(LEN(VLOOKUP($D277,素材!$1:$1016,COLUMN($F$1),FALSE))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R277">
        <f>IF(ISNUMBER(SEARCH(SUBSTITUTE(AR$1,RIGHT(AR$1,2),""),VLOOKUP($D277,素材!$1:$1016,COLUMN($F$1),FALSE))),VLOOKUP($C277,装備品!$1:$998,COLUMN($O$1),FALSE)*VLOOKUP($D277,素材!$1:$1016,COLUMN($E$1),FALSE)/(LEN(VLOOKUP($D277,素材!$1:$1016,COLUMN($F$1),FALSE))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S277">
        <f>IF(ISNUMBER(SEARCH(SUBSTITUTE(AS$1,RIGHT(AS$1,2),""),VLOOKUP($D277,素材!$1:$1016,COLUMN($F$1),FALSE))),VLOOKUP($C277,装備品!$1:$998,COLUMN($O$1),FALSE)*VLOOKUP($D277,素材!$1:$1016,COLUMN($E$1),FALSE)/(LEN(VLOOKUP($D277,素材!$1:$1016,COLUMN($F$1),FALSE))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T277">
        <f>IF(ISNUMBER(SEARCH(SUBSTITUTE(AT$1,RIGHT(AT$1,2),""),VLOOKUP($D277,素材!$1:$1016,COLUMN($F$1),FALSE))),VLOOKUP($C277,装備品!$1:$998,COLUMN($O$1),FALSE)*VLOOKUP($D277,素材!$1:$1016,COLUMN($E$1),FALSE)/(LEN(VLOOKUP($D277,素材!$1:$1016,COLUMN($F$1),FALSE))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U277">
        <f>IF(ISNUMBER(SEARCH(SUBSTITUTE(AU$1,RIGHT(AU$1,2),""),VLOOKUP($D277,素材!$1:$1016,COLUMN($F$1),FALSE))),VLOOKUP($C277,装備品!$1:$998,COLUMN($O$1),FALSE)*VLOOKUP($D277,素材!$1:$1016,COLUMN($E$1),FALSE)/(LEN(VLOOKUP($D277,素材!$1:$1016,COLUMN($F$1),FALSE))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V277">
        <f>IF(ISNUMBER(SEARCH(SUBSTITUTE(AV$1,RIGHT(AV$1,2),""),VLOOKUP($D277,素材!$1:$1016,COLUMN($F$1),FALSE))),VLOOKUP($C277,装備品!$1:$998,COLUMN($O$1),FALSE)*VLOOKUP($D277,素材!$1:$1016,COLUMN($E$1),FALSE)/(LEN(VLOOKUP($D277,素材!$1:$1016,COLUMN($F$1),FALSE))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W277">
        <f>IF(ISNUMBER(SEARCH(SUBSTITUTE(AW$1,RIGHT(AW$1,2),""),VLOOKUP($D277,素材!$1:$1016,COLUMN($F$1),FALSE))),VLOOKUP($C277,装備品!$1:$998,COLUMN($O$1),FALSE)*VLOOKUP($D277,素材!$1:$1016,COLUMN($E$1),FALSE)/(LEN(VLOOKUP($D277,素材!$1:$1016,COLUMN($F$1),FALSE))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X277">
        <f>IF(ISNUMBER(SEARCH(SUBSTITUTE(AX$1,RIGHT(AX$1,2),""),VLOOKUP($D277,素材!$1:$1016,COLUMN($F$1),FALSE))),VLOOKUP($C277,装備品!$1:$998,COLUMN($O$1),FALSE)*VLOOKUP($D277,素材!$1:$1016,COLUMN($E$1),FALSE)/(LEN(VLOOKUP($D277,素材!$1:$1016,COLUMN($F$1),FALSE))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Y277">
        <f>IF(ISNUMBER(SEARCH(SUBSTITUTE(AY$1,RIGHT(AY$1,2),""),VLOOKUP($D277,素材!$1:$1016,COLUMN($F$1),FALSE))),VLOOKUP($C277,装備品!$1:$998,COLUMN($O$1),FALSE)*VLOOKUP($D277,素材!$1:$1016,COLUMN($E$1),FALSE)/(LEN(VLOOKUP($D277,素材!$1:$1016,COLUMN($F$1),FALSE))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Z277">
        <f>IF(ISNUMBER(SEARCH(SUBSTITUTE(AZ$1,RIGHT(AZ$1,2),""),VLOOKUP($D277,素材!$1:$1016,COLUMN($F$1),FALSE))),VLOOKUP($C277,装備品!$1:$998,COLUMN($O$1),FALSE)*VLOOKUP($D277,素材!$1:$1016,COLUMN($E$1),FALSE)/(LEN(VLOOKUP($D277,素材!$1:$1016,COLUMN($F$1),FALSE))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BA277">
        <f>IF(ISNUMBER(SEARCH(SUBSTITUTE(BA$1,RIGHT(BA$1,2),""),VLOOKUP($D277,素材!$1:$1016,COLUMN($F$1),FALSE))),VLOOKUP($C277,装備品!$1:$998,COLUMN($O$1),FALSE)*VLOOKUP($D277,素材!$1:$1016,COLUMN($E$1),FALSE)/(LEN(VLOOKUP($D277,素材!$1:$1016,COLUMN($F$1),FALSE))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BB277">
        <f>IF(ISNUMBER(SEARCH(SUBSTITUTE(BB$1,RIGHT(BB$1,2),""),VLOOKUP($D277,素材!$1:$1016,COLUMN($F$1),FALSE))),VLOOKUP($C277,装備品!$1:$998,COLUMN($O$1),FALSE)*VLOOKUP($D277,素材!$1:$1016,COLUMN($E$1),FALSE)/(LEN(VLOOKUP($D277,素材!$1:$1016,COLUMN($F$1),FALSE))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BC277">
        <f>IF(ISNUMBER(SEARCH(SUBSTITUTE(BC$1,RIGHT(BC$1,2),""),VLOOKUP($D277,素材!$1:$1016,COLUMN($F$1),FALSE))),VLOOKUP($C277,装備品!$1:$998,COLUMN($O$1),FALSE)*VLOOKUP($D277,素材!$1:$1016,COLUMN($E$1),FALSE)/(LEN(VLOOKUP($D277,素材!$1:$1016,COLUMN($F$1),FALSE))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BD277">
        <f>IF(ISNUMBER(SEARCH(SUBSTITUTE(BD$1,RIGHT(BD$1,2),""),VLOOKUP($D277,素材!$1:$1016,COLUMN($F$1),FALSE))),VLOOKUP($C277,装備品!$1:$998,COLUMN($O$1),FALSE)*VLOOKUP($D277,素材!$1:$1016,COLUMN($E$1),FALSE)/(LEN(VLOOKUP($D277,素材!$1:$1016,COLUMN($F$1),FALSE))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BE277">
        <f>IF(ISNUMBER(SEARCH(SUBSTITUTE(BE$1,RIGHT(BE$1,2),""),VLOOKUP($D277,素材!$1:$1016,COLUMN($F$1),FALSE))),VLOOKUP($C277,装備品!$1:$998,COLUMN($O$1),FALSE)*VLOOKUP($D277,素材!$1:$1016,COLUMN($E$1),FALSE)/(LEN(VLOOKUP($D277,素材!$1:$1016,COLUMN($F$1),FALSE))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CL277">
        <f t="shared" si="41"/>
        <v>0</v>
      </c>
      <c r="CM277" s="22" t="str">
        <f t="shared" si="42"/>
        <v>装飾.webp</v>
      </c>
      <c r="CN277">
        <f>IFERROR(VLOOKUP($C277,装備品!$1:$998,COLUMN(V$1),FALSE)*VLOOKUP($D277,素材!$1:$1016,COLUMN(N$1),FALSE)+IF(CI277="",0,VLOOKUP($CI277,付与!$1:$1176,COLUMN($CK$1),FALSE)),"")</f>
        <v>0</v>
      </c>
      <c r="CO277" t="str">
        <f>VLOOKUP(D277,素材!$A:$O,COLUMN(素材!O$1),FALSE)</f>
        <v>魔力を帯びた特殊な皮素材。魔法防御や属性耐性を強化する効果があり、高レベルの冒険者に重宝されます。</v>
      </c>
      <c r="CP277" t="str">
        <f>VLOOKUP(C277,装備品!$A:$AB,COLUMN(装備品!AB$1),FALSE)</f>
        <v xml:space="preserve">HP ST 攻撃 防御 体幹 怯み 疲労 </v>
      </c>
      <c r="CR277" t="str">
        <f t="shared" si="43"/>
        <v>e_277</v>
      </c>
      <c r="CS277">
        <f t="shared" si="44"/>
        <v>0</v>
      </c>
    </row>
    <row r="278" spans="1:97" hidden="1" outlineLevel="1" x14ac:dyDescent="0.4">
      <c r="A278" t="str">
        <f t="shared" si="45"/>
        <v>魔獣皮の帯</v>
      </c>
      <c r="B278" t="str">
        <f>IFERROR(IF(CI278="",VLOOKUP($D278,素材!$1:$1016,COLUMN($B$1),FALSE)&amp;"・"&amp;VLOOKUP($C278,装備品!$1:$998,COLUMN(B$1),FALSE),VLOOKUP($CI278,付与!$1:$1176,COLUMN($B$1),FALSE)&amp;"・"&amp;VLOOKUP($C278,装備品!$1:$998,COLUMN(B$1),FALSE)),"")</f>
        <v>マジックレザー・ベルト</v>
      </c>
      <c r="C278" s="24" t="s">
        <v>203</v>
      </c>
      <c r="D278" s="24" t="s">
        <v>201</v>
      </c>
      <c r="E278" t="str">
        <f>IFERROR(VLOOKUP(C278,装備品!$1:$998,COLUMN(C$1),FALSE),"")</f>
        <v>装飾</v>
      </c>
      <c r="F278">
        <f>IFERROR(ROUNDDOWN((VLOOKUP($C278,装備品!$1:$998,COLUMN(D$1),FALSE)+IFERROR(VLOOKUP($CI278,付与!$1:$1167,COLUMN(F$1),FALSE),0))*VLOOKUP($D278,素材!$1:$1016,COLUMN(D$1),FALSE),0),"")</f>
        <v>0</v>
      </c>
      <c r="G278">
        <f>IFERROR(ROUNDDOWN((VLOOKUP($C278,装備品!$1:$998,COLUMN(E$1),FALSE)+IFERROR(VLOOKUP($CI278,付与!$1:$1167,COLUMN(G$1),FALSE),0))*VLOOKUP($D278,素材!$1:$1016,COLUMN($E$1),FALSE),0),"")</f>
        <v>0</v>
      </c>
      <c r="H278">
        <f>IFERROR(ROUNDDOWN((VLOOKUP($C278,装備品!$1:$998,COLUMN(F$1),FALSE)+IFERROR(VLOOKUP($CI278,付与!$1:$1167,COLUMN(H$1),FALSE),0))*VLOOKUP($D278,素材!$1:$1016,COLUMN($E$1),FALSE),0),"")</f>
        <v>0</v>
      </c>
      <c r="I278">
        <f>IFERROR(ROUNDDOWN((VLOOKUP($C278,装備品!$1:$998,COLUMN(G$1),FALSE)+IFERROR(VLOOKUP($CI278,付与!$1:$1167,COLUMN(I$1),FALSE),0))*VLOOKUP($D278,素材!$1:$1016,COLUMN($E$1),FALSE),0),"")</f>
        <v>0</v>
      </c>
      <c r="J278">
        <f>IFERROR(ROUNDDOWN((VLOOKUP($C278,装備品!$1:$998,COLUMN(H$1),FALSE)+IFERROR(VLOOKUP($CI278,付与!$1:$1167,COLUMN(J$1),FALSE),0))*VLOOKUP($D278,素材!$1:$1016,COLUMN($E$1),FALSE),0),"")</f>
        <v>0</v>
      </c>
      <c r="K278">
        <f>IFERROR(ROUNDDOWN((VLOOKUP($C278,装備品!$1:$998,COLUMN(I$1),FALSE)+IFERROR(VLOOKUP($CI278,付与!$1:$1167,COLUMN(K$1),FALSE),0))*VLOOKUP($D278,素材!$1:$1016,COLUMN($E$1),FALSE),0),"")</f>
        <v>0</v>
      </c>
      <c r="L278" t="str">
        <f>IFERROR(VLOOKUP($D278,素材!$1:$1016,COLUMN($F$1),FALSE),"")</f>
        <v>魔法</v>
      </c>
      <c r="M278" t="str">
        <f>IFERROR(VLOOKUP($C278,装備品!$1:$998,COLUMN(AA$1),FALSE)*VLOOKUP($D278,素材!$1:$1016,COLUMN($G$1),FALSE),"")</f>
        <v/>
      </c>
      <c r="N278">
        <f>IFERROR(VLOOKUP($C278,装備品!$1:$998,COLUMN(I$1),FALSE),"")</f>
        <v>0</v>
      </c>
      <c r="O278" s="23" t="str">
        <f>IFERROR((VLOOKUP($C278,装備品!$1:$998,COLUMN(K$1),FALSE)+VLOOKUP($D278,素材!$1:$1016,COLUMN(H$1),FALSE))*100+IFERROR(VLOOKUP($CI278,付与!$1:$1167,COLUMN(O$1),FALSE),0),"")</f>
        <v/>
      </c>
      <c r="P278" s="23" t="str">
        <f>IFERROR((VLOOKUP($C278,装備品!$1:$998,COLUMN(L$1),FALSE)+VLOOKUP($D278,素材!$1:$1016,COLUMN(I$1),FALSE))*100+IFERROR(VLOOKUP($CI278,付与!$1:$1167,COLUMN(P$1),FALSE),0),"")</f>
        <v/>
      </c>
      <c r="Q278">
        <f>IFERROR(ROUNDUP(VLOOKUP($C278,装備品!$1:$998,COLUMN(M$1),FALSE)*(VLOOKUP($D278,素材!$1:$1002,COLUMN(D$1),FALSE)/100),1),"")</f>
        <v>0</v>
      </c>
      <c r="R278">
        <f>IFERROR(ROUNDUP(VLOOKUP($C278,装備品!$1:$998,COLUMN(N$1),FALSE)*(VLOOKUP($D278,素材!$1:$1002,COLUMN(D$1),FALSE)/100),1),"")</f>
        <v>0</v>
      </c>
      <c r="S278">
        <f>IFERROR(VLOOKUP($C278,装備品!$1:$998,COLUMN(P$1),FALSE),"")</f>
        <v>0</v>
      </c>
      <c r="T278">
        <f>IFERROR(VLOOKUP($C278,装備品!$1:$998,COLUMN(Q$1),FALSE),"")</f>
        <v>0</v>
      </c>
      <c r="U278">
        <f>IFERROR(VLOOKUP($C278,装備品!$1:$998,COLUMN(R$1),FALSE),"")</f>
        <v>0</v>
      </c>
      <c r="V278">
        <f>IFERROR(VLOOKUP($C278,装備品!$1:$998,COLUMN(Q$1),FALSE),"")</f>
        <v>0</v>
      </c>
      <c r="W278">
        <f>IFERROR(VLOOKUP($C278,装備品!$1:$998,COLUMN(T$1),FALSE),"")</f>
        <v>0</v>
      </c>
      <c r="Y278">
        <f>IFERROR(VLOOKUP($C278,装備品!$1:$998,COLUMN(U$1),FALSE),"")</f>
        <v>0</v>
      </c>
      <c r="Z278">
        <f>IFERROR(ROUNDUP(VLOOKUP($C278,装備品!$1:$998,COLUMN(O$1),FALSE)*VLOOKUP($D278,素材!$1:$1016,COLUMN(E$1),FALSE),1),"")</f>
        <v>0</v>
      </c>
      <c r="AA278">
        <f>IF(ISNUMBER(SEARCH(SUBSTITUTE(AA$1,RIGHT(AA$1,2),""),VLOOKUP($D278,素材!$1:$1016,COLUMN($F$1),FALSE))),VLOOKUP($C278,装備品!$1:$998,COLUMN($O$1),FALSE)*VLOOKUP($D278,素材!$1:$1016,COLUMN($E$1),FALSE)/(LEN(VLOOKUP($D278,素材!$1:$1016,COLUMN($F$1),FALSE))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B278">
        <f>IF(ISNUMBER(SEARCH(SUBSTITUTE(AB$1,RIGHT(AB$1,2),""),VLOOKUP($D278,素材!$1:$1016,COLUMN($F$1),FALSE))),VLOOKUP($C278,装備品!$1:$998,COLUMN($O$1),FALSE)*VLOOKUP($D278,素材!$1:$1016,COLUMN($E$1),FALSE)/(LEN(VLOOKUP($D278,素材!$1:$1016,COLUMN($F$1),FALSE))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C278">
        <f>IF(ISNUMBER(SEARCH(SUBSTITUTE(AC$1,RIGHT(AC$1,2),""),VLOOKUP($D278,素材!$1:$1016,COLUMN($F$1),FALSE))),VLOOKUP($C278,装備品!$1:$998,COLUMN($O$1),FALSE)*VLOOKUP($D278,素材!$1:$1016,COLUMN($E$1),FALSE)/(LEN(VLOOKUP($D278,素材!$1:$1016,COLUMN($F$1),FALSE))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D278">
        <f>IF(ISNUMBER(SEARCH(SUBSTITUTE(AD$1,RIGHT(AD$1,2),""),VLOOKUP($D278,素材!$1:$1016,COLUMN($F$1),FALSE))),VLOOKUP($C278,装備品!$1:$998,COLUMN($O$1),FALSE)*VLOOKUP($D278,素材!$1:$1016,COLUMN($E$1),FALSE)/(LEN(VLOOKUP($D278,素材!$1:$1016,COLUMN($F$1),FALSE))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E278">
        <f>IF(ISNUMBER(SEARCH(SUBSTITUTE(AE$1,RIGHT(AE$1,2),""),VLOOKUP($D278,素材!$1:$1016,COLUMN($F$1),FALSE))),VLOOKUP($C278,装備品!$1:$998,COLUMN($O$1),FALSE)*VLOOKUP($D278,素材!$1:$1016,COLUMN($E$1),FALSE)/(LEN(VLOOKUP($D278,素材!$1:$1016,COLUMN($F$1),FALSE))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F278">
        <f>IF(ISNUMBER(SEARCH(SUBSTITUTE(AF$1,RIGHT(AF$1,2),""),VLOOKUP($D278,素材!$1:$1016,COLUMN($F$1),FALSE))),VLOOKUP($C278,装備品!$1:$998,COLUMN($O$1),FALSE)*VLOOKUP($D278,素材!$1:$1016,COLUMN($E$1),FALSE)/(LEN(VLOOKUP($D278,素材!$1:$1016,COLUMN($F$1),FALSE))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G278">
        <f>IF(ISNUMBER(SEARCH(SUBSTITUTE(AG$1,RIGHT(AG$1,2),""),VLOOKUP($D278,素材!$1:$1016,COLUMN($F$1),FALSE))),VLOOKUP($C278,装備品!$1:$998,COLUMN($O$1),FALSE)*VLOOKUP($D278,素材!$1:$1016,COLUMN($E$1),FALSE)/(LEN(VLOOKUP($D278,素材!$1:$1016,COLUMN($F$1),FALSE))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H278">
        <f>IF(ISNUMBER(SEARCH(SUBSTITUTE(AH$1,RIGHT(AH$1,2),""),VLOOKUP($D278,素材!$1:$1016,COLUMN($F$1),FALSE))),VLOOKUP($C278,装備品!$1:$998,COLUMN($O$1),FALSE)*VLOOKUP($D278,素材!$1:$1016,COLUMN($E$1),FALSE)/(LEN(VLOOKUP($D278,素材!$1:$1016,COLUMN($F$1),FALSE))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I278">
        <f>IF(ISNUMBER(SEARCH(SUBSTITUTE(AI$1,RIGHT(AI$1,2),""),VLOOKUP($D278,素材!$1:$1016,COLUMN($F$1),FALSE))),VLOOKUP($C278,装備品!$1:$998,COLUMN($O$1),FALSE)*VLOOKUP($D278,素材!$1:$1016,COLUMN($E$1),FALSE)/(LEN(VLOOKUP($D278,素材!$1:$1016,COLUMN($F$1),FALSE))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J278">
        <f>IF(ISNUMBER(SEARCH(SUBSTITUTE(AJ$1,RIGHT(AJ$1,2),""),VLOOKUP($D278,素材!$1:$1016,COLUMN($F$1),FALSE))),VLOOKUP($C278,装備品!$1:$998,COLUMN($O$1),FALSE)*VLOOKUP($D278,素材!$1:$1016,COLUMN($E$1),FALSE)/(LEN(VLOOKUP($D278,素材!$1:$1016,COLUMN($F$1),FALSE))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K278">
        <f>IF(ISNUMBER(SEARCH(SUBSTITUTE(AK$1,RIGHT(AK$1,2),""),VLOOKUP($D278,素材!$1:$1016,COLUMN($F$1),FALSE))),VLOOKUP($C278,装備品!$1:$998,COLUMN($O$1),FALSE)*VLOOKUP($D278,素材!$1:$1016,COLUMN($E$1),FALSE)/(LEN(VLOOKUP($D278,素材!$1:$1016,COLUMN($F$1),FALSE))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L278">
        <f>IF(ISNUMBER(SEARCH(SUBSTITUTE(AL$1,RIGHT(AL$1,2),""),VLOOKUP($D278,素材!$1:$1016,COLUMN($F$1),FALSE))),VLOOKUP($C278,装備品!$1:$998,COLUMN($O$1),FALSE)*VLOOKUP($D278,素材!$1:$1016,COLUMN($E$1),FALSE)/(LEN(VLOOKUP($D278,素材!$1:$1016,COLUMN($F$1),FALSE))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M278">
        <f>IF(ISNUMBER(SEARCH(SUBSTITUTE(AM$1,RIGHT(AM$1,2),""),VLOOKUP($D278,素材!$1:$1016,COLUMN($F$1),FALSE))),VLOOKUP($C278,装備品!$1:$998,COLUMN($O$1),FALSE)*VLOOKUP($D278,素材!$1:$1016,COLUMN($E$1),FALSE)/(LEN(VLOOKUP($D278,素材!$1:$1016,COLUMN($F$1),FALSE))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N278">
        <f>IF(ISNUMBER(SEARCH(SUBSTITUTE(AN$1,RIGHT(AN$1,2),""),VLOOKUP($D278,素材!$1:$1016,COLUMN($F$1),FALSE))),VLOOKUP($C278,装備品!$1:$998,COLUMN($O$1),FALSE)*VLOOKUP($D278,素材!$1:$1016,COLUMN($E$1),FALSE)/(LEN(VLOOKUP($D278,素材!$1:$1016,COLUMN($F$1),FALSE))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O278">
        <f>IF(ISNUMBER(SEARCH(SUBSTITUTE(AO$1,RIGHT(AO$1,2),""),VLOOKUP($D278,素材!$1:$1016,COLUMN($F$1),FALSE))),VLOOKUP($C278,装備品!$1:$998,COLUMN($O$1),FALSE)*VLOOKUP($D278,素材!$1:$1016,COLUMN($E$1),FALSE)/(LEN(VLOOKUP($D278,素材!$1:$1016,COLUMN($F$1),FALSE))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P278">
        <f>IF(ISNUMBER(SEARCH(SUBSTITUTE(AP$1,RIGHT(AP$1,2),""),VLOOKUP($D278,素材!$1:$1016,COLUMN($F$1),FALSE))),VLOOKUP($C278,装備品!$1:$998,COLUMN($O$1),FALSE)*VLOOKUP($D278,素材!$1:$1016,COLUMN($E$1),FALSE)/(LEN(VLOOKUP($D278,素材!$1:$1016,COLUMN($F$1),FALSE))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Q278">
        <f>IF(ISNUMBER(SEARCH(SUBSTITUTE(AQ$1,RIGHT(AQ$1,2),""),VLOOKUP($D278,素材!$1:$1016,COLUMN($F$1),FALSE))),VLOOKUP($C278,装備品!$1:$998,COLUMN($O$1),FALSE)*VLOOKUP($D278,素材!$1:$1016,COLUMN($E$1),FALSE)/(LEN(VLOOKUP($D278,素材!$1:$1016,COLUMN($F$1),FALSE))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R278">
        <f>IF(ISNUMBER(SEARCH(SUBSTITUTE(AR$1,RIGHT(AR$1,2),""),VLOOKUP($D278,素材!$1:$1016,COLUMN($F$1),FALSE))),VLOOKUP($C278,装備品!$1:$998,COLUMN($O$1),FALSE)*VLOOKUP($D278,素材!$1:$1016,COLUMN($E$1),FALSE)/(LEN(VLOOKUP($D278,素材!$1:$1016,COLUMN($F$1),FALSE))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S278">
        <f>IF(ISNUMBER(SEARCH(SUBSTITUTE(AS$1,RIGHT(AS$1,2),""),VLOOKUP($D278,素材!$1:$1016,COLUMN($F$1),FALSE))),VLOOKUP($C278,装備品!$1:$998,COLUMN($O$1),FALSE)*VLOOKUP($D278,素材!$1:$1016,COLUMN($E$1),FALSE)/(LEN(VLOOKUP($D278,素材!$1:$1016,COLUMN($F$1),FALSE))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T278">
        <f>IF(ISNUMBER(SEARCH(SUBSTITUTE(AT$1,RIGHT(AT$1,2),""),VLOOKUP($D278,素材!$1:$1016,COLUMN($F$1),FALSE))),VLOOKUP($C278,装備品!$1:$998,COLUMN($O$1),FALSE)*VLOOKUP($D278,素材!$1:$1016,COLUMN($E$1),FALSE)/(LEN(VLOOKUP($D278,素材!$1:$1016,COLUMN($F$1),FALSE))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U278">
        <f>IF(ISNUMBER(SEARCH(SUBSTITUTE(AU$1,RIGHT(AU$1,2),""),VLOOKUP($D278,素材!$1:$1016,COLUMN($F$1),FALSE))),VLOOKUP($C278,装備品!$1:$998,COLUMN($O$1),FALSE)*VLOOKUP($D278,素材!$1:$1016,COLUMN($E$1),FALSE)/(LEN(VLOOKUP($D278,素材!$1:$1016,COLUMN($F$1),FALSE))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V278">
        <f>IF(ISNUMBER(SEARCH(SUBSTITUTE(AV$1,RIGHT(AV$1,2),""),VLOOKUP($D278,素材!$1:$1016,COLUMN($F$1),FALSE))),VLOOKUP($C278,装備品!$1:$998,COLUMN($O$1),FALSE)*VLOOKUP($D278,素材!$1:$1016,COLUMN($E$1),FALSE)/(LEN(VLOOKUP($D278,素材!$1:$1016,COLUMN($F$1),FALSE))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W278">
        <f>IF(ISNUMBER(SEARCH(SUBSTITUTE(AW$1,RIGHT(AW$1,2),""),VLOOKUP($D278,素材!$1:$1016,COLUMN($F$1),FALSE))),VLOOKUP($C278,装備品!$1:$998,COLUMN($O$1),FALSE)*VLOOKUP($D278,素材!$1:$1016,COLUMN($E$1),FALSE)/(LEN(VLOOKUP($D278,素材!$1:$1016,COLUMN($F$1),FALSE))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X278">
        <f>IF(ISNUMBER(SEARCH(SUBSTITUTE(AX$1,RIGHT(AX$1,2),""),VLOOKUP($D278,素材!$1:$1016,COLUMN($F$1),FALSE))),VLOOKUP($C278,装備品!$1:$998,COLUMN($O$1),FALSE)*VLOOKUP($D278,素材!$1:$1016,COLUMN($E$1),FALSE)/(LEN(VLOOKUP($D278,素材!$1:$1016,COLUMN($F$1),FALSE))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Y278">
        <f>IF(ISNUMBER(SEARCH(SUBSTITUTE(AY$1,RIGHT(AY$1,2),""),VLOOKUP($D278,素材!$1:$1016,COLUMN($F$1),FALSE))),VLOOKUP($C278,装備品!$1:$998,COLUMN($O$1),FALSE)*VLOOKUP($D278,素材!$1:$1016,COLUMN($E$1),FALSE)/(LEN(VLOOKUP($D278,素材!$1:$1016,COLUMN($F$1),FALSE))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Z278">
        <f>IF(ISNUMBER(SEARCH(SUBSTITUTE(AZ$1,RIGHT(AZ$1,2),""),VLOOKUP($D278,素材!$1:$1016,COLUMN($F$1),FALSE))),VLOOKUP($C278,装備品!$1:$998,COLUMN($O$1),FALSE)*VLOOKUP($D278,素材!$1:$1016,COLUMN($E$1),FALSE)/(LEN(VLOOKUP($D278,素材!$1:$1016,COLUMN($F$1),FALSE))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BA278">
        <f>IF(ISNUMBER(SEARCH(SUBSTITUTE(BA$1,RIGHT(BA$1,2),""),VLOOKUP($D278,素材!$1:$1016,COLUMN($F$1),FALSE))),VLOOKUP($C278,装備品!$1:$998,COLUMN($O$1),FALSE)*VLOOKUP($D278,素材!$1:$1016,COLUMN($E$1),FALSE)/(LEN(VLOOKUP($D278,素材!$1:$1016,COLUMN($F$1),FALSE))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BB278">
        <f>IF(ISNUMBER(SEARCH(SUBSTITUTE(BB$1,RIGHT(BB$1,2),""),VLOOKUP($D278,素材!$1:$1016,COLUMN($F$1),FALSE))),VLOOKUP($C278,装備品!$1:$998,COLUMN($O$1),FALSE)*VLOOKUP($D278,素材!$1:$1016,COLUMN($E$1),FALSE)/(LEN(VLOOKUP($D278,素材!$1:$1016,COLUMN($F$1),FALSE))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BC278">
        <f>IF(ISNUMBER(SEARCH(SUBSTITUTE(BC$1,RIGHT(BC$1,2),""),VLOOKUP($D278,素材!$1:$1016,COLUMN($F$1),FALSE))),VLOOKUP($C278,装備品!$1:$998,COLUMN($O$1),FALSE)*VLOOKUP($D278,素材!$1:$1016,COLUMN($E$1),FALSE)/(LEN(VLOOKUP($D278,素材!$1:$1016,COLUMN($F$1),FALSE))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BD278">
        <f>IF(ISNUMBER(SEARCH(SUBSTITUTE(BD$1,RIGHT(BD$1,2),""),VLOOKUP($D278,素材!$1:$1016,COLUMN($F$1),FALSE))),VLOOKUP($C278,装備品!$1:$998,COLUMN($O$1),FALSE)*VLOOKUP($D278,素材!$1:$1016,COLUMN($E$1),FALSE)/(LEN(VLOOKUP($D278,素材!$1:$1016,COLUMN($F$1),FALSE))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BE278">
        <f>IF(ISNUMBER(SEARCH(SUBSTITUTE(BE$1,RIGHT(BE$1,2),""),VLOOKUP($D278,素材!$1:$1016,COLUMN($F$1),FALSE))),VLOOKUP($C278,装備品!$1:$998,COLUMN($O$1),FALSE)*VLOOKUP($D278,素材!$1:$1016,COLUMN($E$1),FALSE)/(LEN(VLOOKUP($D278,素材!$1:$1016,COLUMN($F$1),FALSE))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CL278">
        <f t="shared" si="41"/>
        <v>0</v>
      </c>
      <c r="CM278" s="22" t="str">
        <f t="shared" si="42"/>
        <v>装飾.webp</v>
      </c>
      <c r="CN278">
        <f>IFERROR(VLOOKUP($C278,装備品!$1:$998,COLUMN(V$1),FALSE)*VLOOKUP($D278,素材!$1:$1016,COLUMN(N$1),FALSE)+IF(CI278="",0,VLOOKUP($CI278,付与!$1:$1176,COLUMN($CK$1),FALSE)),"")</f>
        <v>0</v>
      </c>
      <c r="CO278" t="str">
        <f>VLOOKUP(D278,素材!$A:$O,COLUMN(素材!O$1),FALSE)</f>
        <v>魔力を帯びた特殊な皮素材。魔法防御や属性耐性を強化する効果があり、高レベルの冒険者に重宝されます。</v>
      </c>
      <c r="CP278" t="str">
        <f>VLOOKUP(C278,装備品!$A:$AB,COLUMN(装備品!AB$1),FALSE)</f>
        <v xml:space="preserve">HP ST 攻撃 防御 体幹 怯み 疲労 </v>
      </c>
      <c r="CR278" t="str">
        <f t="shared" si="43"/>
        <v>e_278</v>
      </c>
      <c r="CS278">
        <f t="shared" si="44"/>
        <v>0</v>
      </c>
    </row>
    <row r="279" spans="1:97" hidden="1" outlineLevel="1" x14ac:dyDescent="0.4">
      <c r="A279" t="str">
        <f t="shared" si="45"/>
        <v>魔獣皮の外套</v>
      </c>
      <c r="B279" t="str">
        <f>IFERROR(IF(CI279="",VLOOKUP($D279,素材!$1:$1016,COLUMN($B$1),FALSE)&amp;"・"&amp;VLOOKUP($C279,装備品!$1:$998,COLUMN(B$1),FALSE),VLOOKUP($CI279,付与!$1:$1176,COLUMN($B$1),FALSE)&amp;"・"&amp;VLOOKUP($C279,装備品!$1:$998,COLUMN(B$1),FALSE)),"")</f>
        <v>マジックレザー・マント</v>
      </c>
      <c r="C279" s="24" t="s">
        <v>202</v>
      </c>
      <c r="D279" s="24" t="s">
        <v>201</v>
      </c>
      <c r="E279" t="str">
        <f>IFERROR(VLOOKUP(C279,装備品!$1:$998,COLUMN(C$1),FALSE),"")</f>
        <v>装飾</v>
      </c>
      <c r="F279">
        <f>IFERROR(ROUNDDOWN((VLOOKUP($C279,装備品!$1:$998,COLUMN(D$1),FALSE)+IFERROR(VLOOKUP($CI279,付与!$1:$1167,COLUMN(F$1),FALSE),0))*VLOOKUP($D279,素材!$1:$1016,COLUMN(D$1),FALSE),0),"")</f>
        <v>0</v>
      </c>
      <c r="G279">
        <f>IFERROR(ROUNDDOWN((VLOOKUP($C279,装備品!$1:$998,COLUMN(E$1),FALSE)+IFERROR(VLOOKUP($CI279,付与!$1:$1167,COLUMN(G$1),FALSE),0))*VLOOKUP($D279,素材!$1:$1016,COLUMN($E$1),FALSE),0),"")</f>
        <v>0</v>
      </c>
      <c r="H279">
        <f>IFERROR(ROUNDDOWN((VLOOKUP($C279,装備品!$1:$998,COLUMN(F$1),FALSE)+IFERROR(VLOOKUP($CI279,付与!$1:$1167,COLUMN(H$1),FALSE),0))*VLOOKUP($D279,素材!$1:$1016,COLUMN($E$1),FALSE),0),"")</f>
        <v>0</v>
      </c>
      <c r="I279">
        <f>IFERROR(ROUNDDOWN((VLOOKUP($C279,装備品!$1:$998,COLUMN(G$1),FALSE)+IFERROR(VLOOKUP($CI279,付与!$1:$1167,COLUMN(I$1),FALSE),0))*VLOOKUP($D279,素材!$1:$1016,COLUMN($E$1),FALSE),0),"")</f>
        <v>0</v>
      </c>
      <c r="J279">
        <f>IFERROR(ROUNDDOWN((VLOOKUP($C279,装備品!$1:$998,COLUMN(H$1),FALSE)+IFERROR(VLOOKUP($CI279,付与!$1:$1167,COLUMN(J$1),FALSE),0))*VLOOKUP($D279,素材!$1:$1016,COLUMN($E$1),FALSE),0),"")</f>
        <v>0</v>
      </c>
      <c r="K279">
        <f>IFERROR(ROUNDDOWN((VLOOKUP($C279,装備品!$1:$998,COLUMN(I$1),FALSE)+IFERROR(VLOOKUP($CI279,付与!$1:$1167,COLUMN(K$1),FALSE),0))*VLOOKUP($D279,素材!$1:$1016,COLUMN($E$1),FALSE),0),"")</f>
        <v>0</v>
      </c>
      <c r="L279" t="str">
        <f>IFERROR(VLOOKUP($D279,素材!$1:$1016,COLUMN($F$1),FALSE),"")</f>
        <v>魔法</v>
      </c>
      <c r="M279" t="str">
        <f>IFERROR(VLOOKUP($C279,装備品!$1:$998,COLUMN(AA$1),FALSE)*VLOOKUP($D279,素材!$1:$1016,COLUMN($G$1),FALSE),"")</f>
        <v/>
      </c>
      <c r="N279">
        <f>IFERROR(VLOOKUP($C279,装備品!$1:$998,COLUMN(I$1),FALSE),"")</f>
        <v>0</v>
      </c>
      <c r="O279" s="23" t="str">
        <f>IFERROR((VLOOKUP($C279,装備品!$1:$998,COLUMN(K$1),FALSE)+VLOOKUP($D279,素材!$1:$1016,COLUMN(H$1),FALSE))*100+IFERROR(VLOOKUP($CI279,付与!$1:$1167,COLUMN(O$1),FALSE),0),"")</f>
        <v/>
      </c>
      <c r="P279" s="23" t="str">
        <f>IFERROR((VLOOKUP($C279,装備品!$1:$998,COLUMN(L$1),FALSE)+VLOOKUP($D279,素材!$1:$1016,COLUMN(I$1),FALSE))*100+IFERROR(VLOOKUP($CI279,付与!$1:$1167,COLUMN(P$1),FALSE),0),"")</f>
        <v/>
      </c>
      <c r="Q279">
        <f>IFERROR(ROUNDUP(VLOOKUP($C279,装備品!$1:$998,COLUMN(M$1),FALSE)*(VLOOKUP($D279,素材!$1:$1002,COLUMN(D$1),FALSE)/100),1),"")</f>
        <v>0</v>
      </c>
      <c r="R279">
        <f>IFERROR(ROUNDUP(VLOOKUP($C279,装備品!$1:$998,COLUMN(N$1),FALSE)*(VLOOKUP($D279,素材!$1:$1002,COLUMN(D$1),FALSE)/100),1),"")</f>
        <v>0</v>
      </c>
      <c r="S279">
        <f>IFERROR(VLOOKUP($C279,装備品!$1:$998,COLUMN(P$1),FALSE),"")</f>
        <v>0</v>
      </c>
      <c r="T279">
        <f>IFERROR(VLOOKUP($C279,装備品!$1:$998,COLUMN(Q$1),FALSE),"")</f>
        <v>0</v>
      </c>
      <c r="U279">
        <f>IFERROR(VLOOKUP($C279,装備品!$1:$998,COLUMN(R$1),FALSE),"")</f>
        <v>0</v>
      </c>
      <c r="V279">
        <f>IFERROR(VLOOKUP($C279,装備品!$1:$998,COLUMN(Q$1),FALSE),"")</f>
        <v>0</v>
      </c>
      <c r="W279">
        <f>IFERROR(VLOOKUP($C279,装備品!$1:$998,COLUMN(T$1),FALSE),"")</f>
        <v>0</v>
      </c>
      <c r="Y279">
        <f>IFERROR(VLOOKUP($C279,装備品!$1:$998,COLUMN(U$1),FALSE),"")</f>
        <v>0</v>
      </c>
      <c r="Z279">
        <f>IFERROR(ROUNDUP(VLOOKUP($C279,装備品!$1:$998,COLUMN(O$1),FALSE)*VLOOKUP($D279,素材!$1:$1016,COLUMN(E$1),FALSE),1),"")</f>
        <v>0</v>
      </c>
      <c r="AA279">
        <f>IF(ISNUMBER(SEARCH(SUBSTITUTE(AA$1,RIGHT(AA$1,2),""),VLOOKUP($D279,素材!$1:$1016,COLUMN($F$1),FALSE))),VLOOKUP($C279,装備品!$1:$998,COLUMN($O$1),FALSE)*VLOOKUP($D279,素材!$1:$1016,COLUMN($E$1),FALSE)/(LEN(VLOOKUP($D279,素材!$1:$1016,COLUMN($F$1),FALSE))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B279">
        <f>IF(ISNUMBER(SEARCH(SUBSTITUTE(AB$1,RIGHT(AB$1,2),""),VLOOKUP($D279,素材!$1:$1016,COLUMN($F$1),FALSE))),VLOOKUP($C279,装備品!$1:$998,COLUMN($O$1),FALSE)*VLOOKUP($D279,素材!$1:$1016,COLUMN($E$1),FALSE)/(LEN(VLOOKUP($D279,素材!$1:$1016,COLUMN($F$1),FALSE))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C279">
        <f>IF(ISNUMBER(SEARCH(SUBSTITUTE(AC$1,RIGHT(AC$1,2),""),VLOOKUP($D279,素材!$1:$1016,COLUMN($F$1),FALSE))),VLOOKUP($C279,装備品!$1:$998,COLUMN($O$1),FALSE)*VLOOKUP($D279,素材!$1:$1016,COLUMN($E$1),FALSE)/(LEN(VLOOKUP($D279,素材!$1:$1016,COLUMN($F$1),FALSE))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D279">
        <f>IF(ISNUMBER(SEARCH(SUBSTITUTE(AD$1,RIGHT(AD$1,2),""),VLOOKUP($D279,素材!$1:$1016,COLUMN($F$1),FALSE))),VLOOKUP($C279,装備品!$1:$998,COLUMN($O$1),FALSE)*VLOOKUP($D279,素材!$1:$1016,COLUMN($E$1),FALSE)/(LEN(VLOOKUP($D279,素材!$1:$1016,COLUMN($F$1),FALSE))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E279">
        <f>IF(ISNUMBER(SEARCH(SUBSTITUTE(AE$1,RIGHT(AE$1,2),""),VLOOKUP($D279,素材!$1:$1016,COLUMN($F$1),FALSE))),VLOOKUP($C279,装備品!$1:$998,COLUMN($O$1),FALSE)*VLOOKUP($D279,素材!$1:$1016,COLUMN($E$1),FALSE)/(LEN(VLOOKUP($D279,素材!$1:$1016,COLUMN($F$1),FALSE))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F279">
        <f>IF(ISNUMBER(SEARCH(SUBSTITUTE(AF$1,RIGHT(AF$1,2),""),VLOOKUP($D279,素材!$1:$1016,COLUMN($F$1),FALSE))),VLOOKUP($C279,装備品!$1:$998,COLUMN($O$1),FALSE)*VLOOKUP($D279,素材!$1:$1016,COLUMN($E$1),FALSE)/(LEN(VLOOKUP($D279,素材!$1:$1016,COLUMN($F$1),FALSE))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G279">
        <f>IF(ISNUMBER(SEARCH(SUBSTITUTE(AG$1,RIGHT(AG$1,2),""),VLOOKUP($D279,素材!$1:$1016,COLUMN($F$1),FALSE))),VLOOKUP($C279,装備品!$1:$998,COLUMN($O$1),FALSE)*VLOOKUP($D279,素材!$1:$1016,COLUMN($E$1),FALSE)/(LEN(VLOOKUP($D279,素材!$1:$1016,COLUMN($F$1),FALSE))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H279">
        <f>IF(ISNUMBER(SEARCH(SUBSTITUTE(AH$1,RIGHT(AH$1,2),""),VLOOKUP($D279,素材!$1:$1016,COLUMN($F$1),FALSE))),VLOOKUP($C279,装備品!$1:$998,COLUMN($O$1),FALSE)*VLOOKUP($D279,素材!$1:$1016,COLUMN($E$1),FALSE)/(LEN(VLOOKUP($D279,素材!$1:$1016,COLUMN($F$1),FALSE))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I279">
        <f>IF(ISNUMBER(SEARCH(SUBSTITUTE(AI$1,RIGHT(AI$1,2),""),VLOOKUP($D279,素材!$1:$1016,COLUMN($F$1),FALSE))),VLOOKUP($C279,装備品!$1:$998,COLUMN($O$1),FALSE)*VLOOKUP($D279,素材!$1:$1016,COLUMN($E$1),FALSE)/(LEN(VLOOKUP($D279,素材!$1:$1016,COLUMN($F$1),FALSE))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J279">
        <f>IF(ISNUMBER(SEARCH(SUBSTITUTE(AJ$1,RIGHT(AJ$1,2),""),VLOOKUP($D279,素材!$1:$1016,COLUMN($F$1),FALSE))),VLOOKUP($C279,装備品!$1:$998,COLUMN($O$1),FALSE)*VLOOKUP($D279,素材!$1:$1016,COLUMN($E$1),FALSE)/(LEN(VLOOKUP($D279,素材!$1:$1016,COLUMN($F$1),FALSE))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K279">
        <f>IF(ISNUMBER(SEARCH(SUBSTITUTE(AK$1,RIGHT(AK$1,2),""),VLOOKUP($D279,素材!$1:$1016,COLUMN($F$1),FALSE))),VLOOKUP($C279,装備品!$1:$998,COLUMN($O$1),FALSE)*VLOOKUP($D279,素材!$1:$1016,COLUMN($E$1),FALSE)/(LEN(VLOOKUP($D279,素材!$1:$1016,COLUMN($F$1),FALSE))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L279">
        <f>IF(ISNUMBER(SEARCH(SUBSTITUTE(AL$1,RIGHT(AL$1,2),""),VLOOKUP($D279,素材!$1:$1016,COLUMN($F$1),FALSE))),VLOOKUP($C279,装備品!$1:$998,COLUMN($O$1),FALSE)*VLOOKUP($D279,素材!$1:$1016,COLUMN($E$1),FALSE)/(LEN(VLOOKUP($D279,素材!$1:$1016,COLUMN($F$1),FALSE))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M279">
        <f>IF(ISNUMBER(SEARCH(SUBSTITUTE(AM$1,RIGHT(AM$1,2),""),VLOOKUP($D279,素材!$1:$1016,COLUMN($F$1),FALSE))),VLOOKUP($C279,装備品!$1:$998,COLUMN($O$1),FALSE)*VLOOKUP($D279,素材!$1:$1016,COLUMN($E$1),FALSE)/(LEN(VLOOKUP($D279,素材!$1:$1016,COLUMN($F$1),FALSE))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N279">
        <f>IF(ISNUMBER(SEARCH(SUBSTITUTE(AN$1,RIGHT(AN$1,2),""),VLOOKUP($D279,素材!$1:$1016,COLUMN($F$1),FALSE))),VLOOKUP($C279,装備品!$1:$998,COLUMN($O$1),FALSE)*VLOOKUP($D279,素材!$1:$1016,COLUMN($E$1),FALSE)/(LEN(VLOOKUP($D279,素材!$1:$1016,COLUMN($F$1),FALSE))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O279">
        <f>IF(ISNUMBER(SEARCH(SUBSTITUTE(AO$1,RIGHT(AO$1,2),""),VLOOKUP($D279,素材!$1:$1016,COLUMN($F$1),FALSE))),VLOOKUP($C279,装備品!$1:$998,COLUMN($O$1),FALSE)*VLOOKUP($D279,素材!$1:$1016,COLUMN($E$1),FALSE)/(LEN(VLOOKUP($D279,素材!$1:$1016,COLUMN($F$1),FALSE))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P279">
        <f>IF(ISNUMBER(SEARCH(SUBSTITUTE(AP$1,RIGHT(AP$1,2),""),VLOOKUP($D279,素材!$1:$1016,COLUMN($F$1),FALSE))),VLOOKUP($C279,装備品!$1:$998,COLUMN($O$1),FALSE)*VLOOKUP($D279,素材!$1:$1016,COLUMN($E$1),FALSE)/(LEN(VLOOKUP($D279,素材!$1:$1016,COLUMN($F$1),FALSE))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Q279">
        <f>IF(ISNUMBER(SEARCH(SUBSTITUTE(AQ$1,RIGHT(AQ$1,2),""),VLOOKUP($D279,素材!$1:$1016,COLUMN($F$1),FALSE))),VLOOKUP($C279,装備品!$1:$998,COLUMN($O$1),FALSE)*VLOOKUP($D279,素材!$1:$1016,COLUMN($E$1),FALSE)/(LEN(VLOOKUP($D279,素材!$1:$1016,COLUMN($F$1),FALSE))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R279">
        <f>IF(ISNUMBER(SEARCH(SUBSTITUTE(AR$1,RIGHT(AR$1,2),""),VLOOKUP($D279,素材!$1:$1016,COLUMN($F$1),FALSE))),VLOOKUP($C279,装備品!$1:$998,COLUMN($O$1),FALSE)*VLOOKUP($D279,素材!$1:$1016,COLUMN($E$1),FALSE)/(LEN(VLOOKUP($D279,素材!$1:$1016,COLUMN($F$1),FALSE))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S279">
        <f>IF(ISNUMBER(SEARCH(SUBSTITUTE(AS$1,RIGHT(AS$1,2),""),VLOOKUP($D279,素材!$1:$1016,COLUMN($F$1),FALSE))),VLOOKUP($C279,装備品!$1:$998,COLUMN($O$1),FALSE)*VLOOKUP($D279,素材!$1:$1016,COLUMN($E$1),FALSE)/(LEN(VLOOKUP($D279,素材!$1:$1016,COLUMN($F$1),FALSE))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T279">
        <f>IF(ISNUMBER(SEARCH(SUBSTITUTE(AT$1,RIGHT(AT$1,2),""),VLOOKUP($D279,素材!$1:$1016,COLUMN($F$1),FALSE))),VLOOKUP($C279,装備品!$1:$998,COLUMN($O$1),FALSE)*VLOOKUP($D279,素材!$1:$1016,COLUMN($E$1),FALSE)/(LEN(VLOOKUP($D279,素材!$1:$1016,COLUMN($F$1),FALSE))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U279">
        <f>IF(ISNUMBER(SEARCH(SUBSTITUTE(AU$1,RIGHT(AU$1,2),""),VLOOKUP($D279,素材!$1:$1016,COLUMN($F$1),FALSE))),VLOOKUP($C279,装備品!$1:$998,COLUMN($O$1),FALSE)*VLOOKUP($D279,素材!$1:$1016,COLUMN($E$1),FALSE)/(LEN(VLOOKUP($D279,素材!$1:$1016,COLUMN($F$1),FALSE))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V279">
        <f>IF(ISNUMBER(SEARCH(SUBSTITUTE(AV$1,RIGHT(AV$1,2),""),VLOOKUP($D279,素材!$1:$1016,COLUMN($F$1),FALSE))),VLOOKUP($C279,装備品!$1:$998,COLUMN($O$1),FALSE)*VLOOKUP($D279,素材!$1:$1016,COLUMN($E$1),FALSE)/(LEN(VLOOKUP($D279,素材!$1:$1016,COLUMN($F$1),FALSE))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W279">
        <f>IF(ISNUMBER(SEARCH(SUBSTITUTE(AW$1,RIGHT(AW$1,2),""),VLOOKUP($D279,素材!$1:$1016,COLUMN($F$1),FALSE))),VLOOKUP($C279,装備品!$1:$998,COLUMN($O$1),FALSE)*VLOOKUP($D279,素材!$1:$1016,COLUMN($E$1),FALSE)/(LEN(VLOOKUP($D279,素材!$1:$1016,COLUMN($F$1),FALSE))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X279">
        <f>IF(ISNUMBER(SEARCH(SUBSTITUTE(AX$1,RIGHT(AX$1,2),""),VLOOKUP($D279,素材!$1:$1016,COLUMN($F$1),FALSE))),VLOOKUP($C279,装備品!$1:$998,COLUMN($O$1),FALSE)*VLOOKUP($D279,素材!$1:$1016,COLUMN($E$1),FALSE)/(LEN(VLOOKUP($D279,素材!$1:$1016,COLUMN($F$1),FALSE))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Y279">
        <f>IF(ISNUMBER(SEARCH(SUBSTITUTE(AY$1,RIGHT(AY$1,2),""),VLOOKUP($D279,素材!$1:$1016,COLUMN($F$1),FALSE))),VLOOKUP($C279,装備品!$1:$998,COLUMN($O$1),FALSE)*VLOOKUP($D279,素材!$1:$1016,COLUMN($E$1),FALSE)/(LEN(VLOOKUP($D279,素材!$1:$1016,COLUMN($F$1),FALSE))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Z279">
        <f>IF(ISNUMBER(SEARCH(SUBSTITUTE(AZ$1,RIGHT(AZ$1,2),""),VLOOKUP($D279,素材!$1:$1016,COLUMN($F$1),FALSE))),VLOOKUP($C279,装備品!$1:$998,COLUMN($O$1),FALSE)*VLOOKUP($D279,素材!$1:$1016,COLUMN($E$1),FALSE)/(LEN(VLOOKUP($D279,素材!$1:$1016,COLUMN($F$1),FALSE))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BA279">
        <f>IF(ISNUMBER(SEARCH(SUBSTITUTE(BA$1,RIGHT(BA$1,2),""),VLOOKUP($D279,素材!$1:$1016,COLUMN($F$1),FALSE))),VLOOKUP($C279,装備品!$1:$998,COLUMN($O$1),FALSE)*VLOOKUP($D279,素材!$1:$1016,COLUMN($E$1),FALSE)/(LEN(VLOOKUP($D279,素材!$1:$1016,COLUMN($F$1),FALSE))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BB279">
        <f>IF(ISNUMBER(SEARCH(SUBSTITUTE(BB$1,RIGHT(BB$1,2),""),VLOOKUP($D279,素材!$1:$1016,COLUMN($F$1),FALSE))),VLOOKUP($C279,装備品!$1:$998,COLUMN($O$1),FALSE)*VLOOKUP($D279,素材!$1:$1016,COLUMN($E$1),FALSE)/(LEN(VLOOKUP($D279,素材!$1:$1016,COLUMN($F$1),FALSE))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BC279">
        <f>IF(ISNUMBER(SEARCH(SUBSTITUTE(BC$1,RIGHT(BC$1,2),""),VLOOKUP($D279,素材!$1:$1016,COLUMN($F$1),FALSE))),VLOOKUP($C279,装備品!$1:$998,COLUMN($O$1),FALSE)*VLOOKUP($D279,素材!$1:$1016,COLUMN($E$1),FALSE)/(LEN(VLOOKUP($D279,素材!$1:$1016,COLUMN($F$1),FALSE))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BD279">
        <f>IF(ISNUMBER(SEARCH(SUBSTITUTE(BD$1,RIGHT(BD$1,2),""),VLOOKUP($D279,素材!$1:$1016,COLUMN($F$1),FALSE))),VLOOKUP($C279,装備品!$1:$998,COLUMN($O$1),FALSE)*VLOOKUP($D279,素材!$1:$1016,COLUMN($E$1),FALSE)/(LEN(VLOOKUP($D279,素材!$1:$1016,COLUMN($F$1),FALSE))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BE279">
        <f>IF(ISNUMBER(SEARCH(SUBSTITUTE(BE$1,RIGHT(BE$1,2),""),VLOOKUP($D279,素材!$1:$1016,COLUMN($F$1),FALSE))),VLOOKUP($C279,装備品!$1:$998,COLUMN($O$1),FALSE)*VLOOKUP($D279,素材!$1:$1016,COLUMN($E$1),FALSE)/(LEN(VLOOKUP($D279,素材!$1:$1016,COLUMN($F$1),FALSE))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CL279">
        <f t="shared" si="41"/>
        <v>0</v>
      </c>
      <c r="CM279" s="22" t="str">
        <f t="shared" si="42"/>
        <v>装飾.webp</v>
      </c>
      <c r="CN279">
        <f>IFERROR(VLOOKUP($C279,装備品!$1:$998,COLUMN(V$1),FALSE)*VLOOKUP($D279,素材!$1:$1016,COLUMN(N$1),FALSE)+IF(CI279="",0,VLOOKUP($CI279,付与!$1:$1176,COLUMN($CK$1),FALSE)),"")</f>
        <v>0</v>
      </c>
      <c r="CO279" t="str">
        <f>VLOOKUP(D279,素材!$A:$O,COLUMN(素材!O$1),FALSE)</f>
        <v>魔力を帯びた特殊な皮素材。魔法防御や属性耐性を強化する効果があり、高レベルの冒険者に重宝されます。</v>
      </c>
      <c r="CP279" t="str">
        <f>VLOOKUP(C279,装備品!$A:$AB,COLUMN(装備品!AB$1),FALSE)</f>
        <v xml:space="preserve">防御 隠密 </v>
      </c>
      <c r="CR279" t="str">
        <f t="shared" si="43"/>
        <v>e_279</v>
      </c>
      <c r="CS279">
        <f t="shared" si="44"/>
        <v>0</v>
      </c>
    </row>
    <row r="280" spans="1:97" hidden="1" outlineLevel="1" x14ac:dyDescent="0.4">
      <c r="A280" t="str">
        <f t="shared" si="45"/>
        <v>魔獣皮の外套</v>
      </c>
      <c r="B280" t="str">
        <f>IFERROR(IF(CI280="",VLOOKUP($D280,素材!$1:$1016,COLUMN($B$1),FALSE)&amp;"・"&amp;VLOOKUP($C280,装備品!$1:$998,COLUMN(B$1),FALSE),VLOOKUP($CI280,付与!$1:$1176,COLUMN($B$1),FALSE)&amp;"・"&amp;VLOOKUP($C280,装備品!$1:$998,COLUMN(B$1),FALSE)),"")</f>
        <v>マジックレザー・マント</v>
      </c>
      <c r="C280" s="24" t="s">
        <v>202</v>
      </c>
      <c r="D280" s="24" t="s">
        <v>201</v>
      </c>
      <c r="E280" t="str">
        <f>IFERROR(VLOOKUP(C280,装備品!$1:$998,COLUMN(C$1),FALSE),"")</f>
        <v>装飾</v>
      </c>
      <c r="F280">
        <f>IFERROR(ROUNDDOWN((VLOOKUP($C280,装備品!$1:$998,COLUMN(D$1),FALSE)+IFERROR(VLOOKUP($CI280,付与!$1:$1167,COLUMN(F$1),FALSE),0))*VLOOKUP($D280,素材!$1:$1016,COLUMN(D$1),FALSE),0),"")</f>
        <v>0</v>
      </c>
      <c r="G280">
        <f>IFERROR(ROUNDDOWN((VLOOKUP($C280,装備品!$1:$998,COLUMN(E$1),FALSE)+IFERROR(VLOOKUP($CI280,付与!$1:$1167,COLUMN(G$1),FALSE),0))*VLOOKUP($D280,素材!$1:$1016,COLUMN($E$1),FALSE),0),"")</f>
        <v>0</v>
      </c>
      <c r="H280">
        <f>IFERROR(ROUNDDOWN((VLOOKUP($C280,装備品!$1:$998,COLUMN(F$1),FALSE)+IFERROR(VLOOKUP($CI280,付与!$1:$1167,COLUMN(H$1),FALSE),0))*VLOOKUP($D280,素材!$1:$1016,COLUMN($E$1),FALSE),0),"")</f>
        <v>0</v>
      </c>
      <c r="I280">
        <f>IFERROR(ROUNDDOWN((VLOOKUP($C280,装備品!$1:$998,COLUMN(G$1),FALSE)+IFERROR(VLOOKUP($CI280,付与!$1:$1167,COLUMN(I$1),FALSE),0))*VLOOKUP($D280,素材!$1:$1016,COLUMN($E$1),FALSE),0),"")</f>
        <v>0</v>
      </c>
      <c r="J280">
        <f>IFERROR(ROUNDDOWN((VLOOKUP($C280,装備品!$1:$998,COLUMN(H$1),FALSE)+IFERROR(VLOOKUP($CI280,付与!$1:$1167,COLUMN(J$1),FALSE),0))*VLOOKUP($D280,素材!$1:$1016,COLUMN($E$1),FALSE),0),"")</f>
        <v>0</v>
      </c>
      <c r="K280">
        <f>IFERROR(ROUNDDOWN((VLOOKUP($C280,装備品!$1:$998,COLUMN(I$1),FALSE)+IFERROR(VLOOKUP($CI280,付与!$1:$1167,COLUMN(K$1),FALSE),0))*VLOOKUP($D280,素材!$1:$1016,COLUMN($E$1),FALSE),0),"")</f>
        <v>0</v>
      </c>
      <c r="L280" t="str">
        <f>IFERROR(VLOOKUP($D280,素材!$1:$1016,COLUMN($F$1),FALSE),"")</f>
        <v>魔法</v>
      </c>
      <c r="M280" t="str">
        <f>IFERROR(VLOOKUP($C280,装備品!$1:$998,COLUMN(AA$1),FALSE)*VLOOKUP($D280,素材!$1:$1016,COLUMN($G$1),FALSE),"")</f>
        <v/>
      </c>
      <c r="N280">
        <f>IFERROR(VLOOKUP($C280,装備品!$1:$998,COLUMN(I$1),FALSE),"")</f>
        <v>0</v>
      </c>
      <c r="O280" s="23" t="str">
        <f>IFERROR((VLOOKUP($C280,装備品!$1:$998,COLUMN(K$1),FALSE)+VLOOKUP($D280,素材!$1:$1016,COLUMN(H$1),FALSE))*100+IFERROR(VLOOKUP($CI280,付与!$1:$1167,COLUMN(O$1),FALSE),0),"")</f>
        <v/>
      </c>
      <c r="P280" s="23" t="str">
        <f>IFERROR((VLOOKUP($C280,装備品!$1:$998,COLUMN(L$1),FALSE)+VLOOKUP($D280,素材!$1:$1016,COLUMN(I$1),FALSE))*100+IFERROR(VLOOKUP($CI280,付与!$1:$1167,COLUMN(P$1),FALSE),0),"")</f>
        <v/>
      </c>
      <c r="Q280">
        <f>IFERROR(ROUNDUP(VLOOKUP($C280,装備品!$1:$998,COLUMN(M$1),FALSE)*(VLOOKUP($D280,素材!$1:$1002,COLUMN(D$1),FALSE)/100),1),"")</f>
        <v>0</v>
      </c>
      <c r="R280">
        <f>IFERROR(ROUNDUP(VLOOKUP($C280,装備品!$1:$998,COLUMN(N$1),FALSE)*(VLOOKUP($D280,素材!$1:$1002,COLUMN(D$1),FALSE)/100),1),"")</f>
        <v>0</v>
      </c>
      <c r="S280">
        <f>IFERROR(VLOOKUP($C280,装備品!$1:$998,COLUMN(P$1),FALSE),"")</f>
        <v>0</v>
      </c>
      <c r="T280">
        <f>IFERROR(VLOOKUP($C280,装備品!$1:$998,COLUMN(Q$1),FALSE),"")</f>
        <v>0</v>
      </c>
      <c r="U280">
        <f>IFERROR(VLOOKUP($C280,装備品!$1:$998,COLUMN(R$1),FALSE),"")</f>
        <v>0</v>
      </c>
      <c r="V280">
        <f>IFERROR(VLOOKUP($C280,装備品!$1:$998,COLUMN(Q$1),FALSE),"")</f>
        <v>0</v>
      </c>
      <c r="W280">
        <f>IFERROR(VLOOKUP($C280,装備品!$1:$998,COLUMN(T$1),FALSE),"")</f>
        <v>0</v>
      </c>
      <c r="Y280">
        <f>IFERROR(VLOOKUP($C280,装備品!$1:$998,COLUMN(U$1),FALSE),"")</f>
        <v>0</v>
      </c>
      <c r="Z280">
        <f>IFERROR(ROUNDUP(VLOOKUP($C280,装備品!$1:$998,COLUMN(O$1),FALSE)*VLOOKUP($D280,素材!$1:$1016,COLUMN(E$1),FALSE),1),"")</f>
        <v>0</v>
      </c>
      <c r="AA280">
        <f>IF(ISNUMBER(SEARCH(SUBSTITUTE(AA$1,RIGHT(AA$1,2),""),VLOOKUP($D280,素材!$1:$1016,COLUMN($F$1),FALSE))),VLOOKUP($C280,装備品!$1:$998,COLUMN($O$1),FALSE)*VLOOKUP($D280,素材!$1:$1016,COLUMN($E$1),FALSE)/(LEN(VLOOKUP($D280,素材!$1:$1016,COLUMN($F$1),FALSE))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B280">
        <f>IF(ISNUMBER(SEARCH(SUBSTITUTE(AB$1,RIGHT(AB$1,2),""),VLOOKUP($D280,素材!$1:$1016,COLUMN($F$1),FALSE))),VLOOKUP($C280,装備品!$1:$998,COLUMN($O$1),FALSE)*VLOOKUP($D280,素材!$1:$1016,COLUMN($E$1),FALSE)/(LEN(VLOOKUP($D280,素材!$1:$1016,COLUMN($F$1),FALSE))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C280">
        <f>IF(ISNUMBER(SEARCH(SUBSTITUTE(AC$1,RIGHT(AC$1,2),""),VLOOKUP($D280,素材!$1:$1016,COLUMN($F$1),FALSE))),VLOOKUP($C280,装備品!$1:$998,COLUMN($O$1),FALSE)*VLOOKUP($D280,素材!$1:$1016,COLUMN($E$1),FALSE)/(LEN(VLOOKUP($D280,素材!$1:$1016,COLUMN($F$1),FALSE))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D280">
        <f>IF(ISNUMBER(SEARCH(SUBSTITUTE(AD$1,RIGHT(AD$1,2),""),VLOOKUP($D280,素材!$1:$1016,COLUMN($F$1),FALSE))),VLOOKUP($C280,装備品!$1:$998,COLUMN($O$1),FALSE)*VLOOKUP($D280,素材!$1:$1016,COLUMN($E$1),FALSE)/(LEN(VLOOKUP($D280,素材!$1:$1016,COLUMN($F$1),FALSE))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E280">
        <f>IF(ISNUMBER(SEARCH(SUBSTITUTE(AE$1,RIGHT(AE$1,2),""),VLOOKUP($D280,素材!$1:$1016,COLUMN($F$1),FALSE))),VLOOKUP($C280,装備品!$1:$998,COLUMN($O$1),FALSE)*VLOOKUP($D280,素材!$1:$1016,COLUMN($E$1),FALSE)/(LEN(VLOOKUP($D280,素材!$1:$1016,COLUMN($F$1),FALSE))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F280">
        <f>IF(ISNUMBER(SEARCH(SUBSTITUTE(AF$1,RIGHT(AF$1,2),""),VLOOKUP($D280,素材!$1:$1016,COLUMN($F$1),FALSE))),VLOOKUP($C280,装備品!$1:$998,COLUMN($O$1),FALSE)*VLOOKUP($D280,素材!$1:$1016,COLUMN($E$1),FALSE)/(LEN(VLOOKUP($D280,素材!$1:$1016,COLUMN($F$1),FALSE))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G280">
        <f>IF(ISNUMBER(SEARCH(SUBSTITUTE(AG$1,RIGHT(AG$1,2),""),VLOOKUP($D280,素材!$1:$1016,COLUMN($F$1),FALSE))),VLOOKUP($C280,装備品!$1:$998,COLUMN($O$1),FALSE)*VLOOKUP($D280,素材!$1:$1016,COLUMN($E$1),FALSE)/(LEN(VLOOKUP($D280,素材!$1:$1016,COLUMN($F$1),FALSE))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H280">
        <f>IF(ISNUMBER(SEARCH(SUBSTITUTE(AH$1,RIGHT(AH$1,2),""),VLOOKUP($D280,素材!$1:$1016,COLUMN($F$1),FALSE))),VLOOKUP($C280,装備品!$1:$998,COLUMN($O$1),FALSE)*VLOOKUP($D280,素材!$1:$1016,COLUMN($E$1),FALSE)/(LEN(VLOOKUP($D280,素材!$1:$1016,COLUMN($F$1),FALSE))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I280">
        <f>IF(ISNUMBER(SEARCH(SUBSTITUTE(AI$1,RIGHT(AI$1,2),""),VLOOKUP($D280,素材!$1:$1016,COLUMN($F$1),FALSE))),VLOOKUP($C280,装備品!$1:$998,COLUMN($O$1),FALSE)*VLOOKUP($D280,素材!$1:$1016,COLUMN($E$1),FALSE)/(LEN(VLOOKUP($D280,素材!$1:$1016,COLUMN($F$1),FALSE))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J280">
        <f>IF(ISNUMBER(SEARCH(SUBSTITUTE(AJ$1,RIGHT(AJ$1,2),""),VLOOKUP($D280,素材!$1:$1016,COLUMN($F$1),FALSE))),VLOOKUP($C280,装備品!$1:$998,COLUMN($O$1),FALSE)*VLOOKUP($D280,素材!$1:$1016,COLUMN($E$1),FALSE)/(LEN(VLOOKUP($D280,素材!$1:$1016,COLUMN($F$1),FALSE))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K280">
        <f>IF(ISNUMBER(SEARCH(SUBSTITUTE(AK$1,RIGHT(AK$1,2),""),VLOOKUP($D280,素材!$1:$1016,COLUMN($F$1),FALSE))),VLOOKUP($C280,装備品!$1:$998,COLUMN($O$1),FALSE)*VLOOKUP($D280,素材!$1:$1016,COLUMN($E$1),FALSE)/(LEN(VLOOKUP($D280,素材!$1:$1016,COLUMN($F$1),FALSE))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L280">
        <f>IF(ISNUMBER(SEARCH(SUBSTITUTE(AL$1,RIGHT(AL$1,2),""),VLOOKUP($D280,素材!$1:$1016,COLUMN($F$1),FALSE))),VLOOKUP($C280,装備品!$1:$998,COLUMN($O$1),FALSE)*VLOOKUP($D280,素材!$1:$1016,COLUMN($E$1),FALSE)/(LEN(VLOOKUP($D280,素材!$1:$1016,COLUMN($F$1),FALSE))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M280">
        <f>IF(ISNUMBER(SEARCH(SUBSTITUTE(AM$1,RIGHT(AM$1,2),""),VLOOKUP($D280,素材!$1:$1016,COLUMN($F$1),FALSE))),VLOOKUP($C280,装備品!$1:$998,COLUMN($O$1),FALSE)*VLOOKUP($D280,素材!$1:$1016,COLUMN($E$1),FALSE)/(LEN(VLOOKUP($D280,素材!$1:$1016,COLUMN($F$1),FALSE))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N280">
        <f>IF(ISNUMBER(SEARCH(SUBSTITUTE(AN$1,RIGHT(AN$1,2),""),VLOOKUP($D280,素材!$1:$1016,COLUMN($F$1),FALSE))),VLOOKUP($C280,装備品!$1:$998,COLUMN($O$1),FALSE)*VLOOKUP($D280,素材!$1:$1016,COLUMN($E$1),FALSE)/(LEN(VLOOKUP($D280,素材!$1:$1016,COLUMN($F$1),FALSE))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O280">
        <f>IF(ISNUMBER(SEARCH(SUBSTITUTE(AO$1,RIGHT(AO$1,2),""),VLOOKUP($D280,素材!$1:$1016,COLUMN($F$1),FALSE))),VLOOKUP($C280,装備品!$1:$998,COLUMN($O$1),FALSE)*VLOOKUP($D280,素材!$1:$1016,COLUMN($E$1),FALSE)/(LEN(VLOOKUP($D280,素材!$1:$1016,COLUMN($F$1),FALSE))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P280">
        <f>IF(ISNUMBER(SEARCH(SUBSTITUTE(AP$1,RIGHT(AP$1,2),""),VLOOKUP($D280,素材!$1:$1016,COLUMN($F$1),FALSE))),VLOOKUP($C280,装備品!$1:$998,COLUMN($O$1),FALSE)*VLOOKUP($D280,素材!$1:$1016,COLUMN($E$1),FALSE)/(LEN(VLOOKUP($D280,素材!$1:$1016,COLUMN($F$1),FALSE))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Q280">
        <f>IF(ISNUMBER(SEARCH(SUBSTITUTE(AQ$1,RIGHT(AQ$1,2),""),VLOOKUP($D280,素材!$1:$1016,COLUMN($F$1),FALSE))),VLOOKUP($C280,装備品!$1:$998,COLUMN($O$1),FALSE)*VLOOKUP($D280,素材!$1:$1016,COLUMN($E$1),FALSE)/(LEN(VLOOKUP($D280,素材!$1:$1016,COLUMN($F$1),FALSE))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R280">
        <f>IF(ISNUMBER(SEARCH(SUBSTITUTE(AR$1,RIGHT(AR$1,2),""),VLOOKUP($D280,素材!$1:$1016,COLUMN($F$1),FALSE))),VLOOKUP($C280,装備品!$1:$998,COLUMN($O$1),FALSE)*VLOOKUP($D280,素材!$1:$1016,COLUMN($E$1),FALSE)/(LEN(VLOOKUP($D280,素材!$1:$1016,COLUMN($F$1),FALSE))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S280">
        <f>IF(ISNUMBER(SEARCH(SUBSTITUTE(AS$1,RIGHT(AS$1,2),""),VLOOKUP($D280,素材!$1:$1016,COLUMN($F$1),FALSE))),VLOOKUP($C280,装備品!$1:$998,COLUMN($O$1),FALSE)*VLOOKUP($D280,素材!$1:$1016,COLUMN($E$1),FALSE)/(LEN(VLOOKUP($D280,素材!$1:$1016,COLUMN($F$1),FALSE))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T280">
        <f>IF(ISNUMBER(SEARCH(SUBSTITUTE(AT$1,RIGHT(AT$1,2),""),VLOOKUP($D280,素材!$1:$1016,COLUMN($F$1),FALSE))),VLOOKUP($C280,装備品!$1:$998,COLUMN($O$1),FALSE)*VLOOKUP($D280,素材!$1:$1016,COLUMN($E$1),FALSE)/(LEN(VLOOKUP($D280,素材!$1:$1016,COLUMN($F$1),FALSE))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U280">
        <f>IF(ISNUMBER(SEARCH(SUBSTITUTE(AU$1,RIGHT(AU$1,2),""),VLOOKUP($D280,素材!$1:$1016,COLUMN($F$1),FALSE))),VLOOKUP($C280,装備品!$1:$998,COLUMN($O$1),FALSE)*VLOOKUP($D280,素材!$1:$1016,COLUMN($E$1),FALSE)/(LEN(VLOOKUP($D280,素材!$1:$1016,COLUMN($F$1),FALSE))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V280">
        <f>IF(ISNUMBER(SEARCH(SUBSTITUTE(AV$1,RIGHT(AV$1,2),""),VLOOKUP($D280,素材!$1:$1016,COLUMN($F$1),FALSE))),VLOOKUP($C280,装備品!$1:$998,COLUMN($O$1),FALSE)*VLOOKUP($D280,素材!$1:$1016,COLUMN($E$1),FALSE)/(LEN(VLOOKUP($D280,素材!$1:$1016,COLUMN($F$1),FALSE))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W280">
        <f>IF(ISNUMBER(SEARCH(SUBSTITUTE(AW$1,RIGHT(AW$1,2),""),VLOOKUP($D280,素材!$1:$1016,COLUMN($F$1),FALSE))),VLOOKUP($C280,装備品!$1:$998,COLUMN($O$1),FALSE)*VLOOKUP($D280,素材!$1:$1016,COLUMN($E$1),FALSE)/(LEN(VLOOKUP($D280,素材!$1:$1016,COLUMN($F$1),FALSE))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X280">
        <f>IF(ISNUMBER(SEARCH(SUBSTITUTE(AX$1,RIGHT(AX$1,2),""),VLOOKUP($D280,素材!$1:$1016,COLUMN($F$1),FALSE))),VLOOKUP($C280,装備品!$1:$998,COLUMN($O$1),FALSE)*VLOOKUP($D280,素材!$1:$1016,COLUMN($E$1),FALSE)/(LEN(VLOOKUP($D280,素材!$1:$1016,COLUMN($F$1),FALSE))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Y280">
        <f>IF(ISNUMBER(SEARCH(SUBSTITUTE(AY$1,RIGHT(AY$1,2),""),VLOOKUP($D280,素材!$1:$1016,COLUMN($F$1),FALSE))),VLOOKUP($C280,装備品!$1:$998,COLUMN($O$1),FALSE)*VLOOKUP($D280,素材!$1:$1016,COLUMN($E$1),FALSE)/(LEN(VLOOKUP($D280,素材!$1:$1016,COLUMN($F$1),FALSE))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Z280">
        <f>IF(ISNUMBER(SEARCH(SUBSTITUTE(AZ$1,RIGHT(AZ$1,2),""),VLOOKUP($D280,素材!$1:$1016,COLUMN($F$1),FALSE))),VLOOKUP($C280,装備品!$1:$998,COLUMN($O$1),FALSE)*VLOOKUP($D280,素材!$1:$1016,COLUMN($E$1),FALSE)/(LEN(VLOOKUP($D280,素材!$1:$1016,COLUMN($F$1),FALSE))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BA280">
        <f>IF(ISNUMBER(SEARCH(SUBSTITUTE(BA$1,RIGHT(BA$1,2),""),VLOOKUP($D280,素材!$1:$1016,COLUMN($F$1),FALSE))),VLOOKUP($C280,装備品!$1:$998,COLUMN($O$1),FALSE)*VLOOKUP($D280,素材!$1:$1016,COLUMN($E$1),FALSE)/(LEN(VLOOKUP($D280,素材!$1:$1016,COLUMN($F$1),FALSE))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BB280">
        <f>IF(ISNUMBER(SEARCH(SUBSTITUTE(BB$1,RIGHT(BB$1,2),""),VLOOKUP($D280,素材!$1:$1016,COLUMN($F$1),FALSE))),VLOOKUP($C280,装備品!$1:$998,COLUMN($O$1),FALSE)*VLOOKUP($D280,素材!$1:$1016,COLUMN($E$1),FALSE)/(LEN(VLOOKUP($D280,素材!$1:$1016,COLUMN($F$1),FALSE))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BC280">
        <f>IF(ISNUMBER(SEARCH(SUBSTITUTE(BC$1,RIGHT(BC$1,2),""),VLOOKUP($D280,素材!$1:$1016,COLUMN($F$1),FALSE))),VLOOKUP($C280,装備品!$1:$998,COLUMN($O$1),FALSE)*VLOOKUP($D280,素材!$1:$1016,COLUMN($E$1),FALSE)/(LEN(VLOOKUP($D280,素材!$1:$1016,COLUMN($F$1),FALSE))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BD280">
        <f>IF(ISNUMBER(SEARCH(SUBSTITUTE(BD$1,RIGHT(BD$1,2),""),VLOOKUP($D280,素材!$1:$1016,COLUMN($F$1),FALSE))),VLOOKUP($C280,装備品!$1:$998,COLUMN($O$1),FALSE)*VLOOKUP($D280,素材!$1:$1016,COLUMN($E$1),FALSE)/(LEN(VLOOKUP($D280,素材!$1:$1016,COLUMN($F$1),FALSE))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BE280">
        <f>IF(ISNUMBER(SEARCH(SUBSTITUTE(BE$1,RIGHT(BE$1,2),""),VLOOKUP($D280,素材!$1:$1016,COLUMN($F$1),FALSE))),VLOOKUP($C280,装備品!$1:$998,COLUMN($O$1),FALSE)*VLOOKUP($D280,素材!$1:$1016,COLUMN($E$1),FALSE)/(LEN(VLOOKUP($D280,素材!$1:$1016,COLUMN($F$1),FALSE))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CL280">
        <f t="shared" si="41"/>
        <v>0</v>
      </c>
      <c r="CM280" s="22" t="str">
        <f t="shared" si="42"/>
        <v>装飾.webp</v>
      </c>
      <c r="CN280">
        <f>IFERROR(VLOOKUP($C280,装備品!$1:$998,COLUMN(V$1),FALSE)*VLOOKUP($D280,素材!$1:$1016,COLUMN(N$1),FALSE)+IF(CI280="",0,VLOOKUP($CI280,付与!$1:$1176,COLUMN($CK$1),FALSE)),"")</f>
        <v>0</v>
      </c>
      <c r="CO280" t="str">
        <f>VLOOKUP(D280,素材!$A:$O,COLUMN(素材!O$1),FALSE)</f>
        <v>魔力を帯びた特殊な皮素材。魔法防御や属性耐性を強化する効果があり、高レベルの冒険者に重宝されます。</v>
      </c>
      <c r="CP280" t="str">
        <f>VLOOKUP(C280,装備品!$A:$AB,COLUMN(装備品!AB$1),FALSE)</f>
        <v xml:space="preserve">防御 隠密 </v>
      </c>
      <c r="CR280" t="str">
        <f t="shared" si="43"/>
        <v>e_280</v>
      </c>
      <c r="CS280">
        <f t="shared" si="44"/>
        <v>0</v>
      </c>
    </row>
    <row r="281" spans="1:97" hidden="1" outlineLevel="1" x14ac:dyDescent="0.4">
      <c r="A281" t="str">
        <f t="shared" si="45"/>
        <v>魔獣皮の外套</v>
      </c>
      <c r="B281" t="str">
        <f>IFERROR(IF(CI281="",VLOOKUP($D281,素材!$1:$1016,COLUMN($B$1),FALSE)&amp;"・"&amp;VLOOKUP($C281,装備品!$1:$998,COLUMN(B$1),FALSE),VLOOKUP($CI281,付与!$1:$1176,COLUMN($B$1),FALSE)&amp;"・"&amp;VLOOKUP($C281,装備品!$1:$998,COLUMN(B$1),FALSE)),"")</f>
        <v>マジックレザー・マント</v>
      </c>
      <c r="C281" s="24" t="s">
        <v>202</v>
      </c>
      <c r="D281" s="24" t="s">
        <v>201</v>
      </c>
      <c r="E281" t="str">
        <f>IFERROR(VLOOKUP(C281,装備品!$1:$998,COLUMN(C$1),FALSE),"")</f>
        <v>装飾</v>
      </c>
      <c r="F281">
        <f>IFERROR(ROUNDDOWN((VLOOKUP($C281,装備品!$1:$998,COLUMN(D$1),FALSE)+IFERROR(VLOOKUP($CI281,付与!$1:$1167,COLUMN(F$1),FALSE),0))*VLOOKUP($D281,素材!$1:$1016,COLUMN(D$1),FALSE),0),"")</f>
        <v>0</v>
      </c>
      <c r="G281">
        <f>IFERROR(ROUNDDOWN((VLOOKUP($C281,装備品!$1:$998,COLUMN(E$1),FALSE)+IFERROR(VLOOKUP($CI281,付与!$1:$1167,COLUMN(G$1),FALSE),0))*VLOOKUP($D281,素材!$1:$1016,COLUMN($E$1),FALSE),0),"")</f>
        <v>0</v>
      </c>
      <c r="H281">
        <f>IFERROR(ROUNDDOWN((VLOOKUP($C281,装備品!$1:$998,COLUMN(F$1),FALSE)+IFERROR(VLOOKUP($CI281,付与!$1:$1167,COLUMN(H$1),FALSE),0))*VLOOKUP($D281,素材!$1:$1016,COLUMN($E$1),FALSE),0),"")</f>
        <v>0</v>
      </c>
      <c r="I281">
        <f>IFERROR(ROUNDDOWN((VLOOKUP($C281,装備品!$1:$998,COLUMN(G$1),FALSE)+IFERROR(VLOOKUP($CI281,付与!$1:$1167,COLUMN(I$1),FALSE),0))*VLOOKUP($D281,素材!$1:$1016,COLUMN($E$1),FALSE),0),"")</f>
        <v>0</v>
      </c>
      <c r="J281">
        <f>IFERROR(ROUNDDOWN((VLOOKUP($C281,装備品!$1:$998,COLUMN(H$1),FALSE)+IFERROR(VLOOKUP($CI281,付与!$1:$1167,COLUMN(J$1),FALSE),0))*VLOOKUP($D281,素材!$1:$1016,COLUMN($E$1),FALSE),0),"")</f>
        <v>0</v>
      </c>
      <c r="K281">
        <f>IFERROR(ROUNDDOWN((VLOOKUP($C281,装備品!$1:$998,COLUMN(I$1),FALSE)+IFERROR(VLOOKUP($CI281,付与!$1:$1167,COLUMN(K$1),FALSE),0))*VLOOKUP($D281,素材!$1:$1016,COLUMN($E$1),FALSE),0),"")</f>
        <v>0</v>
      </c>
      <c r="L281" t="str">
        <f>IFERROR(VLOOKUP($D281,素材!$1:$1016,COLUMN($F$1),FALSE),"")</f>
        <v>魔法</v>
      </c>
      <c r="M281" t="str">
        <f>IFERROR(VLOOKUP($C281,装備品!$1:$998,COLUMN(AA$1),FALSE)*VLOOKUP($D281,素材!$1:$1016,COLUMN($G$1),FALSE),"")</f>
        <v/>
      </c>
      <c r="N281">
        <f>IFERROR(VLOOKUP($C281,装備品!$1:$998,COLUMN(I$1),FALSE),"")</f>
        <v>0</v>
      </c>
      <c r="O281" s="23" t="str">
        <f>IFERROR((VLOOKUP($C281,装備品!$1:$998,COLUMN(K$1),FALSE)+VLOOKUP($D281,素材!$1:$1016,COLUMN(H$1),FALSE))*100+IFERROR(VLOOKUP($CI281,付与!$1:$1167,COLUMN(O$1),FALSE),0),"")</f>
        <v/>
      </c>
      <c r="P281" s="23" t="str">
        <f>IFERROR((VLOOKUP($C281,装備品!$1:$998,COLUMN(L$1),FALSE)+VLOOKUP($D281,素材!$1:$1016,COLUMN(I$1),FALSE))*100+IFERROR(VLOOKUP($CI281,付与!$1:$1167,COLUMN(P$1),FALSE),0),"")</f>
        <v/>
      </c>
      <c r="Q281">
        <f>IFERROR(ROUNDUP(VLOOKUP($C281,装備品!$1:$998,COLUMN(M$1),FALSE)*(VLOOKUP($D281,素材!$1:$1002,COLUMN(D$1),FALSE)/100),1),"")</f>
        <v>0</v>
      </c>
      <c r="R281">
        <f>IFERROR(ROUNDUP(VLOOKUP($C281,装備品!$1:$998,COLUMN(N$1),FALSE)*(VLOOKUP($D281,素材!$1:$1002,COLUMN(D$1),FALSE)/100),1),"")</f>
        <v>0</v>
      </c>
      <c r="S281">
        <f>IFERROR(VLOOKUP($C281,装備品!$1:$998,COLUMN(P$1),FALSE),"")</f>
        <v>0</v>
      </c>
      <c r="T281">
        <f>IFERROR(VLOOKUP($C281,装備品!$1:$998,COLUMN(Q$1),FALSE),"")</f>
        <v>0</v>
      </c>
      <c r="U281">
        <f>IFERROR(VLOOKUP($C281,装備品!$1:$998,COLUMN(R$1),FALSE),"")</f>
        <v>0</v>
      </c>
      <c r="V281">
        <f>IFERROR(VLOOKUP($C281,装備品!$1:$998,COLUMN(Q$1),FALSE),"")</f>
        <v>0</v>
      </c>
      <c r="W281">
        <f>IFERROR(VLOOKUP($C281,装備品!$1:$998,COLUMN(T$1),FALSE),"")</f>
        <v>0</v>
      </c>
      <c r="Y281">
        <f>IFERROR(VLOOKUP($C281,装備品!$1:$998,COLUMN(U$1),FALSE),"")</f>
        <v>0</v>
      </c>
      <c r="Z281">
        <f>IFERROR(ROUNDUP(VLOOKUP($C281,装備品!$1:$998,COLUMN(O$1),FALSE)*VLOOKUP($D281,素材!$1:$1016,COLUMN(E$1),FALSE),1),"")</f>
        <v>0</v>
      </c>
      <c r="AA281">
        <f>IF(ISNUMBER(SEARCH(SUBSTITUTE(AA$1,RIGHT(AA$1,2),""),VLOOKUP($D281,素材!$1:$1016,COLUMN($F$1),FALSE))),VLOOKUP($C281,装備品!$1:$998,COLUMN($O$1),FALSE)*VLOOKUP($D281,素材!$1:$1016,COLUMN($E$1),FALSE)/(LEN(VLOOKUP($D281,素材!$1:$1016,COLUMN($F$1),FALSE))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B281">
        <f>IF(ISNUMBER(SEARCH(SUBSTITUTE(AB$1,RIGHT(AB$1,2),""),VLOOKUP($D281,素材!$1:$1016,COLUMN($F$1),FALSE))),VLOOKUP($C281,装備品!$1:$998,COLUMN($O$1),FALSE)*VLOOKUP($D281,素材!$1:$1016,COLUMN($E$1),FALSE)/(LEN(VLOOKUP($D281,素材!$1:$1016,COLUMN($F$1),FALSE))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C281">
        <f>IF(ISNUMBER(SEARCH(SUBSTITUTE(AC$1,RIGHT(AC$1,2),""),VLOOKUP($D281,素材!$1:$1016,COLUMN($F$1),FALSE))),VLOOKUP($C281,装備品!$1:$998,COLUMN($O$1),FALSE)*VLOOKUP($D281,素材!$1:$1016,COLUMN($E$1),FALSE)/(LEN(VLOOKUP($D281,素材!$1:$1016,COLUMN($F$1),FALSE))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D281">
        <f>IF(ISNUMBER(SEARCH(SUBSTITUTE(AD$1,RIGHT(AD$1,2),""),VLOOKUP($D281,素材!$1:$1016,COLUMN($F$1),FALSE))),VLOOKUP($C281,装備品!$1:$998,COLUMN($O$1),FALSE)*VLOOKUP($D281,素材!$1:$1016,COLUMN($E$1),FALSE)/(LEN(VLOOKUP($D281,素材!$1:$1016,COLUMN($F$1),FALSE))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E281">
        <f>IF(ISNUMBER(SEARCH(SUBSTITUTE(AE$1,RIGHT(AE$1,2),""),VLOOKUP($D281,素材!$1:$1016,COLUMN($F$1),FALSE))),VLOOKUP($C281,装備品!$1:$998,COLUMN($O$1),FALSE)*VLOOKUP($D281,素材!$1:$1016,COLUMN($E$1),FALSE)/(LEN(VLOOKUP($D281,素材!$1:$1016,COLUMN($F$1),FALSE))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F281">
        <f>IF(ISNUMBER(SEARCH(SUBSTITUTE(AF$1,RIGHT(AF$1,2),""),VLOOKUP($D281,素材!$1:$1016,COLUMN($F$1),FALSE))),VLOOKUP($C281,装備品!$1:$998,COLUMN($O$1),FALSE)*VLOOKUP($D281,素材!$1:$1016,COLUMN($E$1),FALSE)/(LEN(VLOOKUP($D281,素材!$1:$1016,COLUMN($F$1),FALSE))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G281">
        <f>IF(ISNUMBER(SEARCH(SUBSTITUTE(AG$1,RIGHT(AG$1,2),""),VLOOKUP($D281,素材!$1:$1016,COLUMN($F$1),FALSE))),VLOOKUP($C281,装備品!$1:$998,COLUMN($O$1),FALSE)*VLOOKUP($D281,素材!$1:$1016,COLUMN($E$1),FALSE)/(LEN(VLOOKUP($D281,素材!$1:$1016,COLUMN($F$1),FALSE))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H281">
        <f>IF(ISNUMBER(SEARCH(SUBSTITUTE(AH$1,RIGHT(AH$1,2),""),VLOOKUP($D281,素材!$1:$1016,COLUMN($F$1),FALSE))),VLOOKUP($C281,装備品!$1:$998,COLUMN($O$1),FALSE)*VLOOKUP($D281,素材!$1:$1016,COLUMN($E$1),FALSE)/(LEN(VLOOKUP($D281,素材!$1:$1016,COLUMN($F$1),FALSE))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I281">
        <f>IF(ISNUMBER(SEARCH(SUBSTITUTE(AI$1,RIGHT(AI$1,2),""),VLOOKUP($D281,素材!$1:$1016,COLUMN($F$1),FALSE))),VLOOKUP($C281,装備品!$1:$998,COLUMN($O$1),FALSE)*VLOOKUP($D281,素材!$1:$1016,COLUMN($E$1),FALSE)/(LEN(VLOOKUP($D281,素材!$1:$1016,COLUMN($F$1),FALSE))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J281">
        <f>IF(ISNUMBER(SEARCH(SUBSTITUTE(AJ$1,RIGHT(AJ$1,2),""),VLOOKUP($D281,素材!$1:$1016,COLUMN($F$1),FALSE))),VLOOKUP($C281,装備品!$1:$998,COLUMN($O$1),FALSE)*VLOOKUP($D281,素材!$1:$1016,COLUMN($E$1),FALSE)/(LEN(VLOOKUP($D281,素材!$1:$1016,COLUMN($F$1),FALSE))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K281">
        <f>IF(ISNUMBER(SEARCH(SUBSTITUTE(AK$1,RIGHT(AK$1,2),""),VLOOKUP($D281,素材!$1:$1016,COLUMN($F$1),FALSE))),VLOOKUP($C281,装備品!$1:$998,COLUMN($O$1),FALSE)*VLOOKUP($D281,素材!$1:$1016,COLUMN($E$1),FALSE)/(LEN(VLOOKUP($D281,素材!$1:$1016,COLUMN($F$1),FALSE))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L281">
        <f>IF(ISNUMBER(SEARCH(SUBSTITUTE(AL$1,RIGHT(AL$1,2),""),VLOOKUP($D281,素材!$1:$1016,COLUMN($F$1),FALSE))),VLOOKUP($C281,装備品!$1:$998,COLUMN($O$1),FALSE)*VLOOKUP($D281,素材!$1:$1016,COLUMN($E$1),FALSE)/(LEN(VLOOKUP($D281,素材!$1:$1016,COLUMN($F$1),FALSE))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M281">
        <f>IF(ISNUMBER(SEARCH(SUBSTITUTE(AM$1,RIGHT(AM$1,2),""),VLOOKUP($D281,素材!$1:$1016,COLUMN($F$1),FALSE))),VLOOKUP($C281,装備品!$1:$998,COLUMN($O$1),FALSE)*VLOOKUP($D281,素材!$1:$1016,COLUMN($E$1),FALSE)/(LEN(VLOOKUP($D281,素材!$1:$1016,COLUMN($F$1),FALSE))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N281">
        <f>IF(ISNUMBER(SEARCH(SUBSTITUTE(AN$1,RIGHT(AN$1,2),""),VLOOKUP($D281,素材!$1:$1016,COLUMN($F$1),FALSE))),VLOOKUP($C281,装備品!$1:$998,COLUMN($O$1),FALSE)*VLOOKUP($D281,素材!$1:$1016,COLUMN($E$1),FALSE)/(LEN(VLOOKUP($D281,素材!$1:$1016,COLUMN($F$1),FALSE))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O281">
        <f>IF(ISNUMBER(SEARCH(SUBSTITUTE(AO$1,RIGHT(AO$1,2),""),VLOOKUP($D281,素材!$1:$1016,COLUMN($F$1),FALSE))),VLOOKUP($C281,装備品!$1:$998,COLUMN($O$1),FALSE)*VLOOKUP($D281,素材!$1:$1016,COLUMN($E$1),FALSE)/(LEN(VLOOKUP($D281,素材!$1:$1016,COLUMN($F$1),FALSE))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P281">
        <f>IF(ISNUMBER(SEARCH(SUBSTITUTE(AP$1,RIGHT(AP$1,2),""),VLOOKUP($D281,素材!$1:$1016,COLUMN($F$1),FALSE))),VLOOKUP($C281,装備品!$1:$998,COLUMN($O$1),FALSE)*VLOOKUP($D281,素材!$1:$1016,COLUMN($E$1),FALSE)/(LEN(VLOOKUP($D281,素材!$1:$1016,COLUMN($F$1),FALSE))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Q281">
        <f>IF(ISNUMBER(SEARCH(SUBSTITUTE(AQ$1,RIGHT(AQ$1,2),""),VLOOKUP($D281,素材!$1:$1016,COLUMN($F$1),FALSE))),VLOOKUP($C281,装備品!$1:$998,COLUMN($O$1),FALSE)*VLOOKUP($D281,素材!$1:$1016,COLUMN($E$1),FALSE)/(LEN(VLOOKUP($D281,素材!$1:$1016,COLUMN($F$1),FALSE))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R281">
        <f>IF(ISNUMBER(SEARCH(SUBSTITUTE(AR$1,RIGHT(AR$1,2),""),VLOOKUP($D281,素材!$1:$1016,COLUMN($F$1),FALSE))),VLOOKUP($C281,装備品!$1:$998,COLUMN($O$1),FALSE)*VLOOKUP($D281,素材!$1:$1016,COLUMN($E$1),FALSE)/(LEN(VLOOKUP($D281,素材!$1:$1016,COLUMN($F$1),FALSE))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S281">
        <f>IF(ISNUMBER(SEARCH(SUBSTITUTE(AS$1,RIGHT(AS$1,2),""),VLOOKUP($D281,素材!$1:$1016,COLUMN($F$1),FALSE))),VLOOKUP($C281,装備品!$1:$998,COLUMN($O$1),FALSE)*VLOOKUP($D281,素材!$1:$1016,COLUMN($E$1),FALSE)/(LEN(VLOOKUP($D281,素材!$1:$1016,COLUMN($F$1),FALSE))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T281">
        <f>IF(ISNUMBER(SEARCH(SUBSTITUTE(AT$1,RIGHT(AT$1,2),""),VLOOKUP($D281,素材!$1:$1016,COLUMN($F$1),FALSE))),VLOOKUP($C281,装備品!$1:$998,COLUMN($O$1),FALSE)*VLOOKUP($D281,素材!$1:$1016,COLUMN($E$1),FALSE)/(LEN(VLOOKUP($D281,素材!$1:$1016,COLUMN($F$1),FALSE))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U281">
        <f>IF(ISNUMBER(SEARCH(SUBSTITUTE(AU$1,RIGHT(AU$1,2),""),VLOOKUP($D281,素材!$1:$1016,COLUMN($F$1),FALSE))),VLOOKUP($C281,装備品!$1:$998,COLUMN($O$1),FALSE)*VLOOKUP($D281,素材!$1:$1016,COLUMN($E$1),FALSE)/(LEN(VLOOKUP($D281,素材!$1:$1016,COLUMN($F$1),FALSE))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V281">
        <f>IF(ISNUMBER(SEARCH(SUBSTITUTE(AV$1,RIGHT(AV$1,2),""),VLOOKUP($D281,素材!$1:$1016,COLUMN($F$1),FALSE))),VLOOKUP($C281,装備品!$1:$998,COLUMN($O$1),FALSE)*VLOOKUP($D281,素材!$1:$1016,COLUMN($E$1),FALSE)/(LEN(VLOOKUP($D281,素材!$1:$1016,COLUMN($F$1),FALSE))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W281">
        <f>IF(ISNUMBER(SEARCH(SUBSTITUTE(AW$1,RIGHT(AW$1,2),""),VLOOKUP($D281,素材!$1:$1016,COLUMN($F$1),FALSE))),VLOOKUP($C281,装備品!$1:$998,COLUMN($O$1),FALSE)*VLOOKUP($D281,素材!$1:$1016,COLUMN($E$1),FALSE)/(LEN(VLOOKUP($D281,素材!$1:$1016,COLUMN($F$1),FALSE))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X281">
        <f>IF(ISNUMBER(SEARCH(SUBSTITUTE(AX$1,RIGHT(AX$1,2),""),VLOOKUP($D281,素材!$1:$1016,COLUMN($F$1),FALSE))),VLOOKUP($C281,装備品!$1:$998,COLUMN($O$1),FALSE)*VLOOKUP($D281,素材!$1:$1016,COLUMN($E$1),FALSE)/(LEN(VLOOKUP($D281,素材!$1:$1016,COLUMN($F$1),FALSE))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Y281">
        <f>IF(ISNUMBER(SEARCH(SUBSTITUTE(AY$1,RIGHT(AY$1,2),""),VLOOKUP($D281,素材!$1:$1016,COLUMN($F$1),FALSE))),VLOOKUP($C281,装備品!$1:$998,COLUMN($O$1),FALSE)*VLOOKUP($D281,素材!$1:$1016,COLUMN($E$1),FALSE)/(LEN(VLOOKUP($D281,素材!$1:$1016,COLUMN($F$1),FALSE))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Z281">
        <f>IF(ISNUMBER(SEARCH(SUBSTITUTE(AZ$1,RIGHT(AZ$1,2),""),VLOOKUP($D281,素材!$1:$1016,COLUMN($F$1),FALSE))),VLOOKUP($C281,装備品!$1:$998,COLUMN($O$1),FALSE)*VLOOKUP($D281,素材!$1:$1016,COLUMN($E$1),FALSE)/(LEN(VLOOKUP($D281,素材!$1:$1016,COLUMN($F$1),FALSE))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BA281">
        <f>IF(ISNUMBER(SEARCH(SUBSTITUTE(BA$1,RIGHT(BA$1,2),""),VLOOKUP($D281,素材!$1:$1016,COLUMN($F$1),FALSE))),VLOOKUP($C281,装備品!$1:$998,COLUMN($O$1),FALSE)*VLOOKUP($D281,素材!$1:$1016,COLUMN($E$1),FALSE)/(LEN(VLOOKUP($D281,素材!$1:$1016,COLUMN($F$1),FALSE))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BB281">
        <f>IF(ISNUMBER(SEARCH(SUBSTITUTE(BB$1,RIGHT(BB$1,2),""),VLOOKUP($D281,素材!$1:$1016,COLUMN($F$1),FALSE))),VLOOKUP($C281,装備品!$1:$998,COLUMN($O$1),FALSE)*VLOOKUP($D281,素材!$1:$1016,COLUMN($E$1),FALSE)/(LEN(VLOOKUP($D281,素材!$1:$1016,COLUMN($F$1),FALSE))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BC281">
        <f>IF(ISNUMBER(SEARCH(SUBSTITUTE(BC$1,RIGHT(BC$1,2),""),VLOOKUP($D281,素材!$1:$1016,COLUMN($F$1),FALSE))),VLOOKUP($C281,装備品!$1:$998,COLUMN($O$1),FALSE)*VLOOKUP($D281,素材!$1:$1016,COLUMN($E$1),FALSE)/(LEN(VLOOKUP($D281,素材!$1:$1016,COLUMN($F$1),FALSE))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BD281">
        <f>IF(ISNUMBER(SEARCH(SUBSTITUTE(BD$1,RIGHT(BD$1,2),""),VLOOKUP($D281,素材!$1:$1016,COLUMN($F$1),FALSE))),VLOOKUP($C281,装備品!$1:$998,COLUMN($O$1),FALSE)*VLOOKUP($D281,素材!$1:$1016,COLUMN($E$1),FALSE)/(LEN(VLOOKUP($D281,素材!$1:$1016,COLUMN($F$1),FALSE))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BE281">
        <f>IF(ISNUMBER(SEARCH(SUBSTITUTE(BE$1,RIGHT(BE$1,2),""),VLOOKUP($D281,素材!$1:$1016,COLUMN($F$1),FALSE))),VLOOKUP($C281,装備品!$1:$998,COLUMN($O$1),FALSE)*VLOOKUP($D281,素材!$1:$1016,COLUMN($E$1),FALSE)/(LEN(VLOOKUP($D281,素材!$1:$1016,COLUMN($F$1),FALSE))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CL281">
        <f t="shared" si="41"/>
        <v>0</v>
      </c>
      <c r="CM281" s="22" t="str">
        <f t="shared" si="42"/>
        <v>装飾.webp</v>
      </c>
      <c r="CN281">
        <f>IFERROR(VLOOKUP($C281,装備品!$1:$998,COLUMN(V$1),FALSE)*VLOOKUP($D281,素材!$1:$1016,COLUMN(N$1),FALSE)+IF(CI281="",0,VLOOKUP($CI281,付与!$1:$1176,COLUMN($CK$1),FALSE)),"")</f>
        <v>0</v>
      </c>
      <c r="CO281" t="str">
        <f>VLOOKUP(D281,素材!$A:$O,COLUMN(素材!O$1),FALSE)</f>
        <v>魔力を帯びた特殊な皮素材。魔法防御や属性耐性を強化する効果があり、高レベルの冒険者に重宝されます。</v>
      </c>
      <c r="CP281" t="str">
        <f>VLOOKUP(C281,装備品!$A:$AB,COLUMN(装備品!AB$1),FALSE)</f>
        <v xml:space="preserve">防御 隠密 </v>
      </c>
      <c r="CR281" t="str">
        <f t="shared" si="43"/>
        <v>e_281</v>
      </c>
      <c r="CS281">
        <f t="shared" si="44"/>
        <v>0</v>
      </c>
    </row>
    <row r="282" spans="1:97" hidden="1" outlineLevel="1" x14ac:dyDescent="0.4">
      <c r="A282" t="str">
        <f t="shared" si="45"/>
        <v>魔獣皮の外套</v>
      </c>
      <c r="B282" t="str">
        <f>IFERROR(IF(CI282="",VLOOKUP($D282,素材!$1:$1016,COLUMN($B$1),FALSE)&amp;"・"&amp;VLOOKUP($C282,装備品!$1:$998,COLUMN(B$1),FALSE),VLOOKUP($CI282,付与!$1:$1176,COLUMN($B$1),FALSE)&amp;"・"&amp;VLOOKUP($C282,装備品!$1:$998,COLUMN(B$1),FALSE)),"")</f>
        <v>マジックレザー・マント</v>
      </c>
      <c r="C282" s="24" t="s">
        <v>202</v>
      </c>
      <c r="D282" s="24" t="s">
        <v>201</v>
      </c>
      <c r="E282" t="str">
        <f>IFERROR(VLOOKUP(C282,装備品!$1:$998,COLUMN(C$1),FALSE),"")</f>
        <v>装飾</v>
      </c>
      <c r="F282">
        <f>IFERROR(ROUNDDOWN((VLOOKUP($C282,装備品!$1:$998,COLUMN(D$1),FALSE)+IFERROR(VLOOKUP($CI282,付与!$1:$1167,COLUMN(F$1),FALSE),0))*VLOOKUP($D282,素材!$1:$1016,COLUMN(D$1),FALSE),0),"")</f>
        <v>0</v>
      </c>
      <c r="G282">
        <f>IFERROR(ROUNDDOWN((VLOOKUP($C282,装備品!$1:$998,COLUMN(E$1),FALSE)+IFERROR(VLOOKUP($CI282,付与!$1:$1167,COLUMN(G$1),FALSE),0))*VLOOKUP($D282,素材!$1:$1016,COLUMN($E$1),FALSE),0),"")</f>
        <v>0</v>
      </c>
      <c r="H282">
        <f>IFERROR(ROUNDDOWN((VLOOKUP($C282,装備品!$1:$998,COLUMN(F$1),FALSE)+IFERROR(VLOOKUP($CI282,付与!$1:$1167,COLUMN(H$1),FALSE),0))*VLOOKUP($D282,素材!$1:$1016,COLUMN($E$1),FALSE),0),"")</f>
        <v>0</v>
      </c>
      <c r="I282">
        <f>IFERROR(ROUNDDOWN((VLOOKUP($C282,装備品!$1:$998,COLUMN(G$1),FALSE)+IFERROR(VLOOKUP($CI282,付与!$1:$1167,COLUMN(I$1),FALSE),0))*VLOOKUP($D282,素材!$1:$1016,COLUMN($E$1),FALSE),0),"")</f>
        <v>0</v>
      </c>
      <c r="J282">
        <f>IFERROR(ROUNDDOWN((VLOOKUP($C282,装備品!$1:$998,COLUMN(H$1),FALSE)+IFERROR(VLOOKUP($CI282,付与!$1:$1167,COLUMN(J$1),FALSE),0))*VLOOKUP($D282,素材!$1:$1016,COLUMN($E$1),FALSE),0),"")</f>
        <v>0</v>
      </c>
      <c r="K282">
        <f>IFERROR(ROUNDDOWN((VLOOKUP($C282,装備品!$1:$998,COLUMN(I$1),FALSE)+IFERROR(VLOOKUP($CI282,付与!$1:$1167,COLUMN(K$1),FALSE),0))*VLOOKUP($D282,素材!$1:$1016,COLUMN($E$1),FALSE),0),"")</f>
        <v>0</v>
      </c>
      <c r="L282" t="str">
        <f>IFERROR(VLOOKUP($D282,素材!$1:$1016,COLUMN($F$1),FALSE),"")</f>
        <v>魔法</v>
      </c>
      <c r="M282" t="str">
        <f>IFERROR(VLOOKUP($C282,装備品!$1:$998,COLUMN(AA$1),FALSE)*VLOOKUP($D282,素材!$1:$1016,COLUMN($G$1),FALSE),"")</f>
        <v/>
      </c>
      <c r="N282">
        <f>IFERROR(VLOOKUP($C282,装備品!$1:$998,COLUMN(I$1),FALSE),"")</f>
        <v>0</v>
      </c>
      <c r="O282" s="23" t="str">
        <f>IFERROR((VLOOKUP($C282,装備品!$1:$998,COLUMN(K$1),FALSE)+VLOOKUP($D282,素材!$1:$1016,COLUMN(H$1),FALSE))*100+IFERROR(VLOOKUP($CI282,付与!$1:$1167,COLUMN(O$1),FALSE),0),"")</f>
        <v/>
      </c>
      <c r="P282" s="23" t="str">
        <f>IFERROR((VLOOKUP($C282,装備品!$1:$998,COLUMN(L$1),FALSE)+VLOOKUP($D282,素材!$1:$1016,COLUMN(I$1),FALSE))*100+IFERROR(VLOOKUP($CI282,付与!$1:$1167,COLUMN(P$1),FALSE),0),"")</f>
        <v/>
      </c>
      <c r="Q282">
        <f>IFERROR(ROUNDUP(VLOOKUP($C282,装備品!$1:$998,COLUMN(M$1),FALSE)*(VLOOKUP($D282,素材!$1:$1002,COLUMN(D$1),FALSE)/100),1),"")</f>
        <v>0</v>
      </c>
      <c r="R282">
        <f>IFERROR(ROUNDUP(VLOOKUP($C282,装備品!$1:$998,COLUMN(N$1),FALSE)*(VLOOKUP($D282,素材!$1:$1002,COLUMN(D$1),FALSE)/100),1),"")</f>
        <v>0</v>
      </c>
      <c r="S282">
        <f>IFERROR(VLOOKUP($C282,装備品!$1:$998,COLUMN(P$1),FALSE),"")</f>
        <v>0</v>
      </c>
      <c r="T282">
        <f>IFERROR(VLOOKUP($C282,装備品!$1:$998,COLUMN(Q$1),FALSE),"")</f>
        <v>0</v>
      </c>
      <c r="U282">
        <f>IFERROR(VLOOKUP($C282,装備品!$1:$998,COLUMN(R$1),FALSE),"")</f>
        <v>0</v>
      </c>
      <c r="V282">
        <f>IFERROR(VLOOKUP($C282,装備品!$1:$998,COLUMN(Q$1),FALSE),"")</f>
        <v>0</v>
      </c>
      <c r="W282">
        <f>IFERROR(VLOOKUP($C282,装備品!$1:$998,COLUMN(T$1),FALSE),"")</f>
        <v>0</v>
      </c>
      <c r="Y282">
        <f>IFERROR(VLOOKUP($C282,装備品!$1:$998,COLUMN(U$1),FALSE),"")</f>
        <v>0</v>
      </c>
      <c r="Z282">
        <f>IFERROR(ROUNDUP(VLOOKUP($C282,装備品!$1:$998,COLUMN(O$1),FALSE)*VLOOKUP($D282,素材!$1:$1016,COLUMN(E$1),FALSE),1),"")</f>
        <v>0</v>
      </c>
      <c r="AA282">
        <f>IF(ISNUMBER(SEARCH(SUBSTITUTE(AA$1,RIGHT(AA$1,2),""),VLOOKUP($D282,素材!$1:$1016,COLUMN($F$1),FALSE))),VLOOKUP($C282,装備品!$1:$998,COLUMN($O$1),FALSE)*VLOOKUP($D282,素材!$1:$1016,COLUMN($E$1),FALSE)/(LEN(VLOOKUP($D282,素材!$1:$1016,COLUMN($F$1),FALSE))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B282">
        <f>IF(ISNUMBER(SEARCH(SUBSTITUTE(AB$1,RIGHT(AB$1,2),""),VLOOKUP($D282,素材!$1:$1016,COLUMN($F$1),FALSE))),VLOOKUP($C282,装備品!$1:$998,COLUMN($O$1),FALSE)*VLOOKUP($D282,素材!$1:$1016,COLUMN($E$1),FALSE)/(LEN(VLOOKUP($D282,素材!$1:$1016,COLUMN($F$1),FALSE))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C282">
        <f>IF(ISNUMBER(SEARCH(SUBSTITUTE(AC$1,RIGHT(AC$1,2),""),VLOOKUP($D282,素材!$1:$1016,COLUMN($F$1),FALSE))),VLOOKUP($C282,装備品!$1:$998,COLUMN($O$1),FALSE)*VLOOKUP($D282,素材!$1:$1016,COLUMN($E$1),FALSE)/(LEN(VLOOKUP($D282,素材!$1:$1016,COLUMN($F$1),FALSE))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D282">
        <f>IF(ISNUMBER(SEARCH(SUBSTITUTE(AD$1,RIGHT(AD$1,2),""),VLOOKUP($D282,素材!$1:$1016,COLUMN($F$1),FALSE))),VLOOKUP($C282,装備品!$1:$998,COLUMN($O$1),FALSE)*VLOOKUP($D282,素材!$1:$1016,COLUMN($E$1),FALSE)/(LEN(VLOOKUP($D282,素材!$1:$1016,COLUMN($F$1),FALSE))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E282">
        <f>IF(ISNUMBER(SEARCH(SUBSTITUTE(AE$1,RIGHT(AE$1,2),""),VLOOKUP($D282,素材!$1:$1016,COLUMN($F$1),FALSE))),VLOOKUP($C282,装備品!$1:$998,COLUMN($O$1),FALSE)*VLOOKUP($D282,素材!$1:$1016,COLUMN($E$1),FALSE)/(LEN(VLOOKUP($D282,素材!$1:$1016,COLUMN($F$1),FALSE))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F282">
        <f>IF(ISNUMBER(SEARCH(SUBSTITUTE(AF$1,RIGHT(AF$1,2),""),VLOOKUP($D282,素材!$1:$1016,COLUMN($F$1),FALSE))),VLOOKUP($C282,装備品!$1:$998,COLUMN($O$1),FALSE)*VLOOKUP($D282,素材!$1:$1016,COLUMN($E$1),FALSE)/(LEN(VLOOKUP($D282,素材!$1:$1016,COLUMN($F$1),FALSE))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G282">
        <f>IF(ISNUMBER(SEARCH(SUBSTITUTE(AG$1,RIGHT(AG$1,2),""),VLOOKUP($D282,素材!$1:$1016,COLUMN($F$1),FALSE))),VLOOKUP($C282,装備品!$1:$998,COLUMN($O$1),FALSE)*VLOOKUP($D282,素材!$1:$1016,COLUMN($E$1),FALSE)/(LEN(VLOOKUP($D282,素材!$1:$1016,COLUMN($F$1),FALSE))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H282">
        <f>IF(ISNUMBER(SEARCH(SUBSTITUTE(AH$1,RIGHT(AH$1,2),""),VLOOKUP($D282,素材!$1:$1016,COLUMN($F$1),FALSE))),VLOOKUP($C282,装備品!$1:$998,COLUMN($O$1),FALSE)*VLOOKUP($D282,素材!$1:$1016,COLUMN($E$1),FALSE)/(LEN(VLOOKUP($D282,素材!$1:$1016,COLUMN($F$1),FALSE))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I282">
        <f>IF(ISNUMBER(SEARCH(SUBSTITUTE(AI$1,RIGHT(AI$1,2),""),VLOOKUP($D282,素材!$1:$1016,COLUMN($F$1),FALSE))),VLOOKUP($C282,装備品!$1:$998,COLUMN($O$1),FALSE)*VLOOKUP($D282,素材!$1:$1016,COLUMN($E$1),FALSE)/(LEN(VLOOKUP($D282,素材!$1:$1016,COLUMN($F$1),FALSE))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J282">
        <f>IF(ISNUMBER(SEARCH(SUBSTITUTE(AJ$1,RIGHT(AJ$1,2),""),VLOOKUP($D282,素材!$1:$1016,COLUMN($F$1),FALSE))),VLOOKUP($C282,装備品!$1:$998,COLUMN($O$1),FALSE)*VLOOKUP($D282,素材!$1:$1016,COLUMN($E$1),FALSE)/(LEN(VLOOKUP($D282,素材!$1:$1016,COLUMN($F$1),FALSE))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K282">
        <f>IF(ISNUMBER(SEARCH(SUBSTITUTE(AK$1,RIGHT(AK$1,2),""),VLOOKUP($D282,素材!$1:$1016,COLUMN($F$1),FALSE))),VLOOKUP($C282,装備品!$1:$998,COLUMN($O$1),FALSE)*VLOOKUP($D282,素材!$1:$1016,COLUMN($E$1),FALSE)/(LEN(VLOOKUP($D282,素材!$1:$1016,COLUMN($F$1),FALSE))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L282">
        <f>IF(ISNUMBER(SEARCH(SUBSTITUTE(AL$1,RIGHT(AL$1,2),""),VLOOKUP($D282,素材!$1:$1016,COLUMN($F$1),FALSE))),VLOOKUP($C282,装備品!$1:$998,COLUMN($O$1),FALSE)*VLOOKUP($D282,素材!$1:$1016,COLUMN($E$1),FALSE)/(LEN(VLOOKUP($D282,素材!$1:$1016,COLUMN($F$1),FALSE))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M282">
        <f>IF(ISNUMBER(SEARCH(SUBSTITUTE(AM$1,RIGHT(AM$1,2),""),VLOOKUP($D282,素材!$1:$1016,COLUMN($F$1),FALSE))),VLOOKUP($C282,装備品!$1:$998,COLUMN($O$1),FALSE)*VLOOKUP($D282,素材!$1:$1016,COLUMN($E$1),FALSE)/(LEN(VLOOKUP($D282,素材!$1:$1016,COLUMN($F$1),FALSE))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N282">
        <f>IF(ISNUMBER(SEARCH(SUBSTITUTE(AN$1,RIGHT(AN$1,2),""),VLOOKUP($D282,素材!$1:$1016,COLUMN($F$1),FALSE))),VLOOKUP($C282,装備品!$1:$998,COLUMN($O$1),FALSE)*VLOOKUP($D282,素材!$1:$1016,COLUMN($E$1),FALSE)/(LEN(VLOOKUP($D282,素材!$1:$1016,COLUMN($F$1),FALSE))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O282">
        <f>IF(ISNUMBER(SEARCH(SUBSTITUTE(AO$1,RIGHT(AO$1,2),""),VLOOKUP($D282,素材!$1:$1016,COLUMN($F$1),FALSE))),VLOOKUP($C282,装備品!$1:$998,COLUMN($O$1),FALSE)*VLOOKUP($D282,素材!$1:$1016,COLUMN($E$1),FALSE)/(LEN(VLOOKUP($D282,素材!$1:$1016,COLUMN($F$1),FALSE))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P282">
        <f>IF(ISNUMBER(SEARCH(SUBSTITUTE(AP$1,RIGHT(AP$1,2),""),VLOOKUP($D282,素材!$1:$1016,COLUMN($F$1),FALSE))),VLOOKUP($C282,装備品!$1:$998,COLUMN($O$1),FALSE)*VLOOKUP($D282,素材!$1:$1016,COLUMN($E$1),FALSE)/(LEN(VLOOKUP($D282,素材!$1:$1016,COLUMN($F$1),FALSE))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Q282">
        <f>IF(ISNUMBER(SEARCH(SUBSTITUTE(AQ$1,RIGHT(AQ$1,2),""),VLOOKUP($D282,素材!$1:$1016,COLUMN($F$1),FALSE))),VLOOKUP($C282,装備品!$1:$998,COLUMN($O$1),FALSE)*VLOOKUP($D282,素材!$1:$1016,COLUMN($E$1),FALSE)/(LEN(VLOOKUP($D282,素材!$1:$1016,COLUMN($F$1),FALSE))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R282">
        <f>IF(ISNUMBER(SEARCH(SUBSTITUTE(AR$1,RIGHT(AR$1,2),""),VLOOKUP($D282,素材!$1:$1016,COLUMN($F$1),FALSE))),VLOOKUP($C282,装備品!$1:$998,COLUMN($O$1),FALSE)*VLOOKUP($D282,素材!$1:$1016,COLUMN($E$1),FALSE)/(LEN(VLOOKUP($D282,素材!$1:$1016,COLUMN($F$1),FALSE))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S282">
        <f>IF(ISNUMBER(SEARCH(SUBSTITUTE(AS$1,RIGHT(AS$1,2),""),VLOOKUP($D282,素材!$1:$1016,COLUMN($F$1),FALSE))),VLOOKUP($C282,装備品!$1:$998,COLUMN($O$1),FALSE)*VLOOKUP($D282,素材!$1:$1016,COLUMN($E$1),FALSE)/(LEN(VLOOKUP($D282,素材!$1:$1016,COLUMN($F$1),FALSE))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T282">
        <f>IF(ISNUMBER(SEARCH(SUBSTITUTE(AT$1,RIGHT(AT$1,2),""),VLOOKUP($D282,素材!$1:$1016,COLUMN($F$1),FALSE))),VLOOKUP($C282,装備品!$1:$998,COLUMN($O$1),FALSE)*VLOOKUP($D282,素材!$1:$1016,COLUMN($E$1),FALSE)/(LEN(VLOOKUP($D282,素材!$1:$1016,COLUMN($F$1),FALSE))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U282">
        <f>IF(ISNUMBER(SEARCH(SUBSTITUTE(AU$1,RIGHT(AU$1,2),""),VLOOKUP($D282,素材!$1:$1016,COLUMN($F$1),FALSE))),VLOOKUP($C282,装備品!$1:$998,COLUMN($O$1),FALSE)*VLOOKUP($D282,素材!$1:$1016,COLUMN($E$1),FALSE)/(LEN(VLOOKUP($D282,素材!$1:$1016,COLUMN($F$1),FALSE))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V282">
        <f>IF(ISNUMBER(SEARCH(SUBSTITUTE(AV$1,RIGHT(AV$1,2),""),VLOOKUP($D282,素材!$1:$1016,COLUMN($F$1),FALSE))),VLOOKUP($C282,装備品!$1:$998,COLUMN($O$1),FALSE)*VLOOKUP($D282,素材!$1:$1016,COLUMN($E$1),FALSE)/(LEN(VLOOKUP($D282,素材!$1:$1016,COLUMN($F$1),FALSE))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W282">
        <f>IF(ISNUMBER(SEARCH(SUBSTITUTE(AW$1,RIGHT(AW$1,2),""),VLOOKUP($D282,素材!$1:$1016,COLUMN($F$1),FALSE))),VLOOKUP($C282,装備品!$1:$998,COLUMN($O$1),FALSE)*VLOOKUP($D282,素材!$1:$1016,COLUMN($E$1),FALSE)/(LEN(VLOOKUP($D282,素材!$1:$1016,COLUMN($F$1),FALSE))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X282">
        <f>IF(ISNUMBER(SEARCH(SUBSTITUTE(AX$1,RIGHT(AX$1,2),""),VLOOKUP($D282,素材!$1:$1016,COLUMN($F$1),FALSE))),VLOOKUP($C282,装備品!$1:$998,COLUMN($O$1),FALSE)*VLOOKUP($D282,素材!$1:$1016,COLUMN($E$1),FALSE)/(LEN(VLOOKUP($D282,素材!$1:$1016,COLUMN($F$1),FALSE))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Y282">
        <f>IF(ISNUMBER(SEARCH(SUBSTITUTE(AY$1,RIGHT(AY$1,2),""),VLOOKUP($D282,素材!$1:$1016,COLUMN($F$1),FALSE))),VLOOKUP($C282,装備品!$1:$998,COLUMN($O$1),FALSE)*VLOOKUP($D282,素材!$1:$1016,COLUMN($E$1),FALSE)/(LEN(VLOOKUP($D282,素材!$1:$1016,COLUMN($F$1),FALSE))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Z282">
        <f>IF(ISNUMBER(SEARCH(SUBSTITUTE(AZ$1,RIGHT(AZ$1,2),""),VLOOKUP($D282,素材!$1:$1016,COLUMN($F$1),FALSE))),VLOOKUP($C282,装備品!$1:$998,COLUMN($O$1),FALSE)*VLOOKUP($D282,素材!$1:$1016,COLUMN($E$1),FALSE)/(LEN(VLOOKUP($D282,素材!$1:$1016,COLUMN($F$1),FALSE))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BA282">
        <f>IF(ISNUMBER(SEARCH(SUBSTITUTE(BA$1,RIGHT(BA$1,2),""),VLOOKUP($D282,素材!$1:$1016,COLUMN($F$1),FALSE))),VLOOKUP($C282,装備品!$1:$998,COLUMN($O$1),FALSE)*VLOOKUP($D282,素材!$1:$1016,COLUMN($E$1),FALSE)/(LEN(VLOOKUP($D282,素材!$1:$1016,COLUMN($F$1),FALSE))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BB282">
        <f>IF(ISNUMBER(SEARCH(SUBSTITUTE(BB$1,RIGHT(BB$1,2),""),VLOOKUP($D282,素材!$1:$1016,COLUMN($F$1),FALSE))),VLOOKUP($C282,装備品!$1:$998,COLUMN($O$1),FALSE)*VLOOKUP($D282,素材!$1:$1016,COLUMN($E$1),FALSE)/(LEN(VLOOKUP($D282,素材!$1:$1016,COLUMN($F$1),FALSE))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BC282">
        <f>IF(ISNUMBER(SEARCH(SUBSTITUTE(BC$1,RIGHT(BC$1,2),""),VLOOKUP($D282,素材!$1:$1016,COLUMN($F$1),FALSE))),VLOOKUP($C282,装備品!$1:$998,COLUMN($O$1),FALSE)*VLOOKUP($D282,素材!$1:$1016,COLUMN($E$1),FALSE)/(LEN(VLOOKUP($D282,素材!$1:$1016,COLUMN($F$1),FALSE))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BD282">
        <f>IF(ISNUMBER(SEARCH(SUBSTITUTE(BD$1,RIGHT(BD$1,2),""),VLOOKUP($D282,素材!$1:$1016,COLUMN($F$1),FALSE))),VLOOKUP($C282,装備品!$1:$998,COLUMN($O$1),FALSE)*VLOOKUP($D282,素材!$1:$1016,COLUMN($E$1),FALSE)/(LEN(VLOOKUP($D282,素材!$1:$1016,COLUMN($F$1),FALSE))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BE282">
        <f>IF(ISNUMBER(SEARCH(SUBSTITUTE(BE$1,RIGHT(BE$1,2),""),VLOOKUP($D282,素材!$1:$1016,COLUMN($F$1),FALSE))),VLOOKUP($C282,装備品!$1:$998,COLUMN($O$1),FALSE)*VLOOKUP($D282,素材!$1:$1016,COLUMN($E$1),FALSE)/(LEN(VLOOKUP($D282,素材!$1:$1016,COLUMN($F$1),FALSE))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CL282">
        <f t="shared" si="41"/>
        <v>0</v>
      </c>
      <c r="CM282" s="22" t="str">
        <f t="shared" si="42"/>
        <v>装飾.webp</v>
      </c>
      <c r="CN282">
        <f>IFERROR(VLOOKUP($C282,装備品!$1:$998,COLUMN(V$1),FALSE)*VLOOKUP($D282,素材!$1:$1016,COLUMN(N$1),FALSE)+IF(CI282="",0,VLOOKUP($CI282,付与!$1:$1176,COLUMN($CK$1),FALSE)),"")</f>
        <v>0</v>
      </c>
      <c r="CO282" t="str">
        <f>VLOOKUP(D282,素材!$A:$O,COLUMN(素材!O$1),FALSE)</f>
        <v>魔力を帯びた特殊な皮素材。魔法防御や属性耐性を強化する効果があり、高レベルの冒険者に重宝されます。</v>
      </c>
      <c r="CP282" t="str">
        <f>VLOOKUP(C282,装備品!$A:$AB,COLUMN(装備品!AB$1),FALSE)</f>
        <v xml:space="preserve">防御 隠密 </v>
      </c>
      <c r="CR282" t="str">
        <f t="shared" si="43"/>
        <v>e_282</v>
      </c>
      <c r="CS282">
        <f t="shared" si="44"/>
        <v>0</v>
      </c>
    </row>
    <row r="283" spans="1:97" hidden="1" outlineLevel="1" x14ac:dyDescent="0.4">
      <c r="A283" t="str">
        <f t="shared" si="45"/>
        <v>魔獣皮の外套</v>
      </c>
      <c r="B283" t="str">
        <f>IFERROR(IF(CI283="",VLOOKUP($D283,素材!$1:$1016,COLUMN($B$1),FALSE)&amp;"・"&amp;VLOOKUP($C283,装備品!$1:$998,COLUMN(B$1),FALSE),VLOOKUP($CI283,付与!$1:$1176,COLUMN($B$1),FALSE)&amp;"・"&amp;VLOOKUP($C283,装備品!$1:$998,COLUMN(B$1),FALSE)),"")</f>
        <v>マジックレザー・マント</v>
      </c>
      <c r="C283" s="24" t="s">
        <v>202</v>
      </c>
      <c r="D283" s="24" t="s">
        <v>201</v>
      </c>
      <c r="E283" t="str">
        <f>IFERROR(VLOOKUP(C283,装備品!$1:$998,COLUMN(C$1),FALSE),"")</f>
        <v>装飾</v>
      </c>
      <c r="F283">
        <f>IFERROR(ROUNDDOWN((VLOOKUP($C283,装備品!$1:$998,COLUMN(D$1),FALSE)+IFERROR(VLOOKUP($CI283,付与!$1:$1167,COLUMN(F$1),FALSE),0))*VLOOKUP($D283,素材!$1:$1016,COLUMN(D$1),FALSE),0),"")</f>
        <v>0</v>
      </c>
      <c r="G283">
        <f>IFERROR(ROUNDDOWN((VLOOKUP($C283,装備品!$1:$998,COLUMN(E$1),FALSE)+IFERROR(VLOOKUP($CI283,付与!$1:$1167,COLUMN(G$1),FALSE),0))*VLOOKUP($D283,素材!$1:$1016,COLUMN($E$1),FALSE),0),"")</f>
        <v>0</v>
      </c>
      <c r="H283">
        <f>IFERROR(ROUNDDOWN((VLOOKUP($C283,装備品!$1:$998,COLUMN(F$1),FALSE)+IFERROR(VLOOKUP($CI283,付与!$1:$1167,COLUMN(H$1),FALSE),0))*VLOOKUP($D283,素材!$1:$1016,COLUMN($E$1),FALSE),0),"")</f>
        <v>0</v>
      </c>
      <c r="I283">
        <f>IFERROR(ROUNDDOWN((VLOOKUP($C283,装備品!$1:$998,COLUMN(G$1),FALSE)+IFERROR(VLOOKUP($CI283,付与!$1:$1167,COLUMN(I$1),FALSE),0))*VLOOKUP($D283,素材!$1:$1016,COLUMN($E$1),FALSE),0),"")</f>
        <v>0</v>
      </c>
      <c r="J283">
        <f>IFERROR(ROUNDDOWN((VLOOKUP($C283,装備品!$1:$998,COLUMN(H$1),FALSE)+IFERROR(VLOOKUP($CI283,付与!$1:$1167,COLUMN(J$1),FALSE),0))*VLOOKUP($D283,素材!$1:$1016,COLUMN($E$1),FALSE),0),"")</f>
        <v>0</v>
      </c>
      <c r="K283">
        <f>IFERROR(ROUNDDOWN((VLOOKUP($C283,装備品!$1:$998,COLUMN(I$1),FALSE)+IFERROR(VLOOKUP($CI283,付与!$1:$1167,COLUMN(K$1),FALSE),0))*VLOOKUP($D283,素材!$1:$1016,COLUMN($E$1),FALSE),0),"")</f>
        <v>0</v>
      </c>
      <c r="L283" t="str">
        <f>IFERROR(VLOOKUP($D283,素材!$1:$1016,COLUMN($F$1),FALSE),"")</f>
        <v>魔法</v>
      </c>
      <c r="M283" t="str">
        <f>IFERROR(VLOOKUP($C283,装備品!$1:$998,COLUMN(AA$1),FALSE)*VLOOKUP($D283,素材!$1:$1016,COLUMN($G$1),FALSE),"")</f>
        <v/>
      </c>
      <c r="N283">
        <f>IFERROR(VLOOKUP($C283,装備品!$1:$998,COLUMN(I$1),FALSE),"")</f>
        <v>0</v>
      </c>
      <c r="O283" s="23" t="str">
        <f>IFERROR((VLOOKUP($C283,装備品!$1:$998,COLUMN(K$1),FALSE)+VLOOKUP($D283,素材!$1:$1016,COLUMN(H$1),FALSE))*100+IFERROR(VLOOKUP($CI283,付与!$1:$1167,COLUMN(O$1),FALSE),0),"")</f>
        <v/>
      </c>
      <c r="P283" s="23" t="str">
        <f>IFERROR((VLOOKUP($C283,装備品!$1:$998,COLUMN(L$1),FALSE)+VLOOKUP($D283,素材!$1:$1016,COLUMN(I$1),FALSE))*100+IFERROR(VLOOKUP($CI283,付与!$1:$1167,COLUMN(P$1),FALSE),0),"")</f>
        <v/>
      </c>
      <c r="Q283">
        <f>IFERROR(ROUNDUP(VLOOKUP($C283,装備品!$1:$998,COLUMN(M$1),FALSE)*(VLOOKUP($D283,素材!$1:$1002,COLUMN(D$1),FALSE)/100),1),"")</f>
        <v>0</v>
      </c>
      <c r="R283">
        <f>IFERROR(ROUNDUP(VLOOKUP($C283,装備品!$1:$998,COLUMN(N$1),FALSE)*(VLOOKUP($D283,素材!$1:$1002,COLUMN(D$1),FALSE)/100),1),"")</f>
        <v>0</v>
      </c>
      <c r="S283">
        <f>IFERROR(VLOOKUP($C283,装備品!$1:$998,COLUMN(P$1),FALSE),"")</f>
        <v>0</v>
      </c>
      <c r="T283">
        <f>IFERROR(VLOOKUP($C283,装備品!$1:$998,COLUMN(Q$1),FALSE),"")</f>
        <v>0</v>
      </c>
      <c r="U283">
        <f>IFERROR(VLOOKUP($C283,装備品!$1:$998,COLUMN(R$1),FALSE),"")</f>
        <v>0</v>
      </c>
      <c r="V283">
        <f>IFERROR(VLOOKUP($C283,装備品!$1:$998,COLUMN(Q$1),FALSE),"")</f>
        <v>0</v>
      </c>
      <c r="W283">
        <f>IFERROR(VLOOKUP($C283,装備品!$1:$998,COLUMN(T$1),FALSE),"")</f>
        <v>0</v>
      </c>
      <c r="Y283">
        <f>IFERROR(VLOOKUP($C283,装備品!$1:$998,COLUMN(U$1),FALSE),"")</f>
        <v>0</v>
      </c>
      <c r="Z283">
        <f>IFERROR(ROUNDUP(VLOOKUP($C283,装備品!$1:$998,COLUMN(O$1),FALSE)*VLOOKUP($D283,素材!$1:$1016,COLUMN(E$1),FALSE),1),"")</f>
        <v>0</v>
      </c>
      <c r="AA283">
        <f>IF(ISNUMBER(SEARCH(SUBSTITUTE(AA$1,RIGHT(AA$1,2),""),VLOOKUP($D283,素材!$1:$1016,COLUMN($F$1),FALSE))),VLOOKUP($C283,装備品!$1:$998,COLUMN($O$1),FALSE)*VLOOKUP($D283,素材!$1:$1016,COLUMN($E$1),FALSE)/(LEN(VLOOKUP($D283,素材!$1:$1016,COLUMN($F$1),FALSE))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B283">
        <f>IF(ISNUMBER(SEARCH(SUBSTITUTE(AB$1,RIGHT(AB$1,2),""),VLOOKUP($D283,素材!$1:$1016,COLUMN($F$1),FALSE))),VLOOKUP($C283,装備品!$1:$998,COLUMN($O$1),FALSE)*VLOOKUP($D283,素材!$1:$1016,COLUMN($E$1),FALSE)/(LEN(VLOOKUP($D283,素材!$1:$1016,COLUMN($F$1),FALSE))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C283">
        <f>IF(ISNUMBER(SEARCH(SUBSTITUTE(AC$1,RIGHT(AC$1,2),""),VLOOKUP($D283,素材!$1:$1016,COLUMN($F$1),FALSE))),VLOOKUP($C283,装備品!$1:$998,COLUMN($O$1),FALSE)*VLOOKUP($D283,素材!$1:$1016,COLUMN($E$1),FALSE)/(LEN(VLOOKUP($D283,素材!$1:$1016,COLUMN($F$1),FALSE))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D283">
        <f>IF(ISNUMBER(SEARCH(SUBSTITUTE(AD$1,RIGHT(AD$1,2),""),VLOOKUP($D283,素材!$1:$1016,COLUMN($F$1),FALSE))),VLOOKUP($C283,装備品!$1:$998,COLUMN($O$1),FALSE)*VLOOKUP($D283,素材!$1:$1016,COLUMN($E$1),FALSE)/(LEN(VLOOKUP($D283,素材!$1:$1016,COLUMN($F$1),FALSE))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E283">
        <f>IF(ISNUMBER(SEARCH(SUBSTITUTE(AE$1,RIGHT(AE$1,2),""),VLOOKUP($D283,素材!$1:$1016,COLUMN($F$1),FALSE))),VLOOKUP($C283,装備品!$1:$998,COLUMN($O$1),FALSE)*VLOOKUP($D283,素材!$1:$1016,COLUMN($E$1),FALSE)/(LEN(VLOOKUP($D283,素材!$1:$1016,COLUMN($F$1),FALSE))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F283">
        <f>IF(ISNUMBER(SEARCH(SUBSTITUTE(AF$1,RIGHT(AF$1,2),""),VLOOKUP($D283,素材!$1:$1016,COLUMN($F$1),FALSE))),VLOOKUP($C283,装備品!$1:$998,COLUMN($O$1),FALSE)*VLOOKUP($D283,素材!$1:$1016,COLUMN($E$1),FALSE)/(LEN(VLOOKUP($D283,素材!$1:$1016,COLUMN($F$1),FALSE))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G283">
        <f>IF(ISNUMBER(SEARCH(SUBSTITUTE(AG$1,RIGHT(AG$1,2),""),VLOOKUP($D283,素材!$1:$1016,COLUMN($F$1),FALSE))),VLOOKUP($C283,装備品!$1:$998,COLUMN($O$1),FALSE)*VLOOKUP($D283,素材!$1:$1016,COLUMN($E$1),FALSE)/(LEN(VLOOKUP($D283,素材!$1:$1016,COLUMN($F$1),FALSE))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H283">
        <f>IF(ISNUMBER(SEARCH(SUBSTITUTE(AH$1,RIGHT(AH$1,2),""),VLOOKUP($D283,素材!$1:$1016,COLUMN($F$1),FALSE))),VLOOKUP($C283,装備品!$1:$998,COLUMN($O$1),FALSE)*VLOOKUP($D283,素材!$1:$1016,COLUMN($E$1),FALSE)/(LEN(VLOOKUP($D283,素材!$1:$1016,COLUMN($F$1),FALSE))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I283">
        <f>IF(ISNUMBER(SEARCH(SUBSTITUTE(AI$1,RIGHT(AI$1,2),""),VLOOKUP($D283,素材!$1:$1016,COLUMN($F$1),FALSE))),VLOOKUP($C283,装備品!$1:$998,COLUMN($O$1),FALSE)*VLOOKUP($D283,素材!$1:$1016,COLUMN($E$1),FALSE)/(LEN(VLOOKUP($D283,素材!$1:$1016,COLUMN($F$1),FALSE))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J283">
        <f>IF(ISNUMBER(SEARCH(SUBSTITUTE(AJ$1,RIGHT(AJ$1,2),""),VLOOKUP($D283,素材!$1:$1016,COLUMN($F$1),FALSE))),VLOOKUP($C283,装備品!$1:$998,COLUMN($O$1),FALSE)*VLOOKUP($D283,素材!$1:$1016,COLUMN($E$1),FALSE)/(LEN(VLOOKUP($D283,素材!$1:$1016,COLUMN($F$1),FALSE))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K283">
        <f>IF(ISNUMBER(SEARCH(SUBSTITUTE(AK$1,RIGHT(AK$1,2),""),VLOOKUP($D283,素材!$1:$1016,COLUMN($F$1),FALSE))),VLOOKUP($C283,装備品!$1:$998,COLUMN($O$1),FALSE)*VLOOKUP($D283,素材!$1:$1016,COLUMN($E$1),FALSE)/(LEN(VLOOKUP($D283,素材!$1:$1016,COLUMN($F$1),FALSE))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L283">
        <f>IF(ISNUMBER(SEARCH(SUBSTITUTE(AL$1,RIGHT(AL$1,2),""),VLOOKUP($D283,素材!$1:$1016,COLUMN($F$1),FALSE))),VLOOKUP($C283,装備品!$1:$998,COLUMN($O$1),FALSE)*VLOOKUP($D283,素材!$1:$1016,COLUMN($E$1),FALSE)/(LEN(VLOOKUP($D283,素材!$1:$1016,COLUMN($F$1),FALSE))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M283">
        <f>IF(ISNUMBER(SEARCH(SUBSTITUTE(AM$1,RIGHT(AM$1,2),""),VLOOKUP($D283,素材!$1:$1016,COLUMN($F$1),FALSE))),VLOOKUP($C283,装備品!$1:$998,COLUMN($O$1),FALSE)*VLOOKUP($D283,素材!$1:$1016,COLUMN($E$1),FALSE)/(LEN(VLOOKUP($D283,素材!$1:$1016,COLUMN($F$1),FALSE))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N283">
        <f>IF(ISNUMBER(SEARCH(SUBSTITUTE(AN$1,RIGHT(AN$1,2),""),VLOOKUP($D283,素材!$1:$1016,COLUMN($F$1),FALSE))),VLOOKUP($C283,装備品!$1:$998,COLUMN($O$1),FALSE)*VLOOKUP($D283,素材!$1:$1016,COLUMN($E$1),FALSE)/(LEN(VLOOKUP($D283,素材!$1:$1016,COLUMN($F$1),FALSE))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O283">
        <f>IF(ISNUMBER(SEARCH(SUBSTITUTE(AO$1,RIGHT(AO$1,2),""),VLOOKUP($D283,素材!$1:$1016,COLUMN($F$1),FALSE))),VLOOKUP($C283,装備品!$1:$998,COLUMN($O$1),FALSE)*VLOOKUP($D283,素材!$1:$1016,COLUMN($E$1),FALSE)/(LEN(VLOOKUP($D283,素材!$1:$1016,COLUMN($F$1),FALSE))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P283">
        <f>IF(ISNUMBER(SEARCH(SUBSTITUTE(AP$1,RIGHT(AP$1,2),""),VLOOKUP($D283,素材!$1:$1016,COLUMN($F$1),FALSE))),VLOOKUP($C283,装備品!$1:$998,COLUMN($O$1),FALSE)*VLOOKUP($D283,素材!$1:$1016,COLUMN($E$1),FALSE)/(LEN(VLOOKUP($D283,素材!$1:$1016,COLUMN($F$1),FALSE))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Q283">
        <f>IF(ISNUMBER(SEARCH(SUBSTITUTE(AQ$1,RIGHT(AQ$1,2),""),VLOOKUP($D283,素材!$1:$1016,COLUMN($F$1),FALSE))),VLOOKUP($C283,装備品!$1:$998,COLUMN($O$1),FALSE)*VLOOKUP($D283,素材!$1:$1016,COLUMN($E$1),FALSE)/(LEN(VLOOKUP($D283,素材!$1:$1016,COLUMN($F$1),FALSE))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R283">
        <f>IF(ISNUMBER(SEARCH(SUBSTITUTE(AR$1,RIGHT(AR$1,2),""),VLOOKUP($D283,素材!$1:$1016,COLUMN($F$1),FALSE))),VLOOKUP($C283,装備品!$1:$998,COLUMN($O$1),FALSE)*VLOOKUP($D283,素材!$1:$1016,COLUMN($E$1),FALSE)/(LEN(VLOOKUP($D283,素材!$1:$1016,COLUMN($F$1),FALSE))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S283">
        <f>IF(ISNUMBER(SEARCH(SUBSTITUTE(AS$1,RIGHT(AS$1,2),""),VLOOKUP($D283,素材!$1:$1016,COLUMN($F$1),FALSE))),VLOOKUP($C283,装備品!$1:$998,COLUMN($O$1),FALSE)*VLOOKUP($D283,素材!$1:$1016,COLUMN($E$1),FALSE)/(LEN(VLOOKUP($D283,素材!$1:$1016,COLUMN($F$1),FALSE))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T283">
        <f>IF(ISNUMBER(SEARCH(SUBSTITUTE(AT$1,RIGHT(AT$1,2),""),VLOOKUP($D283,素材!$1:$1016,COLUMN($F$1),FALSE))),VLOOKUP($C283,装備品!$1:$998,COLUMN($O$1),FALSE)*VLOOKUP($D283,素材!$1:$1016,COLUMN($E$1),FALSE)/(LEN(VLOOKUP($D283,素材!$1:$1016,COLUMN($F$1),FALSE))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U283">
        <f>IF(ISNUMBER(SEARCH(SUBSTITUTE(AU$1,RIGHT(AU$1,2),""),VLOOKUP($D283,素材!$1:$1016,COLUMN($F$1),FALSE))),VLOOKUP($C283,装備品!$1:$998,COLUMN($O$1),FALSE)*VLOOKUP($D283,素材!$1:$1016,COLUMN($E$1),FALSE)/(LEN(VLOOKUP($D283,素材!$1:$1016,COLUMN($F$1),FALSE))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V283">
        <f>IF(ISNUMBER(SEARCH(SUBSTITUTE(AV$1,RIGHT(AV$1,2),""),VLOOKUP($D283,素材!$1:$1016,COLUMN($F$1),FALSE))),VLOOKUP($C283,装備品!$1:$998,COLUMN($O$1),FALSE)*VLOOKUP($D283,素材!$1:$1016,COLUMN($E$1),FALSE)/(LEN(VLOOKUP($D283,素材!$1:$1016,COLUMN($F$1),FALSE))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W283">
        <f>IF(ISNUMBER(SEARCH(SUBSTITUTE(AW$1,RIGHT(AW$1,2),""),VLOOKUP($D283,素材!$1:$1016,COLUMN($F$1),FALSE))),VLOOKUP($C283,装備品!$1:$998,COLUMN($O$1),FALSE)*VLOOKUP($D283,素材!$1:$1016,COLUMN($E$1),FALSE)/(LEN(VLOOKUP($D283,素材!$1:$1016,COLUMN($F$1),FALSE))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X283">
        <f>IF(ISNUMBER(SEARCH(SUBSTITUTE(AX$1,RIGHT(AX$1,2),""),VLOOKUP($D283,素材!$1:$1016,COLUMN($F$1),FALSE))),VLOOKUP($C283,装備品!$1:$998,COLUMN($O$1),FALSE)*VLOOKUP($D283,素材!$1:$1016,COLUMN($E$1),FALSE)/(LEN(VLOOKUP($D283,素材!$1:$1016,COLUMN($F$1),FALSE))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Y283">
        <f>IF(ISNUMBER(SEARCH(SUBSTITUTE(AY$1,RIGHT(AY$1,2),""),VLOOKUP($D283,素材!$1:$1016,COLUMN($F$1),FALSE))),VLOOKUP($C283,装備品!$1:$998,COLUMN($O$1),FALSE)*VLOOKUP($D283,素材!$1:$1016,COLUMN($E$1),FALSE)/(LEN(VLOOKUP($D283,素材!$1:$1016,COLUMN($F$1),FALSE))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Z283">
        <f>IF(ISNUMBER(SEARCH(SUBSTITUTE(AZ$1,RIGHT(AZ$1,2),""),VLOOKUP($D283,素材!$1:$1016,COLUMN($F$1),FALSE))),VLOOKUP($C283,装備品!$1:$998,COLUMN($O$1),FALSE)*VLOOKUP($D283,素材!$1:$1016,COLUMN($E$1),FALSE)/(LEN(VLOOKUP($D283,素材!$1:$1016,COLUMN($F$1),FALSE))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BA283">
        <f>IF(ISNUMBER(SEARCH(SUBSTITUTE(BA$1,RIGHT(BA$1,2),""),VLOOKUP($D283,素材!$1:$1016,COLUMN($F$1),FALSE))),VLOOKUP($C283,装備品!$1:$998,COLUMN($O$1),FALSE)*VLOOKUP($D283,素材!$1:$1016,COLUMN($E$1),FALSE)/(LEN(VLOOKUP($D283,素材!$1:$1016,COLUMN($F$1),FALSE))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BB283">
        <f>IF(ISNUMBER(SEARCH(SUBSTITUTE(BB$1,RIGHT(BB$1,2),""),VLOOKUP($D283,素材!$1:$1016,COLUMN($F$1),FALSE))),VLOOKUP($C283,装備品!$1:$998,COLUMN($O$1),FALSE)*VLOOKUP($D283,素材!$1:$1016,COLUMN($E$1),FALSE)/(LEN(VLOOKUP($D283,素材!$1:$1016,COLUMN($F$1),FALSE))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BC283">
        <f>IF(ISNUMBER(SEARCH(SUBSTITUTE(BC$1,RIGHT(BC$1,2),""),VLOOKUP($D283,素材!$1:$1016,COLUMN($F$1),FALSE))),VLOOKUP($C283,装備品!$1:$998,COLUMN($O$1),FALSE)*VLOOKUP($D283,素材!$1:$1016,COLUMN($E$1),FALSE)/(LEN(VLOOKUP($D283,素材!$1:$1016,COLUMN($F$1),FALSE))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BD283">
        <f>IF(ISNUMBER(SEARCH(SUBSTITUTE(BD$1,RIGHT(BD$1,2),""),VLOOKUP($D283,素材!$1:$1016,COLUMN($F$1),FALSE))),VLOOKUP($C283,装備品!$1:$998,COLUMN($O$1),FALSE)*VLOOKUP($D283,素材!$1:$1016,COLUMN($E$1),FALSE)/(LEN(VLOOKUP($D283,素材!$1:$1016,COLUMN($F$1),FALSE))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BE283">
        <f>IF(ISNUMBER(SEARCH(SUBSTITUTE(BE$1,RIGHT(BE$1,2),""),VLOOKUP($D283,素材!$1:$1016,COLUMN($F$1),FALSE))),VLOOKUP($C283,装備品!$1:$998,COLUMN($O$1),FALSE)*VLOOKUP($D283,素材!$1:$1016,COLUMN($E$1),FALSE)/(LEN(VLOOKUP($D283,素材!$1:$1016,COLUMN($F$1),FALSE))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CL283">
        <f t="shared" si="41"/>
        <v>0</v>
      </c>
      <c r="CM283" s="22" t="str">
        <f t="shared" si="42"/>
        <v>装飾.webp</v>
      </c>
      <c r="CN283">
        <f>IFERROR(VLOOKUP($C283,装備品!$1:$998,COLUMN(V$1),FALSE)*VLOOKUP($D283,素材!$1:$1016,COLUMN(N$1),FALSE)+IF(CI283="",0,VLOOKUP($CI283,付与!$1:$1176,COLUMN($CK$1),FALSE)),"")</f>
        <v>0</v>
      </c>
      <c r="CO283" t="str">
        <f>VLOOKUP(D283,素材!$A:$O,COLUMN(素材!O$1),FALSE)</f>
        <v>魔力を帯びた特殊な皮素材。魔法防御や属性耐性を強化する効果があり、高レベルの冒険者に重宝されます。</v>
      </c>
      <c r="CP283" t="str">
        <f>VLOOKUP(C283,装備品!$A:$AB,COLUMN(装備品!AB$1),FALSE)</f>
        <v xml:space="preserve">防御 隠密 </v>
      </c>
      <c r="CR283" t="str">
        <f t="shared" si="43"/>
        <v>e_283</v>
      </c>
      <c r="CS283">
        <f t="shared" si="44"/>
        <v>0</v>
      </c>
    </row>
    <row r="284" spans="1:97" hidden="1" outlineLevel="1" x14ac:dyDescent="0.4">
      <c r="A284" t="str">
        <f t="shared" si="45"/>
        <v>の</v>
      </c>
      <c r="B284" t="str">
        <f>IFERROR(IF(CI284="",VLOOKUP($D284,素材!$1:$1016,COLUMN($B$1),FALSE)&amp;"・"&amp;VLOOKUP($C284,装備品!$1:$998,COLUMN(B$1),FALSE),VLOOKUP($CI284,付与!$1:$1176,COLUMN($B$1),FALSE)&amp;"・"&amp;VLOOKUP($C284,装備品!$1:$998,COLUMN(B$1),FALSE)),"")</f>
        <v/>
      </c>
      <c r="C284" s="24"/>
      <c r="D284" s="24"/>
      <c r="E284" t="str">
        <f>IFERROR(VLOOKUP(C284,装備品!$1:$998,COLUMN(C$1),FALSE),"")</f>
        <v/>
      </c>
      <c r="F284" t="str">
        <f>IFERROR(ROUNDDOWN((VLOOKUP($C284,装備品!$1:$998,COLUMN(D$1),FALSE)+IFERROR(VLOOKUP($CI284,付与!$1:$1167,COLUMN(F$1),FALSE),0))*VLOOKUP($D284,素材!$1:$1016,COLUMN(D$1),FALSE),0),"")</f>
        <v/>
      </c>
      <c r="G284" t="str">
        <f>IFERROR(ROUNDDOWN((VLOOKUP($C284,装備品!$1:$998,COLUMN(E$1),FALSE)+IFERROR(VLOOKUP($CI284,付与!$1:$1167,COLUMN(G$1),FALSE),0))*VLOOKUP($D284,素材!$1:$1016,COLUMN($E$1),FALSE),0),"")</f>
        <v/>
      </c>
      <c r="H284" t="str">
        <f>IFERROR(ROUNDDOWN((VLOOKUP($C284,装備品!$1:$998,COLUMN(F$1),FALSE)+IFERROR(VLOOKUP($CI284,付与!$1:$1167,COLUMN(H$1),FALSE),0))*VLOOKUP($D284,素材!$1:$1016,COLUMN($E$1),FALSE),0),"")</f>
        <v/>
      </c>
      <c r="I284" t="str">
        <f>IFERROR(ROUNDDOWN((VLOOKUP($C284,装備品!$1:$998,COLUMN(G$1),FALSE)+IFERROR(VLOOKUP($CI284,付与!$1:$1167,COLUMN(I$1),FALSE),0))*VLOOKUP($D284,素材!$1:$1016,COLUMN($E$1),FALSE),0),"")</f>
        <v/>
      </c>
      <c r="J284" t="str">
        <f>IFERROR(ROUNDDOWN((VLOOKUP($C284,装備品!$1:$998,COLUMN(H$1),FALSE)+IFERROR(VLOOKUP($CI284,付与!$1:$1167,COLUMN(J$1),FALSE),0))*VLOOKUP($D284,素材!$1:$1016,COLUMN($E$1),FALSE),0),"")</f>
        <v/>
      </c>
      <c r="K284" t="str">
        <f>IFERROR(ROUNDDOWN((VLOOKUP($C284,装備品!$1:$998,COLUMN(I$1),FALSE)+IFERROR(VLOOKUP($CI284,付与!$1:$1167,COLUMN(K$1),FALSE),0))*VLOOKUP($D284,素材!$1:$1016,COLUMN($E$1),FALSE),0),"")</f>
        <v/>
      </c>
      <c r="L284" t="str">
        <f>IFERROR(VLOOKUP($D284,素材!$1:$1016,COLUMN($F$1),FALSE),"")</f>
        <v/>
      </c>
      <c r="M284" t="str">
        <f>IFERROR(VLOOKUP($C284,装備品!$1:$998,COLUMN(AA$1),FALSE)*VLOOKUP($D284,素材!$1:$1016,COLUMN($G$1),FALSE),"")</f>
        <v/>
      </c>
      <c r="N284" t="str">
        <f>IFERROR(VLOOKUP($C284,装備品!$1:$998,COLUMN(I$1),FALSE),"")</f>
        <v/>
      </c>
      <c r="O284" s="23" t="str">
        <f>IFERROR((VLOOKUP($C284,装備品!$1:$998,COLUMN(K$1),FALSE)+VLOOKUP($D284,素材!$1:$1016,COLUMN(H$1),FALSE))*100+IFERROR(VLOOKUP($CI284,付与!$1:$1167,COLUMN(O$1),FALSE),0),"")</f>
        <v/>
      </c>
      <c r="P284" s="23" t="str">
        <f>IFERROR((VLOOKUP($C284,装備品!$1:$998,COLUMN(L$1),FALSE)+VLOOKUP($D284,素材!$1:$1016,COLUMN(I$1),FALSE))*100+IFERROR(VLOOKUP($CI284,付与!$1:$1167,COLUMN(P$1),FALSE),0),"")</f>
        <v/>
      </c>
      <c r="Q284" t="str">
        <f>IFERROR(ROUNDUP(VLOOKUP($C284,装備品!$1:$998,COLUMN(M$1),FALSE)*(VLOOKUP($D284,素材!$1:$1002,COLUMN(D$1),FALSE)/100),1),"")</f>
        <v/>
      </c>
      <c r="R284" t="str">
        <f>IFERROR(ROUNDUP(VLOOKUP($C284,装備品!$1:$998,COLUMN(N$1),FALSE)*(VLOOKUP($D284,素材!$1:$1002,COLUMN(D$1),FALSE)/100),1),"")</f>
        <v/>
      </c>
      <c r="S284" t="str">
        <f>IFERROR(VLOOKUP($C284,装備品!$1:$998,COLUMN(P$1),FALSE),"")</f>
        <v/>
      </c>
      <c r="T284" t="str">
        <f>IFERROR(VLOOKUP($C284,装備品!$1:$998,COLUMN(Q$1),FALSE),"")</f>
        <v/>
      </c>
      <c r="U284" t="str">
        <f>IFERROR(VLOOKUP($C284,装備品!$1:$998,COLUMN(R$1),FALSE),"")</f>
        <v/>
      </c>
      <c r="V284" t="str">
        <f>IFERROR(VLOOKUP($C284,装備品!$1:$998,COLUMN(Q$1),FALSE),"")</f>
        <v/>
      </c>
      <c r="W284" t="str">
        <f>IFERROR(VLOOKUP($C284,装備品!$1:$998,COLUMN(T$1),FALSE),"")</f>
        <v/>
      </c>
      <c r="Y284" t="str">
        <f>IFERROR(VLOOKUP($C284,装備品!$1:$998,COLUMN(U$1),FALSE),"")</f>
        <v/>
      </c>
      <c r="Z284" t="str">
        <f>IFERROR(ROUNDUP(VLOOKUP($C284,装備品!$1:$998,COLUMN(O$1),FALSE)*VLOOKUP($D284,素材!$1:$1016,COLUMN(E$1),FALSE),1),"")</f>
        <v/>
      </c>
      <c r="AA284">
        <f>IF(ISNUMBER(SEARCH(SUBSTITUTE(AA$1,RIGHT(AA$1,2),""),VLOOKUP($D284,素材!$1:$1016,COLUMN($F$1),FALSE))),VLOOKUP($C284,装備品!$1:$998,COLUMN($O$1),FALSE)*VLOOKUP($D284,素材!$1:$1016,COLUMN($E$1),FALSE)/(LEN(VLOOKUP($D284,素材!$1:$1016,COLUMN($F$1),FALSE))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B284">
        <f>IF(ISNUMBER(SEARCH(SUBSTITUTE(AB$1,RIGHT(AB$1,2),""),VLOOKUP($D284,素材!$1:$1016,COLUMN($F$1),FALSE))),VLOOKUP($C284,装備品!$1:$998,COLUMN($O$1),FALSE)*VLOOKUP($D284,素材!$1:$1016,COLUMN($E$1),FALSE)/(LEN(VLOOKUP($D284,素材!$1:$1016,COLUMN($F$1),FALSE))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C284">
        <f>IF(ISNUMBER(SEARCH(SUBSTITUTE(AC$1,RIGHT(AC$1,2),""),VLOOKUP($D284,素材!$1:$1016,COLUMN($F$1),FALSE))),VLOOKUP($C284,装備品!$1:$998,COLUMN($O$1),FALSE)*VLOOKUP($D284,素材!$1:$1016,COLUMN($E$1),FALSE)/(LEN(VLOOKUP($D284,素材!$1:$1016,COLUMN($F$1),FALSE))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D284">
        <f>IF(ISNUMBER(SEARCH(SUBSTITUTE(AD$1,RIGHT(AD$1,2),""),VLOOKUP($D284,素材!$1:$1016,COLUMN($F$1),FALSE))),VLOOKUP($C284,装備品!$1:$998,COLUMN($O$1),FALSE)*VLOOKUP($D284,素材!$1:$1016,COLUMN($E$1),FALSE)/(LEN(VLOOKUP($D284,素材!$1:$1016,COLUMN($F$1),FALSE))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E284">
        <f>IF(ISNUMBER(SEARCH(SUBSTITUTE(AE$1,RIGHT(AE$1,2),""),VLOOKUP($D284,素材!$1:$1016,COLUMN($F$1),FALSE))),VLOOKUP($C284,装備品!$1:$998,COLUMN($O$1),FALSE)*VLOOKUP($D284,素材!$1:$1016,COLUMN($E$1),FALSE)/(LEN(VLOOKUP($D284,素材!$1:$1016,COLUMN($F$1),FALSE))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F284">
        <f>IF(ISNUMBER(SEARCH(SUBSTITUTE(AF$1,RIGHT(AF$1,2),""),VLOOKUP($D284,素材!$1:$1016,COLUMN($F$1),FALSE))),VLOOKUP($C284,装備品!$1:$998,COLUMN($O$1),FALSE)*VLOOKUP($D284,素材!$1:$1016,COLUMN($E$1),FALSE)/(LEN(VLOOKUP($D284,素材!$1:$1016,COLUMN($F$1),FALSE))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G284">
        <f>IF(ISNUMBER(SEARCH(SUBSTITUTE(AG$1,RIGHT(AG$1,2),""),VLOOKUP($D284,素材!$1:$1016,COLUMN($F$1),FALSE))),VLOOKUP($C284,装備品!$1:$998,COLUMN($O$1),FALSE)*VLOOKUP($D284,素材!$1:$1016,COLUMN($E$1),FALSE)/(LEN(VLOOKUP($D284,素材!$1:$1016,COLUMN($F$1),FALSE))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H284">
        <f>IF(ISNUMBER(SEARCH(SUBSTITUTE(AH$1,RIGHT(AH$1,2),""),VLOOKUP($D284,素材!$1:$1016,COLUMN($F$1),FALSE))),VLOOKUP($C284,装備品!$1:$998,COLUMN($O$1),FALSE)*VLOOKUP($D284,素材!$1:$1016,COLUMN($E$1),FALSE)/(LEN(VLOOKUP($D284,素材!$1:$1016,COLUMN($F$1),FALSE))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I284">
        <f>IF(ISNUMBER(SEARCH(SUBSTITUTE(AI$1,RIGHT(AI$1,2),""),VLOOKUP($D284,素材!$1:$1016,COLUMN($F$1),FALSE))),VLOOKUP($C284,装備品!$1:$998,COLUMN($O$1),FALSE)*VLOOKUP($D284,素材!$1:$1016,COLUMN($E$1),FALSE)/(LEN(VLOOKUP($D284,素材!$1:$1016,COLUMN($F$1),FALSE))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J284">
        <f>IF(ISNUMBER(SEARCH(SUBSTITUTE(AJ$1,RIGHT(AJ$1,2),""),VLOOKUP($D284,素材!$1:$1016,COLUMN($F$1),FALSE))),VLOOKUP($C284,装備品!$1:$998,COLUMN($O$1),FALSE)*VLOOKUP($D284,素材!$1:$1016,COLUMN($E$1),FALSE)/(LEN(VLOOKUP($D284,素材!$1:$1016,COLUMN($F$1),FALSE))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K284">
        <f>IF(ISNUMBER(SEARCH(SUBSTITUTE(AK$1,RIGHT(AK$1,2),""),VLOOKUP($D284,素材!$1:$1016,COLUMN($F$1),FALSE))),VLOOKUP($C284,装備品!$1:$998,COLUMN($O$1),FALSE)*VLOOKUP($D284,素材!$1:$1016,COLUMN($E$1),FALSE)/(LEN(VLOOKUP($D284,素材!$1:$1016,COLUMN($F$1),FALSE))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L284">
        <f>IF(ISNUMBER(SEARCH(SUBSTITUTE(AL$1,RIGHT(AL$1,2),""),VLOOKUP($D284,素材!$1:$1016,COLUMN($F$1),FALSE))),VLOOKUP($C284,装備品!$1:$998,COLUMN($O$1),FALSE)*VLOOKUP($D284,素材!$1:$1016,COLUMN($E$1),FALSE)/(LEN(VLOOKUP($D284,素材!$1:$1016,COLUMN($F$1),FALSE))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M284">
        <f>IF(ISNUMBER(SEARCH(SUBSTITUTE(AM$1,RIGHT(AM$1,2),""),VLOOKUP($D284,素材!$1:$1016,COLUMN($F$1),FALSE))),VLOOKUP($C284,装備品!$1:$998,COLUMN($O$1),FALSE)*VLOOKUP($D284,素材!$1:$1016,COLUMN($E$1),FALSE)/(LEN(VLOOKUP($D284,素材!$1:$1016,COLUMN($F$1),FALSE))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N284">
        <f>IF(ISNUMBER(SEARCH(SUBSTITUTE(AN$1,RIGHT(AN$1,2),""),VLOOKUP($D284,素材!$1:$1016,COLUMN($F$1),FALSE))),VLOOKUP($C284,装備品!$1:$998,COLUMN($O$1),FALSE)*VLOOKUP($D284,素材!$1:$1016,COLUMN($E$1),FALSE)/(LEN(VLOOKUP($D284,素材!$1:$1016,COLUMN($F$1),FALSE))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O284">
        <f>IF(ISNUMBER(SEARCH(SUBSTITUTE(AO$1,RIGHT(AO$1,2),""),VLOOKUP($D284,素材!$1:$1016,COLUMN($F$1),FALSE))),VLOOKUP($C284,装備品!$1:$998,COLUMN($O$1),FALSE)*VLOOKUP($D284,素材!$1:$1016,COLUMN($E$1),FALSE)/(LEN(VLOOKUP($D284,素材!$1:$1016,COLUMN($F$1),FALSE))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P284">
        <f>IF(ISNUMBER(SEARCH(SUBSTITUTE(AP$1,RIGHT(AP$1,2),""),VLOOKUP($D284,素材!$1:$1016,COLUMN($F$1),FALSE))),VLOOKUP($C284,装備品!$1:$998,COLUMN($O$1),FALSE)*VLOOKUP($D284,素材!$1:$1016,COLUMN($E$1),FALSE)/(LEN(VLOOKUP($D284,素材!$1:$1016,COLUMN($F$1),FALSE))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Q284">
        <f>IF(ISNUMBER(SEARCH(SUBSTITUTE(AQ$1,RIGHT(AQ$1,2),""),VLOOKUP($D284,素材!$1:$1016,COLUMN($F$1),FALSE))),VLOOKUP($C284,装備品!$1:$998,COLUMN($O$1),FALSE)*VLOOKUP($D284,素材!$1:$1016,COLUMN($E$1),FALSE)/(LEN(VLOOKUP($D284,素材!$1:$1016,COLUMN($F$1),FALSE))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R284">
        <f>IF(ISNUMBER(SEARCH(SUBSTITUTE(AR$1,RIGHT(AR$1,2),""),VLOOKUP($D284,素材!$1:$1016,COLUMN($F$1),FALSE))),VLOOKUP($C284,装備品!$1:$998,COLUMN($O$1),FALSE)*VLOOKUP($D284,素材!$1:$1016,COLUMN($E$1),FALSE)/(LEN(VLOOKUP($D284,素材!$1:$1016,COLUMN($F$1),FALSE))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S284">
        <f>IF(ISNUMBER(SEARCH(SUBSTITUTE(AS$1,RIGHT(AS$1,2),""),VLOOKUP($D284,素材!$1:$1016,COLUMN($F$1),FALSE))),VLOOKUP($C284,装備品!$1:$998,COLUMN($O$1),FALSE)*VLOOKUP($D284,素材!$1:$1016,COLUMN($E$1),FALSE)/(LEN(VLOOKUP($D284,素材!$1:$1016,COLUMN($F$1),FALSE))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T284">
        <f>IF(ISNUMBER(SEARCH(SUBSTITUTE(AT$1,RIGHT(AT$1,2),""),VLOOKUP($D284,素材!$1:$1016,COLUMN($F$1),FALSE))),VLOOKUP($C284,装備品!$1:$998,COLUMN($O$1),FALSE)*VLOOKUP($D284,素材!$1:$1016,COLUMN($E$1),FALSE)/(LEN(VLOOKUP($D284,素材!$1:$1016,COLUMN($F$1),FALSE))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U284">
        <f>IF(ISNUMBER(SEARCH(SUBSTITUTE(AU$1,RIGHT(AU$1,2),""),VLOOKUP($D284,素材!$1:$1016,COLUMN($F$1),FALSE))),VLOOKUP($C284,装備品!$1:$998,COLUMN($O$1),FALSE)*VLOOKUP($D284,素材!$1:$1016,COLUMN($E$1),FALSE)/(LEN(VLOOKUP($D284,素材!$1:$1016,COLUMN($F$1),FALSE))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V284">
        <f>IF(ISNUMBER(SEARCH(SUBSTITUTE(AV$1,RIGHT(AV$1,2),""),VLOOKUP($D284,素材!$1:$1016,COLUMN($F$1),FALSE))),VLOOKUP($C284,装備品!$1:$998,COLUMN($O$1),FALSE)*VLOOKUP($D284,素材!$1:$1016,COLUMN($E$1),FALSE)/(LEN(VLOOKUP($D284,素材!$1:$1016,COLUMN($F$1),FALSE))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W284">
        <f>IF(ISNUMBER(SEARCH(SUBSTITUTE(AW$1,RIGHT(AW$1,2),""),VLOOKUP($D284,素材!$1:$1016,COLUMN($F$1),FALSE))),VLOOKUP($C284,装備品!$1:$998,COLUMN($O$1),FALSE)*VLOOKUP($D284,素材!$1:$1016,COLUMN($E$1),FALSE)/(LEN(VLOOKUP($D284,素材!$1:$1016,COLUMN($F$1),FALSE))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X284">
        <f>IF(ISNUMBER(SEARCH(SUBSTITUTE(AX$1,RIGHT(AX$1,2),""),VLOOKUP($D284,素材!$1:$1016,COLUMN($F$1),FALSE))),VLOOKUP($C284,装備品!$1:$998,COLUMN($O$1),FALSE)*VLOOKUP($D284,素材!$1:$1016,COLUMN($E$1),FALSE)/(LEN(VLOOKUP($D284,素材!$1:$1016,COLUMN($F$1),FALSE))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Y284">
        <f>IF(ISNUMBER(SEARCH(SUBSTITUTE(AY$1,RIGHT(AY$1,2),""),VLOOKUP($D284,素材!$1:$1016,COLUMN($F$1),FALSE))),VLOOKUP($C284,装備品!$1:$998,COLUMN($O$1),FALSE)*VLOOKUP($D284,素材!$1:$1016,COLUMN($E$1),FALSE)/(LEN(VLOOKUP($D284,素材!$1:$1016,COLUMN($F$1),FALSE))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Z284">
        <f>IF(ISNUMBER(SEARCH(SUBSTITUTE(AZ$1,RIGHT(AZ$1,2),""),VLOOKUP($D284,素材!$1:$1016,COLUMN($F$1),FALSE))),VLOOKUP($C284,装備品!$1:$998,COLUMN($O$1),FALSE)*VLOOKUP($D284,素材!$1:$1016,COLUMN($E$1),FALSE)/(LEN(VLOOKUP($D284,素材!$1:$1016,COLUMN($F$1),FALSE))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BA284">
        <f>IF(ISNUMBER(SEARCH(SUBSTITUTE(BA$1,RIGHT(BA$1,2),""),VLOOKUP($D284,素材!$1:$1016,COLUMN($F$1),FALSE))),VLOOKUP($C284,装備品!$1:$998,COLUMN($O$1),FALSE)*VLOOKUP($D284,素材!$1:$1016,COLUMN($E$1),FALSE)/(LEN(VLOOKUP($D284,素材!$1:$1016,COLUMN($F$1),FALSE))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BB284">
        <f>IF(ISNUMBER(SEARCH(SUBSTITUTE(BB$1,RIGHT(BB$1,2),""),VLOOKUP($D284,素材!$1:$1016,COLUMN($F$1),FALSE))),VLOOKUP($C284,装備品!$1:$998,COLUMN($O$1),FALSE)*VLOOKUP($D284,素材!$1:$1016,COLUMN($E$1),FALSE)/(LEN(VLOOKUP($D284,素材!$1:$1016,COLUMN($F$1),FALSE))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BC284">
        <f>IF(ISNUMBER(SEARCH(SUBSTITUTE(BC$1,RIGHT(BC$1,2),""),VLOOKUP($D284,素材!$1:$1016,COLUMN($F$1),FALSE))),VLOOKUP($C284,装備品!$1:$998,COLUMN($O$1),FALSE)*VLOOKUP($D284,素材!$1:$1016,COLUMN($E$1),FALSE)/(LEN(VLOOKUP($D284,素材!$1:$1016,COLUMN($F$1),FALSE))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BD284">
        <f>IF(ISNUMBER(SEARCH(SUBSTITUTE(BD$1,RIGHT(BD$1,2),""),VLOOKUP($D284,素材!$1:$1016,COLUMN($F$1),FALSE))),VLOOKUP($C284,装備品!$1:$998,COLUMN($O$1),FALSE)*VLOOKUP($D284,素材!$1:$1016,COLUMN($E$1),FALSE)/(LEN(VLOOKUP($D284,素材!$1:$1016,COLUMN($F$1),FALSE))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BE284">
        <f>IF(ISNUMBER(SEARCH(SUBSTITUTE(BE$1,RIGHT(BE$1,2),""),VLOOKUP($D284,素材!$1:$1016,COLUMN($F$1),FALSE))),VLOOKUP($C284,装備品!$1:$998,COLUMN($O$1),FALSE)*VLOOKUP($D284,素材!$1:$1016,COLUMN($E$1),FALSE)/(LEN(VLOOKUP($D284,素材!$1:$1016,COLUMN($F$1),FALSE))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CL284">
        <f t="shared" si="41"/>
        <v>0</v>
      </c>
      <c r="CM284" s="22" t="str">
        <f t="shared" si="42"/>
        <v>.webp</v>
      </c>
      <c r="CN284" t="str">
        <f>IFERROR(VLOOKUP($C284,装備品!$1:$998,COLUMN(V$1),FALSE)*VLOOKUP($D284,素材!$1:$1016,COLUMN(N$1),FALSE)+IF(CI284="",0,VLOOKUP($CI284,付与!$1:$1176,COLUMN($CK$1),FALSE)),"")</f>
        <v/>
      </c>
      <c r="CO284" t="e">
        <f>VLOOKUP(D284,素材!$A:$O,COLUMN(素材!O$1),FALSE)</f>
        <v>#N/A</v>
      </c>
      <c r="CP284" t="e">
        <f>VLOOKUP(C284,装備品!$A:$AB,COLUMN(装備品!AB$1),FALSE)</f>
        <v>#N/A</v>
      </c>
      <c r="CR284" t="str">
        <f t="shared" si="43"/>
        <v>e_284</v>
      </c>
      <c r="CS284" t="e">
        <f t="shared" si="44"/>
        <v>#VALUE!</v>
      </c>
    </row>
    <row r="285" spans="1:97" hidden="1" outlineLevel="1" x14ac:dyDescent="0.4">
      <c r="A285" t="str">
        <f t="shared" si="45"/>
        <v>の</v>
      </c>
      <c r="B285" t="str">
        <f>IFERROR(IF(CI285="",VLOOKUP($D285,素材!$1:$1016,COLUMN($B$1),FALSE)&amp;"・"&amp;VLOOKUP($C285,装備品!$1:$998,COLUMN(B$1),FALSE),VLOOKUP($CI285,付与!$1:$1176,COLUMN($B$1),FALSE)&amp;"・"&amp;VLOOKUP($C285,装備品!$1:$998,COLUMN(B$1),FALSE)),"")</f>
        <v/>
      </c>
      <c r="C285" s="24"/>
      <c r="D285" s="24"/>
      <c r="E285" t="str">
        <f>IFERROR(VLOOKUP(C285,装備品!$1:$998,COLUMN(C$1),FALSE),"")</f>
        <v/>
      </c>
      <c r="F285" t="str">
        <f>IFERROR(ROUNDDOWN((VLOOKUP($C285,装備品!$1:$998,COLUMN(D$1),FALSE)+IFERROR(VLOOKUP($CI285,付与!$1:$1167,COLUMN(F$1),FALSE),0))*VLOOKUP($D285,素材!$1:$1016,COLUMN(D$1),FALSE),0),"")</f>
        <v/>
      </c>
      <c r="G285" t="str">
        <f>IFERROR(ROUNDDOWN((VLOOKUP($C285,装備品!$1:$998,COLUMN(E$1),FALSE)+IFERROR(VLOOKUP($CI285,付与!$1:$1167,COLUMN(G$1),FALSE),0))*VLOOKUP($D285,素材!$1:$1016,COLUMN($E$1),FALSE),0),"")</f>
        <v/>
      </c>
      <c r="H285" t="str">
        <f>IFERROR(ROUNDDOWN((VLOOKUP($C285,装備品!$1:$998,COLUMN(F$1),FALSE)+IFERROR(VLOOKUP($CI285,付与!$1:$1167,COLUMN(H$1),FALSE),0))*VLOOKUP($D285,素材!$1:$1016,COLUMN($E$1),FALSE),0),"")</f>
        <v/>
      </c>
      <c r="I285" t="str">
        <f>IFERROR(ROUNDDOWN((VLOOKUP($C285,装備品!$1:$998,COLUMN(G$1),FALSE)+IFERROR(VLOOKUP($CI285,付与!$1:$1167,COLUMN(I$1),FALSE),0))*VLOOKUP($D285,素材!$1:$1016,COLUMN($E$1),FALSE),0),"")</f>
        <v/>
      </c>
      <c r="J285" t="str">
        <f>IFERROR(ROUNDDOWN((VLOOKUP($C285,装備品!$1:$998,COLUMN(H$1),FALSE)+IFERROR(VLOOKUP($CI285,付与!$1:$1167,COLUMN(J$1),FALSE),0))*VLOOKUP($D285,素材!$1:$1016,COLUMN($E$1),FALSE),0),"")</f>
        <v/>
      </c>
      <c r="K285" t="str">
        <f>IFERROR(ROUNDDOWN((VLOOKUP($C285,装備品!$1:$998,COLUMN(I$1),FALSE)+IFERROR(VLOOKUP($CI285,付与!$1:$1167,COLUMN(K$1),FALSE),0))*VLOOKUP($D285,素材!$1:$1016,COLUMN($E$1),FALSE),0),"")</f>
        <v/>
      </c>
      <c r="L285" t="str">
        <f>IFERROR(VLOOKUP($D285,素材!$1:$1016,COLUMN($F$1),FALSE),"")</f>
        <v/>
      </c>
      <c r="M285" t="str">
        <f>IFERROR(VLOOKUP($C285,装備品!$1:$998,COLUMN(AA$1),FALSE)*VLOOKUP($D285,素材!$1:$1016,COLUMN($G$1),FALSE),"")</f>
        <v/>
      </c>
      <c r="N285" t="str">
        <f>IFERROR(VLOOKUP($C285,装備品!$1:$998,COLUMN(I$1),FALSE),"")</f>
        <v/>
      </c>
      <c r="O285" s="23" t="str">
        <f>IFERROR((VLOOKUP($C285,装備品!$1:$998,COLUMN(K$1),FALSE)+VLOOKUP($D285,素材!$1:$1016,COLUMN(H$1),FALSE))*100+IFERROR(VLOOKUP($CI285,付与!$1:$1167,COLUMN(O$1),FALSE),0),"")</f>
        <v/>
      </c>
      <c r="P285" s="23" t="str">
        <f>IFERROR((VLOOKUP($C285,装備品!$1:$998,COLUMN(L$1),FALSE)+VLOOKUP($D285,素材!$1:$1016,COLUMN(I$1),FALSE))*100+IFERROR(VLOOKUP($CI285,付与!$1:$1167,COLUMN(P$1),FALSE),0),"")</f>
        <v/>
      </c>
      <c r="Q285" t="str">
        <f>IFERROR(ROUNDUP(VLOOKUP($C285,装備品!$1:$998,COLUMN(M$1),FALSE)*(VLOOKUP($D285,素材!$1:$1002,COLUMN(D$1),FALSE)/100),1),"")</f>
        <v/>
      </c>
      <c r="R285" t="str">
        <f>IFERROR(ROUNDUP(VLOOKUP($C285,装備品!$1:$998,COLUMN(N$1),FALSE)*(VLOOKUP($D285,素材!$1:$1002,COLUMN(D$1),FALSE)/100),1),"")</f>
        <v/>
      </c>
      <c r="S285" t="str">
        <f>IFERROR(VLOOKUP($C285,装備品!$1:$998,COLUMN(P$1),FALSE),"")</f>
        <v/>
      </c>
      <c r="T285" t="str">
        <f>IFERROR(VLOOKUP($C285,装備品!$1:$998,COLUMN(Q$1),FALSE),"")</f>
        <v/>
      </c>
      <c r="U285" t="str">
        <f>IFERROR(VLOOKUP($C285,装備品!$1:$998,COLUMN(R$1),FALSE),"")</f>
        <v/>
      </c>
      <c r="V285" t="str">
        <f>IFERROR(VLOOKUP($C285,装備品!$1:$998,COLUMN(Q$1),FALSE),"")</f>
        <v/>
      </c>
      <c r="W285" t="str">
        <f>IFERROR(VLOOKUP($C285,装備品!$1:$998,COLUMN(T$1),FALSE),"")</f>
        <v/>
      </c>
      <c r="Y285" t="str">
        <f>IFERROR(VLOOKUP($C285,装備品!$1:$998,COLUMN(U$1),FALSE),"")</f>
        <v/>
      </c>
      <c r="Z285" t="str">
        <f>IFERROR(ROUNDUP(VLOOKUP($C285,装備品!$1:$998,COLUMN(O$1),FALSE)*VLOOKUP($D285,素材!$1:$1016,COLUMN(E$1),FALSE),1),"")</f>
        <v/>
      </c>
      <c r="AA285">
        <f>IF(ISNUMBER(SEARCH(SUBSTITUTE(AA$1,RIGHT(AA$1,2),""),VLOOKUP($D285,素材!$1:$1016,COLUMN($F$1),FALSE))),VLOOKUP($C285,装備品!$1:$998,COLUMN($O$1),FALSE)*VLOOKUP($D285,素材!$1:$1016,COLUMN($E$1),FALSE)/(LEN(VLOOKUP($D285,素材!$1:$1016,COLUMN($F$1),FALSE))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B285">
        <f>IF(ISNUMBER(SEARCH(SUBSTITUTE(AB$1,RIGHT(AB$1,2),""),VLOOKUP($D285,素材!$1:$1016,COLUMN($F$1),FALSE))),VLOOKUP($C285,装備品!$1:$998,COLUMN($O$1),FALSE)*VLOOKUP($D285,素材!$1:$1016,COLUMN($E$1),FALSE)/(LEN(VLOOKUP($D285,素材!$1:$1016,COLUMN($F$1),FALSE))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C285">
        <f>IF(ISNUMBER(SEARCH(SUBSTITUTE(AC$1,RIGHT(AC$1,2),""),VLOOKUP($D285,素材!$1:$1016,COLUMN($F$1),FALSE))),VLOOKUP($C285,装備品!$1:$998,COLUMN($O$1),FALSE)*VLOOKUP($D285,素材!$1:$1016,COLUMN($E$1),FALSE)/(LEN(VLOOKUP($D285,素材!$1:$1016,COLUMN($F$1),FALSE))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D285">
        <f>IF(ISNUMBER(SEARCH(SUBSTITUTE(AD$1,RIGHT(AD$1,2),""),VLOOKUP($D285,素材!$1:$1016,COLUMN($F$1),FALSE))),VLOOKUP($C285,装備品!$1:$998,COLUMN($O$1),FALSE)*VLOOKUP($D285,素材!$1:$1016,COLUMN($E$1),FALSE)/(LEN(VLOOKUP($D285,素材!$1:$1016,COLUMN($F$1),FALSE))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E285">
        <f>IF(ISNUMBER(SEARCH(SUBSTITUTE(AE$1,RIGHT(AE$1,2),""),VLOOKUP($D285,素材!$1:$1016,COLUMN($F$1),FALSE))),VLOOKUP($C285,装備品!$1:$998,COLUMN($O$1),FALSE)*VLOOKUP($D285,素材!$1:$1016,COLUMN($E$1),FALSE)/(LEN(VLOOKUP($D285,素材!$1:$1016,COLUMN($F$1),FALSE))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F285">
        <f>IF(ISNUMBER(SEARCH(SUBSTITUTE(AF$1,RIGHT(AF$1,2),""),VLOOKUP($D285,素材!$1:$1016,COLUMN($F$1),FALSE))),VLOOKUP($C285,装備品!$1:$998,COLUMN($O$1),FALSE)*VLOOKUP($D285,素材!$1:$1016,COLUMN($E$1),FALSE)/(LEN(VLOOKUP($D285,素材!$1:$1016,COLUMN($F$1),FALSE))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G285">
        <f>IF(ISNUMBER(SEARCH(SUBSTITUTE(AG$1,RIGHT(AG$1,2),""),VLOOKUP($D285,素材!$1:$1016,COLUMN($F$1),FALSE))),VLOOKUP($C285,装備品!$1:$998,COLUMN($O$1),FALSE)*VLOOKUP($D285,素材!$1:$1016,COLUMN($E$1),FALSE)/(LEN(VLOOKUP($D285,素材!$1:$1016,COLUMN($F$1),FALSE))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H285">
        <f>IF(ISNUMBER(SEARCH(SUBSTITUTE(AH$1,RIGHT(AH$1,2),""),VLOOKUP($D285,素材!$1:$1016,COLUMN($F$1),FALSE))),VLOOKUP($C285,装備品!$1:$998,COLUMN($O$1),FALSE)*VLOOKUP($D285,素材!$1:$1016,COLUMN($E$1),FALSE)/(LEN(VLOOKUP($D285,素材!$1:$1016,COLUMN($F$1),FALSE))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I285">
        <f>IF(ISNUMBER(SEARCH(SUBSTITUTE(AI$1,RIGHT(AI$1,2),""),VLOOKUP($D285,素材!$1:$1016,COLUMN($F$1),FALSE))),VLOOKUP($C285,装備品!$1:$998,COLUMN($O$1),FALSE)*VLOOKUP($D285,素材!$1:$1016,COLUMN($E$1),FALSE)/(LEN(VLOOKUP($D285,素材!$1:$1016,COLUMN($F$1),FALSE))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J285">
        <f>IF(ISNUMBER(SEARCH(SUBSTITUTE(AJ$1,RIGHT(AJ$1,2),""),VLOOKUP($D285,素材!$1:$1016,COLUMN($F$1),FALSE))),VLOOKUP($C285,装備品!$1:$998,COLUMN($O$1),FALSE)*VLOOKUP($D285,素材!$1:$1016,COLUMN($E$1),FALSE)/(LEN(VLOOKUP($D285,素材!$1:$1016,COLUMN($F$1),FALSE))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K285">
        <f>IF(ISNUMBER(SEARCH(SUBSTITUTE(AK$1,RIGHT(AK$1,2),""),VLOOKUP($D285,素材!$1:$1016,COLUMN($F$1),FALSE))),VLOOKUP($C285,装備品!$1:$998,COLUMN($O$1),FALSE)*VLOOKUP($D285,素材!$1:$1016,COLUMN($E$1),FALSE)/(LEN(VLOOKUP($D285,素材!$1:$1016,COLUMN($F$1),FALSE))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L285">
        <f>IF(ISNUMBER(SEARCH(SUBSTITUTE(AL$1,RIGHT(AL$1,2),""),VLOOKUP($D285,素材!$1:$1016,COLUMN($F$1),FALSE))),VLOOKUP($C285,装備品!$1:$998,COLUMN($O$1),FALSE)*VLOOKUP($D285,素材!$1:$1016,COLUMN($E$1),FALSE)/(LEN(VLOOKUP($D285,素材!$1:$1016,COLUMN($F$1),FALSE))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M285">
        <f>IF(ISNUMBER(SEARCH(SUBSTITUTE(AM$1,RIGHT(AM$1,2),""),VLOOKUP($D285,素材!$1:$1016,COLUMN($F$1),FALSE))),VLOOKUP($C285,装備品!$1:$998,COLUMN($O$1),FALSE)*VLOOKUP($D285,素材!$1:$1016,COLUMN($E$1),FALSE)/(LEN(VLOOKUP($D285,素材!$1:$1016,COLUMN($F$1),FALSE))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N285">
        <f>IF(ISNUMBER(SEARCH(SUBSTITUTE(AN$1,RIGHT(AN$1,2),""),VLOOKUP($D285,素材!$1:$1016,COLUMN($F$1),FALSE))),VLOOKUP($C285,装備品!$1:$998,COLUMN($O$1),FALSE)*VLOOKUP($D285,素材!$1:$1016,COLUMN($E$1),FALSE)/(LEN(VLOOKUP($D285,素材!$1:$1016,COLUMN($F$1),FALSE))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O285">
        <f>IF(ISNUMBER(SEARCH(SUBSTITUTE(AO$1,RIGHT(AO$1,2),""),VLOOKUP($D285,素材!$1:$1016,COLUMN($F$1),FALSE))),VLOOKUP($C285,装備品!$1:$998,COLUMN($O$1),FALSE)*VLOOKUP($D285,素材!$1:$1016,COLUMN($E$1),FALSE)/(LEN(VLOOKUP($D285,素材!$1:$1016,COLUMN($F$1),FALSE))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P285">
        <f>IF(ISNUMBER(SEARCH(SUBSTITUTE(AP$1,RIGHT(AP$1,2),""),VLOOKUP($D285,素材!$1:$1016,COLUMN($F$1),FALSE))),VLOOKUP($C285,装備品!$1:$998,COLUMN($O$1),FALSE)*VLOOKUP($D285,素材!$1:$1016,COLUMN($E$1),FALSE)/(LEN(VLOOKUP($D285,素材!$1:$1016,COLUMN($F$1),FALSE))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Q285">
        <f>IF(ISNUMBER(SEARCH(SUBSTITUTE(AQ$1,RIGHT(AQ$1,2),""),VLOOKUP($D285,素材!$1:$1016,COLUMN($F$1),FALSE))),VLOOKUP($C285,装備品!$1:$998,COLUMN($O$1),FALSE)*VLOOKUP($D285,素材!$1:$1016,COLUMN($E$1),FALSE)/(LEN(VLOOKUP($D285,素材!$1:$1016,COLUMN($F$1),FALSE))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R285">
        <f>IF(ISNUMBER(SEARCH(SUBSTITUTE(AR$1,RIGHT(AR$1,2),""),VLOOKUP($D285,素材!$1:$1016,COLUMN($F$1),FALSE))),VLOOKUP($C285,装備品!$1:$998,COLUMN($O$1),FALSE)*VLOOKUP($D285,素材!$1:$1016,COLUMN($E$1),FALSE)/(LEN(VLOOKUP($D285,素材!$1:$1016,COLUMN($F$1),FALSE))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S285">
        <f>IF(ISNUMBER(SEARCH(SUBSTITUTE(AS$1,RIGHT(AS$1,2),""),VLOOKUP($D285,素材!$1:$1016,COLUMN($F$1),FALSE))),VLOOKUP($C285,装備品!$1:$998,COLUMN($O$1),FALSE)*VLOOKUP($D285,素材!$1:$1016,COLUMN($E$1),FALSE)/(LEN(VLOOKUP($D285,素材!$1:$1016,COLUMN($F$1),FALSE))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T285">
        <f>IF(ISNUMBER(SEARCH(SUBSTITUTE(AT$1,RIGHT(AT$1,2),""),VLOOKUP($D285,素材!$1:$1016,COLUMN($F$1),FALSE))),VLOOKUP($C285,装備品!$1:$998,COLUMN($O$1),FALSE)*VLOOKUP($D285,素材!$1:$1016,COLUMN($E$1),FALSE)/(LEN(VLOOKUP($D285,素材!$1:$1016,COLUMN($F$1),FALSE))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U285">
        <f>IF(ISNUMBER(SEARCH(SUBSTITUTE(AU$1,RIGHT(AU$1,2),""),VLOOKUP($D285,素材!$1:$1016,COLUMN($F$1),FALSE))),VLOOKUP($C285,装備品!$1:$998,COLUMN($O$1),FALSE)*VLOOKUP($D285,素材!$1:$1016,COLUMN($E$1),FALSE)/(LEN(VLOOKUP($D285,素材!$1:$1016,COLUMN($F$1),FALSE))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V285">
        <f>IF(ISNUMBER(SEARCH(SUBSTITUTE(AV$1,RIGHT(AV$1,2),""),VLOOKUP($D285,素材!$1:$1016,COLUMN($F$1),FALSE))),VLOOKUP($C285,装備品!$1:$998,COLUMN($O$1),FALSE)*VLOOKUP($D285,素材!$1:$1016,COLUMN($E$1),FALSE)/(LEN(VLOOKUP($D285,素材!$1:$1016,COLUMN($F$1),FALSE))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W285">
        <f>IF(ISNUMBER(SEARCH(SUBSTITUTE(AW$1,RIGHT(AW$1,2),""),VLOOKUP($D285,素材!$1:$1016,COLUMN($F$1),FALSE))),VLOOKUP($C285,装備品!$1:$998,COLUMN($O$1),FALSE)*VLOOKUP($D285,素材!$1:$1016,COLUMN($E$1),FALSE)/(LEN(VLOOKUP($D285,素材!$1:$1016,COLUMN($F$1),FALSE))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X285">
        <f>IF(ISNUMBER(SEARCH(SUBSTITUTE(AX$1,RIGHT(AX$1,2),""),VLOOKUP($D285,素材!$1:$1016,COLUMN($F$1),FALSE))),VLOOKUP($C285,装備品!$1:$998,COLUMN($O$1),FALSE)*VLOOKUP($D285,素材!$1:$1016,COLUMN($E$1),FALSE)/(LEN(VLOOKUP($D285,素材!$1:$1016,COLUMN($F$1),FALSE))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Y285">
        <f>IF(ISNUMBER(SEARCH(SUBSTITUTE(AY$1,RIGHT(AY$1,2),""),VLOOKUP($D285,素材!$1:$1016,COLUMN($F$1),FALSE))),VLOOKUP($C285,装備品!$1:$998,COLUMN($O$1),FALSE)*VLOOKUP($D285,素材!$1:$1016,COLUMN($E$1),FALSE)/(LEN(VLOOKUP($D285,素材!$1:$1016,COLUMN($F$1),FALSE))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Z285">
        <f>IF(ISNUMBER(SEARCH(SUBSTITUTE(AZ$1,RIGHT(AZ$1,2),""),VLOOKUP($D285,素材!$1:$1016,COLUMN($F$1),FALSE))),VLOOKUP($C285,装備品!$1:$998,COLUMN($O$1),FALSE)*VLOOKUP($D285,素材!$1:$1016,COLUMN($E$1),FALSE)/(LEN(VLOOKUP($D285,素材!$1:$1016,COLUMN($F$1),FALSE))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BA285">
        <f>IF(ISNUMBER(SEARCH(SUBSTITUTE(BA$1,RIGHT(BA$1,2),""),VLOOKUP($D285,素材!$1:$1016,COLUMN($F$1),FALSE))),VLOOKUP($C285,装備品!$1:$998,COLUMN($O$1),FALSE)*VLOOKUP($D285,素材!$1:$1016,COLUMN($E$1),FALSE)/(LEN(VLOOKUP($D285,素材!$1:$1016,COLUMN($F$1),FALSE))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BB285">
        <f>IF(ISNUMBER(SEARCH(SUBSTITUTE(BB$1,RIGHT(BB$1,2),""),VLOOKUP($D285,素材!$1:$1016,COLUMN($F$1),FALSE))),VLOOKUP($C285,装備品!$1:$998,COLUMN($O$1),FALSE)*VLOOKUP($D285,素材!$1:$1016,COLUMN($E$1),FALSE)/(LEN(VLOOKUP($D285,素材!$1:$1016,COLUMN($F$1),FALSE))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BC285">
        <f>IF(ISNUMBER(SEARCH(SUBSTITUTE(BC$1,RIGHT(BC$1,2),""),VLOOKUP($D285,素材!$1:$1016,COLUMN($F$1),FALSE))),VLOOKUP($C285,装備品!$1:$998,COLUMN($O$1),FALSE)*VLOOKUP($D285,素材!$1:$1016,COLUMN($E$1),FALSE)/(LEN(VLOOKUP($D285,素材!$1:$1016,COLUMN($F$1),FALSE))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BD285">
        <f>IF(ISNUMBER(SEARCH(SUBSTITUTE(BD$1,RIGHT(BD$1,2),""),VLOOKUP($D285,素材!$1:$1016,COLUMN($F$1),FALSE))),VLOOKUP($C285,装備品!$1:$998,COLUMN($O$1),FALSE)*VLOOKUP($D285,素材!$1:$1016,COLUMN($E$1),FALSE)/(LEN(VLOOKUP($D285,素材!$1:$1016,COLUMN($F$1),FALSE))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BE285">
        <f>IF(ISNUMBER(SEARCH(SUBSTITUTE(BE$1,RIGHT(BE$1,2),""),VLOOKUP($D285,素材!$1:$1016,COLUMN($F$1),FALSE))),VLOOKUP($C285,装備品!$1:$998,COLUMN($O$1),FALSE)*VLOOKUP($D285,素材!$1:$1016,COLUMN($E$1),FALSE)/(LEN(VLOOKUP($D285,素材!$1:$1016,COLUMN($F$1),FALSE))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CL285">
        <f t="shared" si="41"/>
        <v>0</v>
      </c>
      <c r="CM285" s="22" t="str">
        <f t="shared" si="42"/>
        <v>.webp</v>
      </c>
      <c r="CN285" t="str">
        <f>IFERROR(VLOOKUP($C285,装備品!$1:$998,COLUMN(V$1),FALSE)*VLOOKUP($D285,素材!$1:$1016,COLUMN(N$1),FALSE)+IF(CI285="",0,VLOOKUP($CI285,付与!$1:$1176,COLUMN($CK$1),FALSE)),"")</f>
        <v/>
      </c>
      <c r="CO285" t="e">
        <f>VLOOKUP(D285,素材!$A:$O,COLUMN(素材!O$1),FALSE)</f>
        <v>#N/A</v>
      </c>
      <c r="CP285" t="e">
        <f>VLOOKUP(C285,装備品!$A:$AB,COLUMN(装備品!AB$1),FALSE)</f>
        <v>#N/A</v>
      </c>
      <c r="CR285" t="str">
        <f t="shared" si="43"/>
        <v>e_285</v>
      </c>
      <c r="CS285" t="e">
        <f t="shared" si="44"/>
        <v>#VALUE!</v>
      </c>
    </row>
    <row r="286" spans="1:97" hidden="1" outlineLevel="1" x14ac:dyDescent="0.4">
      <c r="A286" t="str">
        <f t="shared" si="45"/>
        <v>の</v>
      </c>
      <c r="B286" t="str">
        <f>IFERROR(IF(CI286="",VLOOKUP($D286,素材!$1:$1016,COLUMN($B$1),FALSE)&amp;"・"&amp;VLOOKUP($C286,装備品!$1:$998,COLUMN(B$1),FALSE),VLOOKUP($CI286,付与!$1:$1176,COLUMN($B$1),FALSE)&amp;"・"&amp;VLOOKUP($C286,装備品!$1:$998,COLUMN(B$1),FALSE)),"")</f>
        <v/>
      </c>
      <c r="C286" s="24"/>
      <c r="D286" s="24"/>
      <c r="E286" t="str">
        <f>IFERROR(VLOOKUP(C286,装備品!$1:$998,COLUMN(C$1),FALSE),"")</f>
        <v/>
      </c>
      <c r="F286" t="str">
        <f>IFERROR(ROUNDDOWN((VLOOKUP($C286,装備品!$1:$998,COLUMN(D$1),FALSE)+IFERROR(VLOOKUP($CI286,付与!$1:$1167,COLUMN(F$1),FALSE),0))*VLOOKUP($D286,素材!$1:$1016,COLUMN(D$1),FALSE),0),"")</f>
        <v/>
      </c>
      <c r="G286" t="str">
        <f>IFERROR(ROUNDDOWN((VLOOKUP($C286,装備品!$1:$998,COLUMN(E$1),FALSE)+IFERROR(VLOOKUP($CI286,付与!$1:$1167,COLUMN(G$1),FALSE),0))*VLOOKUP($D286,素材!$1:$1016,COLUMN($E$1),FALSE),0),"")</f>
        <v/>
      </c>
      <c r="H286" t="str">
        <f>IFERROR(ROUNDDOWN((VLOOKUP($C286,装備品!$1:$998,COLUMN(F$1),FALSE)+IFERROR(VLOOKUP($CI286,付与!$1:$1167,COLUMN(H$1),FALSE),0))*VLOOKUP($D286,素材!$1:$1016,COLUMN($E$1),FALSE),0),"")</f>
        <v/>
      </c>
      <c r="I286" t="str">
        <f>IFERROR(ROUNDDOWN((VLOOKUP($C286,装備品!$1:$998,COLUMN(G$1),FALSE)+IFERROR(VLOOKUP($CI286,付与!$1:$1167,COLUMN(I$1),FALSE),0))*VLOOKUP($D286,素材!$1:$1016,COLUMN($E$1),FALSE),0),"")</f>
        <v/>
      </c>
      <c r="J286" t="str">
        <f>IFERROR(ROUNDDOWN((VLOOKUP($C286,装備品!$1:$998,COLUMN(H$1),FALSE)+IFERROR(VLOOKUP($CI286,付与!$1:$1167,COLUMN(J$1),FALSE),0))*VLOOKUP($D286,素材!$1:$1016,COLUMN($E$1),FALSE),0),"")</f>
        <v/>
      </c>
      <c r="K286" t="str">
        <f>IFERROR(ROUNDDOWN((VLOOKUP($C286,装備品!$1:$998,COLUMN(I$1),FALSE)+IFERROR(VLOOKUP($CI286,付与!$1:$1167,COLUMN(K$1),FALSE),0))*VLOOKUP($D286,素材!$1:$1016,COLUMN($E$1),FALSE),0),"")</f>
        <v/>
      </c>
      <c r="L286" t="str">
        <f>IFERROR(VLOOKUP($D286,素材!$1:$1016,COLUMN($F$1),FALSE),"")</f>
        <v/>
      </c>
      <c r="M286" t="str">
        <f>IFERROR(VLOOKUP($C286,装備品!$1:$998,COLUMN(AA$1),FALSE)*VLOOKUP($D286,素材!$1:$1016,COLUMN($G$1),FALSE),"")</f>
        <v/>
      </c>
      <c r="N286" t="str">
        <f>IFERROR(VLOOKUP($C286,装備品!$1:$998,COLUMN(I$1),FALSE),"")</f>
        <v/>
      </c>
      <c r="O286" s="23" t="str">
        <f>IFERROR((VLOOKUP($C286,装備品!$1:$998,COLUMN(K$1),FALSE)+VLOOKUP($D286,素材!$1:$1016,COLUMN(H$1),FALSE))*100+IFERROR(VLOOKUP($CI286,付与!$1:$1167,COLUMN(O$1),FALSE),0),"")</f>
        <v/>
      </c>
      <c r="P286" s="23" t="str">
        <f>IFERROR((VLOOKUP($C286,装備品!$1:$998,COLUMN(L$1),FALSE)+VLOOKUP($D286,素材!$1:$1016,COLUMN(I$1),FALSE))*100+IFERROR(VLOOKUP($CI286,付与!$1:$1167,COLUMN(P$1),FALSE),0),"")</f>
        <v/>
      </c>
      <c r="Q286" t="str">
        <f>IFERROR(ROUNDUP(VLOOKUP($C286,装備品!$1:$998,COLUMN(M$1),FALSE)*(VLOOKUP($D286,素材!$1:$1002,COLUMN(D$1),FALSE)/100),1),"")</f>
        <v/>
      </c>
      <c r="R286" t="str">
        <f>IFERROR(ROUNDUP(VLOOKUP($C286,装備品!$1:$998,COLUMN(N$1),FALSE)*(VLOOKUP($D286,素材!$1:$1002,COLUMN(D$1),FALSE)/100),1),"")</f>
        <v/>
      </c>
      <c r="S286" t="str">
        <f>IFERROR(VLOOKUP($C286,装備品!$1:$998,COLUMN(P$1),FALSE),"")</f>
        <v/>
      </c>
      <c r="T286" t="str">
        <f>IFERROR(VLOOKUP($C286,装備品!$1:$998,COLUMN(Q$1),FALSE),"")</f>
        <v/>
      </c>
      <c r="U286" t="str">
        <f>IFERROR(VLOOKUP($C286,装備品!$1:$998,COLUMN(R$1),FALSE),"")</f>
        <v/>
      </c>
      <c r="V286" t="str">
        <f>IFERROR(VLOOKUP($C286,装備品!$1:$998,COLUMN(Q$1),FALSE),"")</f>
        <v/>
      </c>
      <c r="W286" t="str">
        <f>IFERROR(VLOOKUP($C286,装備品!$1:$998,COLUMN(T$1),FALSE),"")</f>
        <v/>
      </c>
      <c r="Y286" t="str">
        <f>IFERROR(VLOOKUP($C286,装備品!$1:$998,COLUMN(U$1),FALSE),"")</f>
        <v/>
      </c>
      <c r="Z286" t="str">
        <f>IFERROR(ROUNDUP(VLOOKUP($C286,装備品!$1:$998,COLUMN(O$1),FALSE)*VLOOKUP($D286,素材!$1:$1016,COLUMN(E$1),FALSE),1),"")</f>
        <v/>
      </c>
      <c r="AA286">
        <f>IF(ISNUMBER(SEARCH(SUBSTITUTE(AA$1,RIGHT(AA$1,2),""),VLOOKUP($D286,素材!$1:$1016,COLUMN($F$1),FALSE))),VLOOKUP($C286,装備品!$1:$998,COLUMN($O$1),FALSE)*VLOOKUP($D286,素材!$1:$1016,COLUMN($E$1),FALSE)/(LEN(VLOOKUP($D286,素材!$1:$1016,COLUMN($F$1),FALSE))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B286">
        <f>IF(ISNUMBER(SEARCH(SUBSTITUTE(AB$1,RIGHT(AB$1,2),""),VLOOKUP($D286,素材!$1:$1016,COLUMN($F$1),FALSE))),VLOOKUP($C286,装備品!$1:$998,COLUMN($O$1),FALSE)*VLOOKUP($D286,素材!$1:$1016,COLUMN($E$1),FALSE)/(LEN(VLOOKUP($D286,素材!$1:$1016,COLUMN($F$1),FALSE))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C286">
        <f>IF(ISNUMBER(SEARCH(SUBSTITUTE(AC$1,RIGHT(AC$1,2),""),VLOOKUP($D286,素材!$1:$1016,COLUMN($F$1),FALSE))),VLOOKUP($C286,装備品!$1:$998,COLUMN($O$1),FALSE)*VLOOKUP($D286,素材!$1:$1016,COLUMN($E$1),FALSE)/(LEN(VLOOKUP($D286,素材!$1:$1016,COLUMN($F$1),FALSE))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D286">
        <f>IF(ISNUMBER(SEARCH(SUBSTITUTE(AD$1,RIGHT(AD$1,2),""),VLOOKUP($D286,素材!$1:$1016,COLUMN($F$1),FALSE))),VLOOKUP($C286,装備品!$1:$998,COLUMN($O$1),FALSE)*VLOOKUP($D286,素材!$1:$1016,COLUMN($E$1),FALSE)/(LEN(VLOOKUP($D286,素材!$1:$1016,COLUMN($F$1),FALSE))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E286">
        <f>IF(ISNUMBER(SEARCH(SUBSTITUTE(AE$1,RIGHT(AE$1,2),""),VLOOKUP($D286,素材!$1:$1016,COLUMN($F$1),FALSE))),VLOOKUP($C286,装備品!$1:$998,COLUMN($O$1),FALSE)*VLOOKUP($D286,素材!$1:$1016,COLUMN($E$1),FALSE)/(LEN(VLOOKUP($D286,素材!$1:$1016,COLUMN($F$1),FALSE))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F286">
        <f>IF(ISNUMBER(SEARCH(SUBSTITUTE(AF$1,RIGHT(AF$1,2),""),VLOOKUP($D286,素材!$1:$1016,COLUMN($F$1),FALSE))),VLOOKUP($C286,装備品!$1:$998,COLUMN($O$1),FALSE)*VLOOKUP($D286,素材!$1:$1016,COLUMN($E$1),FALSE)/(LEN(VLOOKUP($D286,素材!$1:$1016,COLUMN($F$1),FALSE))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G286">
        <f>IF(ISNUMBER(SEARCH(SUBSTITUTE(AG$1,RIGHT(AG$1,2),""),VLOOKUP($D286,素材!$1:$1016,COLUMN($F$1),FALSE))),VLOOKUP($C286,装備品!$1:$998,COLUMN($O$1),FALSE)*VLOOKUP($D286,素材!$1:$1016,COLUMN($E$1),FALSE)/(LEN(VLOOKUP($D286,素材!$1:$1016,COLUMN($F$1),FALSE))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H286">
        <f>IF(ISNUMBER(SEARCH(SUBSTITUTE(AH$1,RIGHT(AH$1,2),""),VLOOKUP($D286,素材!$1:$1016,COLUMN($F$1),FALSE))),VLOOKUP($C286,装備品!$1:$998,COLUMN($O$1),FALSE)*VLOOKUP($D286,素材!$1:$1016,COLUMN($E$1),FALSE)/(LEN(VLOOKUP($D286,素材!$1:$1016,COLUMN($F$1),FALSE))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I286">
        <f>IF(ISNUMBER(SEARCH(SUBSTITUTE(AI$1,RIGHT(AI$1,2),""),VLOOKUP($D286,素材!$1:$1016,COLUMN($F$1),FALSE))),VLOOKUP($C286,装備品!$1:$998,COLUMN($O$1),FALSE)*VLOOKUP($D286,素材!$1:$1016,COLUMN($E$1),FALSE)/(LEN(VLOOKUP($D286,素材!$1:$1016,COLUMN($F$1),FALSE))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J286">
        <f>IF(ISNUMBER(SEARCH(SUBSTITUTE(AJ$1,RIGHT(AJ$1,2),""),VLOOKUP($D286,素材!$1:$1016,COLUMN($F$1),FALSE))),VLOOKUP($C286,装備品!$1:$998,COLUMN($O$1),FALSE)*VLOOKUP($D286,素材!$1:$1016,COLUMN($E$1),FALSE)/(LEN(VLOOKUP($D286,素材!$1:$1016,COLUMN($F$1),FALSE))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K286">
        <f>IF(ISNUMBER(SEARCH(SUBSTITUTE(AK$1,RIGHT(AK$1,2),""),VLOOKUP($D286,素材!$1:$1016,COLUMN($F$1),FALSE))),VLOOKUP($C286,装備品!$1:$998,COLUMN($O$1),FALSE)*VLOOKUP($D286,素材!$1:$1016,COLUMN($E$1),FALSE)/(LEN(VLOOKUP($D286,素材!$1:$1016,COLUMN($F$1),FALSE))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L286">
        <f>IF(ISNUMBER(SEARCH(SUBSTITUTE(AL$1,RIGHT(AL$1,2),""),VLOOKUP($D286,素材!$1:$1016,COLUMN($F$1),FALSE))),VLOOKUP($C286,装備品!$1:$998,COLUMN($O$1),FALSE)*VLOOKUP($D286,素材!$1:$1016,COLUMN($E$1),FALSE)/(LEN(VLOOKUP($D286,素材!$1:$1016,COLUMN($F$1),FALSE))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M286">
        <f>IF(ISNUMBER(SEARCH(SUBSTITUTE(AM$1,RIGHT(AM$1,2),""),VLOOKUP($D286,素材!$1:$1016,COLUMN($F$1),FALSE))),VLOOKUP($C286,装備品!$1:$998,COLUMN($O$1),FALSE)*VLOOKUP($D286,素材!$1:$1016,COLUMN($E$1),FALSE)/(LEN(VLOOKUP($D286,素材!$1:$1016,COLUMN($F$1),FALSE))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N286">
        <f>IF(ISNUMBER(SEARCH(SUBSTITUTE(AN$1,RIGHT(AN$1,2),""),VLOOKUP($D286,素材!$1:$1016,COLUMN($F$1),FALSE))),VLOOKUP($C286,装備品!$1:$998,COLUMN($O$1),FALSE)*VLOOKUP($D286,素材!$1:$1016,COLUMN($E$1),FALSE)/(LEN(VLOOKUP($D286,素材!$1:$1016,COLUMN($F$1),FALSE))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O286">
        <f>IF(ISNUMBER(SEARCH(SUBSTITUTE(AO$1,RIGHT(AO$1,2),""),VLOOKUP($D286,素材!$1:$1016,COLUMN($F$1),FALSE))),VLOOKUP($C286,装備品!$1:$998,COLUMN($O$1),FALSE)*VLOOKUP($D286,素材!$1:$1016,COLUMN($E$1),FALSE)/(LEN(VLOOKUP($D286,素材!$1:$1016,COLUMN($F$1),FALSE))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P286">
        <f>IF(ISNUMBER(SEARCH(SUBSTITUTE(AP$1,RIGHT(AP$1,2),""),VLOOKUP($D286,素材!$1:$1016,COLUMN($F$1),FALSE))),VLOOKUP($C286,装備品!$1:$998,COLUMN($O$1),FALSE)*VLOOKUP($D286,素材!$1:$1016,COLUMN($E$1),FALSE)/(LEN(VLOOKUP($D286,素材!$1:$1016,COLUMN($F$1),FALSE))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Q286">
        <f>IF(ISNUMBER(SEARCH(SUBSTITUTE(AQ$1,RIGHT(AQ$1,2),""),VLOOKUP($D286,素材!$1:$1016,COLUMN($F$1),FALSE))),VLOOKUP($C286,装備品!$1:$998,COLUMN($O$1),FALSE)*VLOOKUP($D286,素材!$1:$1016,COLUMN($E$1),FALSE)/(LEN(VLOOKUP($D286,素材!$1:$1016,COLUMN($F$1),FALSE))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R286">
        <f>IF(ISNUMBER(SEARCH(SUBSTITUTE(AR$1,RIGHT(AR$1,2),""),VLOOKUP($D286,素材!$1:$1016,COLUMN($F$1),FALSE))),VLOOKUP($C286,装備品!$1:$998,COLUMN($O$1),FALSE)*VLOOKUP($D286,素材!$1:$1016,COLUMN($E$1),FALSE)/(LEN(VLOOKUP($D286,素材!$1:$1016,COLUMN($F$1),FALSE))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S286">
        <f>IF(ISNUMBER(SEARCH(SUBSTITUTE(AS$1,RIGHT(AS$1,2),""),VLOOKUP($D286,素材!$1:$1016,COLUMN($F$1),FALSE))),VLOOKUP($C286,装備品!$1:$998,COLUMN($O$1),FALSE)*VLOOKUP($D286,素材!$1:$1016,COLUMN($E$1),FALSE)/(LEN(VLOOKUP($D286,素材!$1:$1016,COLUMN($F$1),FALSE))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T286">
        <f>IF(ISNUMBER(SEARCH(SUBSTITUTE(AT$1,RIGHT(AT$1,2),""),VLOOKUP($D286,素材!$1:$1016,COLUMN($F$1),FALSE))),VLOOKUP($C286,装備品!$1:$998,COLUMN($O$1),FALSE)*VLOOKUP($D286,素材!$1:$1016,COLUMN($E$1),FALSE)/(LEN(VLOOKUP($D286,素材!$1:$1016,COLUMN($F$1),FALSE))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U286">
        <f>IF(ISNUMBER(SEARCH(SUBSTITUTE(AU$1,RIGHT(AU$1,2),""),VLOOKUP($D286,素材!$1:$1016,COLUMN($F$1),FALSE))),VLOOKUP($C286,装備品!$1:$998,COLUMN($O$1),FALSE)*VLOOKUP($D286,素材!$1:$1016,COLUMN($E$1),FALSE)/(LEN(VLOOKUP($D286,素材!$1:$1016,COLUMN($F$1),FALSE))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V286">
        <f>IF(ISNUMBER(SEARCH(SUBSTITUTE(AV$1,RIGHT(AV$1,2),""),VLOOKUP($D286,素材!$1:$1016,COLUMN($F$1),FALSE))),VLOOKUP($C286,装備品!$1:$998,COLUMN($O$1),FALSE)*VLOOKUP($D286,素材!$1:$1016,COLUMN($E$1),FALSE)/(LEN(VLOOKUP($D286,素材!$1:$1016,COLUMN($F$1),FALSE))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W286">
        <f>IF(ISNUMBER(SEARCH(SUBSTITUTE(AW$1,RIGHT(AW$1,2),""),VLOOKUP($D286,素材!$1:$1016,COLUMN($F$1),FALSE))),VLOOKUP($C286,装備品!$1:$998,COLUMN($O$1),FALSE)*VLOOKUP($D286,素材!$1:$1016,COLUMN($E$1),FALSE)/(LEN(VLOOKUP($D286,素材!$1:$1016,COLUMN($F$1),FALSE))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X286">
        <f>IF(ISNUMBER(SEARCH(SUBSTITUTE(AX$1,RIGHT(AX$1,2),""),VLOOKUP($D286,素材!$1:$1016,COLUMN($F$1),FALSE))),VLOOKUP($C286,装備品!$1:$998,COLUMN($O$1),FALSE)*VLOOKUP($D286,素材!$1:$1016,COLUMN($E$1),FALSE)/(LEN(VLOOKUP($D286,素材!$1:$1016,COLUMN($F$1),FALSE))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Y286">
        <f>IF(ISNUMBER(SEARCH(SUBSTITUTE(AY$1,RIGHT(AY$1,2),""),VLOOKUP($D286,素材!$1:$1016,COLUMN($F$1),FALSE))),VLOOKUP($C286,装備品!$1:$998,COLUMN($O$1),FALSE)*VLOOKUP($D286,素材!$1:$1016,COLUMN($E$1),FALSE)/(LEN(VLOOKUP($D286,素材!$1:$1016,COLUMN($F$1),FALSE))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Z286">
        <f>IF(ISNUMBER(SEARCH(SUBSTITUTE(AZ$1,RIGHT(AZ$1,2),""),VLOOKUP($D286,素材!$1:$1016,COLUMN($F$1),FALSE))),VLOOKUP($C286,装備品!$1:$998,COLUMN($O$1),FALSE)*VLOOKUP($D286,素材!$1:$1016,COLUMN($E$1),FALSE)/(LEN(VLOOKUP($D286,素材!$1:$1016,COLUMN($F$1),FALSE))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BA286">
        <f>IF(ISNUMBER(SEARCH(SUBSTITUTE(BA$1,RIGHT(BA$1,2),""),VLOOKUP($D286,素材!$1:$1016,COLUMN($F$1),FALSE))),VLOOKUP($C286,装備品!$1:$998,COLUMN($O$1),FALSE)*VLOOKUP($D286,素材!$1:$1016,COLUMN($E$1),FALSE)/(LEN(VLOOKUP($D286,素材!$1:$1016,COLUMN($F$1),FALSE))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BB286">
        <f>IF(ISNUMBER(SEARCH(SUBSTITUTE(BB$1,RIGHT(BB$1,2),""),VLOOKUP($D286,素材!$1:$1016,COLUMN($F$1),FALSE))),VLOOKUP($C286,装備品!$1:$998,COLUMN($O$1),FALSE)*VLOOKUP($D286,素材!$1:$1016,COLUMN($E$1),FALSE)/(LEN(VLOOKUP($D286,素材!$1:$1016,COLUMN($F$1),FALSE))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BC286">
        <f>IF(ISNUMBER(SEARCH(SUBSTITUTE(BC$1,RIGHT(BC$1,2),""),VLOOKUP($D286,素材!$1:$1016,COLUMN($F$1),FALSE))),VLOOKUP($C286,装備品!$1:$998,COLUMN($O$1),FALSE)*VLOOKUP($D286,素材!$1:$1016,COLUMN($E$1),FALSE)/(LEN(VLOOKUP($D286,素材!$1:$1016,COLUMN($F$1),FALSE))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BD286">
        <f>IF(ISNUMBER(SEARCH(SUBSTITUTE(BD$1,RIGHT(BD$1,2),""),VLOOKUP($D286,素材!$1:$1016,COLUMN($F$1),FALSE))),VLOOKUP($C286,装備品!$1:$998,COLUMN($O$1),FALSE)*VLOOKUP($D286,素材!$1:$1016,COLUMN($E$1),FALSE)/(LEN(VLOOKUP($D286,素材!$1:$1016,COLUMN($F$1),FALSE))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BE286">
        <f>IF(ISNUMBER(SEARCH(SUBSTITUTE(BE$1,RIGHT(BE$1,2),""),VLOOKUP($D286,素材!$1:$1016,COLUMN($F$1),FALSE))),VLOOKUP($C286,装備品!$1:$998,COLUMN($O$1),FALSE)*VLOOKUP($D286,素材!$1:$1016,COLUMN($E$1),FALSE)/(LEN(VLOOKUP($D286,素材!$1:$1016,COLUMN($F$1),FALSE))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CL286">
        <f t="shared" si="41"/>
        <v>0</v>
      </c>
      <c r="CM286" s="22" t="str">
        <f t="shared" si="42"/>
        <v>.webp</v>
      </c>
      <c r="CN286" t="str">
        <f>IFERROR(VLOOKUP($C286,装備品!$1:$998,COLUMN(V$1),FALSE)*VLOOKUP($D286,素材!$1:$1016,COLUMN(N$1),FALSE)+IF(CI286="",0,VLOOKUP($CI286,付与!$1:$1176,COLUMN($CK$1),FALSE)),"")</f>
        <v/>
      </c>
      <c r="CO286" t="e">
        <f>VLOOKUP(D286,素材!$A:$O,COLUMN(素材!O$1),FALSE)</f>
        <v>#N/A</v>
      </c>
      <c r="CP286" t="e">
        <f>VLOOKUP(C286,装備品!$A:$AB,COLUMN(装備品!AB$1),FALSE)</f>
        <v>#N/A</v>
      </c>
      <c r="CR286" t="str">
        <f t="shared" si="43"/>
        <v>e_286</v>
      </c>
      <c r="CS286" t="e">
        <f t="shared" si="44"/>
        <v>#VALUE!</v>
      </c>
    </row>
    <row r="287" spans="1:97" hidden="1" outlineLevel="1" x14ac:dyDescent="0.4">
      <c r="A287" t="str">
        <f t="shared" si="45"/>
        <v>の</v>
      </c>
      <c r="B287" t="str">
        <f>IFERROR(IF(CI287="",VLOOKUP($D287,素材!$1:$1016,COLUMN($B$1),FALSE)&amp;"・"&amp;VLOOKUP($C287,装備品!$1:$998,COLUMN(B$1),FALSE),VLOOKUP($CI287,付与!$1:$1176,COLUMN($B$1),FALSE)&amp;"・"&amp;VLOOKUP($C287,装備品!$1:$998,COLUMN(B$1),FALSE)),"")</f>
        <v/>
      </c>
      <c r="C287" s="24"/>
      <c r="D287" s="24"/>
      <c r="E287" t="str">
        <f>IFERROR(VLOOKUP(C287,装備品!$1:$998,COLUMN(C$1),FALSE),"")</f>
        <v/>
      </c>
      <c r="F287" t="str">
        <f>IFERROR(ROUNDDOWN((VLOOKUP($C287,装備品!$1:$998,COLUMN(D$1),FALSE)+IFERROR(VLOOKUP($CI287,付与!$1:$1167,COLUMN(F$1),FALSE),0))*VLOOKUP($D287,素材!$1:$1016,COLUMN(D$1),FALSE),0),"")</f>
        <v/>
      </c>
      <c r="G287" t="str">
        <f>IFERROR(ROUNDDOWN((VLOOKUP($C287,装備品!$1:$998,COLUMN(E$1),FALSE)+IFERROR(VLOOKUP($CI287,付与!$1:$1167,COLUMN(G$1),FALSE),0))*VLOOKUP($D287,素材!$1:$1016,COLUMN($E$1),FALSE),0),"")</f>
        <v/>
      </c>
      <c r="H287" t="str">
        <f>IFERROR(ROUNDDOWN((VLOOKUP($C287,装備品!$1:$998,COLUMN(F$1),FALSE)+IFERROR(VLOOKUP($CI287,付与!$1:$1167,COLUMN(H$1),FALSE),0))*VLOOKUP($D287,素材!$1:$1016,COLUMN($E$1),FALSE),0),"")</f>
        <v/>
      </c>
      <c r="I287" t="str">
        <f>IFERROR(ROUNDDOWN((VLOOKUP($C287,装備品!$1:$998,COLUMN(G$1),FALSE)+IFERROR(VLOOKUP($CI287,付与!$1:$1167,COLUMN(I$1),FALSE),0))*VLOOKUP($D287,素材!$1:$1016,COLUMN($E$1),FALSE),0),"")</f>
        <v/>
      </c>
      <c r="J287" t="str">
        <f>IFERROR(ROUNDDOWN((VLOOKUP($C287,装備品!$1:$998,COLUMN(H$1),FALSE)+IFERROR(VLOOKUP($CI287,付与!$1:$1167,COLUMN(J$1),FALSE),0))*VLOOKUP($D287,素材!$1:$1016,COLUMN($E$1),FALSE),0),"")</f>
        <v/>
      </c>
      <c r="K287" t="str">
        <f>IFERROR(ROUNDDOWN((VLOOKUP($C287,装備品!$1:$998,COLUMN(I$1),FALSE)+IFERROR(VLOOKUP($CI287,付与!$1:$1167,COLUMN(K$1),FALSE),0))*VLOOKUP($D287,素材!$1:$1016,COLUMN($E$1),FALSE),0),"")</f>
        <v/>
      </c>
      <c r="L287" t="str">
        <f>IFERROR(VLOOKUP($D287,素材!$1:$1016,COLUMN($F$1),FALSE),"")</f>
        <v/>
      </c>
      <c r="M287" t="str">
        <f>IFERROR(VLOOKUP($C287,装備品!$1:$998,COLUMN(AA$1),FALSE)*VLOOKUP($D287,素材!$1:$1016,COLUMN($G$1),FALSE),"")</f>
        <v/>
      </c>
      <c r="N287" t="str">
        <f>IFERROR(VLOOKUP($C287,装備品!$1:$998,COLUMN(I$1),FALSE),"")</f>
        <v/>
      </c>
      <c r="O287" s="23" t="str">
        <f>IFERROR((VLOOKUP($C287,装備品!$1:$998,COLUMN(K$1),FALSE)+VLOOKUP($D287,素材!$1:$1016,COLUMN(H$1),FALSE))*100+IFERROR(VLOOKUP($CI287,付与!$1:$1167,COLUMN(O$1),FALSE),0),"")</f>
        <v/>
      </c>
      <c r="P287" s="23" t="str">
        <f>IFERROR((VLOOKUP($C287,装備品!$1:$998,COLUMN(L$1),FALSE)+VLOOKUP($D287,素材!$1:$1016,COLUMN(I$1),FALSE))*100+IFERROR(VLOOKUP($CI287,付与!$1:$1167,COLUMN(P$1),FALSE),0),"")</f>
        <v/>
      </c>
      <c r="Q287" t="str">
        <f>IFERROR(ROUNDUP(VLOOKUP($C287,装備品!$1:$998,COLUMN(M$1),FALSE)*(VLOOKUP($D287,素材!$1:$1002,COLUMN(D$1),FALSE)/100),1),"")</f>
        <v/>
      </c>
      <c r="R287" t="str">
        <f>IFERROR(ROUNDUP(VLOOKUP($C287,装備品!$1:$998,COLUMN(N$1),FALSE)*(VLOOKUP($D287,素材!$1:$1002,COLUMN(D$1),FALSE)/100),1),"")</f>
        <v/>
      </c>
      <c r="S287" t="str">
        <f>IFERROR(VLOOKUP($C287,装備品!$1:$998,COLUMN(P$1),FALSE),"")</f>
        <v/>
      </c>
      <c r="T287" t="str">
        <f>IFERROR(VLOOKUP($C287,装備品!$1:$998,COLUMN(Q$1),FALSE),"")</f>
        <v/>
      </c>
      <c r="U287" t="str">
        <f>IFERROR(VLOOKUP($C287,装備品!$1:$998,COLUMN(R$1),FALSE),"")</f>
        <v/>
      </c>
      <c r="V287" t="str">
        <f>IFERROR(VLOOKUP($C287,装備品!$1:$998,COLUMN(Q$1),FALSE),"")</f>
        <v/>
      </c>
      <c r="W287" t="str">
        <f>IFERROR(VLOOKUP($C287,装備品!$1:$998,COLUMN(T$1),FALSE),"")</f>
        <v/>
      </c>
      <c r="Y287" t="str">
        <f>IFERROR(VLOOKUP($C287,装備品!$1:$998,COLUMN(U$1),FALSE),"")</f>
        <v/>
      </c>
      <c r="Z287" t="str">
        <f>IFERROR(ROUNDUP(VLOOKUP($C287,装備品!$1:$998,COLUMN(O$1),FALSE)*VLOOKUP($D287,素材!$1:$1016,COLUMN(E$1),FALSE),1),"")</f>
        <v/>
      </c>
      <c r="AA287">
        <f>IF(ISNUMBER(SEARCH(SUBSTITUTE(AA$1,RIGHT(AA$1,2),""),VLOOKUP($D287,素材!$1:$1016,COLUMN($F$1),FALSE))),VLOOKUP($C287,装備品!$1:$998,COLUMN($O$1),FALSE)*VLOOKUP($D287,素材!$1:$1016,COLUMN($E$1),FALSE)/(LEN(VLOOKUP($D287,素材!$1:$1016,COLUMN($F$1),FALSE))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B287">
        <f>IF(ISNUMBER(SEARCH(SUBSTITUTE(AB$1,RIGHT(AB$1,2),""),VLOOKUP($D287,素材!$1:$1016,COLUMN($F$1),FALSE))),VLOOKUP($C287,装備品!$1:$998,COLUMN($O$1),FALSE)*VLOOKUP($D287,素材!$1:$1016,COLUMN($E$1),FALSE)/(LEN(VLOOKUP($D287,素材!$1:$1016,COLUMN($F$1),FALSE))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C287">
        <f>IF(ISNUMBER(SEARCH(SUBSTITUTE(AC$1,RIGHT(AC$1,2),""),VLOOKUP($D287,素材!$1:$1016,COLUMN($F$1),FALSE))),VLOOKUP($C287,装備品!$1:$998,COLUMN($O$1),FALSE)*VLOOKUP($D287,素材!$1:$1016,COLUMN($E$1),FALSE)/(LEN(VLOOKUP($D287,素材!$1:$1016,COLUMN($F$1),FALSE))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D287">
        <f>IF(ISNUMBER(SEARCH(SUBSTITUTE(AD$1,RIGHT(AD$1,2),""),VLOOKUP($D287,素材!$1:$1016,COLUMN($F$1),FALSE))),VLOOKUP($C287,装備品!$1:$998,COLUMN($O$1),FALSE)*VLOOKUP($D287,素材!$1:$1016,COLUMN($E$1),FALSE)/(LEN(VLOOKUP($D287,素材!$1:$1016,COLUMN($F$1),FALSE))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E287">
        <f>IF(ISNUMBER(SEARCH(SUBSTITUTE(AE$1,RIGHT(AE$1,2),""),VLOOKUP($D287,素材!$1:$1016,COLUMN($F$1),FALSE))),VLOOKUP($C287,装備品!$1:$998,COLUMN($O$1),FALSE)*VLOOKUP($D287,素材!$1:$1016,COLUMN($E$1),FALSE)/(LEN(VLOOKUP($D287,素材!$1:$1016,COLUMN($F$1),FALSE))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F287">
        <f>IF(ISNUMBER(SEARCH(SUBSTITUTE(AF$1,RIGHT(AF$1,2),""),VLOOKUP($D287,素材!$1:$1016,COLUMN($F$1),FALSE))),VLOOKUP($C287,装備品!$1:$998,COLUMN($O$1),FALSE)*VLOOKUP($D287,素材!$1:$1016,COLUMN($E$1),FALSE)/(LEN(VLOOKUP($D287,素材!$1:$1016,COLUMN($F$1),FALSE))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G287">
        <f>IF(ISNUMBER(SEARCH(SUBSTITUTE(AG$1,RIGHT(AG$1,2),""),VLOOKUP($D287,素材!$1:$1016,COLUMN($F$1),FALSE))),VLOOKUP($C287,装備品!$1:$998,COLUMN($O$1),FALSE)*VLOOKUP($D287,素材!$1:$1016,COLUMN($E$1),FALSE)/(LEN(VLOOKUP($D287,素材!$1:$1016,COLUMN($F$1),FALSE))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H287">
        <f>IF(ISNUMBER(SEARCH(SUBSTITUTE(AH$1,RIGHT(AH$1,2),""),VLOOKUP($D287,素材!$1:$1016,COLUMN($F$1),FALSE))),VLOOKUP($C287,装備品!$1:$998,COLUMN($O$1),FALSE)*VLOOKUP($D287,素材!$1:$1016,COLUMN($E$1),FALSE)/(LEN(VLOOKUP($D287,素材!$1:$1016,COLUMN($F$1),FALSE))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I287">
        <f>IF(ISNUMBER(SEARCH(SUBSTITUTE(AI$1,RIGHT(AI$1,2),""),VLOOKUP($D287,素材!$1:$1016,COLUMN($F$1),FALSE))),VLOOKUP($C287,装備品!$1:$998,COLUMN($O$1),FALSE)*VLOOKUP($D287,素材!$1:$1016,COLUMN($E$1),FALSE)/(LEN(VLOOKUP($D287,素材!$1:$1016,COLUMN($F$1),FALSE))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J287">
        <f>IF(ISNUMBER(SEARCH(SUBSTITUTE(AJ$1,RIGHT(AJ$1,2),""),VLOOKUP($D287,素材!$1:$1016,COLUMN($F$1),FALSE))),VLOOKUP($C287,装備品!$1:$998,COLUMN($O$1),FALSE)*VLOOKUP($D287,素材!$1:$1016,COLUMN($E$1),FALSE)/(LEN(VLOOKUP($D287,素材!$1:$1016,COLUMN($F$1),FALSE))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K287">
        <f>IF(ISNUMBER(SEARCH(SUBSTITUTE(AK$1,RIGHT(AK$1,2),""),VLOOKUP($D287,素材!$1:$1016,COLUMN($F$1),FALSE))),VLOOKUP($C287,装備品!$1:$998,COLUMN($O$1),FALSE)*VLOOKUP($D287,素材!$1:$1016,COLUMN($E$1),FALSE)/(LEN(VLOOKUP($D287,素材!$1:$1016,COLUMN($F$1),FALSE))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L287">
        <f>IF(ISNUMBER(SEARCH(SUBSTITUTE(AL$1,RIGHT(AL$1,2),""),VLOOKUP($D287,素材!$1:$1016,COLUMN($F$1),FALSE))),VLOOKUP($C287,装備品!$1:$998,COLUMN($O$1),FALSE)*VLOOKUP($D287,素材!$1:$1016,COLUMN($E$1),FALSE)/(LEN(VLOOKUP($D287,素材!$1:$1016,COLUMN($F$1),FALSE))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M287">
        <f>IF(ISNUMBER(SEARCH(SUBSTITUTE(AM$1,RIGHT(AM$1,2),""),VLOOKUP($D287,素材!$1:$1016,COLUMN($F$1),FALSE))),VLOOKUP($C287,装備品!$1:$998,COLUMN($O$1),FALSE)*VLOOKUP($D287,素材!$1:$1016,COLUMN($E$1),FALSE)/(LEN(VLOOKUP($D287,素材!$1:$1016,COLUMN($F$1),FALSE))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N287">
        <f>IF(ISNUMBER(SEARCH(SUBSTITUTE(AN$1,RIGHT(AN$1,2),""),VLOOKUP($D287,素材!$1:$1016,COLUMN($F$1),FALSE))),VLOOKUP($C287,装備品!$1:$998,COLUMN($O$1),FALSE)*VLOOKUP($D287,素材!$1:$1016,COLUMN($E$1),FALSE)/(LEN(VLOOKUP($D287,素材!$1:$1016,COLUMN($F$1),FALSE))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O287">
        <f>IF(ISNUMBER(SEARCH(SUBSTITUTE(AO$1,RIGHT(AO$1,2),""),VLOOKUP($D287,素材!$1:$1016,COLUMN($F$1),FALSE))),VLOOKUP($C287,装備品!$1:$998,COLUMN($O$1),FALSE)*VLOOKUP($D287,素材!$1:$1016,COLUMN($E$1),FALSE)/(LEN(VLOOKUP($D287,素材!$1:$1016,COLUMN($F$1),FALSE))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P287">
        <f>IF(ISNUMBER(SEARCH(SUBSTITUTE(AP$1,RIGHT(AP$1,2),""),VLOOKUP($D287,素材!$1:$1016,COLUMN($F$1),FALSE))),VLOOKUP($C287,装備品!$1:$998,COLUMN($O$1),FALSE)*VLOOKUP($D287,素材!$1:$1016,COLUMN($E$1),FALSE)/(LEN(VLOOKUP($D287,素材!$1:$1016,COLUMN($F$1),FALSE))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Q287">
        <f>IF(ISNUMBER(SEARCH(SUBSTITUTE(AQ$1,RIGHT(AQ$1,2),""),VLOOKUP($D287,素材!$1:$1016,COLUMN($F$1),FALSE))),VLOOKUP($C287,装備品!$1:$998,COLUMN($O$1),FALSE)*VLOOKUP($D287,素材!$1:$1016,COLUMN($E$1),FALSE)/(LEN(VLOOKUP($D287,素材!$1:$1016,COLUMN($F$1),FALSE))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R287">
        <f>IF(ISNUMBER(SEARCH(SUBSTITUTE(AR$1,RIGHT(AR$1,2),""),VLOOKUP($D287,素材!$1:$1016,COLUMN($F$1),FALSE))),VLOOKUP($C287,装備品!$1:$998,COLUMN($O$1),FALSE)*VLOOKUP($D287,素材!$1:$1016,COLUMN($E$1),FALSE)/(LEN(VLOOKUP($D287,素材!$1:$1016,COLUMN($F$1),FALSE))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S287">
        <f>IF(ISNUMBER(SEARCH(SUBSTITUTE(AS$1,RIGHT(AS$1,2),""),VLOOKUP($D287,素材!$1:$1016,COLUMN($F$1),FALSE))),VLOOKUP($C287,装備品!$1:$998,COLUMN($O$1),FALSE)*VLOOKUP($D287,素材!$1:$1016,COLUMN($E$1),FALSE)/(LEN(VLOOKUP($D287,素材!$1:$1016,COLUMN($F$1),FALSE))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T287">
        <f>IF(ISNUMBER(SEARCH(SUBSTITUTE(AT$1,RIGHT(AT$1,2),""),VLOOKUP($D287,素材!$1:$1016,COLUMN($F$1),FALSE))),VLOOKUP($C287,装備品!$1:$998,COLUMN($O$1),FALSE)*VLOOKUP($D287,素材!$1:$1016,COLUMN($E$1),FALSE)/(LEN(VLOOKUP($D287,素材!$1:$1016,COLUMN($F$1),FALSE))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U287">
        <f>IF(ISNUMBER(SEARCH(SUBSTITUTE(AU$1,RIGHT(AU$1,2),""),VLOOKUP($D287,素材!$1:$1016,COLUMN($F$1),FALSE))),VLOOKUP($C287,装備品!$1:$998,COLUMN($O$1),FALSE)*VLOOKUP($D287,素材!$1:$1016,COLUMN($E$1),FALSE)/(LEN(VLOOKUP($D287,素材!$1:$1016,COLUMN($F$1),FALSE))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V287">
        <f>IF(ISNUMBER(SEARCH(SUBSTITUTE(AV$1,RIGHT(AV$1,2),""),VLOOKUP($D287,素材!$1:$1016,COLUMN($F$1),FALSE))),VLOOKUP($C287,装備品!$1:$998,COLUMN($O$1),FALSE)*VLOOKUP($D287,素材!$1:$1016,COLUMN($E$1),FALSE)/(LEN(VLOOKUP($D287,素材!$1:$1016,COLUMN($F$1),FALSE))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W287">
        <f>IF(ISNUMBER(SEARCH(SUBSTITUTE(AW$1,RIGHT(AW$1,2),""),VLOOKUP($D287,素材!$1:$1016,COLUMN($F$1),FALSE))),VLOOKUP($C287,装備品!$1:$998,COLUMN($O$1),FALSE)*VLOOKUP($D287,素材!$1:$1016,COLUMN($E$1),FALSE)/(LEN(VLOOKUP($D287,素材!$1:$1016,COLUMN($F$1),FALSE))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X287">
        <f>IF(ISNUMBER(SEARCH(SUBSTITUTE(AX$1,RIGHT(AX$1,2),""),VLOOKUP($D287,素材!$1:$1016,COLUMN($F$1),FALSE))),VLOOKUP($C287,装備品!$1:$998,COLUMN($O$1),FALSE)*VLOOKUP($D287,素材!$1:$1016,COLUMN($E$1),FALSE)/(LEN(VLOOKUP($D287,素材!$1:$1016,COLUMN($F$1),FALSE))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Y287">
        <f>IF(ISNUMBER(SEARCH(SUBSTITUTE(AY$1,RIGHT(AY$1,2),""),VLOOKUP($D287,素材!$1:$1016,COLUMN($F$1),FALSE))),VLOOKUP($C287,装備品!$1:$998,COLUMN($O$1),FALSE)*VLOOKUP($D287,素材!$1:$1016,COLUMN($E$1),FALSE)/(LEN(VLOOKUP($D287,素材!$1:$1016,COLUMN($F$1),FALSE))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Z287">
        <f>IF(ISNUMBER(SEARCH(SUBSTITUTE(AZ$1,RIGHT(AZ$1,2),""),VLOOKUP($D287,素材!$1:$1016,COLUMN($F$1),FALSE))),VLOOKUP($C287,装備品!$1:$998,COLUMN($O$1),FALSE)*VLOOKUP($D287,素材!$1:$1016,COLUMN($E$1),FALSE)/(LEN(VLOOKUP($D287,素材!$1:$1016,COLUMN($F$1),FALSE))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BA287">
        <f>IF(ISNUMBER(SEARCH(SUBSTITUTE(BA$1,RIGHT(BA$1,2),""),VLOOKUP($D287,素材!$1:$1016,COLUMN($F$1),FALSE))),VLOOKUP($C287,装備品!$1:$998,COLUMN($O$1),FALSE)*VLOOKUP($D287,素材!$1:$1016,COLUMN($E$1),FALSE)/(LEN(VLOOKUP($D287,素材!$1:$1016,COLUMN($F$1),FALSE))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BB287">
        <f>IF(ISNUMBER(SEARCH(SUBSTITUTE(BB$1,RIGHT(BB$1,2),""),VLOOKUP($D287,素材!$1:$1016,COLUMN($F$1),FALSE))),VLOOKUP($C287,装備品!$1:$998,COLUMN($O$1),FALSE)*VLOOKUP($D287,素材!$1:$1016,COLUMN($E$1),FALSE)/(LEN(VLOOKUP($D287,素材!$1:$1016,COLUMN($F$1),FALSE))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BC287">
        <f>IF(ISNUMBER(SEARCH(SUBSTITUTE(BC$1,RIGHT(BC$1,2),""),VLOOKUP($D287,素材!$1:$1016,COLUMN($F$1),FALSE))),VLOOKUP($C287,装備品!$1:$998,COLUMN($O$1),FALSE)*VLOOKUP($D287,素材!$1:$1016,COLUMN($E$1),FALSE)/(LEN(VLOOKUP($D287,素材!$1:$1016,COLUMN($F$1),FALSE))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BD287">
        <f>IF(ISNUMBER(SEARCH(SUBSTITUTE(BD$1,RIGHT(BD$1,2),""),VLOOKUP($D287,素材!$1:$1016,COLUMN($F$1),FALSE))),VLOOKUP($C287,装備品!$1:$998,COLUMN($O$1),FALSE)*VLOOKUP($D287,素材!$1:$1016,COLUMN($E$1),FALSE)/(LEN(VLOOKUP($D287,素材!$1:$1016,COLUMN($F$1),FALSE))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BE287">
        <f>IF(ISNUMBER(SEARCH(SUBSTITUTE(BE$1,RIGHT(BE$1,2),""),VLOOKUP($D287,素材!$1:$1016,COLUMN($F$1),FALSE))),VLOOKUP($C287,装備品!$1:$998,COLUMN($O$1),FALSE)*VLOOKUP($D287,素材!$1:$1016,COLUMN($E$1),FALSE)/(LEN(VLOOKUP($D287,素材!$1:$1016,COLUMN($F$1),FALSE))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CL287">
        <f t="shared" si="41"/>
        <v>0</v>
      </c>
      <c r="CM287" s="22" t="str">
        <f t="shared" si="42"/>
        <v>.webp</v>
      </c>
      <c r="CN287" t="str">
        <f>IFERROR(VLOOKUP($C287,装備品!$1:$998,COLUMN(V$1),FALSE)*VLOOKUP($D287,素材!$1:$1016,COLUMN(N$1),FALSE)+IF(CI287="",0,VLOOKUP($CI287,付与!$1:$1176,COLUMN($CK$1),FALSE)),"")</f>
        <v/>
      </c>
      <c r="CO287" t="e">
        <f>VLOOKUP(D287,素材!$A:$O,COLUMN(素材!O$1),FALSE)</f>
        <v>#N/A</v>
      </c>
      <c r="CP287" t="e">
        <f>VLOOKUP(C287,装備品!$A:$AB,COLUMN(装備品!AB$1),FALSE)</f>
        <v>#N/A</v>
      </c>
      <c r="CR287" t="str">
        <f t="shared" si="43"/>
        <v>e_287</v>
      </c>
      <c r="CS287" t="e">
        <f t="shared" si="44"/>
        <v>#VALUE!</v>
      </c>
    </row>
    <row r="288" spans="1:97" hidden="1" outlineLevel="1" x14ac:dyDescent="0.4">
      <c r="A288" t="str">
        <f t="shared" si="45"/>
        <v>の</v>
      </c>
      <c r="B288" t="str">
        <f>IFERROR(IF(CI288="",VLOOKUP($D288,素材!$1:$1016,COLUMN($B$1),FALSE)&amp;"・"&amp;VLOOKUP($C288,装備品!$1:$998,COLUMN(B$1),FALSE),VLOOKUP($CI288,付与!$1:$1176,COLUMN($B$1),FALSE)&amp;"・"&amp;VLOOKUP($C288,装備品!$1:$998,COLUMN(B$1),FALSE)),"")</f>
        <v/>
      </c>
      <c r="C288" s="24"/>
      <c r="D288" s="24"/>
      <c r="E288" t="str">
        <f>IFERROR(VLOOKUP(C288,装備品!$1:$998,COLUMN(C$1),FALSE),"")</f>
        <v/>
      </c>
      <c r="F288" t="str">
        <f>IFERROR(ROUNDDOWN((VLOOKUP($C288,装備品!$1:$998,COLUMN(D$1),FALSE)+IFERROR(VLOOKUP($CI288,付与!$1:$1167,COLUMN(F$1),FALSE),0))*VLOOKUP($D288,素材!$1:$1016,COLUMN(D$1),FALSE),0),"")</f>
        <v/>
      </c>
      <c r="G288" t="str">
        <f>IFERROR(ROUNDDOWN((VLOOKUP($C288,装備品!$1:$998,COLUMN(E$1),FALSE)+IFERROR(VLOOKUP($CI288,付与!$1:$1167,COLUMN(G$1),FALSE),0))*VLOOKUP($D288,素材!$1:$1016,COLUMN($E$1),FALSE),0),"")</f>
        <v/>
      </c>
      <c r="H288" t="str">
        <f>IFERROR(ROUNDDOWN((VLOOKUP($C288,装備品!$1:$998,COLUMN(F$1),FALSE)+IFERROR(VLOOKUP($CI288,付与!$1:$1167,COLUMN(H$1),FALSE),0))*VLOOKUP($D288,素材!$1:$1016,COLUMN($E$1),FALSE),0),"")</f>
        <v/>
      </c>
      <c r="I288" t="str">
        <f>IFERROR(ROUNDDOWN((VLOOKUP($C288,装備品!$1:$998,COLUMN(G$1),FALSE)+IFERROR(VLOOKUP($CI288,付与!$1:$1167,COLUMN(I$1),FALSE),0))*VLOOKUP($D288,素材!$1:$1016,COLUMN($E$1),FALSE),0),"")</f>
        <v/>
      </c>
      <c r="J288" t="str">
        <f>IFERROR(ROUNDDOWN((VLOOKUP($C288,装備品!$1:$998,COLUMN(H$1),FALSE)+IFERROR(VLOOKUP($CI288,付与!$1:$1167,COLUMN(J$1),FALSE),0))*VLOOKUP($D288,素材!$1:$1016,COLUMN($E$1),FALSE),0),"")</f>
        <v/>
      </c>
      <c r="K288" t="str">
        <f>IFERROR(ROUNDDOWN((VLOOKUP($C288,装備品!$1:$998,COLUMN(I$1),FALSE)+IFERROR(VLOOKUP($CI288,付与!$1:$1167,COLUMN(K$1),FALSE),0))*VLOOKUP($D288,素材!$1:$1016,COLUMN($E$1),FALSE),0),"")</f>
        <v/>
      </c>
      <c r="L288" t="str">
        <f>IFERROR(VLOOKUP($D288,素材!$1:$1016,COLUMN($F$1),FALSE),"")</f>
        <v/>
      </c>
      <c r="M288" t="str">
        <f>IFERROR(VLOOKUP($C288,装備品!$1:$998,COLUMN(AA$1),FALSE)*VLOOKUP($D288,素材!$1:$1016,COLUMN($G$1),FALSE),"")</f>
        <v/>
      </c>
      <c r="N288" t="str">
        <f>IFERROR(VLOOKUP($C288,装備品!$1:$998,COLUMN(I$1),FALSE),"")</f>
        <v/>
      </c>
      <c r="O288" s="23" t="str">
        <f>IFERROR((VLOOKUP($C288,装備品!$1:$998,COLUMN(K$1),FALSE)+VLOOKUP($D288,素材!$1:$1016,COLUMN(H$1),FALSE))*100+IFERROR(VLOOKUP($CI288,付与!$1:$1167,COLUMN(O$1),FALSE),0),"")</f>
        <v/>
      </c>
      <c r="P288" s="23" t="str">
        <f>IFERROR((VLOOKUP($C288,装備品!$1:$998,COLUMN(L$1),FALSE)+VLOOKUP($D288,素材!$1:$1016,COLUMN(I$1),FALSE))*100+IFERROR(VLOOKUP($CI288,付与!$1:$1167,COLUMN(P$1),FALSE),0),"")</f>
        <v/>
      </c>
      <c r="Q288" t="str">
        <f>IFERROR(ROUNDUP(VLOOKUP($C288,装備品!$1:$998,COLUMN(M$1),FALSE)*(VLOOKUP($D288,素材!$1:$1002,COLUMN(D$1),FALSE)/100),1),"")</f>
        <v/>
      </c>
      <c r="R288" t="str">
        <f>IFERROR(ROUNDUP(VLOOKUP($C288,装備品!$1:$998,COLUMN(N$1),FALSE)*(VLOOKUP($D288,素材!$1:$1002,COLUMN(D$1),FALSE)/100),1),"")</f>
        <v/>
      </c>
      <c r="S288" t="str">
        <f>IFERROR(VLOOKUP($C288,装備品!$1:$998,COLUMN(P$1),FALSE),"")</f>
        <v/>
      </c>
      <c r="T288" t="str">
        <f>IFERROR(VLOOKUP($C288,装備品!$1:$998,COLUMN(Q$1),FALSE),"")</f>
        <v/>
      </c>
      <c r="U288" t="str">
        <f>IFERROR(VLOOKUP($C288,装備品!$1:$998,COLUMN(R$1),FALSE),"")</f>
        <v/>
      </c>
      <c r="V288" t="str">
        <f>IFERROR(VLOOKUP($C288,装備品!$1:$998,COLUMN(Q$1),FALSE),"")</f>
        <v/>
      </c>
      <c r="W288" t="str">
        <f>IFERROR(VLOOKUP($C288,装備品!$1:$998,COLUMN(T$1),FALSE),"")</f>
        <v/>
      </c>
      <c r="Y288" t="str">
        <f>IFERROR(VLOOKUP($C288,装備品!$1:$998,COLUMN(U$1),FALSE),"")</f>
        <v/>
      </c>
      <c r="Z288" t="str">
        <f>IFERROR(ROUNDUP(VLOOKUP($C288,装備品!$1:$998,COLUMN(O$1),FALSE)*VLOOKUP($D288,素材!$1:$1016,COLUMN(E$1),FALSE),1),"")</f>
        <v/>
      </c>
      <c r="AA288">
        <f>IF(ISNUMBER(SEARCH(SUBSTITUTE(AA$1,RIGHT(AA$1,2),""),VLOOKUP($D288,素材!$1:$1016,COLUMN($F$1),FALSE))),VLOOKUP($C288,装備品!$1:$998,COLUMN($O$1),FALSE)*VLOOKUP($D288,素材!$1:$1016,COLUMN($E$1),FALSE)/(LEN(VLOOKUP($D288,素材!$1:$1016,COLUMN($F$1),FALSE))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B288">
        <f>IF(ISNUMBER(SEARCH(SUBSTITUTE(AB$1,RIGHT(AB$1,2),""),VLOOKUP($D288,素材!$1:$1016,COLUMN($F$1),FALSE))),VLOOKUP($C288,装備品!$1:$998,COLUMN($O$1),FALSE)*VLOOKUP($D288,素材!$1:$1016,COLUMN($E$1),FALSE)/(LEN(VLOOKUP($D288,素材!$1:$1016,COLUMN($F$1),FALSE))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C288">
        <f>IF(ISNUMBER(SEARCH(SUBSTITUTE(AC$1,RIGHT(AC$1,2),""),VLOOKUP($D288,素材!$1:$1016,COLUMN($F$1),FALSE))),VLOOKUP($C288,装備品!$1:$998,COLUMN($O$1),FALSE)*VLOOKUP($D288,素材!$1:$1016,COLUMN($E$1),FALSE)/(LEN(VLOOKUP($D288,素材!$1:$1016,COLUMN($F$1),FALSE))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D288">
        <f>IF(ISNUMBER(SEARCH(SUBSTITUTE(AD$1,RIGHT(AD$1,2),""),VLOOKUP($D288,素材!$1:$1016,COLUMN($F$1),FALSE))),VLOOKUP($C288,装備品!$1:$998,COLUMN($O$1),FALSE)*VLOOKUP($D288,素材!$1:$1016,COLUMN($E$1),FALSE)/(LEN(VLOOKUP($D288,素材!$1:$1016,COLUMN($F$1),FALSE))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E288">
        <f>IF(ISNUMBER(SEARCH(SUBSTITUTE(AE$1,RIGHT(AE$1,2),""),VLOOKUP($D288,素材!$1:$1016,COLUMN($F$1),FALSE))),VLOOKUP($C288,装備品!$1:$998,COLUMN($O$1),FALSE)*VLOOKUP($D288,素材!$1:$1016,COLUMN($E$1),FALSE)/(LEN(VLOOKUP($D288,素材!$1:$1016,COLUMN($F$1),FALSE))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F288">
        <f>IF(ISNUMBER(SEARCH(SUBSTITUTE(AF$1,RIGHT(AF$1,2),""),VLOOKUP($D288,素材!$1:$1016,COLUMN($F$1),FALSE))),VLOOKUP($C288,装備品!$1:$998,COLUMN($O$1),FALSE)*VLOOKUP($D288,素材!$1:$1016,COLUMN($E$1),FALSE)/(LEN(VLOOKUP($D288,素材!$1:$1016,COLUMN($F$1),FALSE))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G288">
        <f>IF(ISNUMBER(SEARCH(SUBSTITUTE(AG$1,RIGHT(AG$1,2),""),VLOOKUP($D288,素材!$1:$1016,COLUMN($F$1),FALSE))),VLOOKUP($C288,装備品!$1:$998,COLUMN($O$1),FALSE)*VLOOKUP($D288,素材!$1:$1016,COLUMN($E$1),FALSE)/(LEN(VLOOKUP($D288,素材!$1:$1016,COLUMN($F$1),FALSE))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H288">
        <f>IF(ISNUMBER(SEARCH(SUBSTITUTE(AH$1,RIGHT(AH$1,2),""),VLOOKUP($D288,素材!$1:$1016,COLUMN($F$1),FALSE))),VLOOKUP($C288,装備品!$1:$998,COLUMN($O$1),FALSE)*VLOOKUP($D288,素材!$1:$1016,COLUMN($E$1),FALSE)/(LEN(VLOOKUP($D288,素材!$1:$1016,COLUMN($F$1),FALSE))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I288">
        <f>IF(ISNUMBER(SEARCH(SUBSTITUTE(AI$1,RIGHT(AI$1,2),""),VLOOKUP($D288,素材!$1:$1016,COLUMN($F$1),FALSE))),VLOOKUP($C288,装備品!$1:$998,COLUMN($O$1),FALSE)*VLOOKUP($D288,素材!$1:$1016,COLUMN($E$1),FALSE)/(LEN(VLOOKUP($D288,素材!$1:$1016,COLUMN($F$1),FALSE))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J288">
        <f>IF(ISNUMBER(SEARCH(SUBSTITUTE(AJ$1,RIGHT(AJ$1,2),""),VLOOKUP($D288,素材!$1:$1016,COLUMN($F$1),FALSE))),VLOOKUP($C288,装備品!$1:$998,COLUMN($O$1),FALSE)*VLOOKUP($D288,素材!$1:$1016,COLUMN($E$1),FALSE)/(LEN(VLOOKUP($D288,素材!$1:$1016,COLUMN($F$1),FALSE))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K288">
        <f>IF(ISNUMBER(SEARCH(SUBSTITUTE(AK$1,RIGHT(AK$1,2),""),VLOOKUP($D288,素材!$1:$1016,COLUMN($F$1),FALSE))),VLOOKUP($C288,装備品!$1:$998,COLUMN($O$1),FALSE)*VLOOKUP($D288,素材!$1:$1016,COLUMN($E$1),FALSE)/(LEN(VLOOKUP($D288,素材!$1:$1016,COLUMN($F$1),FALSE))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L288">
        <f>IF(ISNUMBER(SEARCH(SUBSTITUTE(AL$1,RIGHT(AL$1,2),""),VLOOKUP($D288,素材!$1:$1016,COLUMN($F$1),FALSE))),VLOOKUP($C288,装備品!$1:$998,COLUMN($O$1),FALSE)*VLOOKUP($D288,素材!$1:$1016,COLUMN($E$1),FALSE)/(LEN(VLOOKUP($D288,素材!$1:$1016,COLUMN($F$1),FALSE))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M288">
        <f>IF(ISNUMBER(SEARCH(SUBSTITUTE(AM$1,RIGHT(AM$1,2),""),VLOOKUP($D288,素材!$1:$1016,COLUMN($F$1),FALSE))),VLOOKUP($C288,装備品!$1:$998,COLUMN($O$1),FALSE)*VLOOKUP($D288,素材!$1:$1016,COLUMN($E$1),FALSE)/(LEN(VLOOKUP($D288,素材!$1:$1016,COLUMN($F$1),FALSE))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N288">
        <f>IF(ISNUMBER(SEARCH(SUBSTITUTE(AN$1,RIGHT(AN$1,2),""),VLOOKUP($D288,素材!$1:$1016,COLUMN($F$1),FALSE))),VLOOKUP($C288,装備品!$1:$998,COLUMN($O$1),FALSE)*VLOOKUP($D288,素材!$1:$1016,COLUMN($E$1),FALSE)/(LEN(VLOOKUP($D288,素材!$1:$1016,COLUMN($F$1),FALSE))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O288">
        <f>IF(ISNUMBER(SEARCH(SUBSTITUTE(AO$1,RIGHT(AO$1,2),""),VLOOKUP($D288,素材!$1:$1016,COLUMN($F$1),FALSE))),VLOOKUP($C288,装備品!$1:$998,COLUMN($O$1),FALSE)*VLOOKUP($D288,素材!$1:$1016,COLUMN($E$1),FALSE)/(LEN(VLOOKUP($D288,素材!$1:$1016,COLUMN($F$1),FALSE))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P288">
        <f>IF(ISNUMBER(SEARCH(SUBSTITUTE(AP$1,RIGHT(AP$1,2),""),VLOOKUP($D288,素材!$1:$1016,COLUMN($F$1),FALSE))),VLOOKUP($C288,装備品!$1:$998,COLUMN($O$1),FALSE)*VLOOKUP($D288,素材!$1:$1016,COLUMN($E$1),FALSE)/(LEN(VLOOKUP($D288,素材!$1:$1016,COLUMN($F$1),FALSE))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Q288">
        <f>IF(ISNUMBER(SEARCH(SUBSTITUTE(AQ$1,RIGHT(AQ$1,2),""),VLOOKUP($D288,素材!$1:$1016,COLUMN($F$1),FALSE))),VLOOKUP($C288,装備品!$1:$998,COLUMN($O$1),FALSE)*VLOOKUP($D288,素材!$1:$1016,COLUMN($E$1),FALSE)/(LEN(VLOOKUP($D288,素材!$1:$1016,COLUMN($F$1),FALSE))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R288">
        <f>IF(ISNUMBER(SEARCH(SUBSTITUTE(AR$1,RIGHT(AR$1,2),""),VLOOKUP($D288,素材!$1:$1016,COLUMN($F$1),FALSE))),VLOOKUP($C288,装備品!$1:$998,COLUMN($O$1),FALSE)*VLOOKUP($D288,素材!$1:$1016,COLUMN($E$1),FALSE)/(LEN(VLOOKUP($D288,素材!$1:$1016,COLUMN($F$1),FALSE))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S288">
        <f>IF(ISNUMBER(SEARCH(SUBSTITUTE(AS$1,RIGHT(AS$1,2),""),VLOOKUP($D288,素材!$1:$1016,COLUMN($F$1),FALSE))),VLOOKUP($C288,装備品!$1:$998,COLUMN($O$1),FALSE)*VLOOKUP($D288,素材!$1:$1016,COLUMN($E$1),FALSE)/(LEN(VLOOKUP($D288,素材!$1:$1016,COLUMN($F$1),FALSE))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T288">
        <f>IF(ISNUMBER(SEARCH(SUBSTITUTE(AT$1,RIGHT(AT$1,2),""),VLOOKUP($D288,素材!$1:$1016,COLUMN($F$1),FALSE))),VLOOKUP($C288,装備品!$1:$998,COLUMN($O$1),FALSE)*VLOOKUP($D288,素材!$1:$1016,COLUMN($E$1),FALSE)/(LEN(VLOOKUP($D288,素材!$1:$1016,COLUMN($F$1),FALSE))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U288">
        <f>IF(ISNUMBER(SEARCH(SUBSTITUTE(AU$1,RIGHT(AU$1,2),""),VLOOKUP($D288,素材!$1:$1016,COLUMN($F$1),FALSE))),VLOOKUP($C288,装備品!$1:$998,COLUMN($O$1),FALSE)*VLOOKUP($D288,素材!$1:$1016,COLUMN($E$1),FALSE)/(LEN(VLOOKUP($D288,素材!$1:$1016,COLUMN($F$1),FALSE))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V288">
        <f>IF(ISNUMBER(SEARCH(SUBSTITUTE(AV$1,RIGHT(AV$1,2),""),VLOOKUP($D288,素材!$1:$1016,COLUMN($F$1),FALSE))),VLOOKUP($C288,装備品!$1:$998,COLUMN($O$1),FALSE)*VLOOKUP($D288,素材!$1:$1016,COLUMN($E$1),FALSE)/(LEN(VLOOKUP($D288,素材!$1:$1016,COLUMN($F$1),FALSE))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W288">
        <f>IF(ISNUMBER(SEARCH(SUBSTITUTE(AW$1,RIGHT(AW$1,2),""),VLOOKUP($D288,素材!$1:$1016,COLUMN($F$1),FALSE))),VLOOKUP($C288,装備品!$1:$998,COLUMN($O$1),FALSE)*VLOOKUP($D288,素材!$1:$1016,COLUMN($E$1),FALSE)/(LEN(VLOOKUP($D288,素材!$1:$1016,COLUMN($F$1),FALSE))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X288">
        <f>IF(ISNUMBER(SEARCH(SUBSTITUTE(AX$1,RIGHT(AX$1,2),""),VLOOKUP($D288,素材!$1:$1016,COLUMN($F$1),FALSE))),VLOOKUP($C288,装備品!$1:$998,COLUMN($O$1),FALSE)*VLOOKUP($D288,素材!$1:$1016,COLUMN($E$1),FALSE)/(LEN(VLOOKUP($D288,素材!$1:$1016,COLUMN($F$1),FALSE))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Y288">
        <f>IF(ISNUMBER(SEARCH(SUBSTITUTE(AY$1,RIGHT(AY$1,2),""),VLOOKUP($D288,素材!$1:$1016,COLUMN($F$1),FALSE))),VLOOKUP($C288,装備品!$1:$998,COLUMN($O$1),FALSE)*VLOOKUP($D288,素材!$1:$1016,COLUMN($E$1),FALSE)/(LEN(VLOOKUP($D288,素材!$1:$1016,COLUMN($F$1),FALSE))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Z288">
        <f>IF(ISNUMBER(SEARCH(SUBSTITUTE(AZ$1,RIGHT(AZ$1,2),""),VLOOKUP($D288,素材!$1:$1016,COLUMN($F$1),FALSE))),VLOOKUP($C288,装備品!$1:$998,COLUMN($O$1),FALSE)*VLOOKUP($D288,素材!$1:$1016,COLUMN($E$1),FALSE)/(LEN(VLOOKUP($D288,素材!$1:$1016,COLUMN($F$1),FALSE))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BA288">
        <f>IF(ISNUMBER(SEARCH(SUBSTITUTE(BA$1,RIGHT(BA$1,2),""),VLOOKUP($D288,素材!$1:$1016,COLUMN($F$1),FALSE))),VLOOKUP($C288,装備品!$1:$998,COLUMN($O$1),FALSE)*VLOOKUP($D288,素材!$1:$1016,COLUMN($E$1),FALSE)/(LEN(VLOOKUP($D288,素材!$1:$1016,COLUMN($F$1),FALSE))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BB288">
        <f>IF(ISNUMBER(SEARCH(SUBSTITUTE(BB$1,RIGHT(BB$1,2),""),VLOOKUP($D288,素材!$1:$1016,COLUMN($F$1),FALSE))),VLOOKUP($C288,装備品!$1:$998,COLUMN($O$1),FALSE)*VLOOKUP($D288,素材!$1:$1016,COLUMN($E$1),FALSE)/(LEN(VLOOKUP($D288,素材!$1:$1016,COLUMN($F$1),FALSE))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BC288">
        <f>IF(ISNUMBER(SEARCH(SUBSTITUTE(BC$1,RIGHT(BC$1,2),""),VLOOKUP($D288,素材!$1:$1016,COLUMN($F$1),FALSE))),VLOOKUP($C288,装備品!$1:$998,COLUMN($O$1),FALSE)*VLOOKUP($D288,素材!$1:$1016,COLUMN($E$1),FALSE)/(LEN(VLOOKUP($D288,素材!$1:$1016,COLUMN($F$1),FALSE))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BD288">
        <f>IF(ISNUMBER(SEARCH(SUBSTITUTE(BD$1,RIGHT(BD$1,2),""),VLOOKUP($D288,素材!$1:$1016,COLUMN($F$1),FALSE))),VLOOKUP($C288,装備品!$1:$998,COLUMN($O$1),FALSE)*VLOOKUP($D288,素材!$1:$1016,COLUMN($E$1),FALSE)/(LEN(VLOOKUP($D288,素材!$1:$1016,COLUMN($F$1),FALSE))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BE288">
        <f>IF(ISNUMBER(SEARCH(SUBSTITUTE(BE$1,RIGHT(BE$1,2),""),VLOOKUP($D288,素材!$1:$1016,COLUMN($F$1),FALSE))),VLOOKUP($C288,装備品!$1:$998,COLUMN($O$1),FALSE)*VLOOKUP($D288,素材!$1:$1016,COLUMN($E$1),FALSE)/(LEN(VLOOKUP($D288,素材!$1:$1016,COLUMN($F$1),FALSE))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CL288">
        <f t="shared" si="41"/>
        <v>0</v>
      </c>
      <c r="CM288" s="22" t="str">
        <f t="shared" si="42"/>
        <v>.webp</v>
      </c>
      <c r="CN288" t="str">
        <f>IFERROR(VLOOKUP($C288,装備品!$1:$998,COLUMN(V$1),FALSE)*VLOOKUP($D288,素材!$1:$1016,COLUMN(N$1),FALSE)+IF(CI288="",0,VLOOKUP($CI288,付与!$1:$1176,COLUMN($CK$1),FALSE)),"")</f>
        <v/>
      </c>
      <c r="CO288" t="e">
        <f>VLOOKUP(D288,素材!$A:$O,COLUMN(素材!O$1),FALSE)</f>
        <v>#N/A</v>
      </c>
      <c r="CP288" t="e">
        <f>VLOOKUP(C288,装備品!$A:$AB,COLUMN(装備品!AB$1),FALSE)</f>
        <v>#N/A</v>
      </c>
      <c r="CR288" t="str">
        <f t="shared" si="43"/>
        <v>e_288</v>
      </c>
      <c r="CS288" t="e">
        <f t="shared" si="44"/>
        <v>#VALUE!</v>
      </c>
    </row>
    <row r="289" spans="1:97" hidden="1" outlineLevel="1" x14ac:dyDescent="0.4">
      <c r="A289" t="str">
        <f t="shared" si="45"/>
        <v>の</v>
      </c>
      <c r="B289" t="str">
        <f>IFERROR(IF(CI289="",VLOOKUP($D289,素材!$1:$1016,COLUMN($B$1),FALSE)&amp;"・"&amp;VLOOKUP($C289,装備品!$1:$998,COLUMN(B$1),FALSE),VLOOKUP($CI289,付与!$1:$1176,COLUMN($B$1),FALSE)&amp;"・"&amp;VLOOKUP($C289,装備品!$1:$998,COLUMN(B$1),FALSE)),"")</f>
        <v/>
      </c>
      <c r="C289" s="24"/>
      <c r="D289" s="24"/>
      <c r="E289" t="str">
        <f>IFERROR(VLOOKUP(C289,装備品!$1:$998,COLUMN(C$1),FALSE),"")</f>
        <v/>
      </c>
      <c r="F289" t="str">
        <f>IFERROR(ROUNDDOWN((VLOOKUP($C289,装備品!$1:$998,COLUMN(D$1),FALSE)+IFERROR(VLOOKUP($CI289,付与!$1:$1167,COLUMN(F$1),FALSE),0))*VLOOKUP($D289,素材!$1:$1016,COLUMN(D$1),FALSE),0),"")</f>
        <v/>
      </c>
      <c r="G289" t="str">
        <f>IFERROR(ROUNDDOWN((VLOOKUP($C289,装備品!$1:$998,COLUMN(E$1),FALSE)+IFERROR(VLOOKUP($CI289,付与!$1:$1167,COLUMN(G$1),FALSE),0))*VLOOKUP($D289,素材!$1:$1016,COLUMN($E$1),FALSE),0),"")</f>
        <v/>
      </c>
      <c r="H289" t="str">
        <f>IFERROR(ROUNDDOWN((VLOOKUP($C289,装備品!$1:$998,COLUMN(F$1),FALSE)+IFERROR(VLOOKUP($CI289,付与!$1:$1167,COLUMN(H$1),FALSE),0))*VLOOKUP($D289,素材!$1:$1016,COLUMN($E$1),FALSE),0),"")</f>
        <v/>
      </c>
      <c r="I289" t="str">
        <f>IFERROR(ROUNDDOWN((VLOOKUP($C289,装備品!$1:$998,COLUMN(G$1),FALSE)+IFERROR(VLOOKUP($CI289,付与!$1:$1167,COLUMN(I$1),FALSE),0))*VLOOKUP($D289,素材!$1:$1016,COLUMN($E$1),FALSE),0),"")</f>
        <v/>
      </c>
      <c r="J289" t="str">
        <f>IFERROR(ROUNDDOWN((VLOOKUP($C289,装備品!$1:$998,COLUMN(H$1),FALSE)+IFERROR(VLOOKUP($CI289,付与!$1:$1167,COLUMN(J$1),FALSE),0))*VLOOKUP($D289,素材!$1:$1016,COLUMN($E$1),FALSE),0),"")</f>
        <v/>
      </c>
      <c r="K289" t="str">
        <f>IFERROR(ROUNDDOWN((VLOOKUP($C289,装備品!$1:$998,COLUMN(I$1),FALSE)+IFERROR(VLOOKUP($CI289,付与!$1:$1167,COLUMN(K$1),FALSE),0))*VLOOKUP($D289,素材!$1:$1016,COLUMN($E$1),FALSE),0),"")</f>
        <v/>
      </c>
      <c r="L289" t="str">
        <f>IFERROR(VLOOKUP($D289,素材!$1:$1016,COLUMN($F$1),FALSE),"")</f>
        <v/>
      </c>
      <c r="M289" t="str">
        <f>IFERROR(VLOOKUP($C289,装備品!$1:$998,COLUMN(AA$1),FALSE)*VLOOKUP($D289,素材!$1:$1016,COLUMN($G$1),FALSE),"")</f>
        <v/>
      </c>
      <c r="N289" t="str">
        <f>IFERROR(VLOOKUP($C289,装備品!$1:$998,COLUMN(I$1),FALSE),"")</f>
        <v/>
      </c>
      <c r="O289" s="23" t="str">
        <f>IFERROR((VLOOKUP($C289,装備品!$1:$998,COLUMN(K$1),FALSE)+VLOOKUP($D289,素材!$1:$1016,COLUMN(H$1),FALSE))*100+IFERROR(VLOOKUP($CI289,付与!$1:$1167,COLUMN(O$1),FALSE),0),"")</f>
        <v/>
      </c>
      <c r="P289" s="23" t="str">
        <f>IFERROR((VLOOKUP($C289,装備品!$1:$998,COLUMN(L$1),FALSE)+VLOOKUP($D289,素材!$1:$1016,COLUMN(I$1),FALSE))*100+IFERROR(VLOOKUP($CI289,付与!$1:$1167,COLUMN(P$1),FALSE),0),"")</f>
        <v/>
      </c>
      <c r="Q289" t="str">
        <f>IFERROR(ROUNDUP(VLOOKUP($C289,装備品!$1:$998,COLUMN(M$1),FALSE)*(VLOOKUP($D289,素材!$1:$1002,COLUMN(D$1),FALSE)/100),1),"")</f>
        <v/>
      </c>
      <c r="R289" t="str">
        <f>IFERROR(ROUNDUP(VLOOKUP($C289,装備品!$1:$998,COLUMN(N$1),FALSE)*(VLOOKUP($D289,素材!$1:$1002,COLUMN(D$1),FALSE)/100),1),"")</f>
        <v/>
      </c>
      <c r="S289" t="str">
        <f>IFERROR(VLOOKUP($C289,装備品!$1:$998,COLUMN(P$1),FALSE),"")</f>
        <v/>
      </c>
      <c r="T289" t="str">
        <f>IFERROR(VLOOKUP($C289,装備品!$1:$998,COLUMN(Q$1),FALSE),"")</f>
        <v/>
      </c>
      <c r="U289" t="str">
        <f>IFERROR(VLOOKUP($C289,装備品!$1:$998,COLUMN(R$1),FALSE),"")</f>
        <v/>
      </c>
      <c r="V289" t="str">
        <f>IFERROR(VLOOKUP($C289,装備品!$1:$998,COLUMN(Q$1),FALSE),"")</f>
        <v/>
      </c>
      <c r="W289" t="str">
        <f>IFERROR(VLOOKUP($C289,装備品!$1:$998,COLUMN(T$1),FALSE),"")</f>
        <v/>
      </c>
      <c r="Y289" t="str">
        <f>IFERROR(VLOOKUP($C289,装備品!$1:$998,COLUMN(U$1),FALSE),"")</f>
        <v/>
      </c>
      <c r="Z289" t="str">
        <f>IFERROR(ROUNDUP(VLOOKUP($C289,装備品!$1:$998,COLUMN(O$1),FALSE)*VLOOKUP($D289,素材!$1:$1016,COLUMN(E$1),FALSE),1),"")</f>
        <v/>
      </c>
      <c r="AA289">
        <f>IF(ISNUMBER(SEARCH(SUBSTITUTE(AA$1,RIGHT(AA$1,2),""),VLOOKUP($D289,素材!$1:$1016,COLUMN($F$1),FALSE))),VLOOKUP($C289,装備品!$1:$998,COLUMN($O$1),FALSE)*VLOOKUP($D289,素材!$1:$1016,COLUMN($E$1),FALSE)/(LEN(VLOOKUP($D289,素材!$1:$1016,COLUMN($F$1),FALSE))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B289">
        <f>IF(ISNUMBER(SEARCH(SUBSTITUTE(AB$1,RIGHT(AB$1,2),""),VLOOKUP($D289,素材!$1:$1016,COLUMN($F$1),FALSE))),VLOOKUP($C289,装備品!$1:$998,COLUMN($O$1),FALSE)*VLOOKUP($D289,素材!$1:$1016,COLUMN($E$1),FALSE)/(LEN(VLOOKUP($D289,素材!$1:$1016,COLUMN($F$1),FALSE))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C289">
        <f>IF(ISNUMBER(SEARCH(SUBSTITUTE(AC$1,RIGHT(AC$1,2),""),VLOOKUP($D289,素材!$1:$1016,COLUMN($F$1),FALSE))),VLOOKUP($C289,装備品!$1:$998,COLUMN($O$1),FALSE)*VLOOKUP($D289,素材!$1:$1016,COLUMN($E$1),FALSE)/(LEN(VLOOKUP($D289,素材!$1:$1016,COLUMN($F$1),FALSE))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D289">
        <f>IF(ISNUMBER(SEARCH(SUBSTITUTE(AD$1,RIGHT(AD$1,2),""),VLOOKUP($D289,素材!$1:$1016,COLUMN($F$1),FALSE))),VLOOKUP($C289,装備品!$1:$998,COLUMN($O$1),FALSE)*VLOOKUP($D289,素材!$1:$1016,COLUMN($E$1),FALSE)/(LEN(VLOOKUP($D289,素材!$1:$1016,COLUMN($F$1),FALSE))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E289">
        <f>IF(ISNUMBER(SEARCH(SUBSTITUTE(AE$1,RIGHT(AE$1,2),""),VLOOKUP($D289,素材!$1:$1016,COLUMN($F$1),FALSE))),VLOOKUP($C289,装備品!$1:$998,COLUMN($O$1),FALSE)*VLOOKUP($D289,素材!$1:$1016,COLUMN($E$1),FALSE)/(LEN(VLOOKUP($D289,素材!$1:$1016,COLUMN($F$1),FALSE))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F289">
        <f>IF(ISNUMBER(SEARCH(SUBSTITUTE(AF$1,RIGHT(AF$1,2),""),VLOOKUP($D289,素材!$1:$1016,COLUMN($F$1),FALSE))),VLOOKUP($C289,装備品!$1:$998,COLUMN($O$1),FALSE)*VLOOKUP($D289,素材!$1:$1016,COLUMN($E$1),FALSE)/(LEN(VLOOKUP($D289,素材!$1:$1016,COLUMN($F$1),FALSE))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G289">
        <f>IF(ISNUMBER(SEARCH(SUBSTITUTE(AG$1,RIGHT(AG$1,2),""),VLOOKUP($D289,素材!$1:$1016,COLUMN($F$1),FALSE))),VLOOKUP($C289,装備品!$1:$998,COLUMN($O$1),FALSE)*VLOOKUP($D289,素材!$1:$1016,COLUMN($E$1),FALSE)/(LEN(VLOOKUP($D289,素材!$1:$1016,COLUMN($F$1),FALSE))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H289">
        <f>IF(ISNUMBER(SEARCH(SUBSTITUTE(AH$1,RIGHT(AH$1,2),""),VLOOKUP($D289,素材!$1:$1016,COLUMN($F$1),FALSE))),VLOOKUP($C289,装備品!$1:$998,COLUMN($O$1),FALSE)*VLOOKUP($D289,素材!$1:$1016,COLUMN($E$1),FALSE)/(LEN(VLOOKUP($D289,素材!$1:$1016,COLUMN($F$1),FALSE))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I289">
        <f>IF(ISNUMBER(SEARCH(SUBSTITUTE(AI$1,RIGHT(AI$1,2),""),VLOOKUP($D289,素材!$1:$1016,COLUMN($F$1),FALSE))),VLOOKUP($C289,装備品!$1:$998,COLUMN($O$1),FALSE)*VLOOKUP($D289,素材!$1:$1016,COLUMN($E$1),FALSE)/(LEN(VLOOKUP($D289,素材!$1:$1016,COLUMN($F$1),FALSE))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J289">
        <f>IF(ISNUMBER(SEARCH(SUBSTITUTE(AJ$1,RIGHT(AJ$1,2),""),VLOOKUP($D289,素材!$1:$1016,COLUMN($F$1),FALSE))),VLOOKUP($C289,装備品!$1:$998,COLUMN($O$1),FALSE)*VLOOKUP($D289,素材!$1:$1016,COLUMN($E$1),FALSE)/(LEN(VLOOKUP($D289,素材!$1:$1016,COLUMN($F$1),FALSE))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K289">
        <f>IF(ISNUMBER(SEARCH(SUBSTITUTE(AK$1,RIGHT(AK$1,2),""),VLOOKUP($D289,素材!$1:$1016,COLUMN($F$1),FALSE))),VLOOKUP($C289,装備品!$1:$998,COLUMN($O$1),FALSE)*VLOOKUP($D289,素材!$1:$1016,COLUMN($E$1),FALSE)/(LEN(VLOOKUP($D289,素材!$1:$1016,COLUMN($F$1),FALSE))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L289">
        <f>IF(ISNUMBER(SEARCH(SUBSTITUTE(AL$1,RIGHT(AL$1,2),""),VLOOKUP($D289,素材!$1:$1016,COLUMN($F$1),FALSE))),VLOOKUP($C289,装備品!$1:$998,COLUMN($O$1),FALSE)*VLOOKUP($D289,素材!$1:$1016,COLUMN($E$1),FALSE)/(LEN(VLOOKUP($D289,素材!$1:$1016,COLUMN($F$1),FALSE))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M289">
        <f>IF(ISNUMBER(SEARCH(SUBSTITUTE(AM$1,RIGHT(AM$1,2),""),VLOOKUP($D289,素材!$1:$1016,COLUMN($F$1),FALSE))),VLOOKUP($C289,装備品!$1:$998,COLUMN($O$1),FALSE)*VLOOKUP($D289,素材!$1:$1016,COLUMN($E$1),FALSE)/(LEN(VLOOKUP($D289,素材!$1:$1016,COLUMN($F$1),FALSE))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N289">
        <f>IF(ISNUMBER(SEARCH(SUBSTITUTE(AN$1,RIGHT(AN$1,2),""),VLOOKUP($D289,素材!$1:$1016,COLUMN($F$1),FALSE))),VLOOKUP($C289,装備品!$1:$998,COLUMN($O$1),FALSE)*VLOOKUP($D289,素材!$1:$1016,COLUMN($E$1),FALSE)/(LEN(VLOOKUP($D289,素材!$1:$1016,COLUMN($F$1),FALSE))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O289">
        <f>IF(ISNUMBER(SEARCH(SUBSTITUTE(AO$1,RIGHT(AO$1,2),""),VLOOKUP($D289,素材!$1:$1016,COLUMN($F$1),FALSE))),VLOOKUP($C289,装備品!$1:$998,COLUMN($O$1),FALSE)*VLOOKUP($D289,素材!$1:$1016,COLUMN($E$1),FALSE)/(LEN(VLOOKUP($D289,素材!$1:$1016,COLUMN($F$1),FALSE))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P289">
        <f>IF(ISNUMBER(SEARCH(SUBSTITUTE(AP$1,RIGHT(AP$1,2),""),VLOOKUP($D289,素材!$1:$1016,COLUMN($F$1),FALSE))),VLOOKUP($C289,装備品!$1:$998,COLUMN($O$1),FALSE)*VLOOKUP($D289,素材!$1:$1016,COLUMN($E$1),FALSE)/(LEN(VLOOKUP($D289,素材!$1:$1016,COLUMN($F$1),FALSE))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Q289">
        <f>IF(ISNUMBER(SEARCH(SUBSTITUTE(AQ$1,RIGHT(AQ$1,2),""),VLOOKUP($D289,素材!$1:$1016,COLUMN($F$1),FALSE))),VLOOKUP($C289,装備品!$1:$998,COLUMN($O$1),FALSE)*VLOOKUP($D289,素材!$1:$1016,COLUMN($E$1),FALSE)/(LEN(VLOOKUP($D289,素材!$1:$1016,COLUMN($F$1),FALSE))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R289">
        <f>IF(ISNUMBER(SEARCH(SUBSTITUTE(AR$1,RIGHT(AR$1,2),""),VLOOKUP($D289,素材!$1:$1016,COLUMN($F$1),FALSE))),VLOOKUP($C289,装備品!$1:$998,COLUMN($O$1),FALSE)*VLOOKUP($D289,素材!$1:$1016,COLUMN($E$1),FALSE)/(LEN(VLOOKUP($D289,素材!$1:$1016,COLUMN($F$1),FALSE))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S289">
        <f>IF(ISNUMBER(SEARCH(SUBSTITUTE(AS$1,RIGHT(AS$1,2),""),VLOOKUP($D289,素材!$1:$1016,COLUMN($F$1),FALSE))),VLOOKUP($C289,装備品!$1:$998,COLUMN($O$1),FALSE)*VLOOKUP($D289,素材!$1:$1016,COLUMN($E$1),FALSE)/(LEN(VLOOKUP($D289,素材!$1:$1016,COLUMN($F$1),FALSE))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T289">
        <f>IF(ISNUMBER(SEARCH(SUBSTITUTE(AT$1,RIGHT(AT$1,2),""),VLOOKUP($D289,素材!$1:$1016,COLUMN($F$1),FALSE))),VLOOKUP($C289,装備品!$1:$998,COLUMN($O$1),FALSE)*VLOOKUP($D289,素材!$1:$1016,COLUMN($E$1),FALSE)/(LEN(VLOOKUP($D289,素材!$1:$1016,COLUMN($F$1),FALSE))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U289">
        <f>IF(ISNUMBER(SEARCH(SUBSTITUTE(AU$1,RIGHT(AU$1,2),""),VLOOKUP($D289,素材!$1:$1016,COLUMN($F$1),FALSE))),VLOOKUP($C289,装備品!$1:$998,COLUMN($O$1),FALSE)*VLOOKUP($D289,素材!$1:$1016,COLUMN($E$1),FALSE)/(LEN(VLOOKUP($D289,素材!$1:$1016,COLUMN($F$1),FALSE))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V289">
        <f>IF(ISNUMBER(SEARCH(SUBSTITUTE(AV$1,RIGHT(AV$1,2),""),VLOOKUP($D289,素材!$1:$1016,COLUMN($F$1),FALSE))),VLOOKUP($C289,装備品!$1:$998,COLUMN($O$1),FALSE)*VLOOKUP($D289,素材!$1:$1016,COLUMN($E$1),FALSE)/(LEN(VLOOKUP($D289,素材!$1:$1016,COLUMN($F$1),FALSE))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W289">
        <f>IF(ISNUMBER(SEARCH(SUBSTITUTE(AW$1,RIGHT(AW$1,2),""),VLOOKUP($D289,素材!$1:$1016,COLUMN($F$1),FALSE))),VLOOKUP($C289,装備品!$1:$998,COLUMN($O$1),FALSE)*VLOOKUP($D289,素材!$1:$1016,COLUMN($E$1),FALSE)/(LEN(VLOOKUP($D289,素材!$1:$1016,COLUMN($F$1),FALSE))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X289">
        <f>IF(ISNUMBER(SEARCH(SUBSTITUTE(AX$1,RIGHT(AX$1,2),""),VLOOKUP($D289,素材!$1:$1016,COLUMN($F$1),FALSE))),VLOOKUP($C289,装備品!$1:$998,COLUMN($O$1),FALSE)*VLOOKUP($D289,素材!$1:$1016,COLUMN($E$1),FALSE)/(LEN(VLOOKUP($D289,素材!$1:$1016,COLUMN($F$1),FALSE))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Y289">
        <f>IF(ISNUMBER(SEARCH(SUBSTITUTE(AY$1,RIGHT(AY$1,2),""),VLOOKUP($D289,素材!$1:$1016,COLUMN($F$1),FALSE))),VLOOKUP($C289,装備品!$1:$998,COLUMN($O$1),FALSE)*VLOOKUP($D289,素材!$1:$1016,COLUMN($E$1),FALSE)/(LEN(VLOOKUP($D289,素材!$1:$1016,COLUMN($F$1),FALSE))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Z289">
        <f>IF(ISNUMBER(SEARCH(SUBSTITUTE(AZ$1,RIGHT(AZ$1,2),""),VLOOKUP($D289,素材!$1:$1016,COLUMN($F$1),FALSE))),VLOOKUP($C289,装備品!$1:$998,COLUMN($O$1),FALSE)*VLOOKUP($D289,素材!$1:$1016,COLUMN($E$1),FALSE)/(LEN(VLOOKUP($D289,素材!$1:$1016,COLUMN($F$1),FALSE))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BA289">
        <f>IF(ISNUMBER(SEARCH(SUBSTITUTE(BA$1,RIGHT(BA$1,2),""),VLOOKUP($D289,素材!$1:$1016,COLUMN($F$1),FALSE))),VLOOKUP($C289,装備品!$1:$998,COLUMN($O$1),FALSE)*VLOOKUP($D289,素材!$1:$1016,COLUMN($E$1),FALSE)/(LEN(VLOOKUP($D289,素材!$1:$1016,COLUMN($F$1),FALSE))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BB289">
        <f>IF(ISNUMBER(SEARCH(SUBSTITUTE(BB$1,RIGHT(BB$1,2),""),VLOOKUP($D289,素材!$1:$1016,COLUMN($F$1),FALSE))),VLOOKUP($C289,装備品!$1:$998,COLUMN($O$1),FALSE)*VLOOKUP($D289,素材!$1:$1016,COLUMN($E$1),FALSE)/(LEN(VLOOKUP($D289,素材!$1:$1016,COLUMN($F$1),FALSE))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BC289">
        <f>IF(ISNUMBER(SEARCH(SUBSTITUTE(BC$1,RIGHT(BC$1,2),""),VLOOKUP($D289,素材!$1:$1016,COLUMN($F$1),FALSE))),VLOOKUP($C289,装備品!$1:$998,COLUMN($O$1),FALSE)*VLOOKUP($D289,素材!$1:$1016,COLUMN($E$1),FALSE)/(LEN(VLOOKUP($D289,素材!$1:$1016,COLUMN($F$1),FALSE))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BD289">
        <f>IF(ISNUMBER(SEARCH(SUBSTITUTE(BD$1,RIGHT(BD$1,2),""),VLOOKUP($D289,素材!$1:$1016,COLUMN($F$1),FALSE))),VLOOKUP($C289,装備品!$1:$998,COLUMN($O$1),FALSE)*VLOOKUP($D289,素材!$1:$1016,COLUMN($E$1),FALSE)/(LEN(VLOOKUP($D289,素材!$1:$1016,COLUMN($F$1),FALSE))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BE289">
        <f>IF(ISNUMBER(SEARCH(SUBSTITUTE(BE$1,RIGHT(BE$1,2),""),VLOOKUP($D289,素材!$1:$1016,COLUMN($F$1),FALSE))),VLOOKUP($C289,装備品!$1:$998,COLUMN($O$1),FALSE)*VLOOKUP($D289,素材!$1:$1016,COLUMN($E$1),FALSE)/(LEN(VLOOKUP($D289,素材!$1:$1016,COLUMN($F$1),FALSE))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CL289">
        <f t="shared" si="41"/>
        <v>0</v>
      </c>
      <c r="CM289" s="22" t="str">
        <f t="shared" si="42"/>
        <v>.webp</v>
      </c>
      <c r="CN289" t="str">
        <f>IFERROR(VLOOKUP($C289,装備品!$1:$998,COLUMN(V$1),FALSE)*VLOOKUP($D289,素材!$1:$1016,COLUMN(N$1),FALSE)+IF(CI289="",0,VLOOKUP($CI289,付与!$1:$1176,COLUMN($CK$1),FALSE)),"")</f>
        <v/>
      </c>
      <c r="CO289" t="e">
        <f>VLOOKUP(D289,素材!$A:$O,COLUMN(素材!O$1),FALSE)</f>
        <v>#N/A</v>
      </c>
      <c r="CP289" t="e">
        <f>VLOOKUP(C289,装備品!$A:$AB,COLUMN(装備品!AB$1),FALSE)</f>
        <v>#N/A</v>
      </c>
      <c r="CR289" t="str">
        <f t="shared" si="43"/>
        <v>e_289</v>
      </c>
      <c r="CS289" t="e">
        <f t="shared" si="44"/>
        <v>#VALUE!</v>
      </c>
    </row>
    <row r="290" spans="1:97" hidden="1" outlineLevel="1" x14ac:dyDescent="0.4">
      <c r="A290" t="str">
        <f t="shared" si="45"/>
        <v>の</v>
      </c>
      <c r="B290" t="str">
        <f>IFERROR(IF(CI290="",VLOOKUP($D290,素材!$1:$1016,COLUMN($B$1),FALSE)&amp;"・"&amp;VLOOKUP($C290,装備品!$1:$998,COLUMN(B$1),FALSE),VLOOKUP($CI290,付与!$1:$1176,COLUMN($B$1),FALSE)&amp;"・"&amp;VLOOKUP($C290,装備品!$1:$998,COLUMN(B$1),FALSE)),"")</f>
        <v/>
      </c>
      <c r="C290" s="24"/>
      <c r="D290" s="24"/>
      <c r="E290" t="str">
        <f>IFERROR(VLOOKUP(C290,装備品!$1:$998,COLUMN(C$1),FALSE),"")</f>
        <v/>
      </c>
      <c r="F290" t="str">
        <f>IFERROR(ROUNDDOWN((VLOOKUP($C290,装備品!$1:$998,COLUMN(D$1),FALSE)+IFERROR(VLOOKUP($CI290,付与!$1:$1167,COLUMN(F$1),FALSE),0))*VLOOKUP($D290,素材!$1:$1016,COLUMN(D$1),FALSE),0),"")</f>
        <v/>
      </c>
      <c r="G290" t="str">
        <f>IFERROR(ROUNDDOWN((VLOOKUP($C290,装備品!$1:$998,COLUMN(E$1),FALSE)+IFERROR(VLOOKUP($CI290,付与!$1:$1167,COLUMN(G$1),FALSE),0))*VLOOKUP($D290,素材!$1:$1016,COLUMN($E$1),FALSE),0),"")</f>
        <v/>
      </c>
      <c r="H290" t="str">
        <f>IFERROR(ROUNDDOWN((VLOOKUP($C290,装備品!$1:$998,COLUMN(F$1),FALSE)+IFERROR(VLOOKUP($CI290,付与!$1:$1167,COLUMN(H$1),FALSE),0))*VLOOKUP($D290,素材!$1:$1016,COLUMN($E$1),FALSE),0),"")</f>
        <v/>
      </c>
      <c r="I290" t="str">
        <f>IFERROR(ROUNDDOWN((VLOOKUP($C290,装備品!$1:$998,COLUMN(G$1),FALSE)+IFERROR(VLOOKUP($CI290,付与!$1:$1167,COLUMN(I$1),FALSE),0))*VLOOKUP($D290,素材!$1:$1016,COLUMN($E$1),FALSE),0),"")</f>
        <v/>
      </c>
      <c r="J290" t="str">
        <f>IFERROR(ROUNDDOWN((VLOOKUP($C290,装備品!$1:$998,COLUMN(H$1),FALSE)+IFERROR(VLOOKUP($CI290,付与!$1:$1167,COLUMN(J$1),FALSE),0))*VLOOKUP($D290,素材!$1:$1016,COLUMN($E$1),FALSE),0),"")</f>
        <v/>
      </c>
      <c r="K290" t="str">
        <f>IFERROR(ROUNDDOWN((VLOOKUP($C290,装備品!$1:$998,COLUMN(I$1),FALSE)+IFERROR(VLOOKUP($CI290,付与!$1:$1167,COLUMN(K$1),FALSE),0))*VLOOKUP($D290,素材!$1:$1016,COLUMN($E$1),FALSE),0),"")</f>
        <v/>
      </c>
      <c r="L290" t="str">
        <f>IFERROR(VLOOKUP($D290,素材!$1:$1016,COLUMN($F$1),FALSE),"")</f>
        <v/>
      </c>
      <c r="M290" t="str">
        <f>IFERROR(VLOOKUP($C290,装備品!$1:$998,COLUMN(AA$1),FALSE)*VLOOKUP($D290,素材!$1:$1016,COLUMN($G$1),FALSE),"")</f>
        <v/>
      </c>
      <c r="N290" t="str">
        <f>IFERROR(VLOOKUP($C290,装備品!$1:$998,COLUMN(I$1),FALSE),"")</f>
        <v/>
      </c>
      <c r="O290" s="23" t="str">
        <f>IFERROR((VLOOKUP($C290,装備品!$1:$998,COLUMN(K$1),FALSE)+VLOOKUP($D290,素材!$1:$1016,COLUMN(H$1),FALSE))*100+IFERROR(VLOOKUP($CI290,付与!$1:$1167,COLUMN(O$1),FALSE),0),"")</f>
        <v/>
      </c>
      <c r="P290" s="23" t="str">
        <f>IFERROR((VLOOKUP($C290,装備品!$1:$998,COLUMN(L$1),FALSE)+VLOOKUP($D290,素材!$1:$1016,COLUMN(I$1),FALSE))*100+IFERROR(VLOOKUP($CI290,付与!$1:$1167,COLUMN(P$1),FALSE),0),"")</f>
        <v/>
      </c>
      <c r="Q290" t="str">
        <f>IFERROR(ROUNDUP(VLOOKUP($C290,装備品!$1:$998,COLUMN(M$1),FALSE)*(VLOOKUP($D290,素材!$1:$1002,COLUMN(D$1),FALSE)/100),1),"")</f>
        <v/>
      </c>
      <c r="R290" t="str">
        <f>IFERROR(ROUNDUP(VLOOKUP($C290,装備品!$1:$998,COLUMN(N$1),FALSE)*(VLOOKUP($D290,素材!$1:$1002,COLUMN(D$1),FALSE)/100),1),"")</f>
        <v/>
      </c>
      <c r="S290" t="str">
        <f>IFERROR(VLOOKUP($C290,装備品!$1:$998,COLUMN(P$1),FALSE),"")</f>
        <v/>
      </c>
      <c r="T290" t="str">
        <f>IFERROR(VLOOKUP($C290,装備品!$1:$998,COLUMN(Q$1),FALSE),"")</f>
        <v/>
      </c>
      <c r="U290" t="str">
        <f>IFERROR(VLOOKUP($C290,装備品!$1:$998,COLUMN(R$1),FALSE),"")</f>
        <v/>
      </c>
      <c r="V290" t="str">
        <f>IFERROR(VLOOKUP($C290,装備品!$1:$998,COLUMN(Q$1),FALSE),"")</f>
        <v/>
      </c>
      <c r="W290" t="str">
        <f>IFERROR(VLOOKUP($C290,装備品!$1:$998,COLUMN(T$1),FALSE),"")</f>
        <v/>
      </c>
      <c r="Y290" t="str">
        <f>IFERROR(VLOOKUP($C290,装備品!$1:$998,COLUMN(U$1),FALSE),"")</f>
        <v/>
      </c>
      <c r="Z290" t="str">
        <f>IFERROR(ROUNDUP(VLOOKUP($C290,装備品!$1:$998,COLUMN(O$1),FALSE)*VLOOKUP($D290,素材!$1:$1016,COLUMN(E$1),FALSE),1),"")</f>
        <v/>
      </c>
      <c r="AA290">
        <f>IF(ISNUMBER(SEARCH(SUBSTITUTE(AA$1,RIGHT(AA$1,2),""),VLOOKUP($D290,素材!$1:$1016,COLUMN($F$1),FALSE))),VLOOKUP($C290,装備品!$1:$998,COLUMN($O$1),FALSE)*VLOOKUP($D290,素材!$1:$1016,COLUMN($E$1),FALSE)/(LEN(VLOOKUP($D290,素材!$1:$1016,COLUMN($F$1),FALSE))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B290">
        <f>IF(ISNUMBER(SEARCH(SUBSTITUTE(AB$1,RIGHT(AB$1,2),""),VLOOKUP($D290,素材!$1:$1016,COLUMN($F$1),FALSE))),VLOOKUP($C290,装備品!$1:$998,COLUMN($O$1),FALSE)*VLOOKUP($D290,素材!$1:$1016,COLUMN($E$1),FALSE)/(LEN(VLOOKUP($D290,素材!$1:$1016,COLUMN($F$1),FALSE))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C290">
        <f>IF(ISNUMBER(SEARCH(SUBSTITUTE(AC$1,RIGHT(AC$1,2),""),VLOOKUP($D290,素材!$1:$1016,COLUMN($F$1),FALSE))),VLOOKUP($C290,装備品!$1:$998,COLUMN($O$1),FALSE)*VLOOKUP($D290,素材!$1:$1016,COLUMN($E$1),FALSE)/(LEN(VLOOKUP($D290,素材!$1:$1016,COLUMN($F$1),FALSE))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D290">
        <f>IF(ISNUMBER(SEARCH(SUBSTITUTE(AD$1,RIGHT(AD$1,2),""),VLOOKUP($D290,素材!$1:$1016,COLUMN($F$1),FALSE))),VLOOKUP($C290,装備品!$1:$998,COLUMN($O$1),FALSE)*VLOOKUP($D290,素材!$1:$1016,COLUMN($E$1),FALSE)/(LEN(VLOOKUP($D290,素材!$1:$1016,COLUMN($F$1),FALSE))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E290">
        <f>IF(ISNUMBER(SEARCH(SUBSTITUTE(AE$1,RIGHT(AE$1,2),""),VLOOKUP($D290,素材!$1:$1016,COLUMN($F$1),FALSE))),VLOOKUP($C290,装備品!$1:$998,COLUMN($O$1),FALSE)*VLOOKUP($D290,素材!$1:$1016,COLUMN($E$1),FALSE)/(LEN(VLOOKUP($D290,素材!$1:$1016,COLUMN($F$1),FALSE))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F290">
        <f>IF(ISNUMBER(SEARCH(SUBSTITUTE(AF$1,RIGHT(AF$1,2),""),VLOOKUP($D290,素材!$1:$1016,COLUMN($F$1),FALSE))),VLOOKUP($C290,装備品!$1:$998,COLUMN($O$1),FALSE)*VLOOKUP($D290,素材!$1:$1016,COLUMN($E$1),FALSE)/(LEN(VLOOKUP($D290,素材!$1:$1016,COLUMN($F$1),FALSE))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G290">
        <f>IF(ISNUMBER(SEARCH(SUBSTITUTE(AG$1,RIGHT(AG$1,2),""),VLOOKUP($D290,素材!$1:$1016,COLUMN($F$1),FALSE))),VLOOKUP($C290,装備品!$1:$998,COLUMN($O$1),FALSE)*VLOOKUP($D290,素材!$1:$1016,COLUMN($E$1),FALSE)/(LEN(VLOOKUP($D290,素材!$1:$1016,COLUMN($F$1),FALSE))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H290">
        <f>IF(ISNUMBER(SEARCH(SUBSTITUTE(AH$1,RIGHT(AH$1,2),""),VLOOKUP($D290,素材!$1:$1016,COLUMN($F$1),FALSE))),VLOOKUP($C290,装備品!$1:$998,COLUMN($O$1),FALSE)*VLOOKUP($D290,素材!$1:$1016,COLUMN($E$1),FALSE)/(LEN(VLOOKUP($D290,素材!$1:$1016,COLUMN($F$1),FALSE))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I290">
        <f>IF(ISNUMBER(SEARCH(SUBSTITUTE(AI$1,RIGHT(AI$1,2),""),VLOOKUP($D290,素材!$1:$1016,COLUMN($F$1),FALSE))),VLOOKUP($C290,装備品!$1:$998,COLUMN($O$1),FALSE)*VLOOKUP($D290,素材!$1:$1016,COLUMN($E$1),FALSE)/(LEN(VLOOKUP($D290,素材!$1:$1016,COLUMN($F$1),FALSE))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J290">
        <f>IF(ISNUMBER(SEARCH(SUBSTITUTE(AJ$1,RIGHT(AJ$1,2),""),VLOOKUP($D290,素材!$1:$1016,COLUMN($F$1),FALSE))),VLOOKUP($C290,装備品!$1:$998,COLUMN($O$1),FALSE)*VLOOKUP($D290,素材!$1:$1016,COLUMN($E$1),FALSE)/(LEN(VLOOKUP($D290,素材!$1:$1016,COLUMN($F$1),FALSE))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K290">
        <f>IF(ISNUMBER(SEARCH(SUBSTITUTE(AK$1,RIGHT(AK$1,2),""),VLOOKUP($D290,素材!$1:$1016,COLUMN($F$1),FALSE))),VLOOKUP($C290,装備品!$1:$998,COLUMN($O$1),FALSE)*VLOOKUP($D290,素材!$1:$1016,COLUMN($E$1),FALSE)/(LEN(VLOOKUP($D290,素材!$1:$1016,COLUMN($F$1),FALSE))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L290">
        <f>IF(ISNUMBER(SEARCH(SUBSTITUTE(AL$1,RIGHT(AL$1,2),""),VLOOKUP($D290,素材!$1:$1016,COLUMN($F$1),FALSE))),VLOOKUP($C290,装備品!$1:$998,COLUMN($O$1),FALSE)*VLOOKUP($D290,素材!$1:$1016,COLUMN($E$1),FALSE)/(LEN(VLOOKUP($D290,素材!$1:$1016,COLUMN($F$1),FALSE))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M290">
        <f>IF(ISNUMBER(SEARCH(SUBSTITUTE(AM$1,RIGHT(AM$1,2),""),VLOOKUP($D290,素材!$1:$1016,COLUMN($F$1),FALSE))),VLOOKUP($C290,装備品!$1:$998,COLUMN($O$1),FALSE)*VLOOKUP($D290,素材!$1:$1016,COLUMN($E$1),FALSE)/(LEN(VLOOKUP($D290,素材!$1:$1016,COLUMN($F$1),FALSE))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N290">
        <f>IF(ISNUMBER(SEARCH(SUBSTITUTE(AN$1,RIGHT(AN$1,2),""),VLOOKUP($D290,素材!$1:$1016,COLUMN($F$1),FALSE))),VLOOKUP($C290,装備品!$1:$998,COLUMN($O$1),FALSE)*VLOOKUP($D290,素材!$1:$1016,COLUMN($E$1),FALSE)/(LEN(VLOOKUP($D290,素材!$1:$1016,COLUMN($F$1),FALSE))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O290">
        <f>IF(ISNUMBER(SEARCH(SUBSTITUTE(AO$1,RIGHT(AO$1,2),""),VLOOKUP($D290,素材!$1:$1016,COLUMN($F$1),FALSE))),VLOOKUP($C290,装備品!$1:$998,COLUMN($O$1),FALSE)*VLOOKUP($D290,素材!$1:$1016,COLUMN($E$1),FALSE)/(LEN(VLOOKUP($D290,素材!$1:$1016,COLUMN($F$1),FALSE))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P290">
        <f>IF(ISNUMBER(SEARCH(SUBSTITUTE(AP$1,RIGHT(AP$1,2),""),VLOOKUP($D290,素材!$1:$1016,COLUMN($F$1),FALSE))),VLOOKUP($C290,装備品!$1:$998,COLUMN($O$1),FALSE)*VLOOKUP($D290,素材!$1:$1016,COLUMN($E$1),FALSE)/(LEN(VLOOKUP($D290,素材!$1:$1016,COLUMN($F$1),FALSE))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Q290">
        <f>IF(ISNUMBER(SEARCH(SUBSTITUTE(AQ$1,RIGHT(AQ$1,2),""),VLOOKUP($D290,素材!$1:$1016,COLUMN($F$1),FALSE))),VLOOKUP($C290,装備品!$1:$998,COLUMN($O$1),FALSE)*VLOOKUP($D290,素材!$1:$1016,COLUMN($E$1),FALSE)/(LEN(VLOOKUP($D290,素材!$1:$1016,COLUMN($F$1),FALSE))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R290">
        <f>IF(ISNUMBER(SEARCH(SUBSTITUTE(AR$1,RIGHT(AR$1,2),""),VLOOKUP($D290,素材!$1:$1016,COLUMN($F$1),FALSE))),VLOOKUP($C290,装備品!$1:$998,COLUMN($O$1),FALSE)*VLOOKUP($D290,素材!$1:$1016,COLUMN($E$1),FALSE)/(LEN(VLOOKUP($D290,素材!$1:$1016,COLUMN($F$1),FALSE))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S290">
        <f>IF(ISNUMBER(SEARCH(SUBSTITUTE(AS$1,RIGHT(AS$1,2),""),VLOOKUP($D290,素材!$1:$1016,COLUMN($F$1),FALSE))),VLOOKUP($C290,装備品!$1:$998,COLUMN($O$1),FALSE)*VLOOKUP($D290,素材!$1:$1016,COLUMN($E$1),FALSE)/(LEN(VLOOKUP($D290,素材!$1:$1016,COLUMN($F$1),FALSE))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T290">
        <f>IF(ISNUMBER(SEARCH(SUBSTITUTE(AT$1,RIGHT(AT$1,2),""),VLOOKUP($D290,素材!$1:$1016,COLUMN($F$1),FALSE))),VLOOKUP($C290,装備品!$1:$998,COLUMN($O$1),FALSE)*VLOOKUP($D290,素材!$1:$1016,COLUMN($E$1),FALSE)/(LEN(VLOOKUP($D290,素材!$1:$1016,COLUMN($F$1),FALSE))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U290">
        <f>IF(ISNUMBER(SEARCH(SUBSTITUTE(AU$1,RIGHT(AU$1,2),""),VLOOKUP($D290,素材!$1:$1016,COLUMN($F$1),FALSE))),VLOOKUP($C290,装備品!$1:$998,COLUMN($O$1),FALSE)*VLOOKUP($D290,素材!$1:$1016,COLUMN($E$1),FALSE)/(LEN(VLOOKUP($D290,素材!$1:$1016,COLUMN($F$1),FALSE))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V290">
        <f>IF(ISNUMBER(SEARCH(SUBSTITUTE(AV$1,RIGHT(AV$1,2),""),VLOOKUP($D290,素材!$1:$1016,COLUMN($F$1),FALSE))),VLOOKUP($C290,装備品!$1:$998,COLUMN($O$1),FALSE)*VLOOKUP($D290,素材!$1:$1016,COLUMN($E$1),FALSE)/(LEN(VLOOKUP($D290,素材!$1:$1016,COLUMN($F$1),FALSE))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W290">
        <f>IF(ISNUMBER(SEARCH(SUBSTITUTE(AW$1,RIGHT(AW$1,2),""),VLOOKUP($D290,素材!$1:$1016,COLUMN($F$1),FALSE))),VLOOKUP($C290,装備品!$1:$998,COLUMN($O$1),FALSE)*VLOOKUP($D290,素材!$1:$1016,COLUMN($E$1),FALSE)/(LEN(VLOOKUP($D290,素材!$1:$1016,COLUMN($F$1),FALSE))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X290">
        <f>IF(ISNUMBER(SEARCH(SUBSTITUTE(AX$1,RIGHT(AX$1,2),""),VLOOKUP($D290,素材!$1:$1016,COLUMN($F$1),FALSE))),VLOOKUP($C290,装備品!$1:$998,COLUMN($O$1),FALSE)*VLOOKUP($D290,素材!$1:$1016,COLUMN($E$1),FALSE)/(LEN(VLOOKUP($D290,素材!$1:$1016,COLUMN($F$1),FALSE))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Y290">
        <f>IF(ISNUMBER(SEARCH(SUBSTITUTE(AY$1,RIGHT(AY$1,2),""),VLOOKUP($D290,素材!$1:$1016,COLUMN($F$1),FALSE))),VLOOKUP($C290,装備品!$1:$998,COLUMN($O$1),FALSE)*VLOOKUP($D290,素材!$1:$1016,COLUMN($E$1),FALSE)/(LEN(VLOOKUP($D290,素材!$1:$1016,COLUMN($F$1),FALSE))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Z290">
        <f>IF(ISNUMBER(SEARCH(SUBSTITUTE(AZ$1,RIGHT(AZ$1,2),""),VLOOKUP($D290,素材!$1:$1016,COLUMN($F$1),FALSE))),VLOOKUP($C290,装備品!$1:$998,COLUMN($O$1),FALSE)*VLOOKUP($D290,素材!$1:$1016,COLUMN($E$1),FALSE)/(LEN(VLOOKUP($D290,素材!$1:$1016,COLUMN($F$1),FALSE))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BA290">
        <f>IF(ISNUMBER(SEARCH(SUBSTITUTE(BA$1,RIGHT(BA$1,2),""),VLOOKUP($D290,素材!$1:$1016,COLUMN($F$1),FALSE))),VLOOKUP($C290,装備品!$1:$998,COLUMN($O$1),FALSE)*VLOOKUP($D290,素材!$1:$1016,COLUMN($E$1),FALSE)/(LEN(VLOOKUP($D290,素材!$1:$1016,COLUMN($F$1),FALSE))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BB290">
        <f>IF(ISNUMBER(SEARCH(SUBSTITUTE(BB$1,RIGHT(BB$1,2),""),VLOOKUP($D290,素材!$1:$1016,COLUMN($F$1),FALSE))),VLOOKUP($C290,装備品!$1:$998,COLUMN($O$1),FALSE)*VLOOKUP($D290,素材!$1:$1016,COLUMN($E$1),FALSE)/(LEN(VLOOKUP($D290,素材!$1:$1016,COLUMN($F$1),FALSE))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BC290">
        <f>IF(ISNUMBER(SEARCH(SUBSTITUTE(BC$1,RIGHT(BC$1,2),""),VLOOKUP($D290,素材!$1:$1016,COLUMN($F$1),FALSE))),VLOOKUP($C290,装備品!$1:$998,COLUMN($O$1),FALSE)*VLOOKUP($D290,素材!$1:$1016,COLUMN($E$1),FALSE)/(LEN(VLOOKUP($D290,素材!$1:$1016,COLUMN($F$1),FALSE))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BD290">
        <f>IF(ISNUMBER(SEARCH(SUBSTITUTE(BD$1,RIGHT(BD$1,2),""),VLOOKUP($D290,素材!$1:$1016,COLUMN($F$1),FALSE))),VLOOKUP($C290,装備品!$1:$998,COLUMN($O$1),FALSE)*VLOOKUP($D290,素材!$1:$1016,COLUMN($E$1),FALSE)/(LEN(VLOOKUP($D290,素材!$1:$1016,COLUMN($F$1),FALSE))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BE290">
        <f>IF(ISNUMBER(SEARCH(SUBSTITUTE(BE$1,RIGHT(BE$1,2),""),VLOOKUP($D290,素材!$1:$1016,COLUMN($F$1),FALSE))),VLOOKUP($C290,装備品!$1:$998,COLUMN($O$1),FALSE)*VLOOKUP($D290,素材!$1:$1016,COLUMN($E$1),FALSE)/(LEN(VLOOKUP($D290,素材!$1:$1016,COLUMN($F$1),FALSE))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CL290">
        <f t="shared" si="41"/>
        <v>0</v>
      </c>
      <c r="CM290" s="22" t="str">
        <f t="shared" si="42"/>
        <v>.webp</v>
      </c>
      <c r="CN290" t="str">
        <f>IFERROR(VLOOKUP($C290,装備品!$1:$998,COLUMN(V$1),FALSE)*VLOOKUP($D290,素材!$1:$1016,COLUMN(N$1),FALSE)+IF(CI290="",0,VLOOKUP($CI290,付与!$1:$1176,COLUMN($CK$1),FALSE)),"")</f>
        <v/>
      </c>
      <c r="CO290" t="e">
        <f>VLOOKUP(D290,素材!$A:$O,COLUMN(素材!O$1),FALSE)</f>
        <v>#N/A</v>
      </c>
      <c r="CP290" t="e">
        <f>VLOOKUP(C290,装備品!$A:$AB,COLUMN(装備品!AB$1),FALSE)</f>
        <v>#N/A</v>
      </c>
      <c r="CR290" t="str">
        <f t="shared" si="43"/>
        <v>e_290</v>
      </c>
      <c r="CS290" t="e">
        <f t="shared" si="44"/>
        <v>#VALUE!</v>
      </c>
    </row>
    <row r="291" spans="1:97" hidden="1" outlineLevel="1" x14ac:dyDescent="0.4">
      <c r="A291" t="str">
        <f t="shared" si="45"/>
        <v>の</v>
      </c>
      <c r="B291" t="str">
        <f>IFERROR(IF(CI291="",VLOOKUP($D291,素材!$1:$1016,COLUMN($B$1),FALSE)&amp;"・"&amp;VLOOKUP($C291,装備品!$1:$998,COLUMN(B$1),FALSE),VLOOKUP($CI291,付与!$1:$1176,COLUMN($B$1),FALSE)&amp;"・"&amp;VLOOKUP($C291,装備品!$1:$998,COLUMN(B$1),FALSE)),"")</f>
        <v/>
      </c>
      <c r="C291" s="24"/>
      <c r="D291" s="24"/>
      <c r="E291" t="str">
        <f>IFERROR(VLOOKUP(C291,装備品!$1:$998,COLUMN(C$1),FALSE),"")</f>
        <v/>
      </c>
      <c r="F291" t="str">
        <f>IFERROR(ROUNDDOWN((VLOOKUP($C291,装備品!$1:$998,COLUMN(D$1),FALSE)+IFERROR(VLOOKUP($CI291,付与!$1:$1167,COLUMN(F$1),FALSE),0))*VLOOKUP($D291,素材!$1:$1016,COLUMN(D$1),FALSE),0),"")</f>
        <v/>
      </c>
      <c r="G291" t="str">
        <f>IFERROR(ROUNDDOWN((VLOOKUP($C291,装備品!$1:$998,COLUMN(E$1),FALSE)+IFERROR(VLOOKUP($CI291,付与!$1:$1167,COLUMN(G$1),FALSE),0))*VLOOKUP($D291,素材!$1:$1016,COLUMN($E$1),FALSE),0),"")</f>
        <v/>
      </c>
      <c r="H291" t="str">
        <f>IFERROR(ROUNDDOWN((VLOOKUP($C291,装備品!$1:$998,COLUMN(F$1),FALSE)+IFERROR(VLOOKUP($CI291,付与!$1:$1167,COLUMN(H$1),FALSE),0))*VLOOKUP($D291,素材!$1:$1016,COLUMN($E$1),FALSE),0),"")</f>
        <v/>
      </c>
      <c r="I291" t="str">
        <f>IFERROR(ROUNDDOWN((VLOOKUP($C291,装備品!$1:$998,COLUMN(G$1),FALSE)+IFERROR(VLOOKUP($CI291,付与!$1:$1167,COLUMN(I$1),FALSE),0))*VLOOKUP($D291,素材!$1:$1016,COLUMN($E$1),FALSE),0),"")</f>
        <v/>
      </c>
      <c r="J291" t="str">
        <f>IFERROR(ROUNDDOWN((VLOOKUP($C291,装備品!$1:$998,COLUMN(H$1),FALSE)+IFERROR(VLOOKUP($CI291,付与!$1:$1167,COLUMN(J$1),FALSE),0))*VLOOKUP($D291,素材!$1:$1016,COLUMN($E$1),FALSE),0),"")</f>
        <v/>
      </c>
      <c r="K291" t="str">
        <f>IFERROR(ROUNDDOWN((VLOOKUP($C291,装備品!$1:$998,COLUMN(I$1),FALSE)+IFERROR(VLOOKUP($CI291,付与!$1:$1167,COLUMN(K$1),FALSE),0))*VLOOKUP($D291,素材!$1:$1016,COLUMN($E$1),FALSE),0),"")</f>
        <v/>
      </c>
      <c r="L291" t="str">
        <f>IFERROR(VLOOKUP($D291,素材!$1:$1016,COLUMN($F$1),FALSE),"")</f>
        <v/>
      </c>
      <c r="M291" t="str">
        <f>IFERROR(VLOOKUP($C291,装備品!$1:$998,COLUMN(AA$1),FALSE)*VLOOKUP($D291,素材!$1:$1016,COLUMN($G$1),FALSE),"")</f>
        <v/>
      </c>
      <c r="N291" t="str">
        <f>IFERROR(VLOOKUP($C291,装備品!$1:$998,COLUMN(I$1),FALSE),"")</f>
        <v/>
      </c>
      <c r="O291" s="23" t="str">
        <f>IFERROR((VLOOKUP($C291,装備品!$1:$998,COLUMN(K$1),FALSE)+VLOOKUP($D291,素材!$1:$1016,COLUMN(H$1),FALSE))*100+IFERROR(VLOOKUP($CI291,付与!$1:$1167,COLUMN(O$1),FALSE),0),"")</f>
        <v/>
      </c>
      <c r="P291" s="23" t="str">
        <f>IFERROR((VLOOKUP($C291,装備品!$1:$998,COLUMN(L$1),FALSE)+VLOOKUP($D291,素材!$1:$1016,COLUMN(I$1),FALSE))*100+IFERROR(VLOOKUP($CI291,付与!$1:$1167,COLUMN(P$1),FALSE),0),"")</f>
        <v/>
      </c>
      <c r="Q291" t="str">
        <f>IFERROR(ROUNDUP(VLOOKUP($C291,装備品!$1:$998,COLUMN(M$1),FALSE)*(VLOOKUP($D291,素材!$1:$1002,COLUMN(D$1),FALSE)/100),1),"")</f>
        <v/>
      </c>
      <c r="R291" t="str">
        <f>IFERROR(ROUNDUP(VLOOKUP($C291,装備品!$1:$998,COLUMN(N$1),FALSE)*(VLOOKUP($D291,素材!$1:$1002,COLUMN(D$1),FALSE)/100),1),"")</f>
        <v/>
      </c>
      <c r="S291" t="str">
        <f>IFERROR(VLOOKUP($C291,装備品!$1:$998,COLUMN(P$1),FALSE),"")</f>
        <v/>
      </c>
      <c r="T291" t="str">
        <f>IFERROR(VLOOKUP($C291,装備品!$1:$998,COLUMN(Q$1),FALSE),"")</f>
        <v/>
      </c>
      <c r="U291" t="str">
        <f>IFERROR(VLOOKUP($C291,装備品!$1:$998,COLUMN(R$1),FALSE),"")</f>
        <v/>
      </c>
      <c r="V291" t="str">
        <f>IFERROR(VLOOKUP($C291,装備品!$1:$998,COLUMN(Q$1),FALSE),"")</f>
        <v/>
      </c>
      <c r="W291" t="str">
        <f>IFERROR(VLOOKUP($C291,装備品!$1:$998,COLUMN(T$1),FALSE),"")</f>
        <v/>
      </c>
      <c r="Y291" t="str">
        <f>IFERROR(VLOOKUP($C291,装備品!$1:$998,COLUMN(U$1),FALSE),"")</f>
        <v/>
      </c>
      <c r="Z291" t="str">
        <f>IFERROR(ROUNDUP(VLOOKUP($C291,装備品!$1:$998,COLUMN(O$1),FALSE)*VLOOKUP($D291,素材!$1:$1016,COLUMN(E$1),FALSE),1),"")</f>
        <v/>
      </c>
      <c r="AA291">
        <f>IF(ISNUMBER(SEARCH(SUBSTITUTE(AA$1,RIGHT(AA$1,2),""),VLOOKUP($D291,素材!$1:$1016,COLUMN($F$1),FALSE))),VLOOKUP($C291,装備品!$1:$998,COLUMN($O$1),FALSE)*VLOOKUP($D291,素材!$1:$1016,COLUMN($E$1),FALSE)/(LEN(VLOOKUP($D291,素材!$1:$1016,COLUMN($F$1),FALSE))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B291">
        <f>IF(ISNUMBER(SEARCH(SUBSTITUTE(AB$1,RIGHT(AB$1,2),""),VLOOKUP($D291,素材!$1:$1016,COLUMN($F$1),FALSE))),VLOOKUP($C291,装備品!$1:$998,COLUMN($O$1),FALSE)*VLOOKUP($D291,素材!$1:$1016,COLUMN($E$1),FALSE)/(LEN(VLOOKUP($D291,素材!$1:$1016,COLUMN($F$1),FALSE))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C291">
        <f>IF(ISNUMBER(SEARCH(SUBSTITUTE(AC$1,RIGHT(AC$1,2),""),VLOOKUP($D291,素材!$1:$1016,COLUMN($F$1),FALSE))),VLOOKUP($C291,装備品!$1:$998,COLUMN($O$1),FALSE)*VLOOKUP($D291,素材!$1:$1016,COLUMN($E$1),FALSE)/(LEN(VLOOKUP($D291,素材!$1:$1016,COLUMN($F$1),FALSE))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D291">
        <f>IF(ISNUMBER(SEARCH(SUBSTITUTE(AD$1,RIGHT(AD$1,2),""),VLOOKUP($D291,素材!$1:$1016,COLUMN($F$1),FALSE))),VLOOKUP($C291,装備品!$1:$998,COLUMN($O$1),FALSE)*VLOOKUP($D291,素材!$1:$1016,COLUMN($E$1),FALSE)/(LEN(VLOOKUP($D291,素材!$1:$1016,COLUMN($F$1),FALSE))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E291">
        <f>IF(ISNUMBER(SEARCH(SUBSTITUTE(AE$1,RIGHT(AE$1,2),""),VLOOKUP($D291,素材!$1:$1016,COLUMN($F$1),FALSE))),VLOOKUP($C291,装備品!$1:$998,COLUMN($O$1),FALSE)*VLOOKUP($D291,素材!$1:$1016,COLUMN($E$1),FALSE)/(LEN(VLOOKUP($D291,素材!$1:$1016,COLUMN($F$1),FALSE))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F291">
        <f>IF(ISNUMBER(SEARCH(SUBSTITUTE(AF$1,RIGHT(AF$1,2),""),VLOOKUP($D291,素材!$1:$1016,COLUMN($F$1),FALSE))),VLOOKUP($C291,装備品!$1:$998,COLUMN($O$1),FALSE)*VLOOKUP($D291,素材!$1:$1016,COLUMN($E$1),FALSE)/(LEN(VLOOKUP($D291,素材!$1:$1016,COLUMN($F$1),FALSE))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G291">
        <f>IF(ISNUMBER(SEARCH(SUBSTITUTE(AG$1,RIGHT(AG$1,2),""),VLOOKUP($D291,素材!$1:$1016,COLUMN($F$1),FALSE))),VLOOKUP($C291,装備品!$1:$998,COLUMN($O$1),FALSE)*VLOOKUP($D291,素材!$1:$1016,COLUMN($E$1),FALSE)/(LEN(VLOOKUP($D291,素材!$1:$1016,COLUMN($F$1),FALSE))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H291">
        <f>IF(ISNUMBER(SEARCH(SUBSTITUTE(AH$1,RIGHT(AH$1,2),""),VLOOKUP($D291,素材!$1:$1016,COLUMN($F$1),FALSE))),VLOOKUP($C291,装備品!$1:$998,COLUMN($O$1),FALSE)*VLOOKUP($D291,素材!$1:$1016,COLUMN($E$1),FALSE)/(LEN(VLOOKUP($D291,素材!$1:$1016,COLUMN($F$1),FALSE))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I291">
        <f>IF(ISNUMBER(SEARCH(SUBSTITUTE(AI$1,RIGHT(AI$1,2),""),VLOOKUP($D291,素材!$1:$1016,COLUMN($F$1),FALSE))),VLOOKUP($C291,装備品!$1:$998,COLUMN($O$1),FALSE)*VLOOKUP($D291,素材!$1:$1016,COLUMN($E$1),FALSE)/(LEN(VLOOKUP($D291,素材!$1:$1016,COLUMN($F$1),FALSE))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J291">
        <f>IF(ISNUMBER(SEARCH(SUBSTITUTE(AJ$1,RIGHT(AJ$1,2),""),VLOOKUP($D291,素材!$1:$1016,COLUMN($F$1),FALSE))),VLOOKUP($C291,装備品!$1:$998,COLUMN($O$1),FALSE)*VLOOKUP($D291,素材!$1:$1016,COLUMN($E$1),FALSE)/(LEN(VLOOKUP($D291,素材!$1:$1016,COLUMN($F$1),FALSE))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K291">
        <f>IF(ISNUMBER(SEARCH(SUBSTITUTE(AK$1,RIGHT(AK$1,2),""),VLOOKUP($D291,素材!$1:$1016,COLUMN($F$1),FALSE))),VLOOKUP($C291,装備品!$1:$998,COLUMN($O$1),FALSE)*VLOOKUP($D291,素材!$1:$1016,COLUMN($E$1),FALSE)/(LEN(VLOOKUP($D291,素材!$1:$1016,COLUMN($F$1),FALSE))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L291">
        <f>IF(ISNUMBER(SEARCH(SUBSTITUTE(AL$1,RIGHT(AL$1,2),""),VLOOKUP($D291,素材!$1:$1016,COLUMN($F$1),FALSE))),VLOOKUP($C291,装備品!$1:$998,COLUMN($O$1),FALSE)*VLOOKUP($D291,素材!$1:$1016,COLUMN($E$1),FALSE)/(LEN(VLOOKUP($D291,素材!$1:$1016,COLUMN($F$1),FALSE))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M291">
        <f>IF(ISNUMBER(SEARCH(SUBSTITUTE(AM$1,RIGHT(AM$1,2),""),VLOOKUP($D291,素材!$1:$1016,COLUMN($F$1),FALSE))),VLOOKUP($C291,装備品!$1:$998,COLUMN($O$1),FALSE)*VLOOKUP($D291,素材!$1:$1016,COLUMN($E$1),FALSE)/(LEN(VLOOKUP($D291,素材!$1:$1016,COLUMN($F$1),FALSE))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N291">
        <f>IF(ISNUMBER(SEARCH(SUBSTITUTE(AN$1,RIGHT(AN$1,2),""),VLOOKUP($D291,素材!$1:$1016,COLUMN($F$1),FALSE))),VLOOKUP($C291,装備品!$1:$998,COLUMN($O$1),FALSE)*VLOOKUP($D291,素材!$1:$1016,COLUMN($E$1),FALSE)/(LEN(VLOOKUP($D291,素材!$1:$1016,COLUMN($F$1),FALSE))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O291">
        <f>IF(ISNUMBER(SEARCH(SUBSTITUTE(AO$1,RIGHT(AO$1,2),""),VLOOKUP($D291,素材!$1:$1016,COLUMN($F$1),FALSE))),VLOOKUP($C291,装備品!$1:$998,COLUMN($O$1),FALSE)*VLOOKUP($D291,素材!$1:$1016,COLUMN($E$1),FALSE)/(LEN(VLOOKUP($D291,素材!$1:$1016,COLUMN($F$1),FALSE))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P291">
        <f>IF(ISNUMBER(SEARCH(SUBSTITUTE(AP$1,RIGHT(AP$1,2),""),VLOOKUP($D291,素材!$1:$1016,COLUMN($F$1),FALSE))),VLOOKUP($C291,装備品!$1:$998,COLUMN($O$1),FALSE)*VLOOKUP($D291,素材!$1:$1016,COLUMN($E$1),FALSE)/(LEN(VLOOKUP($D291,素材!$1:$1016,COLUMN($F$1),FALSE))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Q291">
        <f>IF(ISNUMBER(SEARCH(SUBSTITUTE(AQ$1,RIGHT(AQ$1,2),""),VLOOKUP($D291,素材!$1:$1016,COLUMN($F$1),FALSE))),VLOOKUP($C291,装備品!$1:$998,COLUMN($O$1),FALSE)*VLOOKUP($D291,素材!$1:$1016,COLUMN($E$1),FALSE)/(LEN(VLOOKUP($D291,素材!$1:$1016,COLUMN($F$1),FALSE))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R291">
        <f>IF(ISNUMBER(SEARCH(SUBSTITUTE(AR$1,RIGHT(AR$1,2),""),VLOOKUP($D291,素材!$1:$1016,COLUMN($F$1),FALSE))),VLOOKUP($C291,装備品!$1:$998,COLUMN($O$1),FALSE)*VLOOKUP($D291,素材!$1:$1016,COLUMN($E$1),FALSE)/(LEN(VLOOKUP($D291,素材!$1:$1016,COLUMN($F$1),FALSE))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S291">
        <f>IF(ISNUMBER(SEARCH(SUBSTITUTE(AS$1,RIGHT(AS$1,2),""),VLOOKUP($D291,素材!$1:$1016,COLUMN($F$1),FALSE))),VLOOKUP($C291,装備品!$1:$998,COLUMN($O$1),FALSE)*VLOOKUP($D291,素材!$1:$1016,COLUMN($E$1),FALSE)/(LEN(VLOOKUP($D291,素材!$1:$1016,COLUMN($F$1),FALSE))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T291">
        <f>IF(ISNUMBER(SEARCH(SUBSTITUTE(AT$1,RIGHT(AT$1,2),""),VLOOKUP($D291,素材!$1:$1016,COLUMN($F$1),FALSE))),VLOOKUP($C291,装備品!$1:$998,COLUMN($O$1),FALSE)*VLOOKUP($D291,素材!$1:$1016,COLUMN($E$1),FALSE)/(LEN(VLOOKUP($D291,素材!$1:$1016,COLUMN($F$1),FALSE))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U291">
        <f>IF(ISNUMBER(SEARCH(SUBSTITUTE(AU$1,RIGHT(AU$1,2),""),VLOOKUP($D291,素材!$1:$1016,COLUMN($F$1),FALSE))),VLOOKUP($C291,装備品!$1:$998,COLUMN($O$1),FALSE)*VLOOKUP($D291,素材!$1:$1016,COLUMN($E$1),FALSE)/(LEN(VLOOKUP($D291,素材!$1:$1016,COLUMN($F$1),FALSE))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V291">
        <f>IF(ISNUMBER(SEARCH(SUBSTITUTE(AV$1,RIGHT(AV$1,2),""),VLOOKUP($D291,素材!$1:$1016,COLUMN($F$1),FALSE))),VLOOKUP($C291,装備品!$1:$998,COLUMN($O$1),FALSE)*VLOOKUP($D291,素材!$1:$1016,COLUMN($E$1),FALSE)/(LEN(VLOOKUP($D291,素材!$1:$1016,COLUMN($F$1),FALSE))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W291">
        <f>IF(ISNUMBER(SEARCH(SUBSTITUTE(AW$1,RIGHT(AW$1,2),""),VLOOKUP($D291,素材!$1:$1016,COLUMN($F$1),FALSE))),VLOOKUP($C291,装備品!$1:$998,COLUMN($O$1),FALSE)*VLOOKUP($D291,素材!$1:$1016,COLUMN($E$1),FALSE)/(LEN(VLOOKUP($D291,素材!$1:$1016,COLUMN($F$1),FALSE))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X291">
        <f>IF(ISNUMBER(SEARCH(SUBSTITUTE(AX$1,RIGHT(AX$1,2),""),VLOOKUP($D291,素材!$1:$1016,COLUMN($F$1),FALSE))),VLOOKUP($C291,装備品!$1:$998,COLUMN($O$1),FALSE)*VLOOKUP($D291,素材!$1:$1016,COLUMN($E$1),FALSE)/(LEN(VLOOKUP($D291,素材!$1:$1016,COLUMN($F$1),FALSE))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Y291">
        <f>IF(ISNUMBER(SEARCH(SUBSTITUTE(AY$1,RIGHT(AY$1,2),""),VLOOKUP($D291,素材!$1:$1016,COLUMN($F$1),FALSE))),VLOOKUP($C291,装備品!$1:$998,COLUMN($O$1),FALSE)*VLOOKUP($D291,素材!$1:$1016,COLUMN($E$1),FALSE)/(LEN(VLOOKUP($D291,素材!$1:$1016,COLUMN($F$1),FALSE))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Z291">
        <f>IF(ISNUMBER(SEARCH(SUBSTITUTE(AZ$1,RIGHT(AZ$1,2),""),VLOOKUP($D291,素材!$1:$1016,COLUMN($F$1),FALSE))),VLOOKUP($C291,装備品!$1:$998,COLUMN($O$1),FALSE)*VLOOKUP($D291,素材!$1:$1016,COLUMN($E$1),FALSE)/(LEN(VLOOKUP($D291,素材!$1:$1016,COLUMN($F$1),FALSE))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BA291">
        <f>IF(ISNUMBER(SEARCH(SUBSTITUTE(BA$1,RIGHT(BA$1,2),""),VLOOKUP($D291,素材!$1:$1016,COLUMN($F$1),FALSE))),VLOOKUP($C291,装備品!$1:$998,COLUMN($O$1),FALSE)*VLOOKUP($D291,素材!$1:$1016,COLUMN($E$1),FALSE)/(LEN(VLOOKUP($D291,素材!$1:$1016,COLUMN($F$1),FALSE))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BB291">
        <f>IF(ISNUMBER(SEARCH(SUBSTITUTE(BB$1,RIGHT(BB$1,2),""),VLOOKUP($D291,素材!$1:$1016,COLUMN($F$1),FALSE))),VLOOKUP($C291,装備品!$1:$998,COLUMN($O$1),FALSE)*VLOOKUP($D291,素材!$1:$1016,COLUMN($E$1),FALSE)/(LEN(VLOOKUP($D291,素材!$1:$1016,COLUMN($F$1),FALSE))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BC291">
        <f>IF(ISNUMBER(SEARCH(SUBSTITUTE(BC$1,RIGHT(BC$1,2),""),VLOOKUP($D291,素材!$1:$1016,COLUMN($F$1),FALSE))),VLOOKUP($C291,装備品!$1:$998,COLUMN($O$1),FALSE)*VLOOKUP($D291,素材!$1:$1016,COLUMN($E$1),FALSE)/(LEN(VLOOKUP($D291,素材!$1:$1016,COLUMN($F$1),FALSE))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BD291">
        <f>IF(ISNUMBER(SEARCH(SUBSTITUTE(BD$1,RIGHT(BD$1,2),""),VLOOKUP($D291,素材!$1:$1016,COLUMN($F$1),FALSE))),VLOOKUP($C291,装備品!$1:$998,COLUMN($O$1),FALSE)*VLOOKUP($D291,素材!$1:$1016,COLUMN($E$1),FALSE)/(LEN(VLOOKUP($D291,素材!$1:$1016,COLUMN($F$1),FALSE))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BE291">
        <f>IF(ISNUMBER(SEARCH(SUBSTITUTE(BE$1,RIGHT(BE$1,2),""),VLOOKUP($D291,素材!$1:$1016,COLUMN($F$1),FALSE))),VLOOKUP($C291,装備品!$1:$998,COLUMN($O$1),FALSE)*VLOOKUP($D291,素材!$1:$1016,COLUMN($E$1),FALSE)/(LEN(VLOOKUP($D291,素材!$1:$1016,COLUMN($F$1),FALSE))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CL291">
        <f t="shared" si="41"/>
        <v>0</v>
      </c>
      <c r="CM291" s="22" t="str">
        <f t="shared" si="42"/>
        <v>.webp</v>
      </c>
      <c r="CN291" t="str">
        <f>IFERROR(VLOOKUP($C291,装備品!$1:$998,COLUMN(V$1),FALSE)*VLOOKUP($D291,素材!$1:$1016,COLUMN(N$1),FALSE)+IF(CI291="",0,VLOOKUP($CI291,付与!$1:$1176,COLUMN($CK$1),FALSE)),"")</f>
        <v/>
      </c>
      <c r="CO291" t="e">
        <f>VLOOKUP(D291,素材!$A:$O,COLUMN(素材!O$1),FALSE)</f>
        <v>#N/A</v>
      </c>
      <c r="CP291" t="e">
        <f>VLOOKUP(C291,装備品!$A:$AB,COLUMN(装備品!AB$1),FALSE)</f>
        <v>#N/A</v>
      </c>
      <c r="CR291" t="str">
        <f t="shared" si="43"/>
        <v>e_291</v>
      </c>
      <c r="CS291" t="e">
        <f t="shared" si="44"/>
        <v>#VALUE!</v>
      </c>
    </row>
    <row r="292" spans="1:97" hidden="1" outlineLevel="1" x14ac:dyDescent="0.4">
      <c r="A292" t="str">
        <f t="shared" si="45"/>
        <v>の</v>
      </c>
      <c r="B292" t="str">
        <f>IFERROR(IF(CI292="",VLOOKUP($D292,素材!$1:$1016,COLUMN($B$1),FALSE)&amp;"・"&amp;VLOOKUP($C292,装備品!$1:$998,COLUMN(B$1),FALSE),VLOOKUP($CI292,付与!$1:$1176,COLUMN($B$1),FALSE)&amp;"・"&amp;VLOOKUP($C292,装備品!$1:$998,COLUMN(B$1),FALSE)),"")</f>
        <v/>
      </c>
      <c r="C292" s="24"/>
      <c r="D292" s="24"/>
      <c r="E292" t="str">
        <f>IFERROR(VLOOKUP(C292,装備品!$1:$998,COLUMN(C$1),FALSE),"")</f>
        <v/>
      </c>
      <c r="F292" t="str">
        <f>IFERROR(ROUNDDOWN((VLOOKUP($C292,装備品!$1:$998,COLUMN(D$1),FALSE)+IFERROR(VLOOKUP($CI292,付与!$1:$1167,COLUMN(F$1),FALSE),0))*VLOOKUP($D292,素材!$1:$1016,COLUMN(D$1),FALSE),0),"")</f>
        <v/>
      </c>
      <c r="G292" t="str">
        <f>IFERROR(ROUNDDOWN((VLOOKUP($C292,装備品!$1:$998,COLUMN(E$1),FALSE)+IFERROR(VLOOKUP($CI292,付与!$1:$1167,COLUMN(G$1),FALSE),0))*VLOOKUP($D292,素材!$1:$1016,COLUMN($E$1),FALSE),0),"")</f>
        <v/>
      </c>
      <c r="H292" t="str">
        <f>IFERROR(ROUNDDOWN((VLOOKUP($C292,装備品!$1:$998,COLUMN(F$1),FALSE)+IFERROR(VLOOKUP($CI292,付与!$1:$1167,COLUMN(H$1),FALSE),0))*VLOOKUP($D292,素材!$1:$1016,COLUMN($E$1),FALSE),0),"")</f>
        <v/>
      </c>
      <c r="I292" t="str">
        <f>IFERROR(ROUNDDOWN((VLOOKUP($C292,装備品!$1:$998,COLUMN(G$1),FALSE)+IFERROR(VLOOKUP($CI292,付与!$1:$1167,COLUMN(I$1),FALSE),0))*VLOOKUP($D292,素材!$1:$1016,COLUMN($E$1),FALSE),0),"")</f>
        <v/>
      </c>
      <c r="J292" t="str">
        <f>IFERROR(ROUNDDOWN((VLOOKUP($C292,装備品!$1:$998,COLUMN(H$1),FALSE)+IFERROR(VLOOKUP($CI292,付与!$1:$1167,COLUMN(J$1),FALSE),0))*VLOOKUP($D292,素材!$1:$1016,COLUMN($E$1),FALSE),0),"")</f>
        <v/>
      </c>
      <c r="K292" t="str">
        <f>IFERROR(ROUNDDOWN((VLOOKUP($C292,装備品!$1:$998,COLUMN(I$1),FALSE)+IFERROR(VLOOKUP($CI292,付与!$1:$1167,COLUMN(K$1),FALSE),0))*VLOOKUP($D292,素材!$1:$1016,COLUMN($E$1),FALSE),0),"")</f>
        <v/>
      </c>
      <c r="L292" t="str">
        <f>IFERROR(VLOOKUP($D292,素材!$1:$1016,COLUMN($F$1),FALSE),"")</f>
        <v/>
      </c>
      <c r="M292" t="str">
        <f>IFERROR(VLOOKUP($C292,装備品!$1:$998,COLUMN(AA$1),FALSE)*VLOOKUP($D292,素材!$1:$1016,COLUMN($G$1),FALSE),"")</f>
        <v/>
      </c>
      <c r="N292" t="str">
        <f>IFERROR(VLOOKUP($C292,装備品!$1:$998,COLUMN(I$1),FALSE),"")</f>
        <v/>
      </c>
      <c r="O292" s="23" t="str">
        <f>IFERROR((VLOOKUP($C292,装備品!$1:$998,COLUMN(K$1),FALSE)+VLOOKUP($D292,素材!$1:$1016,COLUMN(H$1),FALSE))*100+IFERROR(VLOOKUP($CI292,付与!$1:$1167,COLUMN(O$1),FALSE),0),"")</f>
        <v/>
      </c>
      <c r="P292" s="23" t="str">
        <f>IFERROR((VLOOKUP($C292,装備品!$1:$998,COLUMN(L$1),FALSE)+VLOOKUP($D292,素材!$1:$1016,COLUMN(I$1),FALSE))*100+IFERROR(VLOOKUP($CI292,付与!$1:$1167,COLUMN(P$1),FALSE),0),"")</f>
        <v/>
      </c>
      <c r="Q292" t="str">
        <f>IFERROR(ROUNDUP(VLOOKUP($C292,装備品!$1:$998,COLUMN(M$1),FALSE)*(VLOOKUP($D292,素材!$1:$1002,COLUMN(D$1),FALSE)/100),1),"")</f>
        <v/>
      </c>
      <c r="R292" t="str">
        <f>IFERROR(ROUNDUP(VLOOKUP($C292,装備品!$1:$998,COLUMN(N$1),FALSE)*(VLOOKUP($D292,素材!$1:$1002,COLUMN(D$1),FALSE)/100),1),"")</f>
        <v/>
      </c>
      <c r="S292" t="str">
        <f>IFERROR(VLOOKUP($C292,装備品!$1:$998,COLUMN(P$1),FALSE),"")</f>
        <v/>
      </c>
      <c r="T292" t="str">
        <f>IFERROR(VLOOKUP($C292,装備品!$1:$998,COLUMN(Q$1),FALSE),"")</f>
        <v/>
      </c>
      <c r="U292" t="str">
        <f>IFERROR(VLOOKUP($C292,装備品!$1:$998,COLUMN(R$1),FALSE),"")</f>
        <v/>
      </c>
      <c r="V292" t="str">
        <f>IFERROR(VLOOKUP($C292,装備品!$1:$998,COLUMN(Q$1),FALSE),"")</f>
        <v/>
      </c>
      <c r="W292" t="str">
        <f>IFERROR(VLOOKUP($C292,装備品!$1:$998,COLUMN(T$1),FALSE),"")</f>
        <v/>
      </c>
      <c r="Y292" t="str">
        <f>IFERROR(VLOOKUP($C292,装備品!$1:$998,COLUMN(U$1),FALSE),"")</f>
        <v/>
      </c>
      <c r="Z292" t="str">
        <f>IFERROR(ROUNDUP(VLOOKUP($C292,装備品!$1:$998,COLUMN(O$1),FALSE)*VLOOKUP($D292,素材!$1:$1016,COLUMN(E$1),FALSE),1),"")</f>
        <v/>
      </c>
      <c r="AA292">
        <f>IF(ISNUMBER(SEARCH(SUBSTITUTE(AA$1,RIGHT(AA$1,2),""),VLOOKUP($D292,素材!$1:$1016,COLUMN($F$1),FALSE))),VLOOKUP($C292,装備品!$1:$998,COLUMN($O$1),FALSE)*VLOOKUP($D292,素材!$1:$1016,COLUMN($E$1),FALSE)/(LEN(VLOOKUP($D292,素材!$1:$1016,COLUMN($F$1),FALSE))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B292">
        <f>IF(ISNUMBER(SEARCH(SUBSTITUTE(AB$1,RIGHT(AB$1,2),""),VLOOKUP($D292,素材!$1:$1016,COLUMN($F$1),FALSE))),VLOOKUP($C292,装備品!$1:$998,COLUMN($O$1),FALSE)*VLOOKUP($D292,素材!$1:$1016,COLUMN($E$1),FALSE)/(LEN(VLOOKUP($D292,素材!$1:$1016,COLUMN($F$1),FALSE))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C292">
        <f>IF(ISNUMBER(SEARCH(SUBSTITUTE(AC$1,RIGHT(AC$1,2),""),VLOOKUP($D292,素材!$1:$1016,COLUMN($F$1),FALSE))),VLOOKUP($C292,装備品!$1:$998,COLUMN($O$1),FALSE)*VLOOKUP($D292,素材!$1:$1016,COLUMN($E$1),FALSE)/(LEN(VLOOKUP($D292,素材!$1:$1016,COLUMN($F$1),FALSE))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D292">
        <f>IF(ISNUMBER(SEARCH(SUBSTITUTE(AD$1,RIGHT(AD$1,2),""),VLOOKUP($D292,素材!$1:$1016,COLUMN($F$1),FALSE))),VLOOKUP($C292,装備品!$1:$998,COLUMN($O$1),FALSE)*VLOOKUP($D292,素材!$1:$1016,COLUMN($E$1),FALSE)/(LEN(VLOOKUP($D292,素材!$1:$1016,COLUMN($F$1),FALSE))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E292">
        <f>IF(ISNUMBER(SEARCH(SUBSTITUTE(AE$1,RIGHT(AE$1,2),""),VLOOKUP($D292,素材!$1:$1016,COLUMN($F$1),FALSE))),VLOOKUP($C292,装備品!$1:$998,COLUMN($O$1),FALSE)*VLOOKUP($D292,素材!$1:$1016,COLUMN($E$1),FALSE)/(LEN(VLOOKUP($D292,素材!$1:$1016,COLUMN($F$1),FALSE))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F292">
        <f>IF(ISNUMBER(SEARCH(SUBSTITUTE(AF$1,RIGHT(AF$1,2),""),VLOOKUP($D292,素材!$1:$1016,COLUMN($F$1),FALSE))),VLOOKUP($C292,装備品!$1:$998,COLUMN($O$1),FALSE)*VLOOKUP($D292,素材!$1:$1016,COLUMN($E$1),FALSE)/(LEN(VLOOKUP($D292,素材!$1:$1016,COLUMN($F$1),FALSE))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G292">
        <f>IF(ISNUMBER(SEARCH(SUBSTITUTE(AG$1,RIGHT(AG$1,2),""),VLOOKUP($D292,素材!$1:$1016,COLUMN($F$1),FALSE))),VLOOKUP($C292,装備品!$1:$998,COLUMN($O$1),FALSE)*VLOOKUP($D292,素材!$1:$1016,COLUMN($E$1),FALSE)/(LEN(VLOOKUP($D292,素材!$1:$1016,COLUMN($F$1),FALSE))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H292">
        <f>IF(ISNUMBER(SEARCH(SUBSTITUTE(AH$1,RIGHT(AH$1,2),""),VLOOKUP($D292,素材!$1:$1016,COLUMN($F$1),FALSE))),VLOOKUP($C292,装備品!$1:$998,COLUMN($O$1),FALSE)*VLOOKUP($D292,素材!$1:$1016,COLUMN($E$1),FALSE)/(LEN(VLOOKUP($D292,素材!$1:$1016,COLUMN($F$1),FALSE))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I292">
        <f>IF(ISNUMBER(SEARCH(SUBSTITUTE(AI$1,RIGHT(AI$1,2),""),VLOOKUP($D292,素材!$1:$1016,COLUMN($F$1),FALSE))),VLOOKUP($C292,装備品!$1:$998,COLUMN($O$1),FALSE)*VLOOKUP($D292,素材!$1:$1016,COLUMN($E$1),FALSE)/(LEN(VLOOKUP($D292,素材!$1:$1016,COLUMN($F$1),FALSE))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J292">
        <f>IF(ISNUMBER(SEARCH(SUBSTITUTE(AJ$1,RIGHT(AJ$1,2),""),VLOOKUP($D292,素材!$1:$1016,COLUMN($F$1),FALSE))),VLOOKUP($C292,装備品!$1:$998,COLUMN($O$1),FALSE)*VLOOKUP($D292,素材!$1:$1016,COLUMN($E$1),FALSE)/(LEN(VLOOKUP($D292,素材!$1:$1016,COLUMN($F$1),FALSE))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K292">
        <f>IF(ISNUMBER(SEARCH(SUBSTITUTE(AK$1,RIGHT(AK$1,2),""),VLOOKUP($D292,素材!$1:$1016,COLUMN($F$1),FALSE))),VLOOKUP($C292,装備品!$1:$998,COLUMN($O$1),FALSE)*VLOOKUP($D292,素材!$1:$1016,COLUMN($E$1),FALSE)/(LEN(VLOOKUP($D292,素材!$1:$1016,COLUMN($F$1),FALSE))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L292">
        <f>IF(ISNUMBER(SEARCH(SUBSTITUTE(AL$1,RIGHT(AL$1,2),""),VLOOKUP($D292,素材!$1:$1016,COLUMN($F$1),FALSE))),VLOOKUP($C292,装備品!$1:$998,COLUMN($O$1),FALSE)*VLOOKUP($D292,素材!$1:$1016,COLUMN($E$1),FALSE)/(LEN(VLOOKUP($D292,素材!$1:$1016,COLUMN($F$1),FALSE))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M292">
        <f>IF(ISNUMBER(SEARCH(SUBSTITUTE(AM$1,RIGHT(AM$1,2),""),VLOOKUP($D292,素材!$1:$1016,COLUMN($F$1),FALSE))),VLOOKUP($C292,装備品!$1:$998,COLUMN($O$1),FALSE)*VLOOKUP($D292,素材!$1:$1016,COLUMN($E$1),FALSE)/(LEN(VLOOKUP($D292,素材!$1:$1016,COLUMN($F$1),FALSE))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N292">
        <f>IF(ISNUMBER(SEARCH(SUBSTITUTE(AN$1,RIGHT(AN$1,2),""),VLOOKUP($D292,素材!$1:$1016,COLUMN($F$1),FALSE))),VLOOKUP($C292,装備品!$1:$998,COLUMN($O$1),FALSE)*VLOOKUP($D292,素材!$1:$1016,COLUMN($E$1),FALSE)/(LEN(VLOOKUP($D292,素材!$1:$1016,COLUMN($F$1),FALSE))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O292">
        <f>IF(ISNUMBER(SEARCH(SUBSTITUTE(AO$1,RIGHT(AO$1,2),""),VLOOKUP($D292,素材!$1:$1016,COLUMN($F$1),FALSE))),VLOOKUP($C292,装備品!$1:$998,COLUMN($O$1),FALSE)*VLOOKUP($D292,素材!$1:$1016,COLUMN($E$1),FALSE)/(LEN(VLOOKUP($D292,素材!$1:$1016,COLUMN($F$1),FALSE))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P292">
        <f>IF(ISNUMBER(SEARCH(SUBSTITUTE(AP$1,RIGHT(AP$1,2),""),VLOOKUP($D292,素材!$1:$1016,COLUMN($F$1),FALSE))),VLOOKUP($C292,装備品!$1:$998,COLUMN($O$1),FALSE)*VLOOKUP($D292,素材!$1:$1016,COLUMN($E$1),FALSE)/(LEN(VLOOKUP($D292,素材!$1:$1016,COLUMN($F$1),FALSE))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Q292">
        <f>IF(ISNUMBER(SEARCH(SUBSTITUTE(AQ$1,RIGHT(AQ$1,2),""),VLOOKUP($D292,素材!$1:$1016,COLUMN($F$1),FALSE))),VLOOKUP($C292,装備品!$1:$998,COLUMN($O$1),FALSE)*VLOOKUP($D292,素材!$1:$1016,COLUMN($E$1),FALSE)/(LEN(VLOOKUP($D292,素材!$1:$1016,COLUMN($F$1),FALSE))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R292">
        <f>IF(ISNUMBER(SEARCH(SUBSTITUTE(AR$1,RIGHT(AR$1,2),""),VLOOKUP($D292,素材!$1:$1016,COLUMN($F$1),FALSE))),VLOOKUP($C292,装備品!$1:$998,COLUMN($O$1),FALSE)*VLOOKUP($D292,素材!$1:$1016,COLUMN($E$1),FALSE)/(LEN(VLOOKUP($D292,素材!$1:$1016,COLUMN($F$1),FALSE))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S292">
        <f>IF(ISNUMBER(SEARCH(SUBSTITUTE(AS$1,RIGHT(AS$1,2),""),VLOOKUP($D292,素材!$1:$1016,COLUMN($F$1),FALSE))),VLOOKUP($C292,装備品!$1:$998,COLUMN($O$1),FALSE)*VLOOKUP($D292,素材!$1:$1016,COLUMN($E$1),FALSE)/(LEN(VLOOKUP($D292,素材!$1:$1016,COLUMN($F$1),FALSE))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T292">
        <f>IF(ISNUMBER(SEARCH(SUBSTITUTE(AT$1,RIGHT(AT$1,2),""),VLOOKUP($D292,素材!$1:$1016,COLUMN($F$1),FALSE))),VLOOKUP($C292,装備品!$1:$998,COLUMN($O$1),FALSE)*VLOOKUP($D292,素材!$1:$1016,COLUMN($E$1),FALSE)/(LEN(VLOOKUP($D292,素材!$1:$1016,COLUMN($F$1),FALSE))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U292">
        <f>IF(ISNUMBER(SEARCH(SUBSTITUTE(AU$1,RIGHT(AU$1,2),""),VLOOKUP($D292,素材!$1:$1016,COLUMN($F$1),FALSE))),VLOOKUP($C292,装備品!$1:$998,COLUMN($O$1),FALSE)*VLOOKUP($D292,素材!$1:$1016,COLUMN($E$1),FALSE)/(LEN(VLOOKUP($D292,素材!$1:$1016,COLUMN($F$1),FALSE))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V292">
        <f>IF(ISNUMBER(SEARCH(SUBSTITUTE(AV$1,RIGHT(AV$1,2),""),VLOOKUP($D292,素材!$1:$1016,COLUMN($F$1),FALSE))),VLOOKUP($C292,装備品!$1:$998,COLUMN($O$1),FALSE)*VLOOKUP($D292,素材!$1:$1016,COLUMN($E$1),FALSE)/(LEN(VLOOKUP($D292,素材!$1:$1016,COLUMN($F$1),FALSE))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W292">
        <f>IF(ISNUMBER(SEARCH(SUBSTITUTE(AW$1,RIGHT(AW$1,2),""),VLOOKUP($D292,素材!$1:$1016,COLUMN($F$1),FALSE))),VLOOKUP($C292,装備品!$1:$998,COLUMN($O$1),FALSE)*VLOOKUP($D292,素材!$1:$1016,COLUMN($E$1),FALSE)/(LEN(VLOOKUP($D292,素材!$1:$1016,COLUMN($F$1),FALSE))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X292">
        <f>IF(ISNUMBER(SEARCH(SUBSTITUTE(AX$1,RIGHT(AX$1,2),""),VLOOKUP($D292,素材!$1:$1016,COLUMN($F$1),FALSE))),VLOOKUP($C292,装備品!$1:$998,COLUMN($O$1),FALSE)*VLOOKUP($D292,素材!$1:$1016,COLUMN($E$1),FALSE)/(LEN(VLOOKUP($D292,素材!$1:$1016,COLUMN($F$1),FALSE))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Y292">
        <f>IF(ISNUMBER(SEARCH(SUBSTITUTE(AY$1,RIGHT(AY$1,2),""),VLOOKUP($D292,素材!$1:$1016,COLUMN($F$1),FALSE))),VLOOKUP($C292,装備品!$1:$998,COLUMN($O$1),FALSE)*VLOOKUP($D292,素材!$1:$1016,COLUMN($E$1),FALSE)/(LEN(VLOOKUP($D292,素材!$1:$1016,COLUMN($F$1),FALSE))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Z292">
        <f>IF(ISNUMBER(SEARCH(SUBSTITUTE(AZ$1,RIGHT(AZ$1,2),""),VLOOKUP($D292,素材!$1:$1016,COLUMN($F$1),FALSE))),VLOOKUP($C292,装備品!$1:$998,COLUMN($O$1),FALSE)*VLOOKUP($D292,素材!$1:$1016,COLUMN($E$1),FALSE)/(LEN(VLOOKUP($D292,素材!$1:$1016,COLUMN($F$1),FALSE))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BA292">
        <f>IF(ISNUMBER(SEARCH(SUBSTITUTE(BA$1,RIGHT(BA$1,2),""),VLOOKUP($D292,素材!$1:$1016,COLUMN($F$1),FALSE))),VLOOKUP($C292,装備品!$1:$998,COLUMN($O$1),FALSE)*VLOOKUP($D292,素材!$1:$1016,COLUMN($E$1),FALSE)/(LEN(VLOOKUP($D292,素材!$1:$1016,COLUMN($F$1),FALSE))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BB292">
        <f>IF(ISNUMBER(SEARCH(SUBSTITUTE(BB$1,RIGHT(BB$1,2),""),VLOOKUP($D292,素材!$1:$1016,COLUMN($F$1),FALSE))),VLOOKUP($C292,装備品!$1:$998,COLUMN($O$1),FALSE)*VLOOKUP($D292,素材!$1:$1016,COLUMN($E$1),FALSE)/(LEN(VLOOKUP($D292,素材!$1:$1016,COLUMN($F$1),FALSE))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BC292">
        <f>IF(ISNUMBER(SEARCH(SUBSTITUTE(BC$1,RIGHT(BC$1,2),""),VLOOKUP($D292,素材!$1:$1016,COLUMN($F$1),FALSE))),VLOOKUP($C292,装備品!$1:$998,COLUMN($O$1),FALSE)*VLOOKUP($D292,素材!$1:$1016,COLUMN($E$1),FALSE)/(LEN(VLOOKUP($D292,素材!$1:$1016,COLUMN($F$1),FALSE))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BD292">
        <f>IF(ISNUMBER(SEARCH(SUBSTITUTE(BD$1,RIGHT(BD$1,2),""),VLOOKUP($D292,素材!$1:$1016,COLUMN($F$1),FALSE))),VLOOKUP($C292,装備品!$1:$998,COLUMN($O$1),FALSE)*VLOOKUP($D292,素材!$1:$1016,COLUMN($E$1),FALSE)/(LEN(VLOOKUP($D292,素材!$1:$1016,COLUMN($F$1),FALSE))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BE292">
        <f>IF(ISNUMBER(SEARCH(SUBSTITUTE(BE$1,RIGHT(BE$1,2),""),VLOOKUP($D292,素材!$1:$1016,COLUMN($F$1),FALSE))),VLOOKUP($C292,装備品!$1:$998,COLUMN($O$1),FALSE)*VLOOKUP($D292,素材!$1:$1016,COLUMN($E$1),FALSE)/(LEN(VLOOKUP($D292,素材!$1:$1016,COLUMN($F$1),FALSE))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CL292">
        <f t="shared" si="41"/>
        <v>0</v>
      </c>
      <c r="CM292" s="22" t="str">
        <f t="shared" si="42"/>
        <v>.webp</v>
      </c>
      <c r="CN292" t="str">
        <f>IFERROR(VLOOKUP($C292,装備品!$1:$998,COLUMN(V$1),FALSE)*VLOOKUP($D292,素材!$1:$1016,COLUMN(N$1),FALSE)+IF(CI292="",0,VLOOKUP($CI292,付与!$1:$1176,COLUMN($CK$1),FALSE)),"")</f>
        <v/>
      </c>
      <c r="CO292" t="e">
        <f>VLOOKUP(D292,素材!$A:$O,COLUMN(素材!O$1),FALSE)</f>
        <v>#N/A</v>
      </c>
      <c r="CP292" t="e">
        <f>VLOOKUP(C292,装備品!$A:$AB,COLUMN(装備品!AB$1),FALSE)</f>
        <v>#N/A</v>
      </c>
      <c r="CR292" t="str">
        <f t="shared" si="43"/>
        <v>e_292</v>
      </c>
      <c r="CS292" t="e">
        <f t="shared" si="44"/>
        <v>#VALUE!</v>
      </c>
    </row>
    <row r="293" spans="1:97" hidden="1" outlineLevel="1" x14ac:dyDescent="0.4">
      <c r="A293" t="str">
        <f t="shared" si="45"/>
        <v>の</v>
      </c>
      <c r="B293" t="str">
        <f>IFERROR(IF(CI293="",VLOOKUP($D293,素材!$1:$1016,COLUMN($B$1),FALSE)&amp;"・"&amp;VLOOKUP($C293,装備品!$1:$998,COLUMN(B$1),FALSE),VLOOKUP($CI293,付与!$1:$1176,COLUMN($B$1),FALSE)&amp;"・"&amp;VLOOKUP($C293,装備品!$1:$998,COLUMN(B$1),FALSE)),"")</f>
        <v/>
      </c>
      <c r="C293" s="24"/>
      <c r="D293" s="24"/>
      <c r="E293" t="str">
        <f>IFERROR(VLOOKUP(C293,装備品!$1:$998,COLUMN(C$1),FALSE),"")</f>
        <v/>
      </c>
      <c r="F293" t="str">
        <f>IFERROR(ROUNDDOWN((VLOOKUP($C293,装備品!$1:$998,COLUMN(D$1),FALSE)+IFERROR(VLOOKUP($CI293,付与!$1:$1167,COLUMN(F$1),FALSE),0))*VLOOKUP($D293,素材!$1:$1016,COLUMN(D$1),FALSE),0),"")</f>
        <v/>
      </c>
      <c r="G293" t="str">
        <f>IFERROR(ROUNDDOWN((VLOOKUP($C293,装備品!$1:$998,COLUMN(E$1),FALSE)+IFERROR(VLOOKUP($CI293,付与!$1:$1167,COLUMN(G$1),FALSE),0))*VLOOKUP($D293,素材!$1:$1016,COLUMN($E$1),FALSE),0),"")</f>
        <v/>
      </c>
      <c r="H293" t="str">
        <f>IFERROR(ROUNDDOWN((VLOOKUP($C293,装備品!$1:$998,COLUMN(F$1),FALSE)+IFERROR(VLOOKUP($CI293,付与!$1:$1167,COLUMN(H$1),FALSE),0))*VLOOKUP($D293,素材!$1:$1016,COLUMN($E$1),FALSE),0),"")</f>
        <v/>
      </c>
      <c r="I293" t="str">
        <f>IFERROR(ROUNDDOWN((VLOOKUP($C293,装備品!$1:$998,COLUMN(G$1),FALSE)+IFERROR(VLOOKUP($CI293,付与!$1:$1167,COLUMN(I$1),FALSE),0))*VLOOKUP($D293,素材!$1:$1016,COLUMN($E$1),FALSE),0),"")</f>
        <v/>
      </c>
      <c r="J293" t="str">
        <f>IFERROR(ROUNDDOWN((VLOOKUP($C293,装備品!$1:$998,COLUMN(H$1),FALSE)+IFERROR(VLOOKUP($CI293,付与!$1:$1167,COLUMN(J$1),FALSE),0))*VLOOKUP($D293,素材!$1:$1016,COLUMN($E$1),FALSE),0),"")</f>
        <v/>
      </c>
      <c r="K293" t="str">
        <f>IFERROR(ROUNDDOWN((VLOOKUP($C293,装備品!$1:$998,COLUMN(I$1),FALSE)+IFERROR(VLOOKUP($CI293,付与!$1:$1167,COLUMN(K$1),FALSE),0))*VLOOKUP($D293,素材!$1:$1016,COLUMN($E$1),FALSE),0),"")</f>
        <v/>
      </c>
      <c r="L293" t="str">
        <f>IFERROR(VLOOKUP($D293,素材!$1:$1016,COLUMN($F$1),FALSE),"")</f>
        <v/>
      </c>
      <c r="M293" t="str">
        <f>IFERROR(VLOOKUP($C293,装備品!$1:$998,COLUMN(AA$1),FALSE)*VLOOKUP($D293,素材!$1:$1016,COLUMN($G$1),FALSE),"")</f>
        <v/>
      </c>
      <c r="N293" t="str">
        <f>IFERROR(VLOOKUP($C293,装備品!$1:$998,COLUMN(I$1),FALSE),"")</f>
        <v/>
      </c>
      <c r="O293" s="23" t="str">
        <f>IFERROR((VLOOKUP($C293,装備品!$1:$998,COLUMN(K$1),FALSE)+VLOOKUP($D293,素材!$1:$1016,COLUMN(H$1),FALSE))*100+IFERROR(VLOOKUP($CI293,付与!$1:$1167,COLUMN(O$1),FALSE),0),"")</f>
        <v/>
      </c>
      <c r="P293" s="23" t="str">
        <f>IFERROR((VLOOKUP($C293,装備品!$1:$998,COLUMN(L$1),FALSE)+VLOOKUP($D293,素材!$1:$1016,COLUMN(I$1),FALSE))*100+IFERROR(VLOOKUP($CI293,付与!$1:$1167,COLUMN(P$1),FALSE),0),"")</f>
        <v/>
      </c>
      <c r="Q293" t="str">
        <f>IFERROR(ROUNDUP(VLOOKUP($C293,装備品!$1:$998,COLUMN(M$1),FALSE)*(VLOOKUP($D293,素材!$1:$1002,COLUMN(D$1),FALSE)/100),1),"")</f>
        <v/>
      </c>
      <c r="R293" t="str">
        <f>IFERROR(ROUNDUP(VLOOKUP($C293,装備品!$1:$998,COLUMN(N$1),FALSE)*(VLOOKUP($D293,素材!$1:$1002,COLUMN(D$1),FALSE)/100),1),"")</f>
        <v/>
      </c>
      <c r="S293" t="str">
        <f>IFERROR(VLOOKUP($C293,装備品!$1:$998,COLUMN(P$1),FALSE),"")</f>
        <v/>
      </c>
      <c r="T293" t="str">
        <f>IFERROR(VLOOKUP($C293,装備品!$1:$998,COLUMN(Q$1),FALSE),"")</f>
        <v/>
      </c>
      <c r="U293" t="str">
        <f>IFERROR(VLOOKUP($C293,装備品!$1:$998,COLUMN(R$1),FALSE),"")</f>
        <v/>
      </c>
      <c r="V293" t="str">
        <f>IFERROR(VLOOKUP($C293,装備品!$1:$998,COLUMN(Q$1),FALSE),"")</f>
        <v/>
      </c>
      <c r="W293" t="str">
        <f>IFERROR(VLOOKUP($C293,装備品!$1:$998,COLUMN(T$1),FALSE),"")</f>
        <v/>
      </c>
      <c r="Y293" t="str">
        <f>IFERROR(VLOOKUP($C293,装備品!$1:$998,COLUMN(U$1),FALSE),"")</f>
        <v/>
      </c>
      <c r="Z293" t="str">
        <f>IFERROR(ROUNDUP(VLOOKUP($C293,装備品!$1:$998,COLUMN(O$1),FALSE)*VLOOKUP($D293,素材!$1:$1016,COLUMN(E$1),FALSE),1),"")</f>
        <v/>
      </c>
      <c r="AA293">
        <f>IF(ISNUMBER(SEARCH(SUBSTITUTE(AA$1,RIGHT(AA$1,2),""),VLOOKUP($D293,素材!$1:$1016,COLUMN($F$1),FALSE))),VLOOKUP($C293,装備品!$1:$998,COLUMN($O$1),FALSE)*VLOOKUP($D293,素材!$1:$1016,COLUMN($E$1),FALSE)/(LEN(VLOOKUP($D293,素材!$1:$1016,COLUMN($F$1),FALSE))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B293">
        <f>IF(ISNUMBER(SEARCH(SUBSTITUTE(AB$1,RIGHT(AB$1,2),""),VLOOKUP($D293,素材!$1:$1016,COLUMN($F$1),FALSE))),VLOOKUP($C293,装備品!$1:$998,COLUMN($O$1),FALSE)*VLOOKUP($D293,素材!$1:$1016,COLUMN($E$1),FALSE)/(LEN(VLOOKUP($D293,素材!$1:$1016,COLUMN($F$1),FALSE))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C293">
        <f>IF(ISNUMBER(SEARCH(SUBSTITUTE(AC$1,RIGHT(AC$1,2),""),VLOOKUP($D293,素材!$1:$1016,COLUMN($F$1),FALSE))),VLOOKUP($C293,装備品!$1:$998,COLUMN($O$1),FALSE)*VLOOKUP($D293,素材!$1:$1016,COLUMN($E$1),FALSE)/(LEN(VLOOKUP($D293,素材!$1:$1016,COLUMN($F$1),FALSE))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D293">
        <f>IF(ISNUMBER(SEARCH(SUBSTITUTE(AD$1,RIGHT(AD$1,2),""),VLOOKUP($D293,素材!$1:$1016,COLUMN($F$1),FALSE))),VLOOKUP($C293,装備品!$1:$998,COLUMN($O$1),FALSE)*VLOOKUP($D293,素材!$1:$1016,COLUMN($E$1),FALSE)/(LEN(VLOOKUP($D293,素材!$1:$1016,COLUMN($F$1),FALSE))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E293">
        <f>IF(ISNUMBER(SEARCH(SUBSTITUTE(AE$1,RIGHT(AE$1,2),""),VLOOKUP($D293,素材!$1:$1016,COLUMN($F$1),FALSE))),VLOOKUP($C293,装備品!$1:$998,COLUMN($O$1),FALSE)*VLOOKUP($D293,素材!$1:$1016,COLUMN($E$1),FALSE)/(LEN(VLOOKUP($D293,素材!$1:$1016,COLUMN($F$1),FALSE))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F293">
        <f>IF(ISNUMBER(SEARCH(SUBSTITUTE(AF$1,RIGHT(AF$1,2),""),VLOOKUP($D293,素材!$1:$1016,COLUMN($F$1),FALSE))),VLOOKUP($C293,装備品!$1:$998,COLUMN($O$1),FALSE)*VLOOKUP($D293,素材!$1:$1016,COLUMN($E$1),FALSE)/(LEN(VLOOKUP($D293,素材!$1:$1016,COLUMN($F$1),FALSE))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G293">
        <f>IF(ISNUMBER(SEARCH(SUBSTITUTE(AG$1,RIGHT(AG$1,2),""),VLOOKUP($D293,素材!$1:$1016,COLUMN($F$1),FALSE))),VLOOKUP($C293,装備品!$1:$998,COLUMN($O$1),FALSE)*VLOOKUP($D293,素材!$1:$1016,COLUMN($E$1),FALSE)/(LEN(VLOOKUP($D293,素材!$1:$1016,COLUMN($F$1),FALSE))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H293">
        <f>IF(ISNUMBER(SEARCH(SUBSTITUTE(AH$1,RIGHT(AH$1,2),""),VLOOKUP($D293,素材!$1:$1016,COLUMN($F$1),FALSE))),VLOOKUP($C293,装備品!$1:$998,COLUMN($O$1),FALSE)*VLOOKUP($D293,素材!$1:$1016,COLUMN($E$1),FALSE)/(LEN(VLOOKUP($D293,素材!$1:$1016,COLUMN($F$1),FALSE))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I293">
        <f>IF(ISNUMBER(SEARCH(SUBSTITUTE(AI$1,RIGHT(AI$1,2),""),VLOOKUP($D293,素材!$1:$1016,COLUMN($F$1),FALSE))),VLOOKUP($C293,装備品!$1:$998,COLUMN($O$1),FALSE)*VLOOKUP($D293,素材!$1:$1016,COLUMN($E$1),FALSE)/(LEN(VLOOKUP($D293,素材!$1:$1016,COLUMN($F$1),FALSE))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J293">
        <f>IF(ISNUMBER(SEARCH(SUBSTITUTE(AJ$1,RIGHT(AJ$1,2),""),VLOOKUP($D293,素材!$1:$1016,COLUMN($F$1),FALSE))),VLOOKUP($C293,装備品!$1:$998,COLUMN($O$1),FALSE)*VLOOKUP($D293,素材!$1:$1016,COLUMN($E$1),FALSE)/(LEN(VLOOKUP($D293,素材!$1:$1016,COLUMN($F$1),FALSE))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K293">
        <f>IF(ISNUMBER(SEARCH(SUBSTITUTE(AK$1,RIGHT(AK$1,2),""),VLOOKUP($D293,素材!$1:$1016,COLUMN($F$1),FALSE))),VLOOKUP($C293,装備品!$1:$998,COLUMN($O$1),FALSE)*VLOOKUP($D293,素材!$1:$1016,COLUMN($E$1),FALSE)/(LEN(VLOOKUP($D293,素材!$1:$1016,COLUMN($F$1),FALSE))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L293">
        <f>IF(ISNUMBER(SEARCH(SUBSTITUTE(AL$1,RIGHT(AL$1,2),""),VLOOKUP($D293,素材!$1:$1016,COLUMN($F$1),FALSE))),VLOOKUP($C293,装備品!$1:$998,COLUMN($O$1),FALSE)*VLOOKUP($D293,素材!$1:$1016,COLUMN($E$1),FALSE)/(LEN(VLOOKUP($D293,素材!$1:$1016,COLUMN($F$1),FALSE))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M293">
        <f>IF(ISNUMBER(SEARCH(SUBSTITUTE(AM$1,RIGHT(AM$1,2),""),VLOOKUP($D293,素材!$1:$1016,COLUMN($F$1),FALSE))),VLOOKUP($C293,装備品!$1:$998,COLUMN($O$1),FALSE)*VLOOKUP($D293,素材!$1:$1016,COLUMN($E$1),FALSE)/(LEN(VLOOKUP($D293,素材!$1:$1016,COLUMN($F$1),FALSE))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N293">
        <f>IF(ISNUMBER(SEARCH(SUBSTITUTE(AN$1,RIGHT(AN$1,2),""),VLOOKUP($D293,素材!$1:$1016,COLUMN($F$1),FALSE))),VLOOKUP($C293,装備品!$1:$998,COLUMN($O$1),FALSE)*VLOOKUP($D293,素材!$1:$1016,COLUMN($E$1),FALSE)/(LEN(VLOOKUP($D293,素材!$1:$1016,COLUMN($F$1),FALSE))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O293">
        <f>IF(ISNUMBER(SEARCH(SUBSTITUTE(AO$1,RIGHT(AO$1,2),""),VLOOKUP($D293,素材!$1:$1016,COLUMN($F$1),FALSE))),VLOOKUP($C293,装備品!$1:$998,COLUMN($O$1),FALSE)*VLOOKUP($D293,素材!$1:$1016,COLUMN($E$1),FALSE)/(LEN(VLOOKUP($D293,素材!$1:$1016,COLUMN($F$1),FALSE))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P293">
        <f>IF(ISNUMBER(SEARCH(SUBSTITUTE(AP$1,RIGHT(AP$1,2),""),VLOOKUP($D293,素材!$1:$1016,COLUMN($F$1),FALSE))),VLOOKUP($C293,装備品!$1:$998,COLUMN($O$1),FALSE)*VLOOKUP($D293,素材!$1:$1016,COLUMN($E$1),FALSE)/(LEN(VLOOKUP($D293,素材!$1:$1016,COLUMN($F$1),FALSE))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Q293">
        <f>IF(ISNUMBER(SEARCH(SUBSTITUTE(AQ$1,RIGHT(AQ$1,2),""),VLOOKUP($D293,素材!$1:$1016,COLUMN($F$1),FALSE))),VLOOKUP($C293,装備品!$1:$998,COLUMN($O$1),FALSE)*VLOOKUP($D293,素材!$1:$1016,COLUMN($E$1),FALSE)/(LEN(VLOOKUP($D293,素材!$1:$1016,COLUMN($F$1),FALSE))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R293">
        <f>IF(ISNUMBER(SEARCH(SUBSTITUTE(AR$1,RIGHT(AR$1,2),""),VLOOKUP($D293,素材!$1:$1016,COLUMN($F$1),FALSE))),VLOOKUP($C293,装備品!$1:$998,COLUMN($O$1),FALSE)*VLOOKUP($D293,素材!$1:$1016,COLUMN($E$1),FALSE)/(LEN(VLOOKUP($D293,素材!$1:$1016,COLUMN($F$1),FALSE))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S293">
        <f>IF(ISNUMBER(SEARCH(SUBSTITUTE(AS$1,RIGHT(AS$1,2),""),VLOOKUP($D293,素材!$1:$1016,COLUMN($F$1),FALSE))),VLOOKUP($C293,装備品!$1:$998,COLUMN($O$1),FALSE)*VLOOKUP($D293,素材!$1:$1016,COLUMN($E$1),FALSE)/(LEN(VLOOKUP($D293,素材!$1:$1016,COLUMN($F$1),FALSE))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T293">
        <f>IF(ISNUMBER(SEARCH(SUBSTITUTE(AT$1,RIGHT(AT$1,2),""),VLOOKUP($D293,素材!$1:$1016,COLUMN($F$1),FALSE))),VLOOKUP($C293,装備品!$1:$998,COLUMN($O$1),FALSE)*VLOOKUP($D293,素材!$1:$1016,COLUMN($E$1),FALSE)/(LEN(VLOOKUP($D293,素材!$1:$1016,COLUMN($F$1),FALSE))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U293">
        <f>IF(ISNUMBER(SEARCH(SUBSTITUTE(AU$1,RIGHT(AU$1,2),""),VLOOKUP($D293,素材!$1:$1016,COLUMN($F$1),FALSE))),VLOOKUP($C293,装備品!$1:$998,COLUMN($O$1),FALSE)*VLOOKUP($D293,素材!$1:$1016,COLUMN($E$1),FALSE)/(LEN(VLOOKUP($D293,素材!$1:$1016,COLUMN($F$1),FALSE))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V293">
        <f>IF(ISNUMBER(SEARCH(SUBSTITUTE(AV$1,RIGHT(AV$1,2),""),VLOOKUP($D293,素材!$1:$1016,COLUMN($F$1),FALSE))),VLOOKUP($C293,装備品!$1:$998,COLUMN($O$1),FALSE)*VLOOKUP($D293,素材!$1:$1016,COLUMN($E$1),FALSE)/(LEN(VLOOKUP($D293,素材!$1:$1016,COLUMN($F$1),FALSE))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W293">
        <f>IF(ISNUMBER(SEARCH(SUBSTITUTE(AW$1,RIGHT(AW$1,2),""),VLOOKUP($D293,素材!$1:$1016,COLUMN($F$1),FALSE))),VLOOKUP($C293,装備品!$1:$998,COLUMN($O$1),FALSE)*VLOOKUP($D293,素材!$1:$1016,COLUMN($E$1),FALSE)/(LEN(VLOOKUP($D293,素材!$1:$1016,COLUMN($F$1),FALSE))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X293">
        <f>IF(ISNUMBER(SEARCH(SUBSTITUTE(AX$1,RIGHT(AX$1,2),""),VLOOKUP($D293,素材!$1:$1016,COLUMN($F$1),FALSE))),VLOOKUP($C293,装備品!$1:$998,COLUMN($O$1),FALSE)*VLOOKUP($D293,素材!$1:$1016,COLUMN($E$1),FALSE)/(LEN(VLOOKUP($D293,素材!$1:$1016,COLUMN($F$1),FALSE))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Y293">
        <f>IF(ISNUMBER(SEARCH(SUBSTITUTE(AY$1,RIGHT(AY$1,2),""),VLOOKUP($D293,素材!$1:$1016,COLUMN($F$1),FALSE))),VLOOKUP($C293,装備品!$1:$998,COLUMN($O$1),FALSE)*VLOOKUP($D293,素材!$1:$1016,COLUMN($E$1),FALSE)/(LEN(VLOOKUP($D293,素材!$1:$1016,COLUMN($F$1),FALSE))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Z293">
        <f>IF(ISNUMBER(SEARCH(SUBSTITUTE(AZ$1,RIGHT(AZ$1,2),""),VLOOKUP($D293,素材!$1:$1016,COLUMN($F$1),FALSE))),VLOOKUP($C293,装備品!$1:$998,COLUMN($O$1),FALSE)*VLOOKUP($D293,素材!$1:$1016,COLUMN($E$1),FALSE)/(LEN(VLOOKUP($D293,素材!$1:$1016,COLUMN($F$1),FALSE))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BA293">
        <f>IF(ISNUMBER(SEARCH(SUBSTITUTE(BA$1,RIGHT(BA$1,2),""),VLOOKUP($D293,素材!$1:$1016,COLUMN($F$1),FALSE))),VLOOKUP($C293,装備品!$1:$998,COLUMN($O$1),FALSE)*VLOOKUP($D293,素材!$1:$1016,COLUMN($E$1),FALSE)/(LEN(VLOOKUP($D293,素材!$1:$1016,COLUMN($F$1),FALSE))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BB293">
        <f>IF(ISNUMBER(SEARCH(SUBSTITUTE(BB$1,RIGHT(BB$1,2),""),VLOOKUP($D293,素材!$1:$1016,COLUMN($F$1),FALSE))),VLOOKUP($C293,装備品!$1:$998,COLUMN($O$1),FALSE)*VLOOKUP($D293,素材!$1:$1016,COLUMN($E$1),FALSE)/(LEN(VLOOKUP($D293,素材!$1:$1016,COLUMN($F$1),FALSE))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BC293">
        <f>IF(ISNUMBER(SEARCH(SUBSTITUTE(BC$1,RIGHT(BC$1,2),""),VLOOKUP($D293,素材!$1:$1016,COLUMN($F$1),FALSE))),VLOOKUP($C293,装備品!$1:$998,COLUMN($O$1),FALSE)*VLOOKUP($D293,素材!$1:$1016,COLUMN($E$1),FALSE)/(LEN(VLOOKUP($D293,素材!$1:$1016,COLUMN($F$1),FALSE))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BD293">
        <f>IF(ISNUMBER(SEARCH(SUBSTITUTE(BD$1,RIGHT(BD$1,2),""),VLOOKUP($D293,素材!$1:$1016,COLUMN($F$1),FALSE))),VLOOKUP($C293,装備品!$1:$998,COLUMN($O$1),FALSE)*VLOOKUP($D293,素材!$1:$1016,COLUMN($E$1),FALSE)/(LEN(VLOOKUP($D293,素材!$1:$1016,COLUMN($F$1),FALSE))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BE293">
        <f>IF(ISNUMBER(SEARCH(SUBSTITUTE(BE$1,RIGHT(BE$1,2),""),VLOOKUP($D293,素材!$1:$1016,COLUMN($F$1),FALSE))),VLOOKUP($C293,装備品!$1:$998,COLUMN($O$1),FALSE)*VLOOKUP($D293,素材!$1:$1016,COLUMN($E$1),FALSE)/(LEN(VLOOKUP($D293,素材!$1:$1016,COLUMN($F$1),FALSE))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CL293">
        <f t="shared" si="41"/>
        <v>0</v>
      </c>
      <c r="CM293" s="22" t="str">
        <f t="shared" si="42"/>
        <v>.webp</v>
      </c>
      <c r="CN293" t="str">
        <f>IFERROR(VLOOKUP($C293,装備品!$1:$998,COLUMN(V$1),FALSE)*VLOOKUP($D293,素材!$1:$1016,COLUMN(N$1),FALSE)+IF(CI293="",0,VLOOKUP($CI293,付与!$1:$1176,COLUMN($CK$1),FALSE)),"")</f>
        <v/>
      </c>
      <c r="CO293" t="e">
        <f>VLOOKUP(D293,素材!$A:$O,COLUMN(素材!O$1),FALSE)</f>
        <v>#N/A</v>
      </c>
      <c r="CP293" t="e">
        <f>VLOOKUP(C293,装備品!$A:$AB,COLUMN(装備品!AB$1),FALSE)</f>
        <v>#N/A</v>
      </c>
      <c r="CR293" t="str">
        <f t="shared" si="43"/>
        <v>e_293</v>
      </c>
      <c r="CS293" t="e">
        <f t="shared" si="44"/>
        <v>#VALUE!</v>
      </c>
    </row>
    <row r="294" spans="1:97" hidden="1" outlineLevel="1" x14ac:dyDescent="0.4">
      <c r="A294" t="str">
        <f t="shared" si="45"/>
        <v>の</v>
      </c>
      <c r="B294" t="str">
        <f>IFERROR(IF(CI294="",VLOOKUP($D294,素材!$1:$1016,COLUMN($B$1),FALSE)&amp;"・"&amp;VLOOKUP($C294,装備品!$1:$998,COLUMN(B$1),FALSE),VLOOKUP($CI294,付与!$1:$1176,COLUMN($B$1),FALSE)&amp;"・"&amp;VLOOKUP($C294,装備品!$1:$998,COLUMN(B$1),FALSE)),"")</f>
        <v/>
      </c>
      <c r="C294" s="24"/>
      <c r="D294" s="24"/>
      <c r="E294" t="str">
        <f>IFERROR(VLOOKUP(C294,装備品!$1:$998,COLUMN(C$1),FALSE),"")</f>
        <v/>
      </c>
      <c r="F294" t="str">
        <f>IFERROR(ROUNDDOWN((VLOOKUP($C294,装備品!$1:$998,COLUMN(D$1),FALSE)+IFERROR(VLOOKUP($CI294,付与!$1:$1167,COLUMN(F$1),FALSE),0))*VLOOKUP($D294,素材!$1:$1016,COLUMN(D$1),FALSE),0),"")</f>
        <v/>
      </c>
      <c r="G294" t="str">
        <f>IFERROR(ROUNDDOWN((VLOOKUP($C294,装備品!$1:$998,COLUMN(E$1),FALSE)+IFERROR(VLOOKUP($CI294,付与!$1:$1167,COLUMN(G$1),FALSE),0))*VLOOKUP($D294,素材!$1:$1016,COLUMN($E$1),FALSE),0),"")</f>
        <v/>
      </c>
      <c r="H294" t="str">
        <f>IFERROR(ROUNDDOWN((VLOOKUP($C294,装備品!$1:$998,COLUMN(F$1),FALSE)+IFERROR(VLOOKUP($CI294,付与!$1:$1167,COLUMN(H$1),FALSE),0))*VLOOKUP($D294,素材!$1:$1016,COLUMN($E$1),FALSE),0),"")</f>
        <v/>
      </c>
      <c r="I294" t="str">
        <f>IFERROR(ROUNDDOWN((VLOOKUP($C294,装備品!$1:$998,COLUMN(G$1),FALSE)+IFERROR(VLOOKUP($CI294,付与!$1:$1167,COLUMN(I$1),FALSE),0))*VLOOKUP($D294,素材!$1:$1016,COLUMN($E$1),FALSE),0),"")</f>
        <v/>
      </c>
      <c r="J294" t="str">
        <f>IFERROR(ROUNDDOWN((VLOOKUP($C294,装備品!$1:$998,COLUMN(H$1),FALSE)+IFERROR(VLOOKUP($CI294,付与!$1:$1167,COLUMN(J$1),FALSE),0))*VLOOKUP($D294,素材!$1:$1016,COLUMN($E$1),FALSE),0),"")</f>
        <v/>
      </c>
      <c r="K294" t="str">
        <f>IFERROR(ROUNDDOWN((VLOOKUP($C294,装備品!$1:$998,COLUMN(I$1),FALSE)+IFERROR(VLOOKUP($CI294,付与!$1:$1167,COLUMN(K$1),FALSE),0))*VLOOKUP($D294,素材!$1:$1016,COLUMN($E$1),FALSE),0),"")</f>
        <v/>
      </c>
      <c r="L294" t="str">
        <f>IFERROR(VLOOKUP($D294,素材!$1:$1016,COLUMN($F$1),FALSE),"")</f>
        <v/>
      </c>
      <c r="M294" t="str">
        <f>IFERROR(VLOOKUP($C294,装備品!$1:$998,COLUMN(AA$1),FALSE)*VLOOKUP($D294,素材!$1:$1016,COLUMN($G$1),FALSE),"")</f>
        <v/>
      </c>
      <c r="N294" t="str">
        <f>IFERROR(VLOOKUP($C294,装備品!$1:$998,COLUMN(I$1),FALSE),"")</f>
        <v/>
      </c>
      <c r="O294" s="23" t="str">
        <f>IFERROR((VLOOKUP($C294,装備品!$1:$998,COLUMN(K$1),FALSE)+VLOOKUP($D294,素材!$1:$1016,COLUMN(H$1),FALSE))*100+IFERROR(VLOOKUP($CI294,付与!$1:$1167,COLUMN(O$1),FALSE),0),"")</f>
        <v/>
      </c>
      <c r="P294" s="23" t="str">
        <f>IFERROR((VLOOKUP($C294,装備品!$1:$998,COLUMN(L$1),FALSE)+VLOOKUP($D294,素材!$1:$1016,COLUMN(I$1),FALSE))*100+IFERROR(VLOOKUP($CI294,付与!$1:$1167,COLUMN(P$1),FALSE),0),"")</f>
        <v/>
      </c>
      <c r="Q294" t="str">
        <f>IFERROR(ROUNDUP(VLOOKUP($C294,装備品!$1:$998,COLUMN(M$1),FALSE)*(VLOOKUP($D294,素材!$1:$1002,COLUMN(D$1),FALSE)/100),1),"")</f>
        <v/>
      </c>
      <c r="R294" t="str">
        <f>IFERROR(ROUNDUP(VLOOKUP($C294,装備品!$1:$998,COLUMN(N$1),FALSE)*(VLOOKUP($D294,素材!$1:$1002,COLUMN(D$1),FALSE)/100),1),"")</f>
        <v/>
      </c>
      <c r="S294" t="str">
        <f>IFERROR(VLOOKUP($C294,装備品!$1:$998,COLUMN(P$1),FALSE),"")</f>
        <v/>
      </c>
      <c r="T294" t="str">
        <f>IFERROR(VLOOKUP($C294,装備品!$1:$998,COLUMN(Q$1),FALSE),"")</f>
        <v/>
      </c>
      <c r="U294" t="str">
        <f>IFERROR(VLOOKUP($C294,装備品!$1:$998,COLUMN(R$1),FALSE),"")</f>
        <v/>
      </c>
      <c r="V294" t="str">
        <f>IFERROR(VLOOKUP($C294,装備品!$1:$998,COLUMN(Q$1),FALSE),"")</f>
        <v/>
      </c>
      <c r="W294" t="str">
        <f>IFERROR(VLOOKUP($C294,装備品!$1:$998,COLUMN(T$1),FALSE),"")</f>
        <v/>
      </c>
      <c r="Y294" t="str">
        <f>IFERROR(VLOOKUP($C294,装備品!$1:$998,COLUMN(U$1),FALSE),"")</f>
        <v/>
      </c>
      <c r="Z294" t="str">
        <f>IFERROR(ROUNDUP(VLOOKUP($C294,装備品!$1:$998,COLUMN(O$1),FALSE)*VLOOKUP($D294,素材!$1:$1016,COLUMN(E$1),FALSE),1),"")</f>
        <v/>
      </c>
      <c r="AA294">
        <f>IF(ISNUMBER(SEARCH(SUBSTITUTE(AA$1,RIGHT(AA$1,2),""),VLOOKUP($D294,素材!$1:$1016,COLUMN($F$1),FALSE))),VLOOKUP($C294,装備品!$1:$998,COLUMN($O$1),FALSE)*VLOOKUP($D294,素材!$1:$1016,COLUMN($E$1),FALSE)/(LEN(VLOOKUP($D294,素材!$1:$1016,COLUMN($F$1),FALSE))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B294">
        <f>IF(ISNUMBER(SEARCH(SUBSTITUTE(AB$1,RIGHT(AB$1,2),""),VLOOKUP($D294,素材!$1:$1016,COLUMN($F$1),FALSE))),VLOOKUP($C294,装備品!$1:$998,COLUMN($O$1),FALSE)*VLOOKUP($D294,素材!$1:$1016,COLUMN($E$1),FALSE)/(LEN(VLOOKUP($D294,素材!$1:$1016,COLUMN($F$1),FALSE))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C294">
        <f>IF(ISNUMBER(SEARCH(SUBSTITUTE(AC$1,RIGHT(AC$1,2),""),VLOOKUP($D294,素材!$1:$1016,COLUMN($F$1),FALSE))),VLOOKUP($C294,装備品!$1:$998,COLUMN($O$1),FALSE)*VLOOKUP($D294,素材!$1:$1016,COLUMN($E$1),FALSE)/(LEN(VLOOKUP($D294,素材!$1:$1016,COLUMN($F$1),FALSE))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D294">
        <f>IF(ISNUMBER(SEARCH(SUBSTITUTE(AD$1,RIGHT(AD$1,2),""),VLOOKUP($D294,素材!$1:$1016,COLUMN($F$1),FALSE))),VLOOKUP($C294,装備品!$1:$998,COLUMN($O$1),FALSE)*VLOOKUP($D294,素材!$1:$1016,COLUMN($E$1),FALSE)/(LEN(VLOOKUP($D294,素材!$1:$1016,COLUMN($F$1),FALSE))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E294">
        <f>IF(ISNUMBER(SEARCH(SUBSTITUTE(AE$1,RIGHT(AE$1,2),""),VLOOKUP($D294,素材!$1:$1016,COLUMN($F$1),FALSE))),VLOOKUP($C294,装備品!$1:$998,COLUMN($O$1),FALSE)*VLOOKUP($D294,素材!$1:$1016,COLUMN($E$1),FALSE)/(LEN(VLOOKUP($D294,素材!$1:$1016,COLUMN($F$1),FALSE))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F294">
        <f>IF(ISNUMBER(SEARCH(SUBSTITUTE(AF$1,RIGHT(AF$1,2),""),VLOOKUP($D294,素材!$1:$1016,COLUMN($F$1),FALSE))),VLOOKUP($C294,装備品!$1:$998,COLUMN($O$1),FALSE)*VLOOKUP($D294,素材!$1:$1016,COLUMN($E$1),FALSE)/(LEN(VLOOKUP($D294,素材!$1:$1016,COLUMN($F$1),FALSE))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G294">
        <f>IF(ISNUMBER(SEARCH(SUBSTITUTE(AG$1,RIGHT(AG$1,2),""),VLOOKUP($D294,素材!$1:$1016,COLUMN($F$1),FALSE))),VLOOKUP($C294,装備品!$1:$998,COLUMN($O$1),FALSE)*VLOOKUP($D294,素材!$1:$1016,COLUMN($E$1),FALSE)/(LEN(VLOOKUP($D294,素材!$1:$1016,COLUMN($F$1),FALSE))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H294">
        <f>IF(ISNUMBER(SEARCH(SUBSTITUTE(AH$1,RIGHT(AH$1,2),""),VLOOKUP($D294,素材!$1:$1016,COLUMN($F$1),FALSE))),VLOOKUP($C294,装備品!$1:$998,COLUMN($O$1),FALSE)*VLOOKUP($D294,素材!$1:$1016,COLUMN($E$1),FALSE)/(LEN(VLOOKUP($D294,素材!$1:$1016,COLUMN($F$1),FALSE))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I294">
        <f>IF(ISNUMBER(SEARCH(SUBSTITUTE(AI$1,RIGHT(AI$1,2),""),VLOOKUP($D294,素材!$1:$1016,COLUMN($F$1),FALSE))),VLOOKUP($C294,装備品!$1:$998,COLUMN($O$1),FALSE)*VLOOKUP($D294,素材!$1:$1016,COLUMN($E$1),FALSE)/(LEN(VLOOKUP($D294,素材!$1:$1016,COLUMN($F$1),FALSE))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J294">
        <f>IF(ISNUMBER(SEARCH(SUBSTITUTE(AJ$1,RIGHT(AJ$1,2),""),VLOOKUP($D294,素材!$1:$1016,COLUMN($F$1),FALSE))),VLOOKUP($C294,装備品!$1:$998,COLUMN($O$1),FALSE)*VLOOKUP($D294,素材!$1:$1016,COLUMN($E$1),FALSE)/(LEN(VLOOKUP($D294,素材!$1:$1016,COLUMN($F$1),FALSE))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K294">
        <f>IF(ISNUMBER(SEARCH(SUBSTITUTE(AK$1,RIGHT(AK$1,2),""),VLOOKUP($D294,素材!$1:$1016,COLUMN($F$1),FALSE))),VLOOKUP($C294,装備品!$1:$998,COLUMN($O$1),FALSE)*VLOOKUP($D294,素材!$1:$1016,COLUMN($E$1),FALSE)/(LEN(VLOOKUP($D294,素材!$1:$1016,COLUMN($F$1),FALSE))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L294">
        <f>IF(ISNUMBER(SEARCH(SUBSTITUTE(AL$1,RIGHT(AL$1,2),""),VLOOKUP($D294,素材!$1:$1016,COLUMN($F$1),FALSE))),VLOOKUP($C294,装備品!$1:$998,COLUMN($O$1),FALSE)*VLOOKUP($D294,素材!$1:$1016,COLUMN($E$1),FALSE)/(LEN(VLOOKUP($D294,素材!$1:$1016,COLUMN($F$1),FALSE))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M294">
        <f>IF(ISNUMBER(SEARCH(SUBSTITUTE(AM$1,RIGHT(AM$1,2),""),VLOOKUP($D294,素材!$1:$1016,COLUMN($F$1),FALSE))),VLOOKUP($C294,装備品!$1:$998,COLUMN($O$1),FALSE)*VLOOKUP($D294,素材!$1:$1016,COLUMN($E$1),FALSE)/(LEN(VLOOKUP($D294,素材!$1:$1016,COLUMN($F$1),FALSE))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N294">
        <f>IF(ISNUMBER(SEARCH(SUBSTITUTE(AN$1,RIGHT(AN$1,2),""),VLOOKUP($D294,素材!$1:$1016,COLUMN($F$1),FALSE))),VLOOKUP($C294,装備品!$1:$998,COLUMN($O$1),FALSE)*VLOOKUP($D294,素材!$1:$1016,COLUMN($E$1),FALSE)/(LEN(VLOOKUP($D294,素材!$1:$1016,COLUMN($F$1),FALSE))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O294">
        <f>IF(ISNUMBER(SEARCH(SUBSTITUTE(AO$1,RIGHT(AO$1,2),""),VLOOKUP($D294,素材!$1:$1016,COLUMN($F$1),FALSE))),VLOOKUP($C294,装備品!$1:$998,COLUMN($O$1),FALSE)*VLOOKUP($D294,素材!$1:$1016,COLUMN($E$1),FALSE)/(LEN(VLOOKUP($D294,素材!$1:$1016,COLUMN($F$1),FALSE))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P294">
        <f>IF(ISNUMBER(SEARCH(SUBSTITUTE(AP$1,RIGHT(AP$1,2),""),VLOOKUP($D294,素材!$1:$1016,COLUMN($F$1),FALSE))),VLOOKUP($C294,装備品!$1:$998,COLUMN($O$1),FALSE)*VLOOKUP($D294,素材!$1:$1016,COLUMN($E$1),FALSE)/(LEN(VLOOKUP($D294,素材!$1:$1016,COLUMN($F$1),FALSE))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Q294">
        <f>IF(ISNUMBER(SEARCH(SUBSTITUTE(AQ$1,RIGHT(AQ$1,2),""),VLOOKUP($D294,素材!$1:$1016,COLUMN($F$1),FALSE))),VLOOKUP($C294,装備品!$1:$998,COLUMN($O$1),FALSE)*VLOOKUP($D294,素材!$1:$1016,COLUMN($E$1),FALSE)/(LEN(VLOOKUP($D294,素材!$1:$1016,COLUMN($F$1),FALSE))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R294">
        <f>IF(ISNUMBER(SEARCH(SUBSTITUTE(AR$1,RIGHT(AR$1,2),""),VLOOKUP($D294,素材!$1:$1016,COLUMN($F$1),FALSE))),VLOOKUP($C294,装備品!$1:$998,COLUMN($O$1),FALSE)*VLOOKUP($D294,素材!$1:$1016,COLUMN($E$1),FALSE)/(LEN(VLOOKUP($D294,素材!$1:$1016,COLUMN($F$1),FALSE))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S294">
        <f>IF(ISNUMBER(SEARCH(SUBSTITUTE(AS$1,RIGHT(AS$1,2),""),VLOOKUP($D294,素材!$1:$1016,COLUMN($F$1),FALSE))),VLOOKUP($C294,装備品!$1:$998,COLUMN($O$1),FALSE)*VLOOKUP($D294,素材!$1:$1016,COLUMN($E$1),FALSE)/(LEN(VLOOKUP($D294,素材!$1:$1016,COLUMN($F$1),FALSE))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T294">
        <f>IF(ISNUMBER(SEARCH(SUBSTITUTE(AT$1,RIGHT(AT$1,2),""),VLOOKUP($D294,素材!$1:$1016,COLUMN($F$1),FALSE))),VLOOKUP($C294,装備品!$1:$998,COLUMN($O$1),FALSE)*VLOOKUP($D294,素材!$1:$1016,COLUMN($E$1),FALSE)/(LEN(VLOOKUP($D294,素材!$1:$1016,COLUMN($F$1),FALSE))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U294">
        <f>IF(ISNUMBER(SEARCH(SUBSTITUTE(AU$1,RIGHT(AU$1,2),""),VLOOKUP($D294,素材!$1:$1016,COLUMN($F$1),FALSE))),VLOOKUP($C294,装備品!$1:$998,COLUMN($O$1),FALSE)*VLOOKUP($D294,素材!$1:$1016,COLUMN($E$1),FALSE)/(LEN(VLOOKUP($D294,素材!$1:$1016,COLUMN($F$1),FALSE))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V294">
        <f>IF(ISNUMBER(SEARCH(SUBSTITUTE(AV$1,RIGHT(AV$1,2),""),VLOOKUP($D294,素材!$1:$1016,COLUMN($F$1),FALSE))),VLOOKUP($C294,装備品!$1:$998,COLUMN($O$1),FALSE)*VLOOKUP($D294,素材!$1:$1016,COLUMN($E$1),FALSE)/(LEN(VLOOKUP($D294,素材!$1:$1016,COLUMN($F$1),FALSE))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W294">
        <f>IF(ISNUMBER(SEARCH(SUBSTITUTE(AW$1,RIGHT(AW$1,2),""),VLOOKUP($D294,素材!$1:$1016,COLUMN($F$1),FALSE))),VLOOKUP($C294,装備品!$1:$998,COLUMN($O$1),FALSE)*VLOOKUP($D294,素材!$1:$1016,COLUMN($E$1),FALSE)/(LEN(VLOOKUP($D294,素材!$1:$1016,COLUMN($F$1),FALSE))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X294">
        <f>IF(ISNUMBER(SEARCH(SUBSTITUTE(AX$1,RIGHT(AX$1,2),""),VLOOKUP($D294,素材!$1:$1016,COLUMN($F$1),FALSE))),VLOOKUP($C294,装備品!$1:$998,COLUMN($O$1),FALSE)*VLOOKUP($D294,素材!$1:$1016,COLUMN($E$1),FALSE)/(LEN(VLOOKUP($D294,素材!$1:$1016,COLUMN($F$1),FALSE))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Y294">
        <f>IF(ISNUMBER(SEARCH(SUBSTITUTE(AY$1,RIGHT(AY$1,2),""),VLOOKUP($D294,素材!$1:$1016,COLUMN($F$1),FALSE))),VLOOKUP($C294,装備品!$1:$998,COLUMN($O$1),FALSE)*VLOOKUP($D294,素材!$1:$1016,COLUMN($E$1),FALSE)/(LEN(VLOOKUP($D294,素材!$1:$1016,COLUMN($F$1),FALSE))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Z294">
        <f>IF(ISNUMBER(SEARCH(SUBSTITUTE(AZ$1,RIGHT(AZ$1,2),""),VLOOKUP($D294,素材!$1:$1016,COLUMN($F$1),FALSE))),VLOOKUP($C294,装備品!$1:$998,COLUMN($O$1),FALSE)*VLOOKUP($D294,素材!$1:$1016,COLUMN($E$1),FALSE)/(LEN(VLOOKUP($D294,素材!$1:$1016,COLUMN($F$1),FALSE))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BA294">
        <f>IF(ISNUMBER(SEARCH(SUBSTITUTE(BA$1,RIGHT(BA$1,2),""),VLOOKUP($D294,素材!$1:$1016,COLUMN($F$1),FALSE))),VLOOKUP($C294,装備品!$1:$998,COLUMN($O$1),FALSE)*VLOOKUP($D294,素材!$1:$1016,COLUMN($E$1),FALSE)/(LEN(VLOOKUP($D294,素材!$1:$1016,COLUMN($F$1),FALSE))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BB294">
        <f>IF(ISNUMBER(SEARCH(SUBSTITUTE(BB$1,RIGHT(BB$1,2),""),VLOOKUP($D294,素材!$1:$1016,COLUMN($F$1),FALSE))),VLOOKUP($C294,装備品!$1:$998,COLUMN($O$1),FALSE)*VLOOKUP($D294,素材!$1:$1016,COLUMN($E$1),FALSE)/(LEN(VLOOKUP($D294,素材!$1:$1016,COLUMN($F$1),FALSE))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BC294">
        <f>IF(ISNUMBER(SEARCH(SUBSTITUTE(BC$1,RIGHT(BC$1,2),""),VLOOKUP($D294,素材!$1:$1016,COLUMN($F$1),FALSE))),VLOOKUP($C294,装備品!$1:$998,COLUMN($O$1),FALSE)*VLOOKUP($D294,素材!$1:$1016,COLUMN($E$1),FALSE)/(LEN(VLOOKUP($D294,素材!$1:$1016,COLUMN($F$1),FALSE))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BD294">
        <f>IF(ISNUMBER(SEARCH(SUBSTITUTE(BD$1,RIGHT(BD$1,2),""),VLOOKUP($D294,素材!$1:$1016,COLUMN($F$1),FALSE))),VLOOKUP($C294,装備品!$1:$998,COLUMN($O$1),FALSE)*VLOOKUP($D294,素材!$1:$1016,COLUMN($E$1),FALSE)/(LEN(VLOOKUP($D294,素材!$1:$1016,COLUMN($F$1),FALSE))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BE294">
        <f>IF(ISNUMBER(SEARCH(SUBSTITUTE(BE$1,RIGHT(BE$1,2),""),VLOOKUP($D294,素材!$1:$1016,COLUMN($F$1),FALSE))),VLOOKUP($C294,装備品!$1:$998,COLUMN($O$1),FALSE)*VLOOKUP($D294,素材!$1:$1016,COLUMN($E$1),FALSE)/(LEN(VLOOKUP($D294,素材!$1:$1016,COLUMN($F$1),FALSE))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CL294">
        <f t="shared" si="41"/>
        <v>0</v>
      </c>
      <c r="CM294" s="22" t="str">
        <f t="shared" si="42"/>
        <v>.webp</v>
      </c>
      <c r="CN294" t="str">
        <f>IFERROR(VLOOKUP($C294,装備品!$1:$998,COLUMN(V$1),FALSE)*VLOOKUP($D294,素材!$1:$1016,COLUMN(N$1),FALSE)+IF(CI294="",0,VLOOKUP($CI294,付与!$1:$1176,COLUMN($CK$1),FALSE)),"")</f>
        <v/>
      </c>
      <c r="CO294" t="e">
        <f>VLOOKUP(D294,素材!$A:$O,COLUMN(素材!O$1),FALSE)</f>
        <v>#N/A</v>
      </c>
      <c r="CP294" t="e">
        <f>VLOOKUP(C294,装備品!$A:$AB,COLUMN(装備品!AB$1),FALSE)</f>
        <v>#N/A</v>
      </c>
      <c r="CR294" t="str">
        <f t="shared" si="43"/>
        <v>e_294</v>
      </c>
      <c r="CS294" t="e">
        <f t="shared" si="44"/>
        <v>#VALUE!</v>
      </c>
    </row>
    <row r="295" spans="1:97" hidden="1" outlineLevel="1" x14ac:dyDescent="0.4">
      <c r="A295" t="str">
        <f t="shared" si="45"/>
        <v>の</v>
      </c>
      <c r="B295" t="str">
        <f>IFERROR(IF(CI295="",VLOOKUP($D295,素材!$1:$1016,COLUMN($B$1),FALSE)&amp;"・"&amp;VLOOKUP($C295,装備品!$1:$998,COLUMN(B$1),FALSE),VLOOKUP($CI295,付与!$1:$1176,COLUMN($B$1),FALSE)&amp;"・"&amp;VLOOKUP($C295,装備品!$1:$998,COLUMN(B$1),FALSE)),"")</f>
        <v/>
      </c>
      <c r="C295" s="24"/>
      <c r="D295" s="24"/>
      <c r="E295" t="str">
        <f>IFERROR(VLOOKUP(C295,装備品!$1:$998,COLUMN(C$1),FALSE),"")</f>
        <v/>
      </c>
      <c r="F295" t="str">
        <f>IFERROR(ROUNDDOWN((VLOOKUP($C295,装備品!$1:$998,COLUMN(D$1),FALSE)+IFERROR(VLOOKUP($CI295,付与!$1:$1167,COLUMN(F$1),FALSE),0))*VLOOKUP($D295,素材!$1:$1016,COLUMN(D$1),FALSE),0),"")</f>
        <v/>
      </c>
      <c r="G295" t="str">
        <f>IFERROR(ROUNDDOWN((VLOOKUP($C295,装備品!$1:$998,COLUMN(E$1),FALSE)+IFERROR(VLOOKUP($CI295,付与!$1:$1167,COLUMN(G$1),FALSE),0))*VLOOKUP($D295,素材!$1:$1016,COLUMN($E$1),FALSE),0),"")</f>
        <v/>
      </c>
      <c r="H295" t="str">
        <f>IFERROR(ROUNDDOWN((VLOOKUP($C295,装備品!$1:$998,COLUMN(F$1),FALSE)+IFERROR(VLOOKUP($CI295,付与!$1:$1167,COLUMN(H$1),FALSE),0))*VLOOKUP($D295,素材!$1:$1016,COLUMN($E$1),FALSE),0),"")</f>
        <v/>
      </c>
      <c r="I295" t="str">
        <f>IFERROR(ROUNDDOWN((VLOOKUP($C295,装備品!$1:$998,COLUMN(G$1),FALSE)+IFERROR(VLOOKUP($CI295,付与!$1:$1167,COLUMN(I$1),FALSE),0))*VLOOKUP($D295,素材!$1:$1016,COLUMN($E$1),FALSE),0),"")</f>
        <v/>
      </c>
      <c r="J295" t="str">
        <f>IFERROR(ROUNDDOWN((VLOOKUP($C295,装備品!$1:$998,COLUMN(H$1),FALSE)+IFERROR(VLOOKUP($CI295,付与!$1:$1167,COLUMN(J$1),FALSE),0))*VLOOKUP($D295,素材!$1:$1016,COLUMN($E$1),FALSE),0),"")</f>
        <v/>
      </c>
      <c r="K295" t="str">
        <f>IFERROR(ROUNDDOWN((VLOOKUP($C295,装備品!$1:$998,COLUMN(I$1),FALSE)+IFERROR(VLOOKUP($CI295,付与!$1:$1167,COLUMN(K$1),FALSE),0))*VLOOKUP($D295,素材!$1:$1016,COLUMN($E$1),FALSE),0),"")</f>
        <v/>
      </c>
      <c r="L295" t="str">
        <f>IFERROR(VLOOKUP($D295,素材!$1:$1016,COLUMN($F$1),FALSE),"")</f>
        <v/>
      </c>
      <c r="M295" t="str">
        <f>IFERROR(VLOOKUP($C295,装備品!$1:$998,COLUMN(AA$1),FALSE)*VLOOKUP($D295,素材!$1:$1016,COLUMN($G$1),FALSE),"")</f>
        <v/>
      </c>
      <c r="N295" t="str">
        <f>IFERROR(VLOOKUP($C295,装備品!$1:$998,COLUMN(I$1),FALSE),"")</f>
        <v/>
      </c>
      <c r="O295" s="23" t="str">
        <f>IFERROR((VLOOKUP($C295,装備品!$1:$998,COLUMN(K$1),FALSE)+VLOOKUP($D295,素材!$1:$1016,COLUMN(H$1),FALSE))*100+IFERROR(VLOOKUP($CI295,付与!$1:$1167,COLUMN(O$1),FALSE),0),"")</f>
        <v/>
      </c>
      <c r="P295" s="23" t="str">
        <f>IFERROR((VLOOKUP($C295,装備品!$1:$998,COLUMN(L$1),FALSE)+VLOOKUP($D295,素材!$1:$1016,COLUMN(I$1),FALSE))*100+IFERROR(VLOOKUP($CI295,付与!$1:$1167,COLUMN(P$1),FALSE),0),"")</f>
        <v/>
      </c>
      <c r="Q295" t="str">
        <f>IFERROR(ROUNDUP(VLOOKUP($C295,装備品!$1:$998,COLUMN(M$1),FALSE)*(VLOOKUP($D295,素材!$1:$1002,COLUMN(D$1),FALSE)/100),1),"")</f>
        <v/>
      </c>
      <c r="R295" t="str">
        <f>IFERROR(ROUNDUP(VLOOKUP($C295,装備品!$1:$998,COLUMN(N$1),FALSE)*(VLOOKUP($D295,素材!$1:$1002,COLUMN(D$1),FALSE)/100),1),"")</f>
        <v/>
      </c>
      <c r="S295" t="str">
        <f>IFERROR(VLOOKUP($C295,装備品!$1:$998,COLUMN(P$1),FALSE),"")</f>
        <v/>
      </c>
      <c r="T295" t="str">
        <f>IFERROR(VLOOKUP($C295,装備品!$1:$998,COLUMN(Q$1),FALSE),"")</f>
        <v/>
      </c>
      <c r="U295" t="str">
        <f>IFERROR(VLOOKUP($C295,装備品!$1:$998,COLUMN(R$1),FALSE),"")</f>
        <v/>
      </c>
      <c r="V295" t="str">
        <f>IFERROR(VLOOKUP($C295,装備品!$1:$998,COLUMN(Q$1),FALSE),"")</f>
        <v/>
      </c>
      <c r="W295" t="str">
        <f>IFERROR(VLOOKUP($C295,装備品!$1:$998,COLUMN(T$1),FALSE),"")</f>
        <v/>
      </c>
      <c r="Y295" t="str">
        <f>IFERROR(VLOOKUP($C295,装備品!$1:$998,COLUMN(U$1),FALSE),"")</f>
        <v/>
      </c>
      <c r="Z295" t="str">
        <f>IFERROR(ROUNDUP(VLOOKUP($C295,装備品!$1:$998,COLUMN(O$1),FALSE)*VLOOKUP($D295,素材!$1:$1016,COLUMN(E$1),FALSE),1),"")</f>
        <v/>
      </c>
      <c r="AA295">
        <f>IF(ISNUMBER(SEARCH(SUBSTITUTE(AA$1,RIGHT(AA$1,2),""),VLOOKUP($D295,素材!$1:$1016,COLUMN($F$1),FALSE))),VLOOKUP($C295,装備品!$1:$998,COLUMN($O$1),FALSE)*VLOOKUP($D295,素材!$1:$1016,COLUMN($E$1),FALSE)/(LEN(VLOOKUP($D295,素材!$1:$1016,COLUMN($F$1),FALSE))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B295">
        <f>IF(ISNUMBER(SEARCH(SUBSTITUTE(AB$1,RIGHT(AB$1,2),""),VLOOKUP($D295,素材!$1:$1016,COLUMN($F$1),FALSE))),VLOOKUP($C295,装備品!$1:$998,COLUMN($O$1),FALSE)*VLOOKUP($D295,素材!$1:$1016,COLUMN($E$1),FALSE)/(LEN(VLOOKUP($D295,素材!$1:$1016,COLUMN($F$1),FALSE))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C295">
        <f>IF(ISNUMBER(SEARCH(SUBSTITUTE(AC$1,RIGHT(AC$1,2),""),VLOOKUP($D295,素材!$1:$1016,COLUMN($F$1),FALSE))),VLOOKUP($C295,装備品!$1:$998,COLUMN($O$1),FALSE)*VLOOKUP($D295,素材!$1:$1016,COLUMN($E$1),FALSE)/(LEN(VLOOKUP($D295,素材!$1:$1016,COLUMN($F$1),FALSE))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D295">
        <f>IF(ISNUMBER(SEARCH(SUBSTITUTE(AD$1,RIGHT(AD$1,2),""),VLOOKUP($D295,素材!$1:$1016,COLUMN($F$1),FALSE))),VLOOKUP($C295,装備品!$1:$998,COLUMN($O$1),FALSE)*VLOOKUP($D295,素材!$1:$1016,COLUMN($E$1),FALSE)/(LEN(VLOOKUP($D295,素材!$1:$1016,COLUMN($F$1),FALSE))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E295">
        <f>IF(ISNUMBER(SEARCH(SUBSTITUTE(AE$1,RIGHT(AE$1,2),""),VLOOKUP($D295,素材!$1:$1016,COLUMN($F$1),FALSE))),VLOOKUP($C295,装備品!$1:$998,COLUMN($O$1),FALSE)*VLOOKUP($D295,素材!$1:$1016,COLUMN($E$1),FALSE)/(LEN(VLOOKUP($D295,素材!$1:$1016,COLUMN($F$1),FALSE))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F295">
        <f>IF(ISNUMBER(SEARCH(SUBSTITUTE(AF$1,RIGHT(AF$1,2),""),VLOOKUP($D295,素材!$1:$1016,COLUMN($F$1),FALSE))),VLOOKUP($C295,装備品!$1:$998,COLUMN($O$1),FALSE)*VLOOKUP($D295,素材!$1:$1016,COLUMN($E$1),FALSE)/(LEN(VLOOKUP($D295,素材!$1:$1016,COLUMN($F$1),FALSE))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G295">
        <f>IF(ISNUMBER(SEARCH(SUBSTITUTE(AG$1,RIGHT(AG$1,2),""),VLOOKUP($D295,素材!$1:$1016,COLUMN($F$1),FALSE))),VLOOKUP($C295,装備品!$1:$998,COLUMN($O$1),FALSE)*VLOOKUP($D295,素材!$1:$1016,COLUMN($E$1),FALSE)/(LEN(VLOOKUP($D295,素材!$1:$1016,COLUMN($F$1),FALSE))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H295">
        <f>IF(ISNUMBER(SEARCH(SUBSTITUTE(AH$1,RIGHT(AH$1,2),""),VLOOKUP($D295,素材!$1:$1016,COLUMN($F$1),FALSE))),VLOOKUP($C295,装備品!$1:$998,COLUMN($O$1),FALSE)*VLOOKUP($D295,素材!$1:$1016,COLUMN($E$1),FALSE)/(LEN(VLOOKUP($D295,素材!$1:$1016,COLUMN($F$1),FALSE))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I295">
        <f>IF(ISNUMBER(SEARCH(SUBSTITUTE(AI$1,RIGHT(AI$1,2),""),VLOOKUP($D295,素材!$1:$1016,COLUMN($F$1),FALSE))),VLOOKUP($C295,装備品!$1:$998,COLUMN($O$1),FALSE)*VLOOKUP($D295,素材!$1:$1016,COLUMN($E$1),FALSE)/(LEN(VLOOKUP($D295,素材!$1:$1016,COLUMN($F$1),FALSE))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J295">
        <f>IF(ISNUMBER(SEARCH(SUBSTITUTE(AJ$1,RIGHT(AJ$1,2),""),VLOOKUP($D295,素材!$1:$1016,COLUMN($F$1),FALSE))),VLOOKUP($C295,装備品!$1:$998,COLUMN($O$1),FALSE)*VLOOKUP($D295,素材!$1:$1016,COLUMN($E$1),FALSE)/(LEN(VLOOKUP($D295,素材!$1:$1016,COLUMN($F$1),FALSE))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K295">
        <f>IF(ISNUMBER(SEARCH(SUBSTITUTE(AK$1,RIGHT(AK$1,2),""),VLOOKUP($D295,素材!$1:$1016,COLUMN($F$1),FALSE))),VLOOKUP($C295,装備品!$1:$998,COLUMN($O$1),FALSE)*VLOOKUP($D295,素材!$1:$1016,COLUMN($E$1),FALSE)/(LEN(VLOOKUP($D295,素材!$1:$1016,COLUMN($F$1),FALSE))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L295">
        <f>IF(ISNUMBER(SEARCH(SUBSTITUTE(AL$1,RIGHT(AL$1,2),""),VLOOKUP($D295,素材!$1:$1016,COLUMN($F$1),FALSE))),VLOOKUP($C295,装備品!$1:$998,COLUMN($O$1),FALSE)*VLOOKUP($D295,素材!$1:$1016,COLUMN($E$1),FALSE)/(LEN(VLOOKUP($D295,素材!$1:$1016,COLUMN($F$1),FALSE))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M295">
        <f>IF(ISNUMBER(SEARCH(SUBSTITUTE(AM$1,RIGHT(AM$1,2),""),VLOOKUP($D295,素材!$1:$1016,COLUMN($F$1),FALSE))),VLOOKUP($C295,装備品!$1:$998,COLUMN($O$1),FALSE)*VLOOKUP($D295,素材!$1:$1016,COLUMN($E$1),FALSE)/(LEN(VLOOKUP($D295,素材!$1:$1016,COLUMN($F$1),FALSE))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N295">
        <f>IF(ISNUMBER(SEARCH(SUBSTITUTE(AN$1,RIGHT(AN$1,2),""),VLOOKUP($D295,素材!$1:$1016,COLUMN($F$1),FALSE))),VLOOKUP($C295,装備品!$1:$998,COLUMN($O$1),FALSE)*VLOOKUP($D295,素材!$1:$1016,COLUMN($E$1),FALSE)/(LEN(VLOOKUP($D295,素材!$1:$1016,COLUMN($F$1),FALSE))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O295">
        <f>IF(ISNUMBER(SEARCH(SUBSTITUTE(AO$1,RIGHT(AO$1,2),""),VLOOKUP($D295,素材!$1:$1016,COLUMN($F$1),FALSE))),VLOOKUP($C295,装備品!$1:$998,COLUMN($O$1),FALSE)*VLOOKUP($D295,素材!$1:$1016,COLUMN($E$1),FALSE)/(LEN(VLOOKUP($D295,素材!$1:$1016,COLUMN($F$1),FALSE))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P295">
        <f>IF(ISNUMBER(SEARCH(SUBSTITUTE(AP$1,RIGHT(AP$1,2),""),VLOOKUP($D295,素材!$1:$1016,COLUMN($F$1),FALSE))),VLOOKUP($C295,装備品!$1:$998,COLUMN($O$1),FALSE)*VLOOKUP($D295,素材!$1:$1016,COLUMN($E$1),FALSE)/(LEN(VLOOKUP($D295,素材!$1:$1016,COLUMN($F$1),FALSE))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Q295">
        <f>IF(ISNUMBER(SEARCH(SUBSTITUTE(AQ$1,RIGHT(AQ$1,2),""),VLOOKUP($D295,素材!$1:$1016,COLUMN($F$1),FALSE))),VLOOKUP($C295,装備品!$1:$998,COLUMN($O$1),FALSE)*VLOOKUP($D295,素材!$1:$1016,COLUMN($E$1),FALSE)/(LEN(VLOOKUP($D295,素材!$1:$1016,COLUMN($F$1),FALSE))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R295">
        <f>IF(ISNUMBER(SEARCH(SUBSTITUTE(AR$1,RIGHT(AR$1,2),""),VLOOKUP($D295,素材!$1:$1016,COLUMN($F$1),FALSE))),VLOOKUP($C295,装備品!$1:$998,COLUMN($O$1),FALSE)*VLOOKUP($D295,素材!$1:$1016,COLUMN($E$1),FALSE)/(LEN(VLOOKUP($D295,素材!$1:$1016,COLUMN($F$1),FALSE))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S295">
        <f>IF(ISNUMBER(SEARCH(SUBSTITUTE(AS$1,RIGHT(AS$1,2),""),VLOOKUP($D295,素材!$1:$1016,COLUMN($F$1),FALSE))),VLOOKUP($C295,装備品!$1:$998,COLUMN($O$1),FALSE)*VLOOKUP($D295,素材!$1:$1016,COLUMN($E$1),FALSE)/(LEN(VLOOKUP($D295,素材!$1:$1016,COLUMN($F$1),FALSE))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T295">
        <f>IF(ISNUMBER(SEARCH(SUBSTITUTE(AT$1,RIGHT(AT$1,2),""),VLOOKUP($D295,素材!$1:$1016,COLUMN($F$1),FALSE))),VLOOKUP($C295,装備品!$1:$998,COLUMN($O$1),FALSE)*VLOOKUP($D295,素材!$1:$1016,COLUMN($E$1),FALSE)/(LEN(VLOOKUP($D295,素材!$1:$1016,COLUMN($F$1),FALSE))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U295">
        <f>IF(ISNUMBER(SEARCH(SUBSTITUTE(AU$1,RIGHT(AU$1,2),""),VLOOKUP($D295,素材!$1:$1016,COLUMN($F$1),FALSE))),VLOOKUP($C295,装備品!$1:$998,COLUMN($O$1),FALSE)*VLOOKUP($D295,素材!$1:$1016,COLUMN($E$1),FALSE)/(LEN(VLOOKUP($D295,素材!$1:$1016,COLUMN($F$1),FALSE))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V295">
        <f>IF(ISNUMBER(SEARCH(SUBSTITUTE(AV$1,RIGHT(AV$1,2),""),VLOOKUP($D295,素材!$1:$1016,COLUMN($F$1),FALSE))),VLOOKUP($C295,装備品!$1:$998,COLUMN($O$1),FALSE)*VLOOKUP($D295,素材!$1:$1016,COLUMN($E$1),FALSE)/(LEN(VLOOKUP($D295,素材!$1:$1016,COLUMN($F$1),FALSE))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W295">
        <f>IF(ISNUMBER(SEARCH(SUBSTITUTE(AW$1,RIGHT(AW$1,2),""),VLOOKUP($D295,素材!$1:$1016,COLUMN($F$1),FALSE))),VLOOKUP($C295,装備品!$1:$998,COLUMN($O$1),FALSE)*VLOOKUP($D295,素材!$1:$1016,COLUMN($E$1),FALSE)/(LEN(VLOOKUP($D295,素材!$1:$1016,COLUMN($F$1),FALSE))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X295">
        <f>IF(ISNUMBER(SEARCH(SUBSTITUTE(AX$1,RIGHT(AX$1,2),""),VLOOKUP($D295,素材!$1:$1016,COLUMN($F$1),FALSE))),VLOOKUP($C295,装備品!$1:$998,COLUMN($O$1),FALSE)*VLOOKUP($D295,素材!$1:$1016,COLUMN($E$1),FALSE)/(LEN(VLOOKUP($D295,素材!$1:$1016,COLUMN($F$1),FALSE))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Y295">
        <f>IF(ISNUMBER(SEARCH(SUBSTITUTE(AY$1,RIGHT(AY$1,2),""),VLOOKUP($D295,素材!$1:$1016,COLUMN($F$1),FALSE))),VLOOKUP($C295,装備品!$1:$998,COLUMN($O$1),FALSE)*VLOOKUP($D295,素材!$1:$1016,COLUMN($E$1),FALSE)/(LEN(VLOOKUP($D295,素材!$1:$1016,COLUMN($F$1),FALSE))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Z295">
        <f>IF(ISNUMBER(SEARCH(SUBSTITUTE(AZ$1,RIGHT(AZ$1,2),""),VLOOKUP($D295,素材!$1:$1016,COLUMN($F$1),FALSE))),VLOOKUP($C295,装備品!$1:$998,COLUMN($O$1),FALSE)*VLOOKUP($D295,素材!$1:$1016,COLUMN($E$1),FALSE)/(LEN(VLOOKUP($D295,素材!$1:$1016,COLUMN($F$1),FALSE))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BA295">
        <f>IF(ISNUMBER(SEARCH(SUBSTITUTE(BA$1,RIGHT(BA$1,2),""),VLOOKUP($D295,素材!$1:$1016,COLUMN($F$1),FALSE))),VLOOKUP($C295,装備品!$1:$998,COLUMN($O$1),FALSE)*VLOOKUP($D295,素材!$1:$1016,COLUMN($E$1),FALSE)/(LEN(VLOOKUP($D295,素材!$1:$1016,COLUMN($F$1),FALSE))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BB295">
        <f>IF(ISNUMBER(SEARCH(SUBSTITUTE(BB$1,RIGHT(BB$1,2),""),VLOOKUP($D295,素材!$1:$1016,COLUMN($F$1),FALSE))),VLOOKUP($C295,装備品!$1:$998,COLUMN($O$1),FALSE)*VLOOKUP($D295,素材!$1:$1016,COLUMN($E$1),FALSE)/(LEN(VLOOKUP($D295,素材!$1:$1016,COLUMN($F$1),FALSE))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BC295">
        <f>IF(ISNUMBER(SEARCH(SUBSTITUTE(BC$1,RIGHT(BC$1,2),""),VLOOKUP($D295,素材!$1:$1016,COLUMN($F$1),FALSE))),VLOOKUP($C295,装備品!$1:$998,COLUMN($O$1),FALSE)*VLOOKUP($D295,素材!$1:$1016,COLUMN($E$1),FALSE)/(LEN(VLOOKUP($D295,素材!$1:$1016,COLUMN($F$1),FALSE))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BD295">
        <f>IF(ISNUMBER(SEARCH(SUBSTITUTE(BD$1,RIGHT(BD$1,2),""),VLOOKUP($D295,素材!$1:$1016,COLUMN($F$1),FALSE))),VLOOKUP($C295,装備品!$1:$998,COLUMN($O$1),FALSE)*VLOOKUP($D295,素材!$1:$1016,COLUMN($E$1),FALSE)/(LEN(VLOOKUP($D295,素材!$1:$1016,COLUMN($F$1),FALSE))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BE295">
        <f>IF(ISNUMBER(SEARCH(SUBSTITUTE(BE$1,RIGHT(BE$1,2),""),VLOOKUP($D295,素材!$1:$1016,COLUMN($F$1),FALSE))),VLOOKUP($C295,装備品!$1:$998,COLUMN($O$1),FALSE)*VLOOKUP($D295,素材!$1:$1016,COLUMN($E$1),FALSE)/(LEN(VLOOKUP($D295,素材!$1:$1016,COLUMN($F$1),FALSE))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CL295">
        <f t="shared" si="41"/>
        <v>0</v>
      </c>
      <c r="CM295" s="22" t="str">
        <f t="shared" si="42"/>
        <v>.webp</v>
      </c>
      <c r="CN295" t="str">
        <f>IFERROR(VLOOKUP($C295,装備品!$1:$998,COLUMN(V$1),FALSE)*VLOOKUP($D295,素材!$1:$1016,COLUMN(N$1),FALSE)+IF(CI295="",0,VLOOKUP($CI295,付与!$1:$1176,COLUMN($CK$1),FALSE)),"")</f>
        <v/>
      </c>
      <c r="CO295" t="e">
        <f>VLOOKUP(D295,素材!$A:$O,COLUMN(素材!O$1),FALSE)</f>
        <v>#N/A</v>
      </c>
      <c r="CP295" t="e">
        <f>VLOOKUP(C295,装備品!$A:$AB,COLUMN(装備品!AB$1),FALSE)</f>
        <v>#N/A</v>
      </c>
      <c r="CR295" t="str">
        <f t="shared" si="43"/>
        <v>e_295</v>
      </c>
      <c r="CS295" t="e">
        <f t="shared" si="44"/>
        <v>#VALUE!</v>
      </c>
    </row>
    <row r="296" spans="1:97" hidden="1" outlineLevel="1" x14ac:dyDescent="0.4">
      <c r="A296" t="str">
        <f t="shared" si="45"/>
        <v>の</v>
      </c>
      <c r="B296" t="str">
        <f>IFERROR(IF(CI296="",VLOOKUP($D296,素材!$1:$1016,COLUMN($B$1),FALSE)&amp;"・"&amp;VLOOKUP($C296,装備品!$1:$998,COLUMN(B$1),FALSE),VLOOKUP($CI296,付与!$1:$1176,COLUMN($B$1),FALSE)&amp;"・"&amp;VLOOKUP($C296,装備品!$1:$998,COLUMN(B$1),FALSE)),"")</f>
        <v/>
      </c>
      <c r="C296" s="24"/>
      <c r="D296" s="24"/>
      <c r="E296" t="str">
        <f>IFERROR(VLOOKUP(C296,装備品!$1:$998,COLUMN(C$1),FALSE),"")</f>
        <v/>
      </c>
      <c r="F296" t="str">
        <f>IFERROR(ROUNDDOWN((VLOOKUP($C296,装備品!$1:$998,COLUMN(D$1),FALSE)+IFERROR(VLOOKUP($CI296,付与!$1:$1167,COLUMN(F$1),FALSE),0))*VLOOKUP($D296,素材!$1:$1016,COLUMN(D$1),FALSE),0),"")</f>
        <v/>
      </c>
      <c r="G296" t="str">
        <f>IFERROR(ROUNDDOWN((VLOOKUP($C296,装備品!$1:$998,COLUMN(E$1),FALSE)+IFERROR(VLOOKUP($CI296,付与!$1:$1167,COLUMN(G$1),FALSE),0))*VLOOKUP($D296,素材!$1:$1016,COLUMN($E$1),FALSE),0),"")</f>
        <v/>
      </c>
      <c r="H296" t="str">
        <f>IFERROR(ROUNDDOWN((VLOOKUP($C296,装備品!$1:$998,COLUMN(F$1),FALSE)+IFERROR(VLOOKUP($CI296,付与!$1:$1167,COLUMN(H$1),FALSE),0))*VLOOKUP($D296,素材!$1:$1016,COLUMN($E$1),FALSE),0),"")</f>
        <v/>
      </c>
      <c r="I296" t="str">
        <f>IFERROR(ROUNDDOWN((VLOOKUP($C296,装備品!$1:$998,COLUMN(G$1),FALSE)+IFERROR(VLOOKUP($CI296,付与!$1:$1167,COLUMN(I$1),FALSE),0))*VLOOKUP($D296,素材!$1:$1016,COLUMN($E$1),FALSE),0),"")</f>
        <v/>
      </c>
      <c r="J296" t="str">
        <f>IFERROR(ROUNDDOWN((VLOOKUP($C296,装備品!$1:$998,COLUMN(H$1),FALSE)+IFERROR(VLOOKUP($CI296,付与!$1:$1167,COLUMN(J$1),FALSE),0))*VLOOKUP($D296,素材!$1:$1016,COLUMN($E$1),FALSE),0),"")</f>
        <v/>
      </c>
      <c r="K296" t="str">
        <f>IFERROR(ROUNDDOWN((VLOOKUP($C296,装備品!$1:$998,COLUMN(I$1),FALSE)+IFERROR(VLOOKUP($CI296,付与!$1:$1167,COLUMN(K$1),FALSE),0))*VLOOKUP($D296,素材!$1:$1016,COLUMN($E$1),FALSE),0),"")</f>
        <v/>
      </c>
      <c r="L296" t="str">
        <f>IFERROR(VLOOKUP($D296,素材!$1:$1016,COLUMN($F$1),FALSE),"")</f>
        <v/>
      </c>
      <c r="M296" t="str">
        <f>IFERROR(VLOOKUP($C296,装備品!$1:$998,COLUMN(AA$1),FALSE)*VLOOKUP($D296,素材!$1:$1016,COLUMN($G$1),FALSE),"")</f>
        <v/>
      </c>
      <c r="N296" t="str">
        <f>IFERROR(VLOOKUP($C296,装備品!$1:$998,COLUMN(I$1),FALSE),"")</f>
        <v/>
      </c>
      <c r="O296" s="23" t="str">
        <f>IFERROR((VLOOKUP($C296,装備品!$1:$998,COLUMN(K$1),FALSE)+VLOOKUP($D296,素材!$1:$1016,COLUMN(H$1),FALSE))*100+IFERROR(VLOOKUP($CI296,付与!$1:$1167,COLUMN(O$1),FALSE),0),"")</f>
        <v/>
      </c>
      <c r="P296" s="23" t="str">
        <f>IFERROR((VLOOKUP($C296,装備品!$1:$998,COLUMN(L$1),FALSE)+VLOOKUP($D296,素材!$1:$1016,COLUMN(I$1),FALSE))*100+IFERROR(VLOOKUP($CI296,付与!$1:$1167,COLUMN(P$1),FALSE),0),"")</f>
        <v/>
      </c>
      <c r="Q296" t="str">
        <f>IFERROR(ROUNDUP(VLOOKUP($C296,装備品!$1:$998,COLUMN(M$1),FALSE)*(VLOOKUP($D296,素材!$1:$1002,COLUMN(D$1),FALSE)/100),1),"")</f>
        <v/>
      </c>
      <c r="R296" t="str">
        <f>IFERROR(ROUNDUP(VLOOKUP($C296,装備品!$1:$998,COLUMN(N$1),FALSE)*(VLOOKUP($D296,素材!$1:$1002,COLUMN(D$1),FALSE)/100),1),"")</f>
        <v/>
      </c>
      <c r="S296" t="str">
        <f>IFERROR(VLOOKUP($C296,装備品!$1:$998,COLUMN(P$1),FALSE),"")</f>
        <v/>
      </c>
      <c r="T296" t="str">
        <f>IFERROR(VLOOKUP($C296,装備品!$1:$998,COLUMN(Q$1),FALSE),"")</f>
        <v/>
      </c>
      <c r="U296" t="str">
        <f>IFERROR(VLOOKUP($C296,装備品!$1:$998,COLUMN(R$1),FALSE),"")</f>
        <v/>
      </c>
      <c r="V296" t="str">
        <f>IFERROR(VLOOKUP($C296,装備品!$1:$998,COLUMN(Q$1),FALSE),"")</f>
        <v/>
      </c>
      <c r="W296" t="str">
        <f>IFERROR(VLOOKUP($C296,装備品!$1:$998,COLUMN(T$1),FALSE),"")</f>
        <v/>
      </c>
      <c r="Y296" t="str">
        <f>IFERROR(VLOOKUP($C296,装備品!$1:$998,COLUMN(U$1),FALSE),"")</f>
        <v/>
      </c>
      <c r="Z296" t="str">
        <f>IFERROR(ROUNDUP(VLOOKUP($C296,装備品!$1:$998,COLUMN(O$1),FALSE)*VLOOKUP($D296,素材!$1:$1016,COLUMN(E$1),FALSE),1),"")</f>
        <v/>
      </c>
      <c r="AA296">
        <f>IF(ISNUMBER(SEARCH(SUBSTITUTE(AA$1,RIGHT(AA$1,2),""),VLOOKUP($D296,素材!$1:$1016,COLUMN($F$1),FALSE))),VLOOKUP($C296,装備品!$1:$998,COLUMN($O$1),FALSE)*VLOOKUP($D296,素材!$1:$1016,COLUMN($E$1),FALSE)/(LEN(VLOOKUP($D296,素材!$1:$1016,COLUMN($F$1),FALSE))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B296">
        <f>IF(ISNUMBER(SEARCH(SUBSTITUTE(AB$1,RIGHT(AB$1,2),""),VLOOKUP($D296,素材!$1:$1016,COLUMN($F$1),FALSE))),VLOOKUP($C296,装備品!$1:$998,COLUMN($O$1),FALSE)*VLOOKUP($D296,素材!$1:$1016,COLUMN($E$1),FALSE)/(LEN(VLOOKUP($D296,素材!$1:$1016,COLUMN($F$1),FALSE))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C296">
        <f>IF(ISNUMBER(SEARCH(SUBSTITUTE(AC$1,RIGHT(AC$1,2),""),VLOOKUP($D296,素材!$1:$1016,COLUMN($F$1),FALSE))),VLOOKUP($C296,装備品!$1:$998,COLUMN($O$1),FALSE)*VLOOKUP($D296,素材!$1:$1016,COLUMN($E$1),FALSE)/(LEN(VLOOKUP($D296,素材!$1:$1016,COLUMN($F$1),FALSE))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D296">
        <f>IF(ISNUMBER(SEARCH(SUBSTITUTE(AD$1,RIGHT(AD$1,2),""),VLOOKUP($D296,素材!$1:$1016,COLUMN($F$1),FALSE))),VLOOKUP($C296,装備品!$1:$998,COLUMN($O$1),FALSE)*VLOOKUP($D296,素材!$1:$1016,COLUMN($E$1),FALSE)/(LEN(VLOOKUP($D296,素材!$1:$1016,COLUMN($F$1),FALSE))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E296">
        <f>IF(ISNUMBER(SEARCH(SUBSTITUTE(AE$1,RIGHT(AE$1,2),""),VLOOKUP($D296,素材!$1:$1016,COLUMN($F$1),FALSE))),VLOOKUP($C296,装備品!$1:$998,COLUMN($O$1),FALSE)*VLOOKUP($D296,素材!$1:$1016,COLUMN($E$1),FALSE)/(LEN(VLOOKUP($D296,素材!$1:$1016,COLUMN($F$1),FALSE))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F296">
        <f>IF(ISNUMBER(SEARCH(SUBSTITUTE(AF$1,RIGHT(AF$1,2),""),VLOOKUP($D296,素材!$1:$1016,COLUMN($F$1),FALSE))),VLOOKUP($C296,装備品!$1:$998,COLUMN($O$1),FALSE)*VLOOKUP($D296,素材!$1:$1016,COLUMN($E$1),FALSE)/(LEN(VLOOKUP($D296,素材!$1:$1016,COLUMN($F$1),FALSE))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G296">
        <f>IF(ISNUMBER(SEARCH(SUBSTITUTE(AG$1,RIGHT(AG$1,2),""),VLOOKUP($D296,素材!$1:$1016,COLUMN($F$1),FALSE))),VLOOKUP($C296,装備品!$1:$998,COLUMN($O$1),FALSE)*VLOOKUP($D296,素材!$1:$1016,COLUMN($E$1),FALSE)/(LEN(VLOOKUP($D296,素材!$1:$1016,COLUMN($F$1),FALSE))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H296">
        <f>IF(ISNUMBER(SEARCH(SUBSTITUTE(AH$1,RIGHT(AH$1,2),""),VLOOKUP($D296,素材!$1:$1016,COLUMN($F$1),FALSE))),VLOOKUP($C296,装備品!$1:$998,COLUMN($O$1),FALSE)*VLOOKUP($D296,素材!$1:$1016,COLUMN($E$1),FALSE)/(LEN(VLOOKUP($D296,素材!$1:$1016,COLUMN($F$1),FALSE))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I296">
        <f>IF(ISNUMBER(SEARCH(SUBSTITUTE(AI$1,RIGHT(AI$1,2),""),VLOOKUP($D296,素材!$1:$1016,COLUMN($F$1),FALSE))),VLOOKUP($C296,装備品!$1:$998,COLUMN($O$1),FALSE)*VLOOKUP($D296,素材!$1:$1016,COLUMN($E$1),FALSE)/(LEN(VLOOKUP($D296,素材!$1:$1016,COLUMN($F$1),FALSE))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J296">
        <f>IF(ISNUMBER(SEARCH(SUBSTITUTE(AJ$1,RIGHT(AJ$1,2),""),VLOOKUP($D296,素材!$1:$1016,COLUMN($F$1),FALSE))),VLOOKUP($C296,装備品!$1:$998,COLUMN($O$1),FALSE)*VLOOKUP($D296,素材!$1:$1016,COLUMN($E$1),FALSE)/(LEN(VLOOKUP($D296,素材!$1:$1016,COLUMN($F$1),FALSE))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K296">
        <f>IF(ISNUMBER(SEARCH(SUBSTITUTE(AK$1,RIGHT(AK$1,2),""),VLOOKUP($D296,素材!$1:$1016,COLUMN($F$1),FALSE))),VLOOKUP($C296,装備品!$1:$998,COLUMN($O$1),FALSE)*VLOOKUP($D296,素材!$1:$1016,COLUMN($E$1),FALSE)/(LEN(VLOOKUP($D296,素材!$1:$1016,COLUMN($F$1),FALSE))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L296">
        <f>IF(ISNUMBER(SEARCH(SUBSTITUTE(AL$1,RIGHT(AL$1,2),""),VLOOKUP($D296,素材!$1:$1016,COLUMN($F$1),FALSE))),VLOOKUP($C296,装備品!$1:$998,COLUMN($O$1),FALSE)*VLOOKUP($D296,素材!$1:$1016,COLUMN($E$1),FALSE)/(LEN(VLOOKUP($D296,素材!$1:$1016,COLUMN($F$1),FALSE))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M296">
        <f>IF(ISNUMBER(SEARCH(SUBSTITUTE(AM$1,RIGHT(AM$1,2),""),VLOOKUP($D296,素材!$1:$1016,COLUMN($F$1),FALSE))),VLOOKUP($C296,装備品!$1:$998,COLUMN($O$1),FALSE)*VLOOKUP($D296,素材!$1:$1016,COLUMN($E$1),FALSE)/(LEN(VLOOKUP($D296,素材!$1:$1016,COLUMN($F$1),FALSE))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N296">
        <f>IF(ISNUMBER(SEARCH(SUBSTITUTE(AN$1,RIGHT(AN$1,2),""),VLOOKUP($D296,素材!$1:$1016,COLUMN($F$1),FALSE))),VLOOKUP($C296,装備品!$1:$998,COLUMN($O$1),FALSE)*VLOOKUP($D296,素材!$1:$1016,COLUMN($E$1),FALSE)/(LEN(VLOOKUP($D296,素材!$1:$1016,COLUMN($F$1),FALSE))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O296">
        <f>IF(ISNUMBER(SEARCH(SUBSTITUTE(AO$1,RIGHT(AO$1,2),""),VLOOKUP($D296,素材!$1:$1016,COLUMN($F$1),FALSE))),VLOOKUP($C296,装備品!$1:$998,COLUMN($O$1),FALSE)*VLOOKUP($D296,素材!$1:$1016,COLUMN($E$1),FALSE)/(LEN(VLOOKUP($D296,素材!$1:$1016,COLUMN($F$1),FALSE))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P296">
        <f>IF(ISNUMBER(SEARCH(SUBSTITUTE(AP$1,RIGHT(AP$1,2),""),VLOOKUP($D296,素材!$1:$1016,COLUMN($F$1),FALSE))),VLOOKUP($C296,装備品!$1:$998,COLUMN($O$1),FALSE)*VLOOKUP($D296,素材!$1:$1016,COLUMN($E$1),FALSE)/(LEN(VLOOKUP($D296,素材!$1:$1016,COLUMN($F$1),FALSE))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Q296">
        <f>IF(ISNUMBER(SEARCH(SUBSTITUTE(AQ$1,RIGHT(AQ$1,2),""),VLOOKUP($D296,素材!$1:$1016,COLUMN($F$1),FALSE))),VLOOKUP($C296,装備品!$1:$998,COLUMN($O$1),FALSE)*VLOOKUP($D296,素材!$1:$1016,COLUMN($E$1),FALSE)/(LEN(VLOOKUP($D296,素材!$1:$1016,COLUMN($F$1),FALSE))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R296">
        <f>IF(ISNUMBER(SEARCH(SUBSTITUTE(AR$1,RIGHT(AR$1,2),""),VLOOKUP($D296,素材!$1:$1016,COLUMN($F$1),FALSE))),VLOOKUP($C296,装備品!$1:$998,COLUMN($O$1),FALSE)*VLOOKUP($D296,素材!$1:$1016,COLUMN($E$1),FALSE)/(LEN(VLOOKUP($D296,素材!$1:$1016,COLUMN($F$1),FALSE))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S296">
        <f>IF(ISNUMBER(SEARCH(SUBSTITUTE(AS$1,RIGHT(AS$1,2),""),VLOOKUP($D296,素材!$1:$1016,COLUMN($F$1),FALSE))),VLOOKUP($C296,装備品!$1:$998,COLUMN($O$1),FALSE)*VLOOKUP($D296,素材!$1:$1016,COLUMN($E$1),FALSE)/(LEN(VLOOKUP($D296,素材!$1:$1016,COLUMN($F$1),FALSE))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T296">
        <f>IF(ISNUMBER(SEARCH(SUBSTITUTE(AT$1,RIGHT(AT$1,2),""),VLOOKUP($D296,素材!$1:$1016,COLUMN($F$1),FALSE))),VLOOKUP($C296,装備品!$1:$998,COLUMN($O$1),FALSE)*VLOOKUP($D296,素材!$1:$1016,COLUMN($E$1),FALSE)/(LEN(VLOOKUP($D296,素材!$1:$1016,COLUMN($F$1),FALSE))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U296">
        <f>IF(ISNUMBER(SEARCH(SUBSTITUTE(AU$1,RIGHT(AU$1,2),""),VLOOKUP($D296,素材!$1:$1016,COLUMN($F$1),FALSE))),VLOOKUP($C296,装備品!$1:$998,COLUMN($O$1),FALSE)*VLOOKUP($D296,素材!$1:$1016,COLUMN($E$1),FALSE)/(LEN(VLOOKUP($D296,素材!$1:$1016,COLUMN($F$1),FALSE))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V296">
        <f>IF(ISNUMBER(SEARCH(SUBSTITUTE(AV$1,RIGHT(AV$1,2),""),VLOOKUP($D296,素材!$1:$1016,COLUMN($F$1),FALSE))),VLOOKUP($C296,装備品!$1:$998,COLUMN($O$1),FALSE)*VLOOKUP($D296,素材!$1:$1016,COLUMN($E$1),FALSE)/(LEN(VLOOKUP($D296,素材!$1:$1016,COLUMN($F$1),FALSE))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W296">
        <f>IF(ISNUMBER(SEARCH(SUBSTITUTE(AW$1,RIGHT(AW$1,2),""),VLOOKUP($D296,素材!$1:$1016,COLUMN($F$1),FALSE))),VLOOKUP($C296,装備品!$1:$998,COLUMN($O$1),FALSE)*VLOOKUP($D296,素材!$1:$1016,COLUMN($E$1),FALSE)/(LEN(VLOOKUP($D296,素材!$1:$1016,COLUMN($F$1),FALSE))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X296">
        <f>IF(ISNUMBER(SEARCH(SUBSTITUTE(AX$1,RIGHT(AX$1,2),""),VLOOKUP($D296,素材!$1:$1016,COLUMN($F$1),FALSE))),VLOOKUP($C296,装備品!$1:$998,COLUMN($O$1),FALSE)*VLOOKUP($D296,素材!$1:$1016,COLUMN($E$1),FALSE)/(LEN(VLOOKUP($D296,素材!$1:$1016,COLUMN($F$1),FALSE))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Y296">
        <f>IF(ISNUMBER(SEARCH(SUBSTITUTE(AY$1,RIGHT(AY$1,2),""),VLOOKUP($D296,素材!$1:$1016,COLUMN($F$1),FALSE))),VLOOKUP($C296,装備品!$1:$998,COLUMN($O$1),FALSE)*VLOOKUP($D296,素材!$1:$1016,COLUMN($E$1),FALSE)/(LEN(VLOOKUP($D296,素材!$1:$1016,COLUMN($F$1),FALSE))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Z296">
        <f>IF(ISNUMBER(SEARCH(SUBSTITUTE(AZ$1,RIGHT(AZ$1,2),""),VLOOKUP($D296,素材!$1:$1016,COLUMN($F$1),FALSE))),VLOOKUP($C296,装備品!$1:$998,COLUMN($O$1),FALSE)*VLOOKUP($D296,素材!$1:$1016,COLUMN($E$1),FALSE)/(LEN(VLOOKUP($D296,素材!$1:$1016,COLUMN($F$1),FALSE))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BA296">
        <f>IF(ISNUMBER(SEARCH(SUBSTITUTE(BA$1,RIGHT(BA$1,2),""),VLOOKUP($D296,素材!$1:$1016,COLUMN($F$1),FALSE))),VLOOKUP($C296,装備品!$1:$998,COLUMN($O$1),FALSE)*VLOOKUP($D296,素材!$1:$1016,COLUMN($E$1),FALSE)/(LEN(VLOOKUP($D296,素材!$1:$1016,COLUMN($F$1),FALSE))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BB296">
        <f>IF(ISNUMBER(SEARCH(SUBSTITUTE(BB$1,RIGHT(BB$1,2),""),VLOOKUP($D296,素材!$1:$1016,COLUMN($F$1),FALSE))),VLOOKUP($C296,装備品!$1:$998,COLUMN($O$1),FALSE)*VLOOKUP($D296,素材!$1:$1016,COLUMN($E$1),FALSE)/(LEN(VLOOKUP($D296,素材!$1:$1016,COLUMN($F$1),FALSE))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BC296">
        <f>IF(ISNUMBER(SEARCH(SUBSTITUTE(BC$1,RIGHT(BC$1,2),""),VLOOKUP($D296,素材!$1:$1016,COLUMN($F$1),FALSE))),VLOOKUP($C296,装備品!$1:$998,COLUMN($O$1),FALSE)*VLOOKUP($D296,素材!$1:$1016,COLUMN($E$1),FALSE)/(LEN(VLOOKUP($D296,素材!$1:$1016,COLUMN($F$1),FALSE))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BD296">
        <f>IF(ISNUMBER(SEARCH(SUBSTITUTE(BD$1,RIGHT(BD$1,2),""),VLOOKUP($D296,素材!$1:$1016,COLUMN($F$1),FALSE))),VLOOKUP($C296,装備品!$1:$998,COLUMN($O$1),FALSE)*VLOOKUP($D296,素材!$1:$1016,COLUMN($E$1),FALSE)/(LEN(VLOOKUP($D296,素材!$1:$1016,COLUMN($F$1),FALSE))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BE296">
        <f>IF(ISNUMBER(SEARCH(SUBSTITUTE(BE$1,RIGHT(BE$1,2),""),VLOOKUP($D296,素材!$1:$1016,COLUMN($F$1),FALSE))),VLOOKUP($C296,装備品!$1:$998,COLUMN($O$1),FALSE)*VLOOKUP($D296,素材!$1:$1016,COLUMN($E$1),FALSE)/(LEN(VLOOKUP($D296,素材!$1:$1016,COLUMN($F$1),FALSE))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CL296">
        <f t="shared" si="41"/>
        <v>0</v>
      </c>
      <c r="CM296" s="22" t="str">
        <f t="shared" si="42"/>
        <v>.webp</v>
      </c>
      <c r="CN296" t="str">
        <f>IFERROR(VLOOKUP($C296,装備品!$1:$998,COLUMN(V$1),FALSE)*VLOOKUP($D296,素材!$1:$1016,COLUMN(N$1),FALSE)+IF(CI296="",0,VLOOKUP($CI296,付与!$1:$1176,COLUMN($CK$1),FALSE)),"")</f>
        <v/>
      </c>
      <c r="CO296" t="e">
        <f>VLOOKUP(D296,素材!$A:$O,COLUMN(素材!O$1),FALSE)</f>
        <v>#N/A</v>
      </c>
      <c r="CP296" t="e">
        <f>VLOOKUP(C296,装備品!$A:$AB,COLUMN(装備品!AB$1),FALSE)</f>
        <v>#N/A</v>
      </c>
      <c r="CR296" t="str">
        <f t="shared" si="43"/>
        <v>e_296</v>
      </c>
      <c r="CS296" t="e">
        <f t="shared" si="44"/>
        <v>#VALUE!</v>
      </c>
    </row>
    <row r="297" spans="1:97" hidden="1" outlineLevel="1" x14ac:dyDescent="0.4">
      <c r="A297" t="str">
        <f t="shared" si="45"/>
        <v>の</v>
      </c>
      <c r="B297" t="str">
        <f>IFERROR(IF(CI297="",VLOOKUP($D297,素材!$1:$1016,COLUMN($B$1),FALSE)&amp;"・"&amp;VLOOKUP($C297,装備品!$1:$998,COLUMN(B$1),FALSE),VLOOKUP($CI297,付与!$1:$1176,COLUMN($B$1),FALSE)&amp;"・"&amp;VLOOKUP($C297,装備品!$1:$998,COLUMN(B$1),FALSE)),"")</f>
        <v/>
      </c>
      <c r="C297" s="24"/>
      <c r="D297" s="24"/>
      <c r="E297" t="str">
        <f>IFERROR(VLOOKUP(C297,装備品!$1:$998,COLUMN(C$1),FALSE),"")</f>
        <v/>
      </c>
      <c r="F297" t="str">
        <f>IFERROR(ROUNDDOWN((VLOOKUP($C297,装備品!$1:$998,COLUMN(D$1),FALSE)+IFERROR(VLOOKUP($CI297,付与!$1:$1167,COLUMN(F$1),FALSE),0))*VLOOKUP($D297,素材!$1:$1016,COLUMN(D$1),FALSE),0),"")</f>
        <v/>
      </c>
      <c r="G297" t="str">
        <f>IFERROR(ROUNDDOWN((VLOOKUP($C297,装備品!$1:$998,COLUMN(E$1),FALSE)+IFERROR(VLOOKUP($CI297,付与!$1:$1167,COLUMN(G$1),FALSE),0))*VLOOKUP($D297,素材!$1:$1016,COLUMN($E$1),FALSE),0),"")</f>
        <v/>
      </c>
      <c r="H297" t="str">
        <f>IFERROR(ROUNDDOWN((VLOOKUP($C297,装備品!$1:$998,COLUMN(F$1),FALSE)+IFERROR(VLOOKUP($CI297,付与!$1:$1167,COLUMN(H$1),FALSE),0))*VLOOKUP($D297,素材!$1:$1016,COLUMN($E$1),FALSE),0),"")</f>
        <v/>
      </c>
      <c r="I297" t="str">
        <f>IFERROR(ROUNDDOWN((VLOOKUP($C297,装備品!$1:$998,COLUMN(G$1),FALSE)+IFERROR(VLOOKUP($CI297,付与!$1:$1167,COLUMN(I$1),FALSE),0))*VLOOKUP($D297,素材!$1:$1016,COLUMN($E$1),FALSE),0),"")</f>
        <v/>
      </c>
      <c r="J297" t="str">
        <f>IFERROR(ROUNDDOWN((VLOOKUP($C297,装備品!$1:$998,COLUMN(H$1),FALSE)+IFERROR(VLOOKUP($CI297,付与!$1:$1167,COLUMN(J$1),FALSE),0))*VLOOKUP($D297,素材!$1:$1016,COLUMN($E$1),FALSE),0),"")</f>
        <v/>
      </c>
      <c r="K297" t="str">
        <f>IFERROR(ROUNDDOWN((VLOOKUP($C297,装備品!$1:$998,COLUMN(I$1),FALSE)+IFERROR(VLOOKUP($CI297,付与!$1:$1167,COLUMN(K$1),FALSE),0))*VLOOKUP($D297,素材!$1:$1016,COLUMN($E$1),FALSE),0),"")</f>
        <v/>
      </c>
      <c r="L297" t="str">
        <f>IFERROR(VLOOKUP($D297,素材!$1:$1016,COLUMN($F$1),FALSE),"")</f>
        <v/>
      </c>
      <c r="M297" t="str">
        <f>IFERROR(VLOOKUP($C297,装備品!$1:$998,COLUMN(AA$1),FALSE)*VLOOKUP($D297,素材!$1:$1016,COLUMN($G$1),FALSE),"")</f>
        <v/>
      </c>
      <c r="N297" t="str">
        <f>IFERROR(VLOOKUP($C297,装備品!$1:$998,COLUMN(I$1),FALSE),"")</f>
        <v/>
      </c>
      <c r="O297" s="23" t="str">
        <f>IFERROR((VLOOKUP($C297,装備品!$1:$998,COLUMN(K$1),FALSE)+VLOOKUP($D297,素材!$1:$1016,COLUMN(H$1),FALSE))*100+IFERROR(VLOOKUP($CI297,付与!$1:$1167,COLUMN(O$1),FALSE),0),"")</f>
        <v/>
      </c>
      <c r="P297" s="23" t="str">
        <f>IFERROR((VLOOKUP($C297,装備品!$1:$998,COLUMN(L$1),FALSE)+VLOOKUP($D297,素材!$1:$1016,COLUMN(I$1),FALSE))*100+IFERROR(VLOOKUP($CI297,付与!$1:$1167,COLUMN(P$1),FALSE),0),"")</f>
        <v/>
      </c>
      <c r="Q297" t="str">
        <f>IFERROR(ROUNDUP(VLOOKUP($C297,装備品!$1:$998,COLUMN(M$1),FALSE)*(VLOOKUP($D297,素材!$1:$1002,COLUMN(D$1),FALSE)/100),1),"")</f>
        <v/>
      </c>
      <c r="R297" t="str">
        <f>IFERROR(ROUNDUP(VLOOKUP($C297,装備品!$1:$998,COLUMN(N$1),FALSE)*(VLOOKUP($D297,素材!$1:$1002,COLUMN(D$1),FALSE)/100),1),"")</f>
        <v/>
      </c>
      <c r="S297" t="str">
        <f>IFERROR(VLOOKUP($C297,装備品!$1:$998,COLUMN(P$1),FALSE),"")</f>
        <v/>
      </c>
      <c r="T297" t="str">
        <f>IFERROR(VLOOKUP($C297,装備品!$1:$998,COLUMN(Q$1),FALSE),"")</f>
        <v/>
      </c>
      <c r="U297" t="str">
        <f>IFERROR(VLOOKUP($C297,装備品!$1:$998,COLUMN(R$1),FALSE),"")</f>
        <v/>
      </c>
      <c r="V297" t="str">
        <f>IFERROR(VLOOKUP($C297,装備品!$1:$998,COLUMN(Q$1),FALSE),"")</f>
        <v/>
      </c>
      <c r="W297" t="str">
        <f>IFERROR(VLOOKUP($C297,装備品!$1:$998,COLUMN(T$1),FALSE),"")</f>
        <v/>
      </c>
      <c r="Y297" t="str">
        <f>IFERROR(VLOOKUP($C297,装備品!$1:$998,COLUMN(U$1),FALSE),"")</f>
        <v/>
      </c>
      <c r="Z297" t="str">
        <f>IFERROR(ROUNDUP(VLOOKUP($C297,装備品!$1:$998,COLUMN(O$1),FALSE)*VLOOKUP($D297,素材!$1:$1016,COLUMN(E$1),FALSE),1),"")</f>
        <v/>
      </c>
      <c r="AA297">
        <f>IF(ISNUMBER(SEARCH(SUBSTITUTE(AA$1,RIGHT(AA$1,2),""),VLOOKUP($D297,素材!$1:$1016,COLUMN($F$1),FALSE))),VLOOKUP($C297,装備品!$1:$998,COLUMN($O$1),FALSE)*VLOOKUP($D297,素材!$1:$1016,COLUMN($E$1),FALSE)/(LEN(VLOOKUP($D297,素材!$1:$1016,COLUMN($F$1),FALSE))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B297">
        <f>IF(ISNUMBER(SEARCH(SUBSTITUTE(AB$1,RIGHT(AB$1,2),""),VLOOKUP($D297,素材!$1:$1016,COLUMN($F$1),FALSE))),VLOOKUP($C297,装備品!$1:$998,COLUMN($O$1),FALSE)*VLOOKUP($D297,素材!$1:$1016,COLUMN($E$1),FALSE)/(LEN(VLOOKUP($D297,素材!$1:$1016,COLUMN($F$1),FALSE))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C297">
        <f>IF(ISNUMBER(SEARCH(SUBSTITUTE(AC$1,RIGHT(AC$1,2),""),VLOOKUP($D297,素材!$1:$1016,COLUMN($F$1),FALSE))),VLOOKUP($C297,装備品!$1:$998,COLUMN($O$1),FALSE)*VLOOKUP($D297,素材!$1:$1016,COLUMN($E$1),FALSE)/(LEN(VLOOKUP($D297,素材!$1:$1016,COLUMN($F$1),FALSE))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D297">
        <f>IF(ISNUMBER(SEARCH(SUBSTITUTE(AD$1,RIGHT(AD$1,2),""),VLOOKUP($D297,素材!$1:$1016,COLUMN($F$1),FALSE))),VLOOKUP($C297,装備品!$1:$998,COLUMN($O$1),FALSE)*VLOOKUP($D297,素材!$1:$1016,COLUMN($E$1),FALSE)/(LEN(VLOOKUP($D297,素材!$1:$1016,COLUMN($F$1),FALSE))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E297">
        <f>IF(ISNUMBER(SEARCH(SUBSTITUTE(AE$1,RIGHT(AE$1,2),""),VLOOKUP($D297,素材!$1:$1016,COLUMN($F$1),FALSE))),VLOOKUP($C297,装備品!$1:$998,COLUMN($O$1),FALSE)*VLOOKUP($D297,素材!$1:$1016,COLUMN($E$1),FALSE)/(LEN(VLOOKUP($D297,素材!$1:$1016,COLUMN($F$1),FALSE))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F297">
        <f>IF(ISNUMBER(SEARCH(SUBSTITUTE(AF$1,RIGHT(AF$1,2),""),VLOOKUP($D297,素材!$1:$1016,COLUMN($F$1),FALSE))),VLOOKUP($C297,装備品!$1:$998,COLUMN($O$1),FALSE)*VLOOKUP($D297,素材!$1:$1016,COLUMN($E$1),FALSE)/(LEN(VLOOKUP($D297,素材!$1:$1016,COLUMN($F$1),FALSE))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G297">
        <f>IF(ISNUMBER(SEARCH(SUBSTITUTE(AG$1,RIGHT(AG$1,2),""),VLOOKUP($D297,素材!$1:$1016,COLUMN($F$1),FALSE))),VLOOKUP($C297,装備品!$1:$998,COLUMN($O$1),FALSE)*VLOOKUP($D297,素材!$1:$1016,COLUMN($E$1),FALSE)/(LEN(VLOOKUP($D297,素材!$1:$1016,COLUMN($F$1),FALSE))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H297">
        <f>IF(ISNUMBER(SEARCH(SUBSTITUTE(AH$1,RIGHT(AH$1,2),""),VLOOKUP($D297,素材!$1:$1016,COLUMN($F$1),FALSE))),VLOOKUP($C297,装備品!$1:$998,COLUMN($O$1),FALSE)*VLOOKUP($D297,素材!$1:$1016,COLUMN($E$1),FALSE)/(LEN(VLOOKUP($D297,素材!$1:$1016,COLUMN($F$1),FALSE))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I297">
        <f>IF(ISNUMBER(SEARCH(SUBSTITUTE(AI$1,RIGHT(AI$1,2),""),VLOOKUP($D297,素材!$1:$1016,COLUMN($F$1),FALSE))),VLOOKUP($C297,装備品!$1:$998,COLUMN($O$1),FALSE)*VLOOKUP($D297,素材!$1:$1016,COLUMN($E$1),FALSE)/(LEN(VLOOKUP($D297,素材!$1:$1016,COLUMN($F$1),FALSE))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J297">
        <f>IF(ISNUMBER(SEARCH(SUBSTITUTE(AJ$1,RIGHT(AJ$1,2),""),VLOOKUP($D297,素材!$1:$1016,COLUMN($F$1),FALSE))),VLOOKUP($C297,装備品!$1:$998,COLUMN($O$1),FALSE)*VLOOKUP($D297,素材!$1:$1016,COLUMN($E$1),FALSE)/(LEN(VLOOKUP($D297,素材!$1:$1016,COLUMN($F$1),FALSE))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K297">
        <f>IF(ISNUMBER(SEARCH(SUBSTITUTE(AK$1,RIGHT(AK$1,2),""),VLOOKUP($D297,素材!$1:$1016,COLUMN($F$1),FALSE))),VLOOKUP($C297,装備品!$1:$998,COLUMN($O$1),FALSE)*VLOOKUP($D297,素材!$1:$1016,COLUMN($E$1),FALSE)/(LEN(VLOOKUP($D297,素材!$1:$1016,COLUMN($F$1),FALSE))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L297">
        <f>IF(ISNUMBER(SEARCH(SUBSTITUTE(AL$1,RIGHT(AL$1,2),""),VLOOKUP($D297,素材!$1:$1016,COLUMN($F$1),FALSE))),VLOOKUP($C297,装備品!$1:$998,COLUMN($O$1),FALSE)*VLOOKUP($D297,素材!$1:$1016,COLUMN($E$1),FALSE)/(LEN(VLOOKUP($D297,素材!$1:$1016,COLUMN($F$1),FALSE))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M297">
        <f>IF(ISNUMBER(SEARCH(SUBSTITUTE(AM$1,RIGHT(AM$1,2),""),VLOOKUP($D297,素材!$1:$1016,COLUMN($F$1),FALSE))),VLOOKUP($C297,装備品!$1:$998,COLUMN($O$1),FALSE)*VLOOKUP($D297,素材!$1:$1016,COLUMN($E$1),FALSE)/(LEN(VLOOKUP($D297,素材!$1:$1016,COLUMN($F$1),FALSE))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N297">
        <f>IF(ISNUMBER(SEARCH(SUBSTITUTE(AN$1,RIGHT(AN$1,2),""),VLOOKUP($D297,素材!$1:$1016,COLUMN($F$1),FALSE))),VLOOKUP($C297,装備品!$1:$998,COLUMN($O$1),FALSE)*VLOOKUP($D297,素材!$1:$1016,COLUMN($E$1),FALSE)/(LEN(VLOOKUP($D297,素材!$1:$1016,COLUMN($F$1),FALSE))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O297">
        <f>IF(ISNUMBER(SEARCH(SUBSTITUTE(AO$1,RIGHT(AO$1,2),""),VLOOKUP($D297,素材!$1:$1016,COLUMN($F$1),FALSE))),VLOOKUP($C297,装備品!$1:$998,COLUMN($O$1),FALSE)*VLOOKUP($D297,素材!$1:$1016,COLUMN($E$1),FALSE)/(LEN(VLOOKUP($D297,素材!$1:$1016,COLUMN($F$1),FALSE))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P297">
        <f>IF(ISNUMBER(SEARCH(SUBSTITUTE(AP$1,RIGHT(AP$1,2),""),VLOOKUP($D297,素材!$1:$1016,COLUMN($F$1),FALSE))),VLOOKUP($C297,装備品!$1:$998,COLUMN($O$1),FALSE)*VLOOKUP($D297,素材!$1:$1016,COLUMN($E$1),FALSE)/(LEN(VLOOKUP($D297,素材!$1:$1016,COLUMN($F$1),FALSE))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Q297">
        <f>IF(ISNUMBER(SEARCH(SUBSTITUTE(AQ$1,RIGHT(AQ$1,2),""),VLOOKUP($D297,素材!$1:$1016,COLUMN($F$1),FALSE))),VLOOKUP($C297,装備品!$1:$998,COLUMN($O$1),FALSE)*VLOOKUP($D297,素材!$1:$1016,COLUMN($E$1),FALSE)/(LEN(VLOOKUP($D297,素材!$1:$1016,COLUMN($F$1),FALSE))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R297">
        <f>IF(ISNUMBER(SEARCH(SUBSTITUTE(AR$1,RIGHT(AR$1,2),""),VLOOKUP($D297,素材!$1:$1016,COLUMN($F$1),FALSE))),VLOOKUP($C297,装備品!$1:$998,COLUMN($O$1),FALSE)*VLOOKUP($D297,素材!$1:$1016,COLUMN($E$1),FALSE)/(LEN(VLOOKUP($D297,素材!$1:$1016,COLUMN($F$1),FALSE))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S297">
        <f>IF(ISNUMBER(SEARCH(SUBSTITUTE(AS$1,RIGHT(AS$1,2),""),VLOOKUP($D297,素材!$1:$1016,COLUMN($F$1),FALSE))),VLOOKUP($C297,装備品!$1:$998,COLUMN($O$1),FALSE)*VLOOKUP($D297,素材!$1:$1016,COLUMN($E$1),FALSE)/(LEN(VLOOKUP($D297,素材!$1:$1016,COLUMN($F$1),FALSE))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T297">
        <f>IF(ISNUMBER(SEARCH(SUBSTITUTE(AT$1,RIGHT(AT$1,2),""),VLOOKUP($D297,素材!$1:$1016,COLUMN($F$1),FALSE))),VLOOKUP($C297,装備品!$1:$998,COLUMN($O$1),FALSE)*VLOOKUP($D297,素材!$1:$1016,COLUMN($E$1),FALSE)/(LEN(VLOOKUP($D297,素材!$1:$1016,COLUMN($F$1),FALSE))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U297">
        <f>IF(ISNUMBER(SEARCH(SUBSTITUTE(AU$1,RIGHT(AU$1,2),""),VLOOKUP($D297,素材!$1:$1016,COLUMN($F$1),FALSE))),VLOOKUP($C297,装備品!$1:$998,COLUMN($O$1),FALSE)*VLOOKUP($D297,素材!$1:$1016,COLUMN($E$1),FALSE)/(LEN(VLOOKUP($D297,素材!$1:$1016,COLUMN($F$1),FALSE))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V297">
        <f>IF(ISNUMBER(SEARCH(SUBSTITUTE(AV$1,RIGHT(AV$1,2),""),VLOOKUP($D297,素材!$1:$1016,COLUMN($F$1),FALSE))),VLOOKUP($C297,装備品!$1:$998,COLUMN($O$1),FALSE)*VLOOKUP($D297,素材!$1:$1016,COLUMN($E$1),FALSE)/(LEN(VLOOKUP($D297,素材!$1:$1016,COLUMN($F$1),FALSE))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W297">
        <f>IF(ISNUMBER(SEARCH(SUBSTITUTE(AW$1,RIGHT(AW$1,2),""),VLOOKUP($D297,素材!$1:$1016,COLUMN($F$1),FALSE))),VLOOKUP($C297,装備品!$1:$998,COLUMN($O$1),FALSE)*VLOOKUP($D297,素材!$1:$1016,COLUMN($E$1),FALSE)/(LEN(VLOOKUP($D297,素材!$1:$1016,COLUMN($F$1),FALSE))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X297">
        <f>IF(ISNUMBER(SEARCH(SUBSTITUTE(AX$1,RIGHT(AX$1,2),""),VLOOKUP($D297,素材!$1:$1016,COLUMN($F$1),FALSE))),VLOOKUP($C297,装備品!$1:$998,COLUMN($O$1),FALSE)*VLOOKUP($D297,素材!$1:$1016,COLUMN($E$1),FALSE)/(LEN(VLOOKUP($D297,素材!$1:$1016,COLUMN($F$1),FALSE))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Y297">
        <f>IF(ISNUMBER(SEARCH(SUBSTITUTE(AY$1,RIGHT(AY$1,2),""),VLOOKUP($D297,素材!$1:$1016,COLUMN($F$1),FALSE))),VLOOKUP($C297,装備品!$1:$998,COLUMN($O$1),FALSE)*VLOOKUP($D297,素材!$1:$1016,COLUMN($E$1),FALSE)/(LEN(VLOOKUP($D297,素材!$1:$1016,COLUMN($F$1),FALSE))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Z297">
        <f>IF(ISNUMBER(SEARCH(SUBSTITUTE(AZ$1,RIGHT(AZ$1,2),""),VLOOKUP($D297,素材!$1:$1016,COLUMN($F$1),FALSE))),VLOOKUP($C297,装備品!$1:$998,COLUMN($O$1),FALSE)*VLOOKUP($D297,素材!$1:$1016,COLUMN($E$1),FALSE)/(LEN(VLOOKUP($D297,素材!$1:$1016,COLUMN($F$1),FALSE))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BA297">
        <f>IF(ISNUMBER(SEARCH(SUBSTITUTE(BA$1,RIGHT(BA$1,2),""),VLOOKUP($D297,素材!$1:$1016,COLUMN($F$1),FALSE))),VLOOKUP($C297,装備品!$1:$998,COLUMN($O$1),FALSE)*VLOOKUP($D297,素材!$1:$1016,COLUMN($E$1),FALSE)/(LEN(VLOOKUP($D297,素材!$1:$1016,COLUMN($F$1),FALSE))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BB297">
        <f>IF(ISNUMBER(SEARCH(SUBSTITUTE(BB$1,RIGHT(BB$1,2),""),VLOOKUP($D297,素材!$1:$1016,COLUMN($F$1),FALSE))),VLOOKUP($C297,装備品!$1:$998,COLUMN($O$1),FALSE)*VLOOKUP($D297,素材!$1:$1016,COLUMN($E$1),FALSE)/(LEN(VLOOKUP($D297,素材!$1:$1016,COLUMN($F$1),FALSE))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BC297">
        <f>IF(ISNUMBER(SEARCH(SUBSTITUTE(BC$1,RIGHT(BC$1,2),""),VLOOKUP($D297,素材!$1:$1016,COLUMN($F$1),FALSE))),VLOOKUP($C297,装備品!$1:$998,COLUMN($O$1),FALSE)*VLOOKUP($D297,素材!$1:$1016,COLUMN($E$1),FALSE)/(LEN(VLOOKUP($D297,素材!$1:$1016,COLUMN($F$1),FALSE))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BD297">
        <f>IF(ISNUMBER(SEARCH(SUBSTITUTE(BD$1,RIGHT(BD$1,2),""),VLOOKUP($D297,素材!$1:$1016,COLUMN($F$1),FALSE))),VLOOKUP($C297,装備品!$1:$998,COLUMN($O$1),FALSE)*VLOOKUP($D297,素材!$1:$1016,COLUMN($E$1),FALSE)/(LEN(VLOOKUP($D297,素材!$1:$1016,COLUMN($F$1),FALSE))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BE297">
        <f>IF(ISNUMBER(SEARCH(SUBSTITUTE(BE$1,RIGHT(BE$1,2),""),VLOOKUP($D297,素材!$1:$1016,COLUMN($F$1),FALSE))),VLOOKUP($C297,装備品!$1:$998,COLUMN($O$1),FALSE)*VLOOKUP($D297,素材!$1:$1016,COLUMN($E$1),FALSE)/(LEN(VLOOKUP($D297,素材!$1:$1016,COLUMN($F$1),FALSE))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CL297">
        <f t="shared" si="41"/>
        <v>0</v>
      </c>
      <c r="CM297" s="22" t="str">
        <f t="shared" si="42"/>
        <v>.webp</v>
      </c>
      <c r="CN297" t="str">
        <f>IFERROR(VLOOKUP($C297,装備品!$1:$998,COLUMN(V$1),FALSE)*VLOOKUP($D297,素材!$1:$1016,COLUMN(N$1),FALSE)+IF(CI297="",0,VLOOKUP($CI297,付与!$1:$1176,COLUMN($CK$1),FALSE)),"")</f>
        <v/>
      </c>
      <c r="CO297" t="e">
        <f>VLOOKUP(D297,素材!$A:$O,COLUMN(素材!O$1),FALSE)</f>
        <v>#N/A</v>
      </c>
      <c r="CP297" t="e">
        <f>VLOOKUP(C297,装備品!$A:$AB,COLUMN(装備品!AB$1),FALSE)</f>
        <v>#N/A</v>
      </c>
      <c r="CR297" t="str">
        <f t="shared" si="43"/>
        <v>e_297</v>
      </c>
      <c r="CS297" t="e">
        <f t="shared" si="44"/>
        <v>#VALUE!</v>
      </c>
    </row>
    <row r="298" spans="1:97" hidden="1" outlineLevel="1" x14ac:dyDescent="0.4">
      <c r="A298" t="str">
        <f t="shared" si="45"/>
        <v>の</v>
      </c>
      <c r="B298" t="str">
        <f>IFERROR(IF(CI298="",VLOOKUP($D298,素材!$1:$1016,COLUMN($B$1),FALSE)&amp;"・"&amp;VLOOKUP($C298,装備品!$1:$998,COLUMN(B$1),FALSE),VLOOKUP($CI298,付与!$1:$1176,COLUMN($B$1),FALSE)&amp;"・"&amp;VLOOKUP($C298,装備品!$1:$998,COLUMN(B$1),FALSE)),"")</f>
        <v/>
      </c>
      <c r="C298" s="24"/>
      <c r="D298" s="24"/>
      <c r="E298" t="str">
        <f>IFERROR(VLOOKUP(C298,装備品!$1:$998,COLUMN(C$1),FALSE),"")</f>
        <v/>
      </c>
      <c r="F298" t="str">
        <f>IFERROR(ROUNDDOWN((VLOOKUP($C298,装備品!$1:$998,COLUMN(D$1),FALSE)+IFERROR(VLOOKUP($CI298,付与!$1:$1167,COLUMN(F$1),FALSE),0))*VLOOKUP($D298,素材!$1:$1016,COLUMN(D$1),FALSE),0),"")</f>
        <v/>
      </c>
      <c r="G298" t="str">
        <f>IFERROR(ROUNDDOWN((VLOOKUP($C298,装備品!$1:$998,COLUMN(E$1),FALSE)+IFERROR(VLOOKUP($CI298,付与!$1:$1167,COLUMN(G$1),FALSE),0))*VLOOKUP($D298,素材!$1:$1016,COLUMN($E$1),FALSE),0),"")</f>
        <v/>
      </c>
      <c r="H298" t="str">
        <f>IFERROR(ROUNDDOWN((VLOOKUP($C298,装備品!$1:$998,COLUMN(F$1),FALSE)+IFERROR(VLOOKUP($CI298,付与!$1:$1167,COLUMN(H$1),FALSE),0))*VLOOKUP($D298,素材!$1:$1016,COLUMN($E$1),FALSE),0),"")</f>
        <v/>
      </c>
      <c r="I298" t="str">
        <f>IFERROR(ROUNDDOWN((VLOOKUP($C298,装備品!$1:$998,COLUMN(G$1),FALSE)+IFERROR(VLOOKUP($CI298,付与!$1:$1167,COLUMN(I$1),FALSE),0))*VLOOKUP($D298,素材!$1:$1016,COLUMN($E$1),FALSE),0),"")</f>
        <v/>
      </c>
      <c r="J298" t="str">
        <f>IFERROR(ROUNDDOWN((VLOOKUP($C298,装備品!$1:$998,COLUMN(H$1),FALSE)+IFERROR(VLOOKUP($CI298,付与!$1:$1167,COLUMN(J$1),FALSE),0))*VLOOKUP($D298,素材!$1:$1016,COLUMN($E$1),FALSE),0),"")</f>
        <v/>
      </c>
      <c r="K298" t="str">
        <f>IFERROR(ROUNDDOWN((VLOOKUP($C298,装備品!$1:$998,COLUMN(I$1),FALSE)+IFERROR(VLOOKUP($CI298,付与!$1:$1167,COLUMN(K$1),FALSE),0))*VLOOKUP($D298,素材!$1:$1016,COLUMN($E$1),FALSE),0),"")</f>
        <v/>
      </c>
      <c r="L298" t="str">
        <f>IFERROR(VLOOKUP($D298,素材!$1:$1016,COLUMN($F$1),FALSE),"")</f>
        <v/>
      </c>
      <c r="M298" t="str">
        <f>IFERROR(VLOOKUP($C298,装備品!$1:$998,COLUMN(AA$1),FALSE)*VLOOKUP($D298,素材!$1:$1016,COLUMN($G$1),FALSE),"")</f>
        <v/>
      </c>
      <c r="N298" t="str">
        <f>IFERROR(VLOOKUP($C298,装備品!$1:$998,COLUMN(I$1),FALSE),"")</f>
        <v/>
      </c>
      <c r="O298" s="23" t="str">
        <f>IFERROR((VLOOKUP($C298,装備品!$1:$998,COLUMN(K$1),FALSE)+VLOOKUP($D298,素材!$1:$1016,COLUMN(H$1),FALSE))*100+IFERROR(VLOOKUP($CI298,付与!$1:$1167,COLUMN(O$1),FALSE),0),"")</f>
        <v/>
      </c>
      <c r="P298" s="23" t="str">
        <f>IFERROR((VLOOKUP($C298,装備品!$1:$998,COLUMN(L$1),FALSE)+VLOOKUP($D298,素材!$1:$1016,COLUMN(I$1),FALSE))*100+IFERROR(VLOOKUP($CI298,付与!$1:$1167,COLUMN(P$1),FALSE),0),"")</f>
        <v/>
      </c>
      <c r="Q298" t="str">
        <f>IFERROR(ROUNDUP(VLOOKUP($C298,装備品!$1:$998,COLUMN(M$1),FALSE)*(VLOOKUP($D298,素材!$1:$1002,COLUMN(D$1),FALSE)/100),1),"")</f>
        <v/>
      </c>
      <c r="R298" t="str">
        <f>IFERROR(ROUNDUP(VLOOKUP($C298,装備品!$1:$998,COLUMN(N$1),FALSE)*(VLOOKUP($D298,素材!$1:$1002,COLUMN(D$1),FALSE)/100),1),"")</f>
        <v/>
      </c>
      <c r="S298" t="str">
        <f>IFERROR(VLOOKUP($C298,装備品!$1:$998,COLUMN(P$1),FALSE),"")</f>
        <v/>
      </c>
      <c r="T298" t="str">
        <f>IFERROR(VLOOKUP($C298,装備品!$1:$998,COLUMN(Q$1),FALSE),"")</f>
        <v/>
      </c>
      <c r="U298" t="str">
        <f>IFERROR(VLOOKUP($C298,装備品!$1:$998,COLUMN(R$1),FALSE),"")</f>
        <v/>
      </c>
      <c r="V298" t="str">
        <f>IFERROR(VLOOKUP($C298,装備品!$1:$998,COLUMN(Q$1),FALSE),"")</f>
        <v/>
      </c>
      <c r="W298" t="str">
        <f>IFERROR(VLOOKUP($C298,装備品!$1:$998,COLUMN(T$1),FALSE),"")</f>
        <v/>
      </c>
      <c r="Y298" t="str">
        <f>IFERROR(VLOOKUP($C298,装備品!$1:$998,COLUMN(U$1),FALSE),"")</f>
        <v/>
      </c>
      <c r="Z298" t="str">
        <f>IFERROR(ROUNDUP(VLOOKUP($C298,装備品!$1:$998,COLUMN(O$1),FALSE)*VLOOKUP($D298,素材!$1:$1016,COLUMN(E$1),FALSE),1),"")</f>
        <v/>
      </c>
      <c r="AA298">
        <f>IF(ISNUMBER(SEARCH(SUBSTITUTE(AA$1,RIGHT(AA$1,2),""),VLOOKUP($D298,素材!$1:$1016,COLUMN($F$1),FALSE))),VLOOKUP($C298,装備品!$1:$998,COLUMN($O$1),FALSE)*VLOOKUP($D298,素材!$1:$1016,COLUMN($E$1),FALSE)/(LEN(VLOOKUP($D298,素材!$1:$1016,COLUMN($F$1),FALSE))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B298">
        <f>IF(ISNUMBER(SEARCH(SUBSTITUTE(AB$1,RIGHT(AB$1,2),""),VLOOKUP($D298,素材!$1:$1016,COLUMN($F$1),FALSE))),VLOOKUP($C298,装備品!$1:$998,COLUMN($O$1),FALSE)*VLOOKUP($D298,素材!$1:$1016,COLUMN($E$1),FALSE)/(LEN(VLOOKUP($D298,素材!$1:$1016,COLUMN($F$1),FALSE))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C298">
        <f>IF(ISNUMBER(SEARCH(SUBSTITUTE(AC$1,RIGHT(AC$1,2),""),VLOOKUP($D298,素材!$1:$1016,COLUMN($F$1),FALSE))),VLOOKUP($C298,装備品!$1:$998,COLUMN($O$1),FALSE)*VLOOKUP($D298,素材!$1:$1016,COLUMN($E$1),FALSE)/(LEN(VLOOKUP($D298,素材!$1:$1016,COLUMN($F$1),FALSE))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D298">
        <f>IF(ISNUMBER(SEARCH(SUBSTITUTE(AD$1,RIGHT(AD$1,2),""),VLOOKUP($D298,素材!$1:$1016,COLUMN($F$1),FALSE))),VLOOKUP($C298,装備品!$1:$998,COLUMN($O$1),FALSE)*VLOOKUP($D298,素材!$1:$1016,COLUMN($E$1),FALSE)/(LEN(VLOOKUP($D298,素材!$1:$1016,COLUMN($F$1),FALSE))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E298">
        <f>IF(ISNUMBER(SEARCH(SUBSTITUTE(AE$1,RIGHT(AE$1,2),""),VLOOKUP($D298,素材!$1:$1016,COLUMN($F$1),FALSE))),VLOOKUP($C298,装備品!$1:$998,COLUMN($O$1),FALSE)*VLOOKUP($D298,素材!$1:$1016,COLUMN($E$1),FALSE)/(LEN(VLOOKUP($D298,素材!$1:$1016,COLUMN($F$1),FALSE))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F298">
        <f>IF(ISNUMBER(SEARCH(SUBSTITUTE(AF$1,RIGHT(AF$1,2),""),VLOOKUP($D298,素材!$1:$1016,COLUMN($F$1),FALSE))),VLOOKUP($C298,装備品!$1:$998,COLUMN($O$1),FALSE)*VLOOKUP($D298,素材!$1:$1016,COLUMN($E$1),FALSE)/(LEN(VLOOKUP($D298,素材!$1:$1016,COLUMN($F$1),FALSE))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G298">
        <f>IF(ISNUMBER(SEARCH(SUBSTITUTE(AG$1,RIGHT(AG$1,2),""),VLOOKUP($D298,素材!$1:$1016,COLUMN($F$1),FALSE))),VLOOKUP($C298,装備品!$1:$998,COLUMN($O$1),FALSE)*VLOOKUP($D298,素材!$1:$1016,COLUMN($E$1),FALSE)/(LEN(VLOOKUP($D298,素材!$1:$1016,COLUMN($F$1),FALSE))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H298">
        <f>IF(ISNUMBER(SEARCH(SUBSTITUTE(AH$1,RIGHT(AH$1,2),""),VLOOKUP($D298,素材!$1:$1016,COLUMN($F$1),FALSE))),VLOOKUP($C298,装備品!$1:$998,COLUMN($O$1),FALSE)*VLOOKUP($D298,素材!$1:$1016,COLUMN($E$1),FALSE)/(LEN(VLOOKUP($D298,素材!$1:$1016,COLUMN($F$1),FALSE))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I298">
        <f>IF(ISNUMBER(SEARCH(SUBSTITUTE(AI$1,RIGHT(AI$1,2),""),VLOOKUP($D298,素材!$1:$1016,COLUMN($F$1),FALSE))),VLOOKUP($C298,装備品!$1:$998,COLUMN($O$1),FALSE)*VLOOKUP($D298,素材!$1:$1016,COLUMN($E$1),FALSE)/(LEN(VLOOKUP($D298,素材!$1:$1016,COLUMN($F$1),FALSE))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J298">
        <f>IF(ISNUMBER(SEARCH(SUBSTITUTE(AJ$1,RIGHT(AJ$1,2),""),VLOOKUP($D298,素材!$1:$1016,COLUMN($F$1),FALSE))),VLOOKUP($C298,装備品!$1:$998,COLUMN($O$1),FALSE)*VLOOKUP($D298,素材!$1:$1016,COLUMN($E$1),FALSE)/(LEN(VLOOKUP($D298,素材!$1:$1016,COLUMN($F$1),FALSE))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K298">
        <f>IF(ISNUMBER(SEARCH(SUBSTITUTE(AK$1,RIGHT(AK$1,2),""),VLOOKUP($D298,素材!$1:$1016,COLUMN($F$1),FALSE))),VLOOKUP($C298,装備品!$1:$998,COLUMN($O$1),FALSE)*VLOOKUP($D298,素材!$1:$1016,COLUMN($E$1),FALSE)/(LEN(VLOOKUP($D298,素材!$1:$1016,COLUMN($F$1),FALSE))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L298">
        <f>IF(ISNUMBER(SEARCH(SUBSTITUTE(AL$1,RIGHT(AL$1,2),""),VLOOKUP($D298,素材!$1:$1016,COLUMN($F$1),FALSE))),VLOOKUP($C298,装備品!$1:$998,COLUMN($O$1),FALSE)*VLOOKUP($D298,素材!$1:$1016,COLUMN($E$1),FALSE)/(LEN(VLOOKUP($D298,素材!$1:$1016,COLUMN($F$1),FALSE))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M298">
        <f>IF(ISNUMBER(SEARCH(SUBSTITUTE(AM$1,RIGHT(AM$1,2),""),VLOOKUP($D298,素材!$1:$1016,COLUMN($F$1),FALSE))),VLOOKUP($C298,装備品!$1:$998,COLUMN($O$1),FALSE)*VLOOKUP($D298,素材!$1:$1016,COLUMN($E$1),FALSE)/(LEN(VLOOKUP($D298,素材!$1:$1016,COLUMN($F$1),FALSE))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N298">
        <f>IF(ISNUMBER(SEARCH(SUBSTITUTE(AN$1,RIGHT(AN$1,2),""),VLOOKUP($D298,素材!$1:$1016,COLUMN($F$1),FALSE))),VLOOKUP($C298,装備品!$1:$998,COLUMN($O$1),FALSE)*VLOOKUP($D298,素材!$1:$1016,COLUMN($E$1),FALSE)/(LEN(VLOOKUP($D298,素材!$1:$1016,COLUMN($F$1),FALSE))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O298">
        <f>IF(ISNUMBER(SEARCH(SUBSTITUTE(AO$1,RIGHT(AO$1,2),""),VLOOKUP($D298,素材!$1:$1016,COLUMN($F$1),FALSE))),VLOOKUP($C298,装備品!$1:$998,COLUMN($O$1),FALSE)*VLOOKUP($D298,素材!$1:$1016,COLUMN($E$1),FALSE)/(LEN(VLOOKUP($D298,素材!$1:$1016,COLUMN($F$1),FALSE))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P298">
        <f>IF(ISNUMBER(SEARCH(SUBSTITUTE(AP$1,RIGHT(AP$1,2),""),VLOOKUP($D298,素材!$1:$1016,COLUMN($F$1),FALSE))),VLOOKUP($C298,装備品!$1:$998,COLUMN($O$1),FALSE)*VLOOKUP($D298,素材!$1:$1016,COLUMN($E$1),FALSE)/(LEN(VLOOKUP($D298,素材!$1:$1016,COLUMN($F$1),FALSE))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Q298">
        <f>IF(ISNUMBER(SEARCH(SUBSTITUTE(AQ$1,RIGHT(AQ$1,2),""),VLOOKUP($D298,素材!$1:$1016,COLUMN($F$1),FALSE))),VLOOKUP($C298,装備品!$1:$998,COLUMN($O$1),FALSE)*VLOOKUP($D298,素材!$1:$1016,COLUMN($E$1),FALSE)/(LEN(VLOOKUP($D298,素材!$1:$1016,COLUMN($F$1),FALSE))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R298">
        <f>IF(ISNUMBER(SEARCH(SUBSTITUTE(AR$1,RIGHT(AR$1,2),""),VLOOKUP($D298,素材!$1:$1016,COLUMN($F$1),FALSE))),VLOOKUP($C298,装備品!$1:$998,COLUMN($O$1),FALSE)*VLOOKUP($D298,素材!$1:$1016,COLUMN($E$1),FALSE)/(LEN(VLOOKUP($D298,素材!$1:$1016,COLUMN($F$1),FALSE))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S298">
        <f>IF(ISNUMBER(SEARCH(SUBSTITUTE(AS$1,RIGHT(AS$1,2),""),VLOOKUP($D298,素材!$1:$1016,COLUMN($F$1),FALSE))),VLOOKUP($C298,装備品!$1:$998,COLUMN($O$1),FALSE)*VLOOKUP($D298,素材!$1:$1016,COLUMN($E$1),FALSE)/(LEN(VLOOKUP($D298,素材!$1:$1016,COLUMN($F$1),FALSE))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T298">
        <f>IF(ISNUMBER(SEARCH(SUBSTITUTE(AT$1,RIGHT(AT$1,2),""),VLOOKUP($D298,素材!$1:$1016,COLUMN($F$1),FALSE))),VLOOKUP($C298,装備品!$1:$998,COLUMN($O$1),FALSE)*VLOOKUP($D298,素材!$1:$1016,COLUMN($E$1),FALSE)/(LEN(VLOOKUP($D298,素材!$1:$1016,COLUMN($F$1),FALSE))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U298">
        <f>IF(ISNUMBER(SEARCH(SUBSTITUTE(AU$1,RIGHT(AU$1,2),""),VLOOKUP($D298,素材!$1:$1016,COLUMN($F$1),FALSE))),VLOOKUP($C298,装備品!$1:$998,COLUMN($O$1),FALSE)*VLOOKUP($D298,素材!$1:$1016,COLUMN($E$1),FALSE)/(LEN(VLOOKUP($D298,素材!$1:$1016,COLUMN($F$1),FALSE))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V298">
        <f>IF(ISNUMBER(SEARCH(SUBSTITUTE(AV$1,RIGHT(AV$1,2),""),VLOOKUP($D298,素材!$1:$1016,COLUMN($F$1),FALSE))),VLOOKUP($C298,装備品!$1:$998,COLUMN($O$1),FALSE)*VLOOKUP($D298,素材!$1:$1016,COLUMN($E$1),FALSE)/(LEN(VLOOKUP($D298,素材!$1:$1016,COLUMN($F$1),FALSE))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W298">
        <f>IF(ISNUMBER(SEARCH(SUBSTITUTE(AW$1,RIGHT(AW$1,2),""),VLOOKUP($D298,素材!$1:$1016,COLUMN($F$1),FALSE))),VLOOKUP($C298,装備品!$1:$998,COLUMN($O$1),FALSE)*VLOOKUP($D298,素材!$1:$1016,COLUMN($E$1),FALSE)/(LEN(VLOOKUP($D298,素材!$1:$1016,COLUMN($F$1),FALSE))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X298">
        <f>IF(ISNUMBER(SEARCH(SUBSTITUTE(AX$1,RIGHT(AX$1,2),""),VLOOKUP($D298,素材!$1:$1016,COLUMN($F$1),FALSE))),VLOOKUP($C298,装備品!$1:$998,COLUMN($O$1),FALSE)*VLOOKUP($D298,素材!$1:$1016,COLUMN($E$1),FALSE)/(LEN(VLOOKUP($D298,素材!$1:$1016,COLUMN($F$1),FALSE))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Y298">
        <f>IF(ISNUMBER(SEARCH(SUBSTITUTE(AY$1,RIGHT(AY$1,2),""),VLOOKUP($D298,素材!$1:$1016,COLUMN($F$1),FALSE))),VLOOKUP($C298,装備品!$1:$998,COLUMN($O$1),FALSE)*VLOOKUP($D298,素材!$1:$1016,COLUMN($E$1),FALSE)/(LEN(VLOOKUP($D298,素材!$1:$1016,COLUMN($F$1),FALSE))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Z298">
        <f>IF(ISNUMBER(SEARCH(SUBSTITUTE(AZ$1,RIGHT(AZ$1,2),""),VLOOKUP($D298,素材!$1:$1016,COLUMN($F$1),FALSE))),VLOOKUP($C298,装備品!$1:$998,COLUMN($O$1),FALSE)*VLOOKUP($D298,素材!$1:$1016,COLUMN($E$1),FALSE)/(LEN(VLOOKUP($D298,素材!$1:$1016,COLUMN($F$1),FALSE))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BA298">
        <f>IF(ISNUMBER(SEARCH(SUBSTITUTE(BA$1,RIGHT(BA$1,2),""),VLOOKUP($D298,素材!$1:$1016,COLUMN($F$1),FALSE))),VLOOKUP($C298,装備品!$1:$998,COLUMN($O$1),FALSE)*VLOOKUP($D298,素材!$1:$1016,COLUMN($E$1),FALSE)/(LEN(VLOOKUP($D298,素材!$1:$1016,COLUMN($F$1),FALSE))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BB298">
        <f>IF(ISNUMBER(SEARCH(SUBSTITUTE(BB$1,RIGHT(BB$1,2),""),VLOOKUP($D298,素材!$1:$1016,COLUMN($F$1),FALSE))),VLOOKUP($C298,装備品!$1:$998,COLUMN($O$1),FALSE)*VLOOKUP($D298,素材!$1:$1016,COLUMN($E$1),FALSE)/(LEN(VLOOKUP($D298,素材!$1:$1016,COLUMN($F$1),FALSE))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BC298">
        <f>IF(ISNUMBER(SEARCH(SUBSTITUTE(BC$1,RIGHT(BC$1,2),""),VLOOKUP($D298,素材!$1:$1016,COLUMN($F$1),FALSE))),VLOOKUP($C298,装備品!$1:$998,COLUMN($O$1),FALSE)*VLOOKUP($D298,素材!$1:$1016,COLUMN($E$1),FALSE)/(LEN(VLOOKUP($D298,素材!$1:$1016,COLUMN($F$1),FALSE))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BD298">
        <f>IF(ISNUMBER(SEARCH(SUBSTITUTE(BD$1,RIGHT(BD$1,2),""),VLOOKUP($D298,素材!$1:$1016,COLUMN($F$1),FALSE))),VLOOKUP($C298,装備品!$1:$998,COLUMN($O$1),FALSE)*VLOOKUP($D298,素材!$1:$1016,COLUMN($E$1),FALSE)/(LEN(VLOOKUP($D298,素材!$1:$1016,COLUMN($F$1),FALSE))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BE298">
        <f>IF(ISNUMBER(SEARCH(SUBSTITUTE(BE$1,RIGHT(BE$1,2),""),VLOOKUP($D298,素材!$1:$1016,COLUMN($F$1),FALSE))),VLOOKUP($C298,装備品!$1:$998,COLUMN($O$1),FALSE)*VLOOKUP($D298,素材!$1:$1016,COLUMN($E$1),FALSE)/(LEN(VLOOKUP($D298,素材!$1:$1016,COLUMN($F$1),FALSE))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CL298">
        <f t="shared" si="41"/>
        <v>0</v>
      </c>
      <c r="CM298" s="22" t="str">
        <f t="shared" si="42"/>
        <v>.webp</v>
      </c>
      <c r="CN298" t="str">
        <f>IFERROR(VLOOKUP($C298,装備品!$1:$998,COLUMN(V$1),FALSE)*VLOOKUP($D298,素材!$1:$1016,COLUMN(N$1),FALSE)+IF(CI298="",0,VLOOKUP($CI298,付与!$1:$1176,COLUMN($CK$1),FALSE)),"")</f>
        <v/>
      </c>
      <c r="CO298" t="e">
        <f>VLOOKUP(D298,素材!$A:$O,COLUMN(素材!O$1),FALSE)</f>
        <v>#N/A</v>
      </c>
      <c r="CP298" t="e">
        <f>VLOOKUP(C298,装備品!$A:$AB,COLUMN(装備品!AB$1),FALSE)</f>
        <v>#N/A</v>
      </c>
      <c r="CR298" t="str">
        <f t="shared" si="43"/>
        <v>e_298</v>
      </c>
      <c r="CS298" t="e">
        <f t="shared" si="44"/>
        <v>#VALUE!</v>
      </c>
    </row>
    <row r="299" spans="1:97" hidden="1" outlineLevel="1" x14ac:dyDescent="0.4">
      <c r="A299" t="str">
        <f t="shared" si="45"/>
        <v>の</v>
      </c>
      <c r="B299" t="str">
        <f>IFERROR(IF(CI299="",VLOOKUP($D299,素材!$1:$1016,COLUMN($B$1),FALSE)&amp;"・"&amp;VLOOKUP($C299,装備品!$1:$998,COLUMN(B$1),FALSE),VLOOKUP($CI299,付与!$1:$1176,COLUMN($B$1),FALSE)&amp;"・"&amp;VLOOKUP($C299,装備品!$1:$998,COLUMN(B$1),FALSE)),"")</f>
        <v/>
      </c>
      <c r="C299" s="24"/>
      <c r="D299" s="24"/>
      <c r="E299" t="str">
        <f>IFERROR(VLOOKUP(C299,装備品!$1:$998,COLUMN(C$1),FALSE),"")</f>
        <v/>
      </c>
      <c r="F299" t="str">
        <f>IFERROR(ROUNDDOWN((VLOOKUP($C299,装備品!$1:$998,COLUMN(D$1),FALSE)+IFERROR(VLOOKUP($CI299,付与!$1:$1167,COLUMN(F$1),FALSE),0))*VLOOKUP($D299,素材!$1:$1016,COLUMN(D$1),FALSE),0),"")</f>
        <v/>
      </c>
      <c r="G299" t="str">
        <f>IFERROR(ROUNDDOWN((VLOOKUP($C299,装備品!$1:$998,COLUMN(E$1),FALSE)+IFERROR(VLOOKUP($CI299,付与!$1:$1167,COLUMN(G$1),FALSE),0))*VLOOKUP($D299,素材!$1:$1016,COLUMN($E$1),FALSE),0),"")</f>
        <v/>
      </c>
      <c r="H299" t="str">
        <f>IFERROR(ROUNDDOWN((VLOOKUP($C299,装備品!$1:$998,COLUMN(F$1),FALSE)+IFERROR(VLOOKUP($CI299,付与!$1:$1167,COLUMN(H$1),FALSE),0))*VLOOKUP($D299,素材!$1:$1016,COLUMN($E$1),FALSE),0),"")</f>
        <v/>
      </c>
      <c r="I299" t="str">
        <f>IFERROR(ROUNDDOWN((VLOOKUP($C299,装備品!$1:$998,COLUMN(G$1),FALSE)+IFERROR(VLOOKUP($CI299,付与!$1:$1167,COLUMN(I$1),FALSE),0))*VLOOKUP($D299,素材!$1:$1016,COLUMN($E$1),FALSE),0),"")</f>
        <v/>
      </c>
      <c r="J299" t="str">
        <f>IFERROR(ROUNDDOWN((VLOOKUP($C299,装備品!$1:$998,COLUMN(H$1),FALSE)+IFERROR(VLOOKUP($CI299,付与!$1:$1167,COLUMN(J$1),FALSE),0))*VLOOKUP($D299,素材!$1:$1016,COLUMN($E$1),FALSE),0),"")</f>
        <v/>
      </c>
      <c r="K299" t="str">
        <f>IFERROR(ROUNDDOWN((VLOOKUP($C299,装備品!$1:$998,COLUMN(I$1),FALSE)+IFERROR(VLOOKUP($CI299,付与!$1:$1167,COLUMN(K$1),FALSE),0))*VLOOKUP($D299,素材!$1:$1016,COLUMN($E$1),FALSE),0),"")</f>
        <v/>
      </c>
      <c r="L299" t="str">
        <f>IFERROR(VLOOKUP($D299,素材!$1:$1016,COLUMN($F$1),FALSE),"")</f>
        <v/>
      </c>
      <c r="M299" t="str">
        <f>IFERROR(VLOOKUP($C299,装備品!$1:$998,COLUMN(AA$1),FALSE)*VLOOKUP($D299,素材!$1:$1016,COLUMN($G$1),FALSE),"")</f>
        <v/>
      </c>
      <c r="N299" t="str">
        <f>IFERROR(VLOOKUP($C299,装備品!$1:$998,COLUMN(I$1),FALSE),"")</f>
        <v/>
      </c>
      <c r="O299" s="23" t="str">
        <f>IFERROR((VLOOKUP($C299,装備品!$1:$998,COLUMN(K$1),FALSE)+VLOOKUP($D299,素材!$1:$1016,COLUMN(H$1),FALSE))*100+IFERROR(VLOOKUP($CI299,付与!$1:$1167,COLUMN(O$1),FALSE),0),"")</f>
        <v/>
      </c>
      <c r="P299" s="23" t="str">
        <f>IFERROR((VLOOKUP($C299,装備品!$1:$998,COLUMN(L$1),FALSE)+VLOOKUP($D299,素材!$1:$1016,COLUMN(I$1),FALSE))*100+IFERROR(VLOOKUP($CI299,付与!$1:$1167,COLUMN(P$1),FALSE),0),"")</f>
        <v/>
      </c>
      <c r="Q299" t="str">
        <f>IFERROR(ROUNDUP(VLOOKUP($C299,装備品!$1:$998,COLUMN(M$1),FALSE)*(VLOOKUP($D299,素材!$1:$1002,COLUMN(D$1),FALSE)/100),1),"")</f>
        <v/>
      </c>
      <c r="R299" t="str">
        <f>IFERROR(ROUNDUP(VLOOKUP($C299,装備品!$1:$998,COLUMN(N$1),FALSE)*(VLOOKUP($D299,素材!$1:$1002,COLUMN(D$1),FALSE)/100),1),"")</f>
        <v/>
      </c>
      <c r="S299" t="str">
        <f>IFERROR(VLOOKUP($C299,装備品!$1:$998,COLUMN(P$1),FALSE),"")</f>
        <v/>
      </c>
      <c r="T299" t="str">
        <f>IFERROR(VLOOKUP($C299,装備品!$1:$998,COLUMN(Q$1),FALSE),"")</f>
        <v/>
      </c>
      <c r="U299" t="str">
        <f>IFERROR(VLOOKUP($C299,装備品!$1:$998,COLUMN(R$1),FALSE),"")</f>
        <v/>
      </c>
      <c r="V299" t="str">
        <f>IFERROR(VLOOKUP($C299,装備品!$1:$998,COLUMN(Q$1),FALSE),"")</f>
        <v/>
      </c>
      <c r="W299" t="str">
        <f>IFERROR(VLOOKUP($C299,装備品!$1:$998,COLUMN(T$1),FALSE),"")</f>
        <v/>
      </c>
      <c r="Y299" t="str">
        <f>IFERROR(VLOOKUP($C299,装備品!$1:$998,COLUMN(U$1),FALSE),"")</f>
        <v/>
      </c>
      <c r="Z299" t="str">
        <f>IFERROR(ROUNDUP(VLOOKUP($C299,装備品!$1:$998,COLUMN(O$1),FALSE)*VLOOKUP($D299,素材!$1:$1016,COLUMN(E$1),FALSE),1),"")</f>
        <v/>
      </c>
      <c r="AA299">
        <f>IF(ISNUMBER(SEARCH(SUBSTITUTE(AA$1,RIGHT(AA$1,2),""),VLOOKUP($D299,素材!$1:$1016,COLUMN($F$1),FALSE))),VLOOKUP($C299,装備品!$1:$998,COLUMN($O$1),FALSE)*VLOOKUP($D299,素材!$1:$1016,COLUMN($E$1),FALSE)/(LEN(VLOOKUP($D299,素材!$1:$1016,COLUMN($F$1),FALSE))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B299">
        <f>IF(ISNUMBER(SEARCH(SUBSTITUTE(AB$1,RIGHT(AB$1,2),""),VLOOKUP($D299,素材!$1:$1016,COLUMN($F$1),FALSE))),VLOOKUP($C299,装備品!$1:$998,COLUMN($O$1),FALSE)*VLOOKUP($D299,素材!$1:$1016,COLUMN($E$1),FALSE)/(LEN(VLOOKUP($D299,素材!$1:$1016,COLUMN($F$1),FALSE))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C299">
        <f>IF(ISNUMBER(SEARCH(SUBSTITUTE(AC$1,RIGHT(AC$1,2),""),VLOOKUP($D299,素材!$1:$1016,COLUMN($F$1),FALSE))),VLOOKUP($C299,装備品!$1:$998,COLUMN($O$1),FALSE)*VLOOKUP($D299,素材!$1:$1016,COLUMN($E$1),FALSE)/(LEN(VLOOKUP($D299,素材!$1:$1016,COLUMN($F$1),FALSE))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D299">
        <f>IF(ISNUMBER(SEARCH(SUBSTITUTE(AD$1,RIGHT(AD$1,2),""),VLOOKUP($D299,素材!$1:$1016,COLUMN($F$1),FALSE))),VLOOKUP($C299,装備品!$1:$998,COLUMN($O$1),FALSE)*VLOOKUP($D299,素材!$1:$1016,COLUMN($E$1),FALSE)/(LEN(VLOOKUP($D299,素材!$1:$1016,COLUMN($F$1),FALSE))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E299">
        <f>IF(ISNUMBER(SEARCH(SUBSTITUTE(AE$1,RIGHT(AE$1,2),""),VLOOKUP($D299,素材!$1:$1016,COLUMN($F$1),FALSE))),VLOOKUP($C299,装備品!$1:$998,COLUMN($O$1),FALSE)*VLOOKUP($D299,素材!$1:$1016,COLUMN($E$1),FALSE)/(LEN(VLOOKUP($D299,素材!$1:$1016,COLUMN($F$1),FALSE))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F299">
        <f>IF(ISNUMBER(SEARCH(SUBSTITUTE(AF$1,RIGHT(AF$1,2),""),VLOOKUP($D299,素材!$1:$1016,COLUMN($F$1),FALSE))),VLOOKUP($C299,装備品!$1:$998,COLUMN($O$1),FALSE)*VLOOKUP($D299,素材!$1:$1016,COLUMN($E$1),FALSE)/(LEN(VLOOKUP($D299,素材!$1:$1016,COLUMN($F$1),FALSE))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G299">
        <f>IF(ISNUMBER(SEARCH(SUBSTITUTE(AG$1,RIGHT(AG$1,2),""),VLOOKUP($D299,素材!$1:$1016,COLUMN($F$1),FALSE))),VLOOKUP($C299,装備品!$1:$998,COLUMN($O$1),FALSE)*VLOOKUP($D299,素材!$1:$1016,COLUMN($E$1),FALSE)/(LEN(VLOOKUP($D299,素材!$1:$1016,COLUMN($F$1),FALSE))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H299">
        <f>IF(ISNUMBER(SEARCH(SUBSTITUTE(AH$1,RIGHT(AH$1,2),""),VLOOKUP($D299,素材!$1:$1016,COLUMN($F$1),FALSE))),VLOOKUP($C299,装備品!$1:$998,COLUMN($O$1),FALSE)*VLOOKUP($D299,素材!$1:$1016,COLUMN($E$1),FALSE)/(LEN(VLOOKUP($D299,素材!$1:$1016,COLUMN($F$1),FALSE))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I299">
        <f>IF(ISNUMBER(SEARCH(SUBSTITUTE(AI$1,RIGHT(AI$1,2),""),VLOOKUP($D299,素材!$1:$1016,COLUMN($F$1),FALSE))),VLOOKUP($C299,装備品!$1:$998,COLUMN($O$1),FALSE)*VLOOKUP($D299,素材!$1:$1016,COLUMN($E$1),FALSE)/(LEN(VLOOKUP($D299,素材!$1:$1016,COLUMN($F$1),FALSE))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J299">
        <f>IF(ISNUMBER(SEARCH(SUBSTITUTE(AJ$1,RIGHT(AJ$1,2),""),VLOOKUP($D299,素材!$1:$1016,COLUMN($F$1),FALSE))),VLOOKUP($C299,装備品!$1:$998,COLUMN($O$1),FALSE)*VLOOKUP($D299,素材!$1:$1016,COLUMN($E$1),FALSE)/(LEN(VLOOKUP($D299,素材!$1:$1016,COLUMN($F$1),FALSE))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K299">
        <f>IF(ISNUMBER(SEARCH(SUBSTITUTE(AK$1,RIGHT(AK$1,2),""),VLOOKUP($D299,素材!$1:$1016,COLUMN($F$1),FALSE))),VLOOKUP($C299,装備品!$1:$998,COLUMN($O$1),FALSE)*VLOOKUP($D299,素材!$1:$1016,COLUMN($E$1),FALSE)/(LEN(VLOOKUP($D299,素材!$1:$1016,COLUMN($F$1),FALSE))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L299">
        <f>IF(ISNUMBER(SEARCH(SUBSTITUTE(AL$1,RIGHT(AL$1,2),""),VLOOKUP($D299,素材!$1:$1016,COLUMN($F$1),FALSE))),VLOOKUP($C299,装備品!$1:$998,COLUMN($O$1),FALSE)*VLOOKUP($D299,素材!$1:$1016,COLUMN($E$1),FALSE)/(LEN(VLOOKUP($D299,素材!$1:$1016,COLUMN($F$1),FALSE))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M299">
        <f>IF(ISNUMBER(SEARCH(SUBSTITUTE(AM$1,RIGHT(AM$1,2),""),VLOOKUP($D299,素材!$1:$1016,COLUMN($F$1),FALSE))),VLOOKUP($C299,装備品!$1:$998,COLUMN($O$1),FALSE)*VLOOKUP($D299,素材!$1:$1016,COLUMN($E$1),FALSE)/(LEN(VLOOKUP($D299,素材!$1:$1016,COLUMN($F$1),FALSE))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N299">
        <f>IF(ISNUMBER(SEARCH(SUBSTITUTE(AN$1,RIGHT(AN$1,2),""),VLOOKUP($D299,素材!$1:$1016,COLUMN($F$1),FALSE))),VLOOKUP($C299,装備品!$1:$998,COLUMN($O$1),FALSE)*VLOOKUP($D299,素材!$1:$1016,COLUMN($E$1),FALSE)/(LEN(VLOOKUP($D299,素材!$1:$1016,COLUMN($F$1),FALSE))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O299">
        <f>IF(ISNUMBER(SEARCH(SUBSTITUTE(AO$1,RIGHT(AO$1,2),""),VLOOKUP($D299,素材!$1:$1016,COLUMN($F$1),FALSE))),VLOOKUP($C299,装備品!$1:$998,COLUMN($O$1),FALSE)*VLOOKUP($D299,素材!$1:$1016,COLUMN($E$1),FALSE)/(LEN(VLOOKUP($D299,素材!$1:$1016,COLUMN($F$1),FALSE))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P299">
        <f>IF(ISNUMBER(SEARCH(SUBSTITUTE(AP$1,RIGHT(AP$1,2),""),VLOOKUP($D299,素材!$1:$1016,COLUMN($F$1),FALSE))),VLOOKUP($C299,装備品!$1:$998,COLUMN($O$1),FALSE)*VLOOKUP($D299,素材!$1:$1016,COLUMN($E$1),FALSE)/(LEN(VLOOKUP($D299,素材!$1:$1016,COLUMN($F$1),FALSE))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Q299">
        <f>IF(ISNUMBER(SEARCH(SUBSTITUTE(AQ$1,RIGHT(AQ$1,2),""),VLOOKUP($D299,素材!$1:$1016,COLUMN($F$1),FALSE))),VLOOKUP($C299,装備品!$1:$998,COLUMN($O$1),FALSE)*VLOOKUP($D299,素材!$1:$1016,COLUMN($E$1),FALSE)/(LEN(VLOOKUP($D299,素材!$1:$1016,COLUMN($F$1),FALSE))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R299">
        <f>IF(ISNUMBER(SEARCH(SUBSTITUTE(AR$1,RIGHT(AR$1,2),""),VLOOKUP($D299,素材!$1:$1016,COLUMN($F$1),FALSE))),VLOOKUP($C299,装備品!$1:$998,COLUMN($O$1),FALSE)*VLOOKUP($D299,素材!$1:$1016,COLUMN($E$1),FALSE)/(LEN(VLOOKUP($D299,素材!$1:$1016,COLUMN($F$1),FALSE))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S299">
        <f>IF(ISNUMBER(SEARCH(SUBSTITUTE(AS$1,RIGHT(AS$1,2),""),VLOOKUP($D299,素材!$1:$1016,COLUMN($F$1),FALSE))),VLOOKUP($C299,装備品!$1:$998,COLUMN($O$1),FALSE)*VLOOKUP($D299,素材!$1:$1016,COLUMN($E$1),FALSE)/(LEN(VLOOKUP($D299,素材!$1:$1016,COLUMN($F$1),FALSE))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T299">
        <f>IF(ISNUMBER(SEARCH(SUBSTITUTE(AT$1,RIGHT(AT$1,2),""),VLOOKUP($D299,素材!$1:$1016,COLUMN($F$1),FALSE))),VLOOKUP($C299,装備品!$1:$998,COLUMN($O$1),FALSE)*VLOOKUP($D299,素材!$1:$1016,COLUMN($E$1),FALSE)/(LEN(VLOOKUP($D299,素材!$1:$1016,COLUMN($F$1),FALSE))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U299">
        <f>IF(ISNUMBER(SEARCH(SUBSTITUTE(AU$1,RIGHT(AU$1,2),""),VLOOKUP($D299,素材!$1:$1016,COLUMN($F$1),FALSE))),VLOOKUP($C299,装備品!$1:$998,COLUMN($O$1),FALSE)*VLOOKUP($D299,素材!$1:$1016,COLUMN($E$1),FALSE)/(LEN(VLOOKUP($D299,素材!$1:$1016,COLUMN($F$1),FALSE))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V299">
        <f>IF(ISNUMBER(SEARCH(SUBSTITUTE(AV$1,RIGHT(AV$1,2),""),VLOOKUP($D299,素材!$1:$1016,COLUMN($F$1),FALSE))),VLOOKUP($C299,装備品!$1:$998,COLUMN($O$1),FALSE)*VLOOKUP($D299,素材!$1:$1016,COLUMN($E$1),FALSE)/(LEN(VLOOKUP($D299,素材!$1:$1016,COLUMN($F$1),FALSE))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W299">
        <f>IF(ISNUMBER(SEARCH(SUBSTITUTE(AW$1,RIGHT(AW$1,2),""),VLOOKUP($D299,素材!$1:$1016,COLUMN($F$1),FALSE))),VLOOKUP($C299,装備品!$1:$998,COLUMN($O$1),FALSE)*VLOOKUP($D299,素材!$1:$1016,COLUMN($E$1),FALSE)/(LEN(VLOOKUP($D299,素材!$1:$1016,COLUMN($F$1),FALSE))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X299">
        <f>IF(ISNUMBER(SEARCH(SUBSTITUTE(AX$1,RIGHT(AX$1,2),""),VLOOKUP($D299,素材!$1:$1016,COLUMN($F$1),FALSE))),VLOOKUP($C299,装備品!$1:$998,COLUMN($O$1),FALSE)*VLOOKUP($D299,素材!$1:$1016,COLUMN($E$1),FALSE)/(LEN(VLOOKUP($D299,素材!$1:$1016,COLUMN($F$1),FALSE))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Y299">
        <f>IF(ISNUMBER(SEARCH(SUBSTITUTE(AY$1,RIGHT(AY$1,2),""),VLOOKUP($D299,素材!$1:$1016,COLUMN($F$1),FALSE))),VLOOKUP($C299,装備品!$1:$998,COLUMN($O$1),FALSE)*VLOOKUP($D299,素材!$1:$1016,COLUMN($E$1),FALSE)/(LEN(VLOOKUP($D299,素材!$1:$1016,COLUMN($F$1),FALSE))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Z299">
        <f>IF(ISNUMBER(SEARCH(SUBSTITUTE(AZ$1,RIGHT(AZ$1,2),""),VLOOKUP($D299,素材!$1:$1016,COLUMN($F$1),FALSE))),VLOOKUP($C299,装備品!$1:$998,COLUMN($O$1),FALSE)*VLOOKUP($D299,素材!$1:$1016,COLUMN($E$1),FALSE)/(LEN(VLOOKUP($D299,素材!$1:$1016,COLUMN($F$1),FALSE))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BA299">
        <f>IF(ISNUMBER(SEARCH(SUBSTITUTE(BA$1,RIGHT(BA$1,2),""),VLOOKUP($D299,素材!$1:$1016,COLUMN($F$1),FALSE))),VLOOKUP($C299,装備品!$1:$998,COLUMN($O$1),FALSE)*VLOOKUP($D299,素材!$1:$1016,COLUMN($E$1),FALSE)/(LEN(VLOOKUP($D299,素材!$1:$1016,COLUMN($F$1),FALSE))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BB299">
        <f>IF(ISNUMBER(SEARCH(SUBSTITUTE(BB$1,RIGHT(BB$1,2),""),VLOOKUP($D299,素材!$1:$1016,COLUMN($F$1),FALSE))),VLOOKUP($C299,装備品!$1:$998,COLUMN($O$1),FALSE)*VLOOKUP($D299,素材!$1:$1016,COLUMN($E$1),FALSE)/(LEN(VLOOKUP($D299,素材!$1:$1016,COLUMN($F$1),FALSE))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BC299">
        <f>IF(ISNUMBER(SEARCH(SUBSTITUTE(BC$1,RIGHT(BC$1,2),""),VLOOKUP($D299,素材!$1:$1016,COLUMN($F$1),FALSE))),VLOOKUP($C299,装備品!$1:$998,COLUMN($O$1),FALSE)*VLOOKUP($D299,素材!$1:$1016,COLUMN($E$1),FALSE)/(LEN(VLOOKUP($D299,素材!$1:$1016,COLUMN($F$1),FALSE))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BD299">
        <f>IF(ISNUMBER(SEARCH(SUBSTITUTE(BD$1,RIGHT(BD$1,2),""),VLOOKUP($D299,素材!$1:$1016,COLUMN($F$1),FALSE))),VLOOKUP($C299,装備品!$1:$998,COLUMN($O$1),FALSE)*VLOOKUP($D299,素材!$1:$1016,COLUMN($E$1),FALSE)/(LEN(VLOOKUP($D299,素材!$1:$1016,COLUMN($F$1),FALSE))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BE299">
        <f>IF(ISNUMBER(SEARCH(SUBSTITUTE(BE$1,RIGHT(BE$1,2),""),VLOOKUP($D299,素材!$1:$1016,COLUMN($F$1),FALSE))),VLOOKUP($C299,装備品!$1:$998,COLUMN($O$1),FALSE)*VLOOKUP($D299,素材!$1:$1016,COLUMN($E$1),FALSE)/(LEN(VLOOKUP($D299,素材!$1:$1016,COLUMN($F$1),FALSE))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CL299">
        <f t="shared" si="41"/>
        <v>0</v>
      </c>
      <c r="CM299" s="22" t="str">
        <f t="shared" si="42"/>
        <v>.webp</v>
      </c>
      <c r="CN299" t="str">
        <f>IFERROR(VLOOKUP($C299,装備品!$1:$998,COLUMN(V$1),FALSE)*VLOOKUP($D299,素材!$1:$1016,COLUMN(N$1),FALSE)+IF(CI299="",0,VLOOKUP($CI299,付与!$1:$1176,COLUMN($CK$1),FALSE)),"")</f>
        <v/>
      </c>
      <c r="CO299" t="e">
        <f>VLOOKUP(D299,素材!$A:$O,COLUMN(素材!O$1),FALSE)</f>
        <v>#N/A</v>
      </c>
      <c r="CP299" t="e">
        <f>VLOOKUP(C299,装備品!$A:$AB,COLUMN(装備品!AB$1),FALSE)</f>
        <v>#N/A</v>
      </c>
      <c r="CR299" t="str">
        <f t="shared" si="43"/>
        <v>e_299</v>
      </c>
      <c r="CS299" t="e">
        <f t="shared" si="44"/>
        <v>#VALUE!</v>
      </c>
    </row>
    <row r="300" spans="1:97" hidden="1" outlineLevel="1" x14ac:dyDescent="0.4">
      <c r="A300" t="str">
        <f t="shared" si="45"/>
        <v>の</v>
      </c>
      <c r="B300" t="str">
        <f>IFERROR(IF(CI300="",VLOOKUP($D300,素材!$1:$1016,COLUMN($B$1),FALSE)&amp;"・"&amp;VLOOKUP($C300,装備品!$1:$998,COLUMN(B$1),FALSE),VLOOKUP($CI300,付与!$1:$1176,COLUMN($B$1),FALSE)&amp;"・"&amp;VLOOKUP($C300,装備品!$1:$998,COLUMN(B$1),FALSE)),"")</f>
        <v/>
      </c>
      <c r="C300" s="24"/>
      <c r="D300" s="24"/>
      <c r="E300" t="str">
        <f>IFERROR(VLOOKUP(C300,装備品!$1:$998,COLUMN(C$1),FALSE),"")</f>
        <v/>
      </c>
      <c r="F300" t="str">
        <f>IFERROR(ROUNDDOWN((VLOOKUP($C300,装備品!$1:$998,COLUMN(D$1),FALSE)+IFERROR(VLOOKUP($CI300,付与!$1:$1167,COLUMN(F$1),FALSE),0))*VLOOKUP($D300,素材!$1:$1016,COLUMN(D$1),FALSE),0),"")</f>
        <v/>
      </c>
      <c r="G300" t="str">
        <f>IFERROR(ROUNDDOWN((VLOOKUP($C300,装備品!$1:$998,COLUMN(E$1),FALSE)+IFERROR(VLOOKUP($CI300,付与!$1:$1167,COLUMN(G$1),FALSE),0))*VLOOKUP($D300,素材!$1:$1016,COLUMN($E$1),FALSE),0),"")</f>
        <v/>
      </c>
      <c r="H300" t="str">
        <f>IFERROR(ROUNDDOWN((VLOOKUP($C300,装備品!$1:$998,COLUMN(F$1),FALSE)+IFERROR(VLOOKUP($CI300,付与!$1:$1167,COLUMN(H$1),FALSE),0))*VLOOKUP($D300,素材!$1:$1016,COLUMN($E$1),FALSE),0),"")</f>
        <v/>
      </c>
      <c r="I300" t="str">
        <f>IFERROR(ROUNDDOWN((VLOOKUP($C300,装備品!$1:$998,COLUMN(G$1),FALSE)+IFERROR(VLOOKUP($CI300,付与!$1:$1167,COLUMN(I$1),FALSE),0))*VLOOKUP($D300,素材!$1:$1016,COLUMN($E$1),FALSE),0),"")</f>
        <v/>
      </c>
      <c r="J300" t="str">
        <f>IFERROR(ROUNDDOWN((VLOOKUP($C300,装備品!$1:$998,COLUMN(H$1),FALSE)+IFERROR(VLOOKUP($CI300,付与!$1:$1167,COLUMN(J$1),FALSE),0))*VLOOKUP($D300,素材!$1:$1016,COLUMN($E$1),FALSE),0),"")</f>
        <v/>
      </c>
      <c r="K300" t="str">
        <f>IFERROR(ROUNDDOWN((VLOOKUP($C300,装備品!$1:$998,COLUMN(I$1),FALSE)+IFERROR(VLOOKUP($CI300,付与!$1:$1167,COLUMN(K$1),FALSE),0))*VLOOKUP($D300,素材!$1:$1016,COLUMN($E$1),FALSE),0),"")</f>
        <v/>
      </c>
      <c r="L300" t="str">
        <f>IFERROR(VLOOKUP($D300,素材!$1:$1016,COLUMN($F$1),FALSE),"")</f>
        <v/>
      </c>
      <c r="M300" t="str">
        <f>IFERROR(VLOOKUP($C300,装備品!$1:$998,COLUMN(AA$1),FALSE)*VLOOKUP($D300,素材!$1:$1016,COLUMN($G$1),FALSE),"")</f>
        <v/>
      </c>
      <c r="N300" t="str">
        <f>IFERROR(VLOOKUP($C300,装備品!$1:$998,COLUMN(I$1),FALSE),"")</f>
        <v/>
      </c>
      <c r="O300" s="23" t="str">
        <f>IFERROR((VLOOKUP($C300,装備品!$1:$998,COLUMN(K$1),FALSE)+VLOOKUP($D300,素材!$1:$1016,COLUMN(H$1),FALSE))*100+IFERROR(VLOOKUP($CI300,付与!$1:$1167,COLUMN(O$1),FALSE),0),"")</f>
        <v/>
      </c>
      <c r="P300" s="23" t="str">
        <f>IFERROR((VLOOKUP($C300,装備品!$1:$998,COLUMN(L$1),FALSE)+VLOOKUP($D300,素材!$1:$1016,COLUMN(I$1),FALSE))*100+IFERROR(VLOOKUP($CI300,付与!$1:$1167,COLUMN(P$1),FALSE),0),"")</f>
        <v/>
      </c>
      <c r="Q300" t="str">
        <f>IFERROR(ROUNDUP(VLOOKUP($C300,装備品!$1:$998,COLUMN(M$1),FALSE)*(VLOOKUP($D300,素材!$1:$1002,COLUMN(D$1),FALSE)/100),1),"")</f>
        <v/>
      </c>
      <c r="R300" t="str">
        <f>IFERROR(ROUNDUP(VLOOKUP($C300,装備品!$1:$998,COLUMN(N$1),FALSE)*(VLOOKUP($D300,素材!$1:$1002,COLUMN(D$1),FALSE)/100),1),"")</f>
        <v/>
      </c>
      <c r="S300" t="str">
        <f>IFERROR(VLOOKUP($C300,装備品!$1:$998,COLUMN(P$1),FALSE),"")</f>
        <v/>
      </c>
      <c r="T300" t="str">
        <f>IFERROR(VLOOKUP($C300,装備品!$1:$998,COLUMN(Q$1),FALSE),"")</f>
        <v/>
      </c>
      <c r="U300" t="str">
        <f>IFERROR(VLOOKUP($C300,装備品!$1:$998,COLUMN(R$1),FALSE),"")</f>
        <v/>
      </c>
      <c r="V300" t="str">
        <f>IFERROR(VLOOKUP($C300,装備品!$1:$998,COLUMN(Q$1),FALSE),"")</f>
        <v/>
      </c>
      <c r="W300" t="str">
        <f>IFERROR(VLOOKUP($C300,装備品!$1:$998,COLUMN(T$1),FALSE),"")</f>
        <v/>
      </c>
      <c r="Y300" t="str">
        <f>IFERROR(VLOOKUP($C300,装備品!$1:$998,COLUMN(U$1),FALSE),"")</f>
        <v/>
      </c>
      <c r="Z300" t="str">
        <f>IFERROR(ROUNDUP(VLOOKUP($C300,装備品!$1:$998,COLUMN(O$1),FALSE)*VLOOKUP($D300,素材!$1:$1016,COLUMN(E$1),FALSE),1),"")</f>
        <v/>
      </c>
      <c r="AA300">
        <f>IF(ISNUMBER(SEARCH(SUBSTITUTE(AA$1,RIGHT(AA$1,2),""),VLOOKUP($D300,素材!$1:$1016,COLUMN($F$1),FALSE))),VLOOKUP($C300,装備品!$1:$998,COLUMN($O$1),FALSE)*VLOOKUP($D300,素材!$1:$1016,COLUMN($E$1),FALSE)/(LEN(VLOOKUP($D300,素材!$1:$1016,COLUMN($F$1),FALSE))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B300">
        <f>IF(ISNUMBER(SEARCH(SUBSTITUTE(AB$1,RIGHT(AB$1,2),""),VLOOKUP($D300,素材!$1:$1016,COLUMN($F$1),FALSE))),VLOOKUP($C300,装備品!$1:$998,COLUMN($O$1),FALSE)*VLOOKUP($D300,素材!$1:$1016,COLUMN($E$1),FALSE)/(LEN(VLOOKUP($D300,素材!$1:$1016,COLUMN($F$1),FALSE))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C300">
        <f>IF(ISNUMBER(SEARCH(SUBSTITUTE(AC$1,RIGHT(AC$1,2),""),VLOOKUP($D300,素材!$1:$1016,COLUMN($F$1),FALSE))),VLOOKUP($C300,装備品!$1:$998,COLUMN($O$1),FALSE)*VLOOKUP($D300,素材!$1:$1016,COLUMN($E$1),FALSE)/(LEN(VLOOKUP($D300,素材!$1:$1016,COLUMN($F$1),FALSE))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D300">
        <f>IF(ISNUMBER(SEARCH(SUBSTITUTE(AD$1,RIGHT(AD$1,2),""),VLOOKUP($D300,素材!$1:$1016,COLUMN($F$1),FALSE))),VLOOKUP($C300,装備品!$1:$998,COLUMN($O$1),FALSE)*VLOOKUP($D300,素材!$1:$1016,COLUMN($E$1),FALSE)/(LEN(VLOOKUP($D300,素材!$1:$1016,COLUMN($F$1),FALSE))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E300">
        <f>IF(ISNUMBER(SEARCH(SUBSTITUTE(AE$1,RIGHT(AE$1,2),""),VLOOKUP($D300,素材!$1:$1016,COLUMN($F$1),FALSE))),VLOOKUP($C300,装備品!$1:$998,COLUMN($O$1),FALSE)*VLOOKUP($D300,素材!$1:$1016,COLUMN($E$1),FALSE)/(LEN(VLOOKUP($D300,素材!$1:$1016,COLUMN($F$1),FALSE))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F300">
        <f>IF(ISNUMBER(SEARCH(SUBSTITUTE(AF$1,RIGHT(AF$1,2),""),VLOOKUP($D300,素材!$1:$1016,COLUMN($F$1),FALSE))),VLOOKUP($C300,装備品!$1:$998,COLUMN($O$1),FALSE)*VLOOKUP($D300,素材!$1:$1016,COLUMN($E$1),FALSE)/(LEN(VLOOKUP($D300,素材!$1:$1016,COLUMN($F$1),FALSE))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G300">
        <f>IF(ISNUMBER(SEARCH(SUBSTITUTE(AG$1,RIGHT(AG$1,2),""),VLOOKUP($D300,素材!$1:$1016,COLUMN($F$1),FALSE))),VLOOKUP($C300,装備品!$1:$998,COLUMN($O$1),FALSE)*VLOOKUP($D300,素材!$1:$1016,COLUMN($E$1),FALSE)/(LEN(VLOOKUP($D300,素材!$1:$1016,COLUMN($F$1),FALSE))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H300">
        <f>IF(ISNUMBER(SEARCH(SUBSTITUTE(AH$1,RIGHT(AH$1,2),""),VLOOKUP($D300,素材!$1:$1016,COLUMN($F$1),FALSE))),VLOOKUP($C300,装備品!$1:$998,COLUMN($O$1),FALSE)*VLOOKUP($D300,素材!$1:$1016,COLUMN($E$1),FALSE)/(LEN(VLOOKUP($D300,素材!$1:$1016,COLUMN($F$1),FALSE))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I300">
        <f>IF(ISNUMBER(SEARCH(SUBSTITUTE(AI$1,RIGHT(AI$1,2),""),VLOOKUP($D300,素材!$1:$1016,COLUMN($F$1),FALSE))),VLOOKUP($C300,装備品!$1:$998,COLUMN($O$1),FALSE)*VLOOKUP($D300,素材!$1:$1016,COLUMN($E$1),FALSE)/(LEN(VLOOKUP($D300,素材!$1:$1016,COLUMN($F$1),FALSE))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J300">
        <f>IF(ISNUMBER(SEARCH(SUBSTITUTE(AJ$1,RIGHT(AJ$1,2),""),VLOOKUP($D300,素材!$1:$1016,COLUMN($F$1),FALSE))),VLOOKUP($C300,装備品!$1:$998,COLUMN($O$1),FALSE)*VLOOKUP($D300,素材!$1:$1016,COLUMN($E$1),FALSE)/(LEN(VLOOKUP($D300,素材!$1:$1016,COLUMN($F$1),FALSE))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K300">
        <f>IF(ISNUMBER(SEARCH(SUBSTITUTE(AK$1,RIGHT(AK$1,2),""),VLOOKUP($D300,素材!$1:$1016,COLUMN($F$1),FALSE))),VLOOKUP($C300,装備品!$1:$998,COLUMN($O$1),FALSE)*VLOOKUP($D300,素材!$1:$1016,COLUMN($E$1),FALSE)/(LEN(VLOOKUP($D300,素材!$1:$1016,COLUMN($F$1),FALSE))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L300">
        <f>IF(ISNUMBER(SEARCH(SUBSTITUTE(AL$1,RIGHT(AL$1,2),""),VLOOKUP($D300,素材!$1:$1016,COLUMN($F$1),FALSE))),VLOOKUP($C300,装備品!$1:$998,COLUMN($O$1),FALSE)*VLOOKUP($D300,素材!$1:$1016,COLUMN($E$1),FALSE)/(LEN(VLOOKUP($D300,素材!$1:$1016,COLUMN($F$1),FALSE))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M300">
        <f>IF(ISNUMBER(SEARCH(SUBSTITUTE(AM$1,RIGHT(AM$1,2),""),VLOOKUP($D300,素材!$1:$1016,COLUMN($F$1),FALSE))),VLOOKUP($C300,装備品!$1:$998,COLUMN($O$1),FALSE)*VLOOKUP($D300,素材!$1:$1016,COLUMN($E$1),FALSE)/(LEN(VLOOKUP($D300,素材!$1:$1016,COLUMN($F$1),FALSE))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N300">
        <f>IF(ISNUMBER(SEARCH(SUBSTITUTE(AN$1,RIGHT(AN$1,2),""),VLOOKUP($D300,素材!$1:$1016,COLUMN($F$1),FALSE))),VLOOKUP($C300,装備品!$1:$998,COLUMN($O$1),FALSE)*VLOOKUP($D300,素材!$1:$1016,COLUMN($E$1),FALSE)/(LEN(VLOOKUP($D300,素材!$1:$1016,COLUMN($F$1),FALSE))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O300">
        <f>IF(ISNUMBER(SEARCH(SUBSTITUTE(AO$1,RIGHT(AO$1,2),""),VLOOKUP($D300,素材!$1:$1016,COLUMN($F$1),FALSE))),VLOOKUP($C300,装備品!$1:$998,COLUMN($O$1),FALSE)*VLOOKUP($D300,素材!$1:$1016,COLUMN($E$1),FALSE)/(LEN(VLOOKUP($D300,素材!$1:$1016,COLUMN($F$1),FALSE))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P300">
        <f>IF(ISNUMBER(SEARCH(SUBSTITUTE(AP$1,RIGHT(AP$1,2),""),VLOOKUP($D300,素材!$1:$1016,COLUMN($F$1),FALSE))),VLOOKUP($C300,装備品!$1:$998,COLUMN($O$1),FALSE)*VLOOKUP($D300,素材!$1:$1016,COLUMN($E$1),FALSE)/(LEN(VLOOKUP($D300,素材!$1:$1016,COLUMN($F$1),FALSE))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Q300">
        <f>IF(ISNUMBER(SEARCH(SUBSTITUTE(AQ$1,RIGHT(AQ$1,2),""),VLOOKUP($D300,素材!$1:$1016,COLUMN($F$1),FALSE))),VLOOKUP($C300,装備品!$1:$998,COLUMN($O$1),FALSE)*VLOOKUP($D300,素材!$1:$1016,COLUMN($E$1),FALSE)/(LEN(VLOOKUP($D300,素材!$1:$1016,COLUMN($F$1),FALSE))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R300">
        <f>IF(ISNUMBER(SEARCH(SUBSTITUTE(AR$1,RIGHT(AR$1,2),""),VLOOKUP($D300,素材!$1:$1016,COLUMN($F$1),FALSE))),VLOOKUP($C300,装備品!$1:$998,COLUMN($O$1),FALSE)*VLOOKUP($D300,素材!$1:$1016,COLUMN($E$1),FALSE)/(LEN(VLOOKUP($D300,素材!$1:$1016,COLUMN($F$1),FALSE))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S300">
        <f>IF(ISNUMBER(SEARCH(SUBSTITUTE(AS$1,RIGHT(AS$1,2),""),VLOOKUP($D300,素材!$1:$1016,COLUMN($F$1),FALSE))),VLOOKUP($C300,装備品!$1:$998,COLUMN($O$1),FALSE)*VLOOKUP($D300,素材!$1:$1016,COLUMN($E$1),FALSE)/(LEN(VLOOKUP($D300,素材!$1:$1016,COLUMN($F$1),FALSE))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T300">
        <f>IF(ISNUMBER(SEARCH(SUBSTITUTE(AT$1,RIGHT(AT$1,2),""),VLOOKUP($D300,素材!$1:$1016,COLUMN($F$1),FALSE))),VLOOKUP($C300,装備品!$1:$998,COLUMN($O$1),FALSE)*VLOOKUP($D300,素材!$1:$1016,COLUMN($E$1),FALSE)/(LEN(VLOOKUP($D300,素材!$1:$1016,COLUMN($F$1),FALSE))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U300">
        <f>IF(ISNUMBER(SEARCH(SUBSTITUTE(AU$1,RIGHT(AU$1,2),""),VLOOKUP($D300,素材!$1:$1016,COLUMN($F$1),FALSE))),VLOOKUP($C300,装備品!$1:$998,COLUMN($O$1),FALSE)*VLOOKUP($D300,素材!$1:$1016,COLUMN($E$1),FALSE)/(LEN(VLOOKUP($D300,素材!$1:$1016,COLUMN($F$1),FALSE))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V300">
        <f>IF(ISNUMBER(SEARCH(SUBSTITUTE(AV$1,RIGHT(AV$1,2),""),VLOOKUP($D300,素材!$1:$1016,COLUMN($F$1),FALSE))),VLOOKUP($C300,装備品!$1:$998,COLUMN($O$1),FALSE)*VLOOKUP($D300,素材!$1:$1016,COLUMN($E$1),FALSE)/(LEN(VLOOKUP($D300,素材!$1:$1016,COLUMN($F$1),FALSE))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W300">
        <f>IF(ISNUMBER(SEARCH(SUBSTITUTE(AW$1,RIGHT(AW$1,2),""),VLOOKUP($D300,素材!$1:$1016,COLUMN($F$1),FALSE))),VLOOKUP($C300,装備品!$1:$998,COLUMN($O$1),FALSE)*VLOOKUP($D300,素材!$1:$1016,COLUMN($E$1),FALSE)/(LEN(VLOOKUP($D300,素材!$1:$1016,COLUMN($F$1),FALSE))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X300">
        <f>IF(ISNUMBER(SEARCH(SUBSTITUTE(AX$1,RIGHT(AX$1,2),""),VLOOKUP($D300,素材!$1:$1016,COLUMN($F$1),FALSE))),VLOOKUP($C300,装備品!$1:$998,COLUMN($O$1),FALSE)*VLOOKUP($D300,素材!$1:$1016,COLUMN($E$1),FALSE)/(LEN(VLOOKUP($D300,素材!$1:$1016,COLUMN($F$1),FALSE))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Y300">
        <f>IF(ISNUMBER(SEARCH(SUBSTITUTE(AY$1,RIGHT(AY$1,2),""),VLOOKUP($D300,素材!$1:$1016,COLUMN($F$1),FALSE))),VLOOKUP($C300,装備品!$1:$998,COLUMN($O$1),FALSE)*VLOOKUP($D300,素材!$1:$1016,COLUMN($E$1),FALSE)/(LEN(VLOOKUP($D300,素材!$1:$1016,COLUMN($F$1),FALSE))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Z300">
        <f>IF(ISNUMBER(SEARCH(SUBSTITUTE(AZ$1,RIGHT(AZ$1,2),""),VLOOKUP($D300,素材!$1:$1016,COLUMN($F$1),FALSE))),VLOOKUP($C300,装備品!$1:$998,COLUMN($O$1),FALSE)*VLOOKUP($D300,素材!$1:$1016,COLUMN($E$1),FALSE)/(LEN(VLOOKUP($D300,素材!$1:$1016,COLUMN($F$1),FALSE))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BA300">
        <f>IF(ISNUMBER(SEARCH(SUBSTITUTE(BA$1,RIGHT(BA$1,2),""),VLOOKUP($D300,素材!$1:$1016,COLUMN($F$1),FALSE))),VLOOKUP($C300,装備品!$1:$998,COLUMN($O$1),FALSE)*VLOOKUP($D300,素材!$1:$1016,COLUMN($E$1),FALSE)/(LEN(VLOOKUP($D300,素材!$1:$1016,COLUMN($F$1),FALSE))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BB300">
        <f>IF(ISNUMBER(SEARCH(SUBSTITUTE(BB$1,RIGHT(BB$1,2),""),VLOOKUP($D300,素材!$1:$1016,COLUMN($F$1),FALSE))),VLOOKUP($C300,装備品!$1:$998,COLUMN($O$1),FALSE)*VLOOKUP($D300,素材!$1:$1016,COLUMN($E$1),FALSE)/(LEN(VLOOKUP($D300,素材!$1:$1016,COLUMN($F$1),FALSE))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BC300">
        <f>IF(ISNUMBER(SEARCH(SUBSTITUTE(BC$1,RIGHT(BC$1,2),""),VLOOKUP($D300,素材!$1:$1016,COLUMN($F$1),FALSE))),VLOOKUP($C300,装備品!$1:$998,COLUMN($O$1),FALSE)*VLOOKUP($D300,素材!$1:$1016,COLUMN($E$1),FALSE)/(LEN(VLOOKUP($D300,素材!$1:$1016,COLUMN($F$1),FALSE))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BD300">
        <f>IF(ISNUMBER(SEARCH(SUBSTITUTE(BD$1,RIGHT(BD$1,2),""),VLOOKUP($D300,素材!$1:$1016,COLUMN($F$1),FALSE))),VLOOKUP($C300,装備品!$1:$998,COLUMN($O$1),FALSE)*VLOOKUP($D300,素材!$1:$1016,COLUMN($E$1),FALSE)/(LEN(VLOOKUP($D300,素材!$1:$1016,COLUMN($F$1),FALSE))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BE300">
        <f>IF(ISNUMBER(SEARCH(SUBSTITUTE(BE$1,RIGHT(BE$1,2),""),VLOOKUP($D300,素材!$1:$1016,COLUMN($F$1),FALSE))),VLOOKUP($C300,装備品!$1:$998,COLUMN($O$1),FALSE)*VLOOKUP($D300,素材!$1:$1016,COLUMN($E$1),FALSE)/(LEN(VLOOKUP($D300,素材!$1:$1016,COLUMN($F$1),FALSE))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CL300">
        <f t="shared" si="41"/>
        <v>0</v>
      </c>
      <c r="CM300" s="22" t="str">
        <f t="shared" si="42"/>
        <v>.webp</v>
      </c>
      <c r="CN300" t="str">
        <f>IFERROR(VLOOKUP($C300,装備品!$1:$998,COLUMN(V$1),FALSE)*VLOOKUP($D300,素材!$1:$1016,COLUMN(N$1),FALSE)+IF(CI300="",0,VLOOKUP($CI300,付与!$1:$1176,COLUMN($CK$1),FALSE)),"")</f>
        <v/>
      </c>
      <c r="CO300" t="e">
        <f>VLOOKUP(D300,素材!$A:$O,COLUMN(素材!O$1),FALSE)</f>
        <v>#N/A</v>
      </c>
      <c r="CP300" t="e">
        <f>VLOOKUP(C300,装備品!$A:$AB,COLUMN(装備品!AB$1),FALSE)</f>
        <v>#N/A</v>
      </c>
      <c r="CR300" t="str">
        <f t="shared" si="43"/>
        <v>e_300</v>
      </c>
      <c r="CS300" t="e">
        <f t="shared" si="44"/>
        <v>#VALUE!</v>
      </c>
    </row>
    <row r="301" spans="1:97" hidden="1" outlineLevel="1" x14ac:dyDescent="0.4">
      <c r="A301" t="str">
        <f t="shared" si="45"/>
        <v>の</v>
      </c>
      <c r="B301" t="str">
        <f>IFERROR(IF(CI301="",VLOOKUP($D301,素材!$1:$1016,COLUMN($B$1),FALSE)&amp;"・"&amp;VLOOKUP($C301,装備品!$1:$998,COLUMN(B$1),FALSE),VLOOKUP($CI301,付与!$1:$1176,COLUMN($B$1),FALSE)&amp;"・"&amp;VLOOKUP($C301,装備品!$1:$998,COLUMN(B$1),FALSE)),"")</f>
        <v/>
      </c>
      <c r="C301" s="24"/>
      <c r="D301" s="24"/>
      <c r="E301" t="str">
        <f>IFERROR(VLOOKUP(C301,装備品!$1:$998,COLUMN(C$1),FALSE),"")</f>
        <v/>
      </c>
      <c r="F301" t="str">
        <f>IFERROR(ROUNDDOWN((VLOOKUP($C301,装備品!$1:$998,COLUMN(D$1),FALSE)+IFERROR(VLOOKUP($CI301,付与!$1:$1167,COLUMN(F$1),FALSE),0))*VLOOKUP($D301,素材!$1:$1016,COLUMN(D$1),FALSE),0),"")</f>
        <v/>
      </c>
      <c r="G301" t="str">
        <f>IFERROR(ROUNDDOWN((VLOOKUP($C301,装備品!$1:$998,COLUMN(E$1),FALSE)+IFERROR(VLOOKUP($CI301,付与!$1:$1167,COLUMN(G$1),FALSE),0))*VLOOKUP($D301,素材!$1:$1016,COLUMN($E$1),FALSE),0),"")</f>
        <v/>
      </c>
      <c r="H301" t="str">
        <f>IFERROR(ROUNDDOWN((VLOOKUP($C301,装備品!$1:$998,COLUMN(F$1),FALSE)+IFERROR(VLOOKUP($CI301,付与!$1:$1167,COLUMN(H$1),FALSE),0))*VLOOKUP($D301,素材!$1:$1016,COLUMN($E$1),FALSE),0),"")</f>
        <v/>
      </c>
      <c r="I301" t="str">
        <f>IFERROR(ROUNDDOWN((VLOOKUP($C301,装備品!$1:$998,COLUMN(G$1),FALSE)+IFERROR(VLOOKUP($CI301,付与!$1:$1167,COLUMN(I$1),FALSE),0))*VLOOKUP($D301,素材!$1:$1016,COLUMN($E$1),FALSE),0),"")</f>
        <v/>
      </c>
      <c r="J301" t="str">
        <f>IFERROR(ROUNDDOWN((VLOOKUP($C301,装備品!$1:$998,COLUMN(H$1),FALSE)+IFERROR(VLOOKUP($CI301,付与!$1:$1167,COLUMN(J$1),FALSE),0))*VLOOKUP($D301,素材!$1:$1016,COLUMN($E$1),FALSE),0),"")</f>
        <v/>
      </c>
      <c r="K301" t="str">
        <f>IFERROR(ROUNDDOWN((VLOOKUP($C301,装備品!$1:$998,COLUMN(I$1),FALSE)+IFERROR(VLOOKUP($CI301,付与!$1:$1167,COLUMN(K$1),FALSE),0))*VLOOKUP($D301,素材!$1:$1016,COLUMN($E$1),FALSE),0),"")</f>
        <v/>
      </c>
      <c r="L301" t="str">
        <f>IFERROR(VLOOKUP($D301,素材!$1:$1016,COLUMN($F$1),FALSE),"")</f>
        <v/>
      </c>
      <c r="M301" t="str">
        <f>IFERROR(VLOOKUP($C301,装備品!$1:$998,COLUMN(AA$1),FALSE)*VLOOKUP($D301,素材!$1:$1016,COLUMN($G$1),FALSE),"")</f>
        <v/>
      </c>
      <c r="N301" t="str">
        <f>IFERROR(VLOOKUP($C301,装備品!$1:$998,COLUMN(I$1),FALSE),"")</f>
        <v/>
      </c>
      <c r="O301" s="23" t="str">
        <f>IFERROR((VLOOKUP($C301,装備品!$1:$998,COLUMN(K$1),FALSE)+VLOOKUP($D301,素材!$1:$1016,COLUMN(H$1),FALSE))*100+IFERROR(VLOOKUP($CI301,付与!$1:$1167,COLUMN(O$1),FALSE),0),"")</f>
        <v/>
      </c>
      <c r="P301" s="23" t="str">
        <f>IFERROR((VLOOKUP($C301,装備品!$1:$998,COLUMN(L$1),FALSE)+VLOOKUP($D301,素材!$1:$1016,COLUMN(I$1),FALSE))*100+IFERROR(VLOOKUP($CI301,付与!$1:$1167,COLUMN(P$1),FALSE),0),"")</f>
        <v/>
      </c>
      <c r="Q301" t="str">
        <f>IFERROR(ROUNDUP(VLOOKUP($C301,装備品!$1:$998,COLUMN(M$1),FALSE)*(VLOOKUP($D301,素材!$1:$1002,COLUMN(D$1),FALSE)/100),1),"")</f>
        <v/>
      </c>
      <c r="R301" t="str">
        <f>IFERROR(ROUNDUP(VLOOKUP($C301,装備品!$1:$998,COLUMN(N$1),FALSE)*(VLOOKUP($D301,素材!$1:$1002,COLUMN(D$1),FALSE)/100),1),"")</f>
        <v/>
      </c>
      <c r="S301" t="str">
        <f>IFERROR(VLOOKUP($C301,装備品!$1:$998,COLUMN(P$1),FALSE),"")</f>
        <v/>
      </c>
      <c r="T301" t="str">
        <f>IFERROR(VLOOKUP($C301,装備品!$1:$998,COLUMN(Q$1),FALSE),"")</f>
        <v/>
      </c>
      <c r="U301" t="str">
        <f>IFERROR(VLOOKUP($C301,装備品!$1:$998,COLUMN(R$1),FALSE),"")</f>
        <v/>
      </c>
      <c r="V301" t="str">
        <f>IFERROR(VLOOKUP($C301,装備品!$1:$998,COLUMN(Q$1),FALSE),"")</f>
        <v/>
      </c>
      <c r="W301" t="str">
        <f>IFERROR(VLOOKUP($C301,装備品!$1:$998,COLUMN(T$1),FALSE),"")</f>
        <v/>
      </c>
      <c r="Y301" t="str">
        <f>IFERROR(VLOOKUP($C301,装備品!$1:$998,COLUMN(U$1),FALSE),"")</f>
        <v/>
      </c>
      <c r="Z301" t="str">
        <f>IFERROR(ROUNDUP(VLOOKUP($C301,装備品!$1:$998,COLUMN(O$1),FALSE)*VLOOKUP($D301,素材!$1:$1016,COLUMN(E$1),FALSE),1),"")</f>
        <v/>
      </c>
      <c r="AA301">
        <f>IF(ISNUMBER(SEARCH(SUBSTITUTE(AA$1,RIGHT(AA$1,2),""),VLOOKUP($D301,素材!$1:$1016,COLUMN($F$1),FALSE))),VLOOKUP($C301,装備品!$1:$998,COLUMN($O$1),FALSE)*VLOOKUP($D301,素材!$1:$1016,COLUMN($E$1),FALSE)/(LEN(VLOOKUP($D301,素材!$1:$1016,COLUMN($F$1),FALSE))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B301">
        <f>IF(ISNUMBER(SEARCH(SUBSTITUTE(AB$1,RIGHT(AB$1,2),""),VLOOKUP($D301,素材!$1:$1016,COLUMN($F$1),FALSE))),VLOOKUP($C301,装備品!$1:$998,COLUMN($O$1),FALSE)*VLOOKUP($D301,素材!$1:$1016,COLUMN($E$1),FALSE)/(LEN(VLOOKUP($D301,素材!$1:$1016,COLUMN($F$1),FALSE))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C301">
        <f>IF(ISNUMBER(SEARCH(SUBSTITUTE(AC$1,RIGHT(AC$1,2),""),VLOOKUP($D301,素材!$1:$1016,COLUMN($F$1),FALSE))),VLOOKUP($C301,装備品!$1:$998,COLUMN($O$1),FALSE)*VLOOKUP($D301,素材!$1:$1016,COLUMN($E$1),FALSE)/(LEN(VLOOKUP($D301,素材!$1:$1016,COLUMN($F$1),FALSE))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D301">
        <f>IF(ISNUMBER(SEARCH(SUBSTITUTE(AD$1,RIGHT(AD$1,2),""),VLOOKUP($D301,素材!$1:$1016,COLUMN($F$1),FALSE))),VLOOKUP($C301,装備品!$1:$998,COLUMN($O$1),FALSE)*VLOOKUP($D301,素材!$1:$1016,COLUMN($E$1),FALSE)/(LEN(VLOOKUP($D301,素材!$1:$1016,COLUMN($F$1),FALSE))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E301">
        <f>IF(ISNUMBER(SEARCH(SUBSTITUTE(AE$1,RIGHT(AE$1,2),""),VLOOKUP($D301,素材!$1:$1016,COLUMN($F$1),FALSE))),VLOOKUP($C301,装備品!$1:$998,COLUMN($O$1),FALSE)*VLOOKUP($D301,素材!$1:$1016,COLUMN($E$1),FALSE)/(LEN(VLOOKUP($D301,素材!$1:$1016,COLUMN($F$1),FALSE))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F301">
        <f>IF(ISNUMBER(SEARCH(SUBSTITUTE(AF$1,RIGHT(AF$1,2),""),VLOOKUP($D301,素材!$1:$1016,COLUMN($F$1),FALSE))),VLOOKUP($C301,装備品!$1:$998,COLUMN($O$1),FALSE)*VLOOKUP($D301,素材!$1:$1016,COLUMN($E$1),FALSE)/(LEN(VLOOKUP($D301,素材!$1:$1016,COLUMN($F$1),FALSE))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G301">
        <f>IF(ISNUMBER(SEARCH(SUBSTITUTE(AG$1,RIGHT(AG$1,2),""),VLOOKUP($D301,素材!$1:$1016,COLUMN($F$1),FALSE))),VLOOKUP($C301,装備品!$1:$998,COLUMN($O$1),FALSE)*VLOOKUP($D301,素材!$1:$1016,COLUMN($E$1),FALSE)/(LEN(VLOOKUP($D301,素材!$1:$1016,COLUMN($F$1),FALSE))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H301">
        <f>IF(ISNUMBER(SEARCH(SUBSTITUTE(AH$1,RIGHT(AH$1,2),""),VLOOKUP($D301,素材!$1:$1016,COLUMN($F$1),FALSE))),VLOOKUP($C301,装備品!$1:$998,COLUMN($O$1),FALSE)*VLOOKUP($D301,素材!$1:$1016,COLUMN($E$1),FALSE)/(LEN(VLOOKUP($D301,素材!$1:$1016,COLUMN($F$1),FALSE))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I301">
        <f>IF(ISNUMBER(SEARCH(SUBSTITUTE(AI$1,RIGHT(AI$1,2),""),VLOOKUP($D301,素材!$1:$1016,COLUMN($F$1),FALSE))),VLOOKUP($C301,装備品!$1:$998,COLUMN($O$1),FALSE)*VLOOKUP($D301,素材!$1:$1016,COLUMN($E$1),FALSE)/(LEN(VLOOKUP($D301,素材!$1:$1016,COLUMN($F$1),FALSE))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J301">
        <f>IF(ISNUMBER(SEARCH(SUBSTITUTE(AJ$1,RIGHT(AJ$1,2),""),VLOOKUP($D301,素材!$1:$1016,COLUMN($F$1),FALSE))),VLOOKUP($C301,装備品!$1:$998,COLUMN($O$1),FALSE)*VLOOKUP($D301,素材!$1:$1016,COLUMN($E$1),FALSE)/(LEN(VLOOKUP($D301,素材!$1:$1016,COLUMN($F$1),FALSE))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K301">
        <f>IF(ISNUMBER(SEARCH(SUBSTITUTE(AK$1,RIGHT(AK$1,2),""),VLOOKUP($D301,素材!$1:$1016,COLUMN($F$1),FALSE))),VLOOKUP($C301,装備品!$1:$998,COLUMN($O$1),FALSE)*VLOOKUP($D301,素材!$1:$1016,COLUMN($E$1),FALSE)/(LEN(VLOOKUP($D301,素材!$1:$1016,COLUMN($F$1),FALSE))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L301">
        <f>IF(ISNUMBER(SEARCH(SUBSTITUTE(AL$1,RIGHT(AL$1,2),""),VLOOKUP($D301,素材!$1:$1016,COLUMN($F$1),FALSE))),VLOOKUP($C301,装備品!$1:$998,COLUMN($O$1),FALSE)*VLOOKUP($D301,素材!$1:$1016,COLUMN($E$1),FALSE)/(LEN(VLOOKUP($D301,素材!$1:$1016,COLUMN($F$1),FALSE))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M301">
        <f>IF(ISNUMBER(SEARCH(SUBSTITUTE(AM$1,RIGHT(AM$1,2),""),VLOOKUP($D301,素材!$1:$1016,COLUMN($F$1),FALSE))),VLOOKUP($C301,装備品!$1:$998,COLUMN($O$1),FALSE)*VLOOKUP($D301,素材!$1:$1016,COLUMN($E$1),FALSE)/(LEN(VLOOKUP($D301,素材!$1:$1016,COLUMN($F$1),FALSE))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N301">
        <f>IF(ISNUMBER(SEARCH(SUBSTITUTE(AN$1,RIGHT(AN$1,2),""),VLOOKUP($D301,素材!$1:$1016,COLUMN($F$1),FALSE))),VLOOKUP($C301,装備品!$1:$998,COLUMN($O$1),FALSE)*VLOOKUP($D301,素材!$1:$1016,COLUMN($E$1),FALSE)/(LEN(VLOOKUP($D301,素材!$1:$1016,COLUMN($F$1),FALSE))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O301">
        <f>IF(ISNUMBER(SEARCH(SUBSTITUTE(AO$1,RIGHT(AO$1,2),""),VLOOKUP($D301,素材!$1:$1016,COLUMN($F$1),FALSE))),VLOOKUP($C301,装備品!$1:$998,COLUMN($O$1),FALSE)*VLOOKUP($D301,素材!$1:$1016,COLUMN($E$1),FALSE)/(LEN(VLOOKUP($D301,素材!$1:$1016,COLUMN($F$1),FALSE))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P301">
        <f>IF(ISNUMBER(SEARCH(SUBSTITUTE(AP$1,RIGHT(AP$1,2),""),VLOOKUP($D301,素材!$1:$1016,COLUMN($F$1),FALSE))),VLOOKUP($C301,装備品!$1:$998,COLUMN($O$1),FALSE)*VLOOKUP($D301,素材!$1:$1016,COLUMN($E$1),FALSE)/(LEN(VLOOKUP($D301,素材!$1:$1016,COLUMN($F$1),FALSE))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Q301">
        <f>IF(ISNUMBER(SEARCH(SUBSTITUTE(AQ$1,RIGHT(AQ$1,2),""),VLOOKUP($D301,素材!$1:$1016,COLUMN($F$1),FALSE))),VLOOKUP($C301,装備品!$1:$998,COLUMN($O$1),FALSE)*VLOOKUP($D301,素材!$1:$1016,COLUMN($E$1),FALSE)/(LEN(VLOOKUP($D301,素材!$1:$1016,COLUMN($F$1),FALSE))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R301">
        <f>IF(ISNUMBER(SEARCH(SUBSTITUTE(AR$1,RIGHT(AR$1,2),""),VLOOKUP($D301,素材!$1:$1016,COLUMN($F$1),FALSE))),VLOOKUP($C301,装備品!$1:$998,COLUMN($O$1),FALSE)*VLOOKUP($D301,素材!$1:$1016,COLUMN($E$1),FALSE)/(LEN(VLOOKUP($D301,素材!$1:$1016,COLUMN($F$1),FALSE))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S301">
        <f>IF(ISNUMBER(SEARCH(SUBSTITUTE(AS$1,RIGHT(AS$1,2),""),VLOOKUP($D301,素材!$1:$1016,COLUMN($F$1),FALSE))),VLOOKUP($C301,装備品!$1:$998,COLUMN($O$1),FALSE)*VLOOKUP($D301,素材!$1:$1016,COLUMN($E$1),FALSE)/(LEN(VLOOKUP($D301,素材!$1:$1016,COLUMN($F$1),FALSE))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T301">
        <f>IF(ISNUMBER(SEARCH(SUBSTITUTE(AT$1,RIGHT(AT$1,2),""),VLOOKUP($D301,素材!$1:$1016,COLUMN($F$1),FALSE))),VLOOKUP($C301,装備品!$1:$998,COLUMN($O$1),FALSE)*VLOOKUP($D301,素材!$1:$1016,COLUMN($E$1),FALSE)/(LEN(VLOOKUP($D301,素材!$1:$1016,COLUMN($F$1),FALSE))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U301">
        <f>IF(ISNUMBER(SEARCH(SUBSTITUTE(AU$1,RIGHT(AU$1,2),""),VLOOKUP($D301,素材!$1:$1016,COLUMN($F$1),FALSE))),VLOOKUP($C301,装備品!$1:$998,COLUMN($O$1),FALSE)*VLOOKUP($D301,素材!$1:$1016,COLUMN($E$1),FALSE)/(LEN(VLOOKUP($D301,素材!$1:$1016,COLUMN($F$1),FALSE))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V301">
        <f>IF(ISNUMBER(SEARCH(SUBSTITUTE(AV$1,RIGHT(AV$1,2),""),VLOOKUP($D301,素材!$1:$1016,COLUMN($F$1),FALSE))),VLOOKUP($C301,装備品!$1:$998,COLUMN($O$1),FALSE)*VLOOKUP($D301,素材!$1:$1016,COLUMN($E$1),FALSE)/(LEN(VLOOKUP($D301,素材!$1:$1016,COLUMN($F$1),FALSE))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W301">
        <f>IF(ISNUMBER(SEARCH(SUBSTITUTE(AW$1,RIGHT(AW$1,2),""),VLOOKUP($D301,素材!$1:$1016,COLUMN($F$1),FALSE))),VLOOKUP($C301,装備品!$1:$998,COLUMN($O$1),FALSE)*VLOOKUP($D301,素材!$1:$1016,COLUMN($E$1),FALSE)/(LEN(VLOOKUP($D301,素材!$1:$1016,COLUMN($F$1),FALSE))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X301">
        <f>IF(ISNUMBER(SEARCH(SUBSTITUTE(AX$1,RIGHT(AX$1,2),""),VLOOKUP($D301,素材!$1:$1016,COLUMN($F$1),FALSE))),VLOOKUP($C301,装備品!$1:$998,COLUMN($O$1),FALSE)*VLOOKUP($D301,素材!$1:$1016,COLUMN($E$1),FALSE)/(LEN(VLOOKUP($D301,素材!$1:$1016,COLUMN($F$1),FALSE))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Y301">
        <f>IF(ISNUMBER(SEARCH(SUBSTITUTE(AY$1,RIGHT(AY$1,2),""),VLOOKUP($D301,素材!$1:$1016,COLUMN($F$1),FALSE))),VLOOKUP($C301,装備品!$1:$998,COLUMN($O$1),FALSE)*VLOOKUP($D301,素材!$1:$1016,COLUMN($E$1),FALSE)/(LEN(VLOOKUP($D301,素材!$1:$1016,COLUMN($F$1),FALSE))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Z301">
        <f>IF(ISNUMBER(SEARCH(SUBSTITUTE(AZ$1,RIGHT(AZ$1,2),""),VLOOKUP($D301,素材!$1:$1016,COLUMN($F$1),FALSE))),VLOOKUP($C301,装備品!$1:$998,COLUMN($O$1),FALSE)*VLOOKUP($D301,素材!$1:$1016,COLUMN($E$1),FALSE)/(LEN(VLOOKUP($D301,素材!$1:$1016,COLUMN($F$1),FALSE))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BA301">
        <f>IF(ISNUMBER(SEARCH(SUBSTITUTE(BA$1,RIGHT(BA$1,2),""),VLOOKUP($D301,素材!$1:$1016,COLUMN($F$1),FALSE))),VLOOKUP($C301,装備品!$1:$998,COLUMN($O$1),FALSE)*VLOOKUP($D301,素材!$1:$1016,COLUMN($E$1),FALSE)/(LEN(VLOOKUP($D301,素材!$1:$1016,COLUMN($F$1),FALSE))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BB301">
        <f>IF(ISNUMBER(SEARCH(SUBSTITUTE(BB$1,RIGHT(BB$1,2),""),VLOOKUP($D301,素材!$1:$1016,COLUMN($F$1),FALSE))),VLOOKUP($C301,装備品!$1:$998,COLUMN($O$1),FALSE)*VLOOKUP($D301,素材!$1:$1016,COLUMN($E$1),FALSE)/(LEN(VLOOKUP($D301,素材!$1:$1016,COLUMN($F$1),FALSE))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BC301">
        <f>IF(ISNUMBER(SEARCH(SUBSTITUTE(BC$1,RIGHT(BC$1,2),""),VLOOKUP($D301,素材!$1:$1016,COLUMN($F$1),FALSE))),VLOOKUP($C301,装備品!$1:$998,COLUMN($O$1),FALSE)*VLOOKUP($D301,素材!$1:$1016,COLUMN($E$1),FALSE)/(LEN(VLOOKUP($D301,素材!$1:$1016,COLUMN($F$1),FALSE))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BD301">
        <f>IF(ISNUMBER(SEARCH(SUBSTITUTE(BD$1,RIGHT(BD$1,2),""),VLOOKUP($D301,素材!$1:$1016,COLUMN($F$1),FALSE))),VLOOKUP($C301,装備品!$1:$998,COLUMN($O$1),FALSE)*VLOOKUP($D301,素材!$1:$1016,COLUMN($E$1),FALSE)/(LEN(VLOOKUP($D301,素材!$1:$1016,COLUMN($F$1),FALSE))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BE301">
        <f>IF(ISNUMBER(SEARCH(SUBSTITUTE(BE$1,RIGHT(BE$1,2),""),VLOOKUP($D301,素材!$1:$1016,COLUMN($F$1),FALSE))),VLOOKUP($C301,装備品!$1:$998,COLUMN($O$1),FALSE)*VLOOKUP($D301,素材!$1:$1016,COLUMN($E$1),FALSE)/(LEN(VLOOKUP($D301,素材!$1:$1016,COLUMN($F$1),FALSE))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CL301">
        <f t="shared" si="41"/>
        <v>0</v>
      </c>
      <c r="CM301" s="22" t="str">
        <f t="shared" si="42"/>
        <v>.webp</v>
      </c>
      <c r="CN301" t="str">
        <f>IFERROR(VLOOKUP($C301,装備品!$1:$998,COLUMN(V$1),FALSE)*VLOOKUP($D301,素材!$1:$1016,COLUMN(N$1),FALSE)+IF(CI301="",0,VLOOKUP($CI301,付与!$1:$1176,COLUMN($CK$1),FALSE)),"")</f>
        <v/>
      </c>
      <c r="CO301" t="e">
        <f>VLOOKUP(D301,素材!$A:$O,COLUMN(素材!O$1),FALSE)</f>
        <v>#N/A</v>
      </c>
      <c r="CP301" t="e">
        <f>VLOOKUP(C301,装備品!$A:$AB,COLUMN(装備品!AB$1),FALSE)</f>
        <v>#N/A</v>
      </c>
      <c r="CR301" t="str">
        <f t="shared" si="43"/>
        <v>e_301</v>
      </c>
      <c r="CS301" t="e">
        <f t="shared" si="44"/>
        <v>#VALUE!</v>
      </c>
    </row>
    <row r="302" spans="1:97" hidden="1" outlineLevel="1" x14ac:dyDescent="0.4">
      <c r="A302" t="str">
        <f t="shared" si="45"/>
        <v>の</v>
      </c>
      <c r="B302" t="str">
        <f>IFERROR(IF(CI302="",VLOOKUP($D302,素材!$1:$1016,COLUMN($B$1),FALSE)&amp;"・"&amp;VLOOKUP($C302,装備品!$1:$998,COLUMN(B$1),FALSE),VLOOKUP($CI302,付与!$1:$1176,COLUMN($B$1),FALSE)&amp;"・"&amp;VLOOKUP($C302,装備品!$1:$998,COLUMN(B$1),FALSE)),"")</f>
        <v/>
      </c>
      <c r="C302" s="24"/>
      <c r="D302" s="24"/>
      <c r="E302" t="str">
        <f>IFERROR(VLOOKUP(C302,装備品!$1:$998,COLUMN(C$1),FALSE),"")</f>
        <v/>
      </c>
      <c r="F302" t="str">
        <f>IFERROR(ROUNDDOWN((VLOOKUP($C302,装備品!$1:$998,COLUMN(D$1),FALSE)+IFERROR(VLOOKUP($CI302,付与!$1:$1167,COLUMN(F$1),FALSE),0))*VLOOKUP($D302,素材!$1:$1016,COLUMN(D$1),FALSE),0),"")</f>
        <v/>
      </c>
      <c r="G302" t="str">
        <f>IFERROR(ROUNDDOWN((VLOOKUP($C302,装備品!$1:$998,COLUMN(E$1),FALSE)+IFERROR(VLOOKUP($CI302,付与!$1:$1167,COLUMN(G$1),FALSE),0))*VLOOKUP($D302,素材!$1:$1016,COLUMN($E$1),FALSE),0),"")</f>
        <v/>
      </c>
      <c r="H302" t="str">
        <f>IFERROR(ROUNDDOWN((VLOOKUP($C302,装備品!$1:$998,COLUMN(F$1),FALSE)+IFERROR(VLOOKUP($CI302,付与!$1:$1167,COLUMN(H$1),FALSE),0))*VLOOKUP($D302,素材!$1:$1016,COLUMN($E$1),FALSE),0),"")</f>
        <v/>
      </c>
      <c r="I302" t="str">
        <f>IFERROR(ROUNDDOWN((VLOOKUP($C302,装備品!$1:$998,COLUMN(G$1),FALSE)+IFERROR(VLOOKUP($CI302,付与!$1:$1167,COLUMN(I$1),FALSE),0))*VLOOKUP($D302,素材!$1:$1016,COLUMN($E$1),FALSE),0),"")</f>
        <v/>
      </c>
      <c r="J302" t="str">
        <f>IFERROR(ROUNDDOWN((VLOOKUP($C302,装備品!$1:$998,COLUMN(H$1),FALSE)+IFERROR(VLOOKUP($CI302,付与!$1:$1167,COLUMN(J$1),FALSE),0))*VLOOKUP($D302,素材!$1:$1016,COLUMN($E$1),FALSE),0),"")</f>
        <v/>
      </c>
      <c r="K302" t="str">
        <f>IFERROR(ROUNDDOWN((VLOOKUP($C302,装備品!$1:$998,COLUMN(I$1),FALSE)+IFERROR(VLOOKUP($CI302,付与!$1:$1167,COLUMN(K$1),FALSE),0))*VLOOKUP($D302,素材!$1:$1016,COLUMN($E$1),FALSE),0),"")</f>
        <v/>
      </c>
      <c r="L302" t="str">
        <f>IFERROR(VLOOKUP($D302,素材!$1:$1016,COLUMN($F$1),FALSE),"")</f>
        <v/>
      </c>
      <c r="M302" t="str">
        <f>IFERROR(VLOOKUP($C302,装備品!$1:$998,COLUMN(AA$1),FALSE)*VLOOKUP($D302,素材!$1:$1016,COLUMN($G$1),FALSE),"")</f>
        <v/>
      </c>
      <c r="N302" t="str">
        <f>IFERROR(VLOOKUP($C302,装備品!$1:$998,COLUMN(I$1),FALSE),"")</f>
        <v/>
      </c>
      <c r="O302" s="23" t="str">
        <f>IFERROR((VLOOKUP($C302,装備品!$1:$998,COLUMN(K$1),FALSE)+VLOOKUP($D302,素材!$1:$1016,COLUMN(H$1),FALSE))*100+IFERROR(VLOOKUP($CI302,付与!$1:$1167,COLUMN(O$1),FALSE),0),"")</f>
        <v/>
      </c>
      <c r="P302" s="23" t="str">
        <f>IFERROR((VLOOKUP($C302,装備品!$1:$998,COLUMN(L$1),FALSE)+VLOOKUP($D302,素材!$1:$1016,COLUMN(I$1),FALSE))*100+IFERROR(VLOOKUP($CI302,付与!$1:$1167,COLUMN(P$1),FALSE),0),"")</f>
        <v/>
      </c>
      <c r="Q302" t="str">
        <f>IFERROR(ROUNDUP(VLOOKUP($C302,装備品!$1:$998,COLUMN(M$1),FALSE)*(VLOOKUP($D302,素材!$1:$1002,COLUMN(D$1),FALSE)/100),1),"")</f>
        <v/>
      </c>
      <c r="R302" t="str">
        <f>IFERROR(ROUNDUP(VLOOKUP($C302,装備品!$1:$998,COLUMN(N$1),FALSE)*(VLOOKUP($D302,素材!$1:$1002,COLUMN(D$1),FALSE)/100),1),"")</f>
        <v/>
      </c>
      <c r="S302" t="str">
        <f>IFERROR(VLOOKUP($C302,装備品!$1:$998,COLUMN(P$1),FALSE),"")</f>
        <v/>
      </c>
      <c r="T302" t="str">
        <f>IFERROR(VLOOKUP($C302,装備品!$1:$998,COLUMN(Q$1),FALSE),"")</f>
        <v/>
      </c>
      <c r="U302" t="str">
        <f>IFERROR(VLOOKUP($C302,装備品!$1:$998,COLUMN(R$1),FALSE),"")</f>
        <v/>
      </c>
      <c r="V302" t="str">
        <f>IFERROR(VLOOKUP($C302,装備品!$1:$998,COLUMN(Q$1),FALSE),"")</f>
        <v/>
      </c>
      <c r="W302" t="str">
        <f>IFERROR(VLOOKUP($C302,装備品!$1:$998,COLUMN(T$1),FALSE),"")</f>
        <v/>
      </c>
      <c r="Y302" t="str">
        <f>IFERROR(VLOOKUP($C302,装備品!$1:$998,COLUMN(U$1),FALSE),"")</f>
        <v/>
      </c>
      <c r="Z302" t="str">
        <f>IFERROR(ROUNDUP(VLOOKUP($C302,装備品!$1:$998,COLUMN(O$1),FALSE)*VLOOKUP($D302,素材!$1:$1016,COLUMN(E$1),FALSE),1),"")</f>
        <v/>
      </c>
      <c r="AA302">
        <f>IF(ISNUMBER(SEARCH(SUBSTITUTE(AA$1,RIGHT(AA$1,2),""),VLOOKUP($D302,素材!$1:$1016,COLUMN($F$1),FALSE))),VLOOKUP($C302,装備品!$1:$998,COLUMN($O$1),FALSE)*VLOOKUP($D302,素材!$1:$1016,COLUMN($E$1),FALSE)/(LEN(VLOOKUP($D302,素材!$1:$1016,COLUMN($F$1),FALSE))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B302">
        <f>IF(ISNUMBER(SEARCH(SUBSTITUTE(AB$1,RIGHT(AB$1,2),""),VLOOKUP($D302,素材!$1:$1016,COLUMN($F$1),FALSE))),VLOOKUP($C302,装備品!$1:$998,COLUMN($O$1),FALSE)*VLOOKUP($D302,素材!$1:$1016,COLUMN($E$1),FALSE)/(LEN(VLOOKUP($D302,素材!$1:$1016,COLUMN($F$1),FALSE))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C302">
        <f>IF(ISNUMBER(SEARCH(SUBSTITUTE(AC$1,RIGHT(AC$1,2),""),VLOOKUP($D302,素材!$1:$1016,COLUMN($F$1),FALSE))),VLOOKUP($C302,装備品!$1:$998,COLUMN($O$1),FALSE)*VLOOKUP($D302,素材!$1:$1016,COLUMN($E$1),FALSE)/(LEN(VLOOKUP($D302,素材!$1:$1016,COLUMN($F$1),FALSE))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D302">
        <f>IF(ISNUMBER(SEARCH(SUBSTITUTE(AD$1,RIGHT(AD$1,2),""),VLOOKUP($D302,素材!$1:$1016,COLUMN($F$1),FALSE))),VLOOKUP($C302,装備品!$1:$998,COLUMN($O$1),FALSE)*VLOOKUP($D302,素材!$1:$1016,COLUMN($E$1),FALSE)/(LEN(VLOOKUP($D302,素材!$1:$1016,COLUMN($F$1),FALSE))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E302">
        <f>IF(ISNUMBER(SEARCH(SUBSTITUTE(AE$1,RIGHT(AE$1,2),""),VLOOKUP($D302,素材!$1:$1016,COLUMN($F$1),FALSE))),VLOOKUP($C302,装備品!$1:$998,COLUMN($O$1),FALSE)*VLOOKUP($D302,素材!$1:$1016,COLUMN($E$1),FALSE)/(LEN(VLOOKUP($D302,素材!$1:$1016,COLUMN($F$1),FALSE))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F302">
        <f>IF(ISNUMBER(SEARCH(SUBSTITUTE(AF$1,RIGHT(AF$1,2),""),VLOOKUP($D302,素材!$1:$1016,COLUMN($F$1),FALSE))),VLOOKUP($C302,装備品!$1:$998,COLUMN($O$1),FALSE)*VLOOKUP($D302,素材!$1:$1016,COLUMN($E$1),FALSE)/(LEN(VLOOKUP($D302,素材!$1:$1016,COLUMN($F$1),FALSE))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G302">
        <f>IF(ISNUMBER(SEARCH(SUBSTITUTE(AG$1,RIGHT(AG$1,2),""),VLOOKUP($D302,素材!$1:$1016,COLUMN($F$1),FALSE))),VLOOKUP($C302,装備品!$1:$998,COLUMN($O$1),FALSE)*VLOOKUP($D302,素材!$1:$1016,COLUMN($E$1),FALSE)/(LEN(VLOOKUP($D302,素材!$1:$1016,COLUMN($F$1),FALSE))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H302">
        <f>IF(ISNUMBER(SEARCH(SUBSTITUTE(AH$1,RIGHT(AH$1,2),""),VLOOKUP($D302,素材!$1:$1016,COLUMN($F$1),FALSE))),VLOOKUP($C302,装備品!$1:$998,COLUMN($O$1),FALSE)*VLOOKUP($D302,素材!$1:$1016,COLUMN($E$1),FALSE)/(LEN(VLOOKUP($D302,素材!$1:$1016,COLUMN($F$1),FALSE))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I302">
        <f>IF(ISNUMBER(SEARCH(SUBSTITUTE(AI$1,RIGHT(AI$1,2),""),VLOOKUP($D302,素材!$1:$1016,COLUMN($F$1),FALSE))),VLOOKUP($C302,装備品!$1:$998,COLUMN($O$1),FALSE)*VLOOKUP($D302,素材!$1:$1016,COLUMN($E$1),FALSE)/(LEN(VLOOKUP($D302,素材!$1:$1016,COLUMN($F$1),FALSE))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J302">
        <f>IF(ISNUMBER(SEARCH(SUBSTITUTE(AJ$1,RIGHT(AJ$1,2),""),VLOOKUP($D302,素材!$1:$1016,COLUMN($F$1),FALSE))),VLOOKUP($C302,装備品!$1:$998,COLUMN($O$1),FALSE)*VLOOKUP($D302,素材!$1:$1016,COLUMN($E$1),FALSE)/(LEN(VLOOKUP($D302,素材!$1:$1016,COLUMN($F$1),FALSE))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K302">
        <f>IF(ISNUMBER(SEARCH(SUBSTITUTE(AK$1,RIGHT(AK$1,2),""),VLOOKUP($D302,素材!$1:$1016,COLUMN($F$1),FALSE))),VLOOKUP($C302,装備品!$1:$998,COLUMN($O$1),FALSE)*VLOOKUP($D302,素材!$1:$1016,COLUMN($E$1),FALSE)/(LEN(VLOOKUP($D302,素材!$1:$1016,COLUMN($F$1),FALSE))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L302">
        <f>IF(ISNUMBER(SEARCH(SUBSTITUTE(AL$1,RIGHT(AL$1,2),""),VLOOKUP($D302,素材!$1:$1016,COLUMN($F$1),FALSE))),VLOOKUP($C302,装備品!$1:$998,COLUMN($O$1),FALSE)*VLOOKUP($D302,素材!$1:$1016,COLUMN($E$1),FALSE)/(LEN(VLOOKUP($D302,素材!$1:$1016,COLUMN($F$1),FALSE))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M302">
        <f>IF(ISNUMBER(SEARCH(SUBSTITUTE(AM$1,RIGHT(AM$1,2),""),VLOOKUP($D302,素材!$1:$1016,COLUMN($F$1),FALSE))),VLOOKUP($C302,装備品!$1:$998,COLUMN($O$1),FALSE)*VLOOKUP($D302,素材!$1:$1016,COLUMN($E$1),FALSE)/(LEN(VLOOKUP($D302,素材!$1:$1016,COLUMN($F$1),FALSE))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N302">
        <f>IF(ISNUMBER(SEARCH(SUBSTITUTE(AN$1,RIGHT(AN$1,2),""),VLOOKUP($D302,素材!$1:$1016,COLUMN($F$1),FALSE))),VLOOKUP($C302,装備品!$1:$998,COLUMN($O$1),FALSE)*VLOOKUP($D302,素材!$1:$1016,COLUMN($E$1),FALSE)/(LEN(VLOOKUP($D302,素材!$1:$1016,COLUMN($F$1),FALSE))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O302">
        <f>IF(ISNUMBER(SEARCH(SUBSTITUTE(AO$1,RIGHT(AO$1,2),""),VLOOKUP($D302,素材!$1:$1016,COLUMN($F$1),FALSE))),VLOOKUP($C302,装備品!$1:$998,COLUMN($O$1),FALSE)*VLOOKUP($D302,素材!$1:$1016,COLUMN($E$1),FALSE)/(LEN(VLOOKUP($D302,素材!$1:$1016,COLUMN($F$1),FALSE))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P302">
        <f>IF(ISNUMBER(SEARCH(SUBSTITUTE(AP$1,RIGHT(AP$1,2),""),VLOOKUP($D302,素材!$1:$1016,COLUMN($F$1),FALSE))),VLOOKUP($C302,装備品!$1:$998,COLUMN($O$1),FALSE)*VLOOKUP($D302,素材!$1:$1016,COLUMN($E$1),FALSE)/(LEN(VLOOKUP($D302,素材!$1:$1016,COLUMN($F$1),FALSE))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Q302">
        <f>IF(ISNUMBER(SEARCH(SUBSTITUTE(AQ$1,RIGHT(AQ$1,2),""),VLOOKUP($D302,素材!$1:$1016,COLUMN($F$1),FALSE))),VLOOKUP($C302,装備品!$1:$998,COLUMN($O$1),FALSE)*VLOOKUP($D302,素材!$1:$1016,COLUMN($E$1),FALSE)/(LEN(VLOOKUP($D302,素材!$1:$1016,COLUMN($F$1),FALSE))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R302">
        <f>IF(ISNUMBER(SEARCH(SUBSTITUTE(AR$1,RIGHT(AR$1,2),""),VLOOKUP($D302,素材!$1:$1016,COLUMN($F$1),FALSE))),VLOOKUP($C302,装備品!$1:$998,COLUMN($O$1),FALSE)*VLOOKUP($D302,素材!$1:$1016,COLUMN($E$1),FALSE)/(LEN(VLOOKUP($D302,素材!$1:$1016,COLUMN($F$1),FALSE))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S302">
        <f>IF(ISNUMBER(SEARCH(SUBSTITUTE(AS$1,RIGHT(AS$1,2),""),VLOOKUP($D302,素材!$1:$1016,COLUMN($F$1),FALSE))),VLOOKUP($C302,装備品!$1:$998,COLUMN($O$1),FALSE)*VLOOKUP($D302,素材!$1:$1016,COLUMN($E$1),FALSE)/(LEN(VLOOKUP($D302,素材!$1:$1016,COLUMN($F$1),FALSE))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T302">
        <f>IF(ISNUMBER(SEARCH(SUBSTITUTE(AT$1,RIGHT(AT$1,2),""),VLOOKUP($D302,素材!$1:$1016,COLUMN($F$1),FALSE))),VLOOKUP($C302,装備品!$1:$998,COLUMN($O$1),FALSE)*VLOOKUP($D302,素材!$1:$1016,COLUMN($E$1),FALSE)/(LEN(VLOOKUP($D302,素材!$1:$1016,COLUMN($F$1),FALSE))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U302">
        <f>IF(ISNUMBER(SEARCH(SUBSTITUTE(AU$1,RIGHT(AU$1,2),""),VLOOKUP($D302,素材!$1:$1016,COLUMN($F$1),FALSE))),VLOOKUP($C302,装備品!$1:$998,COLUMN($O$1),FALSE)*VLOOKUP($D302,素材!$1:$1016,COLUMN($E$1),FALSE)/(LEN(VLOOKUP($D302,素材!$1:$1016,COLUMN($F$1),FALSE))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V302">
        <f>IF(ISNUMBER(SEARCH(SUBSTITUTE(AV$1,RIGHT(AV$1,2),""),VLOOKUP($D302,素材!$1:$1016,COLUMN($F$1),FALSE))),VLOOKUP($C302,装備品!$1:$998,COLUMN($O$1),FALSE)*VLOOKUP($D302,素材!$1:$1016,COLUMN($E$1),FALSE)/(LEN(VLOOKUP($D302,素材!$1:$1016,COLUMN($F$1),FALSE))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W302">
        <f>IF(ISNUMBER(SEARCH(SUBSTITUTE(AW$1,RIGHT(AW$1,2),""),VLOOKUP($D302,素材!$1:$1016,COLUMN($F$1),FALSE))),VLOOKUP($C302,装備品!$1:$998,COLUMN($O$1),FALSE)*VLOOKUP($D302,素材!$1:$1016,COLUMN($E$1),FALSE)/(LEN(VLOOKUP($D302,素材!$1:$1016,COLUMN($F$1),FALSE))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X302">
        <f>IF(ISNUMBER(SEARCH(SUBSTITUTE(AX$1,RIGHT(AX$1,2),""),VLOOKUP($D302,素材!$1:$1016,COLUMN($F$1),FALSE))),VLOOKUP($C302,装備品!$1:$998,COLUMN($O$1),FALSE)*VLOOKUP($D302,素材!$1:$1016,COLUMN($E$1),FALSE)/(LEN(VLOOKUP($D302,素材!$1:$1016,COLUMN($F$1),FALSE))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Y302">
        <f>IF(ISNUMBER(SEARCH(SUBSTITUTE(AY$1,RIGHT(AY$1,2),""),VLOOKUP($D302,素材!$1:$1016,COLUMN($F$1),FALSE))),VLOOKUP($C302,装備品!$1:$998,COLUMN($O$1),FALSE)*VLOOKUP($D302,素材!$1:$1016,COLUMN($E$1),FALSE)/(LEN(VLOOKUP($D302,素材!$1:$1016,COLUMN($F$1),FALSE))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Z302">
        <f>IF(ISNUMBER(SEARCH(SUBSTITUTE(AZ$1,RIGHT(AZ$1,2),""),VLOOKUP($D302,素材!$1:$1016,COLUMN($F$1),FALSE))),VLOOKUP($C302,装備品!$1:$998,COLUMN($O$1),FALSE)*VLOOKUP($D302,素材!$1:$1016,COLUMN($E$1),FALSE)/(LEN(VLOOKUP($D302,素材!$1:$1016,COLUMN($F$1),FALSE))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BA302">
        <f>IF(ISNUMBER(SEARCH(SUBSTITUTE(BA$1,RIGHT(BA$1,2),""),VLOOKUP($D302,素材!$1:$1016,COLUMN($F$1),FALSE))),VLOOKUP($C302,装備品!$1:$998,COLUMN($O$1),FALSE)*VLOOKUP($D302,素材!$1:$1016,COLUMN($E$1),FALSE)/(LEN(VLOOKUP($D302,素材!$1:$1016,COLUMN($F$1),FALSE))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BB302">
        <f>IF(ISNUMBER(SEARCH(SUBSTITUTE(BB$1,RIGHT(BB$1,2),""),VLOOKUP($D302,素材!$1:$1016,COLUMN($F$1),FALSE))),VLOOKUP($C302,装備品!$1:$998,COLUMN($O$1),FALSE)*VLOOKUP($D302,素材!$1:$1016,COLUMN($E$1),FALSE)/(LEN(VLOOKUP($D302,素材!$1:$1016,COLUMN($F$1),FALSE))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BC302">
        <f>IF(ISNUMBER(SEARCH(SUBSTITUTE(BC$1,RIGHT(BC$1,2),""),VLOOKUP($D302,素材!$1:$1016,COLUMN($F$1),FALSE))),VLOOKUP($C302,装備品!$1:$998,COLUMN($O$1),FALSE)*VLOOKUP($D302,素材!$1:$1016,COLUMN($E$1),FALSE)/(LEN(VLOOKUP($D302,素材!$1:$1016,COLUMN($F$1),FALSE))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BD302">
        <f>IF(ISNUMBER(SEARCH(SUBSTITUTE(BD$1,RIGHT(BD$1,2),""),VLOOKUP($D302,素材!$1:$1016,COLUMN($F$1),FALSE))),VLOOKUP($C302,装備品!$1:$998,COLUMN($O$1),FALSE)*VLOOKUP($D302,素材!$1:$1016,COLUMN($E$1),FALSE)/(LEN(VLOOKUP($D302,素材!$1:$1016,COLUMN($F$1),FALSE))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BE302">
        <f>IF(ISNUMBER(SEARCH(SUBSTITUTE(BE$1,RIGHT(BE$1,2),""),VLOOKUP($D302,素材!$1:$1016,COLUMN($F$1),FALSE))),VLOOKUP($C302,装備品!$1:$998,COLUMN($O$1),FALSE)*VLOOKUP($D302,素材!$1:$1016,COLUMN($E$1),FALSE)/(LEN(VLOOKUP($D302,素材!$1:$1016,COLUMN($F$1),FALSE))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CL302">
        <f t="shared" si="41"/>
        <v>0</v>
      </c>
      <c r="CM302" s="22" t="str">
        <f t="shared" si="42"/>
        <v>.webp</v>
      </c>
      <c r="CN302" t="str">
        <f>IFERROR(VLOOKUP($C302,装備品!$1:$998,COLUMN(V$1),FALSE)*VLOOKUP($D302,素材!$1:$1016,COLUMN(N$1),FALSE)+IF(CI302="",0,VLOOKUP($CI302,付与!$1:$1176,COLUMN($CK$1),FALSE)),"")</f>
        <v/>
      </c>
      <c r="CO302" t="e">
        <f>VLOOKUP(D302,素材!$A:$O,COLUMN(素材!O$1),FALSE)</f>
        <v>#N/A</v>
      </c>
      <c r="CP302" t="e">
        <f>VLOOKUP(C302,装備品!$A:$AB,COLUMN(装備品!AB$1),FALSE)</f>
        <v>#N/A</v>
      </c>
      <c r="CR302" t="str">
        <f t="shared" si="43"/>
        <v>e_302</v>
      </c>
      <c r="CS302" t="e">
        <f t="shared" si="44"/>
        <v>#VALUE!</v>
      </c>
    </row>
    <row r="303" spans="1:97" hidden="1" outlineLevel="1" x14ac:dyDescent="0.4">
      <c r="A303" t="str">
        <f t="shared" si="45"/>
        <v>の</v>
      </c>
      <c r="B303" t="str">
        <f>IFERROR(IF(CI303="",VLOOKUP($D303,素材!$1:$1016,COLUMN($B$1),FALSE)&amp;"・"&amp;VLOOKUP($C303,装備品!$1:$998,COLUMN(B$1),FALSE),VLOOKUP($CI303,付与!$1:$1176,COLUMN($B$1),FALSE)&amp;"・"&amp;VLOOKUP($C303,装備品!$1:$998,COLUMN(B$1),FALSE)),"")</f>
        <v/>
      </c>
      <c r="C303" s="24"/>
      <c r="D303" s="24"/>
      <c r="E303" t="str">
        <f>IFERROR(VLOOKUP(C303,装備品!$1:$998,COLUMN(C$1),FALSE),"")</f>
        <v/>
      </c>
      <c r="F303" t="str">
        <f>IFERROR(ROUNDDOWN((VLOOKUP($C303,装備品!$1:$998,COLUMN(D$1),FALSE)+IFERROR(VLOOKUP($CI303,付与!$1:$1167,COLUMN(F$1),FALSE),0))*VLOOKUP($D303,素材!$1:$1016,COLUMN(D$1),FALSE),0),"")</f>
        <v/>
      </c>
      <c r="G303" t="str">
        <f>IFERROR(ROUNDDOWN((VLOOKUP($C303,装備品!$1:$998,COLUMN(E$1),FALSE)+IFERROR(VLOOKUP($CI303,付与!$1:$1167,COLUMN(G$1),FALSE),0))*VLOOKUP($D303,素材!$1:$1016,COLUMN($E$1),FALSE),0),"")</f>
        <v/>
      </c>
      <c r="H303" t="str">
        <f>IFERROR(ROUNDDOWN((VLOOKUP($C303,装備品!$1:$998,COLUMN(F$1),FALSE)+IFERROR(VLOOKUP($CI303,付与!$1:$1167,COLUMN(H$1),FALSE),0))*VLOOKUP($D303,素材!$1:$1016,COLUMN($E$1),FALSE),0),"")</f>
        <v/>
      </c>
      <c r="I303" t="str">
        <f>IFERROR(ROUNDDOWN((VLOOKUP($C303,装備品!$1:$998,COLUMN(G$1),FALSE)+IFERROR(VLOOKUP($CI303,付与!$1:$1167,COLUMN(I$1),FALSE),0))*VLOOKUP($D303,素材!$1:$1016,COLUMN($E$1),FALSE),0),"")</f>
        <v/>
      </c>
      <c r="J303" t="str">
        <f>IFERROR(ROUNDDOWN((VLOOKUP($C303,装備品!$1:$998,COLUMN(H$1),FALSE)+IFERROR(VLOOKUP($CI303,付与!$1:$1167,COLUMN(J$1),FALSE),0))*VLOOKUP($D303,素材!$1:$1016,COLUMN($E$1),FALSE),0),"")</f>
        <v/>
      </c>
      <c r="K303" t="str">
        <f>IFERROR(ROUNDDOWN((VLOOKUP($C303,装備品!$1:$998,COLUMN(I$1),FALSE)+IFERROR(VLOOKUP($CI303,付与!$1:$1167,COLUMN(K$1),FALSE),0))*VLOOKUP($D303,素材!$1:$1016,COLUMN($E$1),FALSE),0),"")</f>
        <v/>
      </c>
      <c r="L303" t="str">
        <f>IFERROR(VLOOKUP($D303,素材!$1:$1016,COLUMN($F$1),FALSE),"")</f>
        <v/>
      </c>
      <c r="M303" t="str">
        <f>IFERROR(VLOOKUP($C303,装備品!$1:$998,COLUMN(AA$1),FALSE)*VLOOKUP($D303,素材!$1:$1016,COLUMN($G$1),FALSE),"")</f>
        <v/>
      </c>
      <c r="N303" t="str">
        <f>IFERROR(VLOOKUP($C303,装備品!$1:$998,COLUMN(I$1),FALSE),"")</f>
        <v/>
      </c>
      <c r="O303" s="23" t="str">
        <f>IFERROR((VLOOKUP($C303,装備品!$1:$998,COLUMN(K$1),FALSE)+VLOOKUP($D303,素材!$1:$1016,COLUMN(H$1),FALSE))*100+IFERROR(VLOOKUP($CI303,付与!$1:$1167,COLUMN(O$1),FALSE),0),"")</f>
        <v/>
      </c>
      <c r="P303" s="23" t="str">
        <f>IFERROR((VLOOKUP($C303,装備品!$1:$998,COLUMN(L$1),FALSE)+VLOOKUP($D303,素材!$1:$1016,COLUMN(I$1),FALSE))*100+IFERROR(VLOOKUP($CI303,付与!$1:$1167,COLUMN(P$1),FALSE),0),"")</f>
        <v/>
      </c>
      <c r="Q303" t="str">
        <f>IFERROR(ROUNDUP(VLOOKUP($C303,装備品!$1:$998,COLUMN(M$1),FALSE)*(VLOOKUP($D303,素材!$1:$1002,COLUMN(D$1),FALSE)/100),1),"")</f>
        <v/>
      </c>
      <c r="R303" t="str">
        <f>IFERROR(ROUNDUP(VLOOKUP($C303,装備品!$1:$998,COLUMN(N$1),FALSE)*(VLOOKUP($D303,素材!$1:$1002,COLUMN(D$1),FALSE)/100),1),"")</f>
        <v/>
      </c>
      <c r="S303" t="str">
        <f>IFERROR(VLOOKUP($C303,装備品!$1:$998,COLUMN(P$1),FALSE),"")</f>
        <v/>
      </c>
      <c r="T303" t="str">
        <f>IFERROR(VLOOKUP($C303,装備品!$1:$998,COLUMN(Q$1),FALSE),"")</f>
        <v/>
      </c>
      <c r="U303" t="str">
        <f>IFERROR(VLOOKUP($C303,装備品!$1:$998,COLUMN(R$1),FALSE),"")</f>
        <v/>
      </c>
      <c r="V303" t="str">
        <f>IFERROR(VLOOKUP($C303,装備品!$1:$998,COLUMN(Q$1),FALSE),"")</f>
        <v/>
      </c>
      <c r="W303" t="str">
        <f>IFERROR(VLOOKUP($C303,装備品!$1:$998,COLUMN(T$1),FALSE),"")</f>
        <v/>
      </c>
      <c r="Y303" t="str">
        <f>IFERROR(VLOOKUP($C303,装備品!$1:$998,COLUMN(U$1),FALSE),"")</f>
        <v/>
      </c>
      <c r="Z303" t="str">
        <f>IFERROR(ROUNDUP(VLOOKUP($C303,装備品!$1:$998,COLUMN(O$1),FALSE)*VLOOKUP($D303,素材!$1:$1016,COLUMN(E$1),FALSE),1),"")</f>
        <v/>
      </c>
      <c r="AA303">
        <f>IF(ISNUMBER(SEARCH(SUBSTITUTE(AA$1,RIGHT(AA$1,2),""),VLOOKUP($D303,素材!$1:$1016,COLUMN($F$1),FALSE))),VLOOKUP($C303,装備品!$1:$998,COLUMN($O$1),FALSE)*VLOOKUP($D303,素材!$1:$1016,COLUMN($E$1),FALSE)/(LEN(VLOOKUP($D303,素材!$1:$1016,COLUMN($F$1),FALSE))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B303">
        <f>IF(ISNUMBER(SEARCH(SUBSTITUTE(AB$1,RIGHT(AB$1,2),""),VLOOKUP($D303,素材!$1:$1016,COLUMN($F$1),FALSE))),VLOOKUP($C303,装備品!$1:$998,COLUMN($O$1),FALSE)*VLOOKUP($D303,素材!$1:$1016,COLUMN($E$1),FALSE)/(LEN(VLOOKUP($D303,素材!$1:$1016,COLUMN($F$1),FALSE))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C303">
        <f>IF(ISNUMBER(SEARCH(SUBSTITUTE(AC$1,RIGHT(AC$1,2),""),VLOOKUP($D303,素材!$1:$1016,COLUMN($F$1),FALSE))),VLOOKUP($C303,装備品!$1:$998,COLUMN($O$1),FALSE)*VLOOKUP($D303,素材!$1:$1016,COLUMN($E$1),FALSE)/(LEN(VLOOKUP($D303,素材!$1:$1016,COLUMN($F$1),FALSE))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D303">
        <f>IF(ISNUMBER(SEARCH(SUBSTITUTE(AD$1,RIGHT(AD$1,2),""),VLOOKUP($D303,素材!$1:$1016,COLUMN($F$1),FALSE))),VLOOKUP($C303,装備品!$1:$998,COLUMN($O$1),FALSE)*VLOOKUP($D303,素材!$1:$1016,COLUMN($E$1),FALSE)/(LEN(VLOOKUP($D303,素材!$1:$1016,COLUMN($F$1),FALSE))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E303">
        <f>IF(ISNUMBER(SEARCH(SUBSTITUTE(AE$1,RIGHT(AE$1,2),""),VLOOKUP($D303,素材!$1:$1016,COLUMN($F$1),FALSE))),VLOOKUP($C303,装備品!$1:$998,COLUMN($O$1),FALSE)*VLOOKUP($D303,素材!$1:$1016,COLUMN($E$1),FALSE)/(LEN(VLOOKUP($D303,素材!$1:$1016,COLUMN($F$1),FALSE))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F303">
        <f>IF(ISNUMBER(SEARCH(SUBSTITUTE(AF$1,RIGHT(AF$1,2),""),VLOOKUP($D303,素材!$1:$1016,COLUMN($F$1),FALSE))),VLOOKUP($C303,装備品!$1:$998,COLUMN($O$1),FALSE)*VLOOKUP($D303,素材!$1:$1016,COLUMN($E$1),FALSE)/(LEN(VLOOKUP($D303,素材!$1:$1016,COLUMN($F$1),FALSE))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G303">
        <f>IF(ISNUMBER(SEARCH(SUBSTITUTE(AG$1,RIGHT(AG$1,2),""),VLOOKUP($D303,素材!$1:$1016,COLUMN($F$1),FALSE))),VLOOKUP($C303,装備品!$1:$998,COLUMN($O$1),FALSE)*VLOOKUP($D303,素材!$1:$1016,COLUMN($E$1),FALSE)/(LEN(VLOOKUP($D303,素材!$1:$1016,COLUMN($F$1),FALSE))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H303">
        <f>IF(ISNUMBER(SEARCH(SUBSTITUTE(AH$1,RIGHT(AH$1,2),""),VLOOKUP($D303,素材!$1:$1016,COLUMN($F$1),FALSE))),VLOOKUP($C303,装備品!$1:$998,COLUMN($O$1),FALSE)*VLOOKUP($D303,素材!$1:$1016,COLUMN($E$1),FALSE)/(LEN(VLOOKUP($D303,素材!$1:$1016,COLUMN($F$1),FALSE))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I303">
        <f>IF(ISNUMBER(SEARCH(SUBSTITUTE(AI$1,RIGHT(AI$1,2),""),VLOOKUP($D303,素材!$1:$1016,COLUMN($F$1),FALSE))),VLOOKUP($C303,装備品!$1:$998,COLUMN($O$1),FALSE)*VLOOKUP($D303,素材!$1:$1016,COLUMN($E$1),FALSE)/(LEN(VLOOKUP($D303,素材!$1:$1016,COLUMN($F$1),FALSE))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J303">
        <f>IF(ISNUMBER(SEARCH(SUBSTITUTE(AJ$1,RIGHT(AJ$1,2),""),VLOOKUP($D303,素材!$1:$1016,COLUMN($F$1),FALSE))),VLOOKUP($C303,装備品!$1:$998,COLUMN($O$1),FALSE)*VLOOKUP($D303,素材!$1:$1016,COLUMN($E$1),FALSE)/(LEN(VLOOKUP($D303,素材!$1:$1016,COLUMN($F$1),FALSE))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K303">
        <f>IF(ISNUMBER(SEARCH(SUBSTITUTE(AK$1,RIGHT(AK$1,2),""),VLOOKUP($D303,素材!$1:$1016,COLUMN($F$1),FALSE))),VLOOKUP($C303,装備品!$1:$998,COLUMN($O$1),FALSE)*VLOOKUP($D303,素材!$1:$1016,COLUMN($E$1),FALSE)/(LEN(VLOOKUP($D303,素材!$1:$1016,COLUMN($F$1),FALSE))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L303">
        <f>IF(ISNUMBER(SEARCH(SUBSTITUTE(AL$1,RIGHT(AL$1,2),""),VLOOKUP($D303,素材!$1:$1016,COLUMN($F$1),FALSE))),VLOOKUP($C303,装備品!$1:$998,COLUMN($O$1),FALSE)*VLOOKUP($D303,素材!$1:$1016,COLUMN($E$1),FALSE)/(LEN(VLOOKUP($D303,素材!$1:$1016,COLUMN($F$1),FALSE))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M303">
        <f>IF(ISNUMBER(SEARCH(SUBSTITUTE(AM$1,RIGHT(AM$1,2),""),VLOOKUP($D303,素材!$1:$1016,COLUMN($F$1),FALSE))),VLOOKUP($C303,装備品!$1:$998,COLUMN($O$1),FALSE)*VLOOKUP($D303,素材!$1:$1016,COLUMN($E$1),FALSE)/(LEN(VLOOKUP($D303,素材!$1:$1016,COLUMN($F$1),FALSE))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N303">
        <f>IF(ISNUMBER(SEARCH(SUBSTITUTE(AN$1,RIGHT(AN$1,2),""),VLOOKUP($D303,素材!$1:$1016,COLUMN($F$1),FALSE))),VLOOKUP($C303,装備品!$1:$998,COLUMN($O$1),FALSE)*VLOOKUP($D303,素材!$1:$1016,COLUMN($E$1),FALSE)/(LEN(VLOOKUP($D303,素材!$1:$1016,COLUMN($F$1),FALSE))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O303">
        <f>IF(ISNUMBER(SEARCH(SUBSTITUTE(AO$1,RIGHT(AO$1,2),""),VLOOKUP($D303,素材!$1:$1016,COLUMN($F$1),FALSE))),VLOOKUP($C303,装備品!$1:$998,COLUMN($O$1),FALSE)*VLOOKUP($D303,素材!$1:$1016,COLUMN($E$1),FALSE)/(LEN(VLOOKUP($D303,素材!$1:$1016,COLUMN($F$1),FALSE))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P303">
        <f>IF(ISNUMBER(SEARCH(SUBSTITUTE(AP$1,RIGHT(AP$1,2),""),VLOOKUP($D303,素材!$1:$1016,COLUMN($F$1),FALSE))),VLOOKUP($C303,装備品!$1:$998,COLUMN($O$1),FALSE)*VLOOKUP($D303,素材!$1:$1016,COLUMN($E$1),FALSE)/(LEN(VLOOKUP($D303,素材!$1:$1016,COLUMN($F$1),FALSE))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Q303">
        <f>IF(ISNUMBER(SEARCH(SUBSTITUTE(AQ$1,RIGHT(AQ$1,2),""),VLOOKUP($D303,素材!$1:$1016,COLUMN($F$1),FALSE))),VLOOKUP($C303,装備品!$1:$998,COLUMN($O$1),FALSE)*VLOOKUP($D303,素材!$1:$1016,COLUMN($E$1),FALSE)/(LEN(VLOOKUP($D303,素材!$1:$1016,COLUMN($F$1),FALSE))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R303">
        <f>IF(ISNUMBER(SEARCH(SUBSTITUTE(AR$1,RIGHT(AR$1,2),""),VLOOKUP($D303,素材!$1:$1016,COLUMN($F$1),FALSE))),VLOOKUP($C303,装備品!$1:$998,COLUMN($O$1),FALSE)*VLOOKUP($D303,素材!$1:$1016,COLUMN($E$1),FALSE)/(LEN(VLOOKUP($D303,素材!$1:$1016,COLUMN($F$1),FALSE))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S303">
        <f>IF(ISNUMBER(SEARCH(SUBSTITUTE(AS$1,RIGHT(AS$1,2),""),VLOOKUP($D303,素材!$1:$1016,COLUMN($F$1),FALSE))),VLOOKUP($C303,装備品!$1:$998,COLUMN($O$1),FALSE)*VLOOKUP($D303,素材!$1:$1016,COLUMN($E$1),FALSE)/(LEN(VLOOKUP($D303,素材!$1:$1016,COLUMN($F$1),FALSE))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T303">
        <f>IF(ISNUMBER(SEARCH(SUBSTITUTE(AT$1,RIGHT(AT$1,2),""),VLOOKUP($D303,素材!$1:$1016,COLUMN($F$1),FALSE))),VLOOKUP($C303,装備品!$1:$998,COLUMN($O$1),FALSE)*VLOOKUP($D303,素材!$1:$1016,COLUMN($E$1),FALSE)/(LEN(VLOOKUP($D303,素材!$1:$1016,COLUMN($F$1),FALSE))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U303">
        <f>IF(ISNUMBER(SEARCH(SUBSTITUTE(AU$1,RIGHT(AU$1,2),""),VLOOKUP($D303,素材!$1:$1016,COLUMN($F$1),FALSE))),VLOOKUP($C303,装備品!$1:$998,COLUMN($O$1),FALSE)*VLOOKUP($D303,素材!$1:$1016,COLUMN($E$1),FALSE)/(LEN(VLOOKUP($D303,素材!$1:$1016,COLUMN($F$1),FALSE))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V303">
        <f>IF(ISNUMBER(SEARCH(SUBSTITUTE(AV$1,RIGHT(AV$1,2),""),VLOOKUP($D303,素材!$1:$1016,COLUMN($F$1),FALSE))),VLOOKUP($C303,装備品!$1:$998,COLUMN($O$1),FALSE)*VLOOKUP($D303,素材!$1:$1016,COLUMN($E$1),FALSE)/(LEN(VLOOKUP($D303,素材!$1:$1016,COLUMN($F$1),FALSE))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W303">
        <f>IF(ISNUMBER(SEARCH(SUBSTITUTE(AW$1,RIGHT(AW$1,2),""),VLOOKUP($D303,素材!$1:$1016,COLUMN($F$1),FALSE))),VLOOKUP($C303,装備品!$1:$998,COLUMN($O$1),FALSE)*VLOOKUP($D303,素材!$1:$1016,COLUMN($E$1),FALSE)/(LEN(VLOOKUP($D303,素材!$1:$1016,COLUMN($F$1),FALSE))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X303">
        <f>IF(ISNUMBER(SEARCH(SUBSTITUTE(AX$1,RIGHT(AX$1,2),""),VLOOKUP($D303,素材!$1:$1016,COLUMN($F$1),FALSE))),VLOOKUP($C303,装備品!$1:$998,COLUMN($O$1),FALSE)*VLOOKUP($D303,素材!$1:$1016,COLUMN($E$1),FALSE)/(LEN(VLOOKUP($D303,素材!$1:$1016,COLUMN($F$1),FALSE))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Y303">
        <f>IF(ISNUMBER(SEARCH(SUBSTITUTE(AY$1,RIGHT(AY$1,2),""),VLOOKUP($D303,素材!$1:$1016,COLUMN($F$1),FALSE))),VLOOKUP($C303,装備品!$1:$998,COLUMN($O$1),FALSE)*VLOOKUP($D303,素材!$1:$1016,COLUMN($E$1),FALSE)/(LEN(VLOOKUP($D303,素材!$1:$1016,COLUMN($F$1),FALSE))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Z303">
        <f>IF(ISNUMBER(SEARCH(SUBSTITUTE(AZ$1,RIGHT(AZ$1,2),""),VLOOKUP($D303,素材!$1:$1016,COLUMN($F$1),FALSE))),VLOOKUP($C303,装備品!$1:$998,COLUMN($O$1),FALSE)*VLOOKUP($D303,素材!$1:$1016,COLUMN($E$1),FALSE)/(LEN(VLOOKUP($D303,素材!$1:$1016,COLUMN($F$1),FALSE))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BA303">
        <f>IF(ISNUMBER(SEARCH(SUBSTITUTE(BA$1,RIGHT(BA$1,2),""),VLOOKUP($D303,素材!$1:$1016,COLUMN($F$1),FALSE))),VLOOKUP($C303,装備品!$1:$998,COLUMN($O$1),FALSE)*VLOOKUP($D303,素材!$1:$1016,COLUMN($E$1),FALSE)/(LEN(VLOOKUP($D303,素材!$1:$1016,COLUMN($F$1),FALSE))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BB303">
        <f>IF(ISNUMBER(SEARCH(SUBSTITUTE(BB$1,RIGHT(BB$1,2),""),VLOOKUP($D303,素材!$1:$1016,COLUMN($F$1),FALSE))),VLOOKUP($C303,装備品!$1:$998,COLUMN($O$1),FALSE)*VLOOKUP($D303,素材!$1:$1016,COLUMN($E$1),FALSE)/(LEN(VLOOKUP($D303,素材!$1:$1016,COLUMN($F$1),FALSE))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BC303">
        <f>IF(ISNUMBER(SEARCH(SUBSTITUTE(BC$1,RIGHT(BC$1,2),""),VLOOKUP($D303,素材!$1:$1016,COLUMN($F$1),FALSE))),VLOOKUP($C303,装備品!$1:$998,COLUMN($O$1),FALSE)*VLOOKUP($D303,素材!$1:$1016,COLUMN($E$1),FALSE)/(LEN(VLOOKUP($D303,素材!$1:$1016,COLUMN($F$1),FALSE))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BD303">
        <f>IF(ISNUMBER(SEARCH(SUBSTITUTE(BD$1,RIGHT(BD$1,2),""),VLOOKUP($D303,素材!$1:$1016,COLUMN($F$1),FALSE))),VLOOKUP($C303,装備品!$1:$998,COLUMN($O$1),FALSE)*VLOOKUP($D303,素材!$1:$1016,COLUMN($E$1),FALSE)/(LEN(VLOOKUP($D303,素材!$1:$1016,COLUMN($F$1),FALSE))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BE303">
        <f>IF(ISNUMBER(SEARCH(SUBSTITUTE(BE$1,RIGHT(BE$1,2),""),VLOOKUP($D303,素材!$1:$1016,COLUMN($F$1),FALSE))),VLOOKUP($C303,装備品!$1:$998,COLUMN($O$1),FALSE)*VLOOKUP($D303,素材!$1:$1016,COLUMN($E$1),FALSE)/(LEN(VLOOKUP($D303,素材!$1:$1016,COLUMN($F$1),FALSE))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CL303">
        <f t="shared" si="41"/>
        <v>0</v>
      </c>
      <c r="CM303" s="22" t="str">
        <f t="shared" si="42"/>
        <v>.webp</v>
      </c>
      <c r="CN303" t="str">
        <f>IFERROR(VLOOKUP($C303,装備品!$1:$998,COLUMN(V$1),FALSE)*VLOOKUP($D303,素材!$1:$1016,COLUMN(N$1),FALSE)+IF(CI303="",0,VLOOKUP($CI303,付与!$1:$1176,COLUMN($CK$1),FALSE)),"")</f>
        <v/>
      </c>
      <c r="CO303" t="e">
        <f>VLOOKUP(D303,素材!$A:$O,COLUMN(素材!O$1),FALSE)</f>
        <v>#N/A</v>
      </c>
      <c r="CP303" t="e">
        <f>VLOOKUP(C303,装備品!$A:$AB,COLUMN(装備品!AB$1),FALSE)</f>
        <v>#N/A</v>
      </c>
      <c r="CR303" t="str">
        <f t="shared" si="43"/>
        <v>e_303</v>
      </c>
      <c r="CS303" t="e">
        <f t="shared" si="44"/>
        <v>#VALUE!</v>
      </c>
    </row>
    <row r="304" spans="1:97" hidden="1" outlineLevel="1" x14ac:dyDescent="0.4">
      <c r="A304" t="str">
        <f t="shared" si="45"/>
        <v>の</v>
      </c>
      <c r="B304" t="str">
        <f>IFERROR(IF(CI304="",VLOOKUP($D304,素材!$1:$1016,COLUMN($B$1),FALSE)&amp;"・"&amp;VLOOKUP($C304,装備品!$1:$998,COLUMN(B$1),FALSE),VLOOKUP($CI304,付与!$1:$1176,COLUMN($B$1),FALSE)&amp;"・"&amp;VLOOKUP($C304,装備品!$1:$998,COLUMN(B$1),FALSE)),"")</f>
        <v/>
      </c>
      <c r="C304" s="24"/>
      <c r="D304" s="24"/>
      <c r="E304" t="str">
        <f>IFERROR(VLOOKUP(C304,装備品!$1:$998,COLUMN(C$1),FALSE),"")</f>
        <v/>
      </c>
      <c r="F304" t="str">
        <f>IFERROR(ROUNDDOWN((VLOOKUP($C304,装備品!$1:$998,COLUMN(D$1),FALSE)+IFERROR(VLOOKUP($CI304,付与!$1:$1167,COLUMN(F$1),FALSE),0))*VLOOKUP($D304,素材!$1:$1016,COLUMN(D$1),FALSE),0),"")</f>
        <v/>
      </c>
      <c r="G304" t="str">
        <f>IFERROR(ROUNDDOWN((VLOOKUP($C304,装備品!$1:$998,COLUMN(E$1),FALSE)+IFERROR(VLOOKUP($CI304,付与!$1:$1167,COLUMN(G$1),FALSE),0))*VLOOKUP($D304,素材!$1:$1016,COLUMN($E$1),FALSE),0),"")</f>
        <v/>
      </c>
      <c r="H304" t="str">
        <f>IFERROR(ROUNDDOWN((VLOOKUP($C304,装備品!$1:$998,COLUMN(F$1),FALSE)+IFERROR(VLOOKUP($CI304,付与!$1:$1167,COLUMN(H$1),FALSE),0))*VLOOKUP($D304,素材!$1:$1016,COLUMN($E$1),FALSE),0),"")</f>
        <v/>
      </c>
      <c r="I304" t="str">
        <f>IFERROR(ROUNDDOWN((VLOOKUP($C304,装備品!$1:$998,COLUMN(G$1),FALSE)+IFERROR(VLOOKUP($CI304,付与!$1:$1167,COLUMN(I$1),FALSE),0))*VLOOKUP($D304,素材!$1:$1016,COLUMN($E$1),FALSE),0),"")</f>
        <v/>
      </c>
      <c r="J304" t="str">
        <f>IFERROR(ROUNDDOWN((VLOOKUP($C304,装備品!$1:$998,COLUMN(H$1),FALSE)+IFERROR(VLOOKUP($CI304,付与!$1:$1167,COLUMN(J$1),FALSE),0))*VLOOKUP($D304,素材!$1:$1016,COLUMN($E$1),FALSE),0),"")</f>
        <v/>
      </c>
      <c r="K304" t="str">
        <f>IFERROR(ROUNDDOWN((VLOOKUP($C304,装備品!$1:$998,COLUMN(I$1),FALSE)+IFERROR(VLOOKUP($CI304,付与!$1:$1167,COLUMN(K$1),FALSE),0))*VLOOKUP($D304,素材!$1:$1016,COLUMN($E$1),FALSE),0),"")</f>
        <v/>
      </c>
      <c r="L304" t="str">
        <f>IFERROR(VLOOKUP($D304,素材!$1:$1016,COLUMN($F$1),FALSE),"")</f>
        <v/>
      </c>
      <c r="M304" t="str">
        <f>IFERROR(VLOOKUP($C304,装備品!$1:$998,COLUMN(AA$1),FALSE)*VLOOKUP($D304,素材!$1:$1016,COLUMN($G$1),FALSE),"")</f>
        <v/>
      </c>
      <c r="N304" t="str">
        <f>IFERROR(VLOOKUP($C304,装備品!$1:$998,COLUMN(I$1),FALSE),"")</f>
        <v/>
      </c>
      <c r="O304" s="23" t="str">
        <f>IFERROR((VLOOKUP($C304,装備品!$1:$998,COLUMN(K$1),FALSE)+VLOOKUP($D304,素材!$1:$1016,COLUMN(H$1),FALSE))*100+IFERROR(VLOOKUP($CI304,付与!$1:$1167,COLUMN(O$1),FALSE),0),"")</f>
        <v/>
      </c>
      <c r="P304" s="23" t="str">
        <f>IFERROR((VLOOKUP($C304,装備品!$1:$998,COLUMN(L$1),FALSE)+VLOOKUP($D304,素材!$1:$1016,COLUMN(I$1),FALSE))*100+IFERROR(VLOOKUP($CI304,付与!$1:$1167,COLUMN(P$1),FALSE),0),"")</f>
        <v/>
      </c>
      <c r="Q304" t="str">
        <f>IFERROR(ROUNDUP(VLOOKUP($C304,装備品!$1:$998,COLUMN(M$1),FALSE)*(VLOOKUP($D304,素材!$1:$1002,COLUMN(D$1),FALSE)/100),1),"")</f>
        <v/>
      </c>
      <c r="R304" t="str">
        <f>IFERROR(ROUNDUP(VLOOKUP($C304,装備品!$1:$998,COLUMN(N$1),FALSE)*(VLOOKUP($D304,素材!$1:$1002,COLUMN(D$1),FALSE)/100),1),"")</f>
        <v/>
      </c>
      <c r="S304" t="str">
        <f>IFERROR(VLOOKUP($C304,装備品!$1:$998,COLUMN(P$1),FALSE),"")</f>
        <v/>
      </c>
      <c r="T304" t="str">
        <f>IFERROR(VLOOKUP($C304,装備品!$1:$998,COLUMN(Q$1),FALSE),"")</f>
        <v/>
      </c>
      <c r="U304" t="str">
        <f>IFERROR(VLOOKUP($C304,装備品!$1:$998,COLUMN(R$1),FALSE),"")</f>
        <v/>
      </c>
      <c r="V304" t="str">
        <f>IFERROR(VLOOKUP($C304,装備品!$1:$998,COLUMN(Q$1),FALSE),"")</f>
        <v/>
      </c>
      <c r="W304" t="str">
        <f>IFERROR(VLOOKUP($C304,装備品!$1:$998,COLUMN(T$1),FALSE),"")</f>
        <v/>
      </c>
      <c r="Y304" t="str">
        <f>IFERROR(VLOOKUP($C304,装備品!$1:$998,COLUMN(U$1),FALSE),"")</f>
        <v/>
      </c>
      <c r="Z304" t="str">
        <f>IFERROR(ROUNDUP(VLOOKUP($C304,装備品!$1:$998,COLUMN(O$1),FALSE)*VLOOKUP($D304,素材!$1:$1016,COLUMN(E$1),FALSE),1),"")</f>
        <v/>
      </c>
      <c r="AA304">
        <f>IF(ISNUMBER(SEARCH(SUBSTITUTE(AA$1,RIGHT(AA$1,2),""),VLOOKUP($D304,素材!$1:$1016,COLUMN($F$1),FALSE))),VLOOKUP($C304,装備品!$1:$998,COLUMN($O$1),FALSE)*VLOOKUP($D304,素材!$1:$1016,COLUMN($E$1),FALSE)/(LEN(VLOOKUP($D304,素材!$1:$1016,COLUMN($F$1),FALSE))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B304">
        <f>IF(ISNUMBER(SEARCH(SUBSTITUTE(AB$1,RIGHT(AB$1,2),""),VLOOKUP($D304,素材!$1:$1016,COLUMN($F$1),FALSE))),VLOOKUP($C304,装備品!$1:$998,COLUMN($O$1),FALSE)*VLOOKUP($D304,素材!$1:$1016,COLUMN($E$1),FALSE)/(LEN(VLOOKUP($D304,素材!$1:$1016,COLUMN($F$1),FALSE))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C304">
        <f>IF(ISNUMBER(SEARCH(SUBSTITUTE(AC$1,RIGHT(AC$1,2),""),VLOOKUP($D304,素材!$1:$1016,COLUMN($F$1),FALSE))),VLOOKUP($C304,装備品!$1:$998,COLUMN($O$1),FALSE)*VLOOKUP($D304,素材!$1:$1016,COLUMN($E$1),FALSE)/(LEN(VLOOKUP($D304,素材!$1:$1016,COLUMN($F$1),FALSE))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D304">
        <f>IF(ISNUMBER(SEARCH(SUBSTITUTE(AD$1,RIGHT(AD$1,2),""),VLOOKUP($D304,素材!$1:$1016,COLUMN($F$1),FALSE))),VLOOKUP($C304,装備品!$1:$998,COLUMN($O$1),FALSE)*VLOOKUP($D304,素材!$1:$1016,COLUMN($E$1),FALSE)/(LEN(VLOOKUP($D304,素材!$1:$1016,COLUMN($F$1),FALSE))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E304">
        <f>IF(ISNUMBER(SEARCH(SUBSTITUTE(AE$1,RIGHT(AE$1,2),""),VLOOKUP($D304,素材!$1:$1016,COLUMN($F$1),FALSE))),VLOOKUP($C304,装備品!$1:$998,COLUMN($O$1),FALSE)*VLOOKUP($D304,素材!$1:$1016,COLUMN($E$1),FALSE)/(LEN(VLOOKUP($D304,素材!$1:$1016,COLUMN($F$1),FALSE))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F304">
        <f>IF(ISNUMBER(SEARCH(SUBSTITUTE(AF$1,RIGHT(AF$1,2),""),VLOOKUP($D304,素材!$1:$1016,COLUMN($F$1),FALSE))),VLOOKUP($C304,装備品!$1:$998,COLUMN($O$1),FALSE)*VLOOKUP($D304,素材!$1:$1016,COLUMN($E$1),FALSE)/(LEN(VLOOKUP($D304,素材!$1:$1016,COLUMN($F$1),FALSE))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G304">
        <f>IF(ISNUMBER(SEARCH(SUBSTITUTE(AG$1,RIGHT(AG$1,2),""),VLOOKUP($D304,素材!$1:$1016,COLUMN($F$1),FALSE))),VLOOKUP($C304,装備品!$1:$998,COLUMN($O$1),FALSE)*VLOOKUP($D304,素材!$1:$1016,COLUMN($E$1),FALSE)/(LEN(VLOOKUP($D304,素材!$1:$1016,COLUMN($F$1),FALSE))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H304">
        <f>IF(ISNUMBER(SEARCH(SUBSTITUTE(AH$1,RIGHT(AH$1,2),""),VLOOKUP($D304,素材!$1:$1016,COLUMN($F$1),FALSE))),VLOOKUP($C304,装備品!$1:$998,COLUMN($O$1),FALSE)*VLOOKUP($D304,素材!$1:$1016,COLUMN($E$1),FALSE)/(LEN(VLOOKUP($D304,素材!$1:$1016,COLUMN($F$1),FALSE))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I304">
        <f>IF(ISNUMBER(SEARCH(SUBSTITUTE(AI$1,RIGHT(AI$1,2),""),VLOOKUP($D304,素材!$1:$1016,COLUMN($F$1),FALSE))),VLOOKUP($C304,装備品!$1:$998,COLUMN($O$1),FALSE)*VLOOKUP($D304,素材!$1:$1016,COLUMN($E$1),FALSE)/(LEN(VLOOKUP($D304,素材!$1:$1016,COLUMN($F$1),FALSE))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J304">
        <f>IF(ISNUMBER(SEARCH(SUBSTITUTE(AJ$1,RIGHT(AJ$1,2),""),VLOOKUP($D304,素材!$1:$1016,COLUMN($F$1),FALSE))),VLOOKUP($C304,装備品!$1:$998,COLUMN($O$1),FALSE)*VLOOKUP($D304,素材!$1:$1016,COLUMN($E$1),FALSE)/(LEN(VLOOKUP($D304,素材!$1:$1016,COLUMN($F$1),FALSE))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K304">
        <f>IF(ISNUMBER(SEARCH(SUBSTITUTE(AK$1,RIGHT(AK$1,2),""),VLOOKUP($D304,素材!$1:$1016,COLUMN($F$1),FALSE))),VLOOKUP($C304,装備品!$1:$998,COLUMN($O$1),FALSE)*VLOOKUP($D304,素材!$1:$1016,COLUMN($E$1),FALSE)/(LEN(VLOOKUP($D304,素材!$1:$1016,COLUMN($F$1),FALSE))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L304">
        <f>IF(ISNUMBER(SEARCH(SUBSTITUTE(AL$1,RIGHT(AL$1,2),""),VLOOKUP($D304,素材!$1:$1016,COLUMN($F$1),FALSE))),VLOOKUP($C304,装備品!$1:$998,COLUMN($O$1),FALSE)*VLOOKUP($D304,素材!$1:$1016,COLUMN($E$1),FALSE)/(LEN(VLOOKUP($D304,素材!$1:$1016,COLUMN($F$1),FALSE))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M304">
        <f>IF(ISNUMBER(SEARCH(SUBSTITUTE(AM$1,RIGHT(AM$1,2),""),VLOOKUP($D304,素材!$1:$1016,COLUMN($F$1),FALSE))),VLOOKUP($C304,装備品!$1:$998,COLUMN($O$1),FALSE)*VLOOKUP($D304,素材!$1:$1016,COLUMN($E$1),FALSE)/(LEN(VLOOKUP($D304,素材!$1:$1016,COLUMN($F$1),FALSE))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N304">
        <f>IF(ISNUMBER(SEARCH(SUBSTITUTE(AN$1,RIGHT(AN$1,2),""),VLOOKUP($D304,素材!$1:$1016,COLUMN($F$1),FALSE))),VLOOKUP($C304,装備品!$1:$998,COLUMN($O$1),FALSE)*VLOOKUP($D304,素材!$1:$1016,COLUMN($E$1),FALSE)/(LEN(VLOOKUP($D304,素材!$1:$1016,COLUMN($F$1),FALSE))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O304">
        <f>IF(ISNUMBER(SEARCH(SUBSTITUTE(AO$1,RIGHT(AO$1,2),""),VLOOKUP($D304,素材!$1:$1016,COLUMN($F$1),FALSE))),VLOOKUP($C304,装備品!$1:$998,COLUMN($O$1),FALSE)*VLOOKUP($D304,素材!$1:$1016,COLUMN($E$1),FALSE)/(LEN(VLOOKUP($D304,素材!$1:$1016,COLUMN($F$1),FALSE))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P304">
        <f>IF(ISNUMBER(SEARCH(SUBSTITUTE(AP$1,RIGHT(AP$1,2),""),VLOOKUP($D304,素材!$1:$1016,COLUMN($F$1),FALSE))),VLOOKUP($C304,装備品!$1:$998,COLUMN($O$1),FALSE)*VLOOKUP($D304,素材!$1:$1016,COLUMN($E$1),FALSE)/(LEN(VLOOKUP($D304,素材!$1:$1016,COLUMN($F$1),FALSE))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Q304">
        <f>IF(ISNUMBER(SEARCH(SUBSTITUTE(AQ$1,RIGHT(AQ$1,2),""),VLOOKUP($D304,素材!$1:$1016,COLUMN($F$1),FALSE))),VLOOKUP($C304,装備品!$1:$998,COLUMN($O$1),FALSE)*VLOOKUP($D304,素材!$1:$1016,COLUMN($E$1),FALSE)/(LEN(VLOOKUP($D304,素材!$1:$1016,COLUMN($F$1),FALSE))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R304">
        <f>IF(ISNUMBER(SEARCH(SUBSTITUTE(AR$1,RIGHT(AR$1,2),""),VLOOKUP($D304,素材!$1:$1016,COLUMN($F$1),FALSE))),VLOOKUP($C304,装備品!$1:$998,COLUMN($O$1),FALSE)*VLOOKUP($D304,素材!$1:$1016,COLUMN($E$1),FALSE)/(LEN(VLOOKUP($D304,素材!$1:$1016,COLUMN($F$1),FALSE))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S304">
        <f>IF(ISNUMBER(SEARCH(SUBSTITUTE(AS$1,RIGHT(AS$1,2),""),VLOOKUP($D304,素材!$1:$1016,COLUMN($F$1),FALSE))),VLOOKUP($C304,装備品!$1:$998,COLUMN($O$1),FALSE)*VLOOKUP($D304,素材!$1:$1016,COLUMN($E$1),FALSE)/(LEN(VLOOKUP($D304,素材!$1:$1016,COLUMN($F$1),FALSE))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T304">
        <f>IF(ISNUMBER(SEARCH(SUBSTITUTE(AT$1,RIGHT(AT$1,2),""),VLOOKUP($D304,素材!$1:$1016,COLUMN($F$1),FALSE))),VLOOKUP($C304,装備品!$1:$998,COLUMN($O$1),FALSE)*VLOOKUP($D304,素材!$1:$1016,COLUMN($E$1),FALSE)/(LEN(VLOOKUP($D304,素材!$1:$1016,COLUMN($F$1),FALSE))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U304">
        <f>IF(ISNUMBER(SEARCH(SUBSTITUTE(AU$1,RIGHT(AU$1,2),""),VLOOKUP($D304,素材!$1:$1016,COLUMN($F$1),FALSE))),VLOOKUP($C304,装備品!$1:$998,COLUMN($O$1),FALSE)*VLOOKUP($D304,素材!$1:$1016,COLUMN($E$1),FALSE)/(LEN(VLOOKUP($D304,素材!$1:$1016,COLUMN($F$1),FALSE))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V304">
        <f>IF(ISNUMBER(SEARCH(SUBSTITUTE(AV$1,RIGHT(AV$1,2),""),VLOOKUP($D304,素材!$1:$1016,COLUMN($F$1),FALSE))),VLOOKUP($C304,装備品!$1:$998,COLUMN($O$1),FALSE)*VLOOKUP($D304,素材!$1:$1016,COLUMN($E$1),FALSE)/(LEN(VLOOKUP($D304,素材!$1:$1016,COLUMN($F$1),FALSE))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W304">
        <f>IF(ISNUMBER(SEARCH(SUBSTITUTE(AW$1,RIGHT(AW$1,2),""),VLOOKUP($D304,素材!$1:$1016,COLUMN($F$1),FALSE))),VLOOKUP($C304,装備品!$1:$998,COLUMN($O$1),FALSE)*VLOOKUP($D304,素材!$1:$1016,COLUMN($E$1),FALSE)/(LEN(VLOOKUP($D304,素材!$1:$1016,COLUMN($F$1),FALSE))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X304">
        <f>IF(ISNUMBER(SEARCH(SUBSTITUTE(AX$1,RIGHT(AX$1,2),""),VLOOKUP($D304,素材!$1:$1016,COLUMN($F$1),FALSE))),VLOOKUP($C304,装備品!$1:$998,COLUMN($O$1),FALSE)*VLOOKUP($D304,素材!$1:$1016,COLUMN($E$1),FALSE)/(LEN(VLOOKUP($D304,素材!$1:$1016,COLUMN($F$1),FALSE))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Y304">
        <f>IF(ISNUMBER(SEARCH(SUBSTITUTE(AY$1,RIGHT(AY$1,2),""),VLOOKUP($D304,素材!$1:$1016,COLUMN($F$1),FALSE))),VLOOKUP($C304,装備品!$1:$998,COLUMN($O$1),FALSE)*VLOOKUP($D304,素材!$1:$1016,COLUMN($E$1),FALSE)/(LEN(VLOOKUP($D304,素材!$1:$1016,COLUMN($F$1),FALSE))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Z304">
        <f>IF(ISNUMBER(SEARCH(SUBSTITUTE(AZ$1,RIGHT(AZ$1,2),""),VLOOKUP($D304,素材!$1:$1016,COLUMN($F$1),FALSE))),VLOOKUP($C304,装備品!$1:$998,COLUMN($O$1),FALSE)*VLOOKUP($D304,素材!$1:$1016,COLUMN($E$1),FALSE)/(LEN(VLOOKUP($D304,素材!$1:$1016,COLUMN($F$1),FALSE))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BA304">
        <f>IF(ISNUMBER(SEARCH(SUBSTITUTE(BA$1,RIGHT(BA$1,2),""),VLOOKUP($D304,素材!$1:$1016,COLUMN($F$1),FALSE))),VLOOKUP($C304,装備品!$1:$998,COLUMN($O$1),FALSE)*VLOOKUP($D304,素材!$1:$1016,COLUMN($E$1),FALSE)/(LEN(VLOOKUP($D304,素材!$1:$1016,COLUMN($F$1),FALSE))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BB304">
        <f>IF(ISNUMBER(SEARCH(SUBSTITUTE(BB$1,RIGHT(BB$1,2),""),VLOOKUP($D304,素材!$1:$1016,COLUMN($F$1),FALSE))),VLOOKUP($C304,装備品!$1:$998,COLUMN($O$1),FALSE)*VLOOKUP($D304,素材!$1:$1016,COLUMN($E$1),FALSE)/(LEN(VLOOKUP($D304,素材!$1:$1016,COLUMN($F$1),FALSE))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BC304">
        <f>IF(ISNUMBER(SEARCH(SUBSTITUTE(BC$1,RIGHT(BC$1,2),""),VLOOKUP($D304,素材!$1:$1016,COLUMN($F$1),FALSE))),VLOOKUP($C304,装備品!$1:$998,COLUMN($O$1),FALSE)*VLOOKUP($D304,素材!$1:$1016,COLUMN($E$1),FALSE)/(LEN(VLOOKUP($D304,素材!$1:$1016,COLUMN($F$1),FALSE))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BD304">
        <f>IF(ISNUMBER(SEARCH(SUBSTITUTE(BD$1,RIGHT(BD$1,2),""),VLOOKUP($D304,素材!$1:$1016,COLUMN($F$1),FALSE))),VLOOKUP($C304,装備品!$1:$998,COLUMN($O$1),FALSE)*VLOOKUP($D304,素材!$1:$1016,COLUMN($E$1),FALSE)/(LEN(VLOOKUP($D304,素材!$1:$1016,COLUMN($F$1),FALSE))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BE304">
        <f>IF(ISNUMBER(SEARCH(SUBSTITUTE(BE$1,RIGHT(BE$1,2),""),VLOOKUP($D304,素材!$1:$1016,COLUMN($F$1),FALSE))),VLOOKUP($C304,装備品!$1:$998,COLUMN($O$1),FALSE)*VLOOKUP($D304,素材!$1:$1016,COLUMN($E$1),FALSE)/(LEN(VLOOKUP($D304,素材!$1:$1016,COLUMN($F$1),FALSE))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CL304">
        <f t="shared" si="41"/>
        <v>0</v>
      </c>
      <c r="CM304" s="22" t="str">
        <f t="shared" si="42"/>
        <v>.webp</v>
      </c>
      <c r="CN304" t="str">
        <f>IFERROR(VLOOKUP($C304,装備品!$1:$998,COLUMN(V$1),FALSE)*VLOOKUP($D304,素材!$1:$1016,COLUMN(N$1),FALSE)+IF(CI304="",0,VLOOKUP($CI304,付与!$1:$1176,COLUMN($CK$1),FALSE)),"")</f>
        <v/>
      </c>
      <c r="CO304" t="e">
        <f>VLOOKUP(D304,素材!$A:$O,COLUMN(素材!O$1),FALSE)</f>
        <v>#N/A</v>
      </c>
      <c r="CP304" t="e">
        <f>VLOOKUP(C304,装備品!$A:$AB,COLUMN(装備品!AB$1),FALSE)</f>
        <v>#N/A</v>
      </c>
      <c r="CR304" t="str">
        <f t="shared" si="43"/>
        <v>e_304</v>
      </c>
      <c r="CS304" t="e">
        <f t="shared" si="44"/>
        <v>#VALUE!</v>
      </c>
    </row>
    <row r="305" spans="1:97" hidden="1" outlineLevel="1" x14ac:dyDescent="0.4">
      <c r="A305" t="str">
        <f t="shared" ref="A305:A336" si="46">IF(CI305="",D305&amp;"の"&amp;C305,CI305&amp;"の"&amp;C305)</f>
        <v>の</v>
      </c>
      <c r="B305" t="str">
        <f>IFERROR(IF(CI305="",VLOOKUP($D305,素材!$1:$1016,COLUMN($B$1),FALSE)&amp;"・"&amp;VLOOKUP($C305,装備品!$1:$998,COLUMN(B$1),FALSE),VLOOKUP($CI305,付与!$1:$1176,COLUMN($B$1),FALSE)&amp;"・"&amp;VLOOKUP($C305,装備品!$1:$998,COLUMN(B$1),FALSE)),"")</f>
        <v/>
      </c>
      <c r="C305" s="24"/>
      <c r="D305" s="24"/>
      <c r="E305" t="str">
        <f>IFERROR(VLOOKUP(C305,装備品!$1:$998,COLUMN(C$1),FALSE),"")</f>
        <v/>
      </c>
      <c r="F305" t="str">
        <f>IFERROR(ROUNDDOWN((VLOOKUP($C305,装備品!$1:$998,COLUMN(D$1),FALSE)+IFERROR(VLOOKUP($CI305,付与!$1:$1167,COLUMN(F$1),FALSE),0))*VLOOKUP($D305,素材!$1:$1016,COLUMN(D$1),FALSE),0),"")</f>
        <v/>
      </c>
      <c r="G305" t="str">
        <f>IFERROR(ROUNDDOWN((VLOOKUP($C305,装備品!$1:$998,COLUMN(E$1),FALSE)+IFERROR(VLOOKUP($CI305,付与!$1:$1167,COLUMN(G$1),FALSE),0))*VLOOKUP($D305,素材!$1:$1016,COLUMN($E$1),FALSE),0),"")</f>
        <v/>
      </c>
      <c r="H305" t="str">
        <f>IFERROR(ROUNDDOWN((VLOOKUP($C305,装備品!$1:$998,COLUMN(F$1),FALSE)+IFERROR(VLOOKUP($CI305,付与!$1:$1167,COLUMN(H$1),FALSE),0))*VLOOKUP($D305,素材!$1:$1016,COLUMN($E$1),FALSE),0),"")</f>
        <v/>
      </c>
      <c r="I305" t="str">
        <f>IFERROR(ROUNDDOWN((VLOOKUP($C305,装備品!$1:$998,COLUMN(G$1),FALSE)+IFERROR(VLOOKUP($CI305,付与!$1:$1167,COLUMN(I$1),FALSE),0))*VLOOKUP($D305,素材!$1:$1016,COLUMN($E$1),FALSE),0),"")</f>
        <v/>
      </c>
      <c r="J305" t="str">
        <f>IFERROR(ROUNDDOWN((VLOOKUP($C305,装備品!$1:$998,COLUMN(H$1),FALSE)+IFERROR(VLOOKUP($CI305,付与!$1:$1167,COLUMN(J$1),FALSE),0))*VLOOKUP($D305,素材!$1:$1016,COLUMN($E$1),FALSE),0),"")</f>
        <v/>
      </c>
      <c r="K305" t="str">
        <f>IFERROR(ROUNDDOWN((VLOOKUP($C305,装備品!$1:$998,COLUMN(I$1),FALSE)+IFERROR(VLOOKUP($CI305,付与!$1:$1167,COLUMN(K$1),FALSE),0))*VLOOKUP($D305,素材!$1:$1016,COLUMN($E$1),FALSE),0),"")</f>
        <v/>
      </c>
      <c r="L305" t="str">
        <f>IFERROR(VLOOKUP($D305,素材!$1:$1016,COLUMN($F$1),FALSE),"")</f>
        <v/>
      </c>
      <c r="M305" t="str">
        <f>IFERROR(VLOOKUP($C305,装備品!$1:$998,COLUMN(AA$1),FALSE)*VLOOKUP($D305,素材!$1:$1016,COLUMN($G$1),FALSE),"")</f>
        <v/>
      </c>
      <c r="N305" t="str">
        <f>IFERROR(VLOOKUP($C305,装備品!$1:$998,COLUMN(I$1),FALSE),"")</f>
        <v/>
      </c>
      <c r="O305" s="23" t="str">
        <f>IFERROR((VLOOKUP($C305,装備品!$1:$998,COLUMN(K$1),FALSE)+VLOOKUP($D305,素材!$1:$1016,COLUMN(H$1),FALSE))*100+IFERROR(VLOOKUP($CI305,付与!$1:$1167,COLUMN(O$1),FALSE),0),"")</f>
        <v/>
      </c>
      <c r="P305" s="23" t="str">
        <f>IFERROR((VLOOKUP($C305,装備品!$1:$998,COLUMN(L$1),FALSE)+VLOOKUP($D305,素材!$1:$1016,COLUMN(I$1),FALSE))*100+IFERROR(VLOOKUP($CI305,付与!$1:$1167,COLUMN(P$1),FALSE),0),"")</f>
        <v/>
      </c>
      <c r="Q305" t="str">
        <f>IFERROR(ROUNDUP(VLOOKUP($C305,装備品!$1:$998,COLUMN(M$1),FALSE)*(VLOOKUP($D305,素材!$1:$1002,COLUMN(D$1),FALSE)/100),1),"")</f>
        <v/>
      </c>
      <c r="R305" t="str">
        <f>IFERROR(ROUNDUP(VLOOKUP($C305,装備品!$1:$998,COLUMN(N$1),FALSE)*(VLOOKUP($D305,素材!$1:$1002,COLUMN(D$1),FALSE)/100),1),"")</f>
        <v/>
      </c>
      <c r="S305" t="str">
        <f>IFERROR(VLOOKUP($C305,装備品!$1:$998,COLUMN(P$1),FALSE),"")</f>
        <v/>
      </c>
      <c r="T305" t="str">
        <f>IFERROR(VLOOKUP($C305,装備品!$1:$998,COLUMN(Q$1),FALSE),"")</f>
        <v/>
      </c>
      <c r="U305" t="str">
        <f>IFERROR(VLOOKUP($C305,装備品!$1:$998,COLUMN(R$1),FALSE),"")</f>
        <v/>
      </c>
      <c r="V305" t="str">
        <f>IFERROR(VLOOKUP($C305,装備品!$1:$998,COLUMN(Q$1),FALSE),"")</f>
        <v/>
      </c>
      <c r="W305" t="str">
        <f>IFERROR(VLOOKUP($C305,装備品!$1:$998,COLUMN(T$1),FALSE),"")</f>
        <v/>
      </c>
      <c r="Y305" t="str">
        <f>IFERROR(VLOOKUP($C305,装備品!$1:$998,COLUMN(U$1),FALSE),"")</f>
        <v/>
      </c>
      <c r="Z305" t="str">
        <f>IFERROR(ROUNDUP(VLOOKUP($C305,装備品!$1:$998,COLUMN(O$1),FALSE)*VLOOKUP($D305,素材!$1:$1016,COLUMN(E$1),FALSE),1),"")</f>
        <v/>
      </c>
      <c r="AA305">
        <f>IF(ISNUMBER(SEARCH(SUBSTITUTE(AA$1,RIGHT(AA$1,2),""),VLOOKUP($D305,素材!$1:$1016,COLUMN($F$1),FALSE))),VLOOKUP($C305,装備品!$1:$998,COLUMN($O$1),FALSE)*VLOOKUP($D305,素材!$1:$1016,COLUMN($E$1),FALSE)/(LEN(VLOOKUP($D305,素材!$1:$1016,COLUMN($F$1),FALSE))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B305">
        <f>IF(ISNUMBER(SEARCH(SUBSTITUTE(AB$1,RIGHT(AB$1,2),""),VLOOKUP($D305,素材!$1:$1016,COLUMN($F$1),FALSE))),VLOOKUP($C305,装備品!$1:$998,COLUMN($O$1),FALSE)*VLOOKUP($D305,素材!$1:$1016,COLUMN($E$1),FALSE)/(LEN(VLOOKUP($D305,素材!$1:$1016,COLUMN($F$1),FALSE))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C305">
        <f>IF(ISNUMBER(SEARCH(SUBSTITUTE(AC$1,RIGHT(AC$1,2),""),VLOOKUP($D305,素材!$1:$1016,COLUMN($F$1),FALSE))),VLOOKUP($C305,装備品!$1:$998,COLUMN($O$1),FALSE)*VLOOKUP($D305,素材!$1:$1016,COLUMN($E$1),FALSE)/(LEN(VLOOKUP($D305,素材!$1:$1016,COLUMN($F$1),FALSE))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D305">
        <f>IF(ISNUMBER(SEARCH(SUBSTITUTE(AD$1,RIGHT(AD$1,2),""),VLOOKUP($D305,素材!$1:$1016,COLUMN($F$1),FALSE))),VLOOKUP($C305,装備品!$1:$998,COLUMN($O$1),FALSE)*VLOOKUP($D305,素材!$1:$1016,COLUMN($E$1),FALSE)/(LEN(VLOOKUP($D305,素材!$1:$1016,COLUMN($F$1),FALSE))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E305">
        <f>IF(ISNUMBER(SEARCH(SUBSTITUTE(AE$1,RIGHT(AE$1,2),""),VLOOKUP($D305,素材!$1:$1016,COLUMN($F$1),FALSE))),VLOOKUP($C305,装備品!$1:$998,COLUMN($O$1),FALSE)*VLOOKUP($D305,素材!$1:$1016,COLUMN($E$1),FALSE)/(LEN(VLOOKUP($D305,素材!$1:$1016,COLUMN($F$1),FALSE))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F305">
        <f>IF(ISNUMBER(SEARCH(SUBSTITUTE(AF$1,RIGHT(AF$1,2),""),VLOOKUP($D305,素材!$1:$1016,COLUMN($F$1),FALSE))),VLOOKUP($C305,装備品!$1:$998,COLUMN($O$1),FALSE)*VLOOKUP($D305,素材!$1:$1016,COLUMN($E$1),FALSE)/(LEN(VLOOKUP($D305,素材!$1:$1016,COLUMN($F$1),FALSE))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G305">
        <f>IF(ISNUMBER(SEARCH(SUBSTITUTE(AG$1,RIGHT(AG$1,2),""),VLOOKUP($D305,素材!$1:$1016,COLUMN($F$1),FALSE))),VLOOKUP($C305,装備品!$1:$998,COLUMN($O$1),FALSE)*VLOOKUP($D305,素材!$1:$1016,COLUMN($E$1),FALSE)/(LEN(VLOOKUP($D305,素材!$1:$1016,COLUMN($F$1),FALSE))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H305">
        <f>IF(ISNUMBER(SEARCH(SUBSTITUTE(AH$1,RIGHT(AH$1,2),""),VLOOKUP($D305,素材!$1:$1016,COLUMN($F$1),FALSE))),VLOOKUP($C305,装備品!$1:$998,COLUMN($O$1),FALSE)*VLOOKUP($D305,素材!$1:$1016,COLUMN($E$1),FALSE)/(LEN(VLOOKUP($D305,素材!$1:$1016,COLUMN($F$1),FALSE))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I305">
        <f>IF(ISNUMBER(SEARCH(SUBSTITUTE(AI$1,RIGHT(AI$1,2),""),VLOOKUP($D305,素材!$1:$1016,COLUMN($F$1),FALSE))),VLOOKUP($C305,装備品!$1:$998,COLUMN($O$1),FALSE)*VLOOKUP($D305,素材!$1:$1016,COLUMN($E$1),FALSE)/(LEN(VLOOKUP($D305,素材!$1:$1016,COLUMN($F$1),FALSE))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J305">
        <f>IF(ISNUMBER(SEARCH(SUBSTITUTE(AJ$1,RIGHT(AJ$1,2),""),VLOOKUP($D305,素材!$1:$1016,COLUMN($F$1),FALSE))),VLOOKUP($C305,装備品!$1:$998,COLUMN($O$1),FALSE)*VLOOKUP($D305,素材!$1:$1016,COLUMN($E$1),FALSE)/(LEN(VLOOKUP($D305,素材!$1:$1016,COLUMN($F$1),FALSE))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K305">
        <f>IF(ISNUMBER(SEARCH(SUBSTITUTE(AK$1,RIGHT(AK$1,2),""),VLOOKUP($D305,素材!$1:$1016,COLUMN($F$1),FALSE))),VLOOKUP($C305,装備品!$1:$998,COLUMN($O$1),FALSE)*VLOOKUP($D305,素材!$1:$1016,COLUMN($E$1),FALSE)/(LEN(VLOOKUP($D305,素材!$1:$1016,COLUMN($F$1),FALSE))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L305">
        <f>IF(ISNUMBER(SEARCH(SUBSTITUTE(AL$1,RIGHT(AL$1,2),""),VLOOKUP($D305,素材!$1:$1016,COLUMN($F$1),FALSE))),VLOOKUP($C305,装備品!$1:$998,COLUMN($O$1),FALSE)*VLOOKUP($D305,素材!$1:$1016,COLUMN($E$1),FALSE)/(LEN(VLOOKUP($D305,素材!$1:$1016,COLUMN($F$1),FALSE))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M305">
        <f>IF(ISNUMBER(SEARCH(SUBSTITUTE(AM$1,RIGHT(AM$1,2),""),VLOOKUP($D305,素材!$1:$1016,COLUMN($F$1),FALSE))),VLOOKUP($C305,装備品!$1:$998,COLUMN($O$1),FALSE)*VLOOKUP($D305,素材!$1:$1016,COLUMN($E$1),FALSE)/(LEN(VLOOKUP($D305,素材!$1:$1016,COLUMN($F$1),FALSE))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N305">
        <f>IF(ISNUMBER(SEARCH(SUBSTITUTE(AN$1,RIGHT(AN$1,2),""),VLOOKUP($D305,素材!$1:$1016,COLUMN($F$1),FALSE))),VLOOKUP($C305,装備品!$1:$998,COLUMN($O$1),FALSE)*VLOOKUP($D305,素材!$1:$1016,COLUMN($E$1),FALSE)/(LEN(VLOOKUP($D305,素材!$1:$1016,COLUMN($F$1),FALSE))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O305">
        <f>IF(ISNUMBER(SEARCH(SUBSTITUTE(AO$1,RIGHT(AO$1,2),""),VLOOKUP($D305,素材!$1:$1016,COLUMN($F$1),FALSE))),VLOOKUP($C305,装備品!$1:$998,COLUMN($O$1),FALSE)*VLOOKUP($D305,素材!$1:$1016,COLUMN($E$1),FALSE)/(LEN(VLOOKUP($D305,素材!$1:$1016,COLUMN($F$1),FALSE))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P305">
        <f>IF(ISNUMBER(SEARCH(SUBSTITUTE(AP$1,RIGHT(AP$1,2),""),VLOOKUP($D305,素材!$1:$1016,COLUMN($F$1),FALSE))),VLOOKUP($C305,装備品!$1:$998,COLUMN($O$1),FALSE)*VLOOKUP($D305,素材!$1:$1016,COLUMN($E$1),FALSE)/(LEN(VLOOKUP($D305,素材!$1:$1016,COLUMN($F$1),FALSE))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Q305">
        <f>IF(ISNUMBER(SEARCH(SUBSTITUTE(AQ$1,RIGHT(AQ$1,2),""),VLOOKUP($D305,素材!$1:$1016,COLUMN($F$1),FALSE))),VLOOKUP($C305,装備品!$1:$998,COLUMN($O$1),FALSE)*VLOOKUP($D305,素材!$1:$1016,COLUMN($E$1),FALSE)/(LEN(VLOOKUP($D305,素材!$1:$1016,COLUMN($F$1),FALSE))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R305">
        <f>IF(ISNUMBER(SEARCH(SUBSTITUTE(AR$1,RIGHT(AR$1,2),""),VLOOKUP($D305,素材!$1:$1016,COLUMN($F$1),FALSE))),VLOOKUP($C305,装備品!$1:$998,COLUMN($O$1),FALSE)*VLOOKUP($D305,素材!$1:$1016,COLUMN($E$1),FALSE)/(LEN(VLOOKUP($D305,素材!$1:$1016,COLUMN($F$1),FALSE))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S305">
        <f>IF(ISNUMBER(SEARCH(SUBSTITUTE(AS$1,RIGHT(AS$1,2),""),VLOOKUP($D305,素材!$1:$1016,COLUMN($F$1),FALSE))),VLOOKUP($C305,装備品!$1:$998,COLUMN($O$1),FALSE)*VLOOKUP($D305,素材!$1:$1016,COLUMN($E$1),FALSE)/(LEN(VLOOKUP($D305,素材!$1:$1016,COLUMN($F$1),FALSE))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T305">
        <f>IF(ISNUMBER(SEARCH(SUBSTITUTE(AT$1,RIGHT(AT$1,2),""),VLOOKUP($D305,素材!$1:$1016,COLUMN($F$1),FALSE))),VLOOKUP($C305,装備品!$1:$998,COLUMN($O$1),FALSE)*VLOOKUP($D305,素材!$1:$1016,COLUMN($E$1),FALSE)/(LEN(VLOOKUP($D305,素材!$1:$1016,COLUMN($F$1),FALSE))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U305">
        <f>IF(ISNUMBER(SEARCH(SUBSTITUTE(AU$1,RIGHT(AU$1,2),""),VLOOKUP($D305,素材!$1:$1016,COLUMN($F$1),FALSE))),VLOOKUP($C305,装備品!$1:$998,COLUMN($O$1),FALSE)*VLOOKUP($D305,素材!$1:$1016,COLUMN($E$1),FALSE)/(LEN(VLOOKUP($D305,素材!$1:$1016,COLUMN($F$1),FALSE))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V305">
        <f>IF(ISNUMBER(SEARCH(SUBSTITUTE(AV$1,RIGHT(AV$1,2),""),VLOOKUP($D305,素材!$1:$1016,COLUMN($F$1),FALSE))),VLOOKUP($C305,装備品!$1:$998,COLUMN($O$1),FALSE)*VLOOKUP($D305,素材!$1:$1016,COLUMN($E$1),FALSE)/(LEN(VLOOKUP($D305,素材!$1:$1016,COLUMN($F$1),FALSE))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W305">
        <f>IF(ISNUMBER(SEARCH(SUBSTITUTE(AW$1,RIGHT(AW$1,2),""),VLOOKUP($D305,素材!$1:$1016,COLUMN($F$1),FALSE))),VLOOKUP($C305,装備品!$1:$998,COLUMN($O$1),FALSE)*VLOOKUP($D305,素材!$1:$1016,COLUMN($E$1),FALSE)/(LEN(VLOOKUP($D305,素材!$1:$1016,COLUMN($F$1),FALSE))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X305">
        <f>IF(ISNUMBER(SEARCH(SUBSTITUTE(AX$1,RIGHT(AX$1,2),""),VLOOKUP($D305,素材!$1:$1016,COLUMN($F$1),FALSE))),VLOOKUP($C305,装備品!$1:$998,COLUMN($O$1),FALSE)*VLOOKUP($D305,素材!$1:$1016,COLUMN($E$1),FALSE)/(LEN(VLOOKUP($D305,素材!$1:$1016,COLUMN($F$1),FALSE))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Y305">
        <f>IF(ISNUMBER(SEARCH(SUBSTITUTE(AY$1,RIGHT(AY$1,2),""),VLOOKUP($D305,素材!$1:$1016,COLUMN($F$1),FALSE))),VLOOKUP($C305,装備品!$1:$998,COLUMN($O$1),FALSE)*VLOOKUP($D305,素材!$1:$1016,COLUMN($E$1),FALSE)/(LEN(VLOOKUP($D305,素材!$1:$1016,COLUMN($F$1),FALSE))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Z305">
        <f>IF(ISNUMBER(SEARCH(SUBSTITUTE(AZ$1,RIGHT(AZ$1,2),""),VLOOKUP($D305,素材!$1:$1016,COLUMN($F$1),FALSE))),VLOOKUP($C305,装備品!$1:$998,COLUMN($O$1),FALSE)*VLOOKUP($D305,素材!$1:$1016,COLUMN($E$1),FALSE)/(LEN(VLOOKUP($D305,素材!$1:$1016,COLUMN($F$1),FALSE))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BA305">
        <f>IF(ISNUMBER(SEARCH(SUBSTITUTE(BA$1,RIGHT(BA$1,2),""),VLOOKUP($D305,素材!$1:$1016,COLUMN($F$1),FALSE))),VLOOKUP($C305,装備品!$1:$998,COLUMN($O$1),FALSE)*VLOOKUP($D305,素材!$1:$1016,COLUMN($E$1),FALSE)/(LEN(VLOOKUP($D305,素材!$1:$1016,COLUMN($F$1),FALSE))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BB305">
        <f>IF(ISNUMBER(SEARCH(SUBSTITUTE(BB$1,RIGHT(BB$1,2),""),VLOOKUP($D305,素材!$1:$1016,COLUMN($F$1),FALSE))),VLOOKUP($C305,装備品!$1:$998,COLUMN($O$1),FALSE)*VLOOKUP($D305,素材!$1:$1016,COLUMN($E$1),FALSE)/(LEN(VLOOKUP($D305,素材!$1:$1016,COLUMN($F$1),FALSE))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BC305">
        <f>IF(ISNUMBER(SEARCH(SUBSTITUTE(BC$1,RIGHT(BC$1,2),""),VLOOKUP($D305,素材!$1:$1016,COLUMN($F$1),FALSE))),VLOOKUP($C305,装備品!$1:$998,COLUMN($O$1),FALSE)*VLOOKUP($D305,素材!$1:$1016,COLUMN($E$1),FALSE)/(LEN(VLOOKUP($D305,素材!$1:$1016,COLUMN($F$1),FALSE))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BD305">
        <f>IF(ISNUMBER(SEARCH(SUBSTITUTE(BD$1,RIGHT(BD$1,2),""),VLOOKUP($D305,素材!$1:$1016,COLUMN($F$1),FALSE))),VLOOKUP($C305,装備品!$1:$998,COLUMN($O$1),FALSE)*VLOOKUP($D305,素材!$1:$1016,COLUMN($E$1),FALSE)/(LEN(VLOOKUP($D305,素材!$1:$1016,COLUMN($F$1),FALSE))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BE305">
        <f>IF(ISNUMBER(SEARCH(SUBSTITUTE(BE$1,RIGHT(BE$1,2),""),VLOOKUP($D305,素材!$1:$1016,COLUMN($F$1),FALSE))),VLOOKUP($C305,装備品!$1:$998,COLUMN($O$1),FALSE)*VLOOKUP($D305,素材!$1:$1016,COLUMN($E$1),FALSE)/(LEN(VLOOKUP($D305,素材!$1:$1016,COLUMN($F$1),FALSE))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CL305">
        <f t="shared" si="41"/>
        <v>0</v>
      </c>
      <c r="CM305" s="22" t="str">
        <f t="shared" si="42"/>
        <v>.webp</v>
      </c>
      <c r="CN305" t="str">
        <f>IFERROR(VLOOKUP($C305,装備品!$1:$998,COLUMN(V$1),FALSE)*VLOOKUP($D305,素材!$1:$1016,COLUMN(N$1),FALSE)+IF(CI305="",0,VLOOKUP($CI305,付与!$1:$1176,COLUMN($CK$1),FALSE)),"")</f>
        <v/>
      </c>
      <c r="CO305" t="e">
        <f>VLOOKUP(D305,素材!$A:$O,COLUMN(素材!O$1),FALSE)</f>
        <v>#N/A</v>
      </c>
      <c r="CP305" t="e">
        <f>VLOOKUP(C305,装備品!$A:$AB,COLUMN(装備品!AB$1),FALSE)</f>
        <v>#N/A</v>
      </c>
      <c r="CR305" t="str">
        <f t="shared" si="43"/>
        <v>e_305</v>
      </c>
      <c r="CS305" t="e">
        <f t="shared" si="44"/>
        <v>#VALUE!</v>
      </c>
    </row>
    <row r="306" spans="1:97" hidden="1" outlineLevel="1" x14ac:dyDescent="0.4">
      <c r="A306" t="str">
        <f t="shared" si="46"/>
        <v>の</v>
      </c>
      <c r="B306" t="str">
        <f>IFERROR(IF(CI306="",VLOOKUP($D306,素材!$1:$1016,COLUMN($B$1),FALSE)&amp;"・"&amp;VLOOKUP($C306,装備品!$1:$998,COLUMN(B$1),FALSE),VLOOKUP($CI306,付与!$1:$1176,COLUMN($B$1),FALSE)&amp;"・"&amp;VLOOKUP($C306,装備品!$1:$998,COLUMN(B$1),FALSE)),"")</f>
        <v/>
      </c>
      <c r="C306" s="24"/>
      <c r="D306" s="24"/>
      <c r="E306" t="str">
        <f>IFERROR(VLOOKUP(C306,装備品!$1:$998,COLUMN(C$1),FALSE),"")</f>
        <v/>
      </c>
      <c r="F306" t="str">
        <f>IFERROR(ROUNDDOWN((VLOOKUP($C306,装備品!$1:$998,COLUMN(D$1),FALSE)+IFERROR(VLOOKUP($CI306,付与!$1:$1167,COLUMN(F$1),FALSE),0))*VLOOKUP($D306,素材!$1:$1016,COLUMN(D$1),FALSE),0),"")</f>
        <v/>
      </c>
      <c r="G306" t="str">
        <f>IFERROR(ROUNDDOWN((VLOOKUP($C306,装備品!$1:$998,COLUMN(E$1),FALSE)+IFERROR(VLOOKUP($CI306,付与!$1:$1167,COLUMN(G$1),FALSE),0))*VLOOKUP($D306,素材!$1:$1016,COLUMN($E$1),FALSE),0),"")</f>
        <v/>
      </c>
      <c r="H306" t="str">
        <f>IFERROR(ROUNDDOWN((VLOOKUP($C306,装備品!$1:$998,COLUMN(F$1),FALSE)+IFERROR(VLOOKUP($CI306,付与!$1:$1167,COLUMN(H$1),FALSE),0))*VLOOKUP($D306,素材!$1:$1016,COLUMN($E$1),FALSE),0),"")</f>
        <v/>
      </c>
      <c r="I306" t="str">
        <f>IFERROR(ROUNDDOWN((VLOOKUP($C306,装備品!$1:$998,COLUMN(G$1),FALSE)+IFERROR(VLOOKUP($CI306,付与!$1:$1167,COLUMN(I$1),FALSE),0))*VLOOKUP($D306,素材!$1:$1016,COLUMN($E$1),FALSE),0),"")</f>
        <v/>
      </c>
      <c r="J306" t="str">
        <f>IFERROR(ROUNDDOWN((VLOOKUP($C306,装備品!$1:$998,COLUMN(H$1),FALSE)+IFERROR(VLOOKUP($CI306,付与!$1:$1167,COLUMN(J$1),FALSE),0))*VLOOKUP($D306,素材!$1:$1016,COLUMN($E$1),FALSE),0),"")</f>
        <v/>
      </c>
      <c r="K306" t="str">
        <f>IFERROR(ROUNDDOWN((VLOOKUP($C306,装備品!$1:$998,COLUMN(I$1),FALSE)+IFERROR(VLOOKUP($CI306,付与!$1:$1167,COLUMN(K$1),FALSE),0))*VLOOKUP($D306,素材!$1:$1016,COLUMN($E$1),FALSE),0),"")</f>
        <v/>
      </c>
      <c r="L306" t="str">
        <f>IFERROR(VLOOKUP($D306,素材!$1:$1016,COLUMN($F$1),FALSE),"")</f>
        <v/>
      </c>
      <c r="M306" t="str">
        <f>IFERROR(VLOOKUP($C306,装備品!$1:$998,COLUMN(AA$1),FALSE)*VLOOKUP($D306,素材!$1:$1016,COLUMN($G$1),FALSE),"")</f>
        <v/>
      </c>
      <c r="N306" t="str">
        <f>IFERROR(VLOOKUP($C306,装備品!$1:$998,COLUMN(I$1),FALSE),"")</f>
        <v/>
      </c>
      <c r="O306" s="23" t="str">
        <f>IFERROR((VLOOKUP($C306,装備品!$1:$998,COLUMN(K$1),FALSE)+VLOOKUP($D306,素材!$1:$1016,COLUMN(H$1),FALSE))*100+IFERROR(VLOOKUP($CI306,付与!$1:$1167,COLUMN(O$1),FALSE),0),"")</f>
        <v/>
      </c>
      <c r="P306" s="23" t="str">
        <f>IFERROR((VLOOKUP($C306,装備品!$1:$998,COLUMN(L$1),FALSE)+VLOOKUP($D306,素材!$1:$1016,COLUMN(I$1),FALSE))*100+IFERROR(VLOOKUP($CI306,付与!$1:$1167,COLUMN(P$1),FALSE),0),"")</f>
        <v/>
      </c>
      <c r="Q306" t="str">
        <f>IFERROR(ROUNDUP(VLOOKUP($C306,装備品!$1:$998,COLUMN(M$1),FALSE)*(VLOOKUP($D306,素材!$1:$1002,COLUMN(D$1),FALSE)/100),1),"")</f>
        <v/>
      </c>
      <c r="R306" t="str">
        <f>IFERROR(ROUNDUP(VLOOKUP($C306,装備品!$1:$998,COLUMN(N$1),FALSE)*(VLOOKUP($D306,素材!$1:$1002,COLUMN(D$1),FALSE)/100),1),"")</f>
        <v/>
      </c>
      <c r="S306" t="str">
        <f>IFERROR(VLOOKUP($C306,装備品!$1:$998,COLUMN(P$1),FALSE),"")</f>
        <v/>
      </c>
      <c r="T306" t="str">
        <f>IFERROR(VLOOKUP($C306,装備品!$1:$998,COLUMN(Q$1),FALSE),"")</f>
        <v/>
      </c>
      <c r="U306" t="str">
        <f>IFERROR(VLOOKUP($C306,装備品!$1:$998,COLUMN(R$1),FALSE),"")</f>
        <v/>
      </c>
      <c r="V306" t="str">
        <f>IFERROR(VLOOKUP($C306,装備品!$1:$998,COLUMN(Q$1),FALSE),"")</f>
        <v/>
      </c>
      <c r="W306" t="str">
        <f>IFERROR(VLOOKUP($C306,装備品!$1:$998,COLUMN(T$1),FALSE),"")</f>
        <v/>
      </c>
      <c r="Y306" t="str">
        <f>IFERROR(VLOOKUP($C306,装備品!$1:$998,COLUMN(U$1),FALSE),"")</f>
        <v/>
      </c>
      <c r="Z306" t="str">
        <f>IFERROR(ROUNDUP(VLOOKUP($C306,装備品!$1:$998,COLUMN(O$1),FALSE)*VLOOKUP($D306,素材!$1:$1016,COLUMN(E$1),FALSE),1),"")</f>
        <v/>
      </c>
      <c r="AA306">
        <f>IF(ISNUMBER(SEARCH(SUBSTITUTE(AA$1,RIGHT(AA$1,2),""),VLOOKUP($D306,素材!$1:$1016,COLUMN($F$1),FALSE))),VLOOKUP($C306,装備品!$1:$998,COLUMN($O$1),FALSE)*VLOOKUP($D306,素材!$1:$1016,COLUMN($E$1),FALSE)/(LEN(VLOOKUP($D306,素材!$1:$1016,COLUMN($F$1),FALSE))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B306">
        <f>IF(ISNUMBER(SEARCH(SUBSTITUTE(AB$1,RIGHT(AB$1,2),""),VLOOKUP($D306,素材!$1:$1016,COLUMN($F$1),FALSE))),VLOOKUP($C306,装備品!$1:$998,COLUMN($O$1),FALSE)*VLOOKUP($D306,素材!$1:$1016,COLUMN($E$1),FALSE)/(LEN(VLOOKUP($D306,素材!$1:$1016,COLUMN($F$1),FALSE))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C306">
        <f>IF(ISNUMBER(SEARCH(SUBSTITUTE(AC$1,RIGHT(AC$1,2),""),VLOOKUP($D306,素材!$1:$1016,COLUMN($F$1),FALSE))),VLOOKUP($C306,装備品!$1:$998,COLUMN($O$1),FALSE)*VLOOKUP($D306,素材!$1:$1016,COLUMN($E$1),FALSE)/(LEN(VLOOKUP($D306,素材!$1:$1016,COLUMN($F$1),FALSE))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D306">
        <f>IF(ISNUMBER(SEARCH(SUBSTITUTE(AD$1,RIGHT(AD$1,2),""),VLOOKUP($D306,素材!$1:$1016,COLUMN($F$1),FALSE))),VLOOKUP($C306,装備品!$1:$998,COLUMN($O$1),FALSE)*VLOOKUP($D306,素材!$1:$1016,COLUMN($E$1),FALSE)/(LEN(VLOOKUP($D306,素材!$1:$1016,COLUMN($F$1),FALSE))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E306">
        <f>IF(ISNUMBER(SEARCH(SUBSTITUTE(AE$1,RIGHT(AE$1,2),""),VLOOKUP($D306,素材!$1:$1016,COLUMN($F$1),FALSE))),VLOOKUP($C306,装備品!$1:$998,COLUMN($O$1),FALSE)*VLOOKUP($D306,素材!$1:$1016,COLUMN($E$1),FALSE)/(LEN(VLOOKUP($D306,素材!$1:$1016,COLUMN($F$1),FALSE))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F306">
        <f>IF(ISNUMBER(SEARCH(SUBSTITUTE(AF$1,RIGHT(AF$1,2),""),VLOOKUP($D306,素材!$1:$1016,COLUMN($F$1),FALSE))),VLOOKUP($C306,装備品!$1:$998,COLUMN($O$1),FALSE)*VLOOKUP($D306,素材!$1:$1016,COLUMN($E$1),FALSE)/(LEN(VLOOKUP($D306,素材!$1:$1016,COLUMN($F$1),FALSE))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G306">
        <f>IF(ISNUMBER(SEARCH(SUBSTITUTE(AG$1,RIGHT(AG$1,2),""),VLOOKUP($D306,素材!$1:$1016,COLUMN($F$1),FALSE))),VLOOKUP($C306,装備品!$1:$998,COLUMN($O$1),FALSE)*VLOOKUP($D306,素材!$1:$1016,COLUMN($E$1),FALSE)/(LEN(VLOOKUP($D306,素材!$1:$1016,COLUMN($F$1),FALSE))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H306">
        <f>IF(ISNUMBER(SEARCH(SUBSTITUTE(AH$1,RIGHT(AH$1,2),""),VLOOKUP($D306,素材!$1:$1016,COLUMN($F$1),FALSE))),VLOOKUP($C306,装備品!$1:$998,COLUMN($O$1),FALSE)*VLOOKUP($D306,素材!$1:$1016,COLUMN($E$1),FALSE)/(LEN(VLOOKUP($D306,素材!$1:$1016,COLUMN($F$1),FALSE))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I306">
        <f>IF(ISNUMBER(SEARCH(SUBSTITUTE(AI$1,RIGHT(AI$1,2),""),VLOOKUP($D306,素材!$1:$1016,COLUMN($F$1),FALSE))),VLOOKUP($C306,装備品!$1:$998,COLUMN($O$1),FALSE)*VLOOKUP($D306,素材!$1:$1016,COLUMN($E$1),FALSE)/(LEN(VLOOKUP($D306,素材!$1:$1016,COLUMN($F$1),FALSE))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J306">
        <f>IF(ISNUMBER(SEARCH(SUBSTITUTE(AJ$1,RIGHT(AJ$1,2),""),VLOOKUP($D306,素材!$1:$1016,COLUMN($F$1),FALSE))),VLOOKUP($C306,装備品!$1:$998,COLUMN($O$1),FALSE)*VLOOKUP($D306,素材!$1:$1016,COLUMN($E$1),FALSE)/(LEN(VLOOKUP($D306,素材!$1:$1016,COLUMN($F$1),FALSE))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K306">
        <f>IF(ISNUMBER(SEARCH(SUBSTITUTE(AK$1,RIGHT(AK$1,2),""),VLOOKUP($D306,素材!$1:$1016,COLUMN($F$1),FALSE))),VLOOKUP($C306,装備品!$1:$998,COLUMN($O$1),FALSE)*VLOOKUP($D306,素材!$1:$1016,COLUMN($E$1),FALSE)/(LEN(VLOOKUP($D306,素材!$1:$1016,COLUMN($F$1),FALSE))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L306">
        <f>IF(ISNUMBER(SEARCH(SUBSTITUTE(AL$1,RIGHT(AL$1,2),""),VLOOKUP($D306,素材!$1:$1016,COLUMN($F$1),FALSE))),VLOOKUP($C306,装備品!$1:$998,COLUMN($O$1),FALSE)*VLOOKUP($D306,素材!$1:$1016,COLUMN($E$1),FALSE)/(LEN(VLOOKUP($D306,素材!$1:$1016,COLUMN($F$1),FALSE))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M306">
        <f>IF(ISNUMBER(SEARCH(SUBSTITUTE(AM$1,RIGHT(AM$1,2),""),VLOOKUP($D306,素材!$1:$1016,COLUMN($F$1),FALSE))),VLOOKUP($C306,装備品!$1:$998,COLUMN($O$1),FALSE)*VLOOKUP($D306,素材!$1:$1016,COLUMN($E$1),FALSE)/(LEN(VLOOKUP($D306,素材!$1:$1016,COLUMN($F$1),FALSE))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N306">
        <f>IF(ISNUMBER(SEARCH(SUBSTITUTE(AN$1,RIGHT(AN$1,2),""),VLOOKUP($D306,素材!$1:$1016,COLUMN($F$1),FALSE))),VLOOKUP($C306,装備品!$1:$998,COLUMN($O$1),FALSE)*VLOOKUP($D306,素材!$1:$1016,COLUMN($E$1),FALSE)/(LEN(VLOOKUP($D306,素材!$1:$1016,COLUMN($F$1),FALSE))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O306">
        <f>IF(ISNUMBER(SEARCH(SUBSTITUTE(AO$1,RIGHT(AO$1,2),""),VLOOKUP($D306,素材!$1:$1016,COLUMN($F$1),FALSE))),VLOOKUP($C306,装備品!$1:$998,COLUMN($O$1),FALSE)*VLOOKUP($D306,素材!$1:$1016,COLUMN($E$1),FALSE)/(LEN(VLOOKUP($D306,素材!$1:$1016,COLUMN($F$1),FALSE))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P306">
        <f>IF(ISNUMBER(SEARCH(SUBSTITUTE(AP$1,RIGHT(AP$1,2),""),VLOOKUP($D306,素材!$1:$1016,COLUMN($F$1),FALSE))),VLOOKUP($C306,装備品!$1:$998,COLUMN($O$1),FALSE)*VLOOKUP($D306,素材!$1:$1016,COLUMN($E$1),FALSE)/(LEN(VLOOKUP($D306,素材!$1:$1016,COLUMN($F$1),FALSE))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Q306">
        <f>IF(ISNUMBER(SEARCH(SUBSTITUTE(AQ$1,RIGHT(AQ$1,2),""),VLOOKUP($D306,素材!$1:$1016,COLUMN($F$1),FALSE))),VLOOKUP($C306,装備品!$1:$998,COLUMN($O$1),FALSE)*VLOOKUP($D306,素材!$1:$1016,COLUMN($E$1),FALSE)/(LEN(VLOOKUP($D306,素材!$1:$1016,COLUMN($F$1),FALSE))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R306">
        <f>IF(ISNUMBER(SEARCH(SUBSTITUTE(AR$1,RIGHT(AR$1,2),""),VLOOKUP($D306,素材!$1:$1016,COLUMN($F$1),FALSE))),VLOOKUP($C306,装備品!$1:$998,COLUMN($O$1),FALSE)*VLOOKUP($D306,素材!$1:$1016,COLUMN($E$1),FALSE)/(LEN(VLOOKUP($D306,素材!$1:$1016,COLUMN($F$1),FALSE))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S306">
        <f>IF(ISNUMBER(SEARCH(SUBSTITUTE(AS$1,RIGHT(AS$1,2),""),VLOOKUP($D306,素材!$1:$1016,COLUMN($F$1),FALSE))),VLOOKUP($C306,装備品!$1:$998,COLUMN($O$1),FALSE)*VLOOKUP($D306,素材!$1:$1016,COLUMN($E$1),FALSE)/(LEN(VLOOKUP($D306,素材!$1:$1016,COLUMN($F$1),FALSE))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T306">
        <f>IF(ISNUMBER(SEARCH(SUBSTITUTE(AT$1,RIGHT(AT$1,2),""),VLOOKUP($D306,素材!$1:$1016,COLUMN($F$1),FALSE))),VLOOKUP($C306,装備品!$1:$998,COLUMN($O$1),FALSE)*VLOOKUP($D306,素材!$1:$1016,COLUMN($E$1),FALSE)/(LEN(VLOOKUP($D306,素材!$1:$1016,COLUMN($F$1),FALSE))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U306">
        <f>IF(ISNUMBER(SEARCH(SUBSTITUTE(AU$1,RIGHT(AU$1,2),""),VLOOKUP($D306,素材!$1:$1016,COLUMN($F$1),FALSE))),VLOOKUP($C306,装備品!$1:$998,COLUMN($O$1),FALSE)*VLOOKUP($D306,素材!$1:$1016,COLUMN($E$1),FALSE)/(LEN(VLOOKUP($D306,素材!$1:$1016,COLUMN($F$1),FALSE))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V306">
        <f>IF(ISNUMBER(SEARCH(SUBSTITUTE(AV$1,RIGHT(AV$1,2),""),VLOOKUP($D306,素材!$1:$1016,COLUMN($F$1),FALSE))),VLOOKUP($C306,装備品!$1:$998,COLUMN($O$1),FALSE)*VLOOKUP($D306,素材!$1:$1016,COLUMN($E$1),FALSE)/(LEN(VLOOKUP($D306,素材!$1:$1016,COLUMN($F$1),FALSE))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W306">
        <f>IF(ISNUMBER(SEARCH(SUBSTITUTE(AW$1,RIGHT(AW$1,2),""),VLOOKUP($D306,素材!$1:$1016,COLUMN($F$1),FALSE))),VLOOKUP($C306,装備品!$1:$998,COLUMN($O$1),FALSE)*VLOOKUP($D306,素材!$1:$1016,COLUMN($E$1),FALSE)/(LEN(VLOOKUP($D306,素材!$1:$1016,COLUMN($F$1),FALSE))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X306">
        <f>IF(ISNUMBER(SEARCH(SUBSTITUTE(AX$1,RIGHT(AX$1,2),""),VLOOKUP($D306,素材!$1:$1016,COLUMN($F$1),FALSE))),VLOOKUP($C306,装備品!$1:$998,COLUMN($O$1),FALSE)*VLOOKUP($D306,素材!$1:$1016,COLUMN($E$1),FALSE)/(LEN(VLOOKUP($D306,素材!$1:$1016,COLUMN($F$1),FALSE))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Y306">
        <f>IF(ISNUMBER(SEARCH(SUBSTITUTE(AY$1,RIGHT(AY$1,2),""),VLOOKUP($D306,素材!$1:$1016,COLUMN($F$1),FALSE))),VLOOKUP($C306,装備品!$1:$998,COLUMN($O$1),FALSE)*VLOOKUP($D306,素材!$1:$1016,COLUMN($E$1),FALSE)/(LEN(VLOOKUP($D306,素材!$1:$1016,COLUMN($F$1),FALSE))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Z306">
        <f>IF(ISNUMBER(SEARCH(SUBSTITUTE(AZ$1,RIGHT(AZ$1,2),""),VLOOKUP($D306,素材!$1:$1016,COLUMN($F$1),FALSE))),VLOOKUP($C306,装備品!$1:$998,COLUMN($O$1),FALSE)*VLOOKUP($D306,素材!$1:$1016,COLUMN($E$1),FALSE)/(LEN(VLOOKUP($D306,素材!$1:$1016,COLUMN($F$1),FALSE))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BA306">
        <f>IF(ISNUMBER(SEARCH(SUBSTITUTE(BA$1,RIGHT(BA$1,2),""),VLOOKUP($D306,素材!$1:$1016,COLUMN($F$1),FALSE))),VLOOKUP($C306,装備品!$1:$998,COLUMN($O$1),FALSE)*VLOOKUP($D306,素材!$1:$1016,COLUMN($E$1),FALSE)/(LEN(VLOOKUP($D306,素材!$1:$1016,COLUMN($F$1),FALSE))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BB306">
        <f>IF(ISNUMBER(SEARCH(SUBSTITUTE(BB$1,RIGHT(BB$1,2),""),VLOOKUP($D306,素材!$1:$1016,COLUMN($F$1),FALSE))),VLOOKUP($C306,装備品!$1:$998,COLUMN($O$1),FALSE)*VLOOKUP($D306,素材!$1:$1016,COLUMN($E$1),FALSE)/(LEN(VLOOKUP($D306,素材!$1:$1016,COLUMN($F$1),FALSE))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BC306">
        <f>IF(ISNUMBER(SEARCH(SUBSTITUTE(BC$1,RIGHT(BC$1,2),""),VLOOKUP($D306,素材!$1:$1016,COLUMN($F$1),FALSE))),VLOOKUP($C306,装備品!$1:$998,COLUMN($O$1),FALSE)*VLOOKUP($D306,素材!$1:$1016,COLUMN($E$1),FALSE)/(LEN(VLOOKUP($D306,素材!$1:$1016,COLUMN($F$1),FALSE))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BD306">
        <f>IF(ISNUMBER(SEARCH(SUBSTITUTE(BD$1,RIGHT(BD$1,2),""),VLOOKUP($D306,素材!$1:$1016,COLUMN($F$1),FALSE))),VLOOKUP($C306,装備品!$1:$998,COLUMN($O$1),FALSE)*VLOOKUP($D306,素材!$1:$1016,COLUMN($E$1),FALSE)/(LEN(VLOOKUP($D306,素材!$1:$1016,COLUMN($F$1),FALSE))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BE306">
        <f>IF(ISNUMBER(SEARCH(SUBSTITUTE(BE$1,RIGHT(BE$1,2),""),VLOOKUP($D306,素材!$1:$1016,COLUMN($F$1),FALSE))),VLOOKUP($C306,装備品!$1:$998,COLUMN($O$1),FALSE)*VLOOKUP($D306,素材!$1:$1016,COLUMN($E$1),FALSE)/(LEN(VLOOKUP($D306,素材!$1:$1016,COLUMN($F$1),FALSE))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CL306">
        <f t="shared" si="41"/>
        <v>0</v>
      </c>
      <c r="CM306" s="22" t="str">
        <f t="shared" si="42"/>
        <v>.webp</v>
      </c>
      <c r="CN306" t="str">
        <f>IFERROR(VLOOKUP($C306,装備品!$1:$998,COLUMN(V$1),FALSE)*VLOOKUP($D306,素材!$1:$1016,COLUMN(N$1),FALSE)+IF(CI306="",0,VLOOKUP($CI306,付与!$1:$1176,COLUMN($CK$1),FALSE)),"")</f>
        <v/>
      </c>
      <c r="CO306" t="e">
        <f>VLOOKUP(D306,素材!$A:$O,COLUMN(素材!O$1),FALSE)</f>
        <v>#N/A</v>
      </c>
      <c r="CP306" t="e">
        <f>VLOOKUP(C306,装備品!$A:$AB,COLUMN(装備品!AB$1),FALSE)</f>
        <v>#N/A</v>
      </c>
      <c r="CR306" t="str">
        <f t="shared" si="43"/>
        <v>e_306</v>
      </c>
      <c r="CS306" t="e">
        <f t="shared" si="44"/>
        <v>#VALUE!</v>
      </c>
    </row>
    <row r="307" spans="1:97" hidden="1" outlineLevel="1" x14ac:dyDescent="0.4">
      <c r="A307" t="str">
        <f t="shared" si="46"/>
        <v>の</v>
      </c>
      <c r="B307" t="str">
        <f>IFERROR(IF(CI307="",VLOOKUP($D307,素材!$1:$1016,COLUMN($B$1),FALSE)&amp;"・"&amp;VLOOKUP($C307,装備品!$1:$998,COLUMN(B$1),FALSE),VLOOKUP($CI307,付与!$1:$1176,COLUMN($B$1),FALSE)&amp;"・"&amp;VLOOKUP($C307,装備品!$1:$998,COLUMN(B$1),FALSE)),"")</f>
        <v/>
      </c>
      <c r="C307" s="24"/>
      <c r="D307" s="24"/>
      <c r="E307" t="str">
        <f>IFERROR(VLOOKUP(C307,装備品!$1:$998,COLUMN(C$1),FALSE),"")</f>
        <v/>
      </c>
      <c r="F307" t="str">
        <f>IFERROR(ROUNDDOWN((VLOOKUP($C307,装備品!$1:$998,COLUMN(D$1),FALSE)+IFERROR(VLOOKUP($CI307,付与!$1:$1167,COLUMN(F$1),FALSE),0))*VLOOKUP($D307,素材!$1:$1016,COLUMN(D$1),FALSE),0),"")</f>
        <v/>
      </c>
      <c r="G307" t="str">
        <f>IFERROR(ROUNDDOWN((VLOOKUP($C307,装備品!$1:$998,COLUMN(E$1),FALSE)+IFERROR(VLOOKUP($CI307,付与!$1:$1167,COLUMN(G$1),FALSE),0))*VLOOKUP($D307,素材!$1:$1016,COLUMN($E$1),FALSE),0),"")</f>
        <v/>
      </c>
      <c r="H307" t="str">
        <f>IFERROR(ROUNDDOWN((VLOOKUP($C307,装備品!$1:$998,COLUMN(F$1),FALSE)+IFERROR(VLOOKUP($CI307,付与!$1:$1167,COLUMN(H$1),FALSE),0))*VLOOKUP($D307,素材!$1:$1016,COLUMN($E$1),FALSE),0),"")</f>
        <v/>
      </c>
      <c r="I307" t="str">
        <f>IFERROR(ROUNDDOWN((VLOOKUP($C307,装備品!$1:$998,COLUMN(G$1),FALSE)+IFERROR(VLOOKUP($CI307,付与!$1:$1167,COLUMN(I$1),FALSE),0))*VLOOKUP($D307,素材!$1:$1016,COLUMN($E$1),FALSE),0),"")</f>
        <v/>
      </c>
      <c r="J307" t="str">
        <f>IFERROR(ROUNDDOWN((VLOOKUP($C307,装備品!$1:$998,COLUMN(H$1),FALSE)+IFERROR(VLOOKUP($CI307,付与!$1:$1167,COLUMN(J$1),FALSE),0))*VLOOKUP($D307,素材!$1:$1016,COLUMN($E$1),FALSE),0),"")</f>
        <v/>
      </c>
      <c r="K307" t="str">
        <f>IFERROR(ROUNDDOWN((VLOOKUP($C307,装備品!$1:$998,COLUMN(I$1),FALSE)+IFERROR(VLOOKUP($CI307,付与!$1:$1167,COLUMN(K$1),FALSE),0))*VLOOKUP($D307,素材!$1:$1016,COLUMN($E$1),FALSE),0),"")</f>
        <v/>
      </c>
      <c r="L307" t="str">
        <f>IFERROR(VLOOKUP($D307,素材!$1:$1016,COLUMN($F$1),FALSE),"")</f>
        <v/>
      </c>
      <c r="M307" t="str">
        <f>IFERROR(VLOOKUP($C307,装備品!$1:$998,COLUMN(AA$1),FALSE)*VLOOKUP($D307,素材!$1:$1016,COLUMN($G$1),FALSE),"")</f>
        <v/>
      </c>
      <c r="N307" t="str">
        <f>IFERROR(VLOOKUP($C307,装備品!$1:$998,COLUMN(I$1),FALSE),"")</f>
        <v/>
      </c>
      <c r="O307" s="23" t="str">
        <f>IFERROR((VLOOKUP($C307,装備品!$1:$998,COLUMN(K$1),FALSE)+VLOOKUP($D307,素材!$1:$1016,COLUMN(H$1),FALSE))*100+IFERROR(VLOOKUP($CI307,付与!$1:$1167,COLUMN(O$1),FALSE),0),"")</f>
        <v/>
      </c>
      <c r="P307" s="23" t="str">
        <f>IFERROR((VLOOKUP($C307,装備品!$1:$998,COLUMN(L$1),FALSE)+VLOOKUP($D307,素材!$1:$1016,COLUMN(I$1),FALSE))*100+IFERROR(VLOOKUP($CI307,付与!$1:$1167,COLUMN(P$1),FALSE),0),"")</f>
        <v/>
      </c>
      <c r="Q307" t="str">
        <f>IFERROR(ROUNDUP(VLOOKUP($C307,装備品!$1:$998,COLUMN(M$1),FALSE)*(VLOOKUP($D307,素材!$1:$1002,COLUMN(D$1),FALSE)/100),1),"")</f>
        <v/>
      </c>
      <c r="R307" t="str">
        <f>IFERROR(ROUNDUP(VLOOKUP($C307,装備品!$1:$998,COLUMN(N$1),FALSE)*(VLOOKUP($D307,素材!$1:$1002,COLUMN(D$1),FALSE)/100),1),"")</f>
        <v/>
      </c>
      <c r="S307" t="str">
        <f>IFERROR(VLOOKUP($C307,装備品!$1:$998,COLUMN(P$1),FALSE),"")</f>
        <v/>
      </c>
      <c r="T307" t="str">
        <f>IFERROR(VLOOKUP($C307,装備品!$1:$998,COLUMN(Q$1),FALSE),"")</f>
        <v/>
      </c>
      <c r="U307" t="str">
        <f>IFERROR(VLOOKUP($C307,装備品!$1:$998,COLUMN(R$1),FALSE),"")</f>
        <v/>
      </c>
      <c r="V307" t="str">
        <f>IFERROR(VLOOKUP($C307,装備品!$1:$998,COLUMN(Q$1),FALSE),"")</f>
        <v/>
      </c>
      <c r="W307" t="str">
        <f>IFERROR(VLOOKUP($C307,装備品!$1:$998,COLUMN(T$1),FALSE),"")</f>
        <v/>
      </c>
      <c r="Y307" t="str">
        <f>IFERROR(VLOOKUP($C307,装備品!$1:$998,COLUMN(U$1),FALSE),"")</f>
        <v/>
      </c>
      <c r="Z307" t="str">
        <f>IFERROR(ROUNDUP(VLOOKUP($C307,装備品!$1:$998,COLUMN(O$1),FALSE)*VLOOKUP($D307,素材!$1:$1016,COLUMN(E$1),FALSE),1),"")</f>
        <v/>
      </c>
      <c r="AA307">
        <f>IF(ISNUMBER(SEARCH(SUBSTITUTE(AA$1,RIGHT(AA$1,2),""),VLOOKUP($D307,素材!$1:$1016,COLUMN($F$1),FALSE))),VLOOKUP($C307,装備品!$1:$998,COLUMN($O$1),FALSE)*VLOOKUP($D307,素材!$1:$1016,COLUMN($E$1),FALSE)/(LEN(VLOOKUP($D307,素材!$1:$1016,COLUMN($F$1),FALSE))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B307">
        <f>IF(ISNUMBER(SEARCH(SUBSTITUTE(AB$1,RIGHT(AB$1,2),""),VLOOKUP($D307,素材!$1:$1016,COLUMN($F$1),FALSE))),VLOOKUP($C307,装備品!$1:$998,COLUMN($O$1),FALSE)*VLOOKUP($D307,素材!$1:$1016,COLUMN($E$1),FALSE)/(LEN(VLOOKUP($D307,素材!$1:$1016,COLUMN($F$1),FALSE))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C307">
        <f>IF(ISNUMBER(SEARCH(SUBSTITUTE(AC$1,RIGHT(AC$1,2),""),VLOOKUP($D307,素材!$1:$1016,COLUMN($F$1),FALSE))),VLOOKUP($C307,装備品!$1:$998,COLUMN($O$1),FALSE)*VLOOKUP($D307,素材!$1:$1016,COLUMN($E$1),FALSE)/(LEN(VLOOKUP($D307,素材!$1:$1016,COLUMN($F$1),FALSE))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D307">
        <f>IF(ISNUMBER(SEARCH(SUBSTITUTE(AD$1,RIGHT(AD$1,2),""),VLOOKUP($D307,素材!$1:$1016,COLUMN($F$1),FALSE))),VLOOKUP($C307,装備品!$1:$998,COLUMN($O$1),FALSE)*VLOOKUP($D307,素材!$1:$1016,COLUMN($E$1),FALSE)/(LEN(VLOOKUP($D307,素材!$1:$1016,COLUMN($F$1),FALSE))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E307">
        <f>IF(ISNUMBER(SEARCH(SUBSTITUTE(AE$1,RIGHT(AE$1,2),""),VLOOKUP($D307,素材!$1:$1016,COLUMN($F$1),FALSE))),VLOOKUP($C307,装備品!$1:$998,COLUMN($O$1),FALSE)*VLOOKUP($D307,素材!$1:$1016,COLUMN($E$1),FALSE)/(LEN(VLOOKUP($D307,素材!$1:$1016,COLUMN($F$1),FALSE))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F307">
        <f>IF(ISNUMBER(SEARCH(SUBSTITUTE(AF$1,RIGHT(AF$1,2),""),VLOOKUP($D307,素材!$1:$1016,COLUMN($F$1),FALSE))),VLOOKUP($C307,装備品!$1:$998,COLUMN($O$1),FALSE)*VLOOKUP($D307,素材!$1:$1016,COLUMN($E$1),FALSE)/(LEN(VLOOKUP($D307,素材!$1:$1016,COLUMN($F$1),FALSE))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G307">
        <f>IF(ISNUMBER(SEARCH(SUBSTITUTE(AG$1,RIGHT(AG$1,2),""),VLOOKUP($D307,素材!$1:$1016,COLUMN($F$1),FALSE))),VLOOKUP($C307,装備品!$1:$998,COLUMN($O$1),FALSE)*VLOOKUP($D307,素材!$1:$1016,COLUMN($E$1),FALSE)/(LEN(VLOOKUP($D307,素材!$1:$1016,COLUMN($F$1),FALSE))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H307">
        <f>IF(ISNUMBER(SEARCH(SUBSTITUTE(AH$1,RIGHT(AH$1,2),""),VLOOKUP($D307,素材!$1:$1016,COLUMN($F$1),FALSE))),VLOOKUP($C307,装備品!$1:$998,COLUMN($O$1),FALSE)*VLOOKUP($D307,素材!$1:$1016,COLUMN($E$1),FALSE)/(LEN(VLOOKUP($D307,素材!$1:$1016,COLUMN($F$1),FALSE))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I307">
        <f>IF(ISNUMBER(SEARCH(SUBSTITUTE(AI$1,RIGHT(AI$1,2),""),VLOOKUP($D307,素材!$1:$1016,COLUMN($F$1),FALSE))),VLOOKUP($C307,装備品!$1:$998,COLUMN($O$1),FALSE)*VLOOKUP($D307,素材!$1:$1016,COLUMN($E$1),FALSE)/(LEN(VLOOKUP($D307,素材!$1:$1016,COLUMN($F$1),FALSE))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J307">
        <f>IF(ISNUMBER(SEARCH(SUBSTITUTE(AJ$1,RIGHT(AJ$1,2),""),VLOOKUP($D307,素材!$1:$1016,COLUMN($F$1),FALSE))),VLOOKUP($C307,装備品!$1:$998,COLUMN($O$1),FALSE)*VLOOKUP($D307,素材!$1:$1016,COLUMN($E$1),FALSE)/(LEN(VLOOKUP($D307,素材!$1:$1016,COLUMN($F$1),FALSE))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K307">
        <f>IF(ISNUMBER(SEARCH(SUBSTITUTE(AK$1,RIGHT(AK$1,2),""),VLOOKUP($D307,素材!$1:$1016,COLUMN($F$1),FALSE))),VLOOKUP($C307,装備品!$1:$998,COLUMN($O$1),FALSE)*VLOOKUP($D307,素材!$1:$1016,COLUMN($E$1),FALSE)/(LEN(VLOOKUP($D307,素材!$1:$1016,COLUMN($F$1),FALSE))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L307">
        <f>IF(ISNUMBER(SEARCH(SUBSTITUTE(AL$1,RIGHT(AL$1,2),""),VLOOKUP($D307,素材!$1:$1016,COLUMN($F$1),FALSE))),VLOOKUP($C307,装備品!$1:$998,COLUMN($O$1),FALSE)*VLOOKUP($D307,素材!$1:$1016,COLUMN($E$1),FALSE)/(LEN(VLOOKUP($D307,素材!$1:$1016,COLUMN($F$1),FALSE))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M307">
        <f>IF(ISNUMBER(SEARCH(SUBSTITUTE(AM$1,RIGHT(AM$1,2),""),VLOOKUP($D307,素材!$1:$1016,COLUMN($F$1),FALSE))),VLOOKUP($C307,装備品!$1:$998,COLUMN($O$1),FALSE)*VLOOKUP($D307,素材!$1:$1016,COLUMN($E$1),FALSE)/(LEN(VLOOKUP($D307,素材!$1:$1016,COLUMN($F$1),FALSE))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N307">
        <f>IF(ISNUMBER(SEARCH(SUBSTITUTE(AN$1,RIGHT(AN$1,2),""),VLOOKUP($D307,素材!$1:$1016,COLUMN($F$1),FALSE))),VLOOKUP($C307,装備品!$1:$998,COLUMN($O$1),FALSE)*VLOOKUP($D307,素材!$1:$1016,COLUMN($E$1),FALSE)/(LEN(VLOOKUP($D307,素材!$1:$1016,COLUMN($F$1),FALSE))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O307">
        <f>IF(ISNUMBER(SEARCH(SUBSTITUTE(AO$1,RIGHT(AO$1,2),""),VLOOKUP($D307,素材!$1:$1016,COLUMN($F$1),FALSE))),VLOOKUP($C307,装備品!$1:$998,COLUMN($O$1),FALSE)*VLOOKUP($D307,素材!$1:$1016,COLUMN($E$1),FALSE)/(LEN(VLOOKUP($D307,素材!$1:$1016,COLUMN($F$1),FALSE))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P307">
        <f>IF(ISNUMBER(SEARCH(SUBSTITUTE(AP$1,RIGHT(AP$1,2),""),VLOOKUP($D307,素材!$1:$1016,COLUMN($F$1),FALSE))),VLOOKUP($C307,装備品!$1:$998,COLUMN($O$1),FALSE)*VLOOKUP($D307,素材!$1:$1016,COLUMN($E$1),FALSE)/(LEN(VLOOKUP($D307,素材!$1:$1016,COLUMN($F$1),FALSE))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Q307">
        <f>IF(ISNUMBER(SEARCH(SUBSTITUTE(AQ$1,RIGHT(AQ$1,2),""),VLOOKUP($D307,素材!$1:$1016,COLUMN($F$1),FALSE))),VLOOKUP($C307,装備品!$1:$998,COLUMN($O$1),FALSE)*VLOOKUP($D307,素材!$1:$1016,COLUMN($E$1),FALSE)/(LEN(VLOOKUP($D307,素材!$1:$1016,COLUMN($F$1),FALSE))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R307">
        <f>IF(ISNUMBER(SEARCH(SUBSTITUTE(AR$1,RIGHT(AR$1,2),""),VLOOKUP($D307,素材!$1:$1016,COLUMN($F$1),FALSE))),VLOOKUP($C307,装備品!$1:$998,COLUMN($O$1),FALSE)*VLOOKUP($D307,素材!$1:$1016,COLUMN($E$1),FALSE)/(LEN(VLOOKUP($D307,素材!$1:$1016,COLUMN($F$1),FALSE))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S307">
        <f>IF(ISNUMBER(SEARCH(SUBSTITUTE(AS$1,RIGHT(AS$1,2),""),VLOOKUP($D307,素材!$1:$1016,COLUMN($F$1),FALSE))),VLOOKUP($C307,装備品!$1:$998,COLUMN($O$1),FALSE)*VLOOKUP($D307,素材!$1:$1016,COLUMN($E$1),FALSE)/(LEN(VLOOKUP($D307,素材!$1:$1016,COLUMN($F$1),FALSE))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T307">
        <f>IF(ISNUMBER(SEARCH(SUBSTITUTE(AT$1,RIGHT(AT$1,2),""),VLOOKUP($D307,素材!$1:$1016,COLUMN($F$1),FALSE))),VLOOKUP($C307,装備品!$1:$998,COLUMN($O$1),FALSE)*VLOOKUP($D307,素材!$1:$1016,COLUMN($E$1),FALSE)/(LEN(VLOOKUP($D307,素材!$1:$1016,COLUMN($F$1),FALSE))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U307">
        <f>IF(ISNUMBER(SEARCH(SUBSTITUTE(AU$1,RIGHT(AU$1,2),""),VLOOKUP($D307,素材!$1:$1016,COLUMN($F$1),FALSE))),VLOOKUP($C307,装備品!$1:$998,COLUMN($O$1),FALSE)*VLOOKUP($D307,素材!$1:$1016,COLUMN($E$1),FALSE)/(LEN(VLOOKUP($D307,素材!$1:$1016,COLUMN($F$1),FALSE))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V307">
        <f>IF(ISNUMBER(SEARCH(SUBSTITUTE(AV$1,RIGHT(AV$1,2),""),VLOOKUP($D307,素材!$1:$1016,COLUMN($F$1),FALSE))),VLOOKUP($C307,装備品!$1:$998,COLUMN($O$1),FALSE)*VLOOKUP($D307,素材!$1:$1016,COLUMN($E$1),FALSE)/(LEN(VLOOKUP($D307,素材!$1:$1016,COLUMN($F$1),FALSE))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W307">
        <f>IF(ISNUMBER(SEARCH(SUBSTITUTE(AW$1,RIGHT(AW$1,2),""),VLOOKUP($D307,素材!$1:$1016,COLUMN($F$1),FALSE))),VLOOKUP($C307,装備品!$1:$998,COLUMN($O$1),FALSE)*VLOOKUP($D307,素材!$1:$1016,COLUMN($E$1),FALSE)/(LEN(VLOOKUP($D307,素材!$1:$1016,COLUMN($F$1),FALSE))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X307">
        <f>IF(ISNUMBER(SEARCH(SUBSTITUTE(AX$1,RIGHT(AX$1,2),""),VLOOKUP($D307,素材!$1:$1016,COLUMN($F$1),FALSE))),VLOOKUP($C307,装備品!$1:$998,COLUMN($O$1),FALSE)*VLOOKUP($D307,素材!$1:$1016,COLUMN($E$1),FALSE)/(LEN(VLOOKUP($D307,素材!$1:$1016,COLUMN($F$1),FALSE))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Y307">
        <f>IF(ISNUMBER(SEARCH(SUBSTITUTE(AY$1,RIGHT(AY$1,2),""),VLOOKUP($D307,素材!$1:$1016,COLUMN($F$1),FALSE))),VLOOKUP($C307,装備品!$1:$998,COLUMN($O$1),FALSE)*VLOOKUP($D307,素材!$1:$1016,COLUMN($E$1),FALSE)/(LEN(VLOOKUP($D307,素材!$1:$1016,COLUMN($F$1),FALSE))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Z307">
        <f>IF(ISNUMBER(SEARCH(SUBSTITUTE(AZ$1,RIGHT(AZ$1,2),""),VLOOKUP($D307,素材!$1:$1016,COLUMN($F$1),FALSE))),VLOOKUP($C307,装備品!$1:$998,COLUMN($O$1),FALSE)*VLOOKUP($D307,素材!$1:$1016,COLUMN($E$1),FALSE)/(LEN(VLOOKUP($D307,素材!$1:$1016,COLUMN($F$1),FALSE))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BA307">
        <f>IF(ISNUMBER(SEARCH(SUBSTITUTE(BA$1,RIGHT(BA$1,2),""),VLOOKUP($D307,素材!$1:$1016,COLUMN($F$1),FALSE))),VLOOKUP($C307,装備品!$1:$998,COLUMN($O$1),FALSE)*VLOOKUP($D307,素材!$1:$1016,COLUMN($E$1),FALSE)/(LEN(VLOOKUP($D307,素材!$1:$1016,COLUMN($F$1),FALSE))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BB307">
        <f>IF(ISNUMBER(SEARCH(SUBSTITUTE(BB$1,RIGHT(BB$1,2),""),VLOOKUP($D307,素材!$1:$1016,COLUMN($F$1),FALSE))),VLOOKUP($C307,装備品!$1:$998,COLUMN($O$1),FALSE)*VLOOKUP($D307,素材!$1:$1016,COLUMN($E$1),FALSE)/(LEN(VLOOKUP($D307,素材!$1:$1016,COLUMN($F$1),FALSE))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BC307">
        <f>IF(ISNUMBER(SEARCH(SUBSTITUTE(BC$1,RIGHT(BC$1,2),""),VLOOKUP($D307,素材!$1:$1016,COLUMN($F$1),FALSE))),VLOOKUP($C307,装備品!$1:$998,COLUMN($O$1),FALSE)*VLOOKUP($D307,素材!$1:$1016,COLUMN($E$1),FALSE)/(LEN(VLOOKUP($D307,素材!$1:$1016,COLUMN($F$1),FALSE))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BD307">
        <f>IF(ISNUMBER(SEARCH(SUBSTITUTE(BD$1,RIGHT(BD$1,2),""),VLOOKUP($D307,素材!$1:$1016,COLUMN($F$1),FALSE))),VLOOKUP($C307,装備品!$1:$998,COLUMN($O$1),FALSE)*VLOOKUP($D307,素材!$1:$1016,COLUMN($E$1),FALSE)/(LEN(VLOOKUP($D307,素材!$1:$1016,COLUMN($F$1),FALSE))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BE307">
        <f>IF(ISNUMBER(SEARCH(SUBSTITUTE(BE$1,RIGHT(BE$1,2),""),VLOOKUP($D307,素材!$1:$1016,COLUMN($F$1),FALSE))),VLOOKUP($C307,装備品!$1:$998,COLUMN($O$1),FALSE)*VLOOKUP($D307,素材!$1:$1016,COLUMN($E$1),FALSE)/(LEN(VLOOKUP($D307,素材!$1:$1016,COLUMN($F$1),FALSE))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CL307">
        <f t="shared" si="41"/>
        <v>0</v>
      </c>
      <c r="CM307" s="22" t="str">
        <f t="shared" si="42"/>
        <v>.webp</v>
      </c>
      <c r="CN307" t="str">
        <f>IFERROR(VLOOKUP($C307,装備品!$1:$998,COLUMN(V$1),FALSE)*VLOOKUP($D307,素材!$1:$1016,COLUMN(N$1),FALSE)+IF(CI307="",0,VLOOKUP($CI307,付与!$1:$1176,COLUMN($CK$1),FALSE)),"")</f>
        <v/>
      </c>
      <c r="CO307" t="e">
        <f>VLOOKUP(D307,素材!$A:$O,COLUMN(素材!O$1),FALSE)</f>
        <v>#N/A</v>
      </c>
      <c r="CP307" t="e">
        <f>VLOOKUP(C307,装備品!$A:$AB,COLUMN(装備品!AB$1),FALSE)</f>
        <v>#N/A</v>
      </c>
      <c r="CR307" t="str">
        <f t="shared" si="43"/>
        <v>e_307</v>
      </c>
      <c r="CS307" t="e">
        <f t="shared" si="44"/>
        <v>#VALUE!</v>
      </c>
    </row>
    <row r="308" spans="1:97" hidden="1" outlineLevel="1" x14ac:dyDescent="0.4">
      <c r="A308" t="str">
        <f t="shared" si="46"/>
        <v>の</v>
      </c>
      <c r="B308" t="str">
        <f>IFERROR(IF(CI308="",VLOOKUP($D308,素材!$1:$1016,COLUMN($B$1),FALSE)&amp;"・"&amp;VLOOKUP($C308,装備品!$1:$998,COLUMN(B$1),FALSE),VLOOKUP($CI308,付与!$1:$1176,COLUMN($B$1),FALSE)&amp;"・"&amp;VLOOKUP($C308,装備品!$1:$998,COLUMN(B$1),FALSE)),"")</f>
        <v/>
      </c>
      <c r="C308" s="24"/>
      <c r="D308" s="24"/>
      <c r="E308" t="str">
        <f>IFERROR(VLOOKUP(C308,装備品!$1:$998,COLUMN(C$1),FALSE),"")</f>
        <v/>
      </c>
      <c r="F308" t="str">
        <f>IFERROR(ROUNDDOWN((VLOOKUP($C308,装備品!$1:$998,COLUMN(D$1),FALSE)+IFERROR(VLOOKUP($CI308,付与!$1:$1167,COLUMN(F$1),FALSE),0))*VLOOKUP($D308,素材!$1:$1016,COLUMN(D$1),FALSE),0),"")</f>
        <v/>
      </c>
      <c r="G308" t="str">
        <f>IFERROR(ROUNDDOWN((VLOOKUP($C308,装備品!$1:$998,COLUMN(E$1),FALSE)+IFERROR(VLOOKUP($CI308,付与!$1:$1167,COLUMN(G$1),FALSE),0))*VLOOKUP($D308,素材!$1:$1016,COLUMN($E$1),FALSE),0),"")</f>
        <v/>
      </c>
      <c r="H308" t="str">
        <f>IFERROR(ROUNDDOWN((VLOOKUP($C308,装備品!$1:$998,COLUMN(F$1),FALSE)+IFERROR(VLOOKUP($CI308,付与!$1:$1167,COLUMN(H$1),FALSE),0))*VLOOKUP($D308,素材!$1:$1016,COLUMN($E$1),FALSE),0),"")</f>
        <v/>
      </c>
      <c r="I308" t="str">
        <f>IFERROR(ROUNDDOWN((VLOOKUP($C308,装備品!$1:$998,COLUMN(G$1),FALSE)+IFERROR(VLOOKUP($CI308,付与!$1:$1167,COLUMN(I$1),FALSE),0))*VLOOKUP($D308,素材!$1:$1016,COLUMN($E$1),FALSE),0),"")</f>
        <v/>
      </c>
      <c r="J308" t="str">
        <f>IFERROR(ROUNDDOWN((VLOOKUP($C308,装備品!$1:$998,COLUMN(H$1),FALSE)+IFERROR(VLOOKUP($CI308,付与!$1:$1167,COLUMN(J$1),FALSE),0))*VLOOKUP($D308,素材!$1:$1016,COLUMN($E$1),FALSE),0),"")</f>
        <v/>
      </c>
      <c r="K308" t="str">
        <f>IFERROR(ROUNDDOWN((VLOOKUP($C308,装備品!$1:$998,COLUMN(I$1),FALSE)+IFERROR(VLOOKUP($CI308,付与!$1:$1167,COLUMN(K$1),FALSE),0))*VLOOKUP($D308,素材!$1:$1016,COLUMN($E$1),FALSE),0),"")</f>
        <v/>
      </c>
      <c r="L308" t="str">
        <f>IFERROR(VLOOKUP($D308,素材!$1:$1016,COLUMN($F$1),FALSE),"")</f>
        <v/>
      </c>
      <c r="M308" t="str">
        <f>IFERROR(VLOOKUP($C308,装備品!$1:$998,COLUMN(AA$1),FALSE)*VLOOKUP($D308,素材!$1:$1016,COLUMN($G$1),FALSE),"")</f>
        <v/>
      </c>
      <c r="N308" t="str">
        <f>IFERROR(VLOOKUP($C308,装備品!$1:$998,COLUMN(I$1),FALSE),"")</f>
        <v/>
      </c>
      <c r="O308" s="23" t="str">
        <f>IFERROR((VLOOKUP($C308,装備品!$1:$998,COLUMN(K$1),FALSE)+VLOOKUP($D308,素材!$1:$1016,COLUMN(H$1),FALSE))*100+IFERROR(VLOOKUP($CI308,付与!$1:$1167,COLUMN(O$1),FALSE),0),"")</f>
        <v/>
      </c>
      <c r="P308" s="23" t="str">
        <f>IFERROR((VLOOKUP($C308,装備品!$1:$998,COLUMN(L$1),FALSE)+VLOOKUP($D308,素材!$1:$1016,COLUMN(I$1),FALSE))*100+IFERROR(VLOOKUP($CI308,付与!$1:$1167,COLUMN(P$1),FALSE),0),"")</f>
        <v/>
      </c>
      <c r="Q308" t="str">
        <f>IFERROR(ROUNDUP(VLOOKUP($C308,装備品!$1:$998,COLUMN(M$1),FALSE)*(VLOOKUP($D308,素材!$1:$1002,COLUMN(D$1),FALSE)/100),1),"")</f>
        <v/>
      </c>
      <c r="R308" t="str">
        <f>IFERROR(ROUNDUP(VLOOKUP($C308,装備品!$1:$998,COLUMN(N$1),FALSE)*(VLOOKUP($D308,素材!$1:$1002,COLUMN(D$1),FALSE)/100),1),"")</f>
        <v/>
      </c>
      <c r="S308" t="str">
        <f>IFERROR(VLOOKUP($C308,装備品!$1:$998,COLUMN(P$1),FALSE),"")</f>
        <v/>
      </c>
      <c r="T308" t="str">
        <f>IFERROR(VLOOKUP($C308,装備品!$1:$998,COLUMN(Q$1),FALSE),"")</f>
        <v/>
      </c>
      <c r="U308" t="str">
        <f>IFERROR(VLOOKUP($C308,装備品!$1:$998,COLUMN(R$1),FALSE),"")</f>
        <v/>
      </c>
      <c r="V308" t="str">
        <f>IFERROR(VLOOKUP($C308,装備品!$1:$998,COLUMN(Q$1),FALSE),"")</f>
        <v/>
      </c>
      <c r="W308" t="str">
        <f>IFERROR(VLOOKUP($C308,装備品!$1:$998,COLUMN(T$1),FALSE),"")</f>
        <v/>
      </c>
      <c r="Y308" t="str">
        <f>IFERROR(VLOOKUP($C308,装備品!$1:$998,COLUMN(U$1),FALSE),"")</f>
        <v/>
      </c>
      <c r="Z308" t="str">
        <f>IFERROR(ROUNDUP(VLOOKUP($C308,装備品!$1:$998,COLUMN(O$1),FALSE)*VLOOKUP($D308,素材!$1:$1016,COLUMN(E$1),FALSE),1),"")</f>
        <v/>
      </c>
      <c r="AA308">
        <f>IF(ISNUMBER(SEARCH(SUBSTITUTE(AA$1,RIGHT(AA$1,2),""),VLOOKUP($D308,素材!$1:$1016,COLUMN($F$1),FALSE))),VLOOKUP($C308,装備品!$1:$998,COLUMN($O$1),FALSE)*VLOOKUP($D308,素材!$1:$1016,COLUMN($E$1),FALSE)/(LEN(VLOOKUP($D308,素材!$1:$1016,COLUMN($F$1),FALSE))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B308">
        <f>IF(ISNUMBER(SEARCH(SUBSTITUTE(AB$1,RIGHT(AB$1,2),""),VLOOKUP($D308,素材!$1:$1016,COLUMN($F$1),FALSE))),VLOOKUP($C308,装備品!$1:$998,COLUMN($O$1),FALSE)*VLOOKUP($D308,素材!$1:$1016,COLUMN($E$1),FALSE)/(LEN(VLOOKUP($D308,素材!$1:$1016,COLUMN($F$1),FALSE))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C308">
        <f>IF(ISNUMBER(SEARCH(SUBSTITUTE(AC$1,RIGHT(AC$1,2),""),VLOOKUP($D308,素材!$1:$1016,COLUMN($F$1),FALSE))),VLOOKUP($C308,装備品!$1:$998,COLUMN($O$1),FALSE)*VLOOKUP($D308,素材!$1:$1016,COLUMN($E$1),FALSE)/(LEN(VLOOKUP($D308,素材!$1:$1016,COLUMN($F$1),FALSE))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D308">
        <f>IF(ISNUMBER(SEARCH(SUBSTITUTE(AD$1,RIGHT(AD$1,2),""),VLOOKUP($D308,素材!$1:$1016,COLUMN($F$1),FALSE))),VLOOKUP($C308,装備品!$1:$998,COLUMN($O$1),FALSE)*VLOOKUP($D308,素材!$1:$1016,COLUMN($E$1),FALSE)/(LEN(VLOOKUP($D308,素材!$1:$1016,COLUMN($F$1),FALSE))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E308">
        <f>IF(ISNUMBER(SEARCH(SUBSTITUTE(AE$1,RIGHT(AE$1,2),""),VLOOKUP($D308,素材!$1:$1016,COLUMN($F$1),FALSE))),VLOOKUP($C308,装備品!$1:$998,COLUMN($O$1),FALSE)*VLOOKUP($D308,素材!$1:$1016,COLUMN($E$1),FALSE)/(LEN(VLOOKUP($D308,素材!$1:$1016,COLUMN($F$1),FALSE))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F308">
        <f>IF(ISNUMBER(SEARCH(SUBSTITUTE(AF$1,RIGHT(AF$1,2),""),VLOOKUP($D308,素材!$1:$1016,COLUMN($F$1),FALSE))),VLOOKUP($C308,装備品!$1:$998,COLUMN($O$1),FALSE)*VLOOKUP($D308,素材!$1:$1016,COLUMN($E$1),FALSE)/(LEN(VLOOKUP($D308,素材!$1:$1016,COLUMN($F$1),FALSE))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G308">
        <f>IF(ISNUMBER(SEARCH(SUBSTITUTE(AG$1,RIGHT(AG$1,2),""),VLOOKUP($D308,素材!$1:$1016,COLUMN($F$1),FALSE))),VLOOKUP($C308,装備品!$1:$998,COLUMN($O$1),FALSE)*VLOOKUP($D308,素材!$1:$1016,COLUMN($E$1),FALSE)/(LEN(VLOOKUP($D308,素材!$1:$1016,COLUMN($F$1),FALSE))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H308">
        <f>IF(ISNUMBER(SEARCH(SUBSTITUTE(AH$1,RIGHT(AH$1,2),""),VLOOKUP($D308,素材!$1:$1016,COLUMN($F$1),FALSE))),VLOOKUP($C308,装備品!$1:$998,COLUMN($O$1),FALSE)*VLOOKUP($D308,素材!$1:$1016,COLUMN($E$1),FALSE)/(LEN(VLOOKUP($D308,素材!$1:$1016,COLUMN($F$1),FALSE))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I308">
        <f>IF(ISNUMBER(SEARCH(SUBSTITUTE(AI$1,RIGHT(AI$1,2),""),VLOOKUP($D308,素材!$1:$1016,COLUMN($F$1),FALSE))),VLOOKUP($C308,装備品!$1:$998,COLUMN($O$1),FALSE)*VLOOKUP($D308,素材!$1:$1016,COLUMN($E$1),FALSE)/(LEN(VLOOKUP($D308,素材!$1:$1016,COLUMN($F$1),FALSE))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J308">
        <f>IF(ISNUMBER(SEARCH(SUBSTITUTE(AJ$1,RIGHT(AJ$1,2),""),VLOOKUP($D308,素材!$1:$1016,COLUMN($F$1),FALSE))),VLOOKUP($C308,装備品!$1:$998,COLUMN($O$1),FALSE)*VLOOKUP($D308,素材!$1:$1016,COLUMN($E$1),FALSE)/(LEN(VLOOKUP($D308,素材!$1:$1016,COLUMN($F$1),FALSE))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K308">
        <f>IF(ISNUMBER(SEARCH(SUBSTITUTE(AK$1,RIGHT(AK$1,2),""),VLOOKUP($D308,素材!$1:$1016,COLUMN($F$1),FALSE))),VLOOKUP($C308,装備品!$1:$998,COLUMN($O$1),FALSE)*VLOOKUP($D308,素材!$1:$1016,COLUMN($E$1),FALSE)/(LEN(VLOOKUP($D308,素材!$1:$1016,COLUMN($F$1),FALSE))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L308">
        <f>IF(ISNUMBER(SEARCH(SUBSTITUTE(AL$1,RIGHT(AL$1,2),""),VLOOKUP($D308,素材!$1:$1016,COLUMN($F$1),FALSE))),VLOOKUP($C308,装備品!$1:$998,COLUMN($O$1),FALSE)*VLOOKUP($D308,素材!$1:$1016,COLUMN($E$1),FALSE)/(LEN(VLOOKUP($D308,素材!$1:$1016,COLUMN($F$1),FALSE))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M308">
        <f>IF(ISNUMBER(SEARCH(SUBSTITUTE(AM$1,RIGHT(AM$1,2),""),VLOOKUP($D308,素材!$1:$1016,COLUMN($F$1),FALSE))),VLOOKUP($C308,装備品!$1:$998,COLUMN($O$1),FALSE)*VLOOKUP($D308,素材!$1:$1016,COLUMN($E$1),FALSE)/(LEN(VLOOKUP($D308,素材!$1:$1016,COLUMN($F$1),FALSE))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N308">
        <f>IF(ISNUMBER(SEARCH(SUBSTITUTE(AN$1,RIGHT(AN$1,2),""),VLOOKUP($D308,素材!$1:$1016,COLUMN($F$1),FALSE))),VLOOKUP($C308,装備品!$1:$998,COLUMN($O$1),FALSE)*VLOOKUP($D308,素材!$1:$1016,COLUMN($E$1),FALSE)/(LEN(VLOOKUP($D308,素材!$1:$1016,COLUMN($F$1),FALSE))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O308">
        <f>IF(ISNUMBER(SEARCH(SUBSTITUTE(AO$1,RIGHT(AO$1,2),""),VLOOKUP($D308,素材!$1:$1016,COLUMN($F$1),FALSE))),VLOOKUP($C308,装備品!$1:$998,COLUMN($O$1),FALSE)*VLOOKUP($D308,素材!$1:$1016,COLUMN($E$1),FALSE)/(LEN(VLOOKUP($D308,素材!$1:$1016,COLUMN($F$1),FALSE))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P308">
        <f>IF(ISNUMBER(SEARCH(SUBSTITUTE(AP$1,RIGHT(AP$1,2),""),VLOOKUP($D308,素材!$1:$1016,COLUMN($F$1),FALSE))),VLOOKUP($C308,装備品!$1:$998,COLUMN($O$1),FALSE)*VLOOKUP($D308,素材!$1:$1016,COLUMN($E$1),FALSE)/(LEN(VLOOKUP($D308,素材!$1:$1016,COLUMN($F$1),FALSE))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Q308">
        <f>IF(ISNUMBER(SEARCH(SUBSTITUTE(AQ$1,RIGHT(AQ$1,2),""),VLOOKUP($D308,素材!$1:$1016,COLUMN($F$1),FALSE))),VLOOKUP($C308,装備品!$1:$998,COLUMN($O$1),FALSE)*VLOOKUP($D308,素材!$1:$1016,COLUMN($E$1),FALSE)/(LEN(VLOOKUP($D308,素材!$1:$1016,COLUMN($F$1),FALSE))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R308">
        <f>IF(ISNUMBER(SEARCH(SUBSTITUTE(AR$1,RIGHT(AR$1,2),""),VLOOKUP($D308,素材!$1:$1016,COLUMN($F$1),FALSE))),VLOOKUP($C308,装備品!$1:$998,COLUMN($O$1),FALSE)*VLOOKUP($D308,素材!$1:$1016,COLUMN($E$1),FALSE)/(LEN(VLOOKUP($D308,素材!$1:$1016,COLUMN($F$1),FALSE))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S308">
        <f>IF(ISNUMBER(SEARCH(SUBSTITUTE(AS$1,RIGHT(AS$1,2),""),VLOOKUP($D308,素材!$1:$1016,COLUMN($F$1),FALSE))),VLOOKUP($C308,装備品!$1:$998,COLUMN($O$1),FALSE)*VLOOKUP($D308,素材!$1:$1016,COLUMN($E$1),FALSE)/(LEN(VLOOKUP($D308,素材!$1:$1016,COLUMN($F$1),FALSE))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T308">
        <f>IF(ISNUMBER(SEARCH(SUBSTITUTE(AT$1,RIGHT(AT$1,2),""),VLOOKUP($D308,素材!$1:$1016,COLUMN($F$1),FALSE))),VLOOKUP($C308,装備品!$1:$998,COLUMN($O$1),FALSE)*VLOOKUP($D308,素材!$1:$1016,COLUMN($E$1),FALSE)/(LEN(VLOOKUP($D308,素材!$1:$1016,COLUMN($F$1),FALSE))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U308">
        <f>IF(ISNUMBER(SEARCH(SUBSTITUTE(AU$1,RIGHT(AU$1,2),""),VLOOKUP($D308,素材!$1:$1016,COLUMN($F$1),FALSE))),VLOOKUP($C308,装備品!$1:$998,COLUMN($O$1),FALSE)*VLOOKUP($D308,素材!$1:$1016,COLUMN($E$1),FALSE)/(LEN(VLOOKUP($D308,素材!$1:$1016,COLUMN($F$1),FALSE))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V308">
        <f>IF(ISNUMBER(SEARCH(SUBSTITUTE(AV$1,RIGHT(AV$1,2),""),VLOOKUP($D308,素材!$1:$1016,COLUMN($F$1),FALSE))),VLOOKUP($C308,装備品!$1:$998,COLUMN($O$1),FALSE)*VLOOKUP($D308,素材!$1:$1016,COLUMN($E$1),FALSE)/(LEN(VLOOKUP($D308,素材!$1:$1016,COLUMN($F$1),FALSE))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W308">
        <f>IF(ISNUMBER(SEARCH(SUBSTITUTE(AW$1,RIGHT(AW$1,2),""),VLOOKUP($D308,素材!$1:$1016,COLUMN($F$1),FALSE))),VLOOKUP($C308,装備品!$1:$998,COLUMN($O$1),FALSE)*VLOOKUP($D308,素材!$1:$1016,COLUMN($E$1),FALSE)/(LEN(VLOOKUP($D308,素材!$1:$1016,COLUMN($F$1),FALSE))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X308">
        <f>IF(ISNUMBER(SEARCH(SUBSTITUTE(AX$1,RIGHT(AX$1,2),""),VLOOKUP($D308,素材!$1:$1016,COLUMN($F$1),FALSE))),VLOOKUP($C308,装備品!$1:$998,COLUMN($O$1),FALSE)*VLOOKUP($D308,素材!$1:$1016,COLUMN($E$1),FALSE)/(LEN(VLOOKUP($D308,素材!$1:$1016,COLUMN($F$1),FALSE))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Y308">
        <f>IF(ISNUMBER(SEARCH(SUBSTITUTE(AY$1,RIGHT(AY$1,2),""),VLOOKUP($D308,素材!$1:$1016,COLUMN($F$1),FALSE))),VLOOKUP($C308,装備品!$1:$998,COLUMN($O$1),FALSE)*VLOOKUP($D308,素材!$1:$1016,COLUMN($E$1),FALSE)/(LEN(VLOOKUP($D308,素材!$1:$1016,COLUMN($F$1),FALSE))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Z308">
        <f>IF(ISNUMBER(SEARCH(SUBSTITUTE(AZ$1,RIGHT(AZ$1,2),""),VLOOKUP($D308,素材!$1:$1016,COLUMN($F$1),FALSE))),VLOOKUP($C308,装備品!$1:$998,COLUMN($O$1),FALSE)*VLOOKUP($D308,素材!$1:$1016,COLUMN($E$1),FALSE)/(LEN(VLOOKUP($D308,素材!$1:$1016,COLUMN($F$1),FALSE))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BA308">
        <f>IF(ISNUMBER(SEARCH(SUBSTITUTE(BA$1,RIGHT(BA$1,2),""),VLOOKUP($D308,素材!$1:$1016,COLUMN($F$1),FALSE))),VLOOKUP($C308,装備品!$1:$998,COLUMN($O$1),FALSE)*VLOOKUP($D308,素材!$1:$1016,COLUMN($E$1),FALSE)/(LEN(VLOOKUP($D308,素材!$1:$1016,COLUMN($F$1),FALSE))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BB308">
        <f>IF(ISNUMBER(SEARCH(SUBSTITUTE(BB$1,RIGHT(BB$1,2),""),VLOOKUP($D308,素材!$1:$1016,COLUMN($F$1),FALSE))),VLOOKUP($C308,装備品!$1:$998,COLUMN($O$1),FALSE)*VLOOKUP($D308,素材!$1:$1016,COLUMN($E$1),FALSE)/(LEN(VLOOKUP($D308,素材!$1:$1016,COLUMN($F$1),FALSE))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BC308">
        <f>IF(ISNUMBER(SEARCH(SUBSTITUTE(BC$1,RIGHT(BC$1,2),""),VLOOKUP($D308,素材!$1:$1016,COLUMN($F$1),FALSE))),VLOOKUP($C308,装備品!$1:$998,COLUMN($O$1),FALSE)*VLOOKUP($D308,素材!$1:$1016,COLUMN($E$1),FALSE)/(LEN(VLOOKUP($D308,素材!$1:$1016,COLUMN($F$1),FALSE))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BD308">
        <f>IF(ISNUMBER(SEARCH(SUBSTITUTE(BD$1,RIGHT(BD$1,2),""),VLOOKUP($D308,素材!$1:$1016,COLUMN($F$1),FALSE))),VLOOKUP($C308,装備品!$1:$998,COLUMN($O$1),FALSE)*VLOOKUP($D308,素材!$1:$1016,COLUMN($E$1),FALSE)/(LEN(VLOOKUP($D308,素材!$1:$1016,COLUMN($F$1),FALSE))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BE308">
        <f>IF(ISNUMBER(SEARCH(SUBSTITUTE(BE$1,RIGHT(BE$1,2),""),VLOOKUP($D308,素材!$1:$1016,COLUMN($F$1),FALSE))),VLOOKUP($C308,装備品!$1:$998,COLUMN($O$1),FALSE)*VLOOKUP($D308,素材!$1:$1016,COLUMN($E$1),FALSE)/(LEN(VLOOKUP($D308,素材!$1:$1016,COLUMN($F$1),FALSE))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CL308">
        <f t="shared" si="41"/>
        <v>0</v>
      </c>
      <c r="CM308" s="22" t="str">
        <f t="shared" si="42"/>
        <v>.webp</v>
      </c>
      <c r="CN308" t="str">
        <f>IFERROR(VLOOKUP($C308,装備品!$1:$998,COLUMN(V$1),FALSE)*VLOOKUP($D308,素材!$1:$1016,COLUMN(N$1),FALSE)+IF(CI308="",0,VLOOKUP($CI308,付与!$1:$1176,COLUMN($CK$1),FALSE)),"")</f>
        <v/>
      </c>
      <c r="CO308" t="e">
        <f>VLOOKUP(D308,素材!$A:$O,COLUMN(素材!O$1),FALSE)</f>
        <v>#N/A</v>
      </c>
      <c r="CP308" t="e">
        <f>VLOOKUP(C308,装備品!$A:$AB,COLUMN(装備品!AB$1),FALSE)</f>
        <v>#N/A</v>
      </c>
      <c r="CR308" t="str">
        <f t="shared" si="43"/>
        <v>e_308</v>
      </c>
      <c r="CS308" t="e">
        <f t="shared" si="44"/>
        <v>#VALUE!</v>
      </c>
    </row>
    <row r="309" spans="1:97" hidden="1" outlineLevel="1" x14ac:dyDescent="0.4">
      <c r="A309" t="str">
        <f t="shared" si="46"/>
        <v>の</v>
      </c>
      <c r="B309" t="str">
        <f>IFERROR(IF(CI309="",VLOOKUP($D309,素材!$1:$1016,COLUMN($B$1),FALSE)&amp;"・"&amp;VLOOKUP($C309,装備品!$1:$998,COLUMN(B$1),FALSE),VLOOKUP($CI309,付与!$1:$1176,COLUMN($B$1),FALSE)&amp;"・"&amp;VLOOKUP($C309,装備品!$1:$998,COLUMN(B$1),FALSE)),"")</f>
        <v/>
      </c>
      <c r="C309" s="24"/>
      <c r="D309" s="24"/>
      <c r="E309" t="str">
        <f>IFERROR(VLOOKUP(C309,装備品!$1:$998,COLUMN(C$1),FALSE),"")</f>
        <v/>
      </c>
      <c r="F309" t="str">
        <f>IFERROR(ROUNDDOWN((VLOOKUP($C309,装備品!$1:$998,COLUMN(D$1),FALSE)+IFERROR(VLOOKUP($CI309,付与!$1:$1167,COLUMN(F$1),FALSE),0))*VLOOKUP($D309,素材!$1:$1016,COLUMN(D$1),FALSE),0),"")</f>
        <v/>
      </c>
      <c r="G309" t="str">
        <f>IFERROR(ROUNDDOWN((VLOOKUP($C309,装備品!$1:$998,COLUMN(E$1),FALSE)+IFERROR(VLOOKUP($CI309,付与!$1:$1167,COLUMN(G$1),FALSE),0))*VLOOKUP($D309,素材!$1:$1016,COLUMN($E$1),FALSE),0),"")</f>
        <v/>
      </c>
      <c r="H309" t="str">
        <f>IFERROR(ROUNDDOWN((VLOOKUP($C309,装備品!$1:$998,COLUMN(F$1),FALSE)+IFERROR(VLOOKUP($CI309,付与!$1:$1167,COLUMN(H$1),FALSE),0))*VLOOKUP($D309,素材!$1:$1016,COLUMN($E$1),FALSE),0),"")</f>
        <v/>
      </c>
      <c r="I309" t="str">
        <f>IFERROR(ROUNDDOWN((VLOOKUP($C309,装備品!$1:$998,COLUMN(G$1),FALSE)+IFERROR(VLOOKUP($CI309,付与!$1:$1167,COLUMN(I$1),FALSE),0))*VLOOKUP($D309,素材!$1:$1016,COLUMN($E$1),FALSE),0),"")</f>
        <v/>
      </c>
      <c r="J309" t="str">
        <f>IFERROR(ROUNDDOWN((VLOOKUP($C309,装備品!$1:$998,COLUMN(H$1),FALSE)+IFERROR(VLOOKUP($CI309,付与!$1:$1167,COLUMN(J$1),FALSE),0))*VLOOKUP($D309,素材!$1:$1016,COLUMN($E$1),FALSE),0),"")</f>
        <v/>
      </c>
      <c r="K309" t="str">
        <f>IFERROR(ROUNDDOWN((VLOOKUP($C309,装備品!$1:$998,COLUMN(I$1),FALSE)+IFERROR(VLOOKUP($CI309,付与!$1:$1167,COLUMN(K$1),FALSE),0))*VLOOKUP($D309,素材!$1:$1016,COLUMN($E$1),FALSE),0),"")</f>
        <v/>
      </c>
      <c r="L309" t="str">
        <f>IFERROR(VLOOKUP($D309,素材!$1:$1016,COLUMN($F$1),FALSE),"")</f>
        <v/>
      </c>
      <c r="M309" t="str">
        <f>IFERROR(VLOOKUP($C309,装備品!$1:$998,COLUMN(AA$1),FALSE)*VLOOKUP($D309,素材!$1:$1016,COLUMN($G$1),FALSE),"")</f>
        <v/>
      </c>
      <c r="N309" t="str">
        <f>IFERROR(VLOOKUP($C309,装備品!$1:$998,COLUMN(I$1),FALSE),"")</f>
        <v/>
      </c>
      <c r="O309" s="23" t="str">
        <f>IFERROR((VLOOKUP($C309,装備品!$1:$998,COLUMN(K$1),FALSE)+VLOOKUP($D309,素材!$1:$1016,COLUMN(H$1),FALSE))*100+IFERROR(VLOOKUP($CI309,付与!$1:$1167,COLUMN(O$1),FALSE),0),"")</f>
        <v/>
      </c>
      <c r="P309" s="23" t="str">
        <f>IFERROR((VLOOKUP($C309,装備品!$1:$998,COLUMN(L$1),FALSE)+VLOOKUP($D309,素材!$1:$1016,COLUMN(I$1),FALSE))*100+IFERROR(VLOOKUP($CI309,付与!$1:$1167,COLUMN(P$1),FALSE),0),"")</f>
        <v/>
      </c>
      <c r="Q309" t="str">
        <f>IFERROR(ROUNDUP(VLOOKUP($C309,装備品!$1:$998,COLUMN(M$1),FALSE)*(VLOOKUP($D309,素材!$1:$1002,COLUMN(D$1),FALSE)/100),1),"")</f>
        <v/>
      </c>
      <c r="R309" t="str">
        <f>IFERROR(ROUNDUP(VLOOKUP($C309,装備品!$1:$998,COLUMN(N$1),FALSE)*(VLOOKUP($D309,素材!$1:$1002,COLUMN(D$1),FALSE)/100),1),"")</f>
        <v/>
      </c>
      <c r="S309" t="str">
        <f>IFERROR(VLOOKUP($C309,装備品!$1:$998,COLUMN(P$1),FALSE),"")</f>
        <v/>
      </c>
      <c r="T309" t="str">
        <f>IFERROR(VLOOKUP($C309,装備品!$1:$998,COLUMN(Q$1),FALSE),"")</f>
        <v/>
      </c>
      <c r="U309" t="str">
        <f>IFERROR(VLOOKUP($C309,装備品!$1:$998,COLUMN(R$1),FALSE),"")</f>
        <v/>
      </c>
      <c r="V309" t="str">
        <f>IFERROR(VLOOKUP($C309,装備品!$1:$998,COLUMN(Q$1),FALSE),"")</f>
        <v/>
      </c>
      <c r="W309" t="str">
        <f>IFERROR(VLOOKUP($C309,装備品!$1:$998,COLUMN(T$1),FALSE),"")</f>
        <v/>
      </c>
      <c r="Y309" t="str">
        <f>IFERROR(VLOOKUP($C309,装備品!$1:$998,COLUMN(U$1),FALSE),"")</f>
        <v/>
      </c>
      <c r="Z309" t="str">
        <f>IFERROR(ROUNDUP(VLOOKUP($C309,装備品!$1:$998,COLUMN(O$1),FALSE)*VLOOKUP($D309,素材!$1:$1016,COLUMN(E$1),FALSE),1),"")</f>
        <v/>
      </c>
      <c r="AA309">
        <f>IF(ISNUMBER(SEARCH(SUBSTITUTE(AA$1,RIGHT(AA$1,2),""),VLOOKUP($D309,素材!$1:$1016,COLUMN($F$1),FALSE))),VLOOKUP($C309,装備品!$1:$998,COLUMN($O$1),FALSE)*VLOOKUP($D309,素材!$1:$1016,COLUMN($E$1),FALSE)/(LEN(VLOOKUP($D309,素材!$1:$1016,COLUMN($F$1),FALSE))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B309">
        <f>IF(ISNUMBER(SEARCH(SUBSTITUTE(AB$1,RIGHT(AB$1,2),""),VLOOKUP($D309,素材!$1:$1016,COLUMN($F$1),FALSE))),VLOOKUP($C309,装備品!$1:$998,COLUMN($O$1),FALSE)*VLOOKUP($D309,素材!$1:$1016,COLUMN($E$1),FALSE)/(LEN(VLOOKUP($D309,素材!$1:$1016,COLUMN($F$1),FALSE))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C309">
        <f>IF(ISNUMBER(SEARCH(SUBSTITUTE(AC$1,RIGHT(AC$1,2),""),VLOOKUP($D309,素材!$1:$1016,COLUMN($F$1),FALSE))),VLOOKUP($C309,装備品!$1:$998,COLUMN($O$1),FALSE)*VLOOKUP($D309,素材!$1:$1016,COLUMN($E$1),FALSE)/(LEN(VLOOKUP($D309,素材!$1:$1016,COLUMN($F$1),FALSE))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D309">
        <f>IF(ISNUMBER(SEARCH(SUBSTITUTE(AD$1,RIGHT(AD$1,2),""),VLOOKUP($D309,素材!$1:$1016,COLUMN($F$1),FALSE))),VLOOKUP($C309,装備品!$1:$998,COLUMN($O$1),FALSE)*VLOOKUP($D309,素材!$1:$1016,COLUMN($E$1),FALSE)/(LEN(VLOOKUP($D309,素材!$1:$1016,COLUMN($F$1),FALSE))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E309">
        <f>IF(ISNUMBER(SEARCH(SUBSTITUTE(AE$1,RIGHT(AE$1,2),""),VLOOKUP($D309,素材!$1:$1016,COLUMN($F$1),FALSE))),VLOOKUP($C309,装備品!$1:$998,COLUMN($O$1),FALSE)*VLOOKUP($D309,素材!$1:$1016,COLUMN($E$1),FALSE)/(LEN(VLOOKUP($D309,素材!$1:$1016,COLUMN($F$1),FALSE))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F309">
        <f>IF(ISNUMBER(SEARCH(SUBSTITUTE(AF$1,RIGHT(AF$1,2),""),VLOOKUP($D309,素材!$1:$1016,COLUMN($F$1),FALSE))),VLOOKUP($C309,装備品!$1:$998,COLUMN($O$1),FALSE)*VLOOKUP($D309,素材!$1:$1016,COLUMN($E$1),FALSE)/(LEN(VLOOKUP($D309,素材!$1:$1016,COLUMN($F$1),FALSE))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G309">
        <f>IF(ISNUMBER(SEARCH(SUBSTITUTE(AG$1,RIGHT(AG$1,2),""),VLOOKUP($D309,素材!$1:$1016,COLUMN($F$1),FALSE))),VLOOKUP($C309,装備品!$1:$998,COLUMN($O$1),FALSE)*VLOOKUP($D309,素材!$1:$1016,COLUMN($E$1),FALSE)/(LEN(VLOOKUP($D309,素材!$1:$1016,COLUMN($F$1),FALSE))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H309">
        <f>IF(ISNUMBER(SEARCH(SUBSTITUTE(AH$1,RIGHT(AH$1,2),""),VLOOKUP($D309,素材!$1:$1016,COLUMN($F$1),FALSE))),VLOOKUP($C309,装備品!$1:$998,COLUMN($O$1),FALSE)*VLOOKUP($D309,素材!$1:$1016,COLUMN($E$1),FALSE)/(LEN(VLOOKUP($D309,素材!$1:$1016,COLUMN($F$1),FALSE))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I309">
        <f>IF(ISNUMBER(SEARCH(SUBSTITUTE(AI$1,RIGHT(AI$1,2),""),VLOOKUP($D309,素材!$1:$1016,COLUMN($F$1),FALSE))),VLOOKUP($C309,装備品!$1:$998,COLUMN($O$1),FALSE)*VLOOKUP($D309,素材!$1:$1016,COLUMN($E$1),FALSE)/(LEN(VLOOKUP($D309,素材!$1:$1016,COLUMN($F$1),FALSE))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J309">
        <f>IF(ISNUMBER(SEARCH(SUBSTITUTE(AJ$1,RIGHT(AJ$1,2),""),VLOOKUP($D309,素材!$1:$1016,COLUMN($F$1),FALSE))),VLOOKUP($C309,装備品!$1:$998,COLUMN($O$1),FALSE)*VLOOKUP($D309,素材!$1:$1016,COLUMN($E$1),FALSE)/(LEN(VLOOKUP($D309,素材!$1:$1016,COLUMN($F$1),FALSE))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K309">
        <f>IF(ISNUMBER(SEARCH(SUBSTITUTE(AK$1,RIGHT(AK$1,2),""),VLOOKUP($D309,素材!$1:$1016,COLUMN($F$1),FALSE))),VLOOKUP($C309,装備品!$1:$998,COLUMN($O$1),FALSE)*VLOOKUP($D309,素材!$1:$1016,COLUMN($E$1),FALSE)/(LEN(VLOOKUP($D309,素材!$1:$1016,COLUMN($F$1),FALSE))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L309">
        <f>IF(ISNUMBER(SEARCH(SUBSTITUTE(AL$1,RIGHT(AL$1,2),""),VLOOKUP($D309,素材!$1:$1016,COLUMN($F$1),FALSE))),VLOOKUP($C309,装備品!$1:$998,COLUMN($O$1),FALSE)*VLOOKUP($D309,素材!$1:$1016,COLUMN($E$1),FALSE)/(LEN(VLOOKUP($D309,素材!$1:$1016,COLUMN($F$1),FALSE))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M309">
        <f>IF(ISNUMBER(SEARCH(SUBSTITUTE(AM$1,RIGHT(AM$1,2),""),VLOOKUP($D309,素材!$1:$1016,COLUMN($F$1),FALSE))),VLOOKUP($C309,装備品!$1:$998,COLUMN($O$1),FALSE)*VLOOKUP($D309,素材!$1:$1016,COLUMN($E$1),FALSE)/(LEN(VLOOKUP($D309,素材!$1:$1016,COLUMN($F$1),FALSE))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N309">
        <f>IF(ISNUMBER(SEARCH(SUBSTITUTE(AN$1,RIGHT(AN$1,2),""),VLOOKUP($D309,素材!$1:$1016,COLUMN($F$1),FALSE))),VLOOKUP($C309,装備品!$1:$998,COLUMN($O$1),FALSE)*VLOOKUP($D309,素材!$1:$1016,COLUMN($E$1),FALSE)/(LEN(VLOOKUP($D309,素材!$1:$1016,COLUMN($F$1),FALSE))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O309">
        <f>IF(ISNUMBER(SEARCH(SUBSTITUTE(AO$1,RIGHT(AO$1,2),""),VLOOKUP($D309,素材!$1:$1016,COLUMN($F$1),FALSE))),VLOOKUP($C309,装備品!$1:$998,COLUMN($O$1),FALSE)*VLOOKUP($D309,素材!$1:$1016,COLUMN($E$1),FALSE)/(LEN(VLOOKUP($D309,素材!$1:$1016,COLUMN($F$1),FALSE))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P309">
        <f>IF(ISNUMBER(SEARCH(SUBSTITUTE(AP$1,RIGHT(AP$1,2),""),VLOOKUP($D309,素材!$1:$1016,COLUMN($F$1),FALSE))),VLOOKUP($C309,装備品!$1:$998,COLUMN($O$1),FALSE)*VLOOKUP($D309,素材!$1:$1016,COLUMN($E$1),FALSE)/(LEN(VLOOKUP($D309,素材!$1:$1016,COLUMN($F$1),FALSE))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Q309">
        <f>IF(ISNUMBER(SEARCH(SUBSTITUTE(AQ$1,RIGHT(AQ$1,2),""),VLOOKUP($D309,素材!$1:$1016,COLUMN($F$1),FALSE))),VLOOKUP($C309,装備品!$1:$998,COLUMN($O$1),FALSE)*VLOOKUP($D309,素材!$1:$1016,COLUMN($E$1),FALSE)/(LEN(VLOOKUP($D309,素材!$1:$1016,COLUMN($F$1),FALSE))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R309">
        <f>IF(ISNUMBER(SEARCH(SUBSTITUTE(AR$1,RIGHT(AR$1,2),""),VLOOKUP($D309,素材!$1:$1016,COLUMN($F$1),FALSE))),VLOOKUP($C309,装備品!$1:$998,COLUMN($O$1),FALSE)*VLOOKUP($D309,素材!$1:$1016,COLUMN($E$1),FALSE)/(LEN(VLOOKUP($D309,素材!$1:$1016,COLUMN($F$1),FALSE))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S309">
        <f>IF(ISNUMBER(SEARCH(SUBSTITUTE(AS$1,RIGHT(AS$1,2),""),VLOOKUP($D309,素材!$1:$1016,COLUMN($F$1),FALSE))),VLOOKUP($C309,装備品!$1:$998,COLUMN($O$1),FALSE)*VLOOKUP($D309,素材!$1:$1016,COLUMN($E$1),FALSE)/(LEN(VLOOKUP($D309,素材!$1:$1016,COLUMN($F$1),FALSE))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T309">
        <f>IF(ISNUMBER(SEARCH(SUBSTITUTE(AT$1,RIGHT(AT$1,2),""),VLOOKUP($D309,素材!$1:$1016,COLUMN($F$1),FALSE))),VLOOKUP($C309,装備品!$1:$998,COLUMN($O$1),FALSE)*VLOOKUP($D309,素材!$1:$1016,COLUMN($E$1),FALSE)/(LEN(VLOOKUP($D309,素材!$1:$1016,COLUMN($F$1),FALSE))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U309">
        <f>IF(ISNUMBER(SEARCH(SUBSTITUTE(AU$1,RIGHT(AU$1,2),""),VLOOKUP($D309,素材!$1:$1016,COLUMN($F$1),FALSE))),VLOOKUP($C309,装備品!$1:$998,COLUMN($O$1),FALSE)*VLOOKUP($D309,素材!$1:$1016,COLUMN($E$1),FALSE)/(LEN(VLOOKUP($D309,素材!$1:$1016,COLUMN($F$1),FALSE))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V309">
        <f>IF(ISNUMBER(SEARCH(SUBSTITUTE(AV$1,RIGHT(AV$1,2),""),VLOOKUP($D309,素材!$1:$1016,COLUMN($F$1),FALSE))),VLOOKUP($C309,装備品!$1:$998,COLUMN($O$1),FALSE)*VLOOKUP($D309,素材!$1:$1016,COLUMN($E$1),FALSE)/(LEN(VLOOKUP($D309,素材!$1:$1016,COLUMN($F$1),FALSE))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W309">
        <f>IF(ISNUMBER(SEARCH(SUBSTITUTE(AW$1,RIGHT(AW$1,2),""),VLOOKUP($D309,素材!$1:$1016,COLUMN($F$1),FALSE))),VLOOKUP($C309,装備品!$1:$998,COLUMN($O$1),FALSE)*VLOOKUP($D309,素材!$1:$1016,COLUMN($E$1),FALSE)/(LEN(VLOOKUP($D309,素材!$1:$1016,COLUMN($F$1),FALSE))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X309">
        <f>IF(ISNUMBER(SEARCH(SUBSTITUTE(AX$1,RIGHT(AX$1,2),""),VLOOKUP($D309,素材!$1:$1016,COLUMN($F$1),FALSE))),VLOOKUP($C309,装備品!$1:$998,COLUMN($O$1),FALSE)*VLOOKUP($D309,素材!$1:$1016,COLUMN($E$1),FALSE)/(LEN(VLOOKUP($D309,素材!$1:$1016,COLUMN($F$1),FALSE))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Y309">
        <f>IF(ISNUMBER(SEARCH(SUBSTITUTE(AY$1,RIGHT(AY$1,2),""),VLOOKUP($D309,素材!$1:$1016,COLUMN($F$1),FALSE))),VLOOKUP($C309,装備品!$1:$998,COLUMN($O$1),FALSE)*VLOOKUP($D309,素材!$1:$1016,COLUMN($E$1),FALSE)/(LEN(VLOOKUP($D309,素材!$1:$1016,COLUMN($F$1),FALSE))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Z309">
        <f>IF(ISNUMBER(SEARCH(SUBSTITUTE(AZ$1,RIGHT(AZ$1,2),""),VLOOKUP($D309,素材!$1:$1016,COLUMN($F$1),FALSE))),VLOOKUP($C309,装備品!$1:$998,COLUMN($O$1),FALSE)*VLOOKUP($D309,素材!$1:$1016,COLUMN($E$1),FALSE)/(LEN(VLOOKUP($D309,素材!$1:$1016,COLUMN($F$1),FALSE))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BA309">
        <f>IF(ISNUMBER(SEARCH(SUBSTITUTE(BA$1,RIGHT(BA$1,2),""),VLOOKUP($D309,素材!$1:$1016,COLUMN($F$1),FALSE))),VLOOKUP($C309,装備品!$1:$998,COLUMN($O$1),FALSE)*VLOOKUP($D309,素材!$1:$1016,COLUMN($E$1),FALSE)/(LEN(VLOOKUP($D309,素材!$1:$1016,COLUMN($F$1),FALSE))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BB309">
        <f>IF(ISNUMBER(SEARCH(SUBSTITUTE(BB$1,RIGHT(BB$1,2),""),VLOOKUP($D309,素材!$1:$1016,COLUMN($F$1),FALSE))),VLOOKUP($C309,装備品!$1:$998,COLUMN($O$1),FALSE)*VLOOKUP($D309,素材!$1:$1016,COLUMN($E$1),FALSE)/(LEN(VLOOKUP($D309,素材!$1:$1016,COLUMN($F$1),FALSE))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BC309">
        <f>IF(ISNUMBER(SEARCH(SUBSTITUTE(BC$1,RIGHT(BC$1,2),""),VLOOKUP($D309,素材!$1:$1016,COLUMN($F$1),FALSE))),VLOOKUP($C309,装備品!$1:$998,COLUMN($O$1),FALSE)*VLOOKUP($D309,素材!$1:$1016,COLUMN($E$1),FALSE)/(LEN(VLOOKUP($D309,素材!$1:$1016,COLUMN($F$1),FALSE))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BD309">
        <f>IF(ISNUMBER(SEARCH(SUBSTITUTE(BD$1,RIGHT(BD$1,2),""),VLOOKUP($D309,素材!$1:$1016,COLUMN($F$1),FALSE))),VLOOKUP($C309,装備品!$1:$998,COLUMN($O$1),FALSE)*VLOOKUP($D309,素材!$1:$1016,COLUMN($E$1),FALSE)/(LEN(VLOOKUP($D309,素材!$1:$1016,COLUMN($F$1),FALSE))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BE309">
        <f>IF(ISNUMBER(SEARCH(SUBSTITUTE(BE$1,RIGHT(BE$1,2),""),VLOOKUP($D309,素材!$1:$1016,COLUMN($F$1),FALSE))),VLOOKUP($C309,装備品!$1:$998,COLUMN($O$1),FALSE)*VLOOKUP($D309,素材!$1:$1016,COLUMN($E$1),FALSE)/(LEN(VLOOKUP($D309,素材!$1:$1016,COLUMN($F$1),FALSE))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CL309">
        <f t="shared" si="41"/>
        <v>0</v>
      </c>
      <c r="CM309" s="22" t="str">
        <f t="shared" si="42"/>
        <v>.webp</v>
      </c>
      <c r="CN309" t="str">
        <f>IFERROR(VLOOKUP($C309,装備品!$1:$998,COLUMN(V$1),FALSE)*VLOOKUP($D309,素材!$1:$1016,COLUMN(N$1),FALSE)+IF(CI309="",0,VLOOKUP($CI309,付与!$1:$1176,COLUMN($CK$1),FALSE)),"")</f>
        <v/>
      </c>
      <c r="CO309" t="e">
        <f>VLOOKUP(D309,素材!$A:$O,COLUMN(素材!O$1),FALSE)</f>
        <v>#N/A</v>
      </c>
      <c r="CP309" t="e">
        <f>VLOOKUP(C309,装備品!$A:$AB,COLUMN(装備品!AB$1),FALSE)</f>
        <v>#N/A</v>
      </c>
      <c r="CR309" t="str">
        <f t="shared" si="43"/>
        <v>e_309</v>
      </c>
      <c r="CS309" t="e">
        <f t="shared" si="44"/>
        <v>#VALUE!</v>
      </c>
    </row>
    <row r="310" spans="1:97" hidden="1" outlineLevel="1" x14ac:dyDescent="0.4">
      <c r="A310" t="str">
        <f t="shared" si="46"/>
        <v>の</v>
      </c>
      <c r="B310" t="str">
        <f>IFERROR(IF(CI310="",VLOOKUP($D310,素材!$1:$1016,COLUMN($B$1),FALSE)&amp;"・"&amp;VLOOKUP($C310,装備品!$1:$998,COLUMN(B$1),FALSE),VLOOKUP($CI310,付与!$1:$1176,COLUMN($B$1),FALSE)&amp;"・"&amp;VLOOKUP($C310,装備品!$1:$998,COLUMN(B$1),FALSE)),"")</f>
        <v/>
      </c>
      <c r="C310" s="24"/>
      <c r="D310" s="24"/>
      <c r="E310" t="str">
        <f>IFERROR(VLOOKUP(C310,装備品!$1:$998,COLUMN(C$1),FALSE),"")</f>
        <v/>
      </c>
      <c r="F310" t="str">
        <f>IFERROR(ROUNDDOWN((VLOOKUP($C310,装備品!$1:$998,COLUMN(D$1),FALSE)+IFERROR(VLOOKUP($CI310,付与!$1:$1167,COLUMN(F$1),FALSE),0))*VLOOKUP($D310,素材!$1:$1016,COLUMN(D$1),FALSE),0),"")</f>
        <v/>
      </c>
      <c r="G310" t="str">
        <f>IFERROR(ROUNDDOWN((VLOOKUP($C310,装備品!$1:$998,COLUMN(E$1),FALSE)+IFERROR(VLOOKUP($CI310,付与!$1:$1167,COLUMN(G$1),FALSE),0))*VLOOKUP($D310,素材!$1:$1016,COLUMN($E$1),FALSE),0),"")</f>
        <v/>
      </c>
      <c r="H310" t="str">
        <f>IFERROR(ROUNDDOWN((VLOOKUP($C310,装備品!$1:$998,COLUMN(F$1),FALSE)+IFERROR(VLOOKUP($CI310,付与!$1:$1167,COLUMN(H$1),FALSE),0))*VLOOKUP($D310,素材!$1:$1016,COLUMN($E$1),FALSE),0),"")</f>
        <v/>
      </c>
      <c r="I310" t="str">
        <f>IFERROR(ROUNDDOWN((VLOOKUP($C310,装備品!$1:$998,COLUMN(G$1),FALSE)+IFERROR(VLOOKUP($CI310,付与!$1:$1167,COLUMN(I$1),FALSE),0))*VLOOKUP($D310,素材!$1:$1016,COLUMN($E$1),FALSE),0),"")</f>
        <v/>
      </c>
      <c r="J310" t="str">
        <f>IFERROR(ROUNDDOWN((VLOOKUP($C310,装備品!$1:$998,COLUMN(H$1),FALSE)+IFERROR(VLOOKUP($CI310,付与!$1:$1167,COLUMN(J$1),FALSE),0))*VLOOKUP($D310,素材!$1:$1016,COLUMN($E$1),FALSE),0),"")</f>
        <v/>
      </c>
      <c r="K310" t="str">
        <f>IFERROR(ROUNDDOWN((VLOOKUP($C310,装備品!$1:$998,COLUMN(I$1),FALSE)+IFERROR(VLOOKUP($CI310,付与!$1:$1167,COLUMN(K$1),FALSE),0))*VLOOKUP($D310,素材!$1:$1016,COLUMN($E$1),FALSE),0),"")</f>
        <v/>
      </c>
      <c r="L310" t="str">
        <f>IFERROR(VLOOKUP($D310,素材!$1:$1016,COLUMN($F$1),FALSE),"")</f>
        <v/>
      </c>
      <c r="M310" t="str">
        <f>IFERROR(VLOOKUP($C310,装備品!$1:$998,COLUMN(AA$1),FALSE)*VLOOKUP($D310,素材!$1:$1016,COLUMN($G$1),FALSE),"")</f>
        <v/>
      </c>
      <c r="N310" t="str">
        <f>IFERROR(VLOOKUP($C310,装備品!$1:$998,COLUMN(I$1),FALSE),"")</f>
        <v/>
      </c>
      <c r="O310" s="23" t="str">
        <f>IFERROR((VLOOKUP($C310,装備品!$1:$998,COLUMN(K$1),FALSE)+VLOOKUP($D310,素材!$1:$1016,COLUMN(H$1),FALSE))*100+IFERROR(VLOOKUP($CI310,付与!$1:$1167,COLUMN(O$1),FALSE),0),"")</f>
        <v/>
      </c>
      <c r="P310" s="23" t="str">
        <f>IFERROR((VLOOKUP($C310,装備品!$1:$998,COLUMN(L$1),FALSE)+VLOOKUP($D310,素材!$1:$1016,COLUMN(I$1),FALSE))*100+IFERROR(VLOOKUP($CI310,付与!$1:$1167,COLUMN(P$1),FALSE),0),"")</f>
        <v/>
      </c>
      <c r="Q310" t="str">
        <f>IFERROR(ROUNDUP(VLOOKUP($C310,装備品!$1:$998,COLUMN(M$1),FALSE)*(VLOOKUP($D310,素材!$1:$1002,COLUMN(D$1),FALSE)/100),1),"")</f>
        <v/>
      </c>
      <c r="R310" t="str">
        <f>IFERROR(ROUNDUP(VLOOKUP($C310,装備品!$1:$998,COLUMN(N$1),FALSE)*(VLOOKUP($D310,素材!$1:$1002,COLUMN(D$1),FALSE)/100),1),"")</f>
        <v/>
      </c>
      <c r="S310" t="str">
        <f>IFERROR(VLOOKUP($C310,装備品!$1:$998,COLUMN(P$1),FALSE),"")</f>
        <v/>
      </c>
      <c r="T310" t="str">
        <f>IFERROR(VLOOKUP($C310,装備品!$1:$998,COLUMN(Q$1),FALSE),"")</f>
        <v/>
      </c>
      <c r="U310" t="str">
        <f>IFERROR(VLOOKUP($C310,装備品!$1:$998,COLUMN(R$1),FALSE),"")</f>
        <v/>
      </c>
      <c r="V310" t="str">
        <f>IFERROR(VLOOKUP($C310,装備品!$1:$998,COLUMN(Q$1),FALSE),"")</f>
        <v/>
      </c>
      <c r="W310" t="str">
        <f>IFERROR(VLOOKUP($C310,装備品!$1:$998,COLUMN(T$1),FALSE),"")</f>
        <v/>
      </c>
      <c r="Y310" t="str">
        <f>IFERROR(VLOOKUP($C310,装備品!$1:$998,COLUMN(U$1),FALSE),"")</f>
        <v/>
      </c>
      <c r="Z310" t="str">
        <f>IFERROR(ROUNDUP(VLOOKUP($C310,装備品!$1:$998,COLUMN(O$1),FALSE)*VLOOKUP($D310,素材!$1:$1016,COLUMN(E$1),FALSE),1),"")</f>
        <v/>
      </c>
      <c r="AA310">
        <f>IF(ISNUMBER(SEARCH(SUBSTITUTE(AA$1,RIGHT(AA$1,2),""),VLOOKUP($D310,素材!$1:$1016,COLUMN($F$1),FALSE))),VLOOKUP($C310,装備品!$1:$998,COLUMN($O$1),FALSE)*VLOOKUP($D310,素材!$1:$1016,COLUMN($E$1),FALSE)/(LEN(VLOOKUP($D310,素材!$1:$1016,COLUMN($F$1),FALSE))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B310">
        <f>IF(ISNUMBER(SEARCH(SUBSTITUTE(AB$1,RIGHT(AB$1,2),""),VLOOKUP($D310,素材!$1:$1016,COLUMN($F$1),FALSE))),VLOOKUP($C310,装備品!$1:$998,COLUMN($O$1),FALSE)*VLOOKUP($D310,素材!$1:$1016,COLUMN($E$1),FALSE)/(LEN(VLOOKUP($D310,素材!$1:$1016,COLUMN($F$1),FALSE))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C310">
        <f>IF(ISNUMBER(SEARCH(SUBSTITUTE(AC$1,RIGHT(AC$1,2),""),VLOOKUP($D310,素材!$1:$1016,COLUMN($F$1),FALSE))),VLOOKUP($C310,装備品!$1:$998,COLUMN($O$1),FALSE)*VLOOKUP($D310,素材!$1:$1016,COLUMN($E$1),FALSE)/(LEN(VLOOKUP($D310,素材!$1:$1016,COLUMN($F$1),FALSE))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D310">
        <f>IF(ISNUMBER(SEARCH(SUBSTITUTE(AD$1,RIGHT(AD$1,2),""),VLOOKUP($D310,素材!$1:$1016,COLUMN($F$1),FALSE))),VLOOKUP($C310,装備品!$1:$998,COLUMN($O$1),FALSE)*VLOOKUP($D310,素材!$1:$1016,COLUMN($E$1),FALSE)/(LEN(VLOOKUP($D310,素材!$1:$1016,COLUMN($F$1),FALSE))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E310">
        <f>IF(ISNUMBER(SEARCH(SUBSTITUTE(AE$1,RIGHT(AE$1,2),""),VLOOKUP($D310,素材!$1:$1016,COLUMN($F$1),FALSE))),VLOOKUP($C310,装備品!$1:$998,COLUMN($O$1),FALSE)*VLOOKUP($D310,素材!$1:$1016,COLUMN($E$1),FALSE)/(LEN(VLOOKUP($D310,素材!$1:$1016,COLUMN($F$1),FALSE))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F310">
        <f>IF(ISNUMBER(SEARCH(SUBSTITUTE(AF$1,RIGHT(AF$1,2),""),VLOOKUP($D310,素材!$1:$1016,COLUMN($F$1),FALSE))),VLOOKUP($C310,装備品!$1:$998,COLUMN($O$1),FALSE)*VLOOKUP($D310,素材!$1:$1016,COLUMN($E$1),FALSE)/(LEN(VLOOKUP($D310,素材!$1:$1016,COLUMN($F$1),FALSE))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G310">
        <f>IF(ISNUMBER(SEARCH(SUBSTITUTE(AG$1,RIGHT(AG$1,2),""),VLOOKUP($D310,素材!$1:$1016,COLUMN($F$1),FALSE))),VLOOKUP($C310,装備品!$1:$998,COLUMN($O$1),FALSE)*VLOOKUP($D310,素材!$1:$1016,COLUMN($E$1),FALSE)/(LEN(VLOOKUP($D310,素材!$1:$1016,COLUMN($F$1),FALSE))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H310">
        <f>IF(ISNUMBER(SEARCH(SUBSTITUTE(AH$1,RIGHT(AH$1,2),""),VLOOKUP($D310,素材!$1:$1016,COLUMN($F$1),FALSE))),VLOOKUP($C310,装備品!$1:$998,COLUMN($O$1),FALSE)*VLOOKUP($D310,素材!$1:$1016,COLUMN($E$1),FALSE)/(LEN(VLOOKUP($D310,素材!$1:$1016,COLUMN($F$1),FALSE))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I310">
        <f>IF(ISNUMBER(SEARCH(SUBSTITUTE(AI$1,RIGHT(AI$1,2),""),VLOOKUP($D310,素材!$1:$1016,COLUMN($F$1),FALSE))),VLOOKUP($C310,装備品!$1:$998,COLUMN($O$1),FALSE)*VLOOKUP($D310,素材!$1:$1016,COLUMN($E$1),FALSE)/(LEN(VLOOKUP($D310,素材!$1:$1016,COLUMN($F$1),FALSE))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J310">
        <f>IF(ISNUMBER(SEARCH(SUBSTITUTE(AJ$1,RIGHT(AJ$1,2),""),VLOOKUP($D310,素材!$1:$1016,COLUMN($F$1),FALSE))),VLOOKUP($C310,装備品!$1:$998,COLUMN($O$1),FALSE)*VLOOKUP($D310,素材!$1:$1016,COLUMN($E$1),FALSE)/(LEN(VLOOKUP($D310,素材!$1:$1016,COLUMN($F$1),FALSE))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K310">
        <f>IF(ISNUMBER(SEARCH(SUBSTITUTE(AK$1,RIGHT(AK$1,2),""),VLOOKUP($D310,素材!$1:$1016,COLUMN($F$1),FALSE))),VLOOKUP($C310,装備品!$1:$998,COLUMN($O$1),FALSE)*VLOOKUP($D310,素材!$1:$1016,COLUMN($E$1),FALSE)/(LEN(VLOOKUP($D310,素材!$1:$1016,COLUMN($F$1),FALSE))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L310">
        <f>IF(ISNUMBER(SEARCH(SUBSTITUTE(AL$1,RIGHT(AL$1,2),""),VLOOKUP($D310,素材!$1:$1016,COLUMN($F$1),FALSE))),VLOOKUP($C310,装備品!$1:$998,COLUMN($O$1),FALSE)*VLOOKUP($D310,素材!$1:$1016,COLUMN($E$1),FALSE)/(LEN(VLOOKUP($D310,素材!$1:$1016,COLUMN($F$1),FALSE))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M310">
        <f>IF(ISNUMBER(SEARCH(SUBSTITUTE(AM$1,RIGHT(AM$1,2),""),VLOOKUP($D310,素材!$1:$1016,COLUMN($F$1),FALSE))),VLOOKUP($C310,装備品!$1:$998,COLUMN($O$1),FALSE)*VLOOKUP($D310,素材!$1:$1016,COLUMN($E$1),FALSE)/(LEN(VLOOKUP($D310,素材!$1:$1016,COLUMN($F$1),FALSE))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N310">
        <f>IF(ISNUMBER(SEARCH(SUBSTITUTE(AN$1,RIGHT(AN$1,2),""),VLOOKUP($D310,素材!$1:$1016,COLUMN($F$1),FALSE))),VLOOKUP($C310,装備品!$1:$998,COLUMN($O$1),FALSE)*VLOOKUP($D310,素材!$1:$1016,COLUMN($E$1),FALSE)/(LEN(VLOOKUP($D310,素材!$1:$1016,COLUMN($F$1),FALSE))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O310">
        <f>IF(ISNUMBER(SEARCH(SUBSTITUTE(AO$1,RIGHT(AO$1,2),""),VLOOKUP($D310,素材!$1:$1016,COLUMN($F$1),FALSE))),VLOOKUP($C310,装備品!$1:$998,COLUMN($O$1),FALSE)*VLOOKUP($D310,素材!$1:$1016,COLUMN($E$1),FALSE)/(LEN(VLOOKUP($D310,素材!$1:$1016,COLUMN($F$1),FALSE))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P310">
        <f>IF(ISNUMBER(SEARCH(SUBSTITUTE(AP$1,RIGHT(AP$1,2),""),VLOOKUP($D310,素材!$1:$1016,COLUMN($F$1),FALSE))),VLOOKUP($C310,装備品!$1:$998,COLUMN($O$1),FALSE)*VLOOKUP($D310,素材!$1:$1016,COLUMN($E$1),FALSE)/(LEN(VLOOKUP($D310,素材!$1:$1016,COLUMN($F$1),FALSE))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Q310">
        <f>IF(ISNUMBER(SEARCH(SUBSTITUTE(AQ$1,RIGHT(AQ$1,2),""),VLOOKUP($D310,素材!$1:$1016,COLUMN($F$1),FALSE))),VLOOKUP($C310,装備品!$1:$998,COLUMN($O$1),FALSE)*VLOOKUP($D310,素材!$1:$1016,COLUMN($E$1),FALSE)/(LEN(VLOOKUP($D310,素材!$1:$1016,COLUMN($F$1),FALSE))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R310">
        <f>IF(ISNUMBER(SEARCH(SUBSTITUTE(AR$1,RIGHT(AR$1,2),""),VLOOKUP($D310,素材!$1:$1016,COLUMN($F$1),FALSE))),VLOOKUP($C310,装備品!$1:$998,COLUMN($O$1),FALSE)*VLOOKUP($D310,素材!$1:$1016,COLUMN($E$1),FALSE)/(LEN(VLOOKUP($D310,素材!$1:$1016,COLUMN($F$1),FALSE))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S310">
        <f>IF(ISNUMBER(SEARCH(SUBSTITUTE(AS$1,RIGHT(AS$1,2),""),VLOOKUP($D310,素材!$1:$1016,COLUMN($F$1),FALSE))),VLOOKUP($C310,装備品!$1:$998,COLUMN($O$1),FALSE)*VLOOKUP($D310,素材!$1:$1016,COLUMN($E$1),FALSE)/(LEN(VLOOKUP($D310,素材!$1:$1016,COLUMN($F$1),FALSE))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T310">
        <f>IF(ISNUMBER(SEARCH(SUBSTITUTE(AT$1,RIGHT(AT$1,2),""),VLOOKUP($D310,素材!$1:$1016,COLUMN($F$1),FALSE))),VLOOKUP($C310,装備品!$1:$998,COLUMN($O$1),FALSE)*VLOOKUP($D310,素材!$1:$1016,COLUMN($E$1),FALSE)/(LEN(VLOOKUP($D310,素材!$1:$1016,COLUMN($F$1),FALSE))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U310">
        <f>IF(ISNUMBER(SEARCH(SUBSTITUTE(AU$1,RIGHT(AU$1,2),""),VLOOKUP($D310,素材!$1:$1016,COLUMN($F$1),FALSE))),VLOOKUP($C310,装備品!$1:$998,COLUMN($O$1),FALSE)*VLOOKUP($D310,素材!$1:$1016,COLUMN($E$1),FALSE)/(LEN(VLOOKUP($D310,素材!$1:$1016,COLUMN($F$1),FALSE))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V310">
        <f>IF(ISNUMBER(SEARCH(SUBSTITUTE(AV$1,RIGHT(AV$1,2),""),VLOOKUP($D310,素材!$1:$1016,COLUMN($F$1),FALSE))),VLOOKUP($C310,装備品!$1:$998,COLUMN($O$1),FALSE)*VLOOKUP($D310,素材!$1:$1016,COLUMN($E$1),FALSE)/(LEN(VLOOKUP($D310,素材!$1:$1016,COLUMN($F$1),FALSE))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W310">
        <f>IF(ISNUMBER(SEARCH(SUBSTITUTE(AW$1,RIGHT(AW$1,2),""),VLOOKUP($D310,素材!$1:$1016,COLUMN($F$1),FALSE))),VLOOKUP($C310,装備品!$1:$998,COLUMN($O$1),FALSE)*VLOOKUP($D310,素材!$1:$1016,COLUMN($E$1),FALSE)/(LEN(VLOOKUP($D310,素材!$1:$1016,COLUMN($F$1),FALSE))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X310">
        <f>IF(ISNUMBER(SEARCH(SUBSTITUTE(AX$1,RIGHT(AX$1,2),""),VLOOKUP($D310,素材!$1:$1016,COLUMN($F$1),FALSE))),VLOOKUP($C310,装備品!$1:$998,COLUMN($O$1),FALSE)*VLOOKUP($D310,素材!$1:$1016,COLUMN($E$1),FALSE)/(LEN(VLOOKUP($D310,素材!$1:$1016,COLUMN($F$1),FALSE))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Y310">
        <f>IF(ISNUMBER(SEARCH(SUBSTITUTE(AY$1,RIGHT(AY$1,2),""),VLOOKUP($D310,素材!$1:$1016,COLUMN($F$1),FALSE))),VLOOKUP($C310,装備品!$1:$998,COLUMN($O$1),FALSE)*VLOOKUP($D310,素材!$1:$1016,COLUMN($E$1),FALSE)/(LEN(VLOOKUP($D310,素材!$1:$1016,COLUMN($F$1),FALSE))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Z310">
        <f>IF(ISNUMBER(SEARCH(SUBSTITUTE(AZ$1,RIGHT(AZ$1,2),""),VLOOKUP($D310,素材!$1:$1016,COLUMN($F$1),FALSE))),VLOOKUP($C310,装備品!$1:$998,COLUMN($O$1),FALSE)*VLOOKUP($D310,素材!$1:$1016,COLUMN($E$1),FALSE)/(LEN(VLOOKUP($D310,素材!$1:$1016,COLUMN($F$1),FALSE))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BA310">
        <f>IF(ISNUMBER(SEARCH(SUBSTITUTE(BA$1,RIGHT(BA$1,2),""),VLOOKUP($D310,素材!$1:$1016,COLUMN($F$1),FALSE))),VLOOKUP($C310,装備品!$1:$998,COLUMN($O$1),FALSE)*VLOOKUP($D310,素材!$1:$1016,COLUMN($E$1),FALSE)/(LEN(VLOOKUP($D310,素材!$1:$1016,COLUMN($F$1),FALSE))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BB310">
        <f>IF(ISNUMBER(SEARCH(SUBSTITUTE(BB$1,RIGHT(BB$1,2),""),VLOOKUP($D310,素材!$1:$1016,COLUMN($F$1),FALSE))),VLOOKUP($C310,装備品!$1:$998,COLUMN($O$1),FALSE)*VLOOKUP($D310,素材!$1:$1016,COLUMN($E$1),FALSE)/(LEN(VLOOKUP($D310,素材!$1:$1016,COLUMN($F$1),FALSE))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BC310">
        <f>IF(ISNUMBER(SEARCH(SUBSTITUTE(BC$1,RIGHT(BC$1,2),""),VLOOKUP($D310,素材!$1:$1016,COLUMN($F$1),FALSE))),VLOOKUP($C310,装備品!$1:$998,COLUMN($O$1),FALSE)*VLOOKUP($D310,素材!$1:$1016,COLUMN($E$1),FALSE)/(LEN(VLOOKUP($D310,素材!$1:$1016,COLUMN($F$1),FALSE))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BD310">
        <f>IF(ISNUMBER(SEARCH(SUBSTITUTE(BD$1,RIGHT(BD$1,2),""),VLOOKUP($D310,素材!$1:$1016,COLUMN($F$1),FALSE))),VLOOKUP($C310,装備品!$1:$998,COLUMN($O$1),FALSE)*VLOOKUP($D310,素材!$1:$1016,COLUMN($E$1),FALSE)/(LEN(VLOOKUP($D310,素材!$1:$1016,COLUMN($F$1),FALSE))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BE310">
        <f>IF(ISNUMBER(SEARCH(SUBSTITUTE(BE$1,RIGHT(BE$1,2),""),VLOOKUP($D310,素材!$1:$1016,COLUMN($F$1),FALSE))),VLOOKUP($C310,装備品!$1:$998,COLUMN($O$1),FALSE)*VLOOKUP($D310,素材!$1:$1016,COLUMN($E$1),FALSE)/(LEN(VLOOKUP($D310,素材!$1:$1016,COLUMN($F$1),FALSE))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CL310">
        <f t="shared" si="41"/>
        <v>0</v>
      </c>
      <c r="CM310" s="22" t="str">
        <f t="shared" si="42"/>
        <v>.webp</v>
      </c>
      <c r="CN310" t="str">
        <f>IFERROR(VLOOKUP($C310,装備品!$1:$998,COLUMN(V$1),FALSE)*VLOOKUP($D310,素材!$1:$1016,COLUMN(N$1),FALSE)+IF(CI310="",0,VLOOKUP($CI310,付与!$1:$1176,COLUMN($CK$1),FALSE)),"")</f>
        <v/>
      </c>
      <c r="CO310" t="e">
        <f>VLOOKUP(D310,素材!$A:$O,COLUMN(素材!O$1),FALSE)</f>
        <v>#N/A</v>
      </c>
      <c r="CP310" t="e">
        <f>VLOOKUP(C310,装備品!$A:$AB,COLUMN(装備品!AB$1),FALSE)</f>
        <v>#N/A</v>
      </c>
      <c r="CR310" t="str">
        <f t="shared" si="43"/>
        <v>e_310</v>
      </c>
      <c r="CS310" t="e">
        <f t="shared" si="44"/>
        <v>#VALUE!</v>
      </c>
    </row>
    <row r="311" spans="1:97" hidden="1" outlineLevel="1" x14ac:dyDescent="0.4">
      <c r="A311" t="str">
        <f t="shared" si="46"/>
        <v>の</v>
      </c>
      <c r="B311" t="str">
        <f>IFERROR(IF(CI311="",VLOOKUP($D311,素材!$1:$1016,COLUMN($B$1),FALSE)&amp;"・"&amp;VLOOKUP($C311,装備品!$1:$998,COLUMN(B$1),FALSE),VLOOKUP($CI311,付与!$1:$1176,COLUMN($B$1),FALSE)&amp;"・"&amp;VLOOKUP($C311,装備品!$1:$998,COLUMN(B$1),FALSE)),"")</f>
        <v/>
      </c>
      <c r="C311" s="24"/>
      <c r="D311" s="24"/>
      <c r="E311" t="str">
        <f>IFERROR(VLOOKUP(C311,装備品!$1:$998,COLUMN(C$1),FALSE),"")</f>
        <v/>
      </c>
      <c r="F311" t="str">
        <f>IFERROR(ROUNDDOWN((VLOOKUP($C311,装備品!$1:$998,COLUMN(D$1),FALSE)+IFERROR(VLOOKUP($CI311,付与!$1:$1167,COLUMN(F$1),FALSE),0))*VLOOKUP($D311,素材!$1:$1016,COLUMN(D$1),FALSE),0),"")</f>
        <v/>
      </c>
      <c r="G311" t="str">
        <f>IFERROR(ROUNDDOWN((VLOOKUP($C311,装備品!$1:$998,COLUMN(E$1),FALSE)+IFERROR(VLOOKUP($CI311,付与!$1:$1167,COLUMN(G$1),FALSE),0))*VLOOKUP($D311,素材!$1:$1016,COLUMN($E$1),FALSE),0),"")</f>
        <v/>
      </c>
      <c r="H311" t="str">
        <f>IFERROR(ROUNDDOWN((VLOOKUP($C311,装備品!$1:$998,COLUMN(F$1),FALSE)+IFERROR(VLOOKUP($CI311,付与!$1:$1167,COLUMN(H$1),FALSE),0))*VLOOKUP($D311,素材!$1:$1016,COLUMN($E$1),FALSE),0),"")</f>
        <v/>
      </c>
      <c r="I311" t="str">
        <f>IFERROR(ROUNDDOWN((VLOOKUP($C311,装備品!$1:$998,COLUMN(G$1),FALSE)+IFERROR(VLOOKUP($CI311,付与!$1:$1167,COLUMN(I$1),FALSE),0))*VLOOKUP($D311,素材!$1:$1016,COLUMN($E$1),FALSE),0),"")</f>
        <v/>
      </c>
      <c r="J311" t="str">
        <f>IFERROR(ROUNDDOWN((VLOOKUP($C311,装備品!$1:$998,COLUMN(H$1),FALSE)+IFERROR(VLOOKUP($CI311,付与!$1:$1167,COLUMN(J$1),FALSE),0))*VLOOKUP($D311,素材!$1:$1016,COLUMN($E$1),FALSE),0),"")</f>
        <v/>
      </c>
      <c r="K311" t="str">
        <f>IFERROR(ROUNDDOWN((VLOOKUP($C311,装備品!$1:$998,COLUMN(I$1),FALSE)+IFERROR(VLOOKUP($CI311,付与!$1:$1167,COLUMN(K$1),FALSE),0))*VLOOKUP($D311,素材!$1:$1016,COLUMN($E$1),FALSE),0),"")</f>
        <v/>
      </c>
      <c r="L311" t="str">
        <f>IFERROR(VLOOKUP($D311,素材!$1:$1016,COLUMN($F$1),FALSE),"")</f>
        <v/>
      </c>
      <c r="M311" t="str">
        <f>IFERROR(VLOOKUP($C311,装備品!$1:$998,COLUMN(AA$1),FALSE)*VLOOKUP($D311,素材!$1:$1016,COLUMN($G$1),FALSE),"")</f>
        <v/>
      </c>
      <c r="N311" t="str">
        <f>IFERROR(VLOOKUP($C311,装備品!$1:$998,COLUMN(I$1),FALSE),"")</f>
        <v/>
      </c>
      <c r="O311" s="23" t="str">
        <f>IFERROR((VLOOKUP($C311,装備品!$1:$998,COLUMN(K$1),FALSE)+VLOOKUP($D311,素材!$1:$1016,COLUMN(H$1),FALSE))*100+IFERROR(VLOOKUP($CI311,付与!$1:$1167,COLUMN(O$1),FALSE),0),"")</f>
        <v/>
      </c>
      <c r="P311" s="23" t="str">
        <f>IFERROR((VLOOKUP($C311,装備品!$1:$998,COLUMN(L$1),FALSE)+VLOOKUP($D311,素材!$1:$1016,COLUMN(I$1),FALSE))*100+IFERROR(VLOOKUP($CI311,付与!$1:$1167,COLUMN(P$1),FALSE),0),"")</f>
        <v/>
      </c>
      <c r="Q311" t="str">
        <f>IFERROR(ROUNDUP(VLOOKUP($C311,装備品!$1:$998,COLUMN(M$1),FALSE)*(VLOOKUP($D311,素材!$1:$1002,COLUMN(D$1),FALSE)/100),1),"")</f>
        <v/>
      </c>
      <c r="R311" t="str">
        <f>IFERROR(ROUNDUP(VLOOKUP($C311,装備品!$1:$998,COLUMN(N$1),FALSE)*(VLOOKUP($D311,素材!$1:$1002,COLUMN(D$1),FALSE)/100),1),"")</f>
        <v/>
      </c>
      <c r="S311" t="str">
        <f>IFERROR(VLOOKUP($C311,装備品!$1:$998,COLUMN(P$1),FALSE),"")</f>
        <v/>
      </c>
      <c r="T311" t="str">
        <f>IFERROR(VLOOKUP($C311,装備品!$1:$998,COLUMN(Q$1),FALSE),"")</f>
        <v/>
      </c>
      <c r="U311" t="str">
        <f>IFERROR(VLOOKUP($C311,装備品!$1:$998,COLUMN(R$1),FALSE),"")</f>
        <v/>
      </c>
      <c r="V311" t="str">
        <f>IFERROR(VLOOKUP($C311,装備品!$1:$998,COLUMN(Q$1),FALSE),"")</f>
        <v/>
      </c>
      <c r="W311" t="str">
        <f>IFERROR(VLOOKUP($C311,装備品!$1:$998,COLUMN(T$1),FALSE),"")</f>
        <v/>
      </c>
      <c r="Y311" t="str">
        <f>IFERROR(VLOOKUP($C311,装備品!$1:$998,COLUMN(U$1),FALSE),"")</f>
        <v/>
      </c>
      <c r="Z311" t="str">
        <f>IFERROR(ROUNDUP(VLOOKUP($C311,装備品!$1:$998,COLUMN(O$1),FALSE)*VLOOKUP($D311,素材!$1:$1016,COLUMN(E$1),FALSE),1),"")</f>
        <v/>
      </c>
      <c r="AA311">
        <f>IF(ISNUMBER(SEARCH(SUBSTITUTE(AA$1,RIGHT(AA$1,2),""),VLOOKUP($D311,素材!$1:$1016,COLUMN($F$1),FALSE))),VLOOKUP($C311,装備品!$1:$998,COLUMN($O$1),FALSE)*VLOOKUP($D311,素材!$1:$1016,COLUMN($E$1),FALSE)/(LEN(VLOOKUP($D311,素材!$1:$1016,COLUMN($F$1),FALSE))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B311">
        <f>IF(ISNUMBER(SEARCH(SUBSTITUTE(AB$1,RIGHT(AB$1,2),""),VLOOKUP($D311,素材!$1:$1016,COLUMN($F$1),FALSE))),VLOOKUP($C311,装備品!$1:$998,COLUMN($O$1),FALSE)*VLOOKUP($D311,素材!$1:$1016,COLUMN($E$1),FALSE)/(LEN(VLOOKUP($D311,素材!$1:$1016,COLUMN($F$1),FALSE))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C311">
        <f>IF(ISNUMBER(SEARCH(SUBSTITUTE(AC$1,RIGHT(AC$1,2),""),VLOOKUP($D311,素材!$1:$1016,COLUMN($F$1),FALSE))),VLOOKUP($C311,装備品!$1:$998,COLUMN($O$1),FALSE)*VLOOKUP($D311,素材!$1:$1016,COLUMN($E$1),FALSE)/(LEN(VLOOKUP($D311,素材!$1:$1016,COLUMN($F$1),FALSE))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D311">
        <f>IF(ISNUMBER(SEARCH(SUBSTITUTE(AD$1,RIGHT(AD$1,2),""),VLOOKUP($D311,素材!$1:$1016,COLUMN($F$1),FALSE))),VLOOKUP($C311,装備品!$1:$998,COLUMN($O$1),FALSE)*VLOOKUP($D311,素材!$1:$1016,COLUMN($E$1),FALSE)/(LEN(VLOOKUP($D311,素材!$1:$1016,COLUMN($F$1),FALSE))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E311">
        <f>IF(ISNUMBER(SEARCH(SUBSTITUTE(AE$1,RIGHT(AE$1,2),""),VLOOKUP($D311,素材!$1:$1016,COLUMN($F$1),FALSE))),VLOOKUP($C311,装備品!$1:$998,COLUMN($O$1),FALSE)*VLOOKUP($D311,素材!$1:$1016,COLUMN($E$1),FALSE)/(LEN(VLOOKUP($D311,素材!$1:$1016,COLUMN($F$1),FALSE))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F311">
        <f>IF(ISNUMBER(SEARCH(SUBSTITUTE(AF$1,RIGHT(AF$1,2),""),VLOOKUP($D311,素材!$1:$1016,COLUMN($F$1),FALSE))),VLOOKUP($C311,装備品!$1:$998,COLUMN($O$1),FALSE)*VLOOKUP($D311,素材!$1:$1016,COLUMN($E$1),FALSE)/(LEN(VLOOKUP($D311,素材!$1:$1016,COLUMN($F$1),FALSE))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G311">
        <f>IF(ISNUMBER(SEARCH(SUBSTITUTE(AG$1,RIGHT(AG$1,2),""),VLOOKUP($D311,素材!$1:$1016,COLUMN($F$1),FALSE))),VLOOKUP($C311,装備品!$1:$998,COLUMN($O$1),FALSE)*VLOOKUP($D311,素材!$1:$1016,COLUMN($E$1),FALSE)/(LEN(VLOOKUP($D311,素材!$1:$1016,COLUMN($F$1),FALSE))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H311">
        <f>IF(ISNUMBER(SEARCH(SUBSTITUTE(AH$1,RIGHT(AH$1,2),""),VLOOKUP($D311,素材!$1:$1016,COLUMN($F$1),FALSE))),VLOOKUP($C311,装備品!$1:$998,COLUMN($O$1),FALSE)*VLOOKUP($D311,素材!$1:$1016,COLUMN($E$1),FALSE)/(LEN(VLOOKUP($D311,素材!$1:$1016,COLUMN($F$1),FALSE))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I311">
        <f>IF(ISNUMBER(SEARCH(SUBSTITUTE(AI$1,RIGHT(AI$1,2),""),VLOOKUP($D311,素材!$1:$1016,COLUMN($F$1),FALSE))),VLOOKUP($C311,装備品!$1:$998,COLUMN($O$1),FALSE)*VLOOKUP($D311,素材!$1:$1016,COLUMN($E$1),FALSE)/(LEN(VLOOKUP($D311,素材!$1:$1016,COLUMN($F$1),FALSE))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J311">
        <f>IF(ISNUMBER(SEARCH(SUBSTITUTE(AJ$1,RIGHT(AJ$1,2),""),VLOOKUP($D311,素材!$1:$1016,COLUMN($F$1),FALSE))),VLOOKUP($C311,装備品!$1:$998,COLUMN($O$1),FALSE)*VLOOKUP($D311,素材!$1:$1016,COLUMN($E$1),FALSE)/(LEN(VLOOKUP($D311,素材!$1:$1016,COLUMN($F$1),FALSE))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K311">
        <f>IF(ISNUMBER(SEARCH(SUBSTITUTE(AK$1,RIGHT(AK$1,2),""),VLOOKUP($D311,素材!$1:$1016,COLUMN($F$1),FALSE))),VLOOKUP($C311,装備品!$1:$998,COLUMN($O$1),FALSE)*VLOOKUP($D311,素材!$1:$1016,COLUMN($E$1),FALSE)/(LEN(VLOOKUP($D311,素材!$1:$1016,COLUMN($F$1),FALSE))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L311">
        <f>IF(ISNUMBER(SEARCH(SUBSTITUTE(AL$1,RIGHT(AL$1,2),""),VLOOKUP($D311,素材!$1:$1016,COLUMN($F$1),FALSE))),VLOOKUP($C311,装備品!$1:$998,COLUMN($O$1),FALSE)*VLOOKUP($D311,素材!$1:$1016,COLUMN($E$1),FALSE)/(LEN(VLOOKUP($D311,素材!$1:$1016,COLUMN($F$1),FALSE))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M311">
        <f>IF(ISNUMBER(SEARCH(SUBSTITUTE(AM$1,RIGHT(AM$1,2),""),VLOOKUP($D311,素材!$1:$1016,COLUMN($F$1),FALSE))),VLOOKUP($C311,装備品!$1:$998,COLUMN($O$1),FALSE)*VLOOKUP($D311,素材!$1:$1016,COLUMN($E$1),FALSE)/(LEN(VLOOKUP($D311,素材!$1:$1016,COLUMN($F$1),FALSE))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N311">
        <f>IF(ISNUMBER(SEARCH(SUBSTITUTE(AN$1,RIGHT(AN$1,2),""),VLOOKUP($D311,素材!$1:$1016,COLUMN($F$1),FALSE))),VLOOKUP($C311,装備品!$1:$998,COLUMN($O$1),FALSE)*VLOOKUP($D311,素材!$1:$1016,COLUMN($E$1),FALSE)/(LEN(VLOOKUP($D311,素材!$1:$1016,COLUMN($F$1),FALSE))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O311">
        <f>IF(ISNUMBER(SEARCH(SUBSTITUTE(AO$1,RIGHT(AO$1,2),""),VLOOKUP($D311,素材!$1:$1016,COLUMN($F$1),FALSE))),VLOOKUP($C311,装備品!$1:$998,COLUMN($O$1),FALSE)*VLOOKUP($D311,素材!$1:$1016,COLUMN($E$1),FALSE)/(LEN(VLOOKUP($D311,素材!$1:$1016,COLUMN($F$1),FALSE))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P311">
        <f>IF(ISNUMBER(SEARCH(SUBSTITUTE(AP$1,RIGHT(AP$1,2),""),VLOOKUP($D311,素材!$1:$1016,COLUMN($F$1),FALSE))),VLOOKUP($C311,装備品!$1:$998,COLUMN($O$1),FALSE)*VLOOKUP($D311,素材!$1:$1016,COLUMN($E$1),FALSE)/(LEN(VLOOKUP($D311,素材!$1:$1016,COLUMN($F$1),FALSE))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Q311">
        <f>IF(ISNUMBER(SEARCH(SUBSTITUTE(AQ$1,RIGHT(AQ$1,2),""),VLOOKUP($D311,素材!$1:$1016,COLUMN($F$1),FALSE))),VLOOKUP($C311,装備品!$1:$998,COLUMN($O$1),FALSE)*VLOOKUP($D311,素材!$1:$1016,COLUMN($E$1),FALSE)/(LEN(VLOOKUP($D311,素材!$1:$1016,COLUMN($F$1),FALSE))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R311">
        <f>IF(ISNUMBER(SEARCH(SUBSTITUTE(AR$1,RIGHT(AR$1,2),""),VLOOKUP($D311,素材!$1:$1016,COLUMN($F$1),FALSE))),VLOOKUP($C311,装備品!$1:$998,COLUMN($O$1),FALSE)*VLOOKUP($D311,素材!$1:$1016,COLUMN($E$1),FALSE)/(LEN(VLOOKUP($D311,素材!$1:$1016,COLUMN($F$1),FALSE))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S311">
        <f>IF(ISNUMBER(SEARCH(SUBSTITUTE(AS$1,RIGHT(AS$1,2),""),VLOOKUP($D311,素材!$1:$1016,COLUMN($F$1),FALSE))),VLOOKUP($C311,装備品!$1:$998,COLUMN($O$1),FALSE)*VLOOKUP($D311,素材!$1:$1016,COLUMN($E$1),FALSE)/(LEN(VLOOKUP($D311,素材!$1:$1016,COLUMN($F$1),FALSE))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T311">
        <f>IF(ISNUMBER(SEARCH(SUBSTITUTE(AT$1,RIGHT(AT$1,2),""),VLOOKUP($D311,素材!$1:$1016,COLUMN($F$1),FALSE))),VLOOKUP($C311,装備品!$1:$998,COLUMN($O$1),FALSE)*VLOOKUP($D311,素材!$1:$1016,COLUMN($E$1),FALSE)/(LEN(VLOOKUP($D311,素材!$1:$1016,COLUMN($F$1),FALSE))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U311">
        <f>IF(ISNUMBER(SEARCH(SUBSTITUTE(AU$1,RIGHT(AU$1,2),""),VLOOKUP($D311,素材!$1:$1016,COLUMN($F$1),FALSE))),VLOOKUP($C311,装備品!$1:$998,COLUMN($O$1),FALSE)*VLOOKUP($D311,素材!$1:$1016,COLUMN($E$1),FALSE)/(LEN(VLOOKUP($D311,素材!$1:$1016,COLUMN($F$1),FALSE))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V311">
        <f>IF(ISNUMBER(SEARCH(SUBSTITUTE(AV$1,RIGHT(AV$1,2),""),VLOOKUP($D311,素材!$1:$1016,COLUMN($F$1),FALSE))),VLOOKUP($C311,装備品!$1:$998,COLUMN($O$1),FALSE)*VLOOKUP($D311,素材!$1:$1016,COLUMN($E$1),FALSE)/(LEN(VLOOKUP($D311,素材!$1:$1016,COLUMN($F$1),FALSE))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W311">
        <f>IF(ISNUMBER(SEARCH(SUBSTITUTE(AW$1,RIGHT(AW$1,2),""),VLOOKUP($D311,素材!$1:$1016,COLUMN($F$1),FALSE))),VLOOKUP($C311,装備品!$1:$998,COLUMN($O$1),FALSE)*VLOOKUP($D311,素材!$1:$1016,COLUMN($E$1),FALSE)/(LEN(VLOOKUP($D311,素材!$1:$1016,COLUMN($F$1),FALSE))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X311">
        <f>IF(ISNUMBER(SEARCH(SUBSTITUTE(AX$1,RIGHT(AX$1,2),""),VLOOKUP($D311,素材!$1:$1016,COLUMN($F$1),FALSE))),VLOOKUP($C311,装備品!$1:$998,COLUMN($O$1),FALSE)*VLOOKUP($D311,素材!$1:$1016,COLUMN($E$1),FALSE)/(LEN(VLOOKUP($D311,素材!$1:$1016,COLUMN($F$1),FALSE))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Y311">
        <f>IF(ISNUMBER(SEARCH(SUBSTITUTE(AY$1,RIGHT(AY$1,2),""),VLOOKUP($D311,素材!$1:$1016,COLUMN($F$1),FALSE))),VLOOKUP($C311,装備品!$1:$998,COLUMN($O$1),FALSE)*VLOOKUP($D311,素材!$1:$1016,COLUMN($E$1),FALSE)/(LEN(VLOOKUP($D311,素材!$1:$1016,COLUMN($F$1),FALSE))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Z311">
        <f>IF(ISNUMBER(SEARCH(SUBSTITUTE(AZ$1,RIGHT(AZ$1,2),""),VLOOKUP($D311,素材!$1:$1016,COLUMN($F$1),FALSE))),VLOOKUP($C311,装備品!$1:$998,COLUMN($O$1),FALSE)*VLOOKUP($D311,素材!$1:$1016,COLUMN($E$1),FALSE)/(LEN(VLOOKUP($D311,素材!$1:$1016,COLUMN($F$1),FALSE))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BA311">
        <f>IF(ISNUMBER(SEARCH(SUBSTITUTE(BA$1,RIGHT(BA$1,2),""),VLOOKUP($D311,素材!$1:$1016,COLUMN($F$1),FALSE))),VLOOKUP($C311,装備品!$1:$998,COLUMN($O$1),FALSE)*VLOOKUP($D311,素材!$1:$1016,COLUMN($E$1),FALSE)/(LEN(VLOOKUP($D311,素材!$1:$1016,COLUMN($F$1),FALSE))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BB311">
        <f>IF(ISNUMBER(SEARCH(SUBSTITUTE(BB$1,RIGHT(BB$1,2),""),VLOOKUP($D311,素材!$1:$1016,COLUMN($F$1),FALSE))),VLOOKUP($C311,装備品!$1:$998,COLUMN($O$1),FALSE)*VLOOKUP($D311,素材!$1:$1016,COLUMN($E$1),FALSE)/(LEN(VLOOKUP($D311,素材!$1:$1016,COLUMN($F$1),FALSE))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BC311">
        <f>IF(ISNUMBER(SEARCH(SUBSTITUTE(BC$1,RIGHT(BC$1,2),""),VLOOKUP($D311,素材!$1:$1016,COLUMN($F$1),FALSE))),VLOOKUP($C311,装備品!$1:$998,COLUMN($O$1),FALSE)*VLOOKUP($D311,素材!$1:$1016,COLUMN($E$1),FALSE)/(LEN(VLOOKUP($D311,素材!$1:$1016,COLUMN($F$1),FALSE))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BD311">
        <f>IF(ISNUMBER(SEARCH(SUBSTITUTE(BD$1,RIGHT(BD$1,2),""),VLOOKUP($D311,素材!$1:$1016,COLUMN($F$1),FALSE))),VLOOKUP($C311,装備品!$1:$998,COLUMN($O$1),FALSE)*VLOOKUP($D311,素材!$1:$1016,COLUMN($E$1),FALSE)/(LEN(VLOOKUP($D311,素材!$1:$1016,COLUMN($F$1),FALSE))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BE311">
        <f>IF(ISNUMBER(SEARCH(SUBSTITUTE(BE$1,RIGHT(BE$1,2),""),VLOOKUP($D311,素材!$1:$1016,COLUMN($F$1),FALSE))),VLOOKUP($C311,装備品!$1:$998,COLUMN($O$1),FALSE)*VLOOKUP($D311,素材!$1:$1016,COLUMN($E$1),FALSE)/(LEN(VLOOKUP($D311,素材!$1:$1016,COLUMN($F$1),FALSE))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CL311">
        <f t="shared" si="41"/>
        <v>0</v>
      </c>
      <c r="CM311" s="22" t="str">
        <f t="shared" si="42"/>
        <v>.webp</v>
      </c>
      <c r="CN311" t="str">
        <f>IFERROR(VLOOKUP($C311,装備品!$1:$998,COLUMN(V$1),FALSE)*VLOOKUP($D311,素材!$1:$1016,COLUMN(N$1),FALSE)+IF(CI311="",0,VLOOKUP($CI311,付与!$1:$1176,COLUMN($CK$1),FALSE)),"")</f>
        <v/>
      </c>
      <c r="CO311" t="e">
        <f>VLOOKUP(D311,素材!$A:$O,COLUMN(素材!O$1),FALSE)</f>
        <v>#N/A</v>
      </c>
      <c r="CP311" t="e">
        <f>VLOOKUP(C311,装備品!$A:$AB,COLUMN(装備品!AB$1),FALSE)</f>
        <v>#N/A</v>
      </c>
      <c r="CR311" t="str">
        <f t="shared" si="43"/>
        <v>e_311</v>
      </c>
      <c r="CS311" t="e">
        <f t="shared" si="44"/>
        <v>#VALUE!</v>
      </c>
    </row>
    <row r="312" spans="1:97" hidden="1" outlineLevel="1" x14ac:dyDescent="0.4">
      <c r="A312" t="str">
        <f t="shared" si="46"/>
        <v>の</v>
      </c>
      <c r="B312" t="str">
        <f>IFERROR(IF(CI312="",VLOOKUP($D312,素材!$1:$1016,COLUMN($B$1),FALSE)&amp;"・"&amp;VLOOKUP($C312,装備品!$1:$998,COLUMN(B$1),FALSE),VLOOKUP($CI312,付与!$1:$1176,COLUMN($B$1),FALSE)&amp;"・"&amp;VLOOKUP($C312,装備品!$1:$998,COLUMN(B$1),FALSE)),"")</f>
        <v/>
      </c>
      <c r="C312" s="24"/>
      <c r="D312" s="24"/>
      <c r="E312" t="str">
        <f>IFERROR(VLOOKUP(C312,装備品!$1:$998,COLUMN(C$1),FALSE),"")</f>
        <v/>
      </c>
      <c r="F312" t="str">
        <f>IFERROR(ROUNDDOWN((VLOOKUP($C312,装備品!$1:$998,COLUMN(D$1),FALSE)+IFERROR(VLOOKUP($CI312,付与!$1:$1167,COLUMN(F$1),FALSE),0))*VLOOKUP($D312,素材!$1:$1016,COLUMN(D$1),FALSE),0),"")</f>
        <v/>
      </c>
      <c r="G312" t="str">
        <f>IFERROR(ROUNDDOWN((VLOOKUP($C312,装備品!$1:$998,COLUMN(E$1),FALSE)+IFERROR(VLOOKUP($CI312,付与!$1:$1167,COLUMN(G$1),FALSE),0))*VLOOKUP($D312,素材!$1:$1016,COLUMN($E$1),FALSE),0),"")</f>
        <v/>
      </c>
      <c r="H312" t="str">
        <f>IFERROR(ROUNDDOWN((VLOOKUP($C312,装備品!$1:$998,COLUMN(F$1),FALSE)+IFERROR(VLOOKUP($CI312,付与!$1:$1167,COLUMN(H$1),FALSE),0))*VLOOKUP($D312,素材!$1:$1016,COLUMN($E$1),FALSE),0),"")</f>
        <v/>
      </c>
      <c r="I312" t="str">
        <f>IFERROR(ROUNDDOWN((VLOOKUP($C312,装備品!$1:$998,COLUMN(G$1),FALSE)+IFERROR(VLOOKUP($CI312,付与!$1:$1167,COLUMN(I$1),FALSE),0))*VLOOKUP($D312,素材!$1:$1016,COLUMN($E$1),FALSE),0),"")</f>
        <v/>
      </c>
      <c r="J312" t="str">
        <f>IFERROR(ROUNDDOWN((VLOOKUP($C312,装備品!$1:$998,COLUMN(H$1),FALSE)+IFERROR(VLOOKUP($CI312,付与!$1:$1167,COLUMN(J$1),FALSE),0))*VLOOKUP($D312,素材!$1:$1016,COLUMN($E$1),FALSE),0),"")</f>
        <v/>
      </c>
      <c r="K312" t="str">
        <f>IFERROR(ROUNDDOWN((VLOOKUP($C312,装備品!$1:$998,COLUMN(I$1),FALSE)+IFERROR(VLOOKUP($CI312,付与!$1:$1167,COLUMN(K$1),FALSE),0))*VLOOKUP($D312,素材!$1:$1016,COLUMN($E$1),FALSE),0),"")</f>
        <v/>
      </c>
      <c r="L312" t="str">
        <f>IFERROR(VLOOKUP($D312,素材!$1:$1016,COLUMN($F$1),FALSE),"")</f>
        <v/>
      </c>
      <c r="M312" t="str">
        <f>IFERROR(VLOOKUP($C312,装備品!$1:$998,COLUMN(AA$1),FALSE)*VLOOKUP($D312,素材!$1:$1016,COLUMN($G$1),FALSE),"")</f>
        <v/>
      </c>
      <c r="N312" t="str">
        <f>IFERROR(VLOOKUP($C312,装備品!$1:$998,COLUMN(I$1),FALSE),"")</f>
        <v/>
      </c>
      <c r="O312" s="23" t="str">
        <f>IFERROR((VLOOKUP($C312,装備品!$1:$998,COLUMN(K$1),FALSE)+VLOOKUP($D312,素材!$1:$1016,COLUMN(H$1),FALSE))*100+IFERROR(VLOOKUP($CI312,付与!$1:$1167,COLUMN(O$1),FALSE),0),"")</f>
        <v/>
      </c>
      <c r="P312" s="23" t="str">
        <f>IFERROR((VLOOKUP($C312,装備品!$1:$998,COLUMN(L$1),FALSE)+VLOOKUP($D312,素材!$1:$1016,COLUMN(I$1),FALSE))*100+IFERROR(VLOOKUP($CI312,付与!$1:$1167,COLUMN(P$1),FALSE),0),"")</f>
        <v/>
      </c>
      <c r="Q312" t="str">
        <f>IFERROR(ROUNDUP(VLOOKUP($C312,装備品!$1:$998,COLUMN(M$1),FALSE)*(VLOOKUP($D312,素材!$1:$1002,COLUMN(D$1),FALSE)/100),1),"")</f>
        <v/>
      </c>
      <c r="R312" t="str">
        <f>IFERROR(ROUNDUP(VLOOKUP($C312,装備品!$1:$998,COLUMN(N$1),FALSE)*(VLOOKUP($D312,素材!$1:$1002,COLUMN(D$1),FALSE)/100),1),"")</f>
        <v/>
      </c>
      <c r="S312" t="str">
        <f>IFERROR(VLOOKUP($C312,装備品!$1:$998,COLUMN(P$1),FALSE),"")</f>
        <v/>
      </c>
      <c r="T312" t="str">
        <f>IFERROR(VLOOKUP($C312,装備品!$1:$998,COLUMN(Q$1),FALSE),"")</f>
        <v/>
      </c>
      <c r="U312" t="str">
        <f>IFERROR(VLOOKUP($C312,装備品!$1:$998,COLUMN(R$1),FALSE),"")</f>
        <v/>
      </c>
      <c r="V312" t="str">
        <f>IFERROR(VLOOKUP($C312,装備品!$1:$998,COLUMN(Q$1),FALSE),"")</f>
        <v/>
      </c>
      <c r="W312" t="str">
        <f>IFERROR(VLOOKUP($C312,装備品!$1:$998,COLUMN(T$1),FALSE),"")</f>
        <v/>
      </c>
      <c r="Y312" t="str">
        <f>IFERROR(VLOOKUP($C312,装備品!$1:$998,COLUMN(U$1),FALSE),"")</f>
        <v/>
      </c>
      <c r="Z312" t="str">
        <f>IFERROR(ROUNDUP(VLOOKUP($C312,装備品!$1:$998,COLUMN(O$1),FALSE)*VLOOKUP($D312,素材!$1:$1016,COLUMN(E$1),FALSE),1),"")</f>
        <v/>
      </c>
      <c r="AA312">
        <f>IF(ISNUMBER(SEARCH(SUBSTITUTE(AA$1,RIGHT(AA$1,2),""),VLOOKUP($D312,素材!$1:$1016,COLUMN($F$1),FALSE))),VLOOKUP($C312,装備品!$1:$998,COLUMN($O$1),FALSE)*VLOOKUP($D312,素材!$1:$1016,COLUMN($E$1),FALSE)/(LEN(VLOOKUP($D312,素材!$1:$1016,COLUMN($F$1),FALSE))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B312">
        <f>IF(ISNUMBER(SEARCH(SUBSTITUTE(AB$1,RIGHT(AB$1,2),""),VLOOKUP($D312,素材!$1:$1016,COLUMN($F$1),FALSE))),VLOOKUP($C312,装備品!$1:$998,COLUMN($O$1),FALSE)*VLOOKUP($D312,素材!$1:$1016,COLUMN($E$1),FALSE)/(LEN(VLOOKUP($D312,素材!$1:$1016,COLUMN($F$1),FALSE))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C312">
        <f>IF(ISNUMBER(SEARCH(SUBSTITUTE(AC$1,RIGHT(AC$1,2),""),VLOOKUP($D312,素材!$1:$1016,COLUMN($F$1),FALSE))),VLOOKUP($C312,装備品!$1:$998,COLUMN($O$1),FALSE)*VLOOKUP($D312,素材!$1:$1016,COLUMN($E$1),FALSE)/(LEN(VLOOKUP($D312,素材!$1:$1016,COLUMN($F$1),FALSE))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D312">
        <f>IF(ISNUMBER(SEARCH(SUBSTITUTE(AD$1,RIGHT(AD$1,2),""),VLOOKUP($D312,素材!$1:$1016,COLUMN($F$1),FALSE))),VLOOKUP($C312,装備品!$1:$998,COLUMN($O$1),FALSE)*VLOOKUP($D312,素材!$1:$1016,COLUMN($E$1),FALSE)/(LEN(VLOOKUP($D312,素材!$1:$1016,COLUMN($F$1),FALSE))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E312">
        <f>IF(ISNUMBER(SEARCH(SUBSTITUTE(AE$1,RIGHT(AE$1,2),""),VLOOKUP($D312,素材!$1:$1016,COLUMN($F$1),FALSE))),VLOOKUP($C312,装備品!$1:$998,COLUMN($O$1),FALSE)*VLOOKUP($D312,素材!$1:$1016,COLUMN($E$1),FALSE)/(LEN(VLOOKUP($D312,素材!$1:$1016,COLUMN($F$1),FALSE))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F312">
        <f>IF(ISNUMBER(SEARCH(SUBSTITUTE(AF$1,RIGHT(AF$1,2),""),VLOOKUP($D312,素材!$1:$1016,COLUMN($F$1),FALSE))),VLOOKUP($C312,装備品!$1:$998,COLUMN($O$1),FALSE)*VLOOKUP($D312,素材!$1:$1016,COLUMN($E$1),FALSE)/(LEN(VLOOKUP($D312,素材!$1:$1016,COLUMN($F$1),FALSE))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G312">
        <f>IF(ISNUMBER(SEARCH(SUBSTITUTE(AG$1,RIGHT(AG$1,2),""),VLOOKUP($D312,素材!$1:$1016,COLUMN($F$1),FALSE))),VLOOKUP($C312,装備品!$1:$998,COLUMN($O$1),FALSE)*VLOOKUP($D312,素材!$1:$1016,COLUMN($E$1),FALSE)/(LEN(VLOOKUP($D312,素材!$1:$1016,COLUMN($F$1),FALSE))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H312">
        <f>IF(ISNUMBER(SEARCH(SUBSTITUTE(AH$1,RIGHT(AH$1,2),""),VLOOKUP($D312,素材!$1:$1016,COLUMN($F$1),FALSE))),VLOOKUP($C312,装備品!$1:$998,COLUMN($O$1),FALSE)*VLOOKUP($D312,素材!$1:$1016,COLUMN($E$1),FALSE)/(LEN(VLOOKUP($D312,素材!$1:$1016,COLUMN($F$1),FALSE))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I312">
        <f>IF(ISNUMBER(SEARCH(SUBSTITUTE(AI$1,RIGHT(AI$1,2),""),VLOOKUP($D312,素材!$1:$1016,COLUMN($F$1),FALSE))),VLOOKUP($C312,装備品!$1:$998,COLUMN($O$1),FALSE)*VLOOKUP($D312,素材!$1:$1016,COLUMN($E$1),FALSE)/(LEN(VLOOKUP($D312,素材!$1:$1016,COLUMN($F$1),FALSE))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J312">
        <f>IF(ISNUMBER(SEARCH(SUBSTITUTE(AJ$1,RIGHT(AJ$1,2),""),VLOOKUP($D312,素材!$1:$1016,COLUMN($F$1),FALSE))),VLOOKUP($C312,装備品!$1:$998,COLUMN($O$1),FALSE)*VLOOKUP($D312,素材!$1:$1016,COLUMN($E$1),FALSE)/(LEN(VLOOKUP($D312,素材!$1:$1016,COLUMN($F$1),FALSE))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K312">
        <f>IF(ISNUMBER(SEARCH(SUBSTITUTE(AK$1,RIGHT(AK$1,2),""),VLOOKUP($D312,素材!$1:$1016,COLUMN($F$1),FALSE))),VLOOKUP($C312,装備品!$1:$998,COLUMN($O$1),FALSE)*VLOOKUP($D312,素材!$1:$1016,COLUMN($E$1),FALSE)/(LEN(VLOOKUP($D312,素材!$1:$1016,COLUMN($F$1),FALSE))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L312">
        <f>IF(ISNUMBER(SEARCH(SUBSTITUTE(AL$1,RIGHT(AL$1,2),""),VLOOKUP($D312,素材!$1:$1016,COLUMN($F$1),FALSE))),VLOOKUP($C312,装備品!$1:$998,COLUMN($O$1),FALSE)*VLOOKUP($D312,素材!$1:$1016,COLUMN($E$1),FALSE)/(LEN(VLOOKUP($D312,素材!$1:$1016,COLUMN($F$1),FALSE))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M312">
        <f>IF(ISNUMBER(SEARCH(SUBSTITUTE(AM$1,RIGHT(AM$1,2),""),VLOOKUP($D312,素材!$1:$1016,COLUMN($F$1),FALSE))),VLOOKUP($C312,装備品!$1:$998,COLUMN($O$1),FALSE)*VLOOKUP($D312,素材!$1:$1016,COLUMN($E$1),FALSE)/(LEN(VLOOKUP($D312,素材!$1:$1016,COLUMN($F$1),FALSE))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N312">
        <f>IF(ISNUMBER(SEARCH(SUBSTITUTE(AN$1,RIGHT(AN$1,2),""),VLOOKUP($D312,素材!$1:$1016,COLUMN($F$1),FALSE))),VLOOKUP($C312,装備品!$1:$998,COLUMN($O$1),FALSE)*VLOOKUP($D312,素材!$1:$1016,COLUMN($E$1),FALSE)/(LEN(VLOOKUP($D312,素材!$1:$1016,COLUMN($F$1),FALSE))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O312">
        <f>IF(ISNUMBER(SEARCH(SUBSTITUTE(AO$1,RIGHT(AO$1,2),""),VLOOKUP($D312,素材!$1:$1016,COLUMN($F$1),FALSE))),VLOOKUP($C312,装備品!$1:$998,COLUMN($O$1),FALSE)*VLOOKUP($D312,素材!$1:$1016,COLUMN($E$1),FALSE)/(LEN(VLOOKUP($D312,素材!$1:$1016,COLUMN($F$1),FALSE))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P312">
        <f>IF(ISNUMBER(SEARCH(SUBSTITUTE(AP$1,RIGHT(AP$1,2),""),VLOOKUP($D312,素材!$1:$1016,COLUMN($F$1),FALSE))),VLOOKUP($C312,装備品!$1:$998,COLUMN($O$1),FALSE)*VLOOKUP($D312,素材!$1:$1016,COLUMN($E$1),FALSE)/(LEN(VLOOKUP($D312,素材!$1:$1016,COLUMN($F$1),FALSE))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Q312">
        <f>IF(ISNUMBER(SEARCH(SUBSTITUTE(AQ$1,RIGHT(AQ$1,2),""),VLOOKUP($D312,素材!$1:$1016,COLUMN($F$1),FALSE))),VLOOKUP($C312,装備品!$1:$998,COLUMN($O$1),FALSE)*VLOOKUP($D312,素材!$1:$1016,COLUMN($E$1),FALSE)/(LEN(VLOOKUP($D312,素材!$1:$1016,COLUMN($F$1),FALSE))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R312">
        <f>IF(ISNUMBER(SEARCH(SUBSTITUTE(AR$1,RIGHT(AR$1,2),""),VLOOKUP($D312,素材!$1:$1016,COLUMN($F$1),FALSE))),VLOOKUP($C312,装備品!$1:$998,COLUMN($O$1),FALSE)*VLOOKUP($D312,素材!$1:$1016,COLUMN($E$1),FALSE)/(LEN(VLOOKUP($D312,素材!$1:$1016,COLUMN($F$1),FALSE))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S312">
        <f>IF(ISNUMBER(SEARCH(SUBSTITUTE(AS$1,RIGHT(AS$1,2),""),VLOOKUP($D312,素材!$1:$1016,COLUMN($F$1),FALSE))),VLOOKUP($C312,装備品!$1:$998,COLUMN($O$1),FALSE)*VLOOKUP($D312,素材!$1:$1016,COLUMN($E$1),FALSE)/(LEN(VLOOKUP($D312,素材!$1:$1016,COLUMN($F$1),FALSE))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T312">
        <f>IF(ISNUMBER(SEARCH(SUBSTITUTE(AT$1,RIGHT(AT$1,2),""),VLOOKUP($D312,素材!$1:$1016,COLUMN($F$1),FALSE))),VLOOKUP($C312,装備品!$1:$998,COLUMN($O$1),FALSE)*VLOOKUP($D312,素材!$1:$1016,COLUMN($E$1),FALSE)/(LEN(VLOOKUP($D312,素材!$1:$1016,COLUMN($F$1),FALSE))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U312">
        <f>IF(ISNUMBER(SEARCH(SUBSTITUTE(AU$1,RIGHT(AU$1,2),""),VLOOKUP($D312,素材!$1:$1016,COLUMN($F$1),FALSE))),VLOOKUP($C312,装備品!$1:$998,COLUMN($O$1),FALSE)*VLOOKUP($D312,素材!$1:$1016,COLUMN($E$1),FALSE)/(LEN(VLOOKUP($D312,素材!$1:$1016,COLUMN($F$1),FALSE))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V312">
        <f>IF(ISNUMBER(SEARCH(SUBSTITUTE(AV$1,RIGHT(AV$1,2),""),VLOOKUP($D312,素材!$1:$1016,COLUMN($F$1),FALSE))),VLOOKUP($C312,装備品!$1:$998,COLUMN($O$1),FALSE)*VLOOKUP($D312,素材!$1:$1016,COLUMN($E$1),FALSE)/(LEN(VLOOKUP($D312,素材!$1:$1016,COLUMN($F$1),FALSE))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W312">
        <f>IF(ISNUMBER(SEARCH(SUBSTITUTE(AW$1,RIGHT(AW$1,2),""),VLOOKUP($D312,素材!$1:$1016,COLUMN($F$1),FALSE))),VLOOKUP($C312,装備品!$1:$998,COLUMN($O$1),FALSE)*VLOOKUP($D312,素材!$1:$1016,COLUMN($E$1),FALSE)/(LEN(VLOOKUP($D312,素材!$1:$1016,COLUMN($F$1),FALSE))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X312">
        <f>IF(ISNUMBER(SEARCH(SUBSTITUTE(AX$1,RIGHT(AX$1,2),""),VLOOKUP($D312,素材!$1:$1016,COLUMN($F$1),FALSE))),VLOOKUP($C312,装備品!$1:$998,COLUMN($O$1),FALSE)*VLOOKUP($D312,素材!$1:$1016,COLUMN($E$1),FALSE)/(LEN(VLOOKUP($D312,素材!$1:$1016,COLUMN($F$1),FALSE))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Y312">
        <f>IF(ISNUMBER(SEARCH(SUBSTITUTE(AY$1,RIGHT(AY$1,2),""),VLOOKUP($D312,素材!$1:$1016,COLUMN($F$1),FALSE))),VLOOKUP($C312,装備品!$1:$998,COLUMN($O$1),FALSE)*VLOOKUP($D312,素材!$1:$1016,COLUMN($E$1),FALSE)/(LEN(VLOOKUP($D312,素材!$1:$1016,COLUMN($F$1),FALSE))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Z312">
        <f>IF(ISNUMBER(SEARCH(SUBSTITUTE(AZ$1,RIGHT(AZ$1,2),""),VLOOKUP($D312,素材!$1:$1016,COLUMN($F$1),FALSE))),VLOOKUP($C312,装備品!$1:$998,COLUMN($O$1),FALSE)*VLOOKUP($D312,素材!$1:$1016,COLUMN($E$1),FALSE)/(LEN(VLOOKUP($D312,素材!$1:$1016,COLUMN($F$1),FALSE))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BA312">
        <f>IF(ISNUMBER(SEARCH(SUBSTITUTE(BA$1,RIGHT(BA$1,2),""),VLOOKUP($D312,素材!$1:$1016,COLUMN($F$1),FALSE))),VLOOKUP($C312,装備品!$1:$998,COLUMN($O$1),FALSE)*VLOOKUP($D312,素材!$1:$1016,COLUMN($E$1),FALSE)/(LEN(VLOOKUP($D312,素材!$1:$1016,COLUMN($F$1),FALSE))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BB312">
        <f>IF(ISNUMBER(SEARCH(SUBSTITUTE(BB$1,RIGHT(BB$1,2),""),VLOOKUP($D312,素材!$1:$1016,COLUMN($F$1),FALSE))),VLOOKUP($C312,装備品!$1:$998,COLUMN($O$1),FALSE)*VLOOKUP($D312,素材!$1:$1016,COLUMN($E$1),FALSE)/(LEN(VLOOKUP($D312,素材!$1:$1016,COLUMN($F$1),FALSE))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BC312">
        <f>IF(ISNUMBER(SEARCH(SUBSTITUTE(BC$1,RIGHT(BC$1,2),""),VLOOKUP($D312,素材!$1:$1016,COLUMN($F$1),FALSE))),VLOOKUP($C312,装備品!$1:$998,COLUMN($O$1),FALSE)*VLOOKUP($D312,素材!$1:$1016,COLUMN($E$1),FALSE)/(LEN(VLOOKUP($D312,素材!$1:$1016,COLUMN($F$1),FALSE))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BD312">
        <f>IF(ISNUMBER(SEARCH(SUBSTITUTE(BD$1,RIGHT(BD$1,2),""),VLOOKUP($D312,素材!$1:$1016,COLUMN($F$1),FALSE))),VLOOKUP($C312,装備品!$1:$998,COLUMN($O$1),FALSE)*VLOOKUP($D312,素材!$1:$1016,COLUMN($E$1),FALSE)/(LEN(VLOOKUP($D312,素材!$1:$1016,COLUMN($F$1),FALSE))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BE312">
        <f>IF(ISNUMBER(SEARCH(SUBSTITUTE(BE$1,RIGHT(BE$1,2),""),VLOOKUP($D312,素材!$1:$1016,COLUMN($F$1),FALSE))),VLOOKUP($C312,装備品!$1:$998,COLUMN($O$1),FALSE)*VLOOKUP($D312,素材!$1:$1016,COLUMN($E$1),FALSE)/(LEN(VLOOKUP($D312,素材!$1:$1016,COLUMN($F$1),FALSE))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CL312">
        <f t="shared" si="41"/>
        <v>0</v>
      </c>
      <c r="CM312" s="22" t="str">
        <f t="shared" si="42"/>
        <v>.webp</v>
      </c>
      <c r="CN312" t="str">
        <f>IFERROR(VLOOKUP($C312,装備品!$1:$998,COLUMN(V$1),FALSE)*VLOOKUP($D312,素材!$1:$1016,COLUMN(N$1),FALSE)+IF(CI312="",0,VLOOKUP($CI312,付与!$1:$1176,COLUMN($CK$1),FALSE)),"")</f>
        <v/>
      </c>
      <c r="CO312" t="e">
        <f>VLOOKUP(D312,素材!$A:$O,COLUMN(素材!O$1),FALSE)</f>
        <v>#N/A</v>
      </c>
      <c r="CP312" t="e">
        <f>VLOOKUP(C312,装備品!$A:$AB,COLUMN(装備品!AB$1),FALSE)</f>
        <v>#N/A</v>
      </c>
      <c r="CR312" t="str">
        <f t="shared" si="43"/>
        <v>e_312</v>
      </c>
      <c r="CS312" t="e">
        <f t="shared" si="44"/>
        <v>#VALUE!</v>
      </c>
    </row>
    <row r="313" spans="1:97" hidden="1" outlineLevel="1" x14ac:dyDescent="0.4">
      <c r="A313" t="str">
        <f t="shared" si="46"/>
        <v>の</v>
      </c>
      <c r="B313" t="str">
        <f>IFERROR(IF(CI313="",VLOOKUP($D313,素材!$1:$1016,COLUMN($B$1),FALSE)&amp;"・"&amp;VLOOKUP($C313,装備品!$1:$998,COLUMN(B$1),FALSE),VLOOKUP($CI313,付与!$1:$1176,COLUMN($B$1),FALSE)&amp;"・"&amp;VLOOKUP($C313,装備品!$1:$998,COLUMN(B$1),FALSE)),"")</f>
        <v/>
      </c>
      <c r="C313" s="24"/>
      <c r="D313" s="24"/>
      <c r="E313" t="str">
        <f>IFERROR(VLOOKUP(C313,装備品!$1:$998,COLUMN(C$1),FALSE),"")</f>
        <v/>
      </c>
      <c r="F313" t="str">
        <f>IFERROR(ROUNDDOWN((VLOOKUP($C313,装備品!$1:$998,COLUMN(D$1),FALSE)+IFERROR(VLOOKUP($CI313,付与!$1:$1167,COLUMN(F$1),FALSE),0))*VLOOKUP($D313,素材!$1:$1016,COLUMN(D$1),FALSE),0),"")</f>
        <v/>
      </c>
      <c r="G313" t="str">
        <f>IFERROR(ROUNDDOWN((VLOOKUP($C313,装備品!$1:$998,COLUMN(E$1),FALSE)+IFERROR(VLOOKUP($CI313,付与!$1:$1167,COLUMN(G$1),FALSE),0))*VLOOKUP($D313,素材!$1:$1016,COLUMN($E$1),FALSE),0),"")</f>
        <v/>
      </c>
      <c r="H313" t="str">
        <f>IFERROR(ROUNDDOWN((VLOOKUP($C313,装備品!$1:$998,COLUMN(F$1),FALSE)+IFERROR(VLOOKUP($CI313,付与!$1:$1167,COLUMN(H$1),FALSE),0))*VLOOKUP($D313,素材!$1:$1016,COLUMN($E$1),FALSE),0),"")</f>
        <v/>
      </c>
      <c r="I313" t="str">
        <f>IFERROR(ROUNDDOWN((VLOOKUP($C313,装備品!$1:$998,COLUMN(G$1),FALSE)+IFERROR(VLOOKUP($CI313,付与!$1:$1167,COLUMN(I$1),FALSE),0))*VLOOKUP($D313,素材!$1:$1016,COLUMN($E$1),FALSE),0),"")</f>
        <v/>
      </c>
      <c r="J313" t="str">
        <f>IFERROR(ROUNDDOWN((VLOOKUP($C313,装備品!$1:$998,COLUMN(H$1),FALSE)+IFERROR(VLOOKUP($CI313,付与!$1:$1167,COLUMN(J$1),FALSE),0))*VLOOKUP($D313,素材!$1:$1016,COLUMN($E$1),FALSE),0),"")</f>
        <v/>
      </c>
      <c r="K313" t="str">
        <f>IFERROR(ROUNDDOWN((VLOOKUP($C313,装備品!$1:$998,COLUMN(I$1),FALSE)+IFERROR(VLOOKUP($CI313,付与!$1:$1167,COLUMN(K$1),FALSE),0))*VLOOKUP($D313,素材!$1:$1016,COLUMN($E$1),FALSE),0),"")</f>
        <v/>
      </c>
      <c r="L313" t="str">
        <f>IFERROR(VLOOKUP($D313,素材!$1:$1016,COLUMN($F$1),FALSE),"")</f>
        <v/>
      </c>
      <c r="M313" t="str">
        <f>IFERROR(VLOOKUP($C313,装備品!$1:$998,COLUMN(AA$1),FALSE)*VLOOKUP($D313,素材!$1:$1016,COLUMN($G$1),FALSE),"")</f>
        <v/>
      </c>
      <c r="N313" t="str">
        <f>IFERROR(VLOOKUP($C313,装備品!$1:$998,COLUMN(I$1),FALSE),"")</f>
        <v/>
      </c>
      <c r="O313" s="23" t="str">
        <f>IFERROR((VLOOKUP($C313,装備品!$1:$998,COLUMN(K$1),FALSE)+VLOOKUP($D313,素材!$1:$1016,COLUMN(H$1),FALSE))*100+IFERROR(VLOOKUP($CI313,付与!$1:$1167,COLUMN(O$1),FALSE),0),"")</f>
        <v/>
      </c>
      <c r="P313" s="23" t="str">
        <f>IFERROR((VLOOKUP($C313,装備品!$1:$998,COLUMN(L$1),FALSE)+VLOOKUP($D313,素材!$1:$1016,COLUMN(I$1),FALSE))*100+IFERROR(VLOOKUP($CI313,付与!$1:$1167,COLUMN(P$1),FALSE),0),"")</f>
        <v/>
      </c>
      <c r="Q313" t="str">
        <f>IFERROR(ROUNDUP(VLOOKUP($C313,装備品!$1:$998,COLUMN(M$1),FALSE)*(VLOOKUP($D313,素材!$1:$1002,COLUMN(D$1),FALSE)/100),1),"")</f>
        <v/>
      </c>
      <c r="R313" t="str">
        <f>IFERROR(ROUNDUP(VLOOKUP($C313,装備品!$1:$998,COLUMN(N$1),FALSE)*(VLOOKUP($D313,素材!$1:$1002,COLUMN(D$1),FALSE)/100),1),"")</f>
        <v/>
      </c>
      <c r="S313" t="str">
        <f>IFERROR(VLOOKUP($C313,装備品!$1:$998,COLUMN(P$1),FALSE),"")</f>
        <v/>
      </c>
      <c r="T313" t="str">
        <f>IFERROR(VLOOKUP($C313,装備品!$1:$998,COLUMN(Q$1),FALSE),"")</f>
        <v/>
      </c>
      <c r="U313" t="str">
        <f>IFERROR(VLOOKUP($C313,装備品!$1:$998,COLUMN(R$1),FALSE),"")</f>
        <v/>
      </c>
      <c r="V313" t="str">
        <f>IFERROR(VLOOKUP($C313,装備品!$1:$998,COLUMN(Q$1),FALSE),"")</f>
        <v/>
      </c>
      <c r="W313" t="str">
        <f>IFERROR(VLOOKUP($C313,装備品!$1:$998,COLUMN(T$1),FALSE),"")</f>
        <v/>
      </c>
      <c r="Y313" t="str">
        <f>IFERROR(VLOOKUP($C313,装備品!$1:$998,COLUMN(U$1),FALSE),"")</f>
        <v/>
      </c>
      <c r="Z313" t="str">
        <f>IFERROR(ROUNDUP(VLOOKUP($C313,装備品!$1:$998,COLUMN(O$1),FALSE)*VLOOKUP($D313,素材!$1:$1016,COLUMN(E$1),FALSE),1),"")</f>
        <v/>
      </c>
      <c r="AA313">
        <f>IF(ISNUMBER(SEARCH(SUBSTITUTE(AA$1,RIGHT(AA$1,2),""),VLOOKUP($D313,素材!$1:$1016,COLUMN($F$1),FALSE))),VLOOKUP($C313,装備品!$1:$998,COLUMN($O$1),FALSE)*VLOOKUP($D313,素材!$1:$1016,COLUMN($E$1),FALSE)/(LEN(VLOOKUP($D313,素材!$1:$1016,COLUMN($F$1),FALSE))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B313">
        <f>IF(ISNUMBER(SEARCH(SUBSTITUTE(AB$1,RIGHT(AB$1,2),""),VLOOKUP($D313,素材!$1:$1016,COLUMN($F$1),FALSE))),VLOOKUP($C313,装備品!$1:$998,COLUMN($O$1),FALSE)*VLOOKUP($D313,素材!$1:$1016,COLUMN($E$1),FALSE)/(LEN(VLOOKUP($D313,素材!$1:$1016,COLUMN($F$1),FALSE))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C313">
        <f>IF(ISNUMBER(SEARCH(SUBSTITUTE(AC$1,RIGHT(AC$1,2),""),VLOOKUP($D313,素材!$1:$1016,COLUMN($F$1),FALSE))),VLOOKUP($C313,装備品!$1:$998,COLUMN($O$1),FALSE)*VLOOKUP($D313,素材!$1:$1016,COLUMN($E$1),FALSE)/(LEN(VLOOKUP($D313,素材!$1:$1016,COLUMN($F$1),FALSE))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D313">
        <f>IF(ISNUMBER(SEARCH(SUBSTITUTE(AD$1,RIGHT(AD$1,2),""),VLOOKUP($D313,素材!$1:$1016,COLUMN($F$1),FALSE))),VLOOKUP($C313,装備品!$1:$998,COLUMN($O$1),FALSE)*VLOOKUP($D313,素材!$1:$1016,COLUMN($E$1),FALSE)/(LEN(VLOOKUP($D313,素材!$1:$1016,COLUMN($F$1),FALSE))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E313">
        <f>IF(ISNUMBER(SEARCH(SUBSTITUTE(AE$1,RIGHT(AE$1,2),""),VLOOKUP($D313,素材!$1:$1016,COLUMN($F$1),FALSE))),VLOOKUP($C313,装備品!$1:$998,COLUMN($O$1),FALSE)*VLOOKUP($D313,素材!$1:$1016,COLUMN($E$1),FALSE)/(LEN(VLOOKUP($D313,素材!$1:$1016,COLUMN($F$1),FALSE))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F313">
        <f>IF(ISNUMBER(SEARCH(SUBSTITUTE(AF$1,RIGHT(AF$1,2),""),VLOOKUP($D313,素材!$1:$1016,COLUMN($F$1),FALSE))),VLOOKUP($C313,装備品!$1:$998,COLUMN($O$1),FALSE)*VLOOKUP($D313,素材!$1:$1016,COLUMN($E$1),FALSE)/(LEN(VLOOKUP($D313,素材!$1:$1016,COLUMN($F$1),FALSE))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G313">
        <f>IF(ISNUMBER(SEARCH(SUBSTITUTE(AG$1,RIGHT(AG$1,2),""),VLOOKUP($D313,素材!$1:$1016,COLUMN($F$1),FALSE))),VLOOKUP($C313,装備品!$1:$998,COLUMN($O$1),FALSE)*VLOOKUP($D313,素材!$1:$1016,COLUMN($E$1),FALSE)/(LEN(VLOOKUP($D313,素材!$1:$1016,COLUMN($F$1),FALSE))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H313">
        <f>IF(ISNUMBER(SEARCH(SUBSTITUTE(AH$1,RIGHT(AH$1,2),""),VLOOKUP($D313,素材!$1:$1016,COLUMN($F$1),FALSE))),VLOOKUP($C313,装備品!$1:$998,COLUMN($O$1),FALSE)*VLOOKUP($D313,素材!$1:$1016,COLUMN($E$1),FALSE)/(LEN(VLOOKUP($D313,素材!$1:$1016,COLUMN($F$1),FALSE))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I313">
        <f>IF(ISNUMBER(SEARCH(SUBSTITUTE(AI$1,RIGHT(AI$1,2),""),VLOOKUP($D313,素材!$1:$1016,COLUMN($F$1),FALSE))),VLOOKUP($C313,装備品!$1:$998,COLUMN($O$1),FALSE)*VLOOKUP($D313,素材!$1:$1016,COLUMN($E$1),FALSE)/(LEN(VLOOKUP($D313,素材!$1:$1016,COLUMN($F$1),FALSE))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J313">
        <f>IF(ISNUMBER(SEARCH(SUBSTITUTE(AJ$1,RIGHT(AJ$1,2),""),VLOOKUP($D313,素材!$1:$1016,COLUMN($F$1),FALSE))),VLOOKUP($C313,装備品!$1:$998,COLUMN($O$1),FALSE)*VLOOKUP($D313,素材!$1:$1016,COLUMN($E$1),FALSE)/(LEN(VLOOKUP($D313,素材!$1:$1016,COLUMN($F$1),FALSE))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K313">
        <f>IF(ISNUMBER(SEARCH(SUBSTITUTE(AK$1,RIGHT(AK$1,2),""),VLOOKUP($D313,素材!$1:$1016,COLUMN($F$1),FALSE))),VLOOKUP($C313,装備品!$1:$998,COLUMN($O$1),FALSE)*VLOOKUP($D313,素材!$1:$1016,COLUMN($E$1),FALSE)/(LEN(VLOOKUP($D313,素材!$1:$1016,COLUMN($F$1),FALSE))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L313">
        <f>IF(ISNUMBER(SEARCH(SUBSTITUTE(AL$1,RIGHT(AL$1,2),""),VLOOKUP($D313,素材!$1:$1016,COLUMN($F$1),FALSE))),VLOOKUP($C313,装備品!$1:$998,COLUMN($O$1),FALSE)*VLOOKUP($D313,素材!$1:$1016,COLUMN($E$1),FALSE)/(LEN(VLOOKUP($D313,素材!$1:$1016,COLUMN($F$1),FALSE))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M313">
        <f>IF(ISNUMBER(SEARCH(SUBSTITUTE(AM$1,RIGHT(AM$1,2),""),VLOOKUP($D313,素材!$1:$1016,COLUMN($F$1),FALSE))),VLOOKUP($C313,装備品!$1:$998,COLUMN($O$1),FALSE)*VLOOKUP($D313,素材!$1:$1016,COLUMN($E$1),FALSE)/(LEN(VLOOKUP($D313,素材!$1:$1016,COLUMN($F$1),FALSE))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N313">
        <f>IF(ISNUMBER(SEARCH(SUBSTITUTE(AN$1,RIGHT(AN$1,2),""),VLOOKUP($D313,素材!$1:$1016,COLUMN($F$1),FALSE))),VLOOKUP($C313,装備品!$1:$998,COLUMN($O$1),FALSE)*VLOOKUP($D313,素材!$1:$1016,COLUMN($E$1),FALSE)/(LEN(VLOOKUP($D313,素材!$1:$1016,COLUMN($F$1),FALSE))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O313">
        <f>IF(ISNUMBER(SEARCH(SUBSTITUTE(AO$1,RIGHT(AO$1,2),""),VLOOKUP($D313,素材!$1:$1016,COLUMN($F$1),FALSE))),VLOOKUP($C313,装備品!$1:$998,COLUMN($O$1),FALSE)*VLOOKUP($D313,素材!$1:$1016,COLUMN($E$1),FALSE)/(LEN(VLOOKUP($D313,素材!$1:$1016,COLUMN($F$1),FALSE))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P313">
        <f>IF(ISNUMBER(SEARCH(SUBSTITUTE(AP$1,RIGHT(AP$1,2),""),VLOOKUP($D313,素材!$1:$1016,COLUMN($F$1),FALSE))),VLOOKUP($C313,装備品!$1:$998,COLUMN($O$1),FALSE)*VLOOKUP($D313,素材!$1:$1016,COLUMN($E$1),FALSE)/(LEN(VLOOKUP($D313,素材!$1:$1016,COLUMN($F$1),FALSE))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Q313">
        <f>IF(ISNUMBER(SEARCH(SUBSTITUTE(AQ$1,RIGHT(AQ$1,2),""),VLOOKUP($D313,素材!$1:$1016,COLUMN($F$1),FALSE))),VLOOKUP($C313,装備品!$1:$998,COLUMN($O$1),FALSE)*VLOOKUP($D313,素材!$1:$1016,COLUMN($E$1),FALSE)/(LEN(VLOOKUP($D313,素材!$1:$1016,COLUMN($F$1),FALSE))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R313">
        <f>IF(ISNUMBER(SEARCH(SUBSTITUTE(AR$1,RIGHT(AR$1,2),""),VLOOKUP($D313,素材!$1:$1016,COLUMN($F$1),FALSE))),VLOOKUP($C313,装備品!$1:$998,COLUMN($O$1),FALSE)*VLOOKUP($D313,素材!$1:$1016,COLUMN($E$1),FALSE)/(LEN(VLOOKUP($D313,素材!$1:$1016,COLUMN($F$1),FALSE))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S313">
        <f>IF(ISNUMBER(SEARCH(SUBSTITUTE(AS$1,RIGHT(AS$1,2),""),VLOOKUP($D313,素材!$1:$1016,COLUMN($F$1),FALSE))),VLOOKUP($C313,装備品!$1:$998,COLUMN($O$1),FALSE)*VLOOKUP($D313,素材!$1:$1016,COLUMN($E$1),FALSE)/(LEN(VLOOKUP($D313,素材!$1:$1016,COLUMN($F$1),FALSE))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T313">
        <f>IF(ISNUMBER(SEARCH(SUBSTITUTE(AT$1,RIGHT(AT$1,2),""),VLOOKUP($D313,素材!$1:$1016,COLUMN($F$1),FALSE))),VLOOKUP($C313,装備品!$1:$998,COLUMN($O$1),FALSE)*VLOOKUP($D313,素材!$1:$1016,COLUMN($E$1),FALSE)/(LEN(VLOOKUP($D313,素材!$1:$1016,COLUMN($F$1),FALSE))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U313">
        <f>IF(ISNUMBER(SEARCH(SUBSTITUTE(AU$1,RIGHT(AU$1,2),""),VLOOKUP($D313,素材!$1:$1016,COLUMN($F$1),FALSE))),VLOOKUP($C313,装備品!$1:$998,COLUMN($O$1),FALSE)*VLOOKUP($D313,素材!$1:$1016,COLUMN($E$1),FALSE)/(LEN(VLOOKUP($D313,素材!$1:$1016,COLUMN($F$1),FALSE))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V313">
        <f>IF(ISNUMBER(SEARCH(SUBSTITUTE(AV$1,RIGHT(AV$1,2),""),VLOOKUP($D313,素材!$1:$1016,COLUMN($F$1),FALSE))),VLOOKUP($C313,装備品!$1:$998,COLUMN($O$1),FALSE)*VLOOKUP($D313,素材!$1:$1016,COLUMN($E$1),FALSE)/(LEN(VLOOKUP($D313,素材!$1:$1016,COLUMN($F$1),FALSE))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W313">
        <f>IF(ISNUMBER(SEARCH(SUBSTITUTE(AW$1,RIGHT(AW$1,2),""),VLOOKUP($D313,素材!$1:$1016,COLUMN($F$1),FALSE))),VLOOKUP($C313,装備品!$1:$998,COLUMN($O$1),FALSE)*VLOOKUP($D313,素材!$1:$1016,COLUMN($E$1),FALSE)/(LEN(VLOOKUP($D313,素材!$1:$1016,COLUMN($F$1),FALSE))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X313">
        <f>IF(ISNUMBER(SEARCH(SUBSTITUTE(AX$1,RIGHT(AX$1,2),""),VLOOKUP($D313,素材!$1:$1016,COLUMN($F$1),FALSE))),VLOOKUP($C313,装備品!$1:$998,COLUMN($O$1),FALSE)*VLOOKUP($D313,素材!$1:$1016,COLUMN($E$1),FALSE)/(LEN(VLOOKUP($D313,素材!$1:$1016,COLUMN($F$1),FALSE))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Y313">
        <f>IF(ISNUMBER(SEARCH(SUBSTITUTE(AY$1,RIGHT(AY$1,2),""),VLOOKUP($D313,素材!$1:$1016,COLUMN($F$1),FALSE))),VLOOKUP($C313,装備品!$1:$998,COLUMN($O$1),FALSE)*VLOOKUP($D313,素材!$1:$1016,COLUMN($E$1),FALSE)/(LEN(VLOOKUP($D313,素材!$1:$1016,COLUMN($F$1),FALSE))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Z313">
        <f>IF(ISNUMBER(SEARCH(SUBSTITUTE(AZ$1,RIGHT(AZ$1,2),""),VLOOKUP($D313,素材!$1:$1016,COLUMN($F$1),FALSE))),VLOOKUP($C313,装備品!$1:$998,COLUMN($O$1),FALSE)*VLOOKUP($D313,素材!$1:$1016,COLUMN($E$1),FALSE)/(LEN(VLOOKUP($D313,素材!$1:$1016,COLUMN($F$1),FALSE))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BA313">
        <f>IF(ISNUMBER(SEARCH(SUBSTITUTE(BA$1,RIGHT(BA$1,2),""),VLOOKUP($D313,素材!$1:$1016,COLUMN($F$1),FALSE))),VLOOKUP($C313,装備品!$1:$998,COLUMN($O$1),FALSE)*VLOOKUP($D313,素材!$1:$1016,COLUMN($E$1),FALSE)/(LEN(VLOOKUP($D313,素材!$1:$1016,COLUMN($F$1),FALSE))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BB313">
        <f>IF(ISNUMBER(SEARCH(SUBSTITUTE(BB$1,RIGHT(BB$1,2),""),VLOOKUP($D313,素材!$1:$1016,COLUMN($F$1),FALSE))),VLOOKUP($C313,装備品!$1:$998,COLUMN($O$1),FALSE)*VLOOKUP($D313,素材!$1:$1016,COLUMN($E$1),FALSE)/(LEN(VLOOKUP($D313,素材!$1:$1016,COLUMN($F$1),FALSE))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BC313">
        <f>IF(ISNUMBER(SEARCH(SUBSTITUTE(BC$1,RIGHT(BC$1,2),""),VLOOKUP($D313,素材!$1:$1016,COLUMN($F$1),FALSE))),VLOOKUP($C313,装備品!$1:$998,COLUMN($O$1),FALSE)*VLOOKUP($D313,素材!$1:$1016,COLUMN($E$1),FALSE)/(LEN(VLOOKUP($D313,素材!$1:$1016,COLUMN($F$1),FALSE))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BD313">
        <f>IF(ISNUMBER(SEARCH(SUBSTITUTE(BD$1,RIGHT(BD$1,2),""),VLOOKUP($D313,素材!$1:$1016,COLUMN($F$1),FALSE))),VLOOKUP($C313,装備品!$1:$998,COLUMN($O$1),FALSE)*VLOOKUP($D313,素材!$1:$1016,COLUMN($E$1),FALSE)/(LEN(VLOOKUP($D313,素材!$1:$1016,COLUMN($F$1),FALSE))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BE313">
        <f>IF(ISNUMBER(SEARCH(SUBSTITUTE(BE$1,RIGHT(BE$1,2),""),VLOOKUP($D313,素材!$1:$1016,COLUMN($F$1),FALSE))),VLOOKUP($C313,装備品!$1:$998,COLUMN($O$1),FALSE)*VLOOKUP($D313,素材!$1:$1016,COLUMN($E$1),FALSE)/(LEN(VLOOKUP($D313,素材!$1:$1016,COLUMN($F$1),FALSE))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CL313">
        <f t="shared" si="41"/>
        <v>0</v>
      </c>
      <c r="CM313" s="22" t="str">
        <f t="shared" si="42"/>
        <v>.webp</v>
      </c>
      <c r="CN313" t="str">
        <f>IFERROR(VLOOKUP($C313,装備品!$1:$998,COLUMN(V$1),FALSE)*VLOOKUP($D313,素材!$1:$1016,COLUMN(N$1),FALSE)+IF(CI313="",0,VLOOKUP($CI313,付与!$1:$1176,COLUMN($CK$1),FALSE)),"")</f>
        <v/>
      </c>
      <c r="CO313" t="e">
        <f>VLOOKUP(D313,素材!$A:$O,COLUMN(素材!O$1),FALSE)</f>
        <v>#N/A</v>
      </c>
      <c r="CP313" t="e">
        <f>VLOOKUP(C313,装備品!$A:$AB,COLUMN(装備品!AB$1),FALSE)</f>
        <v>#N/A</v>
      </c>
      <c r="CR313" t="str">
        <f t="shared" si="43"/>
        <v>e_313</v>
      </c>
      <c r="CS313" t="e">
        <f t="shared" si="44"/>
        <v>#VALUE!</v>
      </c>
    </row>
    <row r="314" spans="1:97" hidden="1" outlineLevel="1" x14ac:dyDescent="0.4">
      <c r="A314" t="str">
        <f t="shared" si="46"/>
        <v>の</v>
      </c>
      <c r="B314" t="str">
        <f>IFERROR(IF(CI314="",VLOOKUP($D314,素材!$1:$1016,COLUMN($B$1),FALSE)&amp;"・"&amp;VLOOKUP($C314,装備品!$1:$998,COLUMN(B$1),FALSE),VLOOKUP($CI314,付与!$1:$1176,COLUMN($B$1),FALSE)&amp;"・"&amp;VLOOKUP($C314,装備品!$1:$998,COLUMN(B$1),FALSE)),"")</f>
        <v/>
      </c>
      <c r="C314" s="24"/>
      <c r="D314" s="24"/>
      <c r="E314" t="str">
        <f>IFERROR(VLOOKUP(C314,装備品!$1:$998,COLUMN(C$1),FALSE),"")</f>
        <v/>
      </c>
      <c r="F314" t="str">
        <f>IFERROR(ROUNDDOWN((VLOOKUP($C314,装備品!$1:$998,COLUMN(D$1),FALSE)+IFERROR(VLOOKUP($CI314,付与!$1:$1167,COLUMN(F$1),FALSE),0))*VLOOKUP($D314,素材!$1:$1016,COLUMN(D$1),FALSE),0),"")</f>
        <v/>
      </c>
      <c r="G314" t="str">
        <f>IFERROR(ROUNDDOWN((VLOOKUP($C314,装備品!$1:$998,COLUMN(E$1),FALSE)+IFERROR(VLOOKUP($CI314,付与!$1:$1167,COLUMN(G$1),FALSE),0))*VLOOKUP($D314,素材!$1:$1016,COLUMN($E$1),FALSE),0),"")</f>
        <v/>
      </c>
      <c r="H314" t="str">
        <f>IFERROR(ROUNDDOWN((VLOOKUP($C314,装備品!$1:$998,COLUMN(F$1),FALSE)+IFERROR(VLOOKUP($CI314,付与!$1:$1167,COLUMN(H$1),FALSE),0))*VLOOKUP($D314,素材!$1:$1016,COLUMN($E$1),FALSE),0),"")</f>
        <v/>
      </c>
      <c r="I314" t="str">
        <f>IFERROR(ROUNDDOWN((VLOOKUP($C314,装備品!$1:$998,COLUMN(G$1),FALSE)+IFERROR(VLOOKUP($CI314,付与!$1:$1167,COLUMN(I$1),FALSE),0))*VLOOKUP($D314,素材!$1:$1016,COLUMN($E$1),FALSE),0),"")</f>
        <v/>
      </c>
      <c r="J314" t="str">
        <f>IFERROR(ROUNDDOWN((VLOOKUP($C314,装備品!$1:$998,COLUMN(H$1),FALSE)+IFERROR(VLOOKUP($CI314,付与!$1:$1167,COLUMN(J$1),FALSE),0))*VLOOKUP($D314,素材!$1:$1016,COLUMN($E$1),FALSE),0),"")</f>
        <v/>
      </c>
      <c r="K314" t="str">
        <f>IFERROR(ROUNDDOWN((VLOOKUP($C314,装備品!$1:$998,COLUMN(I$1),FALSE)+IFERROR(VLOOKUP($CI314,付与!$1:$1167,COLUMN(K$1),FALSE),0))*VLOOKUP($D314,素材!$1:$1016,COLUMN($E$1),FALSE),0),"")</f>
        <v/>
      </c>
      <c r="L314" t="str">
        <f>IFERROR(VLOOKUP($D314,素材!$1:$1016,COLUMN($F$1),FALSE),"")</f>
        <v/>
      </c>
      <c r="M314" t="str">
        <f>IFERROR(VLOOKUP($C314,装備品!$1:$998,COLUMN(AA$1),FALSE)*VLOOKUP($D314,素材!$1:$1016,COLUMN($G$1),FALSE),"")</f>
        <v/>
      </c>
      <c r="N314" t="str">
        <f>IFERROR(VLOOKUP($C314,装備品!$1:$998,COLUMN(I$1),FALSE),"")</f>
        <v/>
      </c>
      <c r="O314" s="23" t="str">
        <f>IFERROR((VLOOKUP($C314,装備品!$1:$998,COLUMN(K$1),FALSE)+VLOOKUP($D314,素材!$1:$1016,COLUMN(H$1),FALSE))*100+IFERROR(VLOOKUP($CI314,付与!$1:$1167,COLUMN(O$1),FALSE),0),"")</f>
        <v/>
      </c>
      <c r="P314" s="23" t="str">
        <f>IFERROR((VLOOKUP($C314,装備品!$1:$998,COLUMN(L$1),FALSE)+VLOOKUP($D314,素材!$1:$1016,COLUMN(I$1),FALSE))*100+IFERROR(VLOOKUP($CI314,付与!$1:$1167,COLUMN(P$1),FALSE),0),"")</f>
        <v/>
      </c>
      <c r="Q314" t="str">
        <f>IFERROR(ROUNDUP(VLOOKUP($C314,装備品!$1:$998,COLUMN(M$1),FALSE)*(VLOOKUP($D314,素材!$1:$1002,COLUMN(D$1),FALSE)/100),1),"")</f>
        <v/>
      </c>
      <c r="R314" t="str">
        <f>IFERROR(ROUNDUP(VLOOKUP($C314,装備品!$1:$998,COLUMN(N$1),FALSE)*(VLOOKUP($D314,素材!$1:$1002,COLUMN(D$1),FALSE)/100),1),"")</f>
        <v/>
      </c>
      <c r="S314" t="str">
        <f>IFERROR(VLOOKUP($C314,装備品!$1:$998,COLUMN(P$1),FALSE),"")</f>
        <v/>
      </c>
      <c r="T314" t="str">
        <f>IFERROR(VLOOKUP($C314,装備品!$1:$998,COLUMN(Q$1),FALSE),"")</f>
        <v/>
      </c>
      <c r="U314" t="str">
        <f>IFERROR(VLOOKUP($C314,装備品!$1:$998,COLUMN(R$1),FALSE),"")</f>
        <v/>
      </c>
      <c r="V314" t="str">
        <f>IFERROR(VLOOKUP($C314,装備品!$1:$998,COLUMN(Q$1),FALSE),"")</f>
        <v/>
      </c>
      <c r="W314" t="str">
        <f>IFERROR(VLOOKUP($C314,装備品!$1:$998,COLUMN(T$1),FALSE),"")</f>
        <v/>
      </c>
      <c r="Y314" t="str">
        <f>IFERROR(VLOOKUP($C314,装備品!$1:$998,COLUMN(U$1),FALSE),"")</f>
        <v/>
      </c>
      <c r="Z314" t="str">
        <f>IFERROR(ROUNDUP(VLOOKUP($C314,装備品!$1:$998,COLUMN(O$1),FALSE)*VLOOKUP($D314,素材!$1:$1016,COLUMN(E$1),FALSE),1),"")</f>
        <v/>
      </c>
      <c r="AA314">
        <f>IF(ISNUMBER(SEARCH(SUBSTITUTE(AA$1,RIGHT(AA$1,2),""),VLOOKUP($D314,素材!$1:$1016,COLUMN($F$1),FALSE))),VLOOKUP($C314,装備品!$1:$998,COLUMN($O$1),FALSE)*VLOOKUP($D314,素材!$1:$1016,COLUMN($E$1),FALSE)/(LEN(VLOOKUP($D314,素材!$1:$1016,COLUMN($F$1),FALSE))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B314">
        <f>IF(ISNUMBER(SEARCH(SUBSTITUTE(AB$1,RIGHT(AB$1,2),""),VLOOKUP($D314,素材!$1:$1016,COLUMN($F$1),FALSE))),VLOOKUP($C314,装備品!$1:$998,COLUMN($O$1),FALSE)*VLOOKUP($D314,素材!$1:$1016,COLUMN($E$1),FALSE)/(LEN(VLOOKUP($D314,素材!$1:$1016,COLUMN($F$1),FALSE))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C314">
        <f>IF(ISNUMBER(SEARCH(SUBSTITUTE(AC$1,RIGHT(AC$1,2),""),VLOOKUP($D314,素材!$1:$1016,COLUMN($F$1),FALSE))),VLOOKUP($C314,装備品!$1:$998,COLUMN($O$1),FALSE)*VLOOKUP($D314,素材!$1:$1016,COLUMN($E$1),FALSE)/(LEN(VLOOKUP($D314,素材!$1:$1016,COLUMN($F$1),FALSE))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D314">
        <f>IF(ISNUMBER(SEARCH(SUBSTITUTE(AD$1,RIGHT(AD$1,2),""),VLOOKUP($D314,素材!$1:$1016,COLUMN($F$1),FALSE))),VLOOKUP($C314,装備品!$1:$998,COLUMN($O$1),FALSE)*VLOOKUP($D314,素材!$1:$1016,COLUMN($E$1),FALSE)/(LEN(VLOOKUP($D314,素材!$1:$1016,COLUMN($F$1),FALSE))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E314">
        <f>IF(ISNUMBER(SEARCH(SUBSTITUTE(AE$1,RIGHT(AE$1,2),""),VLOOKUP($D314,素材!$1:$1016,COLUMN($F$1),FALSE))),VLOOKUP($C314,装備品!$1:$998,COLUMN($O$1),FALSE)*VLOOKUP($D314,素材!$1:$1016,COLUMN($E$1),FALSE)/(LEN(VLOOKUP($D314,素材!$1:$1016,COLUMN($F$1),FALSE))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F314">
        <f>IF(ISNUMBER(SEARCH(SUBSTITUTE(AF$1,RIGHT(AF$1,2),""),VLOOKUP($D314,素材!$1:$1016,COLUMN($F$1),FALSE))),VLOOKUP($C314,装備品!$1:$998,COLUMN($O$1),FALSE)*VLOOKUP($D314,素材!$1:$1016,COLUMN($E$1),FALSE)/(LEN(VLOOKUP($D314,素材!$1:$1016,COLUMN($F$1),FALSE))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G314">
        <f>IF(ISNUMBER(SEARCH(SUBSTITUTE(AG$1,RIGHT(AG$1,2),""),VLOOKUP($D314,素材!$1:$1016,COLUMN($F$1),FALSE))),VLOOKUP($C314,装備品!$1:$998,COLUMN($O$1),FALSE)*VLOOKUP($D314,素材!$1:$1016,COLUMN($E$1),FALSE)/(LEN(VLOOKUP($D314,素材!$1:$1016,COLUMN($F$1),FALSE))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H314">
        <f>IF(ISNUMBER(SEARCH(SUBSTITUTE(AH$1,RIGHT(AH$1,2),""),VLOOKUP($D314,素材!$1:$1016,COLUMN($F$1),FALSE))),VLOOKUP($C314,装備品!$1:$998,COLUMN($O$1),FALSE)*VLOOKUP($D314,素材!$1:$1016,COLUMN($E$1),FALSE)/(LEN(VLOOKUP($D314,素材!$1:$1016,COLUMN($F$1),FALSE))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I314">
        <f>IF(ISNUMBER(SEARCH(SUBSTITUTE(AI$1,RIGHT(AI$1,2),""),VLOOKUP($D314,素材!$1:$1016,COLUMN($F$1),FALSE))),VLOOKUP($C314,装備品!$1:$998,COLUMN($O$1),FALSE)*VLOOKUP($D314,素材!$1:$1016,COLUMN($E$1),FALSE)/(LEN(VLOOKUP($D314,素材!$1:$1016,COLUMN($F$1),FALSE))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J314">
        <f>IF(ISNUMBER(SEARCH(SUBSTITUTE(AJ$1,RIGHT(AJ$1,2),""),VLOOKUP($D314,素材!$1:$1016,COLUMN($F$1),FALSE))),VLOOKUP($C314,装備品!$1:$998,COLUMN($O$1),FALSE)*VLOOKUP($D314,素材!$1:$1016,COLUMN($E$1),FALSE)/(LEN(VLOOKUP($D314,素材!$1:$1016,COLUMN($F$1),FALSE))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K314">
        <f>IF(ISNUMBER(SEARCH(SUBSTITUTE(AK$1,RIGHT(AK$1,2),""),VLOOKUP($D314,素材!$1:$1016,COLUMN($F$1),FALSE))),VLOOKUP($C314,装備品!$1:$998,COLUMN($O$1),FALSE)*VLOOKUP($D314,素材!$1:$1016,COLUMN($E$1),FALSE)/(LEN(VLOOKUP($D314,素材!$1:$1016,COLUMN($F$1),FALSE))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L314">
        <f>IF(ISNUMBER(SEARCH(SUBSTITUTE(AL$1,RIGHT(AL$1,2),""),VLOOKUP($D314,素材!$1:$1016,COLUMN($F$1),FALSE))),VLOOKUP($C314,装備品!$1:$998,COLUMN($O$1),FALSE)*VLOOKUP($D314,素材!$1:$1016,COLUMN($E$1),FALSE)/(LEN(VLOOKUP($D314,素材!$1:$1016,COLUMN($F$1),FALSE))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M314">
        <f>IF(ISNUMBER(SEARCH(SUBSTITUTE(AM$1,RIGHT(AM$1,2),""),VLOOKUP($D314,素材!$1:$1016,COLUMN($F$1),FALSE))),VLOOKUP($C314,装備品!$1:$998,COLUMN($O$1),FALSE)*VLOOKUP($D314,素材!$1:$1016,COLUMN($E$1),FALSE)/(LEN(VLOOKUP($D314,素材!$1:$1016,COLUMN($F$1),FALSE))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N314">
        <f>IF(ISNUMBER(SEARCH(SUBSTITUTE(AN$1,RIGHT(AN$1,2),""),VLOOKUP($D314,素材!$1:$1016,COLUMN($F$1),FALSE))),VLOOKUP($C314,装備品!$1:$998,COLUMN($O$1),FALSE)*VLOOKUP($D314,素材!$1:$1016,COLUMN($E$1),FALSE)/(LEN(VLOOKUP($D314,素材!$1:$1016,COLUMN($F$1),FALSE))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O314">
        <f>IF(ISNUMBER(SEARCH(SUBSTITUTE(AO$1,RIGHT(AO$1,2),""),VLOOKUP($D314,素材!$1:$1016,COLUMN($F$1),FALSE))),VLOOKUP($C314,装備品!$1:$998,COLUMN($O$1),FALSE)*VLOOKUP($D314,素材!$1:$1016,COLUMN($E$1),FALSE)/(LEN(VLOOKUP($D314,素材!$1:$1016,COLUMN($F$1),FALSE))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P314">
        <f>IF(ISNUMBER(SEARCH(SUBSTITUTE(AP$1,RIGHT(AP$1,2),""),VLOOKUP($D314,素材!$1:$1016,COLUMN($F$1),FALSE))),VLOOKUP($C314,装備品!$1:$998,COLUMN($O$1),FALSE)*VLOOKUP($D314,素材!$1:$1016,COLUMN($E$1),FALSE)/(LEN(VLOOKUP($D314,素材!$1:$1016,COLUMN($F$1),FALSE))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Q314">
        <f>IF(ISNUMBER(SEARCH(SUBSTITUTE(AQ$1,RIGHT(AQ$1,2),""),VLOOKUP($D314,素材!$1:$1016,COLUMN($F$1),FALSE))),VLOOKUP($C314,装備品!$1:$998,COLUMN($O$1),FALSE)*VLOOKUP($D314,素材!$1:$1016,COLUMN($E$1),FALSE)/(LEN(VLOOKUP($D314,素材!$1:$1016,COLUMN($F$1),FALSE))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R314">
        <f>IF(ISNUMBER(SEARCH(SUBSTITUTE(AR$1,RIGHT(AR$1,2),""),VLOOKUP($D314,素材!$1:$1016,COLUMN($F$1),FALSE))),VLOOKUP($C314,装備品!$1:$998,COLUMN($O$1),FALSE)*VLOOKUP($D314,素材!$1:$1016,COLUMN($E$1),FALSE)/(LEN(VLOOKUP($D314,素材!$1:$1016,COLUMN($F$1),FALSE))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S314">
        <f>IF(ISNUMBER(SEARCH(SUBSTITUTE(AS$1,RIGHT(AS$1,2),""),VLOOKUP($D314,素材!$1:$1016,COLUMN($F$1),FALSE))),VLOOKUP($C314,装備品!$1:$998,COLUMN($O$1),FALSE)*VLOOKUP($D314,素材!$1:$1016,COLUMN($E$1),FALSE)/(LEN(VLOOKUP($D314,素材!$1:$1016,COLUMN($F$1),FALSE))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T314">
        <f>IF(ISNUMBER(SEARCH(SUBSTITUTE(AT$1,RIGHT(AT$1,2),""),VLOOKUP($D314,素材!$1:$1016,COLUMN($F$1),FALSE))),VLOOKUP($C314,装備品!$1:$998,COLUMN($O$1),FALSE)*VLOOKUP($D314,素材!$1:$1016,COLUMN($E$1),FALSE)/(LEN(VLOOKUP($D314,素材!$1:$1016,COLUMN($F$1),FALSE))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U314">
        <f>IF(ISNUMBER(SEARCH(SUBSTITUTE(AU$1,RIGHT(AU$1,2),""),VLOOKUP($D314,素材!$1:$1016,COLUMN($F$1),FALSE))),VLOOKUP($C314,装備品!$1:$998,COLUMN($O$1),FALSE)*VLOOKUP($D314,素材!$1:$1016,COLUMN($E$1),FALSE)/(LEN(VLOOKUP($D314,素材!$1:$1016,COLUMN($F$1),FALSE))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V314">
        <f>IF(ISNUMBER(SEARCH(SUBSTITUTE(AV$1,RIGHT(AV$1,2),""),VLOOKUP($D314,素材!$1:$1016,COLUMN($F$1),FALSE))),VLOOKUP($C314,装備品!$1:$998,COLUMN($O$1),FALSE)*VLOOKUP($D314,素材!$1:$1016,COLUMN($E$1),FALSE)/(LEN(VLOOKUP($D314,素材!$1:$1016,COLUMN($F$1),FALSE))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W314">
        <f>IF(ISNUMBER(SEARCH(SUBSTITUTE(AW$1,RIGHT(AW$1,2),""),VLOOKUP($D314,素材!$1:$1016,COLUMN($F$1),FALSE))),VLOOKUP($C314,装備品!$1:$998,COLUMN($O$1),FALSE)*VLOOKUP($D314,素材!$1:$1016,COLUMN($E$1),FALSE)/(LEN(VLOOKUP($D314,素材!$1:$1016,COLUMN($F$1),FALSE))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X314">
        <f>IF(ISNUMBER(SEARCH(SUBSTITUTE(AX$1,RIGHT(AX$1,2),""),VLOOKUP($D314,素材!$1:$1016,COLUMN($F$1),FALSE))),VLOOKUP($C314,装備品!$1:$998,COLUMN($O$1),FALSE)*VLOOKUP($D314,素材!$1:$1016,COLUMN($E$1),FALSE)/(LEN(VLOOKUP($D314,素材!$1:$1016,COLUMN($F$1),FALSE))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Y314">
        <f>IF(ISNUMBER(SEARCH(SUBSTITUTE(AY$1,RIGHT(AY$1,2),""),VLOOKUP($D314,素材!$1:$1016,COLUMN($F$1),FALSE))),VLOOKUP($C314,装備品!$1:$998,COLUMN($O$1),FALSE)*VLOOKUP($D314,素材!$1:$1016,COLUMN($E$1),FALSE)/(LEN(VLOOKUP($D314,素材!$1:$1016,COLUMN($F$1),FALSE))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Z314">
        <f>IF(ISNUMBER(SEARCH(SUBSTITUTE(AZ$1,RIGHT(AZ$1,2),""),VLOOKUP($D314,素材!$1:$1016,COLUMN($F$1),FALSE))),VLOOKUP($C314,装備品!$1:$998,COLUMN($O$1),FALSE)*VLOOKUP($D314,素材!$1:$1016,COLUMN($E$1),FALSE)/(LEN(VLOOKUP($D314,素材!$1:$1016,COLUMN($F$1),FALSE))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BA314">
        <f>IF(ISNUMBER(SEARCH(SUBSTITUTE(BA$1,RIGHT(BA$1,2),""),VLOOKUP($D314,素材!$1:$1016,COLUMN($F$1),FALSE))),VLOOKUP($C314,装備品!$1:$998,COLUMN($O$1),FALSE)*VLOOKUP($D314,素材!$1:$1016,COLUMN($E$1),FALSE)/(LEN(VLOOKUP($D314,素材!$1:$1016,COLUMN($F$1),FALSE))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BB314">
        <f>IF(ISNUMBER(SEARCH(SUBSTITUTE(BB$1,RIGHT(BB$1,2),""),VLOOKUP($D314,素材!$1:$1016,COLUMN($F$1),FALSE))),VLOOKUP($C314,装備品!$1:$998,COLUMN($O$1),FALSE)*VLOOKUP($D314,素材!$1:$1016,COLUMN($E$1),FALSE)/(LEN(VLOOKUP($D314,素材!$1:$1016,COLUMN($F$1),FALSE))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BC314">
        <f>IF(ISNUMBER(SEARCH(SUBSTITUTE(BC$1,RIGHT(BC$1,2),""),VLOOKUP($D314,素材!$1:$1016,COLUMN($F$1),FALSE))),VLOOKUP($C314,装備品!$1:$998,COLUMN($O$1),FALSE)*VLOOKUP($D314,素材!$1:$1016,COLUMN($E$1),FALSE)/(LEN(VLOOKUP($D314,素材!$1:$1016,COLUMN($F$1),FALSE))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BD314">
        <f>IF(ISNUMBER(SEARCH(SUBSTITUTE(BD$1,RIGHT(BD$1,2),""),VLOOKUP($D314,素材!$1:$1016,COLUMN($F$1),FALSE))),VLOOKUP($C314,装備品!$1:$998,COLUMN($O$1),FALSE)*VLOOKUP($D314,素材!$1:$1016,COLUMN($E$1),FALSE)/(LEN(VLOOKUP($D314,素材!$1:$1016,COLUMN($F$1),FALSE))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BE314">
        <f>IF(ISNUMBER(SEARCH(SUBSTITUTE(BE$1,RIGHT(BE$1,2),""),VLOOKUP($D314,素材!$1:$1016,COLUMN($F$1),FALSE))),VLOOKUP($C314,装備品!$1:$998,COLUMN($O$1),FALSE)*VLOOKUP($D314,素材!$1:$1016,COLUMN($E$1),FALSE)/(LEN(VLOOKUP($D314,素材!$1:$1016,COLUMN($F$1),FALSE))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CL314">
        <f t="shared" si="41"/>
        <v>0</v>
      </c>
      <c r="CM314" s="22" t="str">
        <f t="shared" si="42"/>
        <v>.webp</v>
      </c>
      <c r="CN314" t="str">
        <f>IFERROR(VLOOKUP($C314,装備品!$1:$998,COLUMN(V$1),FALSE)*VLOOKUP($D314,素材!$1:$1016,COLUMN(N$1),FALSE)+IF(CI314="",0,VLOOKUP($CI314,付与!$1:$1176,COLUMN($CK$1),FALSE)),"")</f>
        <v/>
      </c>
      <c r="CO314" t="e">
        <f>VLOOKUP(D314,素材!$A:$O,COLUMN(素材!O$1),FALSE)</f>
        <v>#N/A</v>
      </c>
      <c r="CP314" t="e">
        <f>VLOOKUP(C314,装備品!$A:$AB,COLUMN(装備品!AB$1),FALSE)</f>
        <v>#N/A</v>
      </c>
      <c r="CR314" t="str">
        <f t="shared" si="43"/>
        <v>e_314</v>
      </c>
      <c r="CS314" t="e">
        <f t="shared" si="44"/>
        <v>#VALUE!</v>
      </c>
    </row>
    <row r="315" spans="1:97" hidden="1" outlineLevel="1" x14ac:dyDescent="0.4">
      <c r="A315" t="str">
        <f t="shared" si="46"/>
        <v>の</v>
      </c>
      <c r="B315" t="str">
        <f>IFERROR(IF(CI315="",VLOOKUP($D315,素材!$1:$1016,COLUMN($B$1),FALSE)&amp;"・"&amp;VLOOKUP($C315,装備品!$1:$998,COLUMN(B$1),FALSE),VLOOKUP($CI315,付与!$1:$1176,COLUMN($B$1),FALSE)&amp;"・"&amp;VLOOKUP($C315,装備品!$1:$998,COLUMN(B$1),FALSE)),"")</f>
        <v/>
      </c>
      <c r="C315" s="24"/>
      <c r="D315" s="24"/>
      <c r="E315" t="str">
        <f>IFERROR(VLOOKUP(C315,装備品!$1:$998,COLUMN(C$1),FALSE),"")</f>
        <v/>
      </c>
      <c r="F315" t="str">
        <f>IFERROR(ROUNDDOWN((VLOOKUP($C315,装備品!$1:$998,COLUMN(D$1),FALSE)+IFERROR(VLOOKUP($CI315,付与!$1:$1167,COLUMN(F$1),FALSE),0))*VLOOKUP($D315,素材!$1:$1016,COLUMN(D$1),FALSE),0),"")</f>
        <v/>
      </c>
      <c r="G315" t="str">
        <f>IFERROR(ROUNDDOWN((VLOOKUP($C315,装備品!$1:$998,COLUMN(E$1),FALSE)+IFERROR(VLOOKUP($CI315,付与!$1:$1167,COLUMN(G$1),FALSE),0))*VLOOKUP($D315,素材!$1:$1016,COLUMN($E$1),FALSE),0),"")</f>
        <v/>
      </c>
      <c r="H315" t="str">
        <f>IFERROR(ROUNDDOWN((VLOOKUP($C315,装備品!$1:$998,COLUMN(F$1),FALSE)+IFERROR(VLOOKUP($CI315,付与!$1:$1167,COLUMN(H$1),FALSE),0))*VLOOKUP($D315,素材!$1:$1016,COLUMN($E$1),FALSE),0),"")</f>
        <v/>
      </c>
      <c r="I315" t="str">
        <f>IFERROR(ROUNDDOWN((VLOOKUP($C315,装備品!$1:$998,COLUMN(G$1),FALSE)+IFERROR(VLOOKUP($CI315,付与!$1:$1167,COLUMN(I$1),FALSE),0))*VLOOKUP($D315,素材!$1:$1016,COLUMN($E$1),FALSE),0),"")</f>
        <v/>
      </c>
      <c r="J315" t="str">
        <f>IFERROR(ROUNDDOWN((VLOOKUP($C315,装備品!$1:$998,COLUMN(H$1),FALSE)+IFERROR(VLOOKUP($CI315,付与!$1:$1167,COLUMN(J$1),FALSE),0))*VLOOKUP($D315,素材!$1:$1016,COLUMN($E$1),FALSE),0),"")</f>
        <v/>
      </c>
      <c r="K315" t="str">
        <f>IFERROR(ROUNDDOWN((VLOOKUP($C315,装備品!$1:$998,COLUMN(I$1),FALSE)+IFERROR(VLOOKUP($CI315,付与!$1:$1167,COLUMN(K$1),FALSE),0))*VLOOKUP($D315,素材!$1:$1016,COLUMN($E$1),FALSE),0),"")</f>
        <v/>
      </c>
      <c r="L315" t="str">
        <f>IFERROR(VLOOKUP($D315,素材!$1:$1016,COLUMN($F$1),FALSE),"")</f>
        <v/>
      </c>
      <c r="M315" t="str">
        <f>IFERROR(VLOOKUP($C315,装備品!$1:$998,COLUMN(AA$1),FALSE)*VLOOKUP($D315,素材!$1:$1016,COLUMN($G$1),FALSE),"")</f>
        <v/>
      </c>
      <c r="N315" t="str">
        <f>IFERROR(VLOOKUP($C315,装備品!$1:$998,COLUMN(I$1),FALSE),"")</f>
        <v/>
      </c>
      <c r="O315" s="23" t="str">
        <f>IFERROR((VLOOKUP($C315,装備品!$1:$998,COLUMN(K$1),FALSE)+VLOOKUP($D315,素材!$1:$1016,COLUMN(H$1),FALSE))*100+IFERROR(VLOOKUP($CI315,付与!$1:$1167,COLUMN(O$1),FALSE),0),"")</f>
        <v/>
      </c>
      <c r="P315" s="23" t="str">
        <f>IFERROR((VLOOKUP($C315,装備品!$1:$998,COLUMN(L$1),FALSE)+VLOOKUP($D315,素材!$1:$1016,COLUMN(I$1),FALSE))*100+IFERROR(VLOOKUP($CI315,付与!$1:$1167,COLUMN(P$1),FALSE),0),"")</f>
        <v/>
      </c>
      <c r="Q315" t="str">
        <f>IFERROR(ROUNDUP(VLOOKUP($C315,装備品!$1:$998,COLUMN(M$1),FALSE)*(VLOOKUP($D315,素材!$1:$1002,COLUMN(D$1),FALSE)/100),1),"")</f>
        <v/>
      </c>
      <c r="R315" t="str">
        <f>IFERROR(ROUNDUP(VLOOKUP($C315,装備品!$1:$998,COLUMN(N$1),FALSE)*(VLOOKUP($D315,素材!$1:$1002,COLUMN(D$1),FALSE)/100),1),"")</f>
        <v/>
      </c>
      <c r="S315" t="str">
        <f>IFERROR(VLOOKUP($C315,装備品!$1:$998,COLUMN(P$1),FALSE),"")</f>
        <v/>
      </c>
      <c r="T315" t="str">
        <f>IFERROR(VLOOKUP($C315,装備品!$1:$998,COLUMN(Q$1),FALSE),"")</f>
        <v/>
      </c>
      <c r="U315" t="str">
        <f>IFERROR(VLOOKUP($C315,装備品!$1:$998,COLUMN(R$1),FALSE),"")</f>
        <v/>
      </c>
      <c r="V315" t="str">
        <f>IFERROR(VLOOKUP($C315,装備品!$1:$998,COLUMN(Q$1),FALSE),"")</f>
        <v/>
      </c>
      <c r="W315" t="str">
        <f>IFERROR(VLOOKUP($C315,装備品!$1:$998,COLUMN(T$1),FALSE),"")</f>
        <v/>
      </c>
      <c r="Y315" t="str">
        <f>IFERROR(VLOOKUP($C315,装備品!$1:$998,COLUMN(U$1),FALSE),"")</f>
        <v/>
      </c>
      <c r="Z315" t="str">
        <f>IFERROR(ROUNDUP(VLOOKUP($C315,装備品!$1:$998,COLUMN(O$1),FALSE)*VLOOKUP($D315,素材!$1:$1016,COLUMN(E$1),FALSE),1),"")</f>
        <v/>
      </c>
      <c r="AA315">
        <f>IF(ISNUMBER(SEARCH(SUBSTITUTE(AA$1,RIGHT(AA$1,2),""),VLOOKUP($D315,素材!$1:$1016,COLUMN($F$1),FALSE))),VLOOKUP($C315,装備品!$1:$998,COLUMN($O$1),FALSE)*VLOOKUP($D315,素材!$1:$1016,COLUMN($E$1),FALSE)/(LEN(VLOOKUP($D315,素材!$1:$1016,COLUMN($F$1),FALSE))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B315">
        <f>IF(ISNUMBER(SEARCH(SUBSTITUTE(AB$1,RIGHT(AB$1,2),""),VLOOKUP($D315,素材!$1:$1016,COLUMN($F$1),FALSE))),VLOOKUP($C315,装備品!$1:$998,COLUMN($O$1),FALSE)*VLOOKUP($D315,素材!$1:$1016,COLUMN($E$1),FALSE)/(LEN(VLOOKUP($D315,素材!$1:$1016,COLUMN($F$1),FALSE))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C315">
        <f>IF(ISNUMBER(SEARCH(SUBSTITUTE(AC$1,RIGHT(AC$1,2),""),VLOOKUP($D315,素材!$1:$1016,COLUMN($F$1),FALSE))),VLOOKUP($C315,装備品!$1:$998,COLUMN($O$1),FALSE)*VLOOKUP($D315,素材!$1:$1016,COLUMN($E$1),FALSE)/(LEN(VLOOKUP($D315,素材!$1:$1016,COLUMN($F$1),FALSE))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D315">
        <f>IF(ISNUMBER(SEARCH(SUBSTITUTE(AD$1,RIGHT(AD$1,2),""),VLOOKUP($D315,素材!$1:$1016,COLUMN($F$1),FALSE))),VLOOKUP($C315,装備品!$1:$998,COLUMN($O$1),FALSE)*VLOOKUP($D315,素材!$1:$1016,COLUMN($E$1),FALSE)/(LEN(VLOOKUP($D315,素材!$1:$1016,COLUMN($F$1),FALSE))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E315">
        <f>IF(ISNUMBER(SEARCH(SUBSTITUTE(AE$1,RIGHT(AE$1,2),""),VLOOKUP($D315,素材!$1:$1016,COLUMN($F$1),FALSE))),VLOOKUP($C315,装備品!$1:$998,COLUMN($O$1),FALSE)*VLOOKUP($D315,素材!$1:$1016,COLUMN($E$1),FALSE)/(LEN(VLOOKUP($D315,素材!$1:$1016,COLUMN($F$1),FALSE))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F315">
        <f>IF(ISNUMBER(SEARCH(SUBSTITUTE(AF$1,RIGHT(AF$1,2),""),VLOOKUP($D315,素材!$1:$1016,COLUMN($F$1),FALSE))),VLOOKUP($C315,装備品!$1:$998,COLUMN($O$1),FALSE)*VLOOKUP($D315,素材!$1:$1016,COLUMN($E$1),FALSE)/(LEN(VLOOKUP($D315,素材!$1:$1016,COLUMN($F$1),FALSE))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G315">
        <f>IF(ISNUMBER(SEARCH(SUBSTITUTE(AG$1,RIGHT(AG$1,2),""),VLOOKUP($D315,素材!$1:$1016,COLUMN($F$1),FALSE))),VLOOKUP($C315,装備品!$1:$998,COLUMN($O$1),FALSE)*VLOOKUP($D315,素材!$1:$1016,COLUMN($E$1),FALSE)/(LEN(VLOOKUP($D315,素材!$1:$1016,COLUMN($F$1),FALSE))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H315">
        <f>IF(ISNUMBER(SEARCH(SUBSTITUTE(AH$1,RIGHT(AH$1,2),""),VLOOKUP($D315,素材!$1:$1016,COLUMN($F$1),FALSE))),VLOOKUP($C315,装備品!$1:$998,COLUMN($O$1),FALSE)*VLOOKUP($D315,素材!$1:$1016,COLUMN($E$1),FALSE)/(LEN(VLOOKUP($D315,素材!$1:$1016,COLUMN($F$1),FALSE))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I315">
        <f>IF(ISNUMBER(SEARCH(SUBSTITUTE(AI$1,RIGHT(AI$1,2),""),VLOOKUP($D315,素材!$1:$1016,COLUMN($F$1),FALSE))),VLOOKUP($C315,装備品!$1:$998,COLUMN($O$1),FALSE)*VLOOKUP($D315,素材!$1:$1016,COLUMN($E$1),FALSE)/(LEN(VLOOKUP($D315,素材!$1:$1016,COLUMN($F$1),FALSE))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J315">
        <f>IF(ISNUMBER(SEARCH(SUBSTITUTE(AJ$1,RIGHT(AJ$1,2),""),VLOOKUP($D315,素材!$1:$1016,COLUMN($F$1),FALSE))),VLOOKUP($C315,装備品!$1:$998,COLUMN($O$1),FALSE)*VLOOKUP($D315,素材!$1:$1016,COLUMN($E$1),FALSE)/(LEN(VLOOKUP($D315,素材!$1:$1016,COLUMN($F$1),FALSE))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K315">
        <f>IF(ISNUMBER(SEARCH(SUBSTITUTE(AK$1,RIGHT(AK$1,2),""),VLOOKUP($D315,素材!$1:$1016,COLUMN($F$1),FALSE))),VLOOKUP($C315,装備品!$1:$998,COLUMN($O$1),FALSE)*VLOOKUP($D315,素材!$1:$1016,COLUMN($E$1),FALSE)/(LEN(VLOOKUP($D315,素材!$1:$1016,COLUMN($F$1),FALSE))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L315">
        <f>IF(ISNUMBER(SEARCH(SUBSTITUTE(AL$1,RIGHT(AL$1,2),""),VLOOKUP($D315,素材!$1:$1016,COLUMN($F$1),FALSE))),VLOOKUP($C315,装備品!$1:$998,COLUMN($O$1),FALSE)*VLOOKUP($D315,素材!$1:$1016,COLUMN($E$1),FALSE)/(LEN(VLOOKUP($D315,素材!$1:$1016,COLUMN($F$1),FALSE))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M315">
        <f>IF(ISNUMBER(SEARCH(SUBSTITUTE(AM$1,RIGHT(AM$1,2),""),VLOOKUP($D315,素材!$1:$1016,COLUMN($F$1),FALSE))),VLOOKUP($C315,装備品!$1:$998,COLUMN($O$1),FALSE)*VLOOKUP($D315,素材!$1:$1016,COLUMN($E$1),FALSE)/(LEN(VLOOKUP($D315,素材!$1:$1016,COLUMN($F$1),FALSE))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N315">
        <f>IF(ISNUMBER(SEARCH(SUBSTITUTE(AN$1,RIGHT(AN$1,2),""),VLOOKUP($D315,素材!$1:$1016,COLUMN($F$1),FALSE))),VLOOKUP($C315,装備品!$1:$998,COLUMN($O$1),FALSE)*VLOOKUP($D315,素材!$1:$1016,COLUMN($E$1),FALSE)/(LEN(VLOOKUP($D315,素材!$1:$1016,COLUMN($F$1),FALSE))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O315">
        <f>IF(ISNUMBER(SEARCH(SUBSTITUTE(AO$1,RIGHT(AO$1,2),""),VLOOKUP($D315,素材!$1:$1016,COLUMN($F$1),FALSE))),VLOOKUP($C315,装備品!$1:$998,COLUMN($O$1),FALSE)*VLOOKUP($D315,素材!$1:$1016,COLUMN($E$1),FALSE)/(LEN(VLOOKUP($D315,素材!$1:$1016,COLUMN($F$1),FALSE))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P315">
        <f>IF(ISNUMBER(SEARCH(SUBSTITUTE(AP$1,RIGHT(AP$1,2),""),VLOOKUP($D315,素材!$1:$1016,COLUMN($F$1),FALSE))),VLOOKUP($C315,装備品!$1:$998,COLUMN($O$1),FALSE)*VLOOKUP($D315,素材!$1:$1016,COLUMN($E$1),FALSE)/(LEN(VLOOKUP($D315,素材!$1:$1016,COLUMN($F$1),FALSE))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Q315">
        <f>IF(ISNUMBER(SEARCH(SUBSTITUTE(AQ$1,RIGHT(AQ$1,2),""),VLOOKUP($D315,素材!$1:$1016,COLUMN($F$1),FALSE))),VLOOKUP($C315,装備品!$1:$998,COLUMN($O$1),FALSE)*VLOOKUP($D315,素材!$1:$1016,COLUMN($E$1),FALSE)/(LEN(VLOOKUP($D315,素材!$1:$1016,COLUMN($F$1),FALSE))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R315">
        <f>IF(ISNUMBER(SEARCH(SUBSTITUTE(AR$1,RIGHT(AR$1,2),""),VLOOKUP($D315,素材!$1:$1016,COLUMN($F$1),FALSE))),VLOOKUP($C315,装備品!$1:$998,COLUMN($O$1),FALSE)*VLOOKUP($D315,素材!$1:$1016,COLUMN($E$1),FALSE)/(LEN(VLOOKUP($D315,素材!$1:$1016,COLUMN($F$1),FALSE))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S315">
        <f>IF(ISNUMBER(SEARCH(SUBSTITUTE(AS$1,RIGHT(AS$1,2),""),VLOOKUP($D315,素材!$1:$1016,COLUMN($F$1),FALSE))),VLOOKUP($C315,装備品!$1:$998,COLUMN($O$1),FALSE)*VLOOKUP($D315,素材!$1:$1016,COLUMN($E$1),FALSE)/(LEN(VLOOKUP($D315,素材!$1:$1016,COLUMN($F$1),FALSE))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T315">
        <f>IF(ISNUMBER(SEARCH(SUBSTITUTE(AT$1,RIGHT(AT$1,2),""),VLOOKUP($D315,素材!$1:$1016,COLUMN($F$1),FALSE))),VLOOKUP($C315,装備品!$1:$998,COLUMN($O$1),FALSE)*VLOOKUP($D315,素材!$1:$1016,COLUMN($E$1),FALSE)/(LEN(VLOOKUP($D315,素材!$1:$1016,COLUMN($F$1),FALSE))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U315">
        <f>IF(ISNUMBER(SEARCH(SUBSTITUTE(AU$1,RIGHT(AU$1,2),""),VLOOKUP($D315,素材!$1:$1016,COLUMN($F$1),FALSE))),VLOOKUP($C315,装備品!$1:$998,COLUMN($O$1),FALSE)*VLOOKUP($D315,素材!$1:$1016,COLUMN($E$1),FALSE)/(LEN(VLOOKUP($D315,素材!$1:$1016,COLUMN($F$1),FALSE))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V315">
        <f>IF(ISNUMBER(SEARCH(SUBSTITUTE(AV$1,RIGHT(AV$1,2),""),VLOOKUP($D315,素材!$1:$1016,COLUMN($F$1),FALSE))),VLOOKUP($C315,装備品!$1:$998,COLUMN($O$1),FALSE)*VLOOKUP($D315,素材!$1:$1016,COLUMN($E$1),FALSE)/(LEN(VLOOKUP($D315,素材!$1:$1016,COLUMN($F$1),FALSE))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W315">
        <f>IF(ISNUMBER(SEARCH(SUBSTITUTE(AW$1,RIGHT(AW$1,2),""),VLOOKUP($D315,素材!$1:$1016,COLUMN($F$1),FALSE))),VLOOKUP($C315,装備品!$1:$998,COLUMN($O$1),FALSE)*VLOOKUP($D315,素材!$1:$1016,COLUMN($E$1),FALSE)/(LEN(VLOOKUP($D315,素材!$1:$1016,COLUMN($F$1),FALSE))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X315">
        <f>IF(ISNUMBER(SEARCH(SUBSTITUTE(AX$1,RIGHT(AX$1,2),""),VLOOKUP($D315,素材!$1:$1016,COLUMN($F$1),FALSE))),VLOOKUP($C315,装備品!$1:$998,COLUMN($O$1),FALSE)*VLOOKUP($D315,素材!$1:$1016,COLUMN($E$1),FALSE)/(LEN(VLOOKUP($D315,素材!$1:$1016,COLUMN($F$1),FALSE))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Y315">
        <f>IF(ISNUMBER(SEARCH(SUBSTITUTE(AY$1,RIGHT(AY$1,2),""),VLOOKUP($D315,素材!$1:$1016,COLUMN($F$1),FALSE))),VLOOKUP($C315,装備品!$1:$998,COLUMN($O$1),FALSE)*VLOOKUP($D315,素材!$1:$1016,COLUMN($E$1),FALSE)/(LEN(VLOOKUP($D315,素材!$1:$1016,COLUMN($F$1),FALSE))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Z315">
        <f>IF(ISNUMBER(SEARCH(SUBSTITUTE(AZ$1,RIGHT(AZ$1,2),""),VLOOKUP($D315,素材!$1:$1016,COLUMN($F$1),FALSE))),VLOOKUP($C315,装備品!$1:$998,COLUMN($O$1),FALSE)*VLOOKUP($D315,素材!$1:$1016,COLUMN($E$1),FALSE)/(LEN(VLOOKUP($D315,素材!$1:$1016,COLUMN($F$1),FALSE))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BA315">
        <f>IF(ISNUMBER(SEARCH(SUBSTITUTE(BA$1,RIGHT(BA$1,2),""),VLOOKUP($D315,素材!$1:$1016,COLUMN($F$1),FALSE))),VLOOKUP($C315,装備品!$1:$998,COLUMN($O$1),FALSE)*VLOOKUP($D315,素材!$1:$1016,COLUMN($E$1),FALSE)/(LEN(VLOOKUP($D315,素材!$1:$1016,COLUMN($F$1),FALSE))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BB315">
        <f>IF(ISNUMBER(SEARCH(SUBSTITUTE(BB$1,RIGHT(BB$1,2),""),VLOOKUP($D315,素材!$1:$1016,COLUMN($F$1),FALSE))),VLOOKUP($C315,装備品!$1:$998,COLUMN($O$1),FALSE)*VLOOKUP($D315,素材!$1:$1016,COLUMN($E$1),FALSE)/(LEN(VLOOKUP($D315,素材!$1:$1016,COLUMN($F$1),FALSE))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BC315">
        <f>IF(ISNUMBER(SEARCH(SUBSTITUTE(BC$1,RIGHT(BC$1,2),""),VLOOKUP($D315,素材!$1:$1016,COLUMN($F$1),FALSE))),VLOOKUP($C315,装備品!$1:$998,COLUMN($O$1),FALSE)*VLOOKUP($D315,素材!$1:$1016,COLUMN($E$1),FALSE)/(LEN(VLOOKUP($D315,素材!$1:$1016,COLUMN($F$1),FALSE))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BD315">
        <f>IF(ISNUMBER(SEARCH(SUBSTITUTE(BD$1,RIGHT(BD$1,2),""),VLOOKUP($D315,素材!$1:$1016,COLUMN($F$1),FALSE))),VLOOKUP($C315,装備品!$1:$998,COLUMN($O$1),FALSE)*VLOOKUP($D315,素材!$1:$1016,COLUMN($E$1),FALSE)/(LEN(VLOOKUP($D315,素材!$1:$1016,COLUMN($F$1),FALSE))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BE315">
        <f>IF(ISNUMBER(SEARCH(SUBSTITUTE(BE$1,RIGHT(BE$1,2),""),VLOOKUP($D315,素材!$1:$1016,COLUMN($F$1),FALSE))),VLOOKUP($C315,装備品!$1:$998,COLUMN($O$1),FALSE)*VLOOKUP($D315,素材!$1:$1016,COLUMN($E$1),FALSE)/(LEN(VLOOKUP($D315,素材!$1:$1016,COLUMN($F$1),FALSE))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CL315">
        <f t="shared" si="41"/>
        <v>0</v>
      </c>
      <c r="CM315" s="22" t="str">
        <f t="shared" si="42"/>
        <v>.webp</v>
      </c>
      <c r="CN315" t="str">
        <f>IFERROR(VLOOKUP($C315,装備品!$1:$998,COLUMN(V$1),FALSE)*VLOOKUP($D315,素材!$1:$1016,COLUMN(N$1),FALSE)+IF(CI315="",0,VLOOKUP($CI315,付与!$1:$1176,COLUMN($CK$1),FALSE)),"")</f>
        <v/>
      </c>
      <c r="CO315" t="e">
        <f>VLOOKUP(D315,素材!$A:$O,COLUMN(素材!O$1),FALSE)</f>
        <v>#N/A</v>
      </c>
      <c r="CP315" t="e">
        <f>VLOOKUP(C315,装備品!$A:$AB,COLUMN(装備品!AB$1),FALSE)</f>
        <v>#N/A</v>
      </c>
      <c r="CR315" t="str">
        <f t="shared" si="43"/>
        <v>e_315</v>
      </c>
      <c r="CS315" t="e">
        <f t="shared" si="44"/>
        <v>#VALUE!</v>
      </c>
    </row>
    <row r="316" spans="1:97" hidden="1" outlineLevel="1" x14ac:dyDescent="0.4">
      <c r="A316" t="str">
        <f t="shared" si="46"/>
        <v>の</v>
      </c>
      <c r="B316" t="str">
        <f>IFERROR(IF(CI316="",VLOOKUP($D316,素材!$1:$1016,COLUMN($B$1),FALSE)&amp;"・"&amp;VLOOKUP($C316,装備品!$1:$998,COLUMN(B$1),FALSE),VLOOKUP($CI316,付与!$1:$1176,COLUMN($B$1),FALSE)&amp;"・"&amp;VLOOKUP($C316,装備品!$1:$998,COLUMN(B$1),FALSE)),"")</f>
        <v/>
      </c>
      <c r="C316" s="24"/>
      <c r="D316" s="24"/>
      <c r="E316" t="str">
        <f>IFERROR(VLOOKUP(C316,装備品!$1:$998,COLUMN(C$1),FALSE),"")</f>
        <v/>
      </c>
      <c r="F316" t="str">
        <f>IFERROR(ROUNDDOWN((VLOOKUP($C316,装備品!$1:$998,COLUMN(D$1),FALSE)+IFERROR(VLOOKUP($CI316,付与!$1:$1167,COLUMN(F$1),FALSE),0))*VLOOKUP($D316,素材!$1:$1016,COLUMN(D$1),FALSE),0),"")</f>
        <v/>
      </c>
      <c r="G316" t="str">
        <f>IFERROR(ROUNDDOWN((VLOOKUP($C316,装備品!$1:$998,COLUMN(E$1),FALSE)+IFERROR(VLOOKUP($CI316,付与!$1:$1167,COLUMN(G$1),FALSE),0))*VLOOKUP($D316,素材!$1:$1016,COLUMN($E$1),FALSE),0),"")</f>
        <v/>
      </c>
      <c r="H316" t="str">
        <f>IFERROR(ROUNDDOWN((VLOOKUP($C316,装備品!$1:$998,COLUMN(F$1),FALSE)+IFERROR(VLOOKUP($CI316,付与!$1:$1167,COLUMN(H$1),FALSE),0))*VLOOKUP($D316,素材!$1:$1016,COLUMN($E$1),FALSE),0),"")</f>
        <v/>
      </c>
      <c r="I316" t="str">
        <f>IFERROR(ROUNDDOWN((VLOOKUP($C316,装備品!$1:$998,COLUMN(G$1),FALSE)+IFERROR(VLOOKUP($CI316,付与!$1:$1167,COLUMN(I$1),FALSE),0))*VLOOKUP($D316,素材!$1:$1016,COLUMN($E$1),FALSE),0),"")</f>
        <v/>
      </c>
      <c r="J316" t="str">
        <f>IFERROR(ROUNDDOWN((VLOOKUP($C316,装備品!$1:$998,COLUMN(H$1),FALSE)+IFERROR(VLOOKUP($CI316,付与!$1:$1167,COLUMN(J$1),FALSE),0))*VLOOKUP($D316,素材!$1:$1016,COLUMN($E$1),FALSE),0),"")</f>
        <v/>
      </c>
      <c r="K316" t="str">
        <f>IFERROR(ROUNDDOWN((VLOOKUP($C316,装備品!$1:$998,COLUMN(I$1),FALSE)+IFERROR(VLOOKUP($CI316,付与!$1:$1167,COLUMN(K$1),FALSE),0))*VLOOKUP($D316,素材!$1:$1016,COLUMN($E$1),FALSE),0),"")</f>
        <v/>
      </c>
      <c r="L316" t="str">
        <f>IFERROR(VLOOKUP($D316,素材!$1:$1016,COLUMN($F$1),FALSE),"")</f>
        <v/>
      </c>
      <c r="M316" t="str">
        <f>IFERROR(VLOOKUP($C316,装備品!$1:$998,COLUMN(AA$1),FALSE)*VLOOKUP($D316,素材!$1:$1016,COLUMN($G$1),FALSE),"")</f>
        <v/>
      </c>
      <c r="N316" t="str">
        <f>IFERROR(VLOOKUP($C316,装備品!$1:$998,COLUMN(I$1),FALSE),"")</f>
        <v/>
      </c>
      <c r="O316" s="23" t="str">
        <f>IFERROR((VLOOKUP($C316,装備品!$1:$998,COLUMN(K$1),FALSE)+VLOOKUP($D316,素材!$1:$1016,COLUMN(H$1),FALSE))*100+IFERROR(VLOOKUP($CI316,付与!$1:$1167,COLUMN(O$1),FALSE),0),"")</f>
        <v/>
      </c>
      <c r="P316" s="23" t="str">
        <f>IFERROR((VLOOKUP($C316,装備品!$1:$998,COLUMN(L$1),FALSE)+VLOOKUP($D316,素材!$1:$1016,COLUMN(I$1),FALSE))*100+IFERROR(VLOOKUP($CI316,付与!$1:$1167,COLUMN(P$1),FALSE),0),"")</f>
        <v/>
      </c>
      <c r="Q316" t="str">
        <f>IFERROR(ROUNDUP(VLOOKUP($C316,装備品!$1:$998,COLUMN(M$1),FALSE)*(VLOOKUP($D316,素材!$1:$1002,COLUMN(D$1),FALSE)/100),1),"")</f>
        <v/>
      </c>
      <c r="R316" t="str">
        <f>IFERROR(ROUNDUP(VLOOKUP($C316,装備品!$1:$998,COLUMN(N$1),FALSE)*(VLOOKUP($D316,素材!$1:$1002,COLUMN(D$1),FALSE)/100),1),"")</f>
        <v/>
      </c>
      <c r="S316" t="str">
        <f>IFERROR(VLOOKUP($C316,装備品!$1:$998,COLUMN(P$1),FALSE),"")</f>
        <v/>
      </c>
      <c r="T316" t="str">
        <f>IFERROR(VLOOKUP($C316,装備品!$1:$998,COLUMN(Q$1),FALSE),"")</f>
        <v/>
      </c>
      <c r="U316" t="str">
        <f>IFERROR(VLOOKUP($C316,装備品!$1:$998,COLUMN(R$1),FALSE),"")</f>
        <v/>
      </c>
      <c r="V316" t="str">
        <f>IFERROR(VLOOKUP($C316,装備品!$1:$998,COLUMN(Q$1),FALSE),"")</f>
        <v/>
      </c>
      <c r="W316" t="str">
        <f>IFERROR(VLOOKUP($C316,装備品!$1:$998,COLUMN(T$1),FALSE),"")</f>
        <v/>
      </c>
      <c r="Y316" t="str">
        <f>IFERROR(VLOOKUP($C316,装備品!$1:$998,COLUMN(U$1),FALSE),"")</f>
        <v/>
      </c>
      <c r="Z316" t="str">
        <f>IFERROR(ROUNDUP(VLOOKUP($C316,装備品!$1:$998,COLUMN(O$1),FALSE)*VLOOKUP($D316,素材!$1:$1016,COLUMN(E$1),FALSE),1),"")</f>
        <v/>
      </c>
      <c r="AA316">
        <f>IF(ISNUMBER(SEARCH(SUBSTITUTE(AA$1,RIGHT(AA$1,2),""),VLOOKUP($D316,素材!$1:$1016,COLUMN($F$1),FALSE))),VLOOKUP($C316,装備品!$1:$998,COLUMN($O$1),FALSE)*VLOOKUP($D316,素材!$1:$1016,COLUMN($E$1),FALSE)/(LEN(VLOOKUP($D316,素材!$1:$1016,COLUMN($F$1),FALSE))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B316">
        <f>IF(ISNUMBER(SEARCH(SUBSTITUTE(AB$1,RIGHT(AB$1,2),""),VLOOKUP($D316,素材!$1:$1016,COLUMN($F$1),FALSE))),VLOOKUP($C316,装備品!$1:$998,COLUMN($O$1),FALSE)*VLOOKUP($D316,素材!$1:$1016,COLUMN($E$1),FALSE)/(LEN(VLOOKUP($D316,素材!$1:$1016,COLUMN($F$1),FALSE))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C316">
        <f>IF(ISNUMBER(SEARCH(SUBSTITUTE(AC$1,RIGHT(AC$1,2),""),VLOOKUP($D316,素材!$1:$1016,COLUMN($F$1),FALSE))),VLOOKUP($C316,装備品!$1:$998,COLUMN($O$1),FALSE)*VLOOKUP($D316,素材!$1:$1016,COLUMN($E$1),FALSE)/(LEN(VLOOKUP($D316,素材!$1:$1016,COLUMN($F$1),FALSE))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D316">
        <f>IF(ISNUMBER(SEARCH(SUBSTITUTE(AD$1,RIGHT(AD$1,2),""),VLOOKUP($D316,素材!$1:$1016,COLUMN($F$1),FALSE))),VLOOKUP($C316,装備品!$1:$998,COLUMN($O$1),FALSE)*VLOOKUP($D316,素材!$1:$1016,COLUMN($E$1),FALSE)/(LEN(VLOOKUP($D316,素材!$1:$1016,COLUMN($F$1),FALSE))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E316">
        <f>IF(ISNUMBER(SEARCH(SUBSTITUTE(AE$1,RIGHT(AE$1,2),""),VLOOKUP($D316,素材!$1:$1016,COLUMN($F$1),FALSE))),VLOOKUP($C316,装備品!$1:$998,COLUMN($O$1),FALSE)*VLOOKUP($D316,素材!$1:$1016,COLUMN($E$1),FALSE)/(LEN(VLOOKUP($D316,素材!$1:$1016,COLUMN($F$1),FALSE))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F316">
        <f>IF(ISNUMBER(SEARCH(SUBSTITUTE(AF$1,RIGHT(AF$1,2),""),VLOOKUP($D316,素材!$1:$1016,COLUMN($F$1),FALSE))),VLOOKUP($C316,装備品!$1:$998,COLUMN($O$1),FALSE)*VLOOKUP($D316,素材!$1:$1016,COLUMN($E$1),FALSE)/(LEN(VLOOKUP($D316,素材!$1:$1016,COLUMN($F$1),FALSE))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G316">
        <f>IF(ISNUMBER(SEARCH(SUBSTITUTE(AG$1,RIGHT(AG$1,2),""),VLOOKUP($D316,素材!$1:$1016,COLUMN($F$1),FALSE))),VLOOKUP($C316,装備品!$1:$998,COLUMN($O$1),FALSE)*VLOOKUP($D316,素材!$1:$1016,COLUMN($E$1),FALSE)/(LEN(VLOOKUP($D316,素材!$1:$1016,COLUMN($F$1),FALSE))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H316">
        <f>IF(ISNUMBER(SEARCH(SUBSTITUTE(AH$1,RIGHT(AH$1,2),""),VLOOKUP($D316,素材!$1:$1016,COLUMN($F$1),FALSE))),VLOOKUP($C316,装備品!$1:$998,COLUMN($O$1),FALSE)*VLOOKUP($D316,素材!$1:$1016,COLUMN($E$1),FALSE)/(LEN(VLOOKUP($D316,素材!$1:$1016,COLUMN($F$1),FALSE))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I316">
        <f>IF(ISNUMBER(SEARCH(SUBSTITUTE(AI$1,RIGHT(AI$1,2),""),VLOOKUP($D316,素材!$1:$1016,COLUMN($F$1),FALSE))),VLOOKUP($C316,装備品!$1:$998,COLUMN($O$1),FALSE)*VLOOKUP($D316,素材!$1:$1016,COLUMN($E$1),FALSE)/(LEN(VLOOKUP($D316,素材!$1:$1016,COLUMN($F$1),FALSE))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J316">
        <f>IF(ISNUMBER(SEARCH(SUBSTITUTE(AJ$1,RIGHT(AJ$1,2),""),VLOOKUP($D316,素材!$1:$1016,COLUMN($F$1),FALSE))),VLOOKUP($C316,装備品!$1:$998,COLUMN($O$1),FALSE)*VLOOKUP($D316,素材!$1:$1016,COLUMN($E$1),FALSE)/(LEN(VLOOKUP($D316,素材!$1:$1016,COLUMN($F$1),FALSE))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K316">
        <f>IF(ISNUMBER(SEARCH(SUBSTITUTE(AK$1,RIGHT(AK$1,2),""),VLOOKUP($D316,素材!$1:$1016,COLUMN($F$1),FALSE))),VLOOKUP($C316,装備品!$1:$998,COLUMN($O$1),FALSE)*VLOOKUP($D316,素材!$1:$1016,COLUMN($E$1),FALSE)/(LEN(VLOOKUP($D316,素材!$1:$1016,COLUMN($F$1),FALSE))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L316">
        <f>IF(ISNUMBER(SEARCH(SUBSTITUTE(AL$1,RIGHT(AL$1,2),""),VLOOKUP($D316,素材!$1:$1016,COLUMN($F$1),FALSE))),VLOOKUP($C316,装備品!$1:$998,COLUMN($O$1),FALSE)*VLOOKUP($D316,素材!$1:$1016,COLUMN($E$1),FALSE)/(LEN(VLOOKUP($D316,素材!$1:$1016,COLUMN($F$1),FALSE))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M316">
        <f>IF(ISNUMBER(SEARCH(SUBSTITUTE(AM$1,RIGHT(AM$1,2),""),VLOOKUP($D316,素材!$1:$1016,COLUMN($F$1),FALSE))),VLOOKUP($C316,装備品!$1:$998,COLUMN($O$1),FALSE)*VLOOKUP($D316,素材!$1:$1016,COLUMN($E$1),FALSE)/(LEN(VLOOKUP($D316,素材!$1:$1016,COLUMN($F$1),FALSE))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N316">
        <f>IF(ISNUMBER(SEARCH(SUBSTITUTE(AN$1,RIGHT(AN$1,2),""),VLOOKUP($D316,素材!$1:$1016,COLUMN($F$1),FALSE))),VLOOKUP($C316,装備品!$1:$998,COLUMN($O$1),FALSE)*VLOOKUP($D316,素材!$1:$1016,COLUMN($E$1),FALSE)/(LEN(VLOOKUP($D316,素材!$1:$1016,COLUMN($F$1),FALSE))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O316">
        <f>IF(ISNUMBER(SEARCH(SUBSTITUTE(AO$1,RIGHT(AO$1,2),""),VLOOKUP($D316,素材!$1:$1016,COLUMN($F$1),FALSE))),VLOOKUP($C316,装備品!$1:$998,COLUMN($O$1),FALSE)*VLOOKUP($D316,素材!$1:$1016,COLUMN($E$1),FALSE)/(LEN(VLOOKUP($D316,素材!$1:$1016,COLUMN($F$1),FALSE))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P316">
        <f>IF(ISNUMBER(SEARCH(SUBSTITUTE(AP$1,RIGHT(AP$1,2),""),VLOOKUP($D316,素材!$1:$1016,COLUMN($F$1),FALSE))),VLOOKUP($C316,装備品!$1:$998,COLUMN($O$1),FALSE)*VLOOKUP($D316,素材!$1:$1016,COLUMN($E$1),FALSE)/(LEN(VLOOKUP($D316,素材!$1:$1016,COLUMN($F$1),FALSE))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Q316">
        <f>IF(ISNUMBER(SEARCH(SUBSTITUTE(AQ$1,RIGHT(AQ$1,2),""),VLOOKUP($D316,素材!$1:$1016,COLUMN($F$1),FALSE))),VLOOKUP($C316,装備品!$1:$998,COLUMN($O$1),FALSE)*VLOOKUP($D316,素材!$1:$1016,COLUMN($E$1),FALSE)/(LEN(VLOOKUP($D316,素材!$1:$1016,COLUMN($F$1),FALSE))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R316">
        <f>IF(ISNUMBER(SEARCH(SUBSTITUTE(AR$1,RIGHT(AR$1,2),""),VLOOKUP($D316,素材!$1:$1016,COLUMN($F$1),FALSE))),VLOOKUP($C316,装備品!$1:$998,COLUMN($O$1),FALSE)*VLOOKUP($D316,素材!$1:$1016,COLUMN($E$1),FALSE)/(LEN(VLOOKUP($D316,素材!$1:$1016,COLUMN($F$1),FALSE))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S316">
        <f>IF(ISNUMBER(SEARCH(SUBSTITUTE(AS$1,RIGHT(AS$1,2),""),VLOOKUP($D316,素材!$1:$1016,COLUMN($F$1),FALSE))),VLOOKUP($C316,装備品!$1:$998,COLUMN($O$1),FALSE)*VLOOKUP($D316,素材!$1:$1016,COLUMN($E$1),FALSE)/(LEN(VLOOKUP($D316,素材!$1:$1016,COLUMN($F$1),FALSE))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T316">
        <f>IF(ISNUMBER(SEARCH(SUBSTITUTE(AT$1,RIGHT(AT$1,2),""),VLOOKUP($D316,素材!$1:$1016,COLUMN($F$1),FALSE))),VLOOKUP($C316,装備品!$1:$998,COLUMN($O$1),FALSE)*VLOOKUP($D316,素材!$1:$1016,COLUMN($E$1),FALSE)/(LEN(VLOOKUP($D316,素材!$1:$1016,COLUMN($F$1),FALSE))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U316">
        <f>IF(ISNUMBER(SEARCH(SUBSTITUTE(AU$1,RIGHT(AU$1,2),""),VLOOKUP($D316,素材!$1:$1016,COLUMN($F$1),FALSE))),VLOOKUP($C316,装備品!$1:$998,COLUMN($O$1),FALSE)*VLOOKUP($D316,素材!$1:$1016,COLUMN($E$1),FALSE)/(LEN(VLOOKUP($D316,素材!$1:$1016,COLUMN($F$1),FALSE))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V316">
        <f>IF(ISNUMBER(SEARCH(SUBSTITUTE(AV$1,RIGHT(AV$1,2),""),VLOOKUP($D316,素材!$1:$1016,COLUMN($F$1),FALSE))),VLOOKUP($C316,装備品!$1:$998,COLUMN($O$1),FALSE)*VLOOKUP($D316,素材!$1:$1016,COLUMN($E$1),FALSE)/(LEN(VLOOKUP($D316,素材!$1:$1016,COLUMN($F$1),FALSE))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W316">
        <f>IF(ISNUMBER(SEARCH(SUBSTITUTE(AW$1,RIGHT(AW$1,2),""),VLOOKUP($D316,素材!$1:$1016,COLUMN($F$1),FALSE))),VLOOKUP($C316,装備品!$1:$998,COLUMN($O$1),FALSE)*VLOOKUP($D316,素材!$1:$1016,COLUMN($E$1),FALSE)/(LEN(VLOOKUP($D316,素材!$1:$1016,COLUMN($F$1),FALSE))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X316">
        <f>IF(ISNUMBER(SEARCH(SUBSTITUTE(AX$1,RIGHT(AX$1,2),""),VLOOKUP($D316,素材!$1:$1016,COLUMN($F$1),FALSE))),VLOOKUP($C316,装備品!$1:$998,COLUMN($O$1),FALSE)*VLOOKUP($D316,素材!$1:$1016,COLUMN($E$1),FALSE)/(LEN(VLOOKUP($D316,素材!$1:$1016,COLUMN($F$1),FALSE))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Y316">
        <f>IF(ISNUMBER(SEARCH(SUBSTITUTE(AY$1,RIGHT(AY$1,2),""),VLOOKUP($D316,素材!$1:$1016,COLUMN($F$1),FALSE))),VLOOKUP($C316,装備品!$1:$998,COLUMN($O$1),FALSE)*VLOOKUP($D316,素材!$1:$1016,COLUMN($E$1),FALSE)/(LEN(VLOOKUP($D316,素材!$1:$1016,COLUMN($F$1),FALSE))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Z316">
        <f>IF(ISNUMBER(SEARCH(SUBSTITUTE(AZ$1,RIGHT(AZ$1,2),""),VLOOKUP($D316,素材!$1:$1016,COLUMN($F$1),FALSE))),VLOOKUP($C316,装備品!$1:$998,COLUMN($O$1),FALSE)*VLOOKUP($D316,素材!$1:$1016,COLUMN($E$1),FALSE)/(LEN(VLOOKUP($D316,素材!$1:$1016,COLUMN($F$1),FALSE))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BA316">
        <f>IF(ISNUMBER(SEARCH(SUBSTITUTE(BA$1,RIGHT(BA$1,2),""),VLOOKUP($D316,素材!$1:$1016,COLUMN($F$1),FALSE))),VLOOKUP($C316,装備品!$1:$998,COLUMN($O$1),FALSE)*VLOOKUP($D316,素材!$1:$1016,COLUMN($E$1),FALSE)/(LEN(VLOOKUP($D316,素材!$1:$1016,COLUMN($F$1),FALSE))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BB316">
        <f>IF(ISNUMBER(SEARCH(SUBSTITUTE(BB$1,RIGHT(BB$1,2),""),VLOOKUP($D316,素材!$1:$1016,COLUMN($F$1),FALSE))),VLOOKUP($C316,装備品!$1:$998,COLUMN($O$1),FALSE)*VLOOKUP($D316,素材!$1:$1016,COLUMN($E$1),FALSE)/(LEN(VLOOKUP($D316,素材!$1:$1016,COLUMN($F$1),FALSE))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BC316">
        <f>IF(ISNUMBER(SEARCH(SUBSTITUTE(BC$1,RIGHT(BC$1,2),""),VLOOKUP($D316,素材!$1:$1016,COLUMN($F$1),FALSE))),VLOOKUP($C316,装備品!$1:$998,COLUMN($O$1),FALSE)*VLOOKUP($D316,素材!$1:$1016,COLUMN($E$1),FALSE)/(LEN(VLOOKUP($D316,素材!$1:$1016,COLUMN($F$1),FALSE))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BD316">
        <f>IF(ISNUMBER(SEARCH(SUBSTITUTE(BD$1,RIGHT(BD$1,2),""),VLOOKUP($D316,素材!$1:$1016,COLUMN($F$1),FALSE))),VLOOKUP($C316,装備品!$1:$998,COLUMN($O$1),FALSE)*VLOOKUP($D316,素材!$1:$1016,COLUMN($E$1),FALSE)/(LEN(VLOOKUP($D316,素材!$1:$1016,COLUMN($F$1),FALSE))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BE316">
        <f>IF(ISNUMBER(SEARCH(SUBSTITUTE(BE$1,RIGHT(BE$1,2),""),VLOOKUP($D316,素材!$1:$1016,COLUMN($F$1),FALSE))),VLOOKUP($C316,装備品!$1:$998,COLUMN($O$1),FALSE)*VLOOKUP($D316,素材!$1:$1016,COLUMN($E$1),FALSE)/(LEN(VLOOKUP($D316,素材!$1:$1016,COLUMN($F$1),FALSE))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CL316">
        <f t="shared" si="41"/>
        <v>0</v>
      </c>
      <c r="CM316" s="22" t="str">
        <f t="shared" si="42"/>
        <v>.webp</v>
      </c>
      <c r="CN316" t="str">
        <f>IFERROR(VLOOKUP($C316,装備品!$1:$998,COLUMN(V$1),FALSE)*VLOOKUP($D316,素材!$1:$1016,COLUMN(N$1),FALSE)+IF(CI316="",0,VLOOKUP($CI316,付与!$1:$1176,COLUMN($CK$1),FALSE)),"")</f>
        <v/>
      </c>
      <c r="CO316" t="e">
        <f>VLOOKUP(D316,素材!$A:$O,COLUMN(素材!O$1),FALSE)</f>
        <v>#N/A</v>
      </c>
      <c r="CP316" t="e">
        <f>VLOOKUP(C316,装備品!$A:$AB,COLUMN(装備品!AB$1),FALSE)</f>
        <v>#N/A</v>
      </c>
      <c r="CR316" t="str">
        <f t="shared" si="43"/>
        <v>e_316</v>
      </c>
      <c r="CS316" t="e">
        <f t="shared" si="44"/>
        <v>#VALUE!</v>
      </c>
    </row>
    <row r="317" spans="1:97" hidden="1" outlineLevel="1" x14ac:dyDescent="0.4">
      <c r="A317" t="str">
        <f t="shared" si="46"/>
        <v>の</v>
      </c>
      <c r="B317" t="str">
        <f>IFERROR(IF(CI317="",VLOOKUP($D317,素材!$1:$1016,COLUMN($B$1),FALSE)&amp;"・"&amp;VLOOKUP($C317,装備品!$1:$998,COLUMN(B$1),FALSE),VLOOKUP($CI317,付与!$1:$1176,COLUMN($B$1),FALSE)&amp;"・"&amp;VLOOKUP($C317,装備品!$1:$998,COLUMN(B$1),FALSE)),"")</f>
        <v/>
      </c>
      <c r="C317" s="24"/>
      <c r="D317" s="24"/>
      <c r="E317" t="str">
        <f>IFERROR(VLOOKUP(C317,装備品!$1:$998,COLUMN(C$1),FALSE),"")</f>
        <v/>
      </c>
      <c r="F317" t="str">
        <f>IFERROR(ROUNDDOWN((VLOOKUP($C317,装備品!$1:$998,COLUMN(D$1),FALSE)+IFERROR(VLOOKUP($CI317,付与!$1:$1167,COLUMN(F$1),FALSE),0))*VLOOKUP($D317,素材!$1:$1016,COLUMN(D$1),FALSE),0),"")</f>
        <v/>
      </c>
      <c r="G317" t="str">
        <f>IFERROR(ROUNDDOWN((VLOOKUP($C317,装備品!$1:$998,COLUMN(E$1),FALSE)+IFERROR(VLOOKUP($CI317,付与!$1:$1167,COLUMN(G$1),FALSE),0))*VLOOKUP($D317,素材!$1:$1016,COLUMN($E$1),FALSE),0),"")</f>
        <v/>
      </c>
      <c r="H317" t="str">
        <f>IFERROR(ROUNDDOWN((VLOOKUP($C317,装備品!$1:$998,COLUMN(F$1),FALSE)+IFERROR(VLOOKUP($CI317,付与!$1:$1167,COLUMN(H$1),FALSE),0))*VLOOKUP($D317,素材!$1:$1016,COLUMN($E$1),FALSE),0),"")</f>
        <v/>
      </c>
      <c r="I317" t="str">
        <f>IFERROR(ROUNDDOWN((VLOOKUP($C317,装備品!$1:$998,COLUMN(G$1),FALSE)+IFERROR(VLOOKUP($CI317,付与!$1:$1167,COLUMN(I$1),FALSE),0))*VLOOKUP($D317,素材!$1:$1016,COLUMN($E$1),FALSE),0),"")</f>
        <v/>
      </c>
      <c r="J317" t="str">
        <f>IFERROR(ROUNDDOWN((VLOOKUP($C317,装備品!$1:$998,COLUMN(H$1),FALSE)+IFERROR(VLOOKUP($CI317,付与!$1:$1167,COLUMN(J$1),FALSE),0))*VLOOKUP($D317,素材!$1:$1016,COLUMN($E$1),FALSE),0),"")</f>
        <v/>
      </c>
      <c r="K317" t="str">
        <f>IFERROR(ROUNDDOWN((VLOOKUP($C317,装備品!$1:$998,COLUMN(I$1),FALSE)+IFERROR(VLOOKUP($CI317,付与!$1:$1167,COLUMN(K$1),FALSE),0))*VLOOKUP($D317,素材!$1:$1016,COLUMN($E$1),FALSE),0),"")</f>
        <v/>
      </c>
      <c r="L317" t="str">
        <f>IFERROR(VLOOKUP($D317,素材!$1:$1016,COLUMN($F$1),FALSE),"")</f>
        <v/>
      </c>
      <c r="M317" t="str">
        <f>IFERROR(VLOOKUP($C317,装備品!$1:$998,COLUMN(AA$1),FALSE)*VLOOKUP($D317,素材!$1:$1016,COLUMN($G$1),FALSE),"")</f>
        <v/>
      </c>
      <c r="N317" t="str">
        <f>IFERROR(VLOOKUP($C317,装備品!$1:$998,COLUMN(I$1),FALSE),"")</f>
        <v/>
      </c>
      <c r="O317" s="23" t="str">
        <f>IFERROR((VLOOKUP($C317,装備品!$1:$998,COLUMN(K$1),FALSE)+VLOOKUP($D317,素材!$1:$1016,COLUMN(H$1),FALSE))*100+IFERROR(VLOOKUP($CI317,付与!$1:$1167,COLUMN(O$1),FALSE),0),"")</f>
        <v/>
      </c>
      <c r="P317" s="23" t="str">
        <f>IFERROR((VLOOKUP($C317,装備品!$1:$998,COLUMN(L$1),FALSE)+VLOOKUP($D317,素材!$1:$1016,COLUMN(I$1),FALSE))*100+IFERROR(VLOOKUP($CI317,付与!$1:$1167,COLUMN(P$1),FALSE),0),"")</f>
        <v/>
      </c>
      <c r="Q317" t="str">
        <f>IFERROR(ROUNDUP(VLOOKUP($C317,装備品!$1:$998,COLUMN(M$1),FALSE)*(VLOOKUP($D317,素材!$1:$1002,COLUMN(D$1),FALSE)/100),1),"")</f>
        <v/>
      </c>
      <c r="R317" t="str">
        <f>IFERROR(ROUNDUP(VLOOKUP($C317,装備品!$1:$998,COLUMN(N$1),FALSE)*(VLOOKUP($D317,素材!$1:$1002,COLUMN(D$1),FALSE)/100),1),"")</f>
        <v/>
      </c>
      <c r="S317" t="str">
        <f>IFERROR(VLOOKUP($C317,装備品!$1:$998,COLUMN(P$1),FALSE),"")</f>
        <v/>
      </c>
      <c r="T317" t="str">
        <f>IFERROR(VLOOKUP($C317,装備品!$1:$998,COLUMN(Q$1),FALSE),"")</f>
        <v/>
      </c>
      <c r="U317" t="str">
        <f>IFERROR(VLOOKUP($C317,装備品!$1:$998,COLUMN(R$1),FALSE),"")</f>
        <v/>
      </c>
      <c r="V317" t="str">
        <f>IFERROR(VLOOKUP($C317,装備品!$1:$998,COLUMN(Q$1),FALSE),"")</f>
        <v/>
      </c>
      <c r="W317" t="str">
        <f>IFERROR(VLOOKUP($C317,装備品!$1:$998,COLUMN(T$1),FALSE),"")</f>
        <v/>
      </c>
      <c r="Y317" t="str">
        <f>IFERROR(VLOOKUP($C317,装備品!$1:$998,COLUMN(U$1),FALSE),"")</f>
        <v/>
      </c>
      <c r="Z317" t="str">
        <f>IFERROR(ROUNDUP(VLOOKUP($C317,装備品!$1:$998,COLUMN(O$1),FALSE)*VLOOKUP($D317,素材!$1:$1016,COLUMN(E$1),FALSE),1),"")</f>
        <v/>
      </c>
      <c r="AA317">
        <f>IF(ISNUMBER(SEARCH(SUBSTITUTE(AA$1,RIGHT(AA$1,2),""),VLOOKUP($D317,素材!$1:$1016,COLUMN($F$1),FALSE))),VLOOKUP($C317,装備品!$1:$998,COLUMN($O$1),FALSE)*VLOOKUP($D317,素材!$1:$1016,COLUMN($E$1),FALSE)/(LEN(VLOOKUP($D317,素材!$1:$1016,COLUMN($F$1),FALSE))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B317">
        <f>IF(ISNUMBER(SEARCH(SUBSTITUTE(AB$1,RIGHT(AB$1,2),""),VLOOKUP($D317,素材!$1:$1016,COLUMN($F$1),FALSE))),VLOOKUP($C317,装備品!$1:$998,COLUMN($O$1),FALSE)*VLOOKUP($D317,素材!$1:$1016,COLUMN($E$1),FALSE)/(LEN(VLOOKUP($D317,素材!$1:$1016,COLUMN($F$1),FALSE))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C317">
        <f>IF(ISNUMBER(SEARCH(SUBSTITUTE(AC$1,RIGHT(AC$1,2),""),VLOOKUP($D317,素材!$1:$1016,COLUMN($F$1),FALSE))),VLOOKUP($C317,装備品!$1:$998,COLUMN($O$1),FALSE)*VLOOKUP($D317,素材!$1:$1016,COLUMN($E$1),FALSE)/(LEN(VLOOKUP($D317,素材!$1:$1016,COLUMN($F$1),FALSE))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D317">
        <f>IF(ISNUMBER(SEARCH(SUBSTITUTE(AD$1,RIGHT(AD$1,2),""),VLOOKUP($D317,素材!$1:$1016,COLUMN($F$1),FALSE))),VLOOKUP($C317,装備品!$1:$998,COLUMN($O$1),FALSE)*VLOOKUP($D317,素材!$1:$1016,COLUMN($E$1),FALSE)/(LEN(VLOOKUP($D317,素材!$1:$1016,COLUMN($F$1),FALSE))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E317">
        <f>IF(ISNUMBER(SEARCH(SUBSTITUTE(AE$1,RIGHT(AE$1,2),""),VLOOKUP($D317,素材!$1:$1016,COLUMN($F$1),FALSE))),VLOOKUP($C317,装備品!$1:$998,COLUMN($O$1),FALSE)*VLOOKUP($D317,素材!$1:$1016,COLUMN($E$1),FALSE)/(LEN(VLOOKUP($D317,素材!$1:$1016,COLUMN($F$1),FALSE))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F317">
        <f>IF(ISNUMBER(SEARCH(SUBSTITUTE(AF$1,RIGHT(AF$1,2),""),VLOOKUP($D317,素材!$1:$1016,COLUMN($F$1),FALSE))),VLOOKUP($C317,装備品!$1:$998,COLUMN($O$1),FALSE)*VLOOKUP($D317,素材!$1:$1016,COLUMN($E$1),FALSE)/(LEN(VLOOKUP($D317,素材!$1:$1016,COLUMN($F$1),FALSE))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G317">
        <f>IF(ISNUMBER(SEARCH(SUBSTITUTE(AG$1,RIGHT(AG$1,2),""),VLOOKUP($D317,素材!$1:$1016,COLUMN($F$1),FALSE))),VLOOKUP($C317,装備品!$1:$998,COLUMN($O$1),FALSE)*VLOOKUP($D317,素材!$1:$1016,COLUMN($E$1),FALSE)/(LEN(VLOOKUP($D317,素材!$1:$1016,COLUMN($F$1),FALSE))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H317">
        <f>IF(ISNUMBER(SEARCH(SUBSTITUTE(AH$1,RIGHT(AH$1,2),""),VLOOKUP($D317,素材!$1:$1016,COLUMN($F$1),FALSE))),VLOOKUP($C317,装備品!$1:$998,COLUMN($O$1),FALSE)*VLOOKUP($D317,素材!$1:$1016,COLUMN($E$1),FALSE)/(LEN(VLOOKUP($D317,素材!$1:$1016,COLUMN($F$1),FALSE))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I317">
        <f>IF(ISNUMBER(SEARCH(SUBSTITUTE(AI$1,RIGHT(AI$1,2),""),VLOOKUP($D317,素材!$1:$1016,COLUMN($F$1),FALSE))),VLOOKUP($C317,装備品!$1:$998,COLUMN($O$1),FALSE)*VLOOKUP($D317,素材!$1:$1016,COLUMN($E$1),FALSE)/(LEN(VLOOKUP($D317,素材!$1:$1016,COLUMN($F$1),FALSE))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J317">
        <f>IF(ISNUMBER(SEARCH(SUBSTITUTE(AJ$1,RIGHT(AJ$1,2),""),VLOOKUP($D317,素材!$1:$1016,COLUMN($F$1),FALSE))),VLOOKUP($C317,装備品!$1:$998,COLUMN($O$1),FALSE)*VLOOKUP($D317,素材!$1:$1016,COLUMN($E$1),FALSE)/(LEN(VLOOKUP($D317,素材!$1:$1016,COLUMN($F$1),FALSE))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K317">
        <f>IF(ISNUMBER(SEARCH(SUBSTITUTE(AK$1,RIGHT(AK$1,2),""),VLOOKUP($D317,素材!$1:$1016,COLUMN($F$1),FALSE))),VLOOKUP($C317,装備品!$1:$998,COLUMN($O$1),FALSE)*VLOOKUP($D317,素材!$1:$1016,COLUMN($E$1),FALSE)/(LEN(VLOOKUP($D317,素材!$1:$1016,COLUMN($F$1),FALSE))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L317">
        <f>IF(ISNUMBER(SEARCH(SUBSTITUTE(AL$1,RIGHT(AL$1,2),""),VLOOKUP($D317,素材!$1:$1016,COLUMN($F$1),FALSE))),VLOOKUP($C317,装備品!$1:$998,COLUMN($O$1),FALSE)*VLOOKUP($D317,素材!$1:$1016,COLUMN($E$1),FALSE)/(LEN(VLOOKUP($D317,素材!$1:$1016,COLUMN($F$1),FALSE))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M317">
        <f>IF(ISNUMBER(SEARCH(SUBSTITUTE(AM$1,RIGHT(AM$1,2),""),VLOOKUP($D317,素材!$1:$1016,COLUMN($F$1),FALSE))),VLOOKUP($C317,装備品!$1:$998,COLUMN($O$1),FALSE)*VLOOKUP($D317,素材!$1:$1016,COLUMN($E$1),FALSE)/(LEN(VLOOKUP($D317,素材!$1:$1016,COLUMN($F$1),FALSE))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N317">
        <f>IF(ISNUMBER(SEARCH(SUBSTITUTE(AN$1,RIGHT(AN$1,2),""),VLOOKUP($D317,素材!$1:$1016,COLUMN($F$1),FALSE))),VLOOKUP($C317,装備品!$1:$998,COLUMN($O$1),FALSE)*VLOOKUP($D317,素材!$1:$1016,COLUMN($E$1),FALSE)/(LEN(VLOOKUP($D317,素材!$1:$1016,COLUMN($F$1),FALSE))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O317">
        <f>IF(ISNUMBER(SEARCH(SUBSTITUTE(AO$1,RIGHT(AO$1,2),""),VLOOKUP($D317,素材!$1:$1016,COLUMN($F$1),FALSE))),VLOOKUP($C317,装備品!$1:$998,COLUMN($O$1),FALSE)*VLOOKUP($D317,素材!$1:$1016,COLUMN($E$1),FALSE)/(LEN(VLOOKUP($D317,素材!$1:$1016,COLUMN($F$1),FALSE))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P317">
        <f>IF(ISNUMBER(SEARCH(SUBSTITUTE(AP$1,RIGHT(AP$1,2),""),VLOOKUP($D317,素材!$1:$1016,COLUMN($F$1),FALSE))),VLOOKUP($C317,装備品!$1:$998,COLUMN($O$1),FALSE)*VLOOKUP($D317,素材!$1:$1016,COLUMN($E$1),FALSE)/(LEN(VLOOKUP($D317,素材!$1:$1016,COLUMN($F$1),FALSE))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Q317">
        <f>IF(ISNUMBER(SEARCH(SUBSTITUTE(AQ$1,RIGHT(AQ$1,2),""),VLOOKUP($D317,素材!$1:$1016,COLUMN($F$1),FALSE))),VLOOKUP($C317,装備品!$1:$998,COLUMN($O$1),FALSE)*VLOOKUP($D317,素材!$1:$1016,COLUMN($E$1),FALSE)/(LEN(VLOOKUP($D317,素材!$1:$1016,COLUMN($F$1),FALSE))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R317">
        <f>IF(ISNUMBER(SEARCH(SUBSTITUTE(AR$1,RIGHT(AR$1,2),""),VLOOKUP($D317,素材!$1:$1016,COLUMN($F$1),FALSE))),VLOOKUP($C317,装備品!$1:$998,COLUMN($O$1),FALSE)*VLOOKUP($D317,素材!$1:$1016,COLUMN($E$1),FALSE)/(LEN(VLOOKUP($D317,素材!$1:$1016,COLUMN($F$1),FALSE))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S317">
        <f>IF(ISNUMBER(SEARCH(SUBSTITUTE(AS$1,RIGHT(AS$1,2),""),VLOOKUP($D317,素材!$1:$1016,COLUMN($F$1),FALSE))),VLOOKUP($C317,装備品!$1:$998,COLUMN($O$1),FALSE)*VLOOKUP($D317,素材!$1:$1016,COLUMN($E$1),FALSE)/(LEN(VLOOKUP($D317,素材!$1:$1016,COLUMN($F$1),FALSE))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T317">
        <f>IF(ISNUMBER(SEARCH(SUBSTITUTE(AT$1,RIGHT(AT$1,2),""),VLOOKUP($D317,素材!$1:$1016,COLUMN($F$1),FALSE))),VLOOKUP($C317,装備品!$1:$998,COLUMN($O$1),FALSE)*VLOOKUP($D317,素材!$1:$1016,COLUMN($E$1),FALSE)/(LEN(VLOOKUP($D317,素材!$1:$1016,COLUMN($F$1),FALSE))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U317">
        <f>IF(ISNUMBER(SEARCH(SUBSTITUTE(AU$1,RIGHT(AU$1,2),""),VLOOKUP($D317,素材!$1:$1016,COLUMN($F$1),FALSE))),VLOOKUP($C317,装備品!$1:$998,COLUMN($O$1),FALSE)*VLOOKUP($D317,素材!$1:$1016,COLUMN($E$1),FALSE)/(LEN(VLOOKUP($D317,素材!$1:$1016,COLUMN($F$1),FALSE))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V317">
        <f>IF(ISNUMBER(SEARCH(SUBSTITUTE(AV$1,RIGHT(AV$1,2),""),VLOOKUP($D317,素材!$1:$1016,COLUMN($F$1),FALSE))),VLOOKUP($C317,装備品!$1:$998,COLUMN($O$1),FALSE)*VLOOKUP($D317,素材!$1:$1016,COLUMN($E$1),FALSE)/(LEN(VLOOKUP($D317,素材!$1:$1016,COLUMN($F$1),FALSE))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W317">
        <f>IF(ISNUMBER(SEARCH(SUBSTITUTE(AW$1,RIGHT(AW$1,2),""),VLOOKUP($D317,素材!$1:$1016,COLUMN($F$1),FALSE))),VLOOKUP($C317,装備品!$1:$998,COLUMN($O$1),FALSE)*VLOOKUP($D317,素材!$1:$1016,COLUMN($E$1),FALSE)/(LEN(VLOOKUP($D317,素材!$1:$1016,COLUMN($F$1),FALSE))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X317">
        <f>IF(ISNUMBER(SEARCH(SUBSTITUTE(AX$1,RIGHT(AX$1,2),""),VLOOKUP($D317,素材!$1:$1016,COLUMN($F$1),FALSE))),VLOOKUP($C317,装備品!$1:$998,COLUMN($O$1),FALSE)*VLOOKUP($D317,素材!$1:$1016,COLUMN($E$1),FALSE)/(LEN(VLOOKUP($D317,素材!$1:$1016,COLUMN($F$1),FALSE))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Y317">
        <f>IF(ISNUMBER(SEARCH(SUBSTITUTE(AY$1,RIGHT(AY$1,2),""),VLOOKUP($D317,素材!$1:$1016,COLUMN($F$1),FALSE))),VLOOKUP($C317,装備品!$1:$998,COLUMN($O$1),FALSE)*VLOOKUP($D317,素材!$1:$1016,COLUMN($E$1),FALSE)/(LEN(VLOOKUP($D317,素材!$1:$1016,COLUMN($F$1),FALSE))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Z317">
        <f>IF(ISNUMBER(SEARCH(SUBSTITUTE(AZ$1,RIGHT(AZ$1,2),""),VLOOKUP($D317,素材!$1:$1016,COLUMN($F$1),FALSE))),VLOOKUP($C317,装備品!$1:$998,COLUMN($O$1),FALSE)*VLOOKUP($D317,素材!$1:$1016,COLUMN($E$1),FALSE)/(LEN(VLOOKUP($D317,素材!$1:$1016,COLUMN($F$1),FALSE))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BA317">
        <f>IF(ISNUMBER(SEARCH(SUBSTITUTE(BA$1,RIGHT(BA$1,2),""),VLOOKUP($D317,素材!$1:$1016,COLUMN($F$1),FALSE))),VLOOKUP($C317,装備品!$1:$998,COLUMN($O$1),FALSE)*VLOOKUP($D317,素材!$1:$1016,COLUMN($E$1),FALSE)/(LEN(VLOOKUP($D317,素材!$1:$1016,COLUMN($F$1),FALSE))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BB317">
        <f>IF(ISNUMBER(SEARCH(SUBSTITUTE(BB$1,RIGHT(BB$1,2),""),VLOOKUP($D317,素材!$1:$1016,COLUMN($F$1),FALSE))),VLOOKUP($C317,装備品!$1:$998,COLUMN($O$1),FALSE)*VLOOKUP($D317,素材!$1:$1016,COLUMN($E$1),FALSE)/(LEN(VLOOKUP($D317,素材!$1:$1016,COLUMN($F$1),FALSE))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BC317">
        <f>IF(ISNUMBER(SEARCH(SUBSTITUTE(BC$1,RIGHT(BC$1,2),""),VLOOKUP($D317,素材!$1:$1016,COLUMN($F$1),FALSE))),VLOOKUP($C317,装備品!$1:$998,COLUMN($O$1),FALSE)*VLOOKUP($D317,素材!$1:$1016,COLUMN($E$1),FALSE)/(LEN(VLOOKUP($D317,素材!$1:$1016,COLUMN($F$1),FALSE))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BD317">
        <f>IF(ISNUMBER(SEARCH(SUBSTITUTE(BD$1,RIGHT(BD$1,2),""),VLOOKUP($D317,素材!$1:$1016,COLUMN($F$1),FALSE))),VLOOKUP($C317,装備品!$1:$998,COLUMN($O$1),FALSE)*VLOOKUP($D317,素材!$1:$1016,COLUMN($E$1),FALSE)/(LEN(VLOOKUP($D317,素材!$1:$1016,COLUMN($F$1),FALSE))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BE317">
        <f>IF(ISNUMBER(SEARCH(SUBSTITUTE(BE$1,RIGHT(BE$1,2),""),VLOOKUP($D317,素材!$1:$1016,COLUMN($F$1),FALSE))),VLOOKUP($C317,装備品!$1:$998,COLUMN($O$1),FALSE)*VLOOKUP($D317,素材!$1:$1016,COLUMN($E$1),FALSE)/(LEN(VLOOKUP($D317,素材!$1:$1016,COLUMN($F$1),FALSE))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CL317">
        <f t="shared" si="41"/>
        <v>0</v>
      </c>
      <c r="CM317" s="22" t="str">
        <f t="shared" si="42"/>
        <v>.webp</v>
      </c>
      <c r="CN317" t="str">
        <f>IFERROR(VLOOKUP($C317,装備品!$1:$998,COLUMN(V$1),FALSE)*VLOOKUP($D317,素材!$1:$1016,COLUMN(N$1),FALSE)+IF(CI317="",0,VLOOKUP($CI317,付与!$1:$1176,COLUMN($CK$1),FALSE)),"")</f>
        <v/>
      </c>
      <c r="CO317" t="e">
        <f>VLOOKUP(D317,素材!$A:$O,COLUMN(素材!O$1),FALSE)</f>
        <v>#N/A</v>
      </c>
      <c r="CP317" t="e">
        <f>VLOOKUP(C317,装備品!$A:$AB,COLUMN(装備品!AB$1),FALSE)</f>
        <v>#N/A</v>
      </c>
      <c r="CR317" t="str">
        <f t="shared" si="43"/>
        <v>e_317</v>
      </c>
      <c r="CS317" t="e">
        <f t="shared" si="44"/>
        <v>#VALUE!</v>
      </c>
    </row>
    <row r="318" spans="1:97" hidden="1" outlineLevel="1" x14ac:dyDescent="0.4">
      <c r="A318" t="str">
        <f t="shared" si="46"/>
        <v>の</v>
      </c>
      <c r="B318" t="str">
        <f>IFERROR(IF(CI318="",VLOOKUP($D318,素材!$1:$1016,COLUMN($B$1),FALSE)&amp;"・"&amp;VLOOKUP($C318,装備品!$1:$998,COLUMN(B$1),FALSE),VLOOKUP($CI318,付与!$1:$1176,COLUMN($B$1),FALSE)&amp;"・"&amp;VLOOKUP($C318,装備品!$1:$998,COLUMN(B$1),FALSE)),"")</f>
        <v/>
      </c>
      <c r="C318" s="24"/>
      <c r="D318" s="24"/>
      <c r="E318" t="str">
        <f>IFERROR(VLOOKUP(C318,装備品!$1:$998,COLUMN(C$1),FALSE),"")</f>
        <v/>
      </c>
      <c r="F318" t="str">
        <f>IFERROR(ROUNDDOWN((VLOOKUP($C318,装備品!$1:$998,COLUMN(D$1),FALSE)+IFERROR(VLOOKUP($CI318,付与!$1:$1167,COLUMN(F$1),FALSE),0))*VLOOKUP($D318,素材!$1:$1016,COLUMN(D$1),FALSE),0),"")</f>
        <v/>
      </c>
      <c r="G318" t="str">
        <f>IFERROR(ROUNDDOWN((VLOOKUP($C318,装備品!$1:$998,COLUMN(E$1),FALSE)+IFERROR(VLOOKUP($CI318,付与!$1:$1167,COLUMN(G$1),FALSE),0))*VLOOKUP($D318,素材!$1:$1016,COLUMN($E$1),FALSE),0),"")</f>
        <v/>
      </c>
      <c r="H318" t="str">
        <f>IFERROR(ROUNDDOWN((VLOOKUP($C318,装備品!$1:$998,COLUMN(F$1),FALSE)+IFERROR(VLOOKUP($CI318,付与!$1:$1167,COLUMN(H$1),FALSE),0))*VLOOKUP($D318,素材!$1:$1016,COLUMN($E$1),FALSE),0),"")</f>
        <v/>
      </c>
      <c r="I318" t="str">
        <f>IFERROR(ROUNDDOWN((VLOOKUP($C318,装備品!$1:$998,COLUMN(G$1),FALSE)+IFERROR(VLOOKUP($CI318,付与!$1:$1167,COLUMN(I$1),FALSE),0))*VLOOKUP($D318,素材!$1:$1016,COLUMN($E$1),FALSE),0),"")</f>
        <v/>
      </c>
      <c r="J318" t="str">
        <f>IFERROR(ROUNDDOWN((VLOOKUP($C318,装備品!$1:$998,COLUMN(H$1),FALSE)+IFERROR(VLOOKUP($CI318,付与!$1:$1167,COLUMN(J$1),FALSE),0))*VLOOKUP($D318,素材!$1:$1016,COLUMN($E$1),FALSE),0),"")</f>
        <v/>
      </c>
      <c r="K318" t="str">
        <f>IFERROR(ROUNDDOWN((VLOOKUP($C318,装備品!$1:$998,COLUMN(I$1),FALSE)+IFERROR(VLOOKUP($CI318,付与!$1:$1167,COLUMN(K$1),FALSE),0))*VLOOKUP($D318,素材!$1:$1016,COLUMN($E$1),FALSE),0),"")</f>
        <v/>
      </c>
      <c r="L318" t="str">
        <f>IFERROR(VLOOKUP($D318,素材!$1:$1016,COLUMN($F$1),FALSE),"")</f>
        <v/>
      </c>
      <c r="M318" t="str">
        <f>IFERROR(VLOOKUP($C318,装備品!$1:$998,COLUMN(AA$1),FALSE)*VLOOKUP($D318,素材!$1:$1016,COLUMN($G$1),FALSE),"")</f>
        <v/>
      </c>
      <c r="N318" t="str">
        <f>IFERROR(VLOOKUP($C318,装備品!$1:$998,COLUMN(I$1),FALSE),"")</f>
        <v/>
      </c>
      <c r="O318" s="23" t="str">
        <f>IFERROR((VLOOKUP($C318,装備品!$1:$998,COLUMN(K$1),FALSE)+VLOOKUP($D318,素材!$1:$1016,COLUMN(H$1),FALSE))*100+IFERROR(VLOOKUP($CI318,付与!$1:$1167,COLUMN(O$1),FALSE),0),"")</f>
        <v/>
      </c>
      <c r="P318" s="23" t="str">
        <f>IFERROR((VLOOKUP($C318,装備品!$1:$998,COLUMN(L$1),FALSE)+VLOOKUP($D318,素材!$1:$1016,COLUMN(I$1),FALSE))*100+IFERROR(VLOOKUP($CI318,付与!$1:$1167,COLUMN(P$1),FALSE),0),"")</f>
        <v/>
      </c>
      <c r="Q318" t="str">
        <f>IFERROR(ROUNDUP(VLOOKUP($C318,装備品!$1:$998,COLUMN(M$1),FALSE)*(VLOOKUP($D318,素材!$1:$1002,COLUMN(D$1),FALSE)/100),1),"")</f>
        <v/>
      </c>
      <c r="R318" t="str">
        <f>IFERROR(ROUNDUP(VLOOKUP($C318,装備品!$1:$998,COLUMN(N$1),FALSE)*(VLOOKUP($D318,素材!$1:$1002,COLUMN(D$1),FALSE)/100),1),"")</f>
        <v/>
      </c>
      <c r="S318" t="str">
        <f>IFERROR(VLOOKUP($C318,装備品!$1:$998,COLUMN(P$1),FALSE),"")</f>
        <v/>
      </c>
      <c r="T318" t="str">
        <f>IFERROR(VLOOKUP($C318,装備品!$1:$998,COLUMN(Q$1),FALSE),"")</f>
        <v/>
      </c>
      <c r="U318" t="str">
        <f>IFERROR(VLOOKUP($C318,装備品!$1:$998,COLUMN(R$1),FALSE),"")</f>
        <v/>
      </c>
      <c r="V318" t="str">
        <f>IFERROR(VLOOKUP($C318,装備品!$1:$998,COLUMN(Q$1),FALSE),"")</f>
        <v/>
      </c>
      <c r="W318" t="str">
        <f>IFERROR(VLOOKUP($C318,装備品!$1:$998,COLUMN(T$1),FALSE),"")</f>
        <v/>
      </c>
      <c r="Y318" t="str">
        <f>IFERROR(VLOOKUP($C318,装備品!$1:$998,COLUMN(U$1),FALSE),"")</f>
        <v/>
      </c>
      <c r="Z318" t="str">
        <f>IFERROR(ROUNDUP(VLOOKUP($C318,装備品!$1:$998,COLUMN(O$1),FALSE)*VLOOKUP($D318,素材!$1:$1016,COLUMN(E$1),FALSE),1),"")</f>
        <v/>
      </c>
      <c r="AA318">
        <f>IF(ISNUMBER(SEARCH(SUBSTITUTE(AA$1,RIGHT(AA$1,2),""),VLOOKUP($D318,素材!$1:$1016,COLUMN($F$1),FALSE))),VLOOKUP($C318,装備品!$1:$998,COLUMN($O$1),FALSE)*VLOOKUP($D318,素材!$1:$1016,COLUMN($E$1),FALSE)/(LEN(VLOOKUP($D318,素材!$1:$1016,COLUMN($F$1),FALSE))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B318">
        <f>IF(ISNUMBER(SEARCH(SUBSTITUTE(AB$1,RIGHT(AB$1,2),""),VLOOKUP($D318,素材!$1:$1016,COLUMN($F$1),FALSE))),VLOOKUP($C318,装備品!$1:$998,COLUMN($O$1),FALSE)*VLOOKUP($D318,素材!$1:$1016,COLUMN($E$1),FALSE)/(LEN(VLOOKUP($D318,素材!$1:$1016,COLUMN($F$1),FALSE))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C318">
        <f>IF(ISNUMBER(SEARCH(SUBSTITUTE(AC$1,RIGHT(AC$1,2),""),VLOOKUP($D318,素材!$1:$1016,COLUMN($F$1),FALSE))),VLOOKUP($C318,装備品!$1:$998,COLUMN($O$1),FALSE)*VLOOKUP($D318,素材!$1:$1016,COLUMN($E$1),FALSE)/(LEN(VLOOKUP($D318,素材!$1:$1016,COLUMN($F$1),FALSE))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D318">
        <f>IF(ISNUMBER(SEARCH(SUBSTITUTE(AD$1,RIGHT(AD$1,2),""),VLOOKUP($D318,素材!$1:$1016,COLUMN($F$1),FALSE))),VLOOKUP($C318,装備品!$1:$998,COLUMN($O$1),FALSE)*VLOOKUP($D318,素材!$1:$1016,COLUMN($E$1),FALSE)/(LEN(VLOOKUP($D318,素材!$1:$1016,COLUMN($F$1),FALSE))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E318">
        <f>IF(ISNUMBER(SEARCH(SUBSTITUTE(AE$1,RIGHT(AE$1,2),""),VLOOKUP($D318,素材!$1:$1016,COLUMN($F$1),FALSE))),VLOOKUP($C318,装備品!$1:$998,COLUMN($O$1),FALSE)*VLOOKUP($D318,素材!$1:$1016,COLUMN($E$1),FALSE)/(LEN(VLOOKUP($D318,素材!$1:$1016,COLUMN($F$1),FALSE))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F318">
        <f>IF(ISNUMBER(SEARCH(SUBSTITUTE(AF$1,RIGHT(AF$1,2),""),VLOOKUP($D318,素材!$1:$1016,COLUMN($F$1),FALSE))),VLOOKUP($C318,装備品!$1:$998,COLUMN($O$1),FALSE)*VLOOKUP($D318,素材!$1:$1016,COLUMN($E$1),FALSE)/(LEN(VLOOKUP($D318,素材!$1:$1016,COLUMN($F$1),FALSE))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G318">
        <f>IF(ISNUMBER(SEARCH(SUBSTITUTE(AG$1,RIGHT(AG$1,2),""),VLOOKUP($D318,素材!$1:$1016,COLUMN($F$1),FALSE))),VLOOKUP($C318,装備品!$1:$998,COLUMN($O$1),FALSE)*VLOOKUP($D318,素材!$1:$1016,COLUMN($E$1),FALSE)/(LEN(VLOOKUP($D318,素材!$1:$1016,COLUMN($F$1),FALSE))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H318">
        <f>IF(ISNUMBER(SEARCH(SUBSTITUTE(AH$1,RIGHT(AH$1,2),""),VLOOKUP($D318,素材!$1:$1016,COLUMN($F$1),FALSE))),VLOOKUP($C318,装備品!$1:$998,COLUMN($O$1),FALSE)*VLOOKUP($D318,素材!$1:$1016,COLUMN($E$1),FALSE)/(LEN(VLOOKUP($D318,素材!$1:$1016,COLUMN($F$1),FALSE))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I318">
        <f>IF(ISNUMBER(SEARCH(SUBSTITUTE(AI$1,RIGHT(AI$1,2),""),VLOOKUP($D318,素材!$1:$1016,COLUMN($F$1),FALSE))),VLOOKUP($C318,装備品!$1:$998,COLUMN($O$1),FALSE)*VLOOKUP($D318,素材!$1:$1016,COLUMN($E$1),FALSE)/(LEN(VLOOKUP($D318,素材!$1:$1016,COLUMN($F$1),FALSE))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J318">
        <f>IF(ISNUMBER(SEARCH(SUBSTITUTE(AJ$1,RIGHT(AJ$1,2),""),VLOOKUP($D318,素材!$1:$1016,COLUMN($F$1),FALSE))),VLOOKUP($C318,装備品!$1:$998,COLUMN($O$1),FALSE)*VLOOKUP($D318,素材!$1:$1016,COLUMN($E$1),FALSE)/(LEN(VLOOKUP($D318,素材!$1:$1016,COLUMN($F$1),FALSE))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K318">
        <f>IF(ISNUMBER(SEARCH(SUBSTITUTE(AK$1,RIGHT(AK$1,2),""),VLOOKUP($D318,素材!$1:$1016,COLUMN($F$1),FALSE))),VLOOKUP($C318,装備品!$1:$998,COLUMN($O$1),FALSE)*VLOOKUP($D318,素材!$1:$1016,COLUMN($E$1),FALSE)/(LEN(VLOOKUP($D318,素材!$1:$1016,COLUMN($F$1),FALSE))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L318">
        <f>IF(ISNUMBER(SEARCH(SUBSTITUTE(AL$1,RIGHT(AL$1,2),""),VLOOKUP($D318,素材!$1:$1016,COLUMN($F$1),FALSE))),VLOOKUP($C318,装備品!$1:$998,COLUMN($O$1),FALSE)*VLOOKUP($D318,素材!$1:$1016,COLUMN($E$1),FALSE)/(LEN(VLOOKUP($D318,素材!$1:$1016,COLUMN($F$1),FALSE))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M318">
        <f>IF(ISNUMBER(SEARCH(SUBSTITUTE(AM$1,RIGHT(AM$1,2),""),VLOOKUP($D318,素材!$1:$1016,COLUMN($F$1),FALSE))),VLOOKUP($C318,装備品!$1:$998,COLUMN($O$1),FALSE)*VLOOKUP($D318,素材!$1:$1016,COLUMN($E$1),FALSE)/(LEN(VLOOKUP($D318,素材!$1:$1016,COLUMN($F$1),FALSE))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N318">
        <f>IF(ISNUMBER(SEARCH(SUBSTITUTE(AN$1,RIGHT(AN$1,2),""),VLOOKUP($D318,素材!$1:$1016,COLUMN($F$1),FALSE))),VLOOKUP($C318,装備品!$1:$998,COLUMN($O$1),FALSE)*VLOOKUP($D318,素材!$1:$1016,COLUMN($E$1),FALSE)/(LEN(VLOOKUP($D318,素材!$1:$1016,COLUMN($F$1),FALSE))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O318">
        <f>IF(ISNUMBER(SEARCH(SUBSTITUTE(AO$1,RIGHT(AO$1,2),""),VLOOKUP($D318,素材!$1:$1016,COLUMN($F$1),FALSE))),VLOOKUP($C318,装備品!$1:$998,COLUMN($O$1),FALSE)*VLOOKUP($D318,素材!$1:$1016,COLUMN($E$1),FALSE)/(LEN(VLOOKUP($D318,素材!$1:$1016,COLUMN($F$1),FALSE))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P318">
        <f>IF(ISNUMBER(SEARCH(SUBSTITUTE(AP$1,RIGHT(AP$1,2),""),VLOOKUP($D318,素材!$1:$1016,COLUMN($F$1),FALSE))),VLOOKUP($C318,装備品!$1:$998,COLUMN($O$1),FALSE)*VLOOKUP($D318,素材!$1:$1016,COLUMN($E$1),FALSE)/(LEN(VLOOKUP($D318,素材!$1:$1016,COLUMN($F$1),FALSE))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Q318">
        <f>IF(ISNUMBER(SEARCH(SUBSTITUTE(AQ$1,RIGHT(AQ$1,2),""),VLOOKUP($D318,素材!$1:$1016,COLUMN($F$1),FALSE))),VLOOKUP($C318,装備品!$1:$998,COLUMN($O$1),FALSE)*VLOOKUP($D318,素材!$1:$1016,COLUMN($E$1),FALSE)/(LEN(VLOOKUP($D318,素材!$1:$1016,COLUMN($F$1),FALSE))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R318">
        <f>IF(ISNUMBER(SEARCH(SUBSTITUTE(AR$1,RIGHT(AR$1,2),""),VLOOKUP($D318,素材!$1:$1016,COLUMN($F$1),FALSE))),VLOOKUP($C318,装備品!$1:$998,COLUMN($O$1),FALSE)*VLOOKUP($D318,素材!$1:$1016,COLUMN($E$1),FALSE)/(LEN(VLOOKUP($D318,素材!$1:$1016,COLUMN($F$1),FALSE))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S318">
        <f>IF(ISNUMBER(SEARCH(SUBSTITUTE(AS$1,RIGHT(AS$1,2),""),VLOOKUP($D318,素材!$1:$1016,COLUMN($F$1),FALSE))),VLOOKUP($C318,装備品!$1:$998,COLUMN($O$1),FALSE)*VLOOKUP($D318,素材!$1:$1016,COLUMN($E$1),FALSE)/(LEN(VLOOKUP($D318,素材!$1:$1016,COLUMN($F$1),FALSE))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T318">
        <f>IF(ISNUMBER(SEARCH(SUBSTITUTE(AT$1,RIGHT(AT$1,2),""),VLOOKUP($D318,素材!$1:$1016,COLUMN($F$1),FALSE))),VLOOKUP($C318,装備品!$1:$998,COLUMN($O$1),FALSE)*VLOOKUP($D318,素材!$1:$1016,COLUMN($E$1),FALSE)/(LEN(VLOOKUP($D318,素材!$1:$1016,COLUMN($F$1),FALSE))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U318">
        <f>IF(ISNUMBER(SEARCH(SUBSTITUTE(AU$1,RIGHT(AU$1,2),""),VLOOKUP($D318,素材!$1:$1016,COLUMN($F$1),FALSE))),VLOOKUP($C318,装備品!$1:$998,COLUMN($O$1),FALSE)*VLOOKUP($D318,素材!$1:$1016,COLUMN($E$1),FALSE)/(LEN(VLOOKUP($D318,素材!$1:$1016,COLUMN($F$1),FALSE))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V318">
        <f>IF(ISNUMBER(SEARCH(SUBSTITUTE(AV$1,RIGHT(AV$1,2),""),VLOOKUP($D318,素材!$1:$1016,COLUMN($F$1),FALSE))),VLOOKUP($C318,装備品!$1:$998,COLUMN($O$1),FALSE)*VLOOKUP($D318,素材!$1:$1016,COLUMN($E$1),FALSE)/(LEN(VLOOKUP($D318,素材!$1:$1016,COLUMN($F$1),FALSE))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W318">
        <f>IF(ISNUMBER(SEARCH(SUBSTITUTE(AW$1,RIGHT(AW$1,2),""),VLOOKUP($D318,素材!$1:$1016,COLUMN($F$1),FALSE))),VLOOKUP($C318,装備品!$1:$998,COLUMN($O$1),FALSE)*VLOOKUP($D318,素材!$1:$1016,COLUMN($E$1),FALSE)/(LEN(VLOOKUP($D318,素材!$1:$1016,COLUMN($F$1),FALSE))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X318">
        <f>IF(ISNUMBER(SEARCH(SUBSTITUTE(AX$1,RIGHT(AX$1,2),""),VLOOKUP($D318,素材!$1:$1016,COLUMN($F$1),FALSE))),VLOOKUP($C318,装備品!$1:$998,COLUMN($O$1),FALSE)*VLOOKUP($D318,素材!$1:$1016,COLUMN($E$1),FALSE)/(LEN(VLOOKUP($D318,素材!$1:$1016,COLUMN($F$1),FALSE))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Y318">
        <f>IF(ISNUMBER(SEARCH(SUBSTITUTE(AY$1,RIGHT(AY$1,2),""),VLOOKUP($D318,素材!$1:$1016,COLUMN($F$1),FALSE))),VLOOKUP($C318,装備品!$1:$998,COLUMN($O$1),FALSE)*VLOOKUP($D318,素材!$1:$1016,COLUMN($E$1),FALSE)/(LEN(VLOOKUP($D318,素材!$1:$1016,COLUMN($F$1),FALSE))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Z318">
        <f>IF(ISNUMBER(SEARCH(SUBSTITUTE(AZ$1,RIGHT(AZ$1,2),""),VLOOKUP($D318,素材!$1:$1016,COLUMN($F$1),FALSE))),VLOOKUP($C318,装備品!$1:$998,COLUMN($O$1),FALSE)*VLOOKUP($D318,素材!$1:$1016,COLUMN($E$1),FALSE)/(LEN(VLOOKUP($D318,素材!$1:$1016,COLUMN($F$1),FALSE))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BA318">
        <f>IF(ISNUMBER(SEARCH(SUBSTITUTE(BA$1,RIGHT(BA$1,2),""),VLOOKUP($D318,素材!$1:$1016,COLUMN($F$1),FALSE))),VLOOKUP($C318,装備品!$1:$998,COLUMN($O$1),FALSE)*VLOOKUP($D318,素材!$1:$1016,COLUMN($E$1),FALSE)/(LEN(VLOOKUP($D318,素材!$1:$1016,COLUMN($F$1),FALSE))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BB318">
        <f>IF(ISNUMBER(SEARCH(SUBSTITUTE(BB$1,RIGHT(BB$1,2),""),VLOOKUP($D318,素材!$1:$1016,COLUMN($F$1),FALSE))),VLOOKUP($C318,装備品!$1:$998,COLUMN($O$1),FALSE)*VLOOKUP($D318,素材!$1:$1016,COLUMN($E$1),FALSE)/(LEN(VLOOKUP($D318,素材!$1:$1016,COLUMN($F$1),FALSE))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BC318">
        <f>IF(ISNUMBER(SEARCH(SUBSTITUTE(BC$1,RIGHT(BC$1,2),""),VLOOKUP($D318,素材!$1:$1016,COLUMN($F$1),FALSE))),VLOOKUP($C318,装備品!$1:$998,COLUMN($O$1),FALSE)*VLOOKUP($D318,素材!$1:$1016,COLUMN($E$1),FALSE)/(LEN(VLOOKUP($D318,素材!$1:$1016,COLUMN($F$1),FALSE))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BD318">
        <f>IF(ISNUMBER(SEARCH(SUBSTITUTE(BD$1,RIGHT(BD$1,2),""),VLOOKUP($D318,素材!$1:$1016,COLUMN($F$1),FALSE))),VLOOKUP($C318,装備品!$1:$998,COLUMN($O$1),FALSE)*VLOOKUP($D318,素材!$1:$1016,COLUMN($E$1),FALSE)/(LEN(VLOOKUP($D318,素材!$1:$1016,COLUMN($F$1),FALSE))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BE318">
        <f>IF(ISNUMBER(SEARCH(SUBSTITUTE(BE$1,RIGHT(BE$1,2),""),VLOOKUP($D318,素材!$1:$1016,COLUMN($F$1),FALSE))),VLOOKUP($C318,装備品!$1:$998,COLUMN($O$1),FALSE)*VLOOKUP($D318,素材!$1:$1016,COLUMN($E$1),FALSE)/(LEN(VLOOKUP($D318,素材!$1:$1016,COLUMN($F$1),FALSE))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CL318">
        <f t="shared" si="41"/>
        <v>0</v>
      </c>
      <c r="CM318" s="22" t="str">
        <f t="shared" si="42"/>
        <v>.webp</v>
      </c>
      <c r="CN318" t="str">
        <f>IFERROR(VLOOKUP($C318,装備品!$1:$998,COLUMN(V$1),FALSE)*VLOOKUP($D318,素材!$1:$1016,COLUMN(N$1),FALSE)+IF(CI318="",0,VLOOKUP($CI318,付与!$1:$1176,COLUMN($CK$1),FALSE)),"")</f>
        <v/>
      </c>
      <c r="CO318" t="e">
        <f>VLOOKUP(D318,素材!$A:$O,COLUMN(素材!O$1),FALSE)</f>
        <v>#N/A</v>
      </c>
      <c r="CP318" t="e">
        <f>VLOOKUP(C318,装備品!$A:$AB,COLUMN(装備品!AB$1),FALSE)</f>
        <v>#N/A</v>
      </c>
      <c r="CR318" t="str">
        <f t="shared" si="43"/>
        <v>e_318</v>
      </c>
      <c r="CS318" t="e">
        <f t="shared" si="44"/>
        <v>#VALUE!</v>
      </c>
    </row>
    <row r="319" spans="1:97" hidden="1" outlineLevel="1" x14ac:dyDescent="0.4">
      <c r="A319" t="str">
        <f t="shared" si="46"/>
        <v>の</v>
      </c>
      <c r="B319" t="str">
        <f>IFERROR(IF(CI319="",VLOOKUP($D319,素材!$1:$1016,COLUMN($B$1),FALSE)&amp;"・"&amp;VLOOKUP($C319,装備品!$1:$998,COLUMN(B$1),FALSE),VLOOKUP($CI319,付与!$1:$1176,COLUMN($B$1),FALSE)&amp;"・"&amp;VLOOKUP($C319,装備品!$1:$998,COLUMN(B$1),FALSE)),"")</f>
        <v/>
      </c>
      <c r="C319" s="24"/>
      <c r="D319" s="24"/>
      <c r="E319" t="str">
        <f>IFERROR(VLOOKUP(C319,装備品!$1:$998,COLUMN(C$1),FALSE),"")</f>
        <v/>
      </c>
      <c r="F319" t="str">
        <f>IFERROR(ROUNDDOWN((VLOOKUP($C319,装備品!$1:$998,COLUMN(D$1),FALSE)+IFERROR(VLOOKUP($CI319,付与!$1:$1167,COLUMN(F$1),FALSE),0))*VLOOKUP($D319,素材!$1:$1016,COLUMN(D$1),FALSE),0),"")</f>
        <v/>
      </c>
      <c r="G319" t="str">
        <f>IFERROR(ROUNDDOWN((VLOOKUP($C319,装備品!$1:$998,COLUMN(E$1),FALSE)+IFERROR(VLOOKUP($CI319,付与!$1:$1167,COLUMN(G$1),FALSE),0))*VLOOKUP($D319,素材!$1:$1016,COLUMN($E$1),FALSE),0),"")</f>
        <v/>
      </c>
      <c r="H319" t="str">
        <f>IFERROR(ROUNDDOWN((VLOOKUP($C319,装備品!$1:$998,COLUMN(F$1),FALSE)+IFERROR(VLOOKUP($CI319,付与!$1:$1167,COLUMN(H$1),FALSE),0))*VLOOKUP($D319,素材!$1:$1016,COLUMN($E$1),FALSE),0),"")</f>
        <v/>
      </c>
      <c r="I319" t="str">
        <f>IFERROR(ROUNDDOWN((VLOOKUP($C319,装備品!$1:$998,COLUMN(G$1),FALSE)+IFERROR(VLOOKUP($CI319,付与!$1:$1167,COLUMN(I$1),FALSE),0))*VLOOKUP($D319,素材!$1:$1016,COLUMN($E$1),FALSE),0),"")</f>
        <v/>
      </c>
      <c r="J319" t="str">
        <f>IFERROR(ROUNDDOWN((VLOOKUP($C319,装備品!$1:$998,COLUMN(H$1),FALSE)+IFERROR(VLOOKUP($CI319,付与!$1:$1167,COLUMN(J$1),FALSE),0))*VLOOKUP($D319,素材!$1:$1016,COLUMN($E$1),FALSE),0),"")</f>
        <v/>
      </c>
      <c r="K319" t="str">
        <f>IFERROR(ROUNDDOWN((VLOOKUP($C319,装備品!$1:$998,COLUMN(I$1),FALSE)+IFERROR(VLOOKUP($CI319,付与!$1:$1167,COLUMN(K$1),FALSE),0))*VLOOKUP($D319,素材!$1:$1016,COLUMN($E$1),FALSE),0),"")</f>
        <v/>
      </c>
      <c r="L319" t="str">
        <f>IFERROR(VLOOKUP($D319,素材!$1:$1016,COLUMN($F$1),FALSE),"")</f>
        <v/>
      </c>
      <c r="M319" t="str">
        <f>IFERROR(VLOOKUP($C319,装備品!$1:$998,COLUMN(AA$1),FALSE)*VLOOKUP($D319,素材!$1:$1016,COLUMN($G$1),FALSE),"")</f>
        <v/>
      </c>
      <c r="N319" t="str">
        <f>IFERROR(VLOOKUP($C319,装備品!$1:$998,COLUMN(I$1),FALSE),"")</f>
        <v/>
      </c>
      <c r="O319" s="23" t="str">
        <f>IFERROR((VLOOKUP($C319,装備品!$1:$998,COLUMN(K$1),FALSE)+VLOOKUP($D319,素材!$1:$1016,COLUMN(H$1),FALSE))*100+IFERROR(VLOOKUP($CI319,付与!$1:$1167,COLUMN(O$1),FALSE),0),"")</f>
        <v/>
      </c>
      <c r="P319" s="23" t="str">
        <f>IFERROR((VLOOKUP($C319,装備品!$1:$998,COLUMN(L$1),FALSE)+VLOOKUP($D319,素材!$1:$1016,COLUMN(I$1),FALSE))*100+IFERROR(VLOOKUP($CI319,付与!$1:$1167,COLUMN(P$1),FALSE),0),"")</f>
        <v/>
      </c>
      <c r="Q319" t="str">
        <f>IFERROR(ROUNDUP(VLOOKUP($C319,装備品!$1:$998,COLUMN(M$1),FALSE)*(VLOOKUP($D319,素材!$1:$1002,COLUMN(D$1),FALSE)/100),1),"")</f>
        <v/>
      </c>
      <c r="R319" t="str">
        <f>IFERROR(ROUNDUP(VLOOKUP($C319,装備品!$1:$998,COLUMN(N$1),FALSE)*(VLOOKUP($D319,素材!$1:$1002,COLUMN(D$1),FALSE)/100),1),"")</f>
        <v/>
      </c>
      <c r="S319" t="str">
        <f>IFERROR(VLOOKUP($C319,装備品!$1:$998,COLUMN(P$1),FALSE),"")</f>
        <v/>
      </c>
      <c r="T319" t="str">
        <f>IFERROR(VLOOKUP($C319,装備品!$1:$998,COLUMN(Q$1),FALSE),"")</f>
        <v/>
      </c>
      <c r="U319" t="str">
        <f>IFERROR(VLOOKUP($C319,装備品!$1:$998,COLUMN(R$1),FALSE),"")</f>
        <v/>
      </c>
      <c r="V319" t="str">
        <f>IFERROR(VLOOKUP($C319,装備品!$1:$998,COLUMN(Q$1),FALSE),"")</f>
        <v/>
      </c>
      <c r="W319" t="str">
        <f>IFERROR(VLOOKUP($C319,装備品!$1:$998,COLUMN(T$1),FALSE),"")</f>
        <v/>
      </c>
      <c r="Y319" t="str">
        <f>IFERROR(VLOOKUP($C319,装備品!$1:$998,COLUMN(U$1),FALSE),"")</f>
        <v/>
      </c>
      <c r="Z319" t="str">
        <f>IFERROR(ROUNDUP(VLOOKUP($C319,装備品!$1:$998,COLUMN(O$1),FALSE)*VLOOKUP($D319,素材!$1:$1016,COLUMN(E$1),FALSE),1),"")</f>
        <v/>
      </c>
      <c r="AA319">
        <f>IF(ISNUMBER(SEARCH(SUBSTITUTE(AA$1,RIGHT(AA$1,2),""),VLOOKUP($D319,素材!$1:$1016,COLUMN($F$1),FALSE))),VLOOKUP($C319,装備品!$1:$998,COLUMN($O$1),FALSE)*VLOOKUP($D319,素材!$1:$1016,COLUMN($E$1),FALSE)/(LEN(VLOOKUP($D319,素材!$1:$1016,COLUMN($F$1),FALSE))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B319">
        <f>IF(ISNUMBER(SEARCH(SUBSTITUTE(AB$1,RIGHT(AB$1,2),""),VLOOKUP($D319,素材!$1:$1016,COLUMN($F$1),FALSE))),VLOOKUP($C319,装備品!$1:$998,COLUMN($O$1),FALSE)*VLOOKUP($D319,素材!$1:$1016,COLUMN($E$1),FALSE)/(LEN(VLOOKUP($D319,素材!$1:$1016,COLUMN($F$1),FALSE))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C319">
        <f>IF(ISNUMBER(SEARCH(SUBSTITUTE(AC$1,RIGHT(AC$1,2),""),VLOOKUP($D319,素材!$1:$1016,COLUMN($F$1),FALSE))),VLOOKUP($C319,装備品!$1:$998,COLUMN($O$1),FALSE)*VLOOKUP($D319,素材!$1:$1016,COLUMN($E$1),FALSE)/(LEN(VLOOKUP($D319,素材!$1:$1016,COLUMN($F$1),FALSE))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D319">
        <f>IF(ISNUMBER(SEARCH(SUBSTITUTE(AD$1,RIGHT(AD$1,2),""),VLOOKUP($D319,素材!$1:$1016,COLUMN($F$1),FALSE))),VLOOKUP($C319,装備品!$1:$998,COLUMN($O$1),FALSE)*VLOOKUP($D319,素材!$1:$1016,COLUMN($E$1),FALSE)/(LEN(VLOOKUP($D319,素材!$1:$1016,COLUMN($F$1),FALSE))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E319">
        <f>IF(ISNUMBER(SEARCH(SUBSTITUTE(AE$1,RIGHT(AE$1,2),""),VLOOKUP($D319,素材!$1:$1016,COLUMN($F$1),FALSE))),VLOOKUP($C319,装備品!$1:$998,COLUMN($O$1),FALSE)*VLOOKUP($D319,素材!$1:$1016,COLUMN($E$1),FALSE)/(LEN(VLOOKUP($D319,素材!$1:$1016,COLUMN($F$1),FALSE))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F319">
        <f>IF(ISNUMBER(SEARCH(SUBSTITUTE(AF$1,RIGHT(AF$1,2),""),VLOOKUP($D319,素材!$1:$1016,COLUMN($F$1),FALSE))),VLOOKUP($C319,装備品!$1:$998,COLUMN($O$1),FALSE)*VLOOKUP($D319,素材!$1:$1016,COLUMN($E$1),FALSE)/(LEN(VLOOKUP($D319,素材!$1:$1016,COLUMN($F$1),FALSE))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G319">
        <f>IF(ISNUMBER(SEARCH(SUBSTITUTE(AG$1,RIGHT(AG$1,2),""),VLOOKUP($D319,素材!$1:$1016,COLUMN($F$1),FALSE))),VLOOKUP($C319,装備品!$1:$998,COLUMN($O$1),FALSE)*VLOOKUP($D319,素材!$1:$1016,COLUMN($E$1),FALSE)/(LEN(VLOOKUP($D319,素材!$1:$1016,COLUMN($F$1),FALSE))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H319">
        <f>IF(ISNUMBER(SEARCH(SUBSTITUTE(AH$1,RIGHT(AH$1,2),""),VLOOKUP($D319,素材!$1:$1016,COLUMN($F$1),FALSE))),VLOOKUP($C319,装備品!$1:$998,COLUMN($O$1),FALSE)*VLOOKUP($D319,素材!$1:$1016,COLUMN($E$1),FALSE)/(LEN(VLOOKUP($D319,素材!$1:$1016,COLUMN($F$1),FALSE))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I319">
        <f>IF(ISNUMBER(SEARCH(SUBSTITUTE(AI$1,RIGHT(AI$1,2),""),VLOOKUP($D319,素材!$1:$1016,COLUMN($F$1),FALSE))),VLOOKUP($C319,装備品!$1:$998,COLUMN($O$1),FALSE)*VLOOKUP($D319,素材!$1:$1016,COLUMN($E$1),FALSE)/(LEN(VLOOKUP($D319,素材!$1:$1016,COLUMN($F$1),FALSE))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J319">
        <f>IF(ISNUMBER(SEARCH(SUBSTITUTE(AJ$1,RIGHT(AJ$1,2),""),VLOOKUP($D319,素材!$1:$1016,COLUMN($F$1),FALSE))),VLOOKUP($C319,装備品!$1:$998,COLUMN($O$1),FALSE)*VLOOKUP($D319,素材!$1:$1016,COLUMN($E$1),FALSE)/(LEN(VLOOKUP($D319,素材!$1:$1016,COLUMN($F$1),FALSE))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K319">
        <f>IF(ISNUMBER(SEARCH(SUBSTITUTE(AK$1,RIGHT(AK$1,2),""),VLOOKUP($D319,素材!$1:$1016,COLUMN($F$1),FALSE))),VLOOKUP($C319,装備品!$1:$998,COLUMN($O$1),FALSE)*VLOOKUP($D319,素材!$1:$1016,COLUMN($E$1),FALSE)/(LEN(VLOOKUP($D319,素材!$1:$1016,COLUMN($F$1),FALSE))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L319">
        <f>IF(ISNUMBER(SEARCH(SUBSTITUTE(AL$1,RIGHT(AL$1,2),""),VLOOKUP($D319,素材!$1:$1016,COLUMN($F$1),FALSE))),VLOOKUP($C319,装備品!$1:$998,COLUMN($O$1),FALSE)*VLOOKUP($D319,素材!$1:$1016,COLUMN($E$1),FALSE)/(LEN(VLOOKUP($D319,素材!$1:$1016,COLUMN($F$1),FALSE))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M319">
        <f>IF(ISNUMBER(SEARCH(SUBSTITUTE(AM$1,RIGHT(AM$1,2),""),VLOOKUP($D319,素材!$1:$1016,COLUMN($F$1),FALSE))),VLOOKUP($C319,装備品!$1:$998,COLUMN($O$1),FALSE)*VLOOKUP($D319,素材!$1:$1016,COLUMN($E$1),FALSE)/(LEN(VLOOKUP($D319,素材!$1:$1016,COLUMN($F$1),FALSE))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N319">
        <f>IF(ISNUMBER(SEARCH(SUBSTITUTE(AN$1,RIGHT(AN$1,2),""),VLOOKUP($D319,素材!$1:$1016,COLUMN($F$1),FALSE))),VLOOKUP($C319,装備品!$1:$998,COLUMN($O$1),FALSE)*VLOOKUP($D319,素材!$1:$1016,COLUMN($E$1),FALSE)/(LEN(VLOOKUP($D319,素材!$1:$1016,COLUMN($F$1),FALSE))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O319">
        <f>IF(ISNUMBER(SEARCH(SUBSTITUTE(AO$1,RIGHT(AO$1,2),""),VLOOKUP($D319,素材!$1:$1016,COLUMN($F$1),FALSE))),VLOOKUP($C319,装備品!$1:$998,COLUMN($O$1),FALSE)*VLOOKUP($D319,素材!$1:$1016,COLUMN($E$1),FALSE)/(LEN(VLOOKUP($D319,素材!$1:$1016,COLUMN($F$1),FALSE))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P319">
        <f>IF(ISNUMBER(SEARCH(SUBSTITUTE(AP$1,RIGHT(AP$1,2),""),VLOOKUP($D319,素材!$1:$1016,COLUMN($F$1),FALSE))),VLOOKUP($C319,装備品!$1:$998,COLUMN($O$1),FALSE)*VLOOKUP($D319,素材!$1:$1016,COLUMN($E$1),FALSE)/(LEN(VLOOKUP($D319,素材!$1:$1016,COLUMN($F$1),FALSE))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Q319">
        <f>IF(ISNUMBER(SEARCH(SUBSTITUTE(AQ$1,RIGHT(AQ$1,2),""),VLOOKUP($D319,素材!$1:$1016,COLUMN($F$1),FALSE))),VLOOKUP($C319,装備品!$1:$998,COLUMN($O$1),FALSE)*VLOOKUP($D319,素材!$1:$1016,COLUMN($E$1),FALSE)/(LEN(VLOOKUP($D319,素材!$1:$1016,COLUMN($F$1),FALSE))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R319">
        <f>IF(ISNUMBER(SEARCH(SUBSTITUTE(AR$1,RIGHT(AR$1,2),""),VLOOKUP($D319,素材!$1:$1016,COLUMN($F$1),FALSE))),VLOOKUP($C319,装備品!$1:$998,COLUMN($O$1),FALSE)*VLOOKUP($D319,素材!$1:$1016,COLUMN($E$1),FALSE)/(LEN(VLOOKUP($D319,素材!$1:$1016,COLUMN($F$1),FALSE))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S319">
        <f>IF(ISNUMBER(SEARCH(SUBSTITUTE(AS$1,RIGHT(AS$1,2),""),VLOOKUP($D319,素材!$1:$1016,COLUMN($F$1),FALSE))),VLOOKUP($C319,装備品!$1:$998,COLUMN($O$1),FALSE)*VLOOKUP($D319,素材!$1:$1016,COLUMN($E$1),FALSE)/(LEN(VLOOKUP($D319,素材!$1:$1016,COLUMN($F$1),FALSE))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T319">
        <f>IF(ISNUMBER(SEARCH(SUBSTITUTE(AT$1,RIGHT(AT$1,2),""),VLOOKUP($D319,素材!$1:$1016,COLUMN($F$1),FALSE))),VLOOKUP($C319,装備品!$1:$998,COLUMN($O$1),FALSE)*VLOOKUP($D319,素材!$1:$1016,COLUMN($E$1),FALSE)/(LEN(VLOOKUP($D319,素材!$1:$1016,COLUMN($F$1),FALSE))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U319">
        <f>IF(ISNUMBER(SEARCH(SUBSTITUTE(AU$1,RIGHT(AU$1,2),""),VLOOKUP($D319,素材!$1:$1016,COLUMN($F$1),FALSE))),VLOOKUP($C319,装備品!$1:$998,COLUMN($O$1),FALSE)*VLOOKUP($D319,素材!$1:$1016,COLUMN($E$1),FALSE)/(LEN(VLOOKUP($D319,素材!$1:$1016,COLUMN($F$1),FALSE))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V319">
        <f>IF(ISNUMBER(SEARCH(SUBSTITUTE(AV$1,RIGHT(AV$1,2),""),VLOOKUP($D319,素材!$1:$1016,COLUMN($F$1),FALSE))),VLOOKUP($C319,装備品!$1:$998,COLUMN($O$1),FALSE)*VLOOKUP($D319,素材!$1:$1016,COLUMN($E$1),FALSE)/(LEN(VLOOKUP($D319,素材!$1:$1016,COLUMN($F$1),FALSE))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W319">
        <f>IF(ISNUMBER(SEARCH(SUBSTITUTE(AW$1,RIGHT(AW$1,2),""),VLOOKUP($D319,素材!$1:$1016,COLUMN($F$1),FALSE))),VLOOKUP($C319,装備品!$1:$998,COLUMN($O$1),FALSE)*VLOOKUP($D319,素材!$1:$1016,COLUMN($E$1),FALSE)/(LEN(VLOOKUP($D319,素材!$1:$1016,COLUMN($F$1),FALSE))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X319">
        <f>IF(ISNUMBER(SEARCH(SUBSTITUTE(AX$1,RIGHT(AX$1,2),""),VLOOKUP($D319,素材!$1:$1016,COLUMN($F$1),FALSE))),VLOOKUP($C319,装備品!$1:$998,COLUMN($O$1),FALSE)*VLOOKUP($D319,素材!$1:$1016,COLUMN($E$1),FALSE)/(LEN(VLOOKUP($D319,素材!$1:$1016,COLUMN($F$1),FALSE))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Y319">
        <f>IF(ISNUMBER(SEARCH(SUBSTITUTE(AY$1,RIGHT(AY$1,2),""),VLOOKUP($D319,素材!$1:$1016,COLUMN($F$1),FALSE))),VLOOKUP($C319,装備品!$1:$998,COLUMN($O$1),FALSE)*VLOOKUP($D319,素材!$1:$1016,COLUMN($E$1),FALSE)/(LEN(VLOOKUP($D319,素材!$1:$1016,COLUMN($F$1),FALSE))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Z319">
        <f>IF(ISNUMBER(SEARCH(SUBSTITUTE(AZ$1,RIGHT(AZ$1,2),""),VLOOKUP($D319,素材!$1:$1016,COLUMN($F$1),FALSE))),VLOOKUP($C319,装備品!$1:$998,COLUMN($O$1),FALSE)*VLOOKUP($D319,素材!$1:$1016,COLUMN($E$1),FALSE)/(LEN(VLOOKUP($D319,素材!$1:$1016,COLUMN($F$1),FALSE))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BA319">
        <f>IF(ISNUMBER(SEARCH(SUBSTITUTE(BA$1,RIGHT(BA$1,2),""),VLOOKUP($D319,素材!$1:$1016,COLUMN($F$1),FALSE))),VLOOKUP($C319,装備品!$1:$998,COLUMN($O$1),FALSE)*VLOOKUP($D319,素材!$1:$1016,COLUMN($E$1),FALSE)/(LEN(VLOOKUP($D319,素材!$1:$1016,COLUMN($F$1),FALSE))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BB319">
        <f>IF(ISNUMBER(SEARCH(SUBSTITUTE(BB$1,RIGHT(BB$1,2),""),VLOOKUP($D319,素材!$1:$1016,COLUMN($F$1),FALSE))),VLOOKUP($C319,装備品!$1:$998,COLUMN($O$1),FALSE)*VLOOKUP($D319,素材!$1:$1016,COLUMN($E$1),FALSE)/(LEN(VLOOKUP($D319,素材!$1:$1016,COLUMN($F$1),FALSE))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BC319">
        <f>IF(ISNUMBER(SEARCH(SUBSTITUTE(BC$1,RIGHT(BC$1,2),""),VLOOKUP($D319,素材!$1:$1016,COLUMN($F$1),FALSE))),VLOOKUP($C319,装備品!$1:$998,COLUMN($O$1),FALSE)*VLOOKUP($D319,素材!$1:$1016,COLUMN($E$1),FALSE)/(LEN(VLOOKUP($D319,素材!$1:$1016,COLUMN($F$1),FALSE))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BD319">
        <f>IF(ISNUMBER(SEARCH(SUBSTITUTE(BD$1,RIGHT(BD$1,2),""),VLOOKUP($D319,素材!$1:$1016,COLUMN($F$1),FALSE))),VLOOKUP($C319,装備品!$1:$998,COLUMN($O$1),FALSE)*VLOOKUP($D319,素材!$1:$1016,COLUMN($E$1),FALSE)/(LEN(VLOOKUP($D319,素材!$1:$1016,COLUMN($F$1),FALSE))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BE319">
        <f>IF(ISNUMBER(SEARCH(SUBSTITUTE(BE$1,RIGHT(BE$1,2),""),VLOOKUP($D319,素材!$1:$1016,COLUMN($F$1),FALSE))),VLOOKUP($C319,装備品!$1:$998,COLUMN($O$1),FALSE)*VLOOKUP($D319,素材!$1:$1016,COLUMN($E$1),FALSE)/(LEN(VLOOKUP($D319,素材!$1:$1016,COLUMN($F$1),FALSE))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CL319">
        <f t="shared" si="41"/>
        <v>0</v>
      </c>
      <c r="CM319" s="22" t="str">
        <f t="shared" si="42"/>
        <v>.webp</v>
      </c>
      <c r="CN319" t="str">
        <f>IFERROR(VLOOKUP($C319,装備品!$1:$998,COLUMN(V$1),FALSE)*VLOOKUP($D319,素材!$1:$1016,COLUMN(N$1),FALSE)+IF(CI319="",0,VLOOKUP($CI319,付与!$1:$1176,COLUMN($CK$1),FALSE)),"")</f>
        <v/>
      </c>
      <c r="CO319" t="e">
        <f>VLOOKUP(D319,素材!$A:$O,COLUMN(素材!O$1),FALSE)</f>
        <v>#N/A</v>
      </c>
      <c r="CP319" t="e">
        <f>VLOOKUP(C319,装備品!$A:$AB,COLUMN(装備品!AB$1),FALSE)</f>
        <v>#N/A</v>
      </c>
      <c r="CR319" t="str">
        <f t="shared" si="43"/>
        <v>e_319</v>
      </c>
      <c r="CS319" t="e">
        <f t="shared" si="44"/>
        <v>#VALUE!</v>
      </c>
    </row>
    <row r="320" spans="1:97" hidden="1" outlineLevel="1" x14ac:dyDescent="0.4">
      <c r="A320" t="str">
        <f t="shared" si="46"/>
        <v>の</v>
      </c>
      <c r="B320" t="str">
        <f>IFERROR(IF(CI320="",VLOOKUP($D320,素材!$1:$1016,COLUMN($B$1),FALSE)&amp;"・"&amp;VLOOKUP($C320,装備品!$1:$998,COLUMN(B$1),FALSE),VLOOKUP($CI320,付与!$1:$1176,COLUMN($B$1),FALSE)&amp;"・"&amp;VLOOKUP($C320,装備品!$1:$998,COLUMN(B$1),FALSE)),"")</f>
        <v/>
      </c>
      <c r="C320" s="24"/>
      <c r="D320" s="24"/>
      <c r="E320" t="str">
        <f>IFERROR(VLOOKUP(C320,装備品!$1:$998,COLUMN(C$1),FALSE),"")</f>
        <v/>
      </c>
      <c r="F320" t="str">
        <f>IFERROR(ROUNDDOWN((VLOOKUP($C320,装備品!$1:$998,COLUMN(D$1),FALSE)+IFERROR(VLOOKUP($CI320,付与!$1:$1167,COLUMN(F$1),FALSE),0))*VLOOKUP($D320,素材!$1:$1016,COLUMN(D$1),FALSE),0),"")</f>
        <v/>
      </c>
      <c r="G320" t="str">
        <f>IFERROR(ROUNDDOWN((VLOOKUP($C320,装備品!$1:$998,COLUMN(E$1),FALSE)+IFERROR(VLOOKUP($CI320,付与!$1:$1167,COLUMN(G$1),FALSE),0))*VLOOKUP($D320,素材!$1:$1016,COLUMN($E$1),FALSE),0),"")</f>
        <v/>
      </c>
      <c r="H320" t="str">
        <f>IFERROR(ROUNDDOWN((VLOOKUP($C320,装備品!$1:$998,COLUMN(F$1),FALSE)+IFERROR(VLOOKUP($CI320,付与!$1:$1167,COLUMN(H$1),FALSE),0))*VLOOKUP($D320,素材!$1:$1016,COLUMN($E$1),FALSE),0),"")</f>
        <v/>
      </c>
      <c r="I320" t="str">
        <f>IFERROR(ROUNDDOWN((VLOOKUP($C320,装備品!$1:$998,COLUMN(G$1),FALSE)+IFERROR(VLOOKUP($CI320,付与!$1:$1167,COLUMN(I$1),FALSE),0))*VLOOKUP($D320,素材!$1:$1016,COLUMN($E$1),FALSE),0),"")</f>
        <v/>
      </c>
      <c r="J320" t="str">
        <f>IFERROR(ROUNDDOWN((VLOOKUP($C320,装備品!$1:$998,COLUMN(H$1),FALSE)+IFERROR(VLOOKUP($CI320,付与!$1:$1167,COLUMN(J$1),FALSE),0))*VLOOKUP($D320,素材!$1:$1016,COLUMN($E$1),FALSE),0),"")</f>
        <v/>
      </c>
      <c r="K320" t="str">
        <f>IFERROR(ROUNDDOWN((VLOOKUP($C320,装備品!$1:$998,COLUMN(I$1),FALSE)+IFERROR(VLOOKUP($CI320,付与!$1:$1167,COLUMN(K$1),FALSE),0))*VLOOKUP($D320,素材!$1:$1016,COLUMN($E$1),FALSE),0),"")</f>
        <v/>
      </c>
      <c r="L320" t="str">
        <f>IFERROR(VLOOKUP($D320,素材!$1:$1016,COLUMN($F$1),FALSE),"")</f>
        <v/>
      </c>
      <c r="M320" t="str">
        <f>IFERROR(VLOOKUP($C320,装備品!$1:$998,COLUMN(AA$1),FALSE)*VLOOKUP($D320,素材!$1:$1016,COLUMN($G$1),FALSE),"")</f>
        <v/>
      </c>
      <c r="N320" t="str">
        <f>IFERROR(VLOOKUP($C320,装備品!$1:$998,COLUMN(I$1),FALSE),"")</f>
        <v/>
      </c>
      <c r="O320" s="23" t="str">
        <f>IFERROR((VLOOKUP($C320,装備品!$1:$998,COLUMN(K$1),FALSE)+VLOOKUP($D320,素材!$1:$1016,COLUMN(H$1),FALSE))*100+IFERROR(VLOOKUP($CI320,付与!$1:$1167,COLUMN(O$1),FALSE),0),"")</f>
        <v/>
      </c>
      <c r="P320" s="23" t="str">
        <f>IFERROR((VLOOKUP($C320,装備品!$1:$998,COLUMN(L$1),FALSE)+VLOOKUP($D320,素材!$1:$1016,COLUMN(I$1),FALSE))*100+IFERROR(VLOOKUP($CI320,付与!$1:$1167,COLUMN(P$1),FALSE),0),"")</f>
        <v/>
      </c>
      <c r="Q320" t="str">
        <f>IFERROR(ROUNDUP(VLOOKUP($C320,装備品!$1:$998,COLUMN(M$1),FALSE)*(VLOOKUP($D320,素材!$1:$1002,COLUMN(D$1),FALSE)/100),1),"")</f>
        <v/>
      </c>
      <c r="R320" t="str">
        <f>IFERROR(ROUNDUP(VLOOKUP($C320,装備品!$1:$998,COLUMN(N$1),FALSE)*(VLOOKUP($D320,素材!$1:$1002,COLUMN(D$1),FALSE)/100),1),"")</f>
        <v/>
      </c>
      <c r="S320" t="str">
        <f>IFERROR(VLOOKUP($C320,装備品!$1:$998,COLUMN(P$1),FALSE),"")</f>
        <v/>
      </c>
      <c r="T320" t="str">
        <f>IFERROR(VLOOKUP($C320,装備品!$1:$998,COLUMN(Q$1),FALSE),"")</f>
        <v/>
      </c>
      <c r="U320" t="str">
        <f>IFERROR(VLOOKUP($C320,装備品!$1:$998,COLUMN(R$1),FALSE),"")</f>
        <v/>
      </c>
      <c r="V320" t="str">
        <f>IFERROR(VLOOKUP($C320,装備品!$1:$998,COLUMN(Q$1),FALSE),"")</f>
        <v/>
      </c>
      <c r="W320" t="str">
        <f>IFERROR(VLOOKUP($C320,装備品!$1:$998,COLUMN(T$1),FALSE),"")</f>
        <v/>
      </c>
      <c r="Y320" t="str">
        <f>IFERROR(VLOOKUP($C320,装備品!$1:$998,COLUMN(U$1),FALSE),"")</f>
        <v/>
      </c>
      <c r="Z320" t="str">
        <f>IFERROR(ROUNDUP(VLOOKUP($C320,装備品!$1:$998,COLUMN(O$1),FALSE)*VLOOKUP($D320,素材!$1:$1016,COLUMN(E$1),FALSE),1),"")</f>
        <v/>
      </c>
      <c r="AA320">
        <f>IF(ISNUMBER(SEARCH(SUBSTITUTE(AA$1,RIGHT(AA$1,2),""),VLOOKUP($D320,素材!$1:$1016,COLUMN($F$1),FALSE))),VLOOKUP($C320,装備品!$1:$998,COLUMN($O$1),FALSE)*VLOOKUP($D320,素材!$1:$1016,COLUMN($E$1),FALSE)/(LEN(VLOOKUP($D320,素材!$1:$1016,COLUMN($F$1),FALSE))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B320">
        <f>IF(ISNUMBER(SEARCH(SUBSTITUTE(AB$1,RIGHT(AB$1,2),""),VLOOKUP($D320,素材!$1:$1016,COLUMN($F$1),FALSE))),VLOOKUP($C320,装備品!$1:$998,COLUMN($O$1),FALSE)*VLOOKUP($D320,素材!$1:$1016,COLUMN($E$1),FALSE)/(LEN(VLOOKUP($D320,素材!$1:$1016,COLUMN($F$1),FALSE))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C320">
        <f>IF(ISNUMBER(SEARCH(SUBSTITUTE(AC$1,RIGHT(AC$1,2),""),VLOOKUP($D320,素材!$1:$1016,COLUMN($F$1),FALSE))),VLOOKUP($C320,装備品!$1:$998,COLUMN($O$1),FALSE)*VLOOKUP($D320,素材!$1:$1016,COLUMN($E$1),FALSE)/(LEN(VLOOKUP($D320,素材!$1:$1016,COLUMN($F$1),FALSE))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D320">
        <f>IF(ISNUMBER(SEARCH(SUBSTITUTE(AD$1,RIGHT(AD$1,2),""),VLOOKUP($D320,素材!$1:$1016,COLUMN($F$1),FALSE))),VLOOKUP($C320,装備品!$1:$998,COLUMN($O$1),FALSE)*VLOOKUP($D320,素材!$1:$1016,COLUMN($E$1),FALSE)/(LEN(VLOOKUP($D320,素材!$1:$1016,COLUMN($F$1),FALSE))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E320">
        <f>IF(ISNUMBER(SEARCH(SUBSTITUTE(AE$1,RIGHT(AE$1,2),""),VLOOKUP($D320,素材!$1:$1016,COLUMN($F$1),FALSE))),VLOOKUP($C320,装備品!$1:$998,COLUMN($O$1),FALSE)*VLOOKUP($D320,素材!$1:$1016,COLUMN($E$1),FALSE)/(LEN(VLOOKUP($D320,素材!$1:$1016,COLUMN($F$1),FALSE))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F320">
        <f>IF(ISNUMBER(SEARCH(SUBSTITUTE(AF$1,RIGHT(AF$1,2),""),VLOOKUP($D320,素材!$1:$1016,COLUMN($F$1),FALSE))),VLOOKUP($C320,装備品!$1:$998,COLUMN($O$1),FALSE)*VLOOKUP($D320,素材!$1:$1016,COLUMN($E$1),FALSE)/(LEN(VLOOKUP($D320,素材!$1:$1016,COLUMN($F$1),FALSE))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G320">
        <f>IF(ISNUMBER(SEARCH(SUBSTITUTE(AG$1,RIGHT(AG$1,2),""),VLOOKUP($D320,素材!$1:$1016,COLUMN($F$1),FALSE))),VLOOKUP($C320,装備品!$1:$998,COLUMN($O$1),FALSE)*VLOOKUP($D320,素材!$1:$1016,COLUMN($E$1),FALSE)/(LEN(VLOOKUP($D320,素材!$1:$1016,COLUMN($F$1),FALSE))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H320">
        <f>IF(ISNUMBER(SEARCH(SUBSTITUTE(AH$1,RIGHT(AH$1,2),""),VLOOKUP($D320,素材!$1:$1016,COLUMN($F$1),FALSE))),VLOOKUP($C320,装備品!$1:$998,COLUMN($O$1),FALSE)*VLOOKUP($D320,素材!$1:$1016,COLUMN($E$1),FALSE)/(LEN(VLOOKUP($D320,素材!$1:$1016,COLUMN($F$1),FALSE))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I320">
        <f>IF(ISNUMBER(SEARCH(SUBSTITUTE(AI$1,RIGHT(AI$1,2),""),VLOOKUP($D320,素材!$1:$1016,COLUMN($F$1),FALSE))),VLOOKUP($C320,装備品!$1:$998,COLUMN($O$1),FALSE)*VLOOKUP($D320,素材!$1:$1016,COLUMN($E$1),FALSE)/(LEN(VLOOKUP($D320,素材!$1:$1016,COLUMN($F$1),FALSE))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J320">
        <f>IF(ISNUMBER(SEARCH(SUBSTITUTE(AJ$1,RIGHT(AJ$1,2),""),VLOOKUP($D320,素材!$1:$1016,COLUMN($F$1),FALSE))),VLOOKUP($C320,装備品!$1:$998,COLUMN($O$1),FALSE)*VLOOKUP($D320,素材!$1:$1016,COLUMN($E$1),FALSE)/(LEN(VLOOKUP($D320,素材!$1:$1016,COLUMN($F$1),FALSE))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K320">
        <f>IF(ISNUMBER(SEARCH(SUBSTITUTE(AK$1,RIGHT(AK$1,2),""),VLOOKUP($D320,素材!$1:$1016,COLUMN($F$1),FALSE))),VLOOKUP($C320,装備品!$1:$998,COLUMN($O$1),FALSE)*VLOOKUP($D320,素材!$1:$1016,COLUMN($E$1),FALSE)/(LEN(VLOOKUP($D320,素材!$1:$1016,COLUMN($F$1),FALSE))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L320">
        <f>IF(ISNUMBER(SEARCH(SUBSTITUTE(AL$1,RIGHT(AL$1,2),""),VLOOKUP($D320,素材!$1:$1016,COLUMN($F$1),FALSE))),VLOOKUP($C320,装備品!$1:$998,COLUMN($O$1),FALSE)*VLOOKUP($D320,素材!$1:$1016,COLUMN($E$1),FALSE)/(LEN(VLOOKUP($D320,素材!$1:$1016,COLUMN($F$1),FALSE))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M320">
        <f>IF(ISNUMBER(SEARCH(SUBSTITUTE(AM$1,RIGHT(AM$1,2),""),VLOOKUP($D320,素材!$1:$1016,COLUMN($F$1),FALSE))),VLOOKUP($C320,装備品!$1:$998,COLUMN($O$1),FALSE)*VLOOKUP($D320,素材!$1:$1016,COLUMN($E$1),FALSE)/(LEN(VLOOKUP($D320,素材!$1:$1016,COLUMN($F$1),FALSE))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N320">
        <f>IF(ISNUMBER(SEARCH(SUBSTITUTE(AN$1,RIGHT(AN$1,2),""),VLOOKUP($D320,素材!$1:$1016,COLUMN($F$1),FALSE))),VLOOKUP($C320,装備品!$1:$998,COLUMN($O$1),FALSE)*VLOOKUP($D320,素材!$1:$1016,COLUMN($E$1),FALSE)/(LEN(VLOOKUP($D320,素材!$1:$1016,COLUMN($F$1),FALSE))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O320">
        <f>IF(ISNUMBER(SEARCH(SUBSTITUTE(AO$1,RIGHT(AO$1,2),""),VLOOKUP($D320,素材!$1:$1016,COLUMN($F$1),FALSE))),VLOOKUP($C320,装備品!$1:$998,COLUMN($O$1),FALSE)*VLOOKUP($D320,素材!$1:$1016,COLUMN($E$1),FALSE)/(LEN(VLOOKUP($D320,素材!$1:$1016,COLUMN($F$1),FALSE))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P320">
        <f>IF(ISNUMBER(SEARCH(SUBSTITUTE(AP$1,RIGHT(AP$1,2),""),VLOOKUP($D320,素材!$1:$1016,COLUMN($F$1),FALSE))),VLOOKUP($C320,装備品!$1:$998,COLUMN($O$1),FALSE)*VLOOKUP($D320,素材!$1:$1016,COLUMN($E$1),FALSE)/(LEN(VLOOKUP($D320,素材!$1:$1016,COLUMN($F$1),FALSE))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Q320">
        <f>IF(ISNUMBER(SEARCH(SUBSTITUTE(AQ$1,RIGHT(AQ$1,2),""),VLOOKUP($D320,素材!$1:$1016,COLUMN($F$1),FALSE))),VLOOKUP($C320,装備品!$1:$998,COLUMN($O$1),FALSE)*VLOOKUP($D320,素材!$1:$1016,COLUMN($E$1),FALSE)/(LEN(VLOOKUP($D320,素材!$1:$1016,COLUMN($F$1),FALSE))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R320">
        <f>IF(ISNUMBER(SEARCH(SUBSTITUTE(AR$1,RIGHT(AR$1,2),""),VLOOKUP($D320,素材!$1:$1016,COLUMN($F$1),FALSE))),VLOOKUP($C320,装備品!$1:$998,COLUMN($O$1),FALSE)*VLOOKUP($D320,素材!$1:$1016,COLUMN($E$1),FALSE)/(LEN(VLOOKUP($D320,素材!$1:$1016,COLUMN($F$1),FALSE))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S320">
        <f>IF(ISNUMBER(SEARCH(SUBSTITUTE(AS$1,RIGHT(AS$1,2),""),VLOOKUP($D320,素材!$1:$1016,COLUMN($F$1),FALSE))),VLOOKUP($C320,装備品!$1:$998,COLUMN($O$1),FALSE)*VLOOKUP($D320,素材!$1:$1016,COLUMN($E$1),FALSE)/(LEN(VLOOKUP($D320,素材!$1:$1016,COLUMN($F$1),FALSE))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T320">
        <f>IF(ISNUMBER(SEARCH(SUBSTITUTE(AT$1,RIGHT(AT$1,2),""),VLOOKUP($D320,素材!$1:$1016,COLUMN($F$1),FALSE))),VLOOKUP($C320,装備品!$1:$998,COLUMN($O$1),FALSE)*VLOOKUP($D320,素材!$1:$1016,COLUMN($E$1),FALSE)/(LEN(VLOOKUP($D320,素材!$1:$1016,COLUMN($F$1),FALSE))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U320">
        <f>IF(ISNUMBER(SEARCH(SUBSTITUTE(AU$1,RIGHT(AU$1,2),""),VLOOKUP($D320,素材!$1:$1016,COLUMN($F$1),FALSE))),VLOOKUP($C320,装備品!$1:$998,COLUMN($O$1),FALSE)*VLOOKUP($D320,素材!$1:$1016,COLUMN($E$1),FALSE)/(LEN(VLOOKUP($D320,素材!$1:$1016,COLUMN($F$1),FALSE))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V320">
        <f>IF(ISNUMBER(SEARCH(SUBSTITUTE(AV$1,RIGHT(AV$1,2),""),VLOOKUP($D320,素材!$1:$1016,COLUMN($F$1),FALSE))),VLOOKUP($C320,装備品!$1:$998,COLUMN($O$1),FALSE)*VLOOKUP($D320,素材!$1:$1016,COLUMN($E$1),FALSE)/(LEN(VLOOKUP($D320,素材!$1:$1016,COLUMN($F$1),FALSE))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W320">
        <f>IF(ISNUMBER(SEARCH(SUBSTITUTE(AW$1,RIGHT(AW$1,2),""),VLOOKUP($D320,素材!$1:$1016,COLUMN($F$1),FALSE))),VLOOKUP($C320,装備品!$1:$998,COLUMN($O$1),FALSE)*VLOOKUP($D320,素材!$1:$1016,COLUMN($E$1),FALSE)/(LEN(VLOOKUP($D320,素材!$1:$1016,COLUMN($F$1),FALSE))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X320">
        <f>IF(ISNUMBER(SEARCH(SUBSTITUTE(AX$1,RIGHT(AX$1,2),""),VLOOKUP($D320,素材!$1:$1016,COLUMN($F$1),FALSE))),VLOOKUP($C320,装備品!$1:$998,COLUMN($O$1),FALSE)*VLOOKUP($D320,素材!$1:$1016,COLUMN($E$1),FALSE)/(LEN(VLOOKUP($D320,素材!$1:$1016,COLUMN($F$1),FALSE))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Y320">
        <f>IF(ISNUMBER(SEARCH(SUBSTITUTE(AY$1,RIGHT(AY$1,2),""),VLOOKUP($D320,素材!$1:$1016,COLUMN($F$1),FALSE))),VLOOKUP($C320,装備品!$1:$998,COLUMN($O$1),FALSE)*VLOOKUP($D320,素材!$1:$1016,COLUMN($E$1),FALSE)/(LEN(VLOOKUP($D320,素材!$1:$1016,COLUMN($F$1),FALSE))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Z320">
        <f>IF(ISNUMBER(SEARCH(SUBSTITUTE(AZ$1,RIGHT(AZ$1,2),""),VLOOKUP($D320,素材!$1:$1016,COLUMN($F$1),FALSE))),VLOOKUP($C320,装備品!$1:$998,COLUMN($O$1),FALSE)*VLOOKUP($D320,素材!$1:$1016,COLUMN($E$1),FALSE)/(LEN(VLOOKUP($D320,素材!$1:$1016,COLUMN($F$1),FALSE))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BA320">
        <f>IF(ISNUMBER(SEARCH(SUBSTITUTE(BA$1,RIGHT(BA$1,2),""),VLOOKUP($D320,素材!$1:$1016,COLUMN($F$1),FALSE))),VLOOKUP($C320,装備品!$1:$998,COLUMN($O$1),FALSE)*VLOOKUP($D320,素材!$1:$1016,COLUMN($E$1),FALSE)/(LEN(VLOOKUP($D320,素材!$1:$1016,COLUMN($F$1),FALSE))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BB320">
        <f>IF(ISNUMBER(SEARCH(SUBSTITUTE(BB$1,RIGHT(BB$1,2),""),VLOOKUP($D320,素材!$1:$1016,COLUMN($F$1),FALSE))),VLOOKUP($C320,装備品!$1:$998,COLUMN($O$1),FALSE)*VLOOKUP($D320,素材!$1:$1016,COLUMN($E$1),FALSE)/(LEN(VLOOKUP($D320,素材!$1:$1016,COLUMN($F$1),FALSE))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BC320">
        <f>IF(ISNUMBER(SEARCH(SUBSTITUTE(BC$1,RIGHT(BC$1,2),""),VLOOKUP($D320,素材!$1:$1016,COLUMN($F$1),FALSE))),VLOOKUP($C320,装備品!$1:$998,COLUMN($O$1),FALSE)*VLOOKUP($D320,素材!$1:$1016,COLUMN($E$1),FALSE)/(LEN(VLOOKUP($D320,素材!$1:$1016,COLUMN($F$1),FALSE))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BD320">
        <f>IF(ISNUMBER(SEARCH(SUBSTITUTE(BD$1,RIGHT(BD$1,2),""),VLOOKUP($D320,素材!$1:$1016,COLUMN($F$1),FALSE))),VLOOKUP($C320,装備品!$1:$998,COLUMN($O$1),FALSE)*VLOOKUP($D320,素材!$1:$1016,COLUMN($E$1),FALSE)/(LEN(VLOOKUP($D320,素材!$1:$1016,COLUMN($F$1),FALSE))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BE320">
        <f>IF(ISNUMBER(SEARCH(SUBSTITUTE(BE$1,RIGHT(BE$1,2),""),VLOOKUP($D320,素材!$1:$1016,COLUMN($F$1),FALSE))),VLOOKUP($C320,装備品!$1:$998,COLUMN($O$1),FALSE)*VLOOKUP($D320,素材!$1:$1016,COLUMN($E$1),FALSE)/(LEN(VLOOKUP($D320,素材!$1:$1016,COLUMN($F$1),FALSE))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CL320">
        <f t="shared" si="41"/>
        <v>0</v>
      </c>
      <c r="CM320" s="22" t="str">
        <f t="shared" si="42"/>
        <v>.webp</v>
      </c>
      <c r="CN320" t="str">
        <f>IFERROR(VLOOKUP($C320,装備品!$1:$998,COLUMN(V$1),FALSE)*VLOOKUP($D320,素材!$1:$1016,COLUMN(N$1),FALSE)+IF(CI320="",0,VLOOKUP($CI320,付与!$1:$1176,COLUMN($CK$1),FALSE)),"")</f>
        <v/>
      </c>
      <c r="CO320" t="e">
        <f>VLOOKUP(D320,素材!$A:$O,COLUMN(素材!O$1),FALSE)</f>
        <v>#N/A</v>
      </c>
      <c r="CP320" t="e">
        <f>VLOOKUP(C320,装備品!$A:$AB,COLUMN(装備品!AB$1),FALSE)</f>
        <v>#N/A</v>
      </c>
      <c r="CR320" t="str">
        <f t="shared" si="43"/>
        <v>e_320</v>
      </c>
      <c r="CS320" t="e">
        <f t="shared" si="44"/>
        <v>#VALUE!</v>
      </c>
    </row>
    <row r="321" spans="1:97" hidden="1" outlineLevel="1" x14ac:dyDescent="0.4">
      <c r="A321" t="str">
        <f t="shared" si="46"/>
        <v>の</v>
      </c>
      <c r="B321" t="str">
        <f>IFERROR(IF(CI321="",VLOOKUP($D321,素材!$1:$1016,COLUMN($B$1),FALSE)&amp;"・"&amp;VLOOKUP($C321,装備品!$1:$998,COLUMN(B$1),FALSE),VLOOKUP($CI321,付与!$1:$1176,COLUMN($B$1),FALSE)&amp;"・"&amp;VLOOKUP($C321,装備品!$1:$998,COLUMN(B$1),FALSE)),"")</f>
        <v/>
      </c>
      <c r="C321" s="24"/>
      <c r="D321" s="24"/>
      <c r="E321" t="str">
        <f>IFERROR(VLOOKUP(C321,装備品!$1:$998,COLUMN(C$1),FALSE),"")</f>
        <v/>
      </c>
      <c r="F321" t="str">
        <f>IFERROR(ROUNDDOWN((VLOOKUP($C321,装備品!$1:$998,COLUMN(D$1),FALSE)+IFERROR(VLOOKUP($CI321,付与!$1:$1167,COLUMN(F$1),FALSE),0))*VLOOKUP($D321,素材!$1:$1016,COLUMN(D$1),FALSE),0),"")</f>
        <v/>
      </c>
      <c r="G321" t="str">
        <f>IFERROR(ROUNDDOWN((VLOOKUP($C321,装備品!$1:$998,COLUMN(E$1),FALSE)+IFERROR(VLOOKUP($CI321,付与!$1:$1167,COLUMN(G$1),FALSE),0))*VLOOKUP($D321,素材!$1:$1016,COLUMN($E$1),FALSE),0),"")</f>
        <v/>
      </c>
      <c r="H321" t="str">
        <f>IFERROR(ROUNDDOWN((VLOOKUP($C321,装備品!$1:$998,COLUMN(F$1),FALSE)+IFERROR(VLOOKUP($CI321,付与!$1:$1167,COLUMN(H$1),FALSE),0))*VLOOKUP($D321,素材!$1:$1016,COLUMN($E$1),FALSE),0),"")</f>
        <v/>
      </c>
      <c r="I321" t="str">
        <f>IFERROR(ROUNDDOWN((VLOOKUP($C321,装備品!$1:$998,COLUMN(G$1),FALSE)+IFERROR(VLOOKUP($CI321,付与!$1:$1167,COLUMN(I$1),FALSE),0))*VLOOKUP($D321,素材!$1:$1016,COLUMN($E$1),FALSE),0),"")</f>
        <v/>
      </c>
      <c r="J321" t="str">
        <f>IFERROR(ROUNDDOWN((VLOOKUP($C321,装備品!$1:$998,COLUMN(H$1),FALSE)+IFERROR(VLOOKUP($CI321,付与!$1:$1167,COLUMN(J$1),FALSE),0))*VLOOKUP($D321,素材!$1:$1016,COLUMN($E$1),FALSE),0),"")</f>
        <v/>
      </c>
      <c r="K321" t="str">
        <f>IFERROR(ROUNDDOWN((VLOOKUP($C321,装備品!$1:$998,COLUMN(I$1),FALSE)+IFERROR(VLOOKUP($CI321,付与!$1:$1167,COLUMN(K$1),FALSE),0))*VLOOKUP($D321,素材!$1:$1016,COLUMN($E$1),FALSE),0),"")</f>
        <v/>
      </c>
      <c r="L321" t="str">
        <f>IFERROR(VLOOKUP($D321,素材!$1:$1016,COLUMN($F$1),FALSE),"")</f>
        <v/>
      </c>
      <c r="M321" t="str">
        <f>IFERROR(VLOOKUP($C321,装備品!$1:$998,COLUMN(AA$1),FALSE)*VLOOKUP($D321,素材!$1:$1016,COLUMN($G$1),FALSE),"")</f>
        <v/>
      </c>
      <c r="N321" t="str">
        <f>IFERROR(VLOOKUP($C321,装備品!$1:$998,COLUMN(I$1),FALSE),"")</f>
        <v/>
      </c>
      <c r="O321" s="23" t="str">
        <f>IFERROR((VLOOKUP($C321,装備品!$1:$998,COLUMN(K$1),FALSE)+VLOOKUP($D321,素材!$1:$1016,COLUMN(H$1),FALSE))*100+IFERROR(VLOOKUP($CI321,付与!$1:$1167,COLUMN(O$1),FALSE),0),"")</f>
        <v/>
      </c>
      <c r="P321" s="23" t="str">
        <f>IFERROR((VLOOKUP($C321,装備品!$1:$998,COLUMN(L$1),FALSE)+VLOOKUP($D321,素材!$1:$1016,COLUMN(I$1),FALSE))*100+IFERROR(VLOOKUP($CI321,付与!$1:$1167,COLUMN(P$1),FALSE),0),"")</f>
        <v/>
      </c>
      <c r="Q321" t="str">
        <f>IFERROR(ROUNDUP(VLOOKUP($C321,装備品!$1:$998,COLUMN(M$1),FALSE)*(VLOOKUP($D321,素材!$1:$1002,COLUMN(D$1),FALSE)/100),1),"")</f>
        <v/>
      </c>
      <c r="R321" t="str">
        <f>IFERROR(ROUNDUP(VLOOKUP($C321,装備品!$1:$998,COLUMN(N$1),FALSE)*(VLOOKUP($D321,素材!$1:$1002,COLUMN(D$1),FALSE)/100),1),"")</f>
        <v/>
      </c>
      <c r="S321" t="str">
        <f>IFERROR(VLOOKUP($C321,装備品!$1:$998,COLUMN(P$1),FALSE),"")</f>
        <v/>
      </c>
      <c r="T321" t="str">
        <f>IFERROR(VLOOKUP($C321,装備品!$1:$998,COLUMN(Q$1),FALSE),"")</f>
        <v/>
      </c>
      <c r="U321" t="str">
        <f>IFERROR(VLOOKUP($C321,装備品!$1:$998,COLUMN(R$1),FALSE),"")</f>
        <v/>
      </c>
      <c r="V321" t="str">
        <f>IFERROR(VLOOKUP($C321,装備品!$1:$998,COLUMN(Q$1),FALSE),"")</f>
        <v/>
      </c>
      <c r="W321" t="str">
        <f>IFERROR(VLOOKUP($C321,装備品!$1:$998,COLUMN(T$1),FALSE),"")</f>
        <v/>
      </c>
      <c r="Y321" t="str">
        <f>IFERROR(VLOOKUP($C321,装備品!$1:$998,COLUMN(U$1),FALSE),"")</f>
        <v/>
      </c>
      <c r="Z321" t="str">
        <f>IFERROR(ROUNDUP(VLOOKUP($C321,装備品!$1:$998,COLUMN(O$1),FALSE)*VLOOKUP($D321,素材!$1:$1016,COLUMN(E$1),FALSE),1),"")</f>
        <v/>
      </c>
      <c r="AA321">
        <f>IF(ISNUMBER(SEARCH(SUBSTITUTE(AA$1,RIGHT(AA$1,2),""),VLOOKUP($D321,素材!$1:$1016,COLUMN($F$1),FALSE))),VLOOKUP($C321,装備品!$1:$998,COLUMN($O$1),FALSE)*VLOOKUP($D321,素材!$1:$1016,COLUMN($E$1),FALSE)/(LEN(VLOOKUP($D321,素材!$1:$1016,COLUMN($F$1),FALSE))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B321">
        <f>IF(ISNUMBER(SEARCH(SUBSTITUTE(AB$1,RIGHT(AB$1,2),""),VLOOKUP($D321,素材!$1:$1016,COLUMN($F$1),FALSE))),VLOOKUP($C321,装備品!$1:$998,COLUMN($O$1),FALSE)*VLOOKUP($D321,素材!$1:$1016,COLUMN($E$1),FALSE)/(LEN(VLOOKUP($D321,素材!$1:$1016,COLUMN($F$1),FALSE))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C321">
        <f>IF(ISNUMBER(SEARCH(SUBSTITUTE(AC$1,RIGHT(AC$1,2),""),VLOOKUP($D321,素材!$1:$1016,COLUMN($F$1),FALSE))),VLOOKUP($C321,装備品!$1:$998,COLUMN($O$1),FALSE)*VLOOKUP($D321,素材!$1:$1016,COLUMN($E$1),FALSE)/(LEN(VLOOKUP($D321,素材!$1:$1016,COLUMN($F$1),FALSE))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D321">
        <f>IF(ISNUMBER(SEARCH(SUBSTITUTE(AD$1,RIGHT(AD$1,2),""),VLOOKUP($D321,素材!$1:$1016,COLUMN($F$1),FALSE))),VLOOKUP($C321,装備品!$1:$998,COLUMN($O$1),FALSE)*VLOOKUP($D321,素材!$1:$1016,COLUMN($E$1),FALSE)/(LEN(VLOOKUP($D321,素材!$1:$1016,COLUMN($F$1),FALSE))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E321">
        <f>IF(ISNUMBER(SEARCH(SUBSTITUTE(AE$1,RIGHT(AE$1,2),""),VLOOKUP($D321,素材!$1:$1016,COLUMN($F$1),FALSE))),VLOOKUP($C321,装備品!$1:$998,COLUMN($O$1),FALSE)*VLOOKUP($D321,素材!$1:$1016,COLUMN($E$1),FALSE)/(LEN(VLOOKUP($D321,素材!$1:$1016,COLUMN($F$1),FALSE))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F321">
        <f>IF(ISNUMBER(SEARCH(SUBSTITUTE(AF$1,RIGHT(AF$1,2),""),VLOOKUP($D321,素材!$1:$1016,COLUMN($F$1),FALSE))),VLOOKUP($C321,装備品!$1:$998,COLUMN($O$1),FALSE)*VLOOKUP($D321,素材!$1:$1016,COLUMN($E$1),FALSE)/(LEN(VLOOKUP($D321,素材!$1:$1016,COLUMN($F$1),FALSE))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G321">
        <f>IF(ISNUMBER(SEARCH(SUBSTITUTE(AG$1,RIGHT(AG$1,2),""),VLOOKUP($D321,素材!$1:$1016,COLUMN($F$1),FALSE))),VLOOKUP($C321,装備品!$1:$998,COLUMN($O$1),FALSE)*VLOOKUP($D321,素材!$1:$1016,COLUMN($E$1),FALSE)/(LEN(VLOOKUP($D321,素材!$1:$1016,COLUMN($F$1),FALSE))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H321">
        <f>IF(ISNUMBER(SEARCH(SUBSTITUTE(AH$1,RIGHT(AH$1,2),""),VLOOKUP($D321,素材!$1:$1016,COLUMN($F$1),FALSE))),VLOOKUP($C321,装備品!$1:$998,COLUMN($O$1),FALSE)*VLOOKUP($D321,素材!$1:$1016,COLUMN($E$1),FALSE)/(LEN(VLOOKUP($D321,素材!$1:$1016,COLUMN($F$1),FALSE))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I321">
        <f>IF(ISNUMBER(SEARCH(SUBSTITUTE(AI$1,RIGHT(AI$1,2),""),VLOOKUP($D321,素材!$1:$1016,COLUMN($F$1),FALSE))),VLOOKUP($C321,装備品!$1:$998,COLUMN($O$1),FALSE)*VLOOKUP($D321,素材!$1:$1016,COLUMN($E$1),FALSE)/(LEN(VLOOKUP($D321,素材!$1:$1016,COLUMN($F$1),FALSE))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J321">
        <f>IF(ISNUMBER(SEARCH(SUBSTITUTE(AJ$1,RIGHT(AJ$1,2),""),VLOOKUP($D321,素材!$1:$1016,COLUMN($F$1),FALSE))),VLOOKUP($C321,装備品!$1:$998,COLUMN($O$1),FALSE)*VLOOKUP($D321,素材!$1:$1016,COLUMN($E$1),FALSE)/(LEN(VLOOKUP($D321,素材!$1:$1016,COLUMN($F$1),FALSE))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K321">
        <f>IF(ISNUMBER(SEARCH(SUBSTITUTE(AK$1,RIGHT(AK$1,2),""),VLOOKUP($D321,素材!$1:$1016,COLUMN($F$1),FALSE))),VLOOKUP($C321,装備品!$1:$998,COLUMN($O$1),FALSE)*VLOOKUP($D321,素材!$1:$1016,COLUMN($E$1),FALSE)/(LEN(VLOOKUP($D321,素材!$1:$1016,COLUMN($F$1),FALSE))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L321">
        <f>IF(ISNUMBER(SEARCH(SUBSTITUTE(AL$1,RIGHT(AL$1,2),""),VLOOKUP($D321,素材!$1:$1016,COLUMN($F$1),FALSE))),VLOOKUP($C321,装備品!$1:$998,COLUMN($O$1),FALSE)*VLOOKUP($D321,素材!$1:$1016,COLUMN($E$1),FALSE)/(LEN(VLOOKUP($D321,素材!$1:$1016,COLUMN($F$1),FALSE))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M321">
        <f>IF(ISNUMBER(SEARCH(SUBSTITUTE(AM$1,RIGHT(AM$1,2),""),VLOOKUP($D321,素材!$1:$1016,COLUMN($F$1),FALSE))),VLOOKUP($C321,装備品!$1:$998,COLUMN($O$1),FALSE)*VLOOKUP($D321,素材!$1:$1016,COLUMN($E$1),FALSE)/(LEN(VLOOKUP($D321,素材!$1:$1016,COLUMN($F$1),FALSE))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N321">
        <f>IF(ISNUMBER(SEARCH(SUBSTITUTE(AN$1,RIGHT(AN$1,2),""),VLOOKUP($D321,素材!$1:$1016,COLUMN($F$1),FALSE))),VLOOKUP($C321,装備品!$1:$998,COLUMN($O$1),FALSE)*VLOOKUP($D321,素材!$1:$1016,COLUMN($E$1),FALSE)/(LEN(VLOOKUP($D321,素材!$1:$1016,COLUMN($F$1),FALSE))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O321">
        <f>IF(ISNUMBER(SEARCH(SUBSTITUTE(AO$1,RIGHT(AO$1,2),""),VLOOKUP($D321,素材!$1:$1016,COLUMN($F$1),FALSE))),VLOOKUP($C321,装備品!$1:$998,COLUMN($O$1),FALSE)*VLOOKUP($D321,素材!$1:$1016,COLUMN($E$1),FALSE)/(LEN(VLOOKUP($D321,素材!$1:$1016,COLUMN($F$1),FALSE))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P321">
        <f>IF(ISNUMBER(SEARCH(SUBSTITUTE(AP$1,RIGHT(AP$1,2),""),VLOOKUP($D321,素材!$1:$1016,COLUMN($F$1),FALSE))),VLOOKUP($C321,装備品!$1:$998,COLUMN($O$1),FALSE)*VLOOKUP($D321,素材!$1:$1016,COLUMN($E$1),FALSE)/(LEN(VLOOKUP($D321,素材!$1:$1016,COLUMN($F$1),FALSE))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Q321">
        <f>IF(ISNUMBER(SEARCH(SUBSTITUTE(AQ$1,RIGHT(AQ$1,2),""),VLOOKUP($D321,素材!$1:$1016,COLUMN($F$1),FALSE))),VLOOKUP($C321,装備品!$1:$998,COLUMN($O$1),FALSE)*VLOOKUP($D321,素材!$1:$1016,COLUMN($E$1),FALSE)/(LEN(VLOOKUP($D321,素材!$1:$1016,COLUMN($F$1),FALSE))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R321">
        <f>IF(ISNUMBER(SEARCH(SUBSTITUTE(AR$1,RIGHT(AR$1,2),""),VLOOKUP($D321,素材!$1:$1016,COLUMN($F$1),FALSE))),VLOOKUP($C321,装備品!$1:$998,COLUMN($O$1),FALSE)*VLOOKUP($D321,素材!$1:$1016,COLUMN($E$1),FALSE)/(LEN(VLOOKUP($D321,素材!$1:$1016,COLUMN($F$1),FALSE))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S321">
        <f>IF(ISNUMBER(SEARCH(SUBSTITUTE(AS$1,RIGHT(AS$1,2),""),VLOOKUP($D321,素材!$1:$1016,COLUMN($F$1),FALSE))),VLOOKUP($C321,装備品!$1:$998,COLUMN($O$1),FALSE)*VLOOKUP($D321,素材!$1:$1016,COLUMN($E$1),FALSE)/(LEN(VLOOKUP($D321,素材!$1:$1016,COLUMN($F$1),FALSE))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T321">
        <f>IF(ISNUMBER(SEARCH(SUBSTITUTE(AT$1,RIGHT(AT$1,2),""),VLOOKUP($D321,素材!$1:$1016,COLUMN($F$1),FALSE))),VLOOKUP($C321,装備品!$1:$998,COLUMN($O$1),FALSE)*VLOOKUP($D321,素材!$1:$1016,COLUMN($E$1),FALSE)/(LEN(VLOOKUP($D321,素材!$1:$1016,COLUMN($F$1),FALSE))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U321">
        <f>IF(ISNUMBER(SEARCH(SUBSTITUTE(AU$1,RIGHT(AU$1,2),""),VLOOKUP($D321,素材!$1:$1016,COLUMN($F$1),FALSE))),VLOOKUP($C321,装備品!$1:$998,COLUMN($O$1),FALSE)*VLOOKUP($D321,素材!$1:$1016,COLUMN($E$1),FALSE)/(LEN(VLOOKUP($D321,素材!$1:$1016,COLUMN($F$1),FALSE))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V321">
        <f>IF(ISNUMBER(SEARCH(SUBSTITUTE(AV$1,RIGHT(AV$1,2),""),VLOOKUP($D321,素材!$1:$1016,COLUMN($F$1),FALSE))),VLOOKUP($C321,装備品!$1:$998,COLUMN($O$1),FALSE)*VLOOKUP($D321,素材!$1:$1016,COLUMN($E$1),FALSE)/(LEN(VLOOKUP($D321,素材!$1:$1016,COLUMN($F$1),FALSE))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W321">
        <f>IF(ISNUMBER(SEARCH(SUBSTITUTE(AW$1,RIGHT(AW$1,2),""),VLOOKUP($D321,素材!$1:$1016,COLUMN($F$1),FALSE))),VLOOKUP($C321,装備品!$1:$998,COLUMN($O$1),FALSE)*VLOOKUP($D321,素材!$1:$1016,COLUMN($E$1),FALSE)/(LEN(VLOOKUP($D321,素材!$1:$1016,COLUMN($F$1),FALSE))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X321">
        <f>IF(ISNUMBER(SEARCH(SUBSTITUTE(AX$1,RIGHT(AX$1,2),""),VLOOKUP($D321,素材!$1:$1016,COLUMN($F$1),FALSE))),VLOOKUP($C321,装備品!$1:$998,COLUMN($O$1),FALSE)*VLOOKUP($D321,素材!$1:$1016,COLUMN($E$1),FALSE)/(LEN(VLOOKUP($D321,素材!$1:$1016,COLUMN($F$1),FALSE))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Y321">
        <f>IF(ISNUMBER(SEARCH(SUBSTITUTE(AY$1,RIGHT(AY$1,2),""),VLOOKUP($D321,素材!$1:$1016,COLUMN($F$1),FALSE))),VLOOKUP($C321,装備品!$1:$998,COLUMN($O$1),FALSE)*VLOOKUP($D321,素材!$1:$1016,COLUMN($E$1),FALSE)/(LEN(VLOOKUP($D321,素材!$1:$1016,COLUMN($F$1),FALSE))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Z321">
        <f>IF(ISNUMBER(SEARCH(SUBSTITUTE(AZ$1,RIGHT(AZ$1,2),""),VLOOKUP($D321,素材!$1:$1016,COLUMN($F$1),FALSE))),VLOOKUP($C321,装備品!$1:$998,COLUMN($O$1),FALSE)*VLOOKUP($D321,素材!$1:$1016,COLUMN($E$1),FALSE)/(LEN(VLOOKUP($D321,素材!$1:$1016,COLUMN($F$1),FALSE))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BA321">
        <f>IF(ISNUMBER(SEARCH(SUBSTITUTE(BA$1,RIGHT(BA$1,2),""),VLOOKUP($D321,素材!$1:$1016,COLUMN($F$1),FALSE))),VLOOKUP($C321,装備品!$1:$998,COLUMN($O$1),FALSE)*VLOOKUP($D321,素材!$1:$1016,COLUMN($E$1),FALSE)/(LEN(VLOOKUP($D321,素材!$1:$1016,COLUMN($F$1),FALSE))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BB321">
        <f>IF(ISNUMBER(SEARCH(SUBSTITUTE(BB$1,RIGHT(BB$1,2),""),VLOOKUP($D321,素材!$1:$1016,COLUMN($F$1),FALSE))),VLOOKUP($C321,装備品!$1:$998,COLUMN($O$1),FALSE)*VLOOKUP($D321,素材!$1:$1016,COLUMN($E$1),FALSE)/(LEN(VLOOKUP($D321,素材!$1:$1016,COLUMN($F$1),FALSE))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BC321">
        <f>IF(ISNUMBER(SEARCH(SUBSTITUTE(BC$1,RIGHT(BC$1,2),""),VLOOKUP($D321,素材!$1:$1016,COLUMN($F$1),FALSE))),VLOOKUP($C321,装備品!$1:$998,COLUMN($O$1),FALSE)*VLOOKUP($D321,素材!$1:$1016,COLUMN($E$1),FALSE)/(LEN(VLOOKUP($D321,素材!$1:$1016,COLUMN($F$1),FALSE))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BD321">
        <f>IF(ISNUMBER(SEARCH(SUBSTITUTE(BD$1,RIGHT(BD$1,2),""),VLOOKUP($D321,素材!$1:$1016,COLUMN($F$1),FALSE))),VLOOKUP($C321,装備品!$1:$998,COLUMN($O$1),FALSE)*VLOOKUP($D321,素材!$1:$1016,COLUMN($E$1),FALSE)/(LEN(VLOOKUP($D321,素材!$1:$1016,COLUMN($F$1),FALSE))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BE321">
        <f>IF(ISNUMBER(SEARCH(SUBSTITUTE(BE$1,RIGHT(BE$1,2),""),VLOOKUP($D321,素材!$1:$1016,COLUMN($F$1),FALSE))),VLOOKUP($C321,装備品!$1:$998,COLUMN($O$1),FALSE)*VLOOKUP($D321,素材!$1:$1016,COLUMN($E$1),FALSE)/(LEN(VLOOKUP($D321,素材!$1:$1016,COLUMN($F$1),FALSE))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CL321">
        <f t="shared" si="41"/>
        <v>0</v>
      </c>
      <c r="CM321" s="22" t="str">
        <f t="shared" si="42"/>
        <v>.webp</v>
      </c>
      <c r="CN321" t="str">
        <f>IFERROR(VLOOKUP($C321,装備品!$1:$998,COLUMN(V$1),FALSE)*VLOOKUP($D321,素材!$1:$1016,COLUMN(N$1),FALSE)+IF(CI321="",0,VLOOKUP($CI321,付与!$1:$1176,COLUMN($CK$1),FALSE)),"")</f>
        <v/>
      </c>
      <c r="CO321" t="e">
        <f>VLOOKUP(D321,素材!$A:$O,COLUMN(素材!O$1),FALSE)</f>
        <v>#N/A</v>
      </c>
      <c r="CP321" t="e">
        <f>VLOOKUP(C321,装備品!$A:$AB,COLUMN(装備品!AB$1),FALSE)</f>
        <v>#N/A</v>
      </c>
      <c r="CR321" t="str">
        <f t="shared" si="43"/>
        <v>e_321</v>
      </c>
      <c r="CS321" t="e">
        <f t="shared" si="44"/>
        <v>#VALUE!</v>
      </c>
    </row>
    <row r="322" spans="1:97" hidden="1" outlineLevel="1" x14ac:dyDescent="0.4">
      <c r="A322" t="str">
        <f t="shared" si="46"/>
        <v>の</v>
      </c>
      <c r="B322" t="str">
        <f>IFERROR(IF(CI322="",VLOOKUP($D322,素材!$1:$1016,COLUMN($B$1),FALSE)&amp;"・"&amp;VLOOKUP($C322,装備品!$1:$998,COLUMN(B$1),FALSE),VLOOKUP($CI322,付与!$1:$1176,COLUMN($B$1),FALSE)&amp;"・"&amp;VLOOKUP($C322,装備品!$1:$998,COLUMN(B$1),FALSE)),"")</f>
        <v/>
      </c>
      <c r="C322" s="24"/>
      <c r="D322" s="24"/>
      <c r="E322" t="str">
        <f>IFERROR(VLOOKUP(C322,装備品!$1:$998,COLUMN(C$1),FALSE),"")</f>
        <v/>
      </c>
      <c r="F322" t="str">
        <f>IFERROR(ROUNDDOWN((VLOOKUP($C322,装備品!$1:$998,COLUMN(D$1),FALSE)+IFERROR(VLOOKUP($CI322,付与!$1:$1167,COLUMN(F$1),FALSE),0))*VLOOKUP($D322,素材!$1:$1016,COLUMN(D$1),FALSE),0),"")</f>
        <v/>
      </c>
      <c r="G322" t="str">
        <f>IFERROR(ROUNDDOWN((VLOOKUP($C322,装備品!$1:$998,COLUMN(E$1),FALSE)+IFERROR(VLOOKUP($CI322,付与!$1:$1167,COLUMN(G$1),FALSE),0))*VLOOKUP($D322,素材!$1:$1016,COLUMN($E$1),FALSE),0),"")</f>
        <v/>
      </c>
      <c r="H322" t="str">
        <f>IFERROR(ROUNDDOWN((VLOOKUP($C322,装備品!$1:$998,COLUMN(F$1),FALSE)+IFERROR(VLOOKUP($CI322,付与!$1:$1167,COLUMN(H$1),FALSE),0))*VLOOKUP($D322,素材!$1:$1016,COLUMN($E$1),FALSE),0),"")</f>
        <v/>
      </c>
      <c r="I322" t="str">
        <f>IFERROR(ROUNDDOWN((VLOOKUP($C322,装備品!$1:$998,COLUMN(G$1),FALSE)+IFERROR(VLOOKUP($CI322,付与!$1:$1167,COLUMN(I$1),FALSE),0))*VLOOKUP($D322,素材!$1:$1016,COLUMN($E$1),FALSE),0),"")</f>
        <v/>
      </c>
      <c r="J322" t="str">
        <f>IFERROR(ROUNDDOWN((VLOOKUP($C322,装備品!$1:$998,COLUMN(H$1),FALSE)+IFERROR(VLOOKUP($CI322,付与!$1:$1167,COLUMN(J$1),FALSE),0))*VLOOKUP($D322,素材!$1:$1016,COLUMN($E$1),FALSE),0),"")</f>
        <v/>
      </c>
      <c r="K322" t="str">
        <f>IFERROR(ROUNDDOWN((VLOOKUP($C322,装備品!$1:$998,COLUMN(I$1),FALSE)+IFERROR(VLOOKUP($CI322,付与!$1:$1167,COLUMN(K$1),FALSE),0))*VLOOKUP($D322,素材!$1:$1016,COLUMN($E$1),FALSE),0),"")</f>
        <v/>
      </c>
      <c r="L322" t="str">
        <f>IFERROR(VLOOKUP($D322,素材!$1:$1016,COLUMN($F$1),FALSE),"")</f>
        <v/>
      </c>
      <c r="M322" t="str">
        <f>IFERROR(VLOOKUP($C322,装備品!$1:$998,COLUMN(AA$1),FALSE)*VLOOKUP($D322,素材!$1:$1016,COLUMN($G$1),FALSE),"")</f>
        <v/>
      </c>
      <c r="N322" t="str">
        <f>IFERROR(VLOOKUP($C322,装備品!$1:$998,COLUMN(I$1),FALSE),"")</f>
        <v/>
      </c>
      <c r="O322" s="23" t="str">
        <f>IFERROR((VLOOKUP($C322,装備品!$1:$998,COLUMN(K$1),FALSE)+VLOOKUP($D322,素材!$1:$1016,COLUMN(H$1),FALSE))*100+IFERROR(VLOOKUP($CI322,付与!$1:$1167,COLUMN(O$1),FALSE),0),"")</f>
        <v/>
      </c>
      <c r="P322" s="23" t="str">
        <f>IFERROR((VLOOKUP($C322,装備品!$1:$998,COLUMN(L$1),FALSE)+VLOOKUP($D322,素材!$1:$1016,COLUMN(I$1),FALSE))*100+IFERROR(VLOOKUP($CI322,付与!$1:$1167,COLUMN(P$1),FALSE),0),"")</f>
        <v/>
      </c>
      <c r="Q322" t="str">
        <f>IFERROR(ROUNDUP(VLOOKUP($C322,装備品!$1:$998,COLUMN(M$1),FALSE)*(VLOOKUP($D322,素材!$1:$1002,COLUMN(D$1),FALSE)/100),1),"")</f>
        <v/>
      </c>
      <c r="R322" t="str">
        <f>IFERROR(ROUNDUP(VLOOKUP($C322,装備品!$1:$998,COLUMN(N$1),FALSE)*(VLOOKUP($D322,素材!$1:$1002,COLUMN(D$1),FALSE)/100),1),"")</f>
        <v/>
      </c>
      <c r="S322" t="str">
        <f>IFERROR(VLOOKUP($C322,装備品!$1:$998,COLUMN(P$1),FALSE),"")</f>
        <v/>
      </c>
      <c r="T322" t="str">
        <f>IFERROR(VLOOKUP($C322,装備品!$1:$998,COLUMN(Q$1),FALSE),"")</f>
        <v/>
      </c>
      <c r="U322" t="str">
        <f>IFERROR(VLOOKUP($C322,装備品!$1:$998,COLUMN(R$1),FALSE),"")</f>
        <v/>
      </c>
      <c r="V322" t="str">
        <f>IFERROR(VLOOKUP($C322,装備品!$1:$998,COLUMN(Q$1),FALSE),"")</f>
        <v/>
      </c>
      <c r="W322" t="str">
        <f>IFERROR(VLOOKUP($C322,装備品!$1:$998,COLUMN(T$1),FALSE),"")</f>
        <v/>
      </c>
      <c r="Y322" t="str">
        <f>IFERROR(VLOOKUP($C322,装備品!$1:$998,COLUMN(U$1),FALSE),"")</f>
        <v/>
      </c>
      <c r="Z322" t="str">
        <f>IFERROR(ROUNDUP(VLOOKUP($C322,装備品!$1:$998,COLUMN(O$1),FALSE)*VLOOKUP($D322,素材!$1:$1016,COLUMN(E$1),FALSE),1),"")</f>
        <v/>
      </c>
      <c r="AA322">
        <f>IF(ISNUMBER(SEARCH(SUBSTITUTE(AA$1,RIGHT(AA$1,2),""),VLOOKUP($D322,素材!$1:$1016,COLUMN($F$1),FALSE))),VLOOKUP($C322,装備品!$1:$998,COLUMN($O$1),FALSE)*VLOOKUP($D322,素材!$1:$1016,COLUMN($E$1),FALSE)/(LEN(VLOOKUP($D322,素材!$1:$1016,COLUMN($F$1),FALSE))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B322">
        <f>IF(ISNUMBER(SEARCH(SUBSTITUTE(AB$1,RIGHT(AB$1,2),""),VLOOKUP($D322,素材!$1:$1016,COLUMN($F$1),FALSE))),VLOOKUP($C322,装備品!$1:$998,COLUMN($O$1),FALSE)*VLOOKUP($D322,素材!$1:$1016,COLUMN($E$1),FALSE)/(LEN(VLOOKUP($D322,素材!$1:$1016,COLUMN($F$1),FALSE))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C322">
        <f>IF(ISNUMBER(SEARCH(SUBSTITUTE(AC$1,RIGHT(AC$1,2),""),VLOOKUP($D322,素材!$1:$1016,COLUMN($F$1),FALSE))),VLOOKUP($C322,装備品!$1:$998,COLUMN($O$1),FALSE)*VLOOKUP($D322,素材!$1:$1016,COLUMN($E$1),FALSE)/(LEN(VLOOKUP($D322,素材!$1:$1016,COLUMN($F$1),FALSE))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D322">
        <f>IF(ISNUMBER(SEARCH(SUBSTITUTE(AD$1,RIGHT(AD$1,2),""),VLOOKUP($D322,素材!$1:$1016,COLUMN($F$1),FALSE))),VLOOKUP($C322,装備品!$1:$998,COLUMN($O$1),FALSE)*VLOOKUP($D322,素材!$1:$1016,COLUMN($E$1),FALSE)/(LEN(VLOOKUP($D322,素材!$1:$1016,COLUMN($F$1),FALSE))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E322">
        <f>IF(ISNUMBER(SEARCH(SUBSTITUTE(AE$1,RIGHT(AE$1,2),""),VLOOKUP($D322,素材!$1:$1016,COLUMN($F$1),FALSE))),VLOOKUP($C322,装備品!$1:$998,COLUMN($O$1),FALSE)*VLOOKUP($D322,素材!$1:$1016,COLUMN($E$1),FALSE)/(LEN(VLOOKUP($D322,素材!$1:$1016,COLUMN($F$1),FALSE))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F322">
        <f>IF(ISNUMBER(SEARCH(SUBSTITUTE(AF$1,RIGHT(AF$1,2),""),VLOOKUP($D322,素材!$1:$1016,COLUMN($F$1),FALSE))),VLOOKUP($C322,装備品!$1:$998,COLUMN($O$1),FALSE)*VLOOKUP($D322,素材!$1:$1016,COLUMN($E$1),FALSE)/(LEN(VLOOKUP($D322,素材!$1:$1016,COLUMN($F$1),FALSE))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G322">
        <f>IF(ISNUMBER(SEARCH(SUBSTITUTE(AG$1,RIGHT(AG$1,2),""),VLOOKUP($D322,素材!$1:$1016,COLUMN($F$1),FALSE))),VLOOKUP($C322,装備品!$1:$998,COLUMN($O$1),FALSE)*VLOOKUP($D322,素材!$1:$1016,COLUMN($E$1),FALSE)/(LEN(VLOOKUP($D322,素材!$1:$1016,COLUMN($F$1),FALSE))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H322">
        <f>IF(ISNUMBER(SEARCH(SUBSTITUTE(AH$1,RIGHT(AH$1,2),""),VLOOKUP($D322,素材!$1:$1016,COLUMN($F$1),FALSE))),VLOOKUP($C322,装備品!$1:$998,COLUMN($O$1),FALSE)*VLOOKUP($D322,素材!$1:$1016,COLUMN($E$1),FALSE)/(LEN(VLOOKUP($D322,素材!$1:$1016,COLUMN($F$1),FALSE))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I322">
        <f>IF(ISNUMBER(SEARCH(SUBSTITUTE(AI$1,RIGHT(AI$1,2),""),VLOOKUP($D322,素材!$1:$1016,COLUMN($F$1),FALSE))),VLOOKUP($C322,装備品!$1:$998,COLUMN($O$1),FALSE)*VLOOKUP($D322,素材!$1:$1016,COLUMN($E$1),FALSE)/(LEN(VLOOKUP($D322,素材!$1:$1016,COLUMN($F$1),FALSE))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J322">
        <f>IF(ISNUMBER(SEARCH(SUBSTITUTE(AJ$1,RIGHT(AJ$1,2),""),VLOOKUP($D322,素材!$1:$1016,COLUMN($F$1),FALSE))),VLOOKUP($C322,装備品!$1:$998,COLUMN($O$1),FALSE)*VLOOKUP($D322,素材!$1:$1016,COLUMN($E$1),FALSE)/(LEN(VLOOKUP($D322,素材!$1:$1016,COLUMN($F$1),FALSE))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K322">
        <f>IF(ISNUMBER(SEARCH(SUBSTITUTE(AK$1,RIGHT(AK$1,2),""),VLOOKUP($D322,素材!$1:$1016,COLUMN($F$1),FALSE))),VLOOKUP($C322,装備品!$1:$998,COLUMN($O$1),FALSE)*VLOOKUP($D322,素材!$1:$1016,COLUMN($E$1),FALSE)/(LEN(VLOOKUP($D322,素材!$1:$1016,COLUMN($F$1),FALSE))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L322">
        <f>IF(ISNUMBER(SEARCH(SUBSTITUTE(AL$1,RIGHT(AL$1,2),""),VLOOKUP($D322,素材!$1:$1016,COLUMN($F$1),FALSE))),VLOOKUP($C322,装備品!$1:$998,COLUMN($O$1),FALSE)*VLOOKUP($D322,素材!$1:$1016,COLUMN($E$1),FALSE)/(LEN(VLOOKUP($D322,素材!$1:$1016,COLUMN($F$1),FALSE))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M322">
        <f>IF(ISNUMBER(SEARCH(SUBSTITUTE(AM$1,RIGHT(AM$1,2),""),VLOOKUP($D322,素材!$1:$1016,COLUMN($F$1),FALSE))),VLOOKUP($C322,装備品!$1:$998,COLUMN($O$1),FALSE)*VLOOKUP($D322,素材!$1:$1016,COLUMN($E$1),FALSE)/(LEN(VLOOKUP($D322,素材!$1:$1016,COLUMN($F$1),FALSE))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N322">
        <f>IF(ISNUMBER(SEARCH(SUBSTITUTE(AN$1,RIGHT(AN$1,2),""),VLOOKUP($D322,素材!$1:$1016,COLUMN($F$1),FALSE))),VLOOKUP($C322,装備品!$1:$998,COLUMN($O$1),FALSE)*VLOOKUP($D322,素材!$1:$1016,COLUMN($E$1),FALSE)/(LEN(VLOOKUP($D322,素材!$1:$1016,COLUMN($F$1),FALSE))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O322">
        <f>IF(ISNUMBER(SEARCH(SUBSTITUTE(AO$1,RIGHT(AO$1,2),""),VLOOKUP($D322,素材!$1:$1016,COLUMN($F$1),FALSE))),VLOOKUP($C322,装備品!$1:$998,COLUMN($O$1),FALSE)*VLOOKUP($D322,素材!$1:$1016,COLUMN($E$1),FALSE)/(LEN(VLOOKUP($D322,素材!$1:$1016,COLUMN($F$1),FALSE))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P322">
        <f>IF(ISNUMBER(SEARCH(SUBSTITUTE(AP$1,RIGHT(AP$1,2),""),VLOOKUP($D322,素材!$1:$1016,COLUMN($F$1),FALSE))),VLOOKUP($C322,装備品!$1:$998,COLUMN($O$1),FALSE)*VLOOKUP($D322,素材!$1:$1016,COLUMN($E$1),FALSE)/(LEN(VLOOKUP($D322,素材!$1:$1016,COLUMN($F$1),FALSE))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Q322">
        <f>IF(ISNUMBER(SEARCH(SUBSTITUTE(AQ$1,RIGHT(AQ$1,2),""),VLOOKUP($D322,素材!$1:$1016,COLUMN($F$1),FALSE))),VLOOKUP($C322,装備品!$1:$998,COLUMN($O$1),FALSE)*VLOOKUP($D322,素材!$1:$1016,COLUMN($E$1),FALSE)/(LEN(VLOOKUP($D322,素材!$1:$1016,COLUMN($F$1),FALSE))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R322">
        <f>IF(ISNUMBER(SEARCH(SUBSTITUTE(AR$1,RIGHT(AR$1,2),""),VLOOKUP($D322,素材!$1:$1016,COLUMN($F$1),FALSE))),VLOOKUP($C322,装備品!$1:$998,COLUMN($O$1),FALSE)*VLOOKUP($D322,素材!$1:$1016,COLUMN($E$1),FALSE)/(LEN(VLOOKUP($D322,素材!$1:$1016,COLUMN($F$1),FALSE))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S322">
        <f>IF(ISNUMBER(SEARCH(SUBSTITUTE(AS$1,RIGHT(AS$1,2),""),VLOOKUP($D322,素材!$1:$1016,COLUMN($F$1),FALSE))),VLOOKUP($C322,装備品!$1:$998,COLUMN($O$1),FALSE)*VLOOKUP($D322,素材!$1:$1016,COLUMN($E$1),FALSE)/(LEN(VLOOKUP($D322,素材!$1:$1016,COLUMN($F$1),FALSE))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T322">
        <f>IF(ISNUMBER(SEARCH(SUBSTITUTE(AT$1,RIGHT(AT$1,2),""),VLOOKUP($D322,素材!$1:$1016,COLUMN($F$1),FALSE))),VLOOKUP($C322,装備品!$1:$998,COLUMN($O$1),FALSE)*VLOOKUP($D322,素材!$1:$1016,COLUMN($E$1),FALSE)/(LEN(VLOOKUP($D322,素材!$1:$1016,COLUMN($F$1),FALSE))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U322">
        <f>IF(ISNUMBER(SEARCH(SUBSTITUTE(AU$1,RIGHT(AU$1,2),""),VLOOKUP($D322,素材!$1:$1016,COLUMN($F$1),FALSE))),VLOOKUP($C322,装備品!$1:$998,COLUMN($O$1),FALSE)*VLOOKUP($D322,素材!$1:$1016,COLUMN($E$1),FALSE)/(LEN(VLOOKUP($D322,素材!$1:$1016,COLUMN($F$1),FALSE))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V322">
        <f>IF(ISNUMBER(SEARCH(SUBSTITUTE(AV$1,RIGHT(AV$1,2),""),VLOOKUP($D322,素材!$1:$1016,COLUMN($F$1),FALSE))),VLOOKUP($C322,装備品!$1:$998,COLUMN($O$1),FALSE)*VLOOKUP($D322,素材!$1:$1016,COLUMN($E$1),FALSE)/(LEN(VLOOKUP($D322,素材!$1:$1016,COLUMN($F$1),FALSE))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W322">
        <f>IF(ISNUMBER(SEARCH(SUBSTITUTE(AW$1,RIGHT(AW$1,2),""),VLOOKUP($D322,素材!$1:$1016,COLUMN($F$1),FALSE))),VLOOKUP($C322,装備品!$1:$998,COLUMN($O$1),FALSE)*VLOOKUP($D322,素材!$1:$1016,COLUMN($E$1),FALSE)/(LEN(VLOOKUP($D322,素材!$1:$1016,COLUMN($F$1),FALSE))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X322">
        <f>IF(ISNUMBER(SEARCH(SUBSTITUTE(AX$1,RIGHT(AX$1,2),""),VLOOKUP($D322,素材!$1:$1016,COLUMN($F$1),FALSE))),VLOOKUP($C322,装備品!$1:$998,COLUMN($O$1),FALSE)*VLOOKUP($D322,素材!$1:$1016,COLUMN($E$1),FALSE)/(LEN(VLOOKUP($D322,素材!$1:$1016,COLUMN($F$1),FALSE))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Y322">
        <f>IF(ISNUMBER(SEARCH(SUBSTITUTE(AY$1,RIGHT(AY$1,2),""),VLOOKUP($D322,素材!$1:$1016,COLUMN($F$1),FALSE))),VLOOKUP($C322,装備品!$1:$998,COLUMN($O$1),FALSE)*VLOOKUP($D322,素材!$1:$1016,COLUMN($E$1),FALSE)/(LEN(VLOOKUP($D322,素材!$1:$1016,COLUMN($F$1),FALSE))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Z322">
        <f>IF(ISNUMBER(SEARCH(SUBSTITUTE(AZ$1,RIGHT(AZ$1,2),""),VLOOKUP($D322,素材!$1:$1016,COLUMN($F$1),FALSE))),VLOOKUP($C322,装備品!$1:$998,COLUMN($O$1),FALSE)*VLOOKUP($D322,素材!$1:$1016,COLUMN($E$1),FALSE)/(LEN(VLOOKUP($D322,素材!$1:$1016,COLUMN($F$1),FALSE))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BA322">
        <f>IF(ISNUMBER(SEARCH(SUBSTITUTE(BA$1,RIGHT(BA$1,2),""),VLOOKUP($D322,素材!$1:$1016,COLUMN($F$1),FALSE))),VLOOKUP($C322,装備品!$1:$998,COLUMN($O$1),FALSE)*VLOOKUP($D322,素材!$1:$1016,COLUMN($E$1),FALSE)/(LEN(VLOOKUP($D322,素材!$1:$1016,COLUMN($F$1),FALSE))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BB322">
        <f>IF(ISNUMBER(SEARCH(SUBSTITUTE(BB$1,RIGHT(BB$1,2),""),VLOOKUP($D322,素材!$1:$1016,COLUMN($F$1),FALSE))),VLOOKUP($C322,装備品!$1:$998,COLUMN($O$1),FALSE)*VLOOKUP($D322,素材!$1:$1016,COLUMN($E$1),FALSE)/(LEN(VLOOKUP($D322,素材!$1:$1016,COLUMN($F$1),FALSE))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BC322">
        <f>IF(ISNUMBER(SEARCH(SUBSTITUTE(BC$1,RIGHT(BC$1,2),""),VLOOKUP($D322,素材!$1:$1016,COLUMN($F$1),FALSE))),VLOOKUP($C322,装備品!$1:$998,COLUMN($O$1),FALSE)*VLOOKUP($D322,素材!$1:$1016,COLUMN($E$1),FALSE)/(LEN(VLOOKUP($D322,素材!$1:$1016,COLUMN($F$1),FALSE))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BD322">
        <f>IF(ISNUMBER(SEARCH(SUBSTITUTE(BD$1,RIGHT(BD$1,2),""),VLOOKUP($D322,素材!$1:$1016,COLUMN($F$1),FALSE))),VLOOKUP($C322,装備品!$1:$998,COLUMN($O$1),FALSE)*VLOOKUP($D322,素材!$1:$1016,COLUMN($E$1),FALSE)/(LEN(VLOOKUP($D322,素材!$1:$1016,COLUMN($F$1),FALSE))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BE322">
        <f>IF(ISNUMBER(SEARCH(SUBSTITUTE(BE$1,RIGHT(BE$1,2),""),VLOOKUP($D322,素材!$1:$1016,COLUMN($F$1),FALSE))),VLOOKUP($C322,装備品!$1:$998,COLUMN($O$1),FALSE)*VLOOKUP($D322,素材!$1:$1016,COLUMN($E$1),FALSE)/(LEN(VLOOKUP($D322,素材!$1:$1016,COLUMN($F$1),FALSE))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CL322">
        <f t="shared" si="41"/>
        <v>0</v>
      </c>
      <c r="CM322" s="22" t="str">
        <f t="shared" si="42"/>
        <v>.webp</v>
      </c>
      <c r="CN322" t="str">
        <f>IFERROR(VLOOKUP($C322,装備品!$1:$998,COLUMN(V$1),FALSE)*VLOOKUP($D322,素材!$1:$1016,COLUMN(N$1),FALSE)+IF(CI322="",0,VLOOKUP($CI322,付与!$1:$1176,COLUMN($CK$1),FALSE)),"")</f>
        <v/>
      </c>
      <c r="CO322" t="e">
        <f>VLOOKUP(D322,素材!$A:$O,COLUMN(素材!O$1),FALSE)</f>
        <v>#N/A</v>
      </c>
      <c r="CP322" t="e">
        <f>VLOOKUP(C322,装備品!$A:$AB,COLUMN(装備品!AB$1),FALSE)</f>
        <v>#N/A</v>
      </c>
      <c r="CR322" t="str">
        <f t="shared" si="43"/>
        <v>e_322</v>
      </c>
      <c r="CS322" t="e">
        <f t="shared" si="44"/>
        <v>#VALUE!</v>
      </c>
    </row>
    <row r="323" spans="1:97" hidden="1" outlineLevel="1" x14ac:dyDescent="0.4">
      <c r="A323" t="str">
        <f t="shared" si="46"/>
        <v>の</v>
      </c>
      <c r="B323" t="str">
        <f>IFERROR(IF(CI323="",VLOOKUP($D323,素材!$1:$1016,COLUMN($B$1),FALSE)&amp;"・"&amp;VLOOKUP($C323,装備品!$1:$998,COLUMN(B$1),FALSE),VLOOKUP($CI323,付与!$1:$1176,COLUMN($B$1),FALSE)&amp;"・"&amp;VLOOKUP($C323,装備品!$1:$998,COLUMN(B$1),FALSE)),"")</f>
        <v/>
      </c>
      <c r="C323" s="24"/>
      <c r="D323" s="24"/>
      <c r="E323" t="str">
        <f>IFERROR(VLOOKUP(C323,装備品!$1:$998,COLUMN(C$1),FALSE),"")</f>
        <v/>
      </c>
      <c r="F323" t="str">
        <f>IFERROR(ROUNDDOWN((VLOOKUP($C323,装備品!$1:$998,COLUMN(D$1),FALSE)+IFERROR(VLOOKUP($CI323,付与!$1:$1167,COLUMN(F$1),FALSE),0))*VLOOKUP($D323,素材!$1:$1016,COLUMN(D$1),FALSE),0),"")</f>
        <v/>
      </c>
      <c r="G323" t="str">
        <f>IFERROR(ROUNDDOWN((VLOOKUP($C323,装備品!$1:$998,COLUMN(E$1),FALSE)+IFERROR(VLOOKUP($CI323,付与!$1:$1167,COLUMN(G$1),FALSE),0))*VLOOKUP($D323,素材!$1:$1016,COLUMN($E$1),FALSE),0),"")</f>
        <v/>
      </c>
      <c r="H323" t="str">
        <f>IFERROR(ROUNDDOWN((VLOOKUP($C323,装備品!$1:$998,COLUMN(F$1),FALSE)+IFERROR(VLOOKUP($CI323,付与!$1:$1167,COLUMN(H$1),FALSE),0))*VLOOKUP($D323,素材!$1:$1016,COLUMN($E$1),FALSE),0),"")</f>
        <v/>
      </c>
      <c r="I323" t="str">
        <f>IFERROR(ROUNDDOWN((VLOOKUP($C323,装備品!$1:$998,COLUMN(G$1),FALSE)+IFERROR(VLOOKUP($CI323,付与!$1:$1167,COLUMN(I$1),FALSE),0))*VLOOKUP($D323,素材!$1:$1016,COLUMN($E$1),FALSE),0),"")</f>
        <v/>
      </c>
      <c r="J323" t="str">
        <f>IFERROR(ROUNDDOWN((VLOOKUP($C323,装備品!$1:$998,COLUMN(H$1),FALSE)+IFERROR(VLOOKUP($CI323,付与!$1:$1167,COLUMN(J$1),FALSE),0))*VLOOKUP($D323,素材!$1:$1016,COLUMN($E$1),FALSE),0),"")</f>
        <v/>
      </c>
      <c r="K323" t="str">
        <f>IFERROR(ROUNDDOWN((VLOOKUP($C323,装備品!$1:$998,COLUMN(I$1),FALSE)+IFERROR(VLOOKUP($CI323,付与!$1:$1167,COLUMN(K$1),FALSE),0))*VLOOKUP($D323,素材!$1:$1016,COLUMN($E$1),FALSE),0),"")</f>
        <v/>
      </c>
      <c r="L323" t="str">
        <f>IFERROR(VLOOKUP($D323,素材!$1:$1016,COLUMN($F$1),FALSE),"")</f>
        <v/>
      </c>
      <c r="M323" t="str">
        <f>IFERROR(VLOOKUP($C323,装備品!$1:$998,COLUMN(AA$1),FALSE)*VLOOKUP($D323,素材!$1:$1016,COLUMN($G$1),FALSE),"")</f>
        <v/>
      </c>
      <c r="N323" t="str">
        <f>IFERROR(VLOOKUP($C323,装備品!$1:$998,COLUMN(I$1),FALSE),"")</f>
        <v/>
      </c>
      <c r="O323" s="23" t="str">
        <f>IFERROR((VLOOKUP($C323,装備品!$1:$998,COLUMN(K$1),FALSE)+VLOOKUP($D323,素材!$1:$1016,COLUMN(H$1),FALSE))*100+IFERROR(VLOOKUP($CI323,付与!$1:$1167,COLUMN(O$1),FALSE),0),"")</f>
        <v/>
      </c>
      <c r="P323" s="23" t="str">
        <f>IFERROR((VLOOKUP($C323,装備品!$1:$998,COLUMN(L$1),FALSE)+VLOOKUP($D323,素材!$1:$1016,COLUMN(I$1),FALSE))*100+IFERROR(VLOOKUP($CI323,付与!$1:$1167,COLUMN(P$1),FALSE),0),"")</f>
        <v/>
      </c>
      <c r="Q323" t="str">
        <f>IFERROR(ROUNDUP(VLOOKUP($C323,装備品!$1:$998,COLUMN(M$1),FALSE)*(VLOOKUP($D323,素材!$1:$1002,COLUMN(D$1),FALSE)/100),1),"")</f>
        <v/>
      </c>
      <c r="R323" t="str">
        <f>IFERROR(ROUNDUP(VLOOKUP($C323,装備品!$1:$998,COLUMN(N$1),FALSE)*(VLOOKUP($D323,素材!$1:$1002,COLUMN(D$1),FALSE)/100),1),"")</f>
        <v/>
      </c>
      <c r="S323" t="str">
        <f>IFERROR(VLOOKUP($C323,装備品!$1:$998,COLUMN(P$1),FALSE),"")</f>
        <v/>
      </c>
      <c r="T323" t="str">
        <f>IFERROR(VLOOKUP($C323,装備品!$1:$998,COLUMN(Q$1),FALSE),"")</f>
        <v/>
      </c>
      <c r="U323" t="str">
        <f>IFERROR(VLOOKUP($C323,装備品!$1:$998,COLUMN(R$1),FALSE),"")</f>
        <v/>
      </c>
      <c r="V323" t="str">
        <f>IFERROR(VLOOKUP($C323,装備品!$1:$998,COLUMN(Q$1),FALSE),"")</f>
        <v/>
      </c>
      <c r="W323" t="str">
        <f>IFERROR(VLOOKUP($C323,装備品!$1:$998,COLUMN(T$1),FALSE),"")</f>
        <v/>
      </c>
      <c r="Y323" t="str">
        <f>IFERROR(VLOOKUP($C323,装備品!$1:$998,COLUMN(U$1),FALSE),"")</f>
        <v/>
      </c>
      <c r="Z323" t="str">
        <f>IFERROR(ROUNDUP(VLOOKUP($C323,装備品!$1:$998,COLUMN(O$1),FALSE)*VLOOKUP($D323,素材!$1:$1016,COLUMN(E$1),FALSE),1),"")</f>
        <v/>
      </c>
      <c r="AA323">
        <f>IF(ISNUMBER(SEARCH(SUBSTITUTE(AA$1,RIGHT(AA$1,2),""),VLOOKUP($D323,素材!$1:$1016,COLUMN($F$1),FALSE))),VLOOKUP($C323,装備品!$1:$998,COLUMN($O$1),FALSE)*VLOOKUP($D323,素材!$1:$1016,COLUMN($E$1),FALSE)/(LEN(VLOOKUP($D323,素材!$1:$1016,COLUMN($F$1),FALSE))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B323">
        <f>IF(ISNUMBER(SEARCH(SUBSTITUTE(AB$1,RIGHT(AB$1,2),""),VLOOKUP($D323,素材!$1:$1016,COLUMN($F$1),FALSE))),VLOOKUP($C323,装備品!$1:$998,COLUMN($O$1),FALSE)*VLOOKUP($D323,素材!$1:$1016,COLUMN($E$1),FALSE)/(LEN(VLOOKUP($D323,素材!$1:$1016,COLUMN($F$1),FALSE))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C323">
        <f>IF(ISNUMBER(SEARCH(SUBSTITUTE(AC$1,RIGHT(AC$1,2),""),VLOOKUP($D323,素材!$1:$1016,COLUMN($F$1),FALSE))),VLOOKUP($C323,装備品!$1:$998,COLUMN($O$1),FALSE)*VLOOKUP($D323,素材!$1:$1016,COLUMN($E$1),FALSE)/(LEN(VLOOKUP($D323,素材!$1:$1016,COLUMN($F$1),FALSE))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D323">
        <f>IF(ISNUMBER(SEARCH(SUBSTITUTE(AD$1,RIGHT(AD$1,2),""),VLOOKUP($D323,素材!$1:$1016,COLUMN($F$1),FALSE))),VLOOKUP($C323,装備品!$1:$998,COLUMN($O$1),FALSE)*VLOOKUP($D323,素材!$1:$1016,COLUMN($E$1),FALSE)/(LEN(VLOOKUP($D323,素材!$1:$1016,COLUMN($F$1),FALSE))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E323">
        <f>IF(ISNUMBER(SEARCH(SUBSTITUTE(AE$1,RIGHT(AE$1,2),""),VLOOKUP($D323,素材!$1:$1016,COLUMN($F$1),FALSE))),VLOOKUP($C323,装備品!$1:$998,COLUMN($O$1),FALSE)*VLOOKUP($D323,素材!$1:$1016,COLUMN($E$1),FALSE)/(LEN(VLOOKUP($D323,素材!$1:$1016,COLUMN($F$1),FALSE))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F323">
        <f>IF(ISNUMBER(SEARCH(SUBSTITUTE(AF$1,RIGHT(AF$1,2),""),VLOOKUP($D323,素材!$1:$1016,COLUMN($F$1),FALSE))),VLOOKUP($C323,装備品!$1:$998,COLUMN($O$1),FALSE)*VLOOKUP($D323,素材!$1:$1016,COLUMN($E$1),FALSE)/(LEN(VLOOKUP($D323,素材!$1:$1016,COLUMN($F$1),FALSE))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G323">
        <f>IF(ISNUMBER(SEARCH(SUBSTITUTE(AG$1,RIGHT(AG$1,2),""),VLOOKUP($D323,素材!$1:$1016,COLUMN($F$1),FALSE))),VLOOKUP($C323,装備品!$1:$998,COLUMN($O$1),FALSE)*VLOOKUP($D323,素材!$1:$1016,COLUMN($E$1),FALSE)/(LEN(VLOOKUP($D323,素材!$1:$1016,COLUMN($F$1),FALSE))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H323">
        <f>IF(ISNUMBER(SEARCH(SUBSTITUTE(AH$1,RIGHT(AH$1,2),""),VLOOKUP($D323,素材!$1:$1016,COLUMN($F$1),FALSE))),VLOOKUP($C323,装備品!$1:$998,COLUMN($O$1),FALSE)*VLOOKUP($D323,素材!$1:$1016,COLUMN($E$1),FALSE)/(LEN(VLOOKUP($D323,素材!$1:$1016,COLUMN($F$1),FALSE))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I323">
        <f>IF(ISNUMBER(SEARCH(SUBSTITUTE(AI$1,RIGHT(AI$1,2),""),VLOOKUP($D323,素材!$1:$1016,COLUMN($F$1),FALSE))),VLOOKUP($C323,装備品!$1:$998,COLUMN($O$1),FALSE)*VLOOKUP($D323,素材!$1:$1016,COLUMN($E$1),FALSE)/(LEN(VLOOKUP($D323,素材!$1:$1016,COLUMN($F$1),FALSE))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J323">
        <f>IF(ISNUMBER(SEARCH(SUBSTITUTE(AJ$1,RIGHT(AJ$1,2),""),VLOOKUP($D323,素材!$1:$1016,COLUMN($F$1),FALSE))),VLOOKUP($C323,装備品!$1:$998,COLUMN($O$1),FALSE)*VLOOKUP($D323,素材!$1:$1016,COLUMN($E$1),FALSE)/(LEN(VLOOKUP($D323,素材!$1:$1016,COLUMN($F$1),FALSE))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K323">
        <f>IF(ISNUMBER(SEARCH(SUBSTITUTE(AK$1,RIGHT(AK$1,2),""),VLOOKUP($D323,素材!$1:$1016,COLUMN($F$1),FALSE))),VLOOKUP($C323,装備品!$1:$998,COLUMN($O$1),FALSE)*VLOOKUP($D323,素材!$1:$1016,COLUMN($E$1),FALSE)/(LEN(VLOOKUP($D323,素材!$1:$1016,COLUMN($F$1),FALSE))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L323">
        <f>IF(ISNUMBER(SEARCH(SUBSTITUTE(AL$1,RIGHT(AL$1,2),""),VLOOKUP($D323,素材!$1:$1016,COLUMN($F$1),FALSE))),VLOOKUP($C323,装備品!$1:$998,COLUMN($O$1),FALSE)*VLOOKUP($D323,素材!$1:$1016,COLUMN($E$1),FALSE)/(LEN(VLOOKUP($D323,素材!$1:$1016,COLUMN($F$1),FALSE))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M323">
        <f>IF(ISNUMBER(SEARCH(SUBSTITUTE(AM$1,RIGHT(AM$1,2),""),VLOOKUP($D323,素材!$1:$1016,COLUMN($F$1),FALSE))),VLOOKUP($C323,装備品!$1:$998,COLUMN($O$1),FALSE)*VLOOKUP($D323,素材!$1:$1016,COLUMN($E$1),FALSE)/(LEN(VLOOKUP($D323,素材!$1:$1016,COLUMN($F$1),FALSE))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N323">
        <f>IF(ISNUMBER(SEARCH(SUBSTITUTE(AN$1,RIGHT(AN$1,2),""),VLOOKUP($D323,素材!$1:$1016,COLUMN($F$1),FALSE))),VLOOKUP($C323,装備品!$1:$998,COLUMN($O$1),FALSE)*VLOOKUP($D323,素材!$1:$1016,COLUMN($E$1),FALSE)/(LEN(VLOOKUP($D323,素材!$1:$1016,COLUMN($F$1),FALSE))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O323">
        <f>IF(ISNUMBER(SEARCH(SUBSTITUTE(AO$1,RIGHT(AO$1,2),""),VLOOKUP($D323,素材!$1:$1016,COLUMN($F$1),FALSE))),VLOOKUP($C323,装備品!$1:$998,COLUMN($O$1),FALSE)*VLOOKUP($D323,素材!$1:$1016,COLUMN($E$1),FALSE)/(LEN(VLOOKUP($D323,素材!$1:$1016,COLUMN($F$1),FALSE))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P323">
        <f>IF(ISNUMBER(SEARCH(SUBSTITUTE(AP$1,RIGHT(AP$1,2),""),VLOOKUP($D323,素材!$1:$1016,COLUMN($F$1),FALSE))),VLOOKUP($C323,装備品!$1:$998,COLUMN($O$1),FALSE)*VLOOKUP($D323,素材!$1:$1016,COLUMN($E$1),FALSE)/(LEN(VLOOKUP($D323,素材!$1:$1016,COLUMN($F$1),FALSE))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Q323">
        <f>IF(ISNUMBER(SEARCH(SUBSTITUTE(AQ$1,RIGHT(AQ$1,2),""),VLOOKUP($D323,素材!$1:$1016,COLUMN($F$1),FALSE))),VLOOKUP($C323,装備品!$1:$998,COLUMN($O$1),FALSE)*VLOOKUP($D323,素材!$1:$1016,COLUMN($E$1),FALSE)/(LEN(VLOOKUP($D323,素材!$1:$1016,COLUMN($F$1),FALSE))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R323">
        <f>IF(ISNUMBER(SEARCH(SUBSTITUTE(AR$1,RIGHT(AR$1,2),""),VLOOKUP($D323,素材!$1:$1016,COLUMN($F$1),FALSE))),VLOOKUP($C323,装備品!$1:$998,COLUMN($O$1),FALSE)*VLOOKUP($D323,素材!$1:$1016,COLUMN($E$1),FALSE)/(LEN(VLOOKUP($D323,素材!$1:$1016,COLUMN($F$1),FALSE))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S323">
        <f>IF(ISNUMBER(SEARCH(SUBSTITUTE(AS$1,RIGHT(AS$1,2),""),VLOOKUP($D323,素材!$1:$1016,COLUMN($F$1),FALSE))),VLOOKUP($C323,装備品!$1:$998,COLUMN($O$1),FALSE)*VLOOKUP($D323,素材!$1:$1016,COLUMN($E$1),FALSE)/(LEN(VLOOKUP($D323,素材!$1:$1016,COLUMN($F$1),FALSE))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T323">
        <f>IF(ISNUMBER(SEARCH(SUBSTITUTE(AT$1,RIGHT(AT$1,2),""),VLOOKUP($D323,素材!$1:$1016,COLUMN($F$1),FALSE))),VLOOKUP($C323,装備品!$1:$998,COLUMN($O$1),FALSE)*VLOOKUP($D323,素材!$1:$1016,COLUMN($E$1),FALSE)/(LEN(VLOOKUP($D323,素材!$1:$1016,COLUMN($F$1),FALSE))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U323">
        <f>IF(ISNUMBER(SEARCH(SUBSTITUTE(AU$1,RIGHT(AU$1,2),""),VLOOKUP($D323,素材!$1:$1016,COLUMN($F$1),FALSE))),VLOOKUP($C323,装備品!$1:$998,COLUMN($O$1),FALSE)*VLOOKUP($D323,素材!$1:$1016,COLUMN($E$1),FALSE)/(LEN(VLOOKUP($D323,素材!$1:$1016,COLUMN($F$1),FALSE))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V323">
        <f>IF(ISNUMBER(SEARCH(SUBSTITUTE(AV$1,RIGHT(AV$1,2),""),VLOOKUP($D323,素材!$1:$1016,COLUMN($F$1),FALSE))),VLOOKUP($C323,装備品!$1:$998,COLUMN($O$1),FALSE)*VLOOKUP($D323,素材!$1:$1016,COLUMN($E$1),FALSE)/(LEN(VLOOKUP($D323,素材!$1:$1016,COLUMN($F$1),FALSE))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W323">
        <f>IF(ISNUMBER(SEARCH(SUBSTITUTE(AW$1,RIGHT(AW$1,2),""),VLOOKUP($D323,素材!$1:$1016,COLUMN($F$1),FALSE))),VLOOKUP($C323,装備品!$1:$998,COLUMN($O$1),FALSE)*VLOOKUP($D323,素材!$1:$1016,COLUMN($E$1),FALSE)/(LEN(VLOOKUP($D323,素材!$1:$1016,COLUMN($F$1),FALSE))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X323">
        <f>IF(ISNUMBER(SEARCH(SUBSTITUTE(AX$1,RIGHT(AX$1,2),""),VLOOKUP($D323,素材!$1:$1016,COLUMN($F$1),FALSE))),VLOOKUP($C323,装備品!$1:$998,COLUMN($O$1),FALSE)*VLOOKUP($D323,素材!$1:$1016,COLUMN($E$1),FALSE)/(LEN(VLOOKUP($D323,素材!$1:$1016,COLUMN($F$1),FALSE))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Y323">
        <f>IF(ISNUMBER(SEARCH(SUBSTITUTE(AY$1,RIGHT(AY$1,2),""),VLOOKUP($D323,素材!$1:$1016,COLUMN($F$1),FALSE))),VLOOKUP($C323,装備品!$1:$998,COLUMN($O$1),FALSE)*VLOOKUP($D323,素材!$1:$1016,COLUMN($E$1),FALSE)/(LEN(VLOOKUP($D323,素材!$1:$1016,COLUMN($F$1),FALSE))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Z323">
        <f>IF(ISNUMBER(SEARCH(SUBSTITUTE(AZ$1,RIGHT(AZ$1,2),""),VLOOKUP($D323,素材!$1:$1016,COLUMN($F$1),FALSE))),VLOOKUP($C323,装備品!$1:$998,COLUMN($O$1),FALSE)*VLOOKUP($D323,素材!$1:$1016,COLUMN($E$1),FALSE)/(LEN(VLOOKUP($D323,素材!$1:$1016,COLUMN($F$1),FALSE))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BA323">
        <f>IF(ISNUMBER(SEARCH(SUBSTITUTE(BA$1,RIGHT(BA$1,2),""),VLOOKUP($D323,素材!$1:$1016,COLUMN($F$1),FALSE))),VLOOKUP($C323,装備品!$1:$998,COLUMN($O$1),FALSE)*VLOOKUP($D323,素材!$1:$1016,COLUMN($E$1),FALSE)/(LEN(VLOOKUP($D323,素材!$1:$1016,COLUMN($F$1),FALSE))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BB323">
        <f>IF(ISNUMBER(SEARCH(SUBSTITUTE(BB$1,RIGHT(BB$1,2),""),VLOOKUP($D323,素材!$1:$1016,COLUMN($F$1),FALSE))),VLOOKUP($C323,装備品!$1:$998,COLUMN($O$1),FALSE)*VLOOKUP($D323,素材!$1:$1016,COLUMN($E$1),FALSE)/(LEN(VLOOKUP($D323,素材!$1:$1016,COLUMN($F$1),FALSE))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BC323">
        <f>IF(ISNUMBER(SEARCH(SUBSTITUTE(BC$1,RIGHT(BC$1,2),""),VLOOKUP($D323,素材!$1:$1016,COLUMN($F$1),FALSE))),VLOOKUP($C323,装備品!$1:$998,COLUMN($O$1),FALSE)*VLOOKUP($D323,素材!$1:$1016,COLUMN($E$1),FALSE)/(LEN(VLOOKUP($D323,素材!$1:$1016,COLUMN($F$1),FALSE))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BD323">
        <f>IF(ISNUMBER(SEARCH(SUBSTITUTE(BD$1,RIGHT(BD$1,2),""),VLOOKUP($D323,素材!$1:$1016,COLUMN($F$1),FALSE))),VLOOKUP($C323,装備品!$1:$998,COLUMN($O$1),FALSE)*VLOOKUP($D323,素材!$1:$1016,COLUMN($E$1),FALSE)/(LEN(VLOOKUP($D323,素材!$1:$1016,COLUMN($F$1),FALSE))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BE323">
        <f>IF(ISNUMBER(SEARCH(SUBSTITUTE(BE$1,RIGHT(BE$1,2),""),VLOOKUP($D323,素材!$1:$1016,COLUMN($F$1),FALSE))),VLOOKUP($C323,装備品!$1:$998,COLUMN($O$1),FALSE)*VLOOKUP($D323,素材!$1:$1016,COLUMN($E$1),FALSE)/(LEN(VLOOKUP($D323,素材!$1:$1016,COLUMN($F$1),FALSE))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CL323">
        <f t="shared" ref="CL323:CL386" si="47">SUM(G323:I323)</f>
        <v>0</v>
      </c>
      <c r="CM323" s="22" t="str">
        <f t="shared" ref="CM323:CM386" si="48">IF(E323="武器",IF(J323-1&gt;SUM(G323:I323),"盾",IF(MAX(G323:I323)=G323,"切断",IF(MAX(G323:I323)=H323,"貫通",IF(MAX(G323:I323)=I323,"打撃","射撃")))),E323)&amp;".webp"</f>
        <v>.webp</v>
      </c>
      <c r="CN323" t="str">
        <f>IFERROR(VLOOKUP($C323,装備品!$1:$998,COLUMN(V$1),FALSE)*VLOOKUP($D323,素材!$1:$1016,COLUMN(N$1),FALSE)+IF(CI323="",0,VLOOKUP($CI323,付与!$1:$1176,COLUMN($CK$1),FALSE)),"")</f>
        <v/>
      </c>
      <c r="CO323" t="e">
        <f>VLOOKUP(D323,素材!$A:$O,COLUMN(素材!O$1),FALSE)</f>
        <v>#N/A</v>
      </c>
      <c r="CP323" t="e">
        <f>VLOOKUP(C323,装備品!$A:$AB,COLUMN(装備品!AB$1),FALSE)</f>
        <v>#N/A</v>
      </c>
      <c r="CR323" t="str">
        <f t="shared" si="43"/>
        <v>e_323</v>
      </c>
      <c r="CS323" t="e">
        <f t="shared" si="44"/>
        <v>#VALUE!</v>
      </c>
    </row>
    <row r="324" spans="1:97" hidden="1" outlineLevel="1" x14ac:dyDescent="0.4">
      <c r="A324" t="str">
        <f t="shared" si="46"/>
        <v>の</v>
      </c>
      <c r="B324" t="str">
        <f>IFERROR(IF(CI324="",VLOOKUP($D324,素材!$1:$1016,COLUMN($B$1),FALSE)&amp;"・"&amp;VLOOKUP($C324,装備品!$1:$998,COLUMN(B$1),FALSE),VLOOKUP($CI324,付与!$1:$1176,COLUMN($B$1),FALSE)&amp;"・"&amp;VLOOKUP($C324,装備品!$1:$998,COLUMN(B$1),FALSE)),"")</f>
        <v/>
      </c>
      <c r="C324" s="24"/>
      <c r="D324" s="24"/>
      <c r="E324" t="str">
        <f>IFERROR(VLOOKUP(C324,装備品!$1:$998,COLUMN(C$1),FALSE),"")</f>
        <v/>
      </c>
      <c r="F324" t="str">
        <f>IFERROR(ROUNDDOWN((VLOOKUP($C324,装備品!$1:$998,COLUMN(D$1),FALSE)+IFERROR(VLOOKUP($CI324,付与!$1:$1167,COLUMN(F$1),FALSE),0))*VLOOKUP($D324,素材!$1:$1016,COLUMN(D$1),FALSE),0),"")</f>
        <v/>
      </c>
      <c r="G324" t="str">
        <f>IFERROR(ROUNDDOWN((VLOOKUP($C324,装備品!$1:$998,COLUMN(E$1),FALSE)+IFERROR(VLOOKUP($CI324,付与!$1:$1167,COLUMN(G$1),FALSE),0))*VLOOKUP($D324,素材!$1:$1016,COLUMN($E$1),FALSE),0),"")</f>
        <v/>
      </c>
      <c r="H324" t="str">
        <f>IFERROR(ROUNDDOWN((VLOOKUP($C324,装備品!$1:$998,COLUMN(F$1),FALSE)+IFERROR(VLOOKUP($CI324,付与!$1:$1167,COLUMN(H$1),FALSE),0))*VLOOKUP($D324,素材!$1:$1016,COLUMN($E$1),FALSE),0),"")</f>
        <v/>
      </c>
      <c r="I324" t="str">
        <f>IFERROR(ROUNDDOWN((VLOOKUP($C324,装備品!$1:$998,COLUMN(G$1),FALSE)+IFERROR(VLOOKUP($CI324,付与!$1:$1167,COLUMN(I$1),FALSE),0))*VLOOKUP($D324,素材!$1:$1016,COLUMN($E$1),FALSE),0),"")</f>
        <v/>
      </c>
      <c r="J324" t="str">
        <f>IFERROR(ROUNDDOWN((VLOOKUP($C324,装備品!$1:$998,COLUMN(H$1),FALSE)+IFERROR(VLOOKUP($CI324,付与!$1:$1167,COLUMN(J$1),FALSE),0))*VLOOKUP($D324,素材!$1:$1016,COLUMN($E$1),FALSE),0),"")</f>
        <v/>
      </c>
      <c r="K324" t="str">
        <f>IFERROR(ROUNDDOWN((VLOOKUP($C324,装備品!$1:$998,COLUMN(I$1),FALSE)+IFERROR(VLOOKUP($CI324,付与!$1:$1167,COLUMN(K$1),FALSE),0))*VLOOKUP($D324,素材!$1:$1016,COLUMN($E$1),FALSE),0),"")</f>
        <v/>
      </c>
      <c r="L324" t="str">
        <f>IFERROR(VLOOKUP($D324,素材!$1:$1016,COLUMN($F$1),FALSE),"")</f>
        <v/>
      </c>
      <c r="M324" t="str">
        <f>IFERROR(VLOOKUP($C324,装備品!$1:$998,COLUMN(AA$1),FALSE)*VLOOKUP($D324,素材!$1:$1016,COLUMN($G$1),FALSE),"")</f>
        <v/>
      </c>
      <c r="N324" t="str">
        <f>IFERROR(VLOOKUP($C324,装備品!$1:$998,COLUMN(I$1),FALSE),"")</f>
        <v/>
      </c>
      <c r="O324" s="23" t="str">
        <f>IFERROR((VLOOKUP($C324,装備品!$1:$998,COLUMN(K$1),FALSE)+VLOOKUP($D324,素材!$1:$1016,COLUMN(H$1),FALSE))*100+IFERROR(VLOOKUP($CI324,付与!$1:$1167,COLUMN(O$1),FALSE),0),"")</f>
        <v/>
      </c>
      <c r="P324" s="23" t="str">
        <f>IFERROR((VLOOKUP($C324,装備品!$1:$998,COLUMN(L$1),FALSE)+VLOOKUP($D324,素材!$1:$1016,COLUMN(I$1),FALSE))*100+IFERROR(VLOOKUP($CI324,付与!$1:$1167,COLUMN(P$1),FALSE),0),"")</f>
        <v/>
      </c>
      <c r="Q324" t="str">
        <f>IFERROR(ROUNDUP(VLOOKUP($C324,装備品!$1:$998,COLUMN(M$1),FALSE)*(VLOOKUP($D324,素材!$1:$1002,COLUMN(D$1),FALSE)/100),1),"")</f>
        <v/>
      </c>
      <c r="R324" t="str">
        <f>IFERROR(ROUNDUP(VLOOKUP($C324,装備品!$1:$998,COLUMN(N$1),FALSE)*(VLOOKUP($D324,素材!$1:$1002,COLUMN(D$1),FALSE)/100),1),"")</f>
        <v/>
      </c>
      <c r="S324" t="str">
        <f>IFERROR(VLOOKUP($C324,装備品!$1:$998,COLUMN(P$1),FALSE),"")</f>
        <v/>
      </c>
      <c r="T324" t="str">
        <f>IFERROR(VLOOKUP($C324,装備品!$1:$998,COLUMN(Q$1),FALSE),"")</f>
        <v/>
      </c>
      <c r="U324" t="str">
        <f>IFERROR(VLOOKUP($C324,装備品!$1:$998,COLUMN(R$1),FALSE),"")</f>
        <v/>
      </c>
      <c r="V324" t="str">
        <f>IFERROR(VLOOKUP($C324,装備品!$1:$998,COLUMN(Q$1),FALSE),"")</f>
        <v/>
      </c>
      <c r="W324" t="str">
        <f>IFERROR(VLOOKUP($C324,装備品!$1:$998,COLUMN(T$1),FALSE),"")</f>
        <v/>
      </c>
      <c r="Y324" t="str">
        <f>IFERROR(VLOOKUP($C324,装備品!$1:$998,COLUMN(U$1),FALSE),"")</f>
        <v/>
      </c>
      <c r="Z324" t="str">
        <f>IFERROR(ROUNDUP(VLOOKUP($C324,装備品!$1:$998,COLUMN(O$1),FALSE)*VLOOKUP($D324,素材!$1:$1016,COLUMN(E$1),FALSE),1),"")</f>
        <v/>
      </c>
      <c r="AA324">
        <f>IF(ISNUMBER(SEARCH(SUBSTITUTE(AA$1,RIGHT(AA$1,2),""),VLOOKUP($D324,素材!$1:$1016,COLUMN($F$1),FALSE))),VLOOKUP($C324,装備品!$1:$998,COLUMN($O$1),FALSE)*VLOOKUP($D324,素材!$1:$1016,COLUMN($E$1),FALSE)/(LEN(VLOOKUP($D324,素材!$1:$1016,COLUMN($F$1),FALSE))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B324">
        <f>IF(ISNUMBER(SEARCH(SUBSTITUTE(AB$1,RIGHT(AB$1,2),""),VLOOKUP($D324,素材!$1:$1016,COLUMN($F$1),FALSE))),VLOOKUP($C324,装備品!$1:$998,COLUMN($O$1),FALSE)*VLOOKUP($D324,素材!$1:$1016,COLUMN($E$1),FALSE)/(LEN(VLOOKUP($D324,素材!$1:$1016,COLUMN($F$1),FALSE))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C324">
        <f>IF(ISNUMBER(SEARCH(SUBSTITUTE(AC$1,RIGHT(AC$1,2),""),VLOOKUP($D324,素材!$1:$1016,COLUMN($F$1),FALSE))),VLOOKUP($C324,装備品!$1:$998,COLUMN($O$1),FALSE)*VLOOKUP($D324,素材!$1:$1016,COLUMN($E$1),FALSE)/(LEN(VLOOKUP($D324,素材!$1:$1016,COLUMN($F$1),FALSE))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D324">
        <f>IF(ISNUMBER(SEARCH(SUBSTITUTE(AD$1,RIGHT(AD$1,2),""),VLOOKUP($D324,素材!$1:$1016,COLUMN($F$1),FALSE))),VLOOKUP($C324,装備品!$1:$998,COLUMN($O$1),FALSE)*VLOOKUP($D324,素材!$1:$1016,COLUMN($E$1),FALSE)/(LEN(VLOOKUP($D324,素材!$1:$1016,COLUMN($F$1),FALSE))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E324">
        <f>IF(ISNUMBER(SEARCH(SUBSTITUTE(AE$1,RIGHT(AE$1,2),""),VLOOKUP($D324,素材!$1:$1016,COLUMN($F$1),FALSE))),VLOOKUP($C324,装備品!$1:$998,COLUMN($O$1),FALSE)*VLOOKUP($D324,素材!$1:$1016,COLUMN($E$1),FALSE)/(LEN(VLOOKUP($D324,素材!$1:$1016,COLUMN($F$1),FALSE))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F324">
        <f>IF(ISNUMBER(SEARCH(SUBSTITUTE(AF$1,RIGHT(AF$1,2),""),VLOOKUP($D324,素材!$1:$1016,COLUMN($F$1),FALSE))),VLOOKUP($C324,装備品!$1:$998,COLUMN($O$1),FALSE)*VLOOKUP($D324,素材!$1:$1016,COLUMN($E$1),FALSE)/(LEN(VLOOKUP($D324,素材!$1:$1016,COLUMN($F$1),FALSE))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G324">
        <f>IF(ISNUMBER(SEARCH(SUBSTITUTE(AG$1,RIGHT(AG$1,2),""),VLOOKUP($D324,素材!$1:$1016,COLUMN($F$1),FALSE))),VLOOKUP($C324,装備品!$1:$998,COLUMN($O$1),FALSE)*VLOOKUP($D324,素材!$1:$1016,COLUMN($E$1),FALSE)/(LEN(VLOOKUP($D324,素材!$1:$1016,COLUMN($F$1),FALSE))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H324">
        <f>IF(ISNUMBER(SEARCH(SUBSTITUTE(AH$1,RIGHT(AH$1,2),""),VLOOKUP($D324,素材!$1:$1016,COLUMN($F$1),FALSE))),VLOOKUP($C324,装備品!$1:$998,COLUMN($O$1),FALSE)*VLOOKUP($D324,素材!$1:$1016,COLUMN($E$1),FALSE)/(LEN(VLOOKUP($D324,素材!$1:$1016,COLUMN($F$1),FALSE))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I324">
        <f>IF(ISNUMBER(SEARCH(SUBSTITUTE(AI$1,RIGHT(AI$1,2),""),VLOOKUP($D324,素材!$1:$1016,COLUMN($F$1),FALSE))),VLOOKUP($C324,装備品!$1:$998,COLUMN($O$1),FALSE)*VLOOKUP($D324,素材!$1:$1016,COLUMN($E$1),FALSE)/(LEN(VLOOKUP($D324,素材!$1:$1016,COLUMN($F$1),FALSE))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J324">
        <f>IF(ISNUMBER(SEARCH(SUBSTITUTE(AJ$1,RIGHT(AJ$1,2),""),VLOOKUP($D324,素材!$1:$1016,COLUMN($F$1),FALSE))),VLOOKUP($C324,装備品!$1:$998,COLUMN($O$1),FALSE)*VLOOKUP($D324,素材!$1:$1016,COLUMN($E$1),FALSE)/(LEN(VLOOKUP($D324,素材!$1:$1016,COLUMN($F$1),FALSE))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K324">
        <f>IF(ISNUMBER(SEARCH(SUBSTITUTE(AK$1,RIGHT(AK$1,2),""),VLOOKUP($D324,素材!$1:$1016,COLUMN($F$1),FALSE))),VLOOKUP($C324,装備品!$1:$998,COLUMN($O$1),FALSE)*VLOOKUP($D324,素材!$1:$1016,COLUMN($E$1),FALSE)/(LEN(VLOOKUP($D324,素材!$1:$1016,COLUMN($F$1),FALSE))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L324">
        <f>IF(ISNUMBER(SEARCH(SUBSTITUTE(AL$1,RIGHT(AL$1,2),""),VLOOKUP($D324,素材!$1:$1016,COLUMN($F$1),FALSE))),VLOOKUP($C324,装備品!$1:$998,COLUMN($O$1),FALSE)*VLOOKUP($D324,素材!$1:$1016,COLUMN($E$1),FALSE)/(LEN(VLOOKUP($D324,素材!$1:$1016,COLUMN($F$1),FALSE))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M324">
        <f>IF(ISNUMBER(SEARCH(SUBSTITUTE(AM$1,RIGHT(AM$1,2),""),VLOOKUP($D324,素材!$1:$1016,COLUMN($F$1),FALSE))),VLOOKUP($C324,装備品!$1:$998,COLUMN($O$1),FALSE)*VLOOKUP($D324,素材!$1:$1016,COLUMN($E$1),FALSE)/(LEN(VLOOKUP($D324,素材!$1:$1016,COLUMN($F$1),FALSE))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N324">
        <f>IF(ISNUMBER(SEARCH(SUBSTITUTE(AN$1,RIGHT(AN$1,2),""),VLOOKUP($D324,素材!$1:$1016,COLUMN($F$1),FALSE))),VLOOKUP($C324,装備品!$1:$998,COLUMN($O$1),FALSE)*VLOOKUP($D324,素材!$1:$1016,COLUMN($E$1),FALSE)/(LEN(VLOOKUP($D324,素材!$1:$1016,COLUMN($F$1),FALSE))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O324">
        <f>IF(ISNUMBER(SEARCH(SUBSTITUTE(AO$1,RIGHT(AO$1,2),""),VLOOKUP($D324,素材!$1:$1016,COLUMN($F$1),FALSE))),VLOOKUP($C324,装備品!$1:$998,COLUMN($O$1),FALSE)*VLOOKUP($D324,素材!$1:$1016,COLUMN($E$1),FALSE)/(LEN(VLOOKUP($D324,素材!$1:$1016,COLUMN($F$1),FALSE))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P324">
        <f>IF(ISNUMBER(SEARCH(SUBSTITUTE(AP$1,RIGHT(AP$1,2),""),VLOOKUP($D324,素材!$1:$1016,COLUMN($F$1),FALSE))),VLOOKUP($C324,装備品!$1:$998,COLUMN($O$1),FALSE)*VLOOKUP($D324,素材!$1:$1016,COLUMN($E$1),FALSE)/(LEN(VLOOKUP($D324,素材!$1:$1016,COLUMN($F$1),FALSE))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Q324">
        <f>IF(ISNUMBER(SEARCH(SUBSTITUTE(AQ$1,RIGHT(AQ$1,2),""),VLOOKUP($D324,素材!$1:$1016,COLUMN($F$1),FALSE))),VLOOKUP($C324,装備品!$1:$998,COLUMN($O$1),FALSE)*VLOOKUP($D324,素材!$1:$1016,COLUMN($E$1),FALSE)/(LEN(VLOOKUP($D324,素材!$1:$1016,COLUMN($F$1),FALSE))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R324">
        <f>IF(ISNUMBER(SEARCH(SUBSTITUTE(AR$1,RIGHT(AR$1,2),""),VLOOKUP($D324,素材!$1:$1016,COLUMN($F$1),FALSE))),VLOOKUP($C324,装備品!$1:$998,COLUMN($O$1),FALSE)*VLOOKUP($D324,素材!$1:$1016,COLUMN($E$1),FALSE)/(LEN(VLOOKUP($D324,素材!$1:$1016,COLUMN($F$1),FALSE))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S324">
        <f>IF(ISNUMBER(SEARCH(SUBSTITUTE(AS$1,RIGHT(AS$1,2),""),VLOOKUP($D324,素材!$1:$1016,COLUMN($F$1),FALSE))),VLOOKUP($C324,装備品!$1:$998,COLUMN($O$1),FALSE)*VLOOKUP($D324,素材!$1:$1016,COLUMN($E$1),FALSE)/(LEN(VLOOKUP($D324,素材!$1:$1016,COLUMN($F$1),FALSE))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T324">
        <f>IF(ISNUMBER(SEARCH(SUBSTITUTE(AT$1,RIGHT(AT$1,2),""),VLOOKUP($D324,素材!$1:$1016,COLUMN($F$1),FALSE))),VLOOKUP($C324,装備品!$1:$998,COLUMN($O$1),FALSE)*VLOOKUP($D324,素材!$1:$1016,COLUMN($E$1),FALSE)/(LEN(VLOOKUP($D324,素材!$1:$1016,COLUMN($F$1),FALSE))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U324">
        <f>IF(ISNUMBER(SEARCH(SUBSTITUTE(AU$1,RIGHT(AU$1,2),""),VLOOKUP($D324,素材!$1:$1016,COLUMN($F$1),FALSE))),VLOOKUP($C324,装備品!$1:$998,COLUMN($O$1),FALSE)*VLOOKUP($D324,素材!$1:$1016,COLUMN($E$1),FALSE)/(LEN(VLOOKUP($D324,素材!$1:$1016,COLUMN($F$1),FALSE))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V324">
        <f>IF(ISNUMBER(SEARCH(SUBSTITUTE(AV$1,RIGHT(AV$1,2),""),VLOOKUP($D324,素材!$1:$1016,COLUMN($F$1),FALSE))),VLOOKUP($C324,装備品!$1:$998,COLUMN($O$1),FALSE)*VLOOKUP($D324,素材!$1:$1016,COLUMN($E$1),FALSE)/(LEN(VLOOKUP($D324,素材!$1:$1016,COLUMN($F$1),FALSE))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W324">
        <f>IF(ISNUMBER(SEARCH(SUBSTITUTE(AW$1,RIGHT(AW$1,2),""),VLOOKUP($D324,素材!$1:$1016,COLUMN($F$1),FALSE))),VLOOKUP($C324,装備品!$1:$998,COLUMN($O$1),FALSE)*VLOOKUP($D324,素材!$1:$1016,COLUMN($E$1),FALSE)/(LEN(VLOOKUP($D324,素材!$1:$1016,COLUMN($F$1),FALSE))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X324">
        <f>IF(ISNUMBER(SEARCH(SUBSTITUTE(AX$1,RIGHT(AX$1,2),""),VLOOKUP($D324,素材!$1:$1016,COLUMN($F$1),FALSE))),VLOOKUP($C324,装備品!$1:$998,COLUMN($O$1),FALSE)*VLOOKUP($D324,素材!$1:$1016,COLUMN($E$1),FALSE)/(LEN(VLOOKUP($D324,素材!$1:$1016,COLUMN($F$1),FALSE))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Y324">
        <f>IF(ISNUMBER(SEARCH(SUBSTITUTE(AY$1,RIGHT(AY$1,2),""),VLOOKUP($D324,素材!$1:$1016,COLUMN($F$1),FALSE))),VLOOKUP($C324,装備品!$1:$998,COLUMN($O$1),FALSE)*VLOOKUP($D324,素材!$1:$1016,COLUMN($E$1),FALSE)/(LEN(VLOOKUP($D324,素材!$1:$1016,COLUMN($F$1),FALSE))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Z324">
        <f>IF(ISNUMBER(SEARCH(SUBSTITUTE(AZ$1,RIGHT(AZ$1,2),""),VLOOKUP($D324,素材!$1:$1016,COLUMN($F$1),FALSE))),VLOOKUP($C324,装備品!$1:$998,COLUMN($O$1),FALSE)*VLOOKUP($D324,素材!$1:$1016,COLUMN($E$1),FALSE)/(LEN(VLOOKUP($D324,素材!$1:$1016,COLUMN($F$1),FALSE))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BA324">
        <f>IF(ISNUMBER(SEARCH(SUBSTITUTE(BA$1,RIGHT(BA$1,2),""),VLOOKUP($D324,素材!$1:$1016,COLUMN($F$1),FALSE))),VLOOKUP($C324,装備品!$1:$998,COLUMN($O$1),FALSE)*VLOOKUP($D324,素材!$1:$1016,COLUMN($E$1),FALSE)/(LEN(VLOOKUP($D324,素材!$1:$1016,COLUMN($F$1),FALSE))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BB324">
        <f>IF(ISNUMBER(SEARCH(SUBSTITUTE(BB$1,RIGHT(BB$1,2),""),VLOOKUP($D324,素材!$1:$1016,COLUMN($F$1),FALSE))),VLOOKUP($C324,装備品!$1:$998,COLUMN($O$1),FALSE)*VLOOKUP($D324,素材!$1:$1016,COLUMN($E$1),FALSE)/(LEN(VLOOKUP($D324,素材!$1:$1016,COLUMN($F$1),FALSE))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BC324">
        <f>IF(ISNUMBER(SEARCH(SUBSTITUTE(BC$1,RIGHT(BC$1,2),""),VLOOKUP($D324,素材!$1:$1016,COLUMN($F$1),FALSE))),VLOOKUP($C324,装備品!$1:$998,COLUMN($O$1),FALSE)*VLOOKUP($D324,素材!$1:$1016,COLUMN($E$1),FALSE)/(LEN(VLOOKUP($D324,素材!$1:$1016,COLUMN($F$1),FALSE))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BD324">
        <f>IF(ISNUMBER(SEARCH(SUBSTITUTE(BD$1,RIGHT(BD$1,2),""),VLOOKUP($D324,素材!$1:$1016,COLUMN($F$1),FALSE))),VLOOKUP($C324,装備品!$1:$998,COLUMN($O$1),FALSE)*VLOOKUP($D324,素材!$1:$1016,COLUMN($E$1),FALSE)/(LEN(VLOOKUP($D324,素材!$1:$1016,COLUMN($F$1),FALSE))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BE324">
        <f>IF(ISNUMBER(SEARCH(SUBSTITUTE(BE$1,RIGHT(BE$1,2),""),VLOOKUP($D324,素材!$1:$1016,COLUMN($F$1),FALSE))),VLOOKUP($C324,装備品!$1:$998,COLUMN($O$1),FALSE)*VLOOKUP($D324,素材!$1:$1016,COLUMN($E$1),FALSE)/(LEN(VLOOKUP($D324,素材!$1:$1016,COLUMN($F$1),FALSE))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CL324">
        <f t="shared" si="47"/>
        <v>0</v>
      </c>
      <c r="CM324" s="22" t="str">
        <f t="shared" si="48"/>
        <v>.webp</v>
      </c>
      <c r="CN324" t="str">
        <f>IFERROR(VLOOKUP($C324,装備品!$1:$998,COLUMN(V$1),FALSE)*VLOOKUP($D324,素材!$1:$1016,COLUMN(N$1),FALSE)+IF(CI324="",0,VLOOKUP($CI324,付与!$1:$1176,COLUMN($CK$1),FALSE)),"")</f>
        <v/>
      </c>
      <c r="CO324" t="e">
        <f>VLOOKUP(D324,素材!$A:$O,COLUMN(素材!O$1),FALSE)</f>
        <v>#N/A</v>
      </c>
      <c r="CP324" t="e">
        <f>VLOOKUP(C324,装備品!$A:$AB,COLUMN(装備品!AB$1),FALSE)</f>
        <v>#N/A</v>
      </c>
      <c r="CR324" t="str">
        <f t="shared" si="43"/>
        <v>e_324</v>
      </c>
      <c r="CS324" t="e">
        <f t="shared" si="44"/>
        <v>#VALUE!</v>
      </c>
    </row>
    <row r="325" spans="1:97" hidden="1" outlineLevel="1" x14ac:dyDescent="0.4">
      <c r="A325" t="str">
        <f t="shared" si="46"/>
        <v>の</v>
      </c>
      <c r="B325" t="str">
        <f>IFERROR(IF(CI325="",VLOOKUP($D325,素材!$1:$1016,COLUMN($B$1),FALSE)&amp;"・"&amp;VLOOKUP($C325,装備品!$1:$998,COLUMN(B$1),FALSE),VLOOKUP($CI325,付与!$1:$1176,COLUMN($B$1),FALSE)&amp;"・"&amp;VLOOKUP($C325,装備品!$1:$998,COLUMN(B$1),FALSE)),"")</f>
        <v/>
      </c>
      <c r="C325" s="24"/>
      <c r="D325" s="24"/>
      <c r="E325" t="str">
        <f>IFERROR(VLOOKUP(C325,装備品!$1:$998,COLUMN(C$1),FALSE),"")</f>
        <v/>
      </c>
      <c r="F325" t="str">
        <f>IFERROR(ROUNDDOWN((VLOOKUP($C325,装備品!$1:$998,COLUMN(D$1),FALSE)+IFERROR(VLOOKUP($CI325,付与!$1:$1167,COLUMN(F$1),FALSE),0))*VLOOKUP($D325,素材!$1:$1016,COLUMN(D$1),FALSE),0),"")</f>
        <v/>
      </c>
      <c r="G325" t="str">
        <f>IFERROR(ROUNDDOWN((VLOOKUP($C325,装備品!$1:$998,COLUMN(E$1),FALSE)+IFERROR(VLOOKUP($CI325,付与!$1:$1167,COLUMN(G$1),FALSE),0))*VLOOKUP($D325,素材!$1:$1016,COLUMN($E$1),FALSE),0),"")</f>
        <v/>
      </c>
      <c r="H325" t="str">
        <f>IFERROR(ROUNDDOWN((VLOOKUP($C325,装備品!$1:$998,COLUMN(F$1),FALSE)+IFERROR(VLOOKUP($CI325,付与!$1:$1167,COLUMN(H$1),FALSE),0))*VLOOKUP($D325,素材!$1:$1016,COLUMN($E$1),FALSE),0),"")</f>
        <v/>
      </c>
      <c r="I325" t="str">
        <f>IFERROR(ROUNDDOWN((VLOOKUP($C325,装備品!$1:$998,COLUMN(G$1),FALSE)+IFERROR(VLOOKUP($CI325,付与!$1:$1167,COLUMN(I$1),FALSE),0))*VLOOKUP($D325,素材!$1:$1016,COLUMN($E$1),FALSE),0),"")</f>
        <v/>
      </c>
      <c r="J325" t="str">
        <f>IFERROR(ROUNDDOWN((VLOOKUP($C325,装備品!$1:$998,COLUMN(H$1),FALSE)+IFERROR(VLOOKUP($CI325,付与!$1:$1167,COLUMN(J$1),FALSE),0))*VLOOKUP($D325,素材!$1:$1016,COLUMN($E$1),FALSE),0),"")</f>
        <v/>
      </c>
      <c r="K325" t="str">
        <f>IFERROR(ROUNDDOWN((VLOOKUP($C325,装備品!$1:$998,COLUMN(I$1),FALSE)+IFERROR(VLOOKUP($CI325,付与!$1:$1167,COLUMN(K$1),FALSE),0))*VLOOKUP($D325,素材!$1:$1016,COLUMN($E$1),FALSE),0),"")</f>
        <v/>
      </c>
      <c r="L325" t="str">
        <f>IFERROR(VLOOKUP($D325,素材!$1:$1016,COLUMN($F$1),FALSE),"")</f>
        <v/>
      </c>
      <c r="M325" t="str">
        <f>IFERROR(VLOOKUP($C325,装備品!$1:$998,COLUMN(AA$1),FALSE)*VLOOKUP($D325,素材!$1:$1016,COLUMN($G$1),FALSE),"")</f>
        <v/>
      </c>
      <c r="N325" t="str">
        <f>IFERROR(VLOOKUP($C325,装備品!$1:$998,COLUMN(I$1),FALSE),"")</f>
        <v/>
      </c>
      <c r="O325" s="23" t="str">
        <f>IFERROR((VLOOKUP($C325,装備品!$1:$998,COLUMN(K$1),FALSE)+VLOOKUP($D325,素材!$1:$1016,COLUMN(H$1),FALSE))*100+IFERROR(VLOOKUP($CI325,付与!$1:$1167,COLUMN(O$1),FALSE),0),"")</f>
        <v/>
      </c>
      <c r="P325" s="23" t="str">
        <f>IFERROR((VLOOKUP($C325,装備品!$1:$998,COLUMN(L$1),FALSE)+VLOOKUP($D325,素材!$1:$1016,COLUMN(I$1),FALSE))*100+IFERROR(VLOOKUP($CI325,付与!$1:$1167,COLUMN(P$1),FALSE),0),"")</f>
        <v/>
      </c>
      <c r="Q325" t="str">
        <f>IFERROR(ROUNDUP(VLOOKUP($C325,装備品!$1:$998,COLUMN(M$1),FALSE)*(VLOOKUP($D325,素材!$1:$1002,COLUMN(D$1),FALSE)/100),1),"")</f>
        <v/>
      </c>
      <c r="R325" t="str">
        <f>IFERROR(ROUNDUP(VLOOKUP($C325,装備品!$1:$998,COLUMN(N$1),FALSE)*(VLOOKUP($D325,素材!$1:$1002,COLUMN(D$1),FALSE)/100),1),"")</f>
        <v/>
      </c>
      <c r="S325" t="str">
        <f>IFERROR(VLOOKUP($C325,装備品!$1:$998,COLUMN(P$1),FALSE),"")</f>
        <v/>
      </c>
      <c r="T325" t="str">
        <f>IFERROR(VLOOKUP($C325,装備品!$1:$998,COLUMN(Q$1),FALSE),"")</f>
        <v/>
      </c>
      <c r="U325" t="str">
        <f>IFERROR(VLOOKUP($C325,装備品!$1:$998,COLUMN(R$1),FALSE),"")</f>
        <v/>
      </c>
      <c r="V325" t="str">
        <f>IFERROR(VLOOKUP($C325,装備品!$1:$998,COLUMN(Q$1),FALSE),"")</f>
        <v/>
      </c>
      <c r="W325" t="str">
        <f>IFERROR(VLOOKUP($C325,装備品!$1:$998,COLUMN(T$1),FALSE),"")</f>
        <v/>
      </c>
      <c r="Y325" t="str">
        <f>IFERROR(VLOOKUP($C325,装備品!$1:$998,COLUMN(U$1),FALSE),"")</f>
        <v/>
      </c>
      <c r="Z325" t="str">
        <f>IFERROR(ROUNDUP(VLOOKUP($C325,装備品!$1:$998,COLUMN(O$1),FALSE)*VLOOKUP($D325,素材!$1:$1016,COLUMN(E$1),FALSE),1),"")</f>
        <v/>
      </c>
      <c r="AA325">
        <f>IF(ISNUMBER(SEARCH(SUBSTITUTE(AA$1,RIGHT(AA$1,2),""),VLOOKUP($D325,素材!$1:$1016,COLUMN($F$1),FALSE))),VLOOKUP($C325,装備品!$1:$998,COLUMN($O$1),FALSE)*VLOOKUP($D325,素材!$1:$1016,COLUMN($E$1),FALSE)/(LEN(VLOOKUP($D325,素材!$1:$1016,COLUMN($F$1),FALSE))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B325">
        <f>IF(ISNUMBER(SEARCH(SUBSTITUTE(AB$1,RIGHT(AB$1,2),""),VLOOKUP($D325,素材!$1:$1016,COLUMN($F$1),FALSE))),VLOOKUP($C325,装備品!$1:$998,COLUMN($O$1),FALSE)*VLOOKUP($D325,素材!$1:$1016,COLUMN($E$1),FALSE)/(LEN(VLOOKUP($D325,素材!$1:$1016,COLUMN($F$1),FALSE))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C325">
        <f>IF(ISNUMBER(SEARCH(SUBSTITUTE(AC$1,RIGHT(AC$1,2),""),VLOOKUP($D325,素材!$1:$1016,COLUMN($F$1),FALSE))),VLOOKUP($C325,装備品!$1:$998,COLUMN($O$1),FALSE)*VLOOKUP($D325,素材!$1:$1016,COLUMN($E$1),FALSE)/(LEN(VLOOKUP($D325,素材!$1:$1016,COLUMN($F$1),FALSE))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D325">
        <f>IF(ISNUMBER(SEARCH(SUBSTITUTE(AD$1,RIGHT(AD$1,2),""),VLOOKUP($D325,素材!$1:$1016,COLUMN($F$1),FALSE))),VLOOKUP($C325,装備品!$1:$998,COLUMN($O$1),FALSE)*VLOOKUP($D325,素材!$1:$1016,COLUMN($E$1),FALSE)/(LEN(VLOOKUP($D325,素材!$1:$1016,COLUMN($F$1),FALSE))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E325">
        <f>IF(ISNUMBER(SEARCH(SUBSTITUTE(AE$1,RIGHT(AE$1,2),""),VLOOKUP($D325,素材!$1:$1016,COLUMN($F$1),FALSE))),VLOOKUP($C325,装備品!$1:$998,COLUMN($O$1),FALSE)*VLOOKUP($D325,素材!$1:$1016,COLUMN($E$1),FALSE)/(LEN(VLOOKUP($D325,素材!$1:$1016,COLUMN($F$1),FALSE))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F325">
        <f>IF(ISNUMBER(SEARCH(SUBSTITUTE(AF$1,RIGHT(AF$1,2),""),VLOOKUP($D325,素材!$1:$1016,COLUMN($F$1),FALSE))),VLOOKUP($C325,装備品!$1:$998,COLUMN($O$1),FALSE)*VLOOKUP($D325,素材!$1:$1016,COLUMN($E$1),FALSE)/(LEN(VLOOKUP($D325,素材!$1:$1016,COLUMN($F$1),FALSE))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G325">
        <f>IF(ISNUMBER(SEARCH(SUBSTITUTE(AG$1,RIGHT(AG$1,2),""),VLOOKUP($D325,素材!$1:$1016,COLUMN($F$1),FALSE))),VLOOKUP($C325,装備品!$1:$998,COLUMN($O$1),FALSE)*VLOOKUP($D325,素材!$1:$1016,COLUMN($E$1),FALSE)/(LEN(VLOOKUP($D325,素材!$1:$1016,COLUMN($F$1),FALSE))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H325">
        <f>IF(ISNUMBER(SEARCH(SUBSTITUTE(AH$1,RIGHT(AH$1,2),""),VLOOKUP($D325,素材!$1:$1016,COLUMN($F$1),FALSE))),VLOOKUP($C325,装備品!$1:$998,COLUMN($O$1),FALSE)*VLOOKUP($D325,素材!$1:$1016,COLUMN($E$1),FALSE)/(LEN(VLOOKUP($D325,素材!$1:$1016,COLUMN($F$1),FALSE))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I325">
        <f>IF(ISNUMBER(SEARCH(SUBSTITUTE(AI$1,RIGHT(AI$1,2),""),VLOOKUP($D325,素材!$1:$1016,COLUMN($F$1),FALSE))),VLOOKUP($C325,装備品!$1:$998,COLUMN($O$1),FALSE)*VLOOKUP($D325,素材!$1:$1016,COLUMN($E$1),FALSE)/(LEN(VLOOKUP($D325,素材!$1:$1016,COLUMN($F$1),FALSE))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J325">
        <f>IF(ISNUMBER(SEARCH(SUBSTITUTE(AJ$1,RIGHT(AJ$1,2),""),VLOOKUP($D325,素材!$1:$1016,COLUMN($F$1),FALSE))),VLOOKUP($C325,装備品!$1:$998,COLUMN($O$1),FALSE)*VLOOKUP($D325,素材!$1:$1016,COLUMN($E$1),FALSE)/(LEN(VLOOKUP($D325,素材!$1:$1016,COLUMN($F$1),FALSE))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K325">
        <f>IF(ISNUMBER(SEARCH(SUBSTITUTE(AK$1,RIGHT(AK$1,2),""),VLOOKUP($D325,素材!$1:$1016,COLUMN($F$1),FALSE))),VLOOKUP($C325,装備品!$1:$998,COLUMN($O$1),FALSE)*VLOOKUP($D325,素材!$1:$1016,COLUMN($E$1),FALSE)/(LEN(VLOOKUP($D325,素材!$1:$1016,COLUMN($F$1),FALSE))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L325">
        <f>IF(ISNUMBER(SEARCH(SUBSTITUTE(AL$1,RIGHT(AL$1,2),""),VLOOKUP($D325,素材!$1:$1016,COLUMN($F$1),FALSE))),VLOOKUP($C325,装備品!$1:$998,COLUMN($O$1),FALSE)*VLOOKUP($D325,素材!$1:$1016,COLUMN($E$1),FALSE)/(LEN(VLOOKUP($D325,素材!$1:$1016,COLUMN($F$1),FALSE))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M325">
        <f>IF(ISNUMBER(SEARCH(SUBSTITUTE(AM$1,RIGHT(AM$1,2),""),VLOOKUP($D325,素材!$1:$1016,COLUMN($F$1),FALSE))),VLOOKUP($C325,装備品!$1:$998,COLUMN($O$1),FALSE)*VLOOKUP($D325,素材!$1:$1016,COLUMN($E$1),FALSE)/(LEN(VLOOKUP($D325,素材!$1:$1016,COLUMN($F$1),FALSE))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N325">
        <f>IF(ISNUMBER(SEARCH(SUBSTITUTE(AN$1,RIGHT(AN$1,2),""),VLOOKUP($D325,素材!$1:$1016,COLUMN($F$1),FALSE))),VLOOKUP($C325,装備品!$1:$998,COLUMN($O$1),FALSE)*VLOOKUP($D325,素材!$1:$1016,COLUMN($E$1),FALSE)/(LEN(VLOOKUP($D325,素材!$1:$1016,COLUMN($F$1),FALSE))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O325">
        <f>IF(ISNUMBER(SEARCH(SUBSTITUTE(AO$1,RIGHT(AO$1,2),""),VLOOKUP($D325,素材!$1:$1016,COLUMN($F$1),FALSE))),VLOOKUP($C325,装備品!$1:$998,COLUMN($O$1),FALSE)*VLOOKUP($D325,素材!$1:$1016,COLUMN($E$1),FALSE)/(LEN(VLOOKUP($D325,素材!$1:$1016,COLUMN($F$1),FALSE))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P325">
        <f>IF(ISNUMBER(SEARCH(SUBSTITUTE(AP$1,RIGHT(AP$1,2),""),VLOOKUP($D325,素材!$1:$1016,COLUMN($F$1),FALSE))),VLOOKUP($C325,装備品!$1:$998,COLUMN($O$1),FALSE)*VLOOKUP($D325,素材!$1:$1016,COLUMN($E$1),FALSE)/(LEN(VLOOKUP($D325,素材!$1:$1016,COLUMN($F$1),FALSE))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Q325">
        <f>IF(ISNUMBER(SEARCH(SUBSTITUTE(AQ$1,RIGHT(AQ$1,2),""),VLOOKUP($D325,素材!$1:$1016,COLUMN($F$1),FALSE))),VLOOKUP($C325,装備品!$1:$998,COLUMN($O$1),FALSE)*VLOOKUP($D325,素材!$1:$1016,COLUMN($E$1),FALSE)/(LEN(VLOOKUP($D325,素材!$1:$1016,COLUMN($F$1),FALSE))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R325">
        <f>IF(ISNUMBER(SEARCH(SUBSTITUTE(AR$1,RIGHT(AR$1,2),""),VLOOKUP($D325,素材!$1:$1016,COLUMN($F$1),FALSE))),VLOOKUP($C325,装備品!$1:$998,COLUMN($O$1),FALSE)*VLOOKUP($D325,素材!$1:$1016,COLUMN($E$1),FALSE)/(LEN(VLOOKUP($D325,素材!$1:$1016,COLUMN($F$1),FALSE))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S325">
        <f>IF(ISNUMBER(SEARCH(SUBSTITUTE(AS$1,RIGHT(AS$1,2),""),VLOOKUP($D325,素材!$1:$1016,COLUMN($F$1),FALSE))),VLOOKUP($C325,装備品!$1:$998,COLUMN($O$1),FALSE)*VLOOKUP($D325,素材!$1:$1016,COLUMN($E$1),FALSE)/(LEN(VLOOKUP($D325,素材!$1:$1016,COLUMN($F$1),FALSE))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T325">
        <f>IF(ISNUMBER(SEARCH(SUBSTITUTE(AT$1,RIGHT(AT$1,2),""),VLOOKUP($D325,素材!$1:$1016,COLUMN($F$1),FALSE))),VLOOKUP($C325,装備品!$1:$998,COLUMN($O$1),FALSE)*VLOOKUP($D325,素材!$1:$1016,COLUMN($E$1),FALSE)/(LEN(VLOOKUP($D325,素材!$1:$1016,COLUMN($F$1),FALSE))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U325">
        <f>IF(ISNUMBER(SEARCH(SUBSTITUTE(AU$1,RIGHT(AU$1,2),""),VLOOKUP($D325,素材!$1:$1016,COLUMN($F$1),FALSE))),VLOOKUP($C325,装備品!$1:$998,COLUMN($O$1),FALSE)*VLOOKUP($D325,素材!$1:$1016,COLUMN($E$1),FALSE)/(LEN(VLOOKUP($D325,素材!$1:$1016,COLUMN($F$1),FALSE))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V325">
        <f>IF(ISNUMBER(SEARCH(SUBSTITUTE(AV$1,RIGHT(AV$1,2),""),VLOOKUP($D325,素材!$1:$1016,COLUMN($F$1),FALSE))),VLOOKUP($C325,装備品!$1:$998,COLUMN($O$1),FALSE)*VLOOKUP($D325,素材!$1:$1016,COLUMN($E$1),FALSE)/(LEN(VLOOKUP($D325,素材!$1:$1016,COLUMN($F$1),FALSE))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W325">
        <f>IF(ISNUMBER(SEARCH(SUBSTITUTE(AW$1,RIGHT(AW$1,2),""),VLOOKUP($D325,素材!$1:$1016,COLUMN($F$1),FALSE))),VLOOKUP($C325,装備品!$1:$998,COLUMN($O$1),FALSE)*VLOOKUP($D325,素材!$1:$1016,COLUMN($E$1),FALSE)/(LEN(VLOOKUP($D325,素材!$1:$1016,COLUMN($F$1),FALSE))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X325">
        <f>IF(ISNUMBER(SEARCH(SUBSTITUTE(AX$1,RIGHT(AX$1,2),""),VLOOKUP($D325,素材!$1:$1016,COLUMN($F$1),FALSE))),VLOOKUP($C325,装備品!$1:$998,COLUMN($O$1),FALSE)*VLOOKUP($D325,素材!$1:$1016,COLUMN($E$1),FALSE)/(LEN(VLOOKUP($D325,素材!$1:$1016,COLUMN($F$1),FALSE))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Y325">
        <f>IF(ISNUMBER(SEARCH(SUBSTITUTE(AY$1,RIGHT(AY$1,2),""),VLOOKUP($D325,素材!$1:$1016,COLUMN($F$1),FALSE))),VLOOKUP($C325,装備品!$1:$998,COLUMN($O$1),FALSE)*VLOOKUP($D325,素材!$1:$1016,COLUMN($E$1),FALSE)/(LEN(VLOOKUP($D325,素材!$1:$1016,COLUMN($F$1),FALSE))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Z325">
        <f>IF(ISNUMBER(SEARCH(SUBSTITUTE(AZ$1,RIGHT(AZ$1,2),""),VLOOKUP($D325,素材!$1:$1016,COLUMN($F$1),FALSE))),VLOOKUP($C325,装備品!$1:$998,COLUMN($O$1),FALSE)*VLOOKUP($D325,素材!$1:$1016,COLUMN($E$1),FALSE)/(LEN(VLOOKUP($D325,素材!$1:$1016,COLUMN($F$1),FALSE))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BA325">
        <f>IF(ISNUMBER(SEARCH(SUBSTITUTE(BA$1,RIGHT(BA$1,2),""),VLOOKUP($D325,素材!$1:$1016,COLUMN($F$1),FALSE))),VLOOKUP($C325,装備品!$1:$998,COLUMN($O$1),FALSE)*VLOOKUP($D325,素材!$1:$1016,COLUMN($E$1),FALSE)/(LEN(VLOOKUP($D325,素材!$1:$1016,COLUMN($F$1),FALSE))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BB325">
        <f>IF(ISNUMBER(SEARCH(SUBSTITUTE(BB$1,RIGHT(BB$1,2),""),VLOOKUP($D325,素材!$1:$1016,COLUMN($F$1),FALSE))),VLOOKUP($C325,装備品!$1:$998,COLUMN($O$1),FALSE)*VLOOKUP($D325,素材!$1:$1016,COLUMN($E$1),FALSE)/(LEN(VLOOKUP($D325,素材!$1:$1016,COLUMN($F$1),FALSE))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BC325">
        <f>IF(ISNUMBER(SEARCH(SUBSTITUTE(BC$1,RIGHT(BC$1,2),""),VLOOKUP($D325,素材!$1:$1016,COLUMN($F$1),FALSE))),VLOOKUP($C325,装備品!$1:$998,COLUMN($O$1),FALSE)*VLOOKUP($D325,素材!$1:$1016,COLUMN($E$1),FALSE)/(LEN(VLOOKUP($D325,素材!$1:$1016,COLUMN($F$1),FALSE))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BD325">
        <f>IF(ISNUMBER(SEARCH(SUBSTITUTE(BD$1,RIGHT(BD$1,2),""),VLOOKUP($D325,素材!$1:$1016,COLUMN($F$1),FALSE))),VLOOKUP($C325,装備品!$1:$998,COLUMN($O$1),FALSE)*VLOOKUP($D325,素材!$1:$1016,COLUMN($E$1),FALSE)/(LEN(VLOOKUP($D325,素材!$1:$1016,COLUMN($F$1),FALSE))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BE325">
        <f>IF(ISNUMBER(SEARCH(SUBSTITUTE(BE$1,RIGHT(BE$1,2),""),VLOOKUP($D325,素材!$1:$1016,COLUMN($F$1),FALSE))),VLOOKUP($C325,装備品!$1:$998,COLUMN($O$1),FALSE)*VLOOKUP($D325,素材!$1:$1016,COLUMN($E$1),FALSE)/(LEN(VLOOKUP($D325,素材!$1:$1016,COLUMN($F$1),FALSE))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CL325">
        <f t="shared" si="47"/>
        <v>0</v>
      </c>
      <c r="CM325" s="22" t="str">
        <f t="shared" si="48"/>
        <v>.webp</v>
      </c>
      <c r="CN325" t="str">
        <f>IFERROR(VLOOKUP($C325,装備品!$1:$998,COLUMN(V$1),FALSE)*VLOOKUP($D325,素材!$1:$1016,COLUMN(N$1),FALSE)+IF(CI325="",0,VLOOKUP($CI325,付与!$1:$1176,COLUMN($CK$1),FALSE)),"")</f>
        <v/>
      </c>
      <c r="CO325" t="e">
        <f>VLOOKUP(D325,素材!$A:$O,COLUMN(素材!O$1),FALSE)</f>
        <v>#N/A</v>
      </c>
      <c r="CP325" t="e">
        <f>VLOOKUP(C325,装備品!$A:$AB,COLUMN(装備品!AB$1),FALSE)</f>
        <v>#N/A</v>
      </c>
      <c r="CR325" t="str">
        <f t="shared" si="43"/>
        <v>e_325</v>
      </c>
      <c r="CS325" t="e">
        <f t="shared" si="44"/>
        <v>#VALUE!</v>
      </c>
    </row>
    <row r="326" spans="1:97" hidden="1" outlineLevel="1" x14ac:dyDescent="0.4">
      <c r="A326" t="str">
        <f t="shared" si="46"/>
        <v>の</v>
      </c>
      <c r="B326" t="str">
        <f>IFERROR(IF(CI326="",VLOOKUP($D326,素材!$1:$1016,COLUMN($B$1),FALSE)&amp;"・"&amp;VLOOKUP($C326,装備品!$1:$998,COLUMN(B$1),FALSE),VLOOKUP($CI326,付与!$1:$1176,COLUMN($B$1),FALSE)&amp;"・"&amp;VLOOKUP($C326,装備品!$1:$998,COLUMN(B$1),FALSE)),"")</f>
        <v/>
      </c>
      <c r="C326" s="24"/>
      <c r="D326" s="24"/>
      <c r="E326" t="str">
        <f>IFERROR(VLOOKUP(C326,装備品!$1:$998,COLUMN(C$1),FALSE),"")</f>
        <v/>
      </c>
      <c r="F326" t="str">
        <f>IFERROR(ROUNDDOWN((VLOOKUP($C326,装備品!$1:$998,COLUMN(D$1),FALSE)+IFERROR(VLOOKUP($CI326,付与!$1:$1167,COLUMN(F$1),FALSE),0))*VLOOKUP($D326,素材!$1:$1016,COLUMN(D$1),FALSE),0),"")</f>
        <v/>
      </c>
      <c r="G326" t="str">
        <f>IFERROR(ROUNDDOWN((VLOOKUP($C326,装備品!$1:$998,COLUMN(E$1),FALSE)+IFERROR(VLOOKUP($CI326,付与!$1:$1167,COLUMN(G$1),FALSE),0))*VLOOKUP($D326,素材!$1:$1016,COLUMN($E$1),FALSE),0),"")</f>
        <v/>
      </c>
      <c r="H326" t="str">
        <f>IFERROR(ROUNDDOWN((VLOOKUP($C326,装備品!$1:$998,COLUMN(F$1),FALSE)+IFERROR(VLOOKUP($CI326,付与!$1:$1167,COLUMN(H$1),FALSE),0))*VLOOKUP($D326,素材!$1:$1016,COLUMN($E$1),FALSE),0),"")</f>
        <v/>
      </c>
      <c r="I326" t="str">
        <f>IFERROR(ROUNDDOWN((VLOOKUP($C326,装備品!$1:$998,COLUMN(G$1),FALSE)+IFERROR(VLOOKUP($CI326,付与!$1:$1167,COLUMN(I$1),FALSE),0))*VLOOKUP($D326,素材!$1:$1016,COLUMN($E$1),FALSE),0),"")</f>
        <v/>
      </c>
      <c r="J326" t="str">
        <f>IFERROR(ROUNDDOWN((VLOOKUP($C326,装備品!$1:$998,COLUMN(H$1),FALSE)+IFERROR(VLOOKUP($CI326,付与!$1:$1167,COLUMN(J$1),FALSE),0))*VLOOKUP($D326,素材!$1:$1016,COLUMN($E$1),FALSE),0),"")</f>
        <v/>
      </c>
      <c r="K326" t="str">
        <f>IFERROR(ROUNDDOWN((VLOOKUP($C326,装備品!$1:$998,COLUMN(I$1),FALSE)+IFERROR(VLOOKUP($CI326,付与!$1:$1167,COLUMN(K$1),FALSE),0))*VLOOKUP($D326,素材!$1:$1016,COLUMN($E$1),FALSE),0),"")</f>
        <v/>
      </c>
      <c r="L326" t="str">
        <f>IFERROR(VLOOKUP($D326,素材!$1:$1016,COLUMN($F$1),FALSE),"")</f>
        <v/>
      </c>
      <c r="M326" t="str">
        <f>IFERROR(VLOOKUP($C326,装備品!$1:$998,COLUMN(AA$1),FALSE)*VLOOKUP($D326,素材!$1:$1016,COLUMN($G$1),FALSE),"")</f>
        <v/>
      </c>
      <c r="N326" t="str">
        <f>IFERROR(VLOOKUP($C326,装備品!$1:$998,COLUMN(I$1),FALSE),"")</f>
        <v/>
      </c>
      <c r="O326" s="23" t="str">
        <f>IFERROR((VLOOKUP($C326,装備品!$1:$998,COLUMN(K$1),FALSE)+VLOOKUP($D326,素材!$1:$1016,COLUMN(H$1),FALSE))*100+IFERROR(VLOOKUP($CI326,付与!$1:$1167,COLUMN(O$1),FALSE),0),"")</f>
        <v/>
      </c>
      <c r="P326" s="23" t="str">
        <f>IFERROR((VLOOKUP($C326,装備品!$1:$998,COLUMN(L$1),FALSE)+VLOOKUP($D326,素材!$1:$1016,COLUMN(I$1),FALSE))*100+IFERROR(VLOOKUP($CI326,付与!$1:$1167,COLUMN(P$1),FALSE),0),"")</f>
        <v/>
      </c>
      <c r="Q326" t="str">
        <f>IFERROR(ROUNDUP(VLOOKUP($C326,装備品!$1:$998,COLUMN(M$1),FALSE)*(VLOOKUP($D326,素材!$1:$1002,COLUMN(D$1),FALSE)/100),1),"")</f>
        <v/>
      </c>
      <c r="R326" t="str">
        <f>IFERROR(ROUNDUP(VLOOKUP($C326,装備品!$1:$998,COLUMN(N$1),FALSE)*(VLOOKUP($D326,素材!$1:$1002,COLUMN(D$1),FALSE)/100),1),"")</f>
        <v/>
      </c>
      <c r="S326" t="str">
        <f>IFERROR(VLOOKUP($C326,装備品!$1:$998,COLUMN(P$1),FALSE),"")</f>
        <v/>
      </c>
      <c r="T326" t="str">
        <f>IFERROR(VLOOKUP($C326,装備品!$1:$998,COLUMN(Q$1),FALSE),"")</f>
        <v/>
      </c>
      <c r="U326" t="str">
        <f>IFERROR(VLOOKUP($C326,装備品!$1:$998,COLUMN(R$1),FALSE),"")</f>
        <v/>
      </c>
      <c r="V326" t="str">
        <f>IFERROR(VLOOKUP($C326,装備品!$1:$998,COLUMN(Q$1),FALSE),"")</f>
        <v/>
      </c>
      <c r="W326" t="str">
        <f>IFERROR(VLOOKUP($C326,装備品!$1:$998,COLUMN(T$1),FALSE),"")</f>
        <v/>
      </c>
      <c r="Y326" t="str">
        <f>IFERROR(VLOOKUP($C326,装備品!$1:$998,COLUMN(U$1),FALSE),"")</f>
        <v/>
      </c>
      <c r="Z326" t="str">
        <f>IFERROR(ROUNDUP(VLOOKUP($C326,装備品!$1:$998,COLUMN(O$1),FALSE)*VLOOKUP($D326,素材!$1:$1016,COLUMN(E$1),FALSE),1),"")</f>
        <v/>
      </c>
      <c r="AA326">
        <f>IF(ISNUMBER(SEARCH(SUBSTITUTE(AA$1,RIGHT(AA$1,2),""),VLOOKUP($D326,素材!$1:$1016,COLUMN($F$1),FALSE))),VLOOKUP($C326,装備品!$1:$998,COLUMN($O$1),FALSE)*VLOOKUP($D326,素材!$1:$1016,COLUMN($E$1),FALSE)/(LEN(VLOOKUP($D326,素材!$1:$1016,COLUMN($F$1),FALSE))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B326">
        <f>IF(ISNUMBER(SEARCH(SUBSTITUTE(AB$1,RIGHT(AB$1,2),""),VLOOKUP($D326,素材!$1:$1016,COLUMN($F$1),FALSE))),VLOOKUP($C326,装備品!$1:$998,COLUMN($O$1),FALSE)*VLOOKUP($D326,素材!$1:$1016,COLUMN($E$1),FALSE)/(LEN(VLOOKUP($D326,素材!$1:$1016,COLUMN($F$1),FALSE))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C326">
        <f>IF(ISNUMBER(SEARCH(SUBSTITUTE(AC$1,RIGHT(AC$1,2),""),VLOOKUP($D326,素材!$1:$1016,COLUMN($F$1),FALSE))),VLOOKUP($C326,装備品!$1:$998,COLUMN($O$1),FALSE)*VLOOKUP($D326,素材!$1:$1016,COLUMN($E$1),FALSE)/(LEN(VLOOKUP($D326,素材!$1:$1016,COLUMN($F$1),FALSE))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D326">
        <f>IF(ISNUMBER(SEARCH(SUBSTITUTE(AD$1,RIGHT(AD$1,2),""),VLOOKUP($D326,素材!$1:$1016,COLUMN($F$1),FALSE))),VLOOKUP($C326,装備品!$1:$998,COLUMN($O$1),FALSE)*VLOOKUP($D326,素材!$1:$1016,COLUMN($E$1),FALSE)/(LEN(VLOOKUP($D326,素材!$1:$1016,COLUMN($F$1),FALSE))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E326">
        <f>IF(ISNUMBER(SEARCH(SUBSTITUTE(AE$1,RIGHT(AE$1,2),""),VLOOKUP($D326,素材!$1:$1016,COLUMN($F$1),FALSE))),VLOOKUP($C326,装備品!$1:$998,COLUMN($O$1),FALSE)*VLOOKUP($D326,素材!$1:$1016,COLUMN($E$1),FALSE)/(LEN(VLOOKUP($D326,素材!$1:$1016,COLUMN($F$1),FALSE))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F326">
        <f>IF(ISNUMBER(SEARCH(SUBSTITUTE(AF$1,RIGHT(AF$1,2),""),VLOOKUP($D326,素材!$1:$1016,COLUMN($F$1),FALSE))),VLOOKUP($C326,装備品!$1:$998,COLUMN($O$1),FALSE)*VLOOKUP($D326,素材!$1:$1016,COLUMN($E$1),FALSE)/(LEN(VLOOKUP($D326,素材!$1:$1016,COLUMN($F$1),FALSE))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G326">
        <f>IF(ISNUMBER(SEARCH(SUBSTITUTE(AG$1,RIGHT(AG$1,2),""),VLOOKUP($D326,素材!$1:$1016,COLUMN($F$1),FALSE))),VLOOKUP($C326,装備品!$1:$998,COLUMN($O$1),FALSE)*VLOOKUP($D326,素材!$1:$1016,COLUMN($E$1),FALSE)/(LEN(VLOOKUP($D326,素材!$1:$1016,COLUMN($F$1),FALSE))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H326">
        <f>IF(ISNUMBER(SEARCH(SUBSTITUTE(AH$1,RIGHT(AH$1,2),""),VLOOKUP($D326,素材!$1:$1016,COLUMN($F$1),FALSE))),VLOOKUP($C326,装備品!$1:$998,COLUMN($O$1),FALSE)*VLOOKUP($D326,素材!$1:$1016,COLUMN($E$1),FALSE)/(LEN(VLOOKUP($D326,素材!$1:$1016,COLUMN($F$1),FALSE))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I326">
        <f>IF(ISNUMBER(SEARCH(SUBSTITUTE(AI$1,RIGHT(AI$1,2),""),VLOOKUP($D326,素材!$1:$1016,COLUMN($F$1),FALSE))),VLOOKUP($C326,装備品!$1:$998,COLUMN($O$1),FALSE)*VLOOKUP($D326,素材!$1:$1016,COLUMN($E$1),FALSE)/(LEN(VLOOKUP($D326,素材!$1:$1016,COLUMN($F$1),FALSE))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J326">
        <f>IF(ISNUMBER(SEARCH(SUBSTITUTE(AJ$1,RIGHT(AJ$1,2),""),VLOOKUP($D326,素材!$1:$1016,COLUMN($F$1),FALSE))),VLOOKUP($C326,装備品!$1:$998,COLUMN($O$1),FALSE)*VLOOKUP($D326,素材!$1:$1016,COLUMN($E$1),FALSE)/(LEN(VLOOKUP($D326,素材!$1:$1016,COLUMN($F$1),FALSE))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K326">
        <f>IF(ISNUMBER(SEARCH(SUBSTITUTE(AK$1,RIGHT(AK$1,2),""),VLOOKUP($D326,素材!$1:$1016,COLUMN($F$1),FALSE))),VLOOKUP($C326,装備品!$1:$998,COLUMN($O$1),FALSE)*VLOOKUP($D326,素材!$1:$1016,COLUMN($E$1),FALSE)/(LEN(VLOOKUP($D326,素材!$1:$1016,COLUMN($F$1),FALSE))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L326">
        <f>IF(ISNUMBER(SEARCH(SUBSTITUTE(AL$1,RIGHT(AL$1,2),""),VLOOKUP($D326,素材!$1:$1016,COLUMN($F$1),FALSE))),VLOOKUP($C326,装備品!$1:$998,COLUMN($O$1),FALSE)*VLOOKUP($D326,素材!$1:$1016,COLUMN($E$1),FALSE)/(LEN(VLOOKUP($D326,素材!$1:$1016,COLUMN($F$1),FALSE))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M326">
        <f>IF(ISNUMBER(SEARCH(SUBSTITUTE(AM$1,RIGHT(AM$1,2),""),VLOOKUP($D326,素材!$1:$1016,COLUMN($F$1),FALSE))),VLOOKUP($C326,装備品!$1:$998,COLUMN($O$1),FALSE)*VLOOKUP($D326,素材!$1:$1016,COLUMN($E$1),FALSE)/(LEN(VLOOKUP($D326,素材!$1:$1016,COLUMN($F$1),FALSE))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N326">
        <f>IF(ISNUMBER(SEARCH(SUBSTITUTE(AN$1,RIGHT(AN$1,2),""),VLOOKUP($D326,素材!$1:$1016,COLUMN($F$1),FALSE))),VLOOKUP($C326,装備品!$1:$998,COLUMN($O$1),FALSE)*VLOOKUP($D326,素材!$1:$1016,COLUMN($E$1),FALSE)/(LEN(VLOOKUP($D326,素材!$1:$1016,COLUMN($F$1),FALSE))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O326">
        <f>IF(ISNUMBER(SEARCH(SUBSTITUTE(AO$1,RIGHT(AO$1,2),""),VLOOKUP($D326,素材!$1:$1016,COLUMN($F$1),FALSE))),VLOOKUP($C326,装備品!$1:$998,COLUMN($O$1),FALSE)*VLOOKUP($D326,素材!$1:$1016,COLUMN($E$1),FALSE)/(LEN(VLOOKUP($D326,素材!$1:$1016,COLUMN($F$1),FALSE))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P326">
        <f>IF(ISNUMBER(SEARCH(SUBSTITUTE(AP$1,RIGHT(AP$1,2),""),VLOOKUP($D326,素材!$1:$1016,COLUMN($F$1),FALSE))),VLOOKUP($C326,装備品!$1:$998,COLUMN($O$1),FALSE)*VLOOKUP($D326,素材!$1:$1016,COLUMN($E$1),FALSE)/(LEN(VLOOKUP($D326,素材!$1:$1016,COLUMN($F$1),FALSE))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Q326">
        <f>IF(ISNUMBER(SEARCH(SUBSTITUTE(AQ$1,RIGHT(AQ$1,2),""),VLOOKUP($D326,素材!$1:$1016,COLUMN($F$1),FALSE))),VLOOKUP($C326,装備品!$1:$998,COLUMN($O$1),FALSE)*VLOOKUP($D326,素材!$1:$1016,COLUMN($E$1),FALSE)/(LEN(VLOOKUP($D326,素材!$1:$1016,COLUMN($F$1),FALSE))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R326">
        <f>IF(ISNUMBER(SEARCH(SUBSTITUTE(AR$1,RIGHT(AR$1,2),""),VLOOKUP($D326,素材!$1:$1016,COLUMN($F$1),FALSE))),VLOOKUP($C326,装備品!$1:$998,COLUMN($O$1),FALSE)*VLOOKUP($D326,素材!$1:$1016,COLUMN($E$1),FALSE)/(LEN(VLOOKUP($D326,素材!$1:$1016,COLUMN($F$1),FALSE))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S326">
        <f>IF(ISNUMBER(SEARCH(SUBSTITUTE(AS$1,RIGHT(AS$1,2),""),VLOOKUP($D326,素材!$1:$1016,COLUMN($F$1),FALSE))),VLOOKUP($C326,装備品!$1:$998,COLUMN($O$1),FALSE)*VLOOKUP($D326,素材!$1:$1016,COLUMN($E$1),FALSE)/(LEN(VLOOKUP($D326,素材!$1:$1016,COLUMN($F$1),FALSE))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T326">
        <f>IF(ISNUMBER(SEARCH(SUBSTITUTE(AT$1,RIGHT(AT$1,2),""),VLOOKUP($D326,素材!$1:$1016,COLUMN($F$1),FALSE))),VLOOKUP($C326,装備品!$1:$998,COLUMN($O$1),FALSE)*VLOOKUP($D326,素材!$1:$1016,COLUMN($E$1),FALSE)/(LEN(VLOOKUP($D326,素材!$1:$1016,COLUMN($F$1),FALSE))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U326">
        <f>IF(ISNUMBER(SEARCH(SUBSTITUTE(AU$1,RIGHT(AU$1,2),""),VLOOKUP($D326,素材!$1:$1016,COLUMN($F$1),FALSE))),VLOOKUP($C326,装備品!$1:$998,COLUMN($O$1),FALSE)*VLOOKUP($D326,素材!$1:$1016,COLUMN($E$1),FALSE)/(LEN(VLOOKUP($D326,素材!$1:$1016,COLUMN($F$1),FALSE))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V326">
        <f>IF(ISNUMBER(SEARCH(SUBSTITUTE(AV$1,RIGHT(AV$1,2),""),VLOOKUP($D326,素材!$1:$1016,COLUMN($F$1),FALSE))),VLOOKUP($C326,装備品!$1:$998,COLUMN($O$1),FALSE)*VLOOKUP($D326,素材!$1:$1016,COLUMN($E$1),FALSE)/(LEN(VLOOKUP($D326,素材!$1:$1016,COLUMN($F$1),FALSE))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W326">
        <f>IF(ISNUMBER(SEARCH(SUBSTITUTE(AW$1,RIGHT(AW$1,2),""),VLOOKUP($D326,素材!$1:$1016,COLUMN($F$1),FALSE))),VLOOKUP($C326,装備品!$1:$998,COLUMN($O$1),FALSE)*VLOOKUP($D326,素材!$1:$1016,COLUMN($E$1),FALSE)/(LEN(VLOOKUP($D326,素材!$1:$1016,COLUMN($F$1),FALSE))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X326">
        <f>IF(ISNUMBER(SEARCH(SUBSTITUTE(AX$1,RIGHT(AX$1,2),""),VLOOKUP($D326,素材!$1:$1016,COLUMN($F$1),FALSE))),VLOOKUP($C326,装備品!$1:$998,COLUMN($O$1),FALSE)*VLOOKUP($D326,素材!$1:$1016,COLUMN($E$1),FALSE)/(LEN(VLOOKUP($D326,素材!$1:$1016,COLUMN($F$1),FALSE))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Y326">
        <f>IF(ISNUMBER(SEARCH(SUBSTITUTE(AY$1,RIGHT(AY$1,2),""),VLOOKUP($D326,素材!$1:$1016,COLUMN($F$1),FALSE))),VLOOKUP($C326,装備品!$1:$998,COLUMN($O$1),FALSE)*VLOOKUP($D326,素材!$1:$1016,COLUMN($E$1),FALSE)/(LEN(VLOOKUP($D326,素材!$1:$1016,COLUMN($F$1),FALSE))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Z326">
        <f>IF(ISNUMBER(SEARCH(SUBSTITUTE(AZ$1,RIGHT(AZ$1,2),""),VLOOKUP($D326,素材!$1:$1016,COLUMN($F$1),FALSE))),VLOOKUP($C326,装備品!$1:$998,COLUMN($O$1),FALSE)*VLOOKUP($D326,素材!$1:$1016,COLUMN($E$1),FALSE)/(LEN(VLOOKUP($D326,素材!$1:$1016,COLUMN($F$1),FALSE))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BA326">
        <f>IF(ISNUMBER(SEARCH(SUBSTITUTE(BA$1,RIGHT(BA$1,2),""),VLOOKUP($D326,素材!$1:$1016,COLUMN($F$1),FALSE))),VLOOKUP($C326,装備品!$1:$998,COLUMN($O$1),FALSE)*VLOOKUP($D326,素材!$1:$1016,COLUMN($E$1),FALSE)/(LEN(VLOOKUP($D326,素材!$1:$1016,COLUMN($F$1),FALSE))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BB326">
        <f>IF(ISNUMBER(SEARCH(SUBSTITUTE(BB$1,RIGHT(BB$1,2),""),VLOOKUP($D326,素材!$1:$1016,COLUMN($F$1),FALSE))),VLOOKUP($C326,装備品!$1:$998,COLUMN($O$1),FALSE)*VLOOKUP($D326,素材!$1:$1016,COLUMN($E$1),FALSE)/(LEN(VLOOKUP($D326,素材!$1:$1016,COLUMN($F$1),FALSE))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BC326">
        <f>IF(ISNUMBER(SEARCH(SUBSTITUTE(BC$1,RIGHT(BC$1,2),""),VLOOKUP($D326,素材!$1:$1016,COLUMN($F$1),FALSE))),VLOOKUP($C326,装備品!$1:$998,COLUMN($O$1),FALSE)*VLOOKUP($D326,素材!$1:$1016,COLUMN($E$1),FALSE)/(LEN(VLOOKUP($D326,素材!$1:$1016,COLUMN($F$1),FALSE))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BD326">
        <f>IF(ISNUMBER(SEARCH(SUBSTITUTE(BD$1,RIGHT(BD$1,2),""),VLOOKUP($D326,素材!$1:$1016,COLUMN($F$1),FALSE))),VLOOKUP($C326,装備品!$1:$998,COLUMN($O$1),FALSE)*VLOOKUP($D326,素材!$1:$1016,COLUMN($E$1),FALSE)/(LEN(VLOOKUP($D326,素材!$1:$1016,COLUMN($F$1),FALSE))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BE326">
        <f>IF(ISNUMBER(SEARCH(SUBSTITUTE(BE$1,RIGHT(BE$1,2),""),VLOOKUP($D326,素材!$1:$1016,COLUMN($F$1),FALSE))),VLOOKUP($C326,装備品!$1:$998,COLUMN($O$1),FALSE)*VLOOKUP($D326,素材!$1:$1016,COLUMN($E$1),FALSE)/(LEN(VLOOKUP($D326,素材!$1:$1016,COLUMN($F$1),FALSE))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CL326">
        <f t="shared" si="47"/>
        <v>0</v>
      </c>
      <c r="CM326" s="22" t="str">
        <f t="shared" si="48"/>
        <v>.webp</v>
      </c>
      <c r="CN326" t="str">
        <f>IFERROR(VLOOKUP($C326,装備品!$1:$998,COLUMN(V$1),FALSE)*VLOOKUP($D326,素材!$1:$1016,COLUMN(N$1),FALSE)+IF(CI326="",0,VLOOKUP($CI326,付与!$1:$1176,COLUMN($CK$1),FALSE)),"")</f>
        <v/>
      </c>
      <c r="CO326" t="e">
        <f>VLOOKUP(D326,素材!$A:$O,COLUMN(素材!O$1),FALSE)</f>
        <v>#N/A</v>
      </c>
      <c r="CP326" t="e">
        <f>VLOOKUP(C326,装備品!$A:$AB,COLUMN(装備品!AB$1),FALSE)</f>
        <v>#N/A</v>
      </c>
      <c r="CR326" t="str">
        <f t="shared" si="43"/>
        <v>e_326</v>
      </c>
      <c r="CS326" t="e">
        <f t="shared" si="44"/>
        <v>#VALUE!</v>
      </c>
    </row>
    <row r="327" spans="1:97" hidden="1" outlineLevel="1" x14ac:dyDescent="0.4">
      <c r="A327" t="str">
        <f t="shared" si="46"/>
        <v>の</v>
      </c>
      <c r="B327" t="str">
        <f>IFERROR(IF(CI327="",VLOOKUP($D327,素材!$1:$1016,COLUMN($B$1),FALSE)&amp;"・"&amp;VLOOKUP($C327,装備品!$1:$998,COLUMN(B$1),FALSE),VLOOKUP($CI327,付与!$1:$1176,COLUMN($B$1),FALSE)&amp;"・"&amp;VLOOKUP($C327,装備品!$1:$998,COLUMN(B$1),FALSE)),"")</f>
        <v/>
      </c>
      <c r="C327" s="24"/>
      <c r="D327" s="24"/>
      <c r="E327" t="str">
        <f>IFERROR(VLOOKUP(C327,装備品!$1:$998,COLUMN(C$1),FALSE),"")</f>
        <v/>
      </c>
      <c r="F327" t="str">
        <f>IFERROR(ROUNDDOWN((VLOOKUP($C327,装備品!$1:$998,COLUMN(D$1),FALSE)+IFERROR(VLOOKUP($CI327,付与!$1:$1167,COLUMN(F$1),FALSE),0))*VLOOKUP($D327,素材!$1:$1016,COLUMN(D$1),FALSE),0),"")</f>
        <v/>
      </c>
      <c r="G327" t="str">
        <f>IFERROR(ROUNDDOWN((VLOOKUP($C327,装備品!$1:$998,COLUMN(E$1),FALSE)+IFERROR(VLOOKUP($CI327,付与!$1:$1167,COLUMN(G$1),FALSE),0))*VLOOKUP($D327,素材!$1:$1016,COLUMN($E$1),FALSE),0),"")</f>
        <v/>
      </c>
      <c r="H327" t="str">
        <f>IFERROR(ROUNDDOWN((VLOOKUP($C327,装備品!$1:$998,COLUMN(F$1),FALSE)+IFERROR(VLOOKUP($CI327,付与!$1:$1167,COLUMN(H$1),FALSE),0))*VLOOKUP($D327,素材!$1:$1016,COLUMN($E$1),FALSE),0),"")</f>
        <v/>
      </c>
      <c r="I327" t="str">
        <f>IFERROR(ROUNDDOWN((VLOOKUP($C327,装備品!$1:$998,COLUMN(G$1),FALSE)+IFERROR(VLOOKUP($CI327,付与!$1:$1167,COLUMN(I$1),FALSE),0))*VLOOKUP($D327,素材!$1:$1016,COLUMN($E$1),FALSE),0),"")</f>
        <v/>
      </c>
      <c r="J327" t="str">
        <f>IFERROR(ROUNDDOWN((VLOOKUP($C327,装備品!$1:$998,COLUMN(H$1),FALSE)+IFERROR(VLOOKUP($CI327,付与!$1:$1167,COLUMN(J$1),FALSE),0))*VLOOKUP($D327,素材!$1:$1016,COLUMN($E$1),FALSE),0),"")</f>
        <v/>
      </c>
      <c r="K327" t="str">
        <f>IFERROR(ROUNDDOWN((VLOOKUP($C327,装備品!$1:$998,COLUMN(I$1),FALSE)+IFERROR(VLOOKUP($CI327,付与!$1:$1167,COLUMN(K$1),FALSE),0))*VLOOKUP($D327,素材!$1:$1016,COLUMN($E$1),FALSE),0),"")</f>
        <v/>
      </c>
      <c r="L327" t="str">
        <f>IFERROR(VLOOKUP($D327,素材!$1:$1016,COLUMN($F$1),FALSE),"")</f>
        <v/>
      </c>
      <c r="M327" t="str">
        <f>IFERROR(VLOOKUP($C327,装備品!$1:$998,COLUMN(AA$1),FALSE)*VLOOKUP($D327,素材!$1:$1016,COLUMN($G$1),FALSE),"")</f>
        <v/>
      </c>
      <c r="N327" t="str">
        <f>IFERROR(VLOOKUP($C327,装備品!$1:$998,COLUMN(I$1),FALSE),"")</f>
        <v/>
      </c>
      <c r="O327" s="23" t="str">
        <f>IFERROR((VLOOKUP($C327,装備品!$1:$998,COLUMN(K$1),FALSE)+VLOOKUP($D327,素材!$1:$1016,COLUMN(H$1),FALSE))*100+IFERROR(VLOOKUP($CI327,付与!$1:$1167,COLUMN(O$1),FALSE),0),"")</f>
        <v/>
      </c>
      <c r="P327" s="23" t="str">
        <f>IFERROR((VLOOKUP($C327,装備品!$1:$998,COLUMN(L$1),FALSE)+VLOOKUP($D327,素材!$1:$1016,COLUMN(I$1),FALSE))*100+IFERROR(VLOOKUP($CI327,付与!$1:$1167,COLUMN(P$1),FALSE),0),"")</f>
        <v/>
      </c>
      <c r="Q327" t="str">
        <f>IFERROR(ROUNDUP(VLOOKUP($C327,装備品!$1:$998,COLUMN(M$1),FALSE)*(VLOOKUP($D327,素材!$1:$1002,COLUMN(D$1),FALSE)/100),1),"")</f>
        <v/>
      </c>
      <c r="R327" t="str">
        <f>IFERROR(ROUNDUP(VLOOKUP($C327,装備品!$1:$998,COLUMN(N$1),FALSE)*(VLOOKUP($D327,素材!$1:$1002,COLUMN(D$1),FALSE)/100),1),"")</f>
        <v/>
      </c>
      <c r="S327" t="str">
        <f>IFERROR(VLOOKUP($C327,装備品!$1:$998,COLUMN(P$1),FALSE),"")</f>
        <v/>
      </c>
      <c r="T327" t="str">
        <f>IFERROR(VLOOKUP($C327,装備品!$1:$998,COLUMN(Q$1),FALSE),"")</f>
        <v/>
      </c>
      <c r="U327" t="str">
        <f>IFERROR(VLOOKUP($C327,装備品!$1:$998,COLUMN(R$1),FALSE),"")</f>
        <v/>
      </c>
      <c r="V327" t="str">
        <f>IFERROR(VLOOKUP($C327,装備品!$1:$998,COLUMN(Q$1),FALSE),"")</f>
        <v/>
      </c>
      <c r="W327" t="str">
        <f>IFERROR(VLOOKUP($C327,装備品!$1:$998,COLUMN(T$1),FALSE),"")</f>
        <v/>
      </c>
      <c r="Y327" t="str">
        <f>IFERROR(VLOOKUP($C327,装備品!$1:$998,COLUMN(U$1),FALSE),"")</f>
        <v/>
      </c>
      <c r="Z327" t="str">
        <f>IFERROR(ROUNDUP(VLOOKUP($C327,装備品!$1:$998,COLUMN(O$1),FALSE)*VLOOKUP($D327,素材!$1:$1016,COLUMN(E$1),FALSE),1),"")</f>
        <v/>
      </c>
      <c r="AA327">
        <f>IF(ISNUMBER(SEARCH(SUBSTITUTE(AA$1,RIGHT(AA$1,2),""),VLOOKUP($D327,素材!$1:$1016,COLUMN($F$1),FALSE))),VLOOKUP($C327,装備品!$1:$998,COLUMN($O$1),FALSE)*VLOOKUP($D327,素材!$1:$1016,COLUMN($E$1),FALSE)/(LEN(VLOOKUP($D327,素材!$1:$1016,COLUMN($F$1),FALSE))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B327">
        <f>IF(ISNUMBER(SEARCH(SUBSTITUTE(AB$1,RIGHT(AB$1,2),""),VLOOKUP($D327,素材!$1:$1016,COLUMN($F$1),FALSE))),VLOOKUP($C327,装備品!$1:$998,COLUMN($O$1),FALSE)*VLOOKUP($D327,素材!$1:$1016,COLUMN($E$1),FALSE)/(LEN(VLOOKUP($D327,素材!$1:$1016,COLUMN($F$1),FALSE))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C327">
        <f>IF(ISNUMBER(SEARCH(SUBSTITUTE(AC$1,RIGHT(AC$1,2),""),VLOOKUP($D327,素材!$1:$1016,COLUMN($F$1),FALSE))),VLOOKUP($C327,装備品!$1:$998,COLUMN($O$1),FALSE)*VLOOKUP($D327,素材!$1:$1016,COLUMN($E$1),FALSE)/(LEN(VLOOKUP($D327,素材!$1:$1016,COLUMN($F$1),FALSE))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D327">
        <f>IF(ISNUMBER(SEARCH(SUBSTITUTE(AD$1,RIGHT(AD$1,2),""),VLOOKUP($D327,素材!$1:$1016,COLUMN($F$1),FALSE))),VLOOKUP($C327,装備品!$1:$998,COLUMN($O$1),FALSE)*VLOOKUP($D327,素材!$1:$1016,COLUMN($E$1),FALSE)/(LEN(VLOOKUP($D327,素材!$1:$1016,COLUMN($F$1),FALSE))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E327">
        <f>IF(ISNUMBER(SEARCH(SUBSTITUTE(AE$1,RIGHT(AE$1,2),""),VLOOKUP($D327,素材!$1:$1016,COLUMN($F$1),FALSE))),VLOOKUP($C327,装備品!$1:$998,COLUMN($O$1),FALSE)*VLOOKUP($D327,素材!$1:$1016,COLUMN($E$1),FALSE)/(LEN(VLOOKUP($D327,素材!$1:$1016,COLUMN($F$1),FALSE))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F327">
        <f>IF(ISNUMBER(SEARCH(SUBSTITUTE(AF$1,RIGHT(AF$1,2),""),VLOOKUP($D327,素材!$1:$1016,COLUMN($F$1),FALSE))),VLOOKUP($C327,装備品!$1:$998,COLUMN($O$1),FALSE)*VLOOKUP($D327,素材!$1:$1016,COLUMN($E$1),FALSE)/(LEN(VLOOKUP($D327,素材!$1:$1016,COLUMN($F$1),FALSE))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G327">
        <f>IF(ISNUMBER(SEARCH(SUBSTITUTE(AG$1,RIGHT(AG$1,2),""),VLOOKUP($D327,素材!$1:$1016,COLUMN($F$1),FALSE))),VLOOKUP($C327,装備品!$1:$998,COLUMN($O$1),FALSE)*VLOOKUP($D327,素材!$1:$1016,COLUMN($E$1),FALSE)/(LEN(VLOOKUP($D327,素材!$1:$1016,COLUMN($F$1),FALSE))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H327">
        <f>IF(ISNUMBER(SEARCH(SUBSTITUTE(AH$1,RIGHT(AH$1,2),""),VLOOKUP($D327,素材!$1:$1016,COLUMN($F$1),FALSE))),VLOOKUP($C327,装備品!$1:$998,COLUMN($O$1),FALSE)*VLOOKUP($D327,素材!$1:$1016,COLUMN($E$1),FALSE)/(LEN(VLOOKUP($D327,素材!$1:$1016,COLUMN($F$1),FALSE))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I327">
        <f>IF(ISNUMBER(SEARCH(SUBSTITUTE(AI$1,RIGHT(AI$1,2),""),VLOOKUP($D327,素材!$1:$1016,COLUMN($F$1),FALSE))),VLOOKUP($C327,装備品!$1:$998,COLUMN($O$1),FALSE)*VLOOKUP($D327,素材!$1:$1016,COLUMN($E$1),FALSE)/(LEN(VLOOKUP($D327,素材!$1:$1016,COLUMN($F$1),FALSE))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J327">
        <f>IF(ISNUMBER(SEARCH(SUBSTITUTE(AJ$1,RIGHT(AJ$1,2),""),VLOOKUP($D327,素材!$1:$1016,COLUMN($F$1),FALSE))),VLOOKUP($C327,装備品!$1:$998,COLUMN($O$1),FALSE)*VLOOKUP($D327,素材!$1:$1016,COLUMN($E$1),FALSE)/(LEN(VLOOKUP($D327,素材!$1:$1016,COLUMN($F$1),FALSE))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K327">
        <f>IF(ISNUMBER(SEARCH(SUBSTITUTE(AK$1,RIGHT(AK$1,2),""),VLOOKUP($D327,素材!$1:$1016,COLUMN($F$1),FALSE))),VLOOKUP($C327,装備品!$1:$998,COLUMN($O$1),FALSE)*VLOOKUP($D327,素材!$1:$1016,COLUMN($E$1),FALSE)/(LEN(VLOOKUP($D327,素材!$1:$1016,COLUMN($F$1),FALSE))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L327">
        <f>IF(ISNUMBER(SEARCH(SUBSTITUTE(AL$1,RIGHT(AL$1,2),""),VLOOKUP($D327,素材!$1:$1016,COLUMN($F$1),FALSE))),VLOOKUP($C327,装備品!$1:$998,COLUMN($O$1),FALSE)*VLOOKUP($D327,素材!$1:$1016,COLUMN($E$1),FALSE)/(LEN(VLOOKUP($D327,素材!$1:$1016,COLUMN($F$1),FALSE))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M327">
        <f>IF(ISNUMBER(SEARCH(SUBSTITUTE(AM$1,RIGHT(AM$1,2),""),VLOOKUP($D327,素材!$1:$1016,COLUMN($F$1),FALSE))),VLOOKUP($C327,装備品!$1:$998,COLUMN($O$1),FALSE)*VLOOKUP($D327,素材!$1:$1016,COLUMN($E$1),FALSE)/(LEN(VLOOKUP($D327,素材!$1:$1016,COLUMN($F$1),FALSE))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N327">
        <f>IF(ISNUMBER(SEARCH(SUBSTITUTE(AN$1,RIGHT(AN$1,2),""),VLOOKUP($D327,素材!$1:$1016,COLUMN($F$1),FALSE))),VLOOKUP($C327,装備品!$1:$998,COLUMN($O$1),FALSE)*VLOOKUP($D327,素材!$1:$1016,COLUMN($E$1),FALSE)/(LEN(VLOOKUP($D327,素材!$1:$1016,COLUMN($F$1),FALSE))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O327">
        <f>IF(ISNUMBER(SEARCH(SUBSTITUTE(AO$1,RIGHT(AO$1,2),""),VLOOKUP($D327,素材!$1:$1016,COLUMN($F$1),FALSE))),VLOOKUP($C327,装備品!$1:$998,COLUMN($O$1),FALSE)*VLOOKUP($D327,素材!$1:$1016,COLUMN($E$1),FALSE)/(LEN(VLOOKUP($D327,素材!$1:$1016,COLUMN($F$1),FALSE))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P327">
        <f>IF(ISNUMBER(SEARCH(SUBSTITUTE(AP$1,RIGHT(AP$1,2),""),VLOOKUP($D327,素材!$1:$1016,COLUMN($F$1),FALSE))),VLOOKUP($C327,装備品!$1:$998,COLUMN($O$1),FALSE)*VLOOKUP($D327,素材!$1:$1016,COLUMN($E$1),FALSE)/(LEN(VLOOKUP($D327,素材!$1:$1016,COLUMN($F$1),FALSE))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Q327">
        <f>IF(ISNUMBER(SEARCH(SUBSTITUTE(AQ$1,RIGHT(AQ$1,2),""),VLOOKUP($D327,素材!$1:$1016,COLUMN($F$1),FALSE))),VLOOKUP($C327,装備品!$1:$998,COLUMN($O$1),FALSE)*VLOOKUP($D327,素材!$1:$1016,COLUMN($E$1),FALSE)/(LEN(VLOOKUP($D327,素材!$1:$1016,COLUMN($F$1),FALSE))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R327">
        <f>IF(ISNUMBER(SEARCH(SUBSTITUTE(AR$1,RIGHT(AR$1,2),""),VLOOKUP($D327,素材!$1:$1016,COLUMN($F$1),FALSE))),VLOOKUP($C327,装備品!$1:$998,COLUMN($O$1),FALSE)*VLOOKUP($D327,素材!$1:$1016,COLUMN($E$1),FALSE)/(LEN(VLOOKUP($D327,素材!$1:$1016,COLUMN($F$1),FALSE))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S327">
        <f>IF(ISNUMBER(SEARCH(SUBSTITUTE(AS$1,RIGHT(AS$1,2),""),VLOOKUP($D327,素材!$1:$1016,COLUMN($F$1),FALSE))),VLOOKUP($C327,装備品!$1:$998,COLUMN($O$1),FALSE)*VLOOKUP($D327,素材!$1:$1016,COLUMN($E$1),FALSE)/(LEN(VLOOKUP($D327,素材!$1:$1016,COLUMN($F$1),FALSE))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T327">
        <f>IF(ISNUMBER(SEARCH(SUBSTITUTE(AT$1,RIGHT(AT$1,2),""),VLOOKUP($D327,素材!$1:$1016,COLUMN($F$1),FALSE))),VLOOKUP($C327,装備品!$1:$998,COLUMN($O$1),FALSE)*VLOOKUP($D327,素材!$1:$1016,COLUMN($E$1),FALSE)/(LEN(VLOOKUP($D327,素材!$1:$1016,COLUMN($F$1),FALSE))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U327">
        <f>IF(ISNUMBER(SEARCH(SUBSTITUTE(AU$1,RIGHT(AU$1,2),""),VLOOKUP($D327,素材!$1:$1016,COLUMN($F$1),FALSE))),VLOOKUP($C327,装備品!$1:$998,COLUMN($O$1),FALSE)*VLOOKUP($D327,素材!$1:$1016,COLUMN($E$1),FALSE)/(LEN(VLOOKUP($D327,素材!$1:$1016,COLUMN($F$1),FALSE))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V327">
        <f>IF(ISNUMBER(SEARCH(SUBSTITUTE(AV$1,RIGHT(AV$1,2),""),VLOOKUP($D327,素材!$1:$1016,COLUMN($F$1),FALSE))),VLOOKUP($C327,装備品!$1:$998,COLUMN($O$1),FALSE)*VLOOKUP($D327,素材!$1:$1016,COLUMN($E$1),FALSE)/(LEN(VLOOKUP($D327,素材!$1:$1016,COLUMN($F$1),FALSE))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W327">
        <f>IF(ISNUMBER(SEARCH(SUBSTITUTE(AW$1,RIGHT(AW$1,2),""),VLOOKUP($D327,素材!$1:$1016,COLUMN($F$1),FALSE))),VLOOKUP($C327,装備品!$1:$998,COLUMN($O$1),FALSE)*VLOOKUP($D327,素材!$1:$1016,COLUMN($E$1),FALSE)/(LEN(VLOOKUP($D327,素材!$1:$1016,COLUMN($F$1),FALSE))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X327">
        <f>IF(ISNUMBER(SEARCH(SUBSTITUTE(AX$1,RIGHT(AX$1,2),""),VLOOKUP($D327,素材!$1:$1016,COLUMN($F$1),FALSE))),VLOOKUP($C327,装備品!$1:$998,COLUMN($O$1),FALSE)*VLOOKUP($D327,素材!$1:$1016,COLUMN($E$1),FALSE)/(LEN(VLOOKUP($D327,素材!$1:$1016,COLUMN($F$1),FALSE))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Y327">
        <f>IF(ISNUMBER(SEARCH(SUBSTITUTE(AY$1,RIGHT(AY$1,2),""),VLOOKUP($D327,素材!$1:$1016,COLUMN($F$1),FALSE))),VLOOKUP($C327,装備品!$1:$998,COLUMN($O$1),FALSE)*VLOOKUP($D327,素材!$1:$1016,COLUMN($E$1),FALSE)/(LEN(VLOOKUP($D327,素材!$1:$1016,COLUMN($F$1),FALSE))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Z327">
        <f>IF(ISNUMBER(SEARCH(SUBSTITUTE(AZ$1,RIGHT(AZ$1,2),""),VLOOKUP($D327,素材!$1:$1016,COLUMN($F$1),FALSE))),VLOOKUP($C327,装備品!$1:$998,COLUMN($O$1),FALSE)*VLOOKUP($D327,素材!$1:$1016,COLUMN($E$1),FALSE)/(LEN(VLOOKUP($D327,素材!$1:$1016,COLUMN($F$1),FALSE))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BA327">
        <f>IF(ISNUMBER(SEARCH(SUBSTITUTE(BA$1,RIGHT(BA$1,2),""),VLOOKUP($D327,素材!$1:$1016,COLUMN($F$1),FALSE))),VLOOKUP($C327,装備品!$1:$998,COLUMN($O$1),FALSE)*VLOOKUP($D327,素材!$1:$1016,COLUMN($E$1),FALSE)/(LEN(VLOOKUP($D327,素材!$1:$1016,COLUMN($F$1),FALSE))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BB327">
        <f>IF(ISNUMBER(SEARCH(SUBSTITUTE(BB$1,RIGHT(BB$1,2),""),VLOOKUP($D327,素材!$1:$1016,COLUMN($F$1),FALSE))),VLOOKUP($C327,装備品!$1:$998,COLUMN($O$1),FALSE)*VLOOKUP($D327,素材!$1:$1016,COLUMN($E$1),FALSE)/(LEN(VLOOKUP($D327,素材!$1:$1016,COLUMN($F$1),FALSE))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BC327">
        <f>IF(ISNUMBER(SEARCH(SUBSTITUTE(BC$1,RIGHT(BC$1,2),""),VLOOKUP($D327,素材!$1:$1016,COLUMN($F$1),FALSE))),VLOOKUP($C327,装備品!$1:$998,COLUMN($O$1),FALSE)*VLOOKUP($D327,素材!$1:$1016,COLUMN($E$1),FALSE)/(LEN(VLOOKUP($D327,素材!$1:$1016,COLUMN($F$1),FALSE))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BD327">
        <f>IF(ISNUMBER(SEARCH(SUBSTITUTE(BD$1,RIGHT(BD$1,2),""),VLOOKUP($D327,素材!$1:$1016,COLUMN($F$1),FALSE))),VLOOKUP($C327,装備品!$1:$998,COLUMN($O$1),FALSE)*VLOOKUP($D327,素材!$1:$1016,COLUMN($E$1),FALSE)/(LEN(VLOOKUP($D327,素材!$1:$1016,COLUMN($F$1),FALSE))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BE327">
        <f>IF(ISNUMBER(SEARCH(SUBSTITUTE(BE$1,RIGHT(BE$1,2),""),VLOOKUP($D327,素材!$1:$1016,COLUMN($F$1),FALSE))),VLOOKUP($C327,装備品!$1:$998,COLUMN($O$1),FALSE)*VLOOKUP($D327,素材!$1:$1016,COLUMN($E$1),FALSE)/(LEN(VLOOKUP($D327,素材!$1:$1016,COLUMN($F$1),FALSE))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CL327">
        <f t="shared" si="47"/>
        <v>0</v>
      </c>
      <c r="CM327" s="22" t="str">
        <f t="shared" si="48"/>
        <v>.webp</v>
      </c>
      <c r="CN327" t="str">
        <f>IFERROR(VLOOKUP($C327,装備品!$1:$998,COLUMN(V$1),FALSE)*VLOOKUP($D327,素材!$1:$1016,COLUMN(N$1),FALSE)+IF(CI327="",0,VLOOKUP($CI327,付与!$1:$1176,COLUMN($CK$1),FALSE)),"")</f>
        <v/>
      </c>
      <c r="CO327" t="e">
        <f>VLOOKUP(D327,素材!$A:$O,COLUMN(素材!O$1),FALSE)</f>
        <v>#N/A</v>
      </c>
      <c r="CP327" t="e">
        <f>VLOOKUP(C327,装備品!$A:$AB,COLUMN(装備品!AB$1),FALSE)</f>
        <v>#N/A</v>
      </c>
      <c r="CR327" t="str">
        <f t="shared" si="43"/>
        <v>e_327</v>
      </c>
      <c r="CS327" t="e">
        <f t="shared" si="44"/>
        <v>#VALUE!</v>
      </c>
    </row>
    <row r="328" spans="1:97" hidden="1" outlineLevel="1" x14ac:dyDescent="0.4">
      <c r="A328" t="str">
        <f t="shared" si="46"/>
        <v>の</v>
      </c>
      <c r="B328" t="str">
        <f>IFERROR(IF(CI328="",VLOOKUP($D328,素材!$1:$1016,COLUMN($B$1),FALSE)&amp;"・"&amp;VLOOKUP($C328,装備品!$1:$998,COLUMN(B$1),FALSE),VLOOKUP($CI328,付与!$1:$1176,COLUMN($B$1),FALSE)&amp;"・"&amp;VLOOKUP($C328,装備品!$1:$998,COLUMN(B$1),FALSE)),"")</f>
        <v/>
      </c>
      <c r="C328" s="24"/>
      <c r="D328" s="24"/>
      <c r="E328" t="str">
        <f>IFERROR(VLOOKUP(C328,装備品!$1:$998,COLUMN(C$1),FALSE),"")</f>
        <v/>
      </c>
      <c r="F328" t="str">
        <f>IFERROR(ROUNDDOWN((VLOOKUP($C328,装備品!$1:$998,COLUMN(D$1),FALSE)+IFERROR(VLOOKUP($CI328,付与!$1:$1167,COLUMN(F$1),FALSE),0))*VLOOKUP($D328,素材!$1:$1016,COLUMN(D$1),FALSE),0),"")</f>
        <v/>
      </c>
      <c r="G328" t="str">
        <f>IFERROR(ROUNDDOWN((VLOOKUP($C328,装備品!$1:$998,COLUMN(E$1),FALSE)+IFERROR(VLOOKUP($CI328,付与!$1:$1167,COLUMN(G$1),FALSE),0))*VLOOKUP($D328,素材!$1:$1016,COLUMN($E$1),FALSE),0),"")</f>
        <v/>
      </c>
      <c r="H328" t="str">
        <f>IFERROR(ROUNDDOWN((VLOOKUP($C328,装備品!$1:$998,COLUMN(F$1),FALSE)+IFERROR(VLOOKUP($CI328,付与!$1:$1167,COLUMN(H$1),FALSE),0))*VLOOKUP($D328,素材!$1:$1016,COLUMN($E$1),FALSE),0),"")</f>
        <v/>
      </c>
      <c r="I328" t="str">
        <f>IFERROR(ROUNDDOWN((VLOOKUP($C328,装備品!$1:$998,COLUMN(G$1),FALSE)+IFERROR(VLOOKUP($CI328,付与!$1:$1167,COLUMN(I$1),FALSE),0))*VLOOKUP($D328,素材!$1:$1016,COLUMN($E$1),FALSE),0),"")</f>
        <v/>
      </c>
      <c r="J328" t="str">
        <f>IFERROR(ROUNDDOWN((VLOOKUP($C328,装備品!$1:$998,COLUMN(H$1),FALSE)+IFERROR(VLOOKUP($CI328,付与!$1:$1167,COLUMN(J$1),FALSE),0))*VLOOKUP($D328,素材!$1:$1016,COLUMN($E$1),FALSE),0),"")</f>
        <v/>
      </c>
      <c r="K328" t="str">
        <f>IFERROR(ROUNDDOWN((VLOOKUP($C328,装備品!$1:$998,COLUMN(I$1),FALSE)+IFERROR(VLOOKUP($CI328,付与!$1:$1167,COLUMN(K$1),FALSE),0))*VLOOKUP($D328,素材!$1:$1016,COLUMN($E$1),FALSE),0),"")</f>
        <v/>
      </c>
      <c r="L328" t="str">
        <f>IFERROR(VLOOKUP($D328,素材!$1:$1016,COLUMN($F$1),FALSE),"")</f>
        <v/>
      </c>
      <c r="M328" t="str">
        <f>IFERROR(VLOOKUP($C328,装備品!$1:$998,COLUMN(AA$1),FALSE)*VLOOKUP($D328,素材!$1:$1016,COLUMN($G$1),FALSE),"")</f>
        <v/>
      </c>
      <c r="N328" t="str">
        <f>IFERROR(VLOOKUP($C328,装備品!$1:$998,COLUMN(I$1),FALSE),"")</f>
        <v/>
      </c>
      <c r="O328" s="23" t="str">
        <f>IFERROR((VLOOKUP($C328,装備品!$1:$998,COLUMN(K$1),FALSE)+VLOOKUP($D328,素材!$1:$1016,COLUMN(H$1),FALSE))*100+IFERROR(VLOOKUP($CI328,付与!$1:$1167,COLUMN(O$1),FALSE),0),"")</f>
        <v/>
      </c>
      <c r="P328" s="23" t="str">
        <f>IFERROR((VLOOKUP($C328,装備品!$1:$998,COLUMN(L$1),FALSE)+VLOOKUP($D328,素材!$1:$1016,COLUMN(I$1),FALSE))*100+IFERROR(VLOOKUP($CI328,付与!$1:$1167,COLUMN(P$1),FALSE),0),"")</f>
        <v/>
      </c>
      <c r="Q328" t="str">
        <f>IFERROR(ROUNDUP(VLOOKUP($C328,装備品!$1:$998,COLUMN(M$1),FALSE)*(VLOOKUP($D328,素材!$1:$1002,COLUMN(D$1),FALSE)/100),1),"")</f>
        <v/>
      </c>
      <c r="R328" t="str">
        <f>IFERROR(ROUNDUP(VLOOKUP($C328,装備品!$1:$998,COLUMN(N$1),FALSE)*(VLOOKUP($D328,素材!$1:$1002,COLUMN(D$1),FALSE)/100),1),"")</f>
        <v/>
      </c>
      <c r="S328" t="str">
        <f>IFERROR(VLOOKUP($C328,装備品!$1:$998,COLUMN(P$1),FALSE),"")</f>
        <v/>
      </c>
      <c r="T328" t="str">
        <f>IFERROR(VLOOKUP($C328,装備品!$1:$998,COLUMN(Q$1),FALSE),"")</f>
        <v/>
      </c>
      <c r="U328" t="str">
        <f>IFERROR(VLOOKUP($C328,装備品!$1:$998,COLUMN(R$1),FALSE),"")</f>
        <v/>
      </c>
      <c r="V328" t="str">
        <f>IFERROR(VLOOKUP($C328,装備品!$1:$998,COLUMN(Q$1),FALSE),"")</f>
        <v/>
      </c>
      <c r="W328" t="str">
        <f>IFERROR(VLOOKUP($C328,装備品!$1:$998,COLUMN(T$1),FALSE),"")</f>
        <v/>
      </c>
      <c r="Y328" t="str">
        <f>IFERROR(VLOOKUP($C328,装備品!$1:$998,COLUMN(U$1),FALSE),"")</f>
        <v/>
      </c>
      <c r="Z328" t="str">
        <f>IFERROR(ROUNDUP(VLOOKUP($C328,装備品!$1:$998,COLUMN(O$1),FALSE)*VLOOKUP($D328,素材!$1:$1016,COLUMN(E$1),FALSE),1),"")</f>
        <v/>
      </c>
      <c r="AA328">
        <f>IF(ISNUMBER(SEARCH(SUBSTITUTE(AA$1,RIGHT(AA$1,2),""),VLOOKUP($D328,素材!$1:$1016,COLUMN($F$1),FALSE))),VLOOKUP($C328,装備品!$1:$998,COLUMN($O$1),FALSE)*VLOOKUP($D328,素材!$1:$1016,COLUMN($E$1),FALSE)/(LEN(VLOOKUP($D328,素材!$1:$1016,COLUMN($F$1),FALSE))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B328">
        <f>IF(ISNUMBER(SEARCH(SUBSTITUTE(AB$1,RIGHT(AB$1,2),""),VLOOKUP($D328,素材!$1:$1016,COLUMN($F$1),FALSE))),VLOOKUP($C328,装備品!$1:$998,COLUMN($O$1),FALSE)*VLOOKUP($D328,素材!$1:$1016,COLUMN($E$1),FALSE)/(LEN(VLOOKUP($D328,素材!$1:$1016,COLUMN($F$1),FALSE))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C328">
        <f>IF(ISNUMBER(SEARCH(SUBSTITUTE(AC$1,RIGHT(AC$1,2),""),VLOOKUP($D328,素材!$1:$1016,COLUMN($F$1),FALSE))),VLOOKUP($C328,装備品!$1:$998,COLUMN($O$1),FALSE)*VLOOKUP($D328,素材!$1:$1016,COLUMN($E$1),FALSE)/(LEN(VLOOKUP($D328,素材!$1:$1016,COLUMN($F$1),FALSE))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D328">
        <f>IF(ISNUMBER(SEARCH(SUBSTITUTE(AD$1,RIGHT(AD$1,2),""),VLOOKUP($D328,素材!$1:$1016,COLUMN($F$1),FALSE))),VLOOKUP($C328,装備品!$1:$998,COLUMN($O$1),FALSE)*VLOOKUP($D328,素材!$1:$1016,COLUMN($E$1),FALSE)/(LEN(VLOOKUP($D328,素材!$1:$1016,COLUMN($F$1),FALSE))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E328">
        <f>IF(ISNUMBER(SEARCH(SUBSTITUTE(AE$1,RIGHT(AE$1,2),""),VLOOKUP($D328,素材!$1:$1016,COLUMN($F$1),FALSE))),VLOOKUP($C328,装備品!$1:$998,COLUMN($O$1),FALSE)*VLOOKUP($D328,素材!$1:$1016,COLUMN($E$1),FALSE)/(LEN(VLOOKUP($D328,素材!$1:$1016,COLUMN($F$1),FALSE))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F328">
        <f>IF(ISNUMBER(SEARCH(SUBSTITUTE(AF$1,RIGHT(AF$1,2),""),VLOOKUP($D328,素材!$1:$1016,COLUMN($F$1),FALSE))),VLOOKUP($C328,装備品!$1:$998,COLUMN($O$1),FALSE)*VLOOKUP($D328,素材!$1:$1016,COLUMN($E$1),FALSE)/(LEN(VLOOKUP($D328,素材!$1:$1016,COLUMN($F$1),FALSE))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G328">
        <f>IF(ISNUMBER(SEARCH(SUBSTITUTE(AG$1,RIGHT(AG$1,2),""),VLOOKUP($D328,素材!$1:$1016,COLUMN($F$1),FALSE))),VLOOKUP($C328,装備品!$1:$998,COLUMN($O$1),FALSE)*VLOOKUP($D328,素材!$1:$1016,COLUMN($E$1),FALSE)/(LEN(VLOOKUP($D328,素材!$1:$1016,COLUMN($F$1),FALSE))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H328">
        <f>IF(ISNUMBER(SEARCH(SUBSTITUTE(AH$1,RIGHT(AH$1,2),""),VLOOKUP($D328,素材!$1:$1016,COLUMN($F$1),FALSE))),VLOOKUP($C328,装備品!$1:$998,COLUMN($O$1),FALSE)*VLOOKUP($D328,素材!$1:$1016,COLUMN($E$1),FALSE)/(LEN(VLOOKUP($D328,素材!$1:$1016,COLUMN($F$1),FALSE))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I328">
        <f>IF(ISNUMBER(SEARCH(SUBSTITUTE(AI$1,RIGHT(AI$1,2),""),VLOOKUP($D328,素材!$1:$1016,COLUMN($F$1),FALSE))),VLOOKUP($C328,装備品!$1:$998,COLUMN($O$1),FALSE)*VLOOKUP($D328,素材!$1:$1016,COLUMN($E$1),FALSE)/(LEN(VLOOKUP($D328,素材!$1:$1016,COLUMN($F$1),FALSE))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J328">
        <f>IF(ISNUMBER(SEARCH(SUBSTITUTE(AJ$1,RIGHT(AJ$1,2),""),VLOOKUP($D328,素材!$1:$1016,COLUMN($F$1),FALSE))),VLOOKUP($C328,装備品!$1:$998,COLUMN($O$1),FALSE)*VLOOKUP($D328,素材!$1:$1016,COLUMN($E$1),FALSE)/(LEN(VLOOKUP($D328,素材!$1:$1016,COLUMN($F$1),FALSE))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K328">
        <f>IF(ISNUMBER(SEARCH(SUBSTITUTE(AK$1,RIGHT(AK$1,2),""),VLOOKUP($D328,素材!$1:$1016,COLUMN($F$1),FALSE))),VLOOKUP($C328,装備品!$1:$998,COLUMN($O$1),FALSE)*VLOOKUP($D328,素材!$1:$1016,COLUMN($E$1),FALSE)/(LEN(VLOOKUP($D328,素材!$1:$1016,COLUMN($F$1),FALSE))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L328">
        <f>IF(ISNUMBER(SEARCH(SUBSTITUTE(AL$1,RIGHT(AL$1,2),""),VLOOKUP($D328,素材!$1:$1016,COLUMN($F$1),FALSE))),VLOOKUP($C328,装備品!$1:$998,COLUMN($O$1),FALSE)*VLOOKUP($D328,素材!$1:$1016,COLUMN($E$1),FALSE)/(LEN(VLOOKUP($D328,素材!$1:$1016,COLUMN($F$1),FALSE))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M328">
        <f>IF(ISNUMBER(SEARCH(SUBSTITUTE(AM$1,RIGHT(AM$1,2),""),VLOOKUP($D328,素材!$1:$1016,COLUMN($F$1),FALSE))),VLOOKUP($C328,装備品!$1:$998,COLUMN($O$1),FALSE)*VLOOKUP($D328,素材!$1:$1016,COLUMN($E$1),FALSE)/(LEN(VLOOKUP($D328,素材!$1:$1016,COLUMN($F$1),FALSE))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N328">
        <f>IF(ISNUMBER(SEARCH(SUBSTITUTE(AN$1,RIGHT(AN$1,2),""),VLOOKUP($D328,素材!$1:$1016,COLUMN($F$1),FALSE))),VLOOKUP($C328,装備品!$1:$998,COLUMN($O$1),FALSE)*VLOOKUP($D328,素材!$1:$1016,COLUMN($E$1),FALSE)/(LEN(VLOOKUP($D328,素材!$1:$1016,COLUMN($F$1),FALSE))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O328">
        <f>IF(ISNUMBER(SEARCH(SUBSTITUTE(AO$1,RIGHT(AO$1,2),""),VLOOKUP($D328,素材!$1:$1016,COLUMN($F$1),FALSE))),VLOOKUP($C328,装備品!$1:$998,COLUMN($O$1),FALSE)*VLOOKUP($D328,素材!$1:$1016,COLUMN($E$1),FALSE)/(LEN(VLOOKUP($D328,素材!$1:$1016,COLUMN($F$1),FALSE))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P328">
        <f>IF(ISNUMBER(SEARCH(SUBSTITUTE(AP$1,RIGHT(AP$1,2),""),VLOOKUP($D328,素材!$1:$1016,COLUMN($F$1),FALSE))),VLOOKUP($C328,装備品!$1:$998,COLUMN($O$1),FALSE)*VLOOKUP($D328,素材!$1:$1016,COLUMN($E$1),FALSE)/(LEN(VLOOKUP($D328,素材!$1:$1016,COLUMN($F$1),FALSE))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Q328">
        <f>IF(ISNUMBER(SEARCH(SUBSTITUTE(AQ$1,RIGHT(AQ$1,2),""),VLOOKUP($D328,素材!$1:$1016,COLUMN($F$1),FALSE))),VLOOKUP($C328,装備品!$1:$998,COLUMN($O$1),FALSE)*VLOOKUP($D328,素材!$1:$1016,COLUMN($E$1),FALSE)/(LEN(VLOOKUP($D328,素材!$1:$1016,COLUMN($F$1),FALSE))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R328">
        <f>IF(ISNUMBER(SEARCH(SUBSTITUTE(AR$1,RIGHT(AR$1,2),""),VLOOKUP($D328,素材!$1:$1016,COLUMN($F$1),FALSE))),VLOOKUP($C328,装備品!$1:$998,COLUMN($O$1),FALSE)*VLOOKUP($D328,素材!$1:$1016,COLUMN($E$1),FALSE)/(LEN(VLOOKUP($D328,素材!$1:$1016,COLUMN($F$1),FALSE))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S328">
        <f>IF(ISNUMBER(SEARCH(SUBSTITUTE(AS$1,RIGHT(AS$1,2),""),VLOOKUP($D328,素材!$1:$1016,COLUMN($F$1),FALSE))),VLOOKUP($C328,装備品!$1:$998,COLUMN($O$1),FALSE)*VLOOKUP($D328,素材!$1:$1016,COLUMN($E$1),FALSE)/(LEN(VLOOKUP($D328,素材!$1:$1016,COLUMN($F$1),FALSE))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T328">
        <f>IF(ISNUMBER(SEARCH(SUBSTITUTE(AT$1,RIGHT(AT$1,2),""),VLOOKUP($D328,素材!$1:$1016,COLUMN($F$1),FALSE))),VLOOKUP($C328,装備品!$1:$998,COLUMN($O$1),FALSE)*VLOOKUP($D328,素材!$1:$1016,COLUMN($E$1),FALSE)/(LEN(VLOOKUP($D328,素材!$1:$1016,COLUMN($F$1),FALSE))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U328">
        <f>IF(ISNUMBER(SEARCH(SUBSTITUTE(AU$1,RIGHT(AU$1,2),""),VLOOKUP($D328,素材!$1:$1016,COLUMN($F$1),FALSE))),VLOOKUP($C328,装備品!$1:$998,COLUMN($O$1),FALSE)*VLOOKUP($D328,素材!$1:$1016,COLUMN($E$1),FALSE)/(LEN(VLOOKUP($D328,素材!$1:$1016,COLUMN($F$1),FALSE))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V328">
        <f>IF(ISNUMBER(SEARCH(SUBSTITUTE(AV$1,RIGHT(AV$1,2),""),VLOOKUP($D328,素材!$1:$1016,COLUMN($F$1),FALSE))),VLOOKUP($C328,装備品!$1:$998,COLUMN($O$1),FALSE)*VLOOKUP($D328,素材!$1:$1016,COLUMN($E$1),FALSE)/(LEN(VLOOKUP($D328,素材!$1:$1016,COLUMN($F$1),FALSE))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W328">
        <f>IF(ISNUMBER(SEARCH(SUBSTITUTE(AW$1,RIGHT(AW$1,2),""),VLOOKUP($D328,素材!$1:$1016,COLUMN($F$1),FALSE))),VLOOKUP($C328,装備品!$1:$998,COLUMN($O$1),FALSE)*VLOOKUP($D328,素材!$1:$1016,COLUMN($E$1),FALSE)/(LEN(VLOOKUP($D328,素材!$1:$1016,COLUMN($F$1),FALSE))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X328">
        <f>IF(ISNUMBER(SEARCH(SUBSTITUTE(AX$1,RIGHT(AX$1,2),""),VLOOKUP($D328,素材!$1:$1016,COLUMN($F$1),FALSE))),VLOOKUP($C328,装備品!$1:$998,COLUMN($O$1),FALSE)*VLOOKUP($D328,素材!$1:$1016,COLUMN($E$1),FALSE)/(LEN(VLOOKUP($D328,素材!$1:$1016,COLUMN($F$1),FALSE))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Y328">
        <f>IF(ISNUMBER(SEARCH(SUBSTITUTE(AY$1,RIGHT(AY$1,2),""),VLOOKUP($D328,素材!$1:$1016,COLUMN($F$1),FALSE))),VLOOKUP($C328,装備品!$1:$998,COLUMN($O$1),FALSE)*VLOOKUP($D328,素材!$1:$1016,COLUMN($E$1),FALSE)/(LEN(VLOOKUP($D328,素材!$1:$1016,COLUMN($F$1),FALSE))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Z328">
        <f>IF(ISNUMBER(SEARCH(SUBSTITUTE(AZ$1,RIGHT(AZ$1,2),""),VLOOKUP($D328,素材!$1:$1016,COLUMN($F$1),FALSE))),VLOOKUP($C328,装備品!$1:$998,COLUMN($O$1),FALSE)*VLOOKUP($D328,素材!$1:$1016,COLUMN($E$1),FALSE)/(LEN(VLOOKUP($D328,素材!$1:$1016,COLUMN($F$1),FALSE))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BA328">
        <f>IF(ISNUMBER(SEARCH(SUBSTITUTE(BA$1,RIGHT(BA$1,2),""),VLOOKUP($D328,素材!$1:$1016,COLUMN($F$1),FALSE))),VLOOKUP($C328,装備品!$1:$998,COLUMN($O$1),FALSE)*VLOOKUP($D328,素材!$1:$1016,COLUMN($E$1),FALSE)/(LEN(VLOOKUP($D328,素材!$1:$1016,COLUMN($F$1),FALSE))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BB328">
        <f>IF(ISNUMBER(SEARCH(SUBSTITUTE(BB$1,RIGHT(BB$1,2),""),VLOOKUP($D328,素材!$1:$1016,COLUMN($F$1),FALSE))),VLOOKUP($C328,装備品!$1:$998,COLUMN($O$1),FALSE)*VLOOKUP($D328,素材!$1:$1016,COLUMN($E$1),FALSE)/(LEN(VLOOKUP($D328,素材!$1:$1016,COLUMN($F$1),FALSE))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BC328">
        <f>IF(ISNUMBER(SEARCH(SUBSTITUTE(BC$1,RIGHT(BC$1,2),""),VLOOKUP($D328,素材!$1:$1016,COLUMN($F$1),FALSE))),VLOOKUP($C328,装備品!$1:$998,COLUMN($O$1),FALSE)*VLOOKUP($D328,素材!$1:$1016,COLUMN($E$1),FALSE)/(LEN(VLOOKUP($D328,素材!$1:$1016,COLUMN($F$1),FALSE))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BD328">
        <f>IF(ISNUMBER(SEARCH(SUBSTITUTE(BD$1,RIGHT(BD$1,2),""),VLOOKUP($D328,素材!$1:$1016,COLUMN($F$1),FALSE))),VLOOKUP($C328,装備品!$1:$998,COLUMN($O$1),FALSE)*VLOOKUP($D328,素材!$1:$1016,COLUMN($E$1),FALSE)/(LEN(VLOOKUP($D328,素材!$1:$1016,COLUMN($F$1),FALSE))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BE328">
        <f>IF(ISNUMBER(SEARCH(SUBSTITUTE(BE$1,RIGHT(BE$1,2),""),VLOOKUP($D328,素材!$1:$1016,COLUMN($F$1),FALSE))),VLOOKUP($C328,装備品!$1:$998,COLUMN($O$1),FALSE)*VLOOKUP($D328,素材!$1:$1016,COLUMN($E$1),FALSE)/(LEN(VLOOKUP($D328,素材!$1:$1016,COLUMN($F$1),FALSE))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CL328">
        <f t="shared" si="47"/>
        <v>0</v>
      </c>
      <c r="CM328" s="22" t="str">
        <f t="shared" si="48"/>
        <v>.webp</v>
      </c>
      <c r="CN328" t="str">
        <f>IFERROR(VLOOKUP($C328,装備品!$1:$998,COLUMN(V$1),FALSE)*VLOOKUP($D328,素材!$1:$1016,COLUMN(N$1),FALSE)+IF(CI328="",0,VLOOKUP($CI328,付与!$1:$1176,COLUMN($CK$1),FALSE)),"")</f>
        <v/>
      </c>
      <c r="CO328" t="e">
        <f>VLOOKUP(D328,素材!$A:$O,COLUMN(素材!O$1),FALSE)</f>
        <v>#N/A</v>
      </c>
      <c r="CP328" t="e">
        <f>VLOOKUP(C328,装備品!$A:$AB,COLUMN(装備品!AB$1),FALSE)</f>
        <v>#N/A</v>
      </c>
      <c r="CR328" t="str">
        <f t="shared" si="43"/>
        <v>e_328</v>
      </c>
      <c r="CS328" t="e">
        <f t="shared" si="44"/>
        <v>#VALUE!</v>
      </c>
    </row>
    <row r="329" spans="1:97" hidden="1" outlineLevel="1" x14ac:dyDescent="0.4">
      <c r="A329" t="str">
        <f t="shared" si="46"/>
        <v>の</v>
      </c>
      <c r="B329" t="str">
        <f>IFERROR(IF(CI329="",VLOOKUP($D329,素材!$1:$1016,COLUMN($B$1),FALSE)&amp;"・"&amp;VLOOKUP($C329,装備品!$1:$998,COLUMN(B$1),FALSE),VLOOKUP($CI329,付与!$1:$1176,COLUMN($B$1),FALSE)&amp;"・"&amp;VLOOKUP($C329,装備品!$1:$998,COLUMN(B$1),FALSE)),"")</f>
        <v/>
      </c>
      <c r="C329" s="24"/>
      <c r="D329" s="24"/>
      <c r="E329" t="str">
        <f>IFERROR(VLOOKUP(C329,装備品!$1:$998,COLUMN(C$1),FALSE),"")</f>
        <v/>
      </c>
      <c r="F329" t="str">
        <f>IFERROR(ROUNDDOWN((VLOOKUP($C329,装備品!$1:$998,COLUMN(D$1),FALSE)+IFERROR(VLOOKUP($CI329,付与!$1:$1167,COLUMN(F$1),FALSE),0))*VLOOKUP($D329,素材!$1:$1016,COLUMN(D$1),FALSE),0),"")</f>
        <v/>
      </c>
      <c r="G329" t="str">
        <f>IFERROR(ROUNDDOWN((VLOOKUP($C329,装備品!$1:$998,COLUMN(E$1),FALSE)+IFERROR(VLOOKUP($CI329,付与!$1:$1167,COLUMN(G$1),FALSE),0))*VLOOKUP($D329,素材!$1:$1016,COLUMN($E$1),FALSE),0),"")</f>
        <v/>
      </c>
      <c r="H329" t="str">
        <f>IFERROR(ROUNDDOWN((VLOOKUP($C329,装備品!$1:$998,COLUMN(F$1),FALSE)+IFERROR(VLOOKUP($CI329,付与!$1:$1167,COLUMN(H$1),FALSE),0))*VLOOKUP($D329,素材!$1:$1016,COLUMN($E$1),FALSE),0),"")</f>
        <v/>
      </c>
      <c r="I329" t="str">
        <f>IFERROR(ROUNDDOWN((VLOOKUP($C329,装備品!$1:$998,COLUMN(G$1),FALSE)+IFERROR(VLOOKUP($CI329,付与!$1:$1167,COLUMN(I$1),FALSE),0))*VLOOKUP($D329,素材!$1:$1016,COLUMN($E$1),FALSE),0),"")</f>
        <v/>
      </c>
      <c r="J329" t="str">
        <f>IFERROR(ROUNDDOWN((VLOOKUP($C329,装備品!$1:$998,COLUMN(H$1),FALSE)+IFERROR(VLOOKUP($CI329,付与!$1:$1167,COLUMN(J$1),FALSE),0))*VLOOKUP($D329,素材!$1:$1016,COLUMN($E$1),FALSE),0),"")</f>
        <v/>
      </c>
      <c r="K329" t="str">
        <f>IFERROR(ROUNDDOWN((VLOOKUP($C329,装備品!$1:$998,COLUMN(I$1),FALSE)+IFERROR(VLOOKUP($CI329,付与!$1:$1167,COLUMN(K$1),FALSE),0))*VLOOKUP($D329,素材!$1:$1016,COLUMN($E$1),FALSE),0),"")</f>
        <v/>
      </c>
      <c r="L329" t="str">
        <f>IFERROR(VLOOKUP($D329,素材!$1:$1016,COLUMN($F$1),FALSE),"")</f>
        <v/>
      </c>
      <c r="M329" t="str">
        <f>IFERROR(VLOOKUP($C329,装備品!$1:$998,COLUMN(AA$1),FALSE)*VLOOKUP($D329,素材!$1:$1016,COLUMN($G$1),FALSE),"")</f>
        <v/>
      </c>
      <c r="N329" t="str">
        <f>IFERROR(VLOOKUP($C329,装備品!$1:$998,COLUMN(I$1),FALSE),"")</f>
        <v/>
      </c>
      <c r="O329" s="23" t="str">
        <f>IFERROR((VLOOKUP($C329,装備品!$1:$998,COLUMN(K$1),FALSE)+VLOOKUP($D329,素材!$1:$1016,COLUMN(H$1),FALSE))*100+IFERROR(VLOOKUP($CI329,付与!$1:$1167,COLUMN(O$1),FALSE),0),"")</f>
        <v/>
      </c>
      <c r="P329" s="23" t="str">
        <f>IFERROR((VLOOKUP($C329,装備品!$1:$998,COLUMN(L$1),FALSE)+VLOOKUP($D329,素材!$1:$1016,COLUMN(I$1),FALSE))*100+IFERROR(VLOOKUP($CI329,付与!$1:$1167,COLUMN(P$1),FALSE),0),"")</f>
        <v/>
      </c>
      <c r="Q329" t="str">
        <f>IFERROR(ROUNDUP(VLOOKUP($C329,装備品!$1:$998,COLUMN(M$1),FALSE)*(VLOOKUP($D329,素材!$1:$1002,COLUMN(D$1),FALSE)/100),1),"")</f>
        <v/>
      </c>
      <c r="R329" t="str">
        <f>IFERROR(ROUNDUP(VLOOKUP($C329,装備品!$1:$998,COLUMN(N$1),FALSE)*(VLOOKUP($D329,素材!$1:$1002,COLUMN(D$1),FALSE)/100),1),"")</f>
        <v/>
      </c>
      <c r="S329" t="str">
        <f>IFERROR(VLOOKUP($C329,装備品!$1:$998,COLUMN(P$1),FALSE),"")</f>
        <v/>
      </c>
      <c r="T329" t="str">
        <f>IFERROR(VLOOKUP($C329,装備品!$1:$998,COLUMN(Q$1),FALSE),"")</f>
        <v/>
      </c>
      <c r="U329" t="str">
        <f>IFERROR(VLOOKUP($C329,装備品!$1:$998,COLUMN(R$1),FALSE),"")</f>
        <v/>
      </c>
      <c r="V329" t="str">
        <f>IFERROR(VLOOKUP($C329,装備品!$1:$998,COLUMN(Q$1),FALSE),"")</f>
        <v/>
      </c>
      <c r="W329" t="str">
        <f>IFERROR(VLOOKUP($C329,装備品!$1:$998,COLUMN(T$1),FALSE),"")</f>
        <v/>
      </c>
      <c r="Y329" t="str">
        <f>IFERROR(VLOOKUP($C329,装備品!$1:$998,COLUMN(U$1),FALSE),"")</f>
        <v/>
      </c>
      <c r="Z329" t="str">
        <f>IFERROR(ROUNDUP(VLOOKUP($C329,装備品!$1:$998,COLUMN(O$1),FALSE)*VLOOKUP($D329,素材!$1:$1016,COLUMN(E$1),FALSE),1),"")</f>
        <v/>
      </c>
      <c r="AA329">
        <f>IF(ISNUMBER(SEARCH(SUBSTITUTE(AA$1,RIGHT(AA$1,2),""),VLOOKUP($D329,素材!$1:$1016,COLUMN($F$1),FALSE))),VLOOKUP($C329,装備品!$1:$998,COLUMN($O$1),FALSE)*VLOOKUP($D329,素材!$1:$1016,COLUMN($E$1),FALSE)/(LEN(VLOOKUP($D329,素材!$1:$1016,COLUMN($F$1),FALSE))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B329">
        <f>IF(ISNUMBER(SEARCH(SUBSTITUTE(AB$1,RIGHT(AB$1,2),""),VLOOKUP($D329,素材!$1:$1016,COLUMN($F$1),FALSE))),VLOOKUP($C329,装備品!$1:$998,COLUMN($O$1),FALSE)*VLOOKUP($D329,素材!$1:$1016,COLUMN($E$1),FALSE)/(LEN(VLOOKUP($D329,素材!$1:$1016,COLUMN($F$1),FALSE))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C329">
        <f>IF(ISNUMBER(SEARCH(SUBSTITUTE(AC$1,RIGHT(AC$1,2),""),VLOOKUP($D329,素材!$1:$1016,COLUMN($F$1),FALSE))),VLOOKUP($C329,装備品!$1:$998,COLUMN($O$1),FALSE)*VLOOKUP($D329,素材!$1:$1016,COLUMN($E$1),FALSE)/(LEN(VLOOKUP($D329,素材!$1:$1016,COLUMN($F$1),FALSE))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D329">
        <f>IF(ISNUMBER(SEARCH(SUBSTITUTE(AD$1,RIGHT(AD$1,2),""),VLOOKUP($D329,素材!$1:$1016,COLUMN($F$1),FALSE))),VLOOKUP($C329,装備品!$1:$998,COLUMN($O$1),FALSE)*VLOOKUP($D329,素材!$1:$1016,COLUMN($E$1),FALSE)/(LEN(VLOOKUP($D329,素材!$1:$1016,COLUMN($F$1),FALSE))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E329">
        <f>IF(ISNUMBER(SEARCH(SUBSTITUTE(AE$1,RIGHT(AE$1,2),""),VLOOKUP($D329,素材!$1:$1016,COLUMN($F$1),FALSE))),VLOOKUP($C329,装備品!$1:$998,COLUMN($O$1),FALSE)*VLOOKUP($D329,素材!$1:$1016,COLUMN($E$1),FALSE)/(LEN(VLOOKUP($D329,素材!$1:$1016,COLUMN($F$1),FALSE))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F329">
        <f>IF(ISNUMBER(SEARCH(SUBSTITUTE(AF$1,RIGHT(AF$1,2),""),VLOOKUP($D329,素材!$1:$1016,COLUMN($F$1),FALSE))),VLOOKUP($C329,装備品!$1:$998,COLUMN($O$1),FALSE)*VLOOKUP($D329,素材!$1:$1016,COLUMN($E$1),FALSE)/(LEN(VLOOKUP($D329,素材!$1:$1016,COLUMN($F$1),FALSE))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G329">
        <f>IF(ISNUMBER(SEARCH(SUBSTITUTE(AG$1,RIGHT(AG$1,2),""),VLOOKUP($D329,素材!$1:$1016,COLUMN($F$1),FALSE))),VLOOKUP($C329,装備品!$1:$998,COLUMN($O$1),FALSE)*VLOOKUP($D329,素材!$1:$1016,COLUMN($E$1),FALSE)/(LEN(VLOOKUP($D329,素材!$1:$1016,COLUMN($F$1),FALSE))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H329">
        <f>IF(ISNUMBER(SEARCH(SUBSTITUTE(AH$1,RIGHT(AH$1,2),""),VLOOKUP($D329,素材!$1:$1016,COLUMN($F$1),FALSE))),VLOOKUP($C329,装備品!$1:$998,COLUMN($O$1),FALSE)*VLOOKUP($D329,素材!$1:$1016,COLUMN($E$1),FALSE)/(LEN(VLOOKUP($D329,素材!$1:$1016,COLUMN($F$1),FALSE))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I329">
        <f>IF(ISNUMBER(SEARCH(SUBSTITUTE(AI$1,RIGHT(AI$1,2),""),VLOOKUP($D329,素材!$1:$1016,COLUMN($F$1),FALSE))),VLOOKUP($C329,装備品!$1:$998,COLUMN($O$1),FALSE)*VLOOKUP($D329,素材!$1:$1016,COLUMN($E$1),FALSE)/(LEN(VLOOKUP($D329,素材!$1:$1016,COLUMN($F$1),FALSE))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J329">
        <f>IF(ISNUMBER(SEARCH(SUBSTITUTE(AJ$1,RIGHT(AJ$1,2),""),VLOOKUP($D329,素材!$1:$1016,COLUMN($F$1),FALSE))),VLOOKUP($C329,装備品!$1:$998,COLUMN($O$1),FALSE)*VLOOKUP($D329,素材!$1:$1016,COLUMN($E$1),FALSE)/(LEN(VLOOKUP($D329,素材!$1:$1016,COLUMN($F$1),FALSE))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K329">
        <f>IF(ISNUMBER(SEARCH(SUBSTITUTE(AK$1,RIGHT(AK$1,2),""),VLOOKUP($D329,素材!$1:$1016,COLUMN($F$1),FALSE))),VLOOKUP($C329,装備品!$1:$998,COLUMN($O$1),FALSE)*VLOOKUP($D329,素材!$1:$1016,COLUMN($E$1),FALSE)/(LEN(VLOOKUP($D329,素材!$1:$1016,COLUMN($F$1),FALSE))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L329">
        <f>IF(ISNUMBER(SEARCH(SUBSTITUTE(AL$1,RIGHT(AL$1,2),""),VLOOKUP($D329,素材!$1:$1016,COLUMN($F$1),FALSE))),VLOOKUP($C329,装備品!$1:$998,COLUMN($O$1),FALSE)*VLOOKUP($D329,素材!$1:$1016,COLUMN($E$1),FALSE)/(LEN(VLOOKUP($D329,素材!$1:$1016,COLUMN($F$1),FALSE))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M329">
        <f>IF(ISNUMBER(SEARCH(SUBSTITUTE(AM$1,RIGHT(AM$1,2),""),VLOOKUP($D329,素材!$1:$1016,COLUMN($F$1),FALSE))),VLOOKUP($C329,装備品!$1:$998,COLUMN($O$1),FALSE)*VLOOKUP($D329,素材!$1:$1016,COLUMN($E$1),FALSE)/(LEN(VLOOKUP($D329,素材!$1:$1016,COLUMN($F$1),FALSE))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N329">
        <f>IF(ISNUMBER(SEARCH(SUBSTITUTE(AN$1,RIGHT(AN$1,2),""),VLOOKUP($D329,素材!$1:$1016,COLUMN($F$1),FALSE))),VLOOKUP($C329,装備品!$1:$998,COLUMN($O$1),FALSE)*VLOOKUP($D329,素材!$1:$1016,COLUMN($E$1),FALSE)/(LEN(VLOOKUP($D329,素材!$1:$1016,COLUMN($F$1),FALSE))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O329">
        <f>IF(ISNUMBER(SEARCH(SUBSTITUTE(AO$1,RIGHT(AO$1,2),""),VLOOKUP($D329,素材!$1:$1016,COLUMN($F$1),FALSE))),VLOOKUP($C329,装備品!$1:$998,COLUMN($O$1),FALSE)*VLOOKUP($D329,素材!$1:$1016,COLUMN($E$1),FALSE)/(LEN(VLOOKUP($D329,素材!$1:$1016,COLUMN($F$1),FALSE))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P329">
        <f>IF(ISNUMBER(SEARCH(SUBSTITUTE(AP$1,RIGHT(AP$1,2),""),VLOOKUP($D329,素材!$1:$1016,COLUMN($F$1),FALSE))),VLOOKUP($C329,装備品!$1:$998,COLUMN($O$1),FALSE)*VLOOKUP($D329,素材!$1:$1016,COLUMN($E$1),FALSE)/(LEN(VLOOKUP($D329,素材!$1:$1016,COLUMN($F$1),FALSE))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Q329">
        <f>IF(ISNUMBER(SEARCH(SUBSTITUTE(AQ$1,RIGHT(AQ$1,2),""),VLOOKUP($D329,素材!$1:$1016,COLUMN($F$1),FALSE))),VLOOKUP($C329,装備品!$1:$998,COLUMN($O$1),FALSE)*VLOOKUP($D329,素材!$1:$1016,COLUMN($E$1),FALSE)/(LEN(VLOOKUP($D329,素材!$1:$1016,COLUMN($F$1),FALSE))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R329">
        <f>IF(ISNUMBER(SEARCH(SUBSTITUTE(AR$1,RIGHT(AR$1,2),""),VLOOKUP($D329,素材!$1:$1016,COLUMN($F$1),FALSE))),VLOOKUP($C329,装備品!$1:$998,COLUMN($O$1),FALSE)*VLOOKUP($D329,素材!$1:$1016,COLUMN($E$1),FALSE)/(LEN(VLOOKUP($D329,素材!$1:$1016,COLUMN($F$1),FALSE))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S329">
        <f>IF(ISNUMBER(SEARCH(SUBSTITUTE(AS$1,RIGHT(AS$1,2),""),VLOOKUP($D329,素材!$1:$1016,COLUMN($F$1),FALSE))),VLOOKUP($C329,装備品!$1:$998,COLUMN($O$1),FALSE)*VLOOKUP($D329,素材!$1:$1016,COLUMN($E$1),FALSE)/(LEN(VLOOKUP($D329,素材!$1:$1016,COLUMN($F$1),FALSE))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T329">
        <f>IF(ISNUMBER(SEARCH(SUBSTITUTE(AT$1,RIGHT(AT$1,2),""),VLOOKUP($D329,素材!$1:$1016,COLUMN($F$1),FALSE))),VLOOKUP($C329,装備品!$1:$998,COLUMN($O$1),FALSE)*VLOOKUP($D329,素材!$1:$1016,COLUMN($E$1),FALSE)/(LEN(VLOOKUP($D329,素材!$1:$1016,COLUMN($F$1),FALSE))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U329">
        <f>IF(ISNUMBER(SEARCH(SUBSTITUTE(AU$1,RIGHT(AU$1,2),""),VLOOKUP($D329,素材!$1:$1016,COLUMN($F$1),FALSE))),VLOOKUP($C329,装備品!$1:$998,COLUMN($O$1),FALSE)*VLOOKUP($D329,素材!$1:$1016,COLUMN($E$1),FALSE)/(LEN(VLOOKUP($D329,素材!$1:$1016,COLUMN($F$1),FALSE))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V329">
        <f>IF(ISNUMBER(SEARCH(SUBSTITUTE(AV$1,RIGHT(AV$1,2),""),VLOOKUP($D329,素材!$1:$1016,COLUMN($F$1),FALSE))),VLOOKUP($C329,装備品!$1:$998,COLUMN($O$1),FALSE)*VLOOKUP($D329,素材!$1:$1016,COLUMN($E$1),FALSE)/(LEN(VLOOKUP($D329,素材!$1:$1016,COLUMN($F$1),FALSE))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W329">
        <f>IF(ISNUMBER(SEARCH(SUBSTITUTE(AW$1,RIGHT(AW$1,2),""),VLOOKUP($D329,素材!$1:$1016,COLUMN($F$1),FALSE))),VLOOKUP($C329,装備品!$1:$998,COLUMN($O$1),FALSE)*VLOOKUP($D329,素材!$1:$1016,COLUMN($E$1),FALSE)/(LEN(VLOOKUP($D329,素材!$1:$1016,COLUMN($F$1),FALSE))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X329">
        <f>IF(ISNUMBER(SEARCH(SUBSTITUTE(AX$1,RIGHT(AX$1,2),""),VLOOKUP($D329,素材!$1:$1016,COLUMN($F$1),FALSE))),VLOOKUP($C329,装備品!$1:$998,COLUMN($O$1),FALSE)*VLOOKUP($D329,素材!$1:$1016,COLUMN($E$1),FALSE)/(LEN(VLOOKUP($D329,素材!$1:$1016,COLUMN($F$1),FALSE))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Y329">
        <f>IF(ISNUMBER(SEARCH(SUBSTITUTE(AY$1,RIGHT(AY$1,2),""),VLOOKUP($D329,素材!$1:$1016,COLUMN($F$1),FALSE))),VLOOKUP($C329,装備品!$1:$998,COLUMN($O$1),FALSE)*VLOOKUP($D329,素材!$1:$1016,COLUMN($E$1),FALSE)/(LEN(VLOOKUP($D329,素材!$1:$1016,COLUMN($F$1),FALSE))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Z329">
        <f>IF(ISNUMBER(SEARCH(SUBSTITUTE(AZ$1,RIGHT(AZ$1,2),""),VLOOKUP($D329,素材!$1:$1016,COLUMN($F$1),FALSE))),VLOOKUP($C329,装備品!$1:$998,COLUMN($O$1),FALSE)*VLOOKUP($D329,素材!$1:$1016,COLUMN($E$1),FALSE)/(LEN(VLOOKUP($D329,素材!$1:$1016,COLUMN($F$1),FALSE))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BA329">
        <f>IF(ISNUMBER(SEARCH(SUBSTITUTE(BA$1,RIGHT(BA$1,2),""),VLOOKUP($D329,素材!$1:$1016,COLUMN($F$1),FALSE))),VLOOKUP($C329,装備品!$1:$998,COLUMN($O$1),FALSE)*VLOOKUP($D329,素材!$1:$1016,COLUMN($E$1),FALSE)/(LEN(VLOOKUP($D329,素材!$1:$1016,COLUMN($F$1),FALSE))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BB329">
        <f>IF(ISNUMBER(SEARCH(SUBSTITUTE(BB$1,RIGHT(BB$1,2),""),VLOOKUP($D329,素材!$1:$1016,COLUMN($F$1),FALSE))),VLOOKUP($C329,装備品!$1:$998,COLUMN($O$1),FALSE)*VLOOKUP($D329,素材!$1:$1016,COLUMN($E$1),FALSE)/(LEN(VLOOKUP($D329,素材!$1:$1016,COLUMN($F$1),FALSE))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BC329">
        <f>IF(ISNUMBER(SEARCH(SUBSTITUTE(BC$1,RIGHT(BC$1,2),""),VLOOKUP($D329,素材!$1:$1016,COLUMN($F$1),FALSE))),VLOOKUP($C329,装備品!$1:$998,COLUMN($O$1),FALSE)*VLOOKUP($D329,素材!$1:$1016,COLUMN($E$1),FALSE)/(LEN(VLOOKUP($D329,素材!$1:$1016,COLUMN($F$1),FALSE))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BD329">
        <f>IF(ISNUMBER(SEARCH(SUBSTITUTE(BD$1,RIGHT(BD$1,2),""),VLOOKUP($D329,素材!$1:$1016,COLUMN($F$1),FALSE))),VLOOKUP($C329,装備品!$1:$998,COLUMN($O$1),FALSE)*VLOOKUP($D329,素材!$1:$1016,COLUMN($E$1),FALSE)/(LEN(VLOOKUP($D329,素材!$1:$1016,COLUMN($F$1),FALSE))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BE329">
        <f>IF(ISNUMBER(SEARCH(SUBSTITUTE(BE$1,RIGHT(BE$1,2),""),VLOOKUP($D329,素材!$1:$1016,COLUMN($F$1),FALSE))),VLOOKUP($C329,装備品!$1:$998,COLUMN($O$1),FALSE)*VLOOKUP($D329,素材!$1:$1016,COLUMN($E$1),FALSE)/(LEN(VLOOKUP($D329,素材!$1:$1016,COLUMN($F$1),FALSE))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CL329">
        <f t="shared" si="47"/>
        <v>0</v>
      </c>
      <c r="CM329" s="22" t="str">
        <f t="shared" si="48"/>
        <v>.webp</v>
      </c>
      <c r="CN329" t="str">
        <f>IFERROR(VLOOKUP($C329,装備品!$1:$998,COLUMN(V$1),FALSE)*VLOOKUP($D329,素材!$1:$1016,COLUMN(N$1),FALSE)+IF(CI329="",0,VLOOKUP($CI329,付与!$1:$1176,COLUMN($CK$1),FALSE)),"")</f>
        <v/>
      </c>
      <c r="CO329" t="e">
        <f>VLOOKUP(D329,素材!$A:$O,COLUMN(素材!O$1),FALSE)</f>
        <v>#N/A</v>
      </c>
      <c r="CP329" t="e">
        <f>VLOOKUP(C329,装備品!$A:$AB,COLUMN(装備品!AB$1),FALSE)</f>
        <v>#N/A</v>
      </c>
      <c r="CR329" t="str">
        <f t="shared" si="43"/>
        <v>e_329</v>
      </c>
      <c r="CS329" t="e">
        <f t="shared" si="44"/>
        <v>#VALUE!</v>
      </c>
    </row>
    <row r="330" spans="1:97" hidden="1" outlineLevel="1" x14ac:dyDescent="0.4">
      <c r="A330" t="str">
        <f t="shared" si="46"/>
        <v>の</v>
      </c>
      <c r="B330" t="str">
        <f>IFERROR(IF(CI330="",VLOOKUP($D330,素材!$1:$1016,COLUMN($B$1),FALSE)&amp;"・"&amp;VLOOKUP($C330,装備品!$1:$998,COLUMN(B$1),FALSE),VLOOKUP($CI330,付与!$1:$1176,COLUMN($B$1),FALSE)&amp;"・"&amp;VLOOKUP($C330,装備品!$1:$998,COLUMN(B$1),FALSE)),"")</f>
        <v/>
      </c>
      <c r="C330" s="24"/>
      <c r="D330" s="24"/>
      <c r="E330" t="str">
        <f>IFERROR(VLOOKUP(C330,装備品!$1:$998,COLUMN(C$1),FALSE),"")</f>
        <v/>
      </c>
      <c r="F330" t="str">
        <f>IFERROR(ROUNDDOWN((VLOOKUP($C330,装備品!$1:$998,COLUMN(D$1),FALSE)+IFERROR(VLOOKUP($CI330,付与!$1:$1167,COLUMN(F$1),FALSE),0))*VLOOKUP($D330,素材!$1:$1016,COLUMN(D$1),FALSE),0),"")</f>
        <v/>
      </c>
      <c r="G330" t="str">
        <f>IFERROR(ROUNDDOWN((VLOOKUP($C330,装備品!$1:$998,COLUMN(E$1),FALSE)+IFERROR(VLOOKUP($CI330,付与!$1:$1167,COLUMN(G$1),FALSE),0))*VLOOKUP($D330,素材!$1:$1016,COLUMN($E$1),FALSE),0),"")</f>
        <v/>
      </c>
      <c r="H330" t="str">
        <f>IFERROR(ROUNDDOWN((VLOOKUP($C330,装備品!$1:$998,COLUMN(F$1),FALSE)+IFERROR(VLOOKUP($CI330,付与!$1:$1167,COLUMN(H$1),FALSE),0))*VLOOKUP($D330,素材!$1:$1016,COLUMN($E$1),FALSE),0),"")</f>
        <v/>
      </c>
      <c r="I330" t="str">
        <f>IFERROR(ROUNDDOWN((VLOOKUP($C330,装備品!$1:$998,COLUMN(G$1),FALSE)+IFERROR(VLOOKUP($CI330,付与!$1:$1167,COLUMN(I$1),FALSE),0))*VLOOKUP($D330,素材!$1:$1016,COLUMN($E$1),FALSE),0),"")</f>
        <v/>
      </c>
      <c r="J330" t="str">
        <f>IFERROR(ROUNDDOWN((VLOOKUP($C330,装備品!$1:$998,COLUMN(H$1),FALSE)+IFERROR(VLOOKUP($CI330,付与!$1:$1167,COLUMN(J$1),FALSE),0))*VLOOKUP($D330,素材!$1:$1016,COLUMN($E$1),FALSE),0),"")</f>
        <v/>
      </c>
      <c r="K330" t="str">
        <f>IFERROR(ROUNDDOWN((VLOOKUP($C330,装備品!$1:$998,COLUMN(I$1),FALSE)+IFERROR(VLOOKUP($CI330,付与!$1:$1167,COLUMN(K$1),FALSE),0))*VLOOKUP($D330,素材!$1:$1016,COLUMN($E$1),FALSE),0),"")</f>
        <v/>
      </c>
      <c r="L330" t="str">
        <f>IFERROR(VLOOKUP($D330,素材!$1:$1016,COLUMN($F$1),FALSE),"")</f>
        <v/>
      </c>
      <c r="M330" t="str">
        <f>IFERROR(VLOOKUP($C330,装備品!$1:$998,COLUMN(AA$1),FALSE)*VLOOKUP($D330,素材!$1:$1016,COLUMN($G$1),FALSE),"")</f>
        <v/>
      </c>
      <c r="N330" t="str">
        <f>IFERROR(VLOOKUP($C330,装備品!$1:$998,COLUMN(I$1),FALSE),"")</f>
        <v/>
      </c>
      <c r="O330" s="23" t="str">
        <f>IFERROR((VLOOKUP($C330,装備品!$1:$998,COLUMN(K$1),FALSE)+VLOOKUP($D330,素材!$1:$1016,COLUMN(H$1),FALSE))*100+IFERROR(VLOOKUP($CI330,付与!$1:$1167,COLUMN(O$1),FALSE),0),"")</f>
        <v/>
      </c>
      <c r="P330" s="23" t="str">
        <f>IFERROR((VLOOKUP($C330,装備品!$1:$998,COLUMN(L$1),FALSE)+VLOOKUP($D330,素材!$1:$1016,COLUMN(I$1),FALSE))*100+IFERROR(VLOOKUP($CI330,付与!$1:$1167,COLUMN(P$1),FALSE),0),"")</f>
        <v/>
      </c>
      <c r="Q330" t="str">
        <f>IFERROR(ROUNDUP(VLOOKUP($C330,装備品!$1:$998,COLUMN(M$1),FALSE)*(VLOOKUP($D330,素材!$1:$1002,COLUMN(D$1),FALSE)/100),1),"")</f>
        <v/>
      </c>
      <c r="R330" t="str">
        <f>IFERROR(ROUNDUP(VLOOKUP($C330,装備品!$1:$998,COLUMN(N$1),FALSE)*(VLOOKUP($D330,素材!$1:$1002,COLUMN(D$1),FALSE)/100),1),"")</f>
        <v/>
      </c>
      <c r="S330" t="str">
        <f>IFERROR(VLOOKUP($C330,装備品!$1:$998,COLUMN(P$1),FALSE),"")</f>
        <v/>
      </c>
      <c r="T330" t="str">
        <f>IFERROR(VLOOKUP($C330,装備品!$1:$998,COLUMN(Q$1),FALSE),"")</f>
        <v/>
      </c>
      <c r="U330" t="str">
        <f>IFERROR(VLOOKUP($C330,装備品!$1:$998,COLUMN(R$1),FALSE),"")</f>
        <v/>
      </c>
      <c r="V330" t="str">
        <f>IFERROR(VLOOKUP($C330,装備品!$1:$998,COLUMN(Q$1),FALSE),"")</f>
        <v/>
      </c>
      <c r="W330" t="str">
        <f>IFERROR(VLOOKUP($C330,装備品!$1:$998,COLUMN(T$1),FALSE),"")</f>
        <v/>
      </c>
      <c r="Y330" t="str">
        <f>IFERROR(VLOOKUP($C330,装備品!$1:$998,COLUMN(U$1),FALSE),"")</f>
        <v/>
      </c>
      <c r="Z330" t="str">
        <f>IFERROR(ROUNDUP(VLOOKUP($C330,装備品!$1:$998,COLUMN(O$1),FALSE)*VLOOKUP($D330,素材!$1:$1016,COLUMN(E$1),FALSE),1),"")</f>
        <v/>
      </c>
      <c r="AA330">
        <f>IF(ISNUMBER(SEARCH(SUBSTITUTE(AA$1,RIGHT(AA$1,2),""),VLOOKUP($D330,素材!$1:$1016,COLUMN($F$1),FALSE))),VLOOKUP($C330,装備品!$1:$998,COLUMN($O$1),FALSE)*VLOOKUP($D330,素材!$1:$1016,COLUMN($E$1),FALSE)/(LEN(VLOOKUP($D330,素材!$1:$1016,COLUMN($F$1),FALSE))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B330">
        <f>IF(ISNUMBER(SEARCH(SUBSTITUTE(AB$1,RIGHT(AB$1,2),""),VLOOKUP($D330,素材!$1:$1016,COLUMN($F$1),FALSE))),VLOOKUP($C330,装備品!$1:$998,COLUMN($O$1),FALSE)*VLOOKUP($D330,素材!$1:$1016,COLUMN($E$1),FALSE)/(LEN(VLOOKUP($D330,素材!$1:$1016,COLUMN($F$1),FALSE))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C330">
        <f>IF(ISNUMBER(SEARCH(SUBSTITUTE(AC$1,RIGHT(AC$1,2),""),VLOOKUP($D330,素材!$1:$1016,COLUMN($F$1),FALSE))),VLOOKUP($C330,装備品!$1:$998,COLUMN($O$1),FALSE)*VLOOKUP($D330,素材!$1:$1016,COLUMN($E$1),FALSE)/(LEN(VLOOKUP($D330,素材!$1:$1016,COLUMN($F$1),FALSE))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D330">
        <f>IF(ISNUMBER(SEARCH(SUBSTITUTE(AD$1,RIGHT(AD$1,2),""),VLOOKUP($D330,素材!$1:$1016,COLUMN($F$1),FALSE))),VLOOKUP($C330,装備品!$1:$998,COLUMN($O$1),FALSE)*VLOOKUP($D330,素材!$1:$1016,COLUMN($E$1),FALSE)/(LEN(VLOOKUP($D330,素材!$1:$1016,COLUMN($F$1),FALSE))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E330">
        <f>IF(ISNUMBER(SEARCH(SUBSTITUTE(AE$1,RIGHT(AE$1,2),""),VLOOKUP($D330,素材!$1:$1016,COLUMN($F$1),FALSE))),VLOOKUP($C330,装備品!$1:$998,COLUMN($O$1),FALSE)*VLOOKUP($D330,素材!$1:$1016,COLUMN($E$1),FALSE)/(LEN(VLOOKUP($D330,素材!$1:$1016,COLUMN($F$1),FALSE))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F330">
        <f>IF(ISNUMBER(SEARCH(SUBSTITUTE(AF$1,RIGHT(AF$1,2),""),VLOOKUP($D330,素材!$1:$1016,COLUMN($F$1),FALSE))),VLOOKUP($C330,装備品!$1:$998,COLUMN($O$1),FALSE)*VLOOKUP($D330,素材!$1:$1016,COLUMN($E$1),FALSE)/(LEN(VLOOKUP($D330,素材!$1:$1016,COLUMN($F$1),FALSE))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G330">
        <f>IF(ISNUMBER(SEARCH(SUBSTITUTE(AG$1,RIGHT(AG$1,2),""),VLOOKUP($D330,素材!$1:$1016,COLUMN($F$1),FALSE))),VLOOKUP($C330,装備品!$1:$998,COLUMN($O$1),FALSE)*VLOOKUP($D330,素材!$1:$1016,COLUMN($E$1),FALSE)/(LEN(VLOOKUP($D330,素材!$1:$1016,COLUMN($F$1),FALSE))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H330">
        <f>IF(ISNUMBER(SEARCH(SUBSTITUTE(AH$1,RIGHT(AH$1,2),""),VLOOKUP($D330,素材!$1:$1016,COLUMN($F$1),FALSE))),VLOOKUP($C330,装備品!$1:$998,COLUMN($O$1),FALSE)*VLOOKUP($D330,素材!$1:$1016,COLUMN($E$1),FALSE)/(LEN(VLOOKUP($D330,素材!$1:$1016,COLUMN($F$1),FALSE))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I330">
        <f>IF(ISNUMBER(SEARCH(SUBSTITUTE(AI$1,RIGHT(AI$1,2),""),VLOOKUP($D330,素材!$1:$1016,COLUMN($F$1),FALSE))),VLOOKUP($C330,装備品!$1:$998,COLUMN($O$1),FALSE)*VLOOKUP($D330,素材!$1:$1016,COLUMN($E$1),FALSE)/(LEN(VLOOKUP($D330,素材!$1:$1016,COLUMN($F$1),FALSE))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J330">
        <f>IF(ISNUMBER(SEARCH(SUBSTITUTE(AJ$1,RIGHT(AJ$1,2),""),VLOOKUP($D330,素材!$1:$1016,COLUMN($F$1),FALSE))),VLOOKUP($C330,装備品!$1:$998,COLUMN($O$1),FALSE)*VLOOKUP($D330,素材!$1:$1016,COLUMN($E$1),FALSE)/(LEN(VLOOKUP($D330,素材!$1:$1016,COLUMN($F$1),FALSE))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K330">
        <f>IF(ISNUMBER(SEARCH(SUBSTITUTE(AK$1,RIGHT(AK$1,2),""),VLOOKUP($D330,素材!$1:$1016,COLUMN($F$1),FALSE))),VLOOKUP($C330,装備品!$1:$998,COLUMN($O$1),FALSE)*VLOOKUP($D330,素材!$1:$1016,COLUMN($E$1),FALSE)/(LEN(VLOOKUP($D330,素材!$1:$1016,COLUMN($F$1),FALSE))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L330">
        <f>IF(ISNUMBER(SEARCH(SUBSTITUTE(AL$1,RIGHT(AL$1,2),""),VLOOKUP($D330,素材!$1:$1016,COLUMN($F$1),FALSE))),VLOOKUP($C330,装備品!$1:$998,COLUMN($O$1),FALSE)*VLOOKUP($D330,素材!$1:$1016,COLUMN($E$1),FALSE)/(LEN(VLOOKUP($D330,素材!$1:$1016,COLUMN($F$1),FALSE))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M330">
        <f>IF(ISNUMBER(SEARCH(SUBSTITUTE(AM$1,RIGHT(AM$1,2),""),VLOOKUP($D330,素材!$1:$1016,COLUMN($F$1),FALSE))),VLOOKUP($C330,装備品!$1:$998,COLUMN($O$1),FALSE)*VLOOKUP($D330,素材!$1:$1016,COLUMN($E$1),FALSE)/(LEN(VLOOKUP($D330,素材!$1:$1016,COLUMN($F$1),FALSE))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N330">
        <f>IF(ISNUMBER(SEARCH(SUBSTITUTE(AN$1,RIGHT(AN$1,2),""),VLOOKUP($D330,素材!$1:$1016,COLUMN($F$1),FALSE))),VLOOKUP($C330,装備品!$1:$998,COLUMN($O$1),FALSE)*VLOOKUP($D330,素材!$1:$1016,COLUMN($E$1),FALSE)/(LEN(VLOOKUP($D330,素材!$1:$1016,COLUMN($F$1),FALSE))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O330">
        <f>IF(ISNUMBER(SEARCH(SUBSTITUTE(AO$1,RIGHT(AO$1,2),""),VLOOKUP($D330,素材!$1:$1016,COLUMN($F$1),FALSE))),VLOOKUP($C330,装備品!$1:$998,COLUMN($O$1),FALSE)*VLOOKUP($D330,素材!$1:$1016,COLUMN($E$1),FALSE)/(LEN(VLOOKUP($D330,素材!$1:$1016,COLUMN($F$1),FALSE))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P330">
        <f>IF(ISNUMBER(SEARCH(SUBSTITUTE(AP$1,RIGHT(AP$1,2),""),VLOOKUP($D330,素材!$1:$1016,COLUMN($F$1),FALSE))),VLOOKUP($C330,装備品!$1:$998,COLUMN($O$1),FALSE)*VLOOKUP($D330,素材!$1:$1016,COLUMN($E$1),FALSE)/(LEN(VLOOKUP($D330,素材!$1:$1016,COLUMN($F$1),FALSE))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Q330">
        <f>IF(ISNUMBER(SEARCH(SUBSTITUTE(AQ$1,RIGHT(AQ$1,2),""),VLOOKUP($D330,素材!$1:$1016,COLUMN($F$1),FALSE))),VLOOKUP($C330,装備品!$1:$998,COLUMN($O$1),FALSE)*VLOOKUP($D330,素材!$1:$1016,COLUMN($E$1),FALSE)/(LEN(VLOOKUP($D330,素材!$1:$1016,COLUMN($F$1),FALSE))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R330">
        <f>IF(ISNUMBER(SEARCH(SUBSTITUTE(AR$1,RIGHT(AR$1,2),""),VLOOKUP($D330,素材!$1:$1016,COLUMN($F$1),FALSE))),VLOOKUP($C330,装備品!$1:$998,COLUMN($O$1),FALSE)*VLOOKUP($D330,素材!$1:$1016,COLUMN($E$1),FALSE)/(LEN(VLOOKUP($D330,素材!$1:$1016,COLUMN($F$1),FALSE))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S330">
        <f>IF(ISNUMBER(SEARCH(SUBSTITUTE(AS$1,RIGHT(AS$1,2),""),VLOOKUP($D330,素材!$1:$1016,COLUMN($F$1),FALSE))),VLOOKUP($C330,装備品!$1:$998,COLUMN($O$1),FALSE)*VLOOKUP($D330,素材!$1:$1016,COLUMN($E$1),FALSE)/(LEN(VLOOKUP($D330,素材!$1:$1016,COLUMN($F$1),FALSE))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T330">
        <f>IF(ISNUMBER(SEARCH(SUBSTITUTE(AT$1,RIGHT(AT$1,2),""),VLOOKUP($D330,素材!$1:$1016,COLUMN($F$1),FALSE))),VLOOKUP($C330,装備品!$1:$998,COLUMN($O$1),FALSE)*VLOOKUP($D330,素材!$1:$1016,COLUMN($E$1),FALSE)/(LEN(VLOOKUP($D330,素材!$1:$1016,COLUMN($F$1),FALSE))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U330">
        <f>IF(ISNUMBER(SEARCH(SUBSTITUTE(AU$1,RIGHT(AU$1,2),""),VLOOKUP($D330,素材!$1:$1016,COLUMN($F$1),FALSE))),VLOOKUP($C330,装備品!$1:$998,COLUMN($O$1),FALSE)*VLOOKUP($D330,素材!$1:$1016,COLUMN($E$1),FALSE)/(LEN(VLOOKUP($D330,素材!$1:$1016,COLUMN($F$1),FALSE))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V330">
        <f>IF(ISNUMBER(SEARCH(SUBSTITUTE(AV$1,RIGHT(AV$1,2),""),VLOOKUP($D330,素材!$1:$1016,COLUMN($F$1),FALSE))),VLOOKUP($C330,装備品!$1:$998,COLUMN($O$1),FALSE)*VLOOKUP($D330,素材!$1:$1016,COLUMN($E$1),FALSE)/(LEN(VLOOKUP($D330,素材!$1:$1016,COLUMN($F$1),FALSE))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W330">
        <f>IF(ISNUMBER(SEARCH(SUBSTITUTE(AW$1,RIGHT(AW$1,2),""),VLOOKUP($D330,素材!$1:$1016,COLUMN($F$1),FALSE))),VLOOKUP($C330,装備品!$1:$998,COLUMN($O$1),FALSE)*VLOOKUP($D330,素材!$1:$1016,COLUMN($E$1),FALSE)/(LEN(VLOOKUP($D330,素材!$1:$1016,COLUMN($F$1),FALSE))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X330">
        <f>IF(ISNUMBER(SEARCH(SUBSTITUTE(AX$1,RIGHT(AX$1,2),""),VLOOKUP($D330,素材!$1:$1016,COLUMN($F$1),FALSE))),VLOOKUP($C330,装備品!$1:$998,COLUMN($O$1),FALSE)*VLOOKUP($D330,素材!$1:$1016,COLUMN($E$1),FALSE)/(LEN(VLOOKUP($D330,素材!$1:$1016,COLUMN($F$1),FALSE))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Y330">
        <f>IF(ISNUMBER(SEARCH(SUBSTITUTE(AY$1,RIGHT(AY$1,2),""),VLOOKUP($D330,素材!$1:$1016,COLUMN($F$1),FALSE))),VLOOKUP($C330,装備品!$1:$998,COLUMN($O$1),FALSE)*VLOOKUP($D330,素材!$1:$1016,COLUMN($E$1),FALSE)/(LEN(VLOOKUP($D330,素材!$1:$1016,COLUMN($F$1),FALSE))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Z330">
        <f>IF(ISNUMBER(SEARCH(SUBSTITUTE(AZ$1,RIGHT(AZ$1,2),""),VLOOKUP($D330,素材!$1:$1016,COLUMN($F$1),FALSE))),VLOOKUP($C330,装備品!$1:$998,COLUMN($O$1),FALSE)*VLOOKUP($D330,素材!$1:$1016,COLUMN($E$1),FALSE)/(LEN(VLOOKUP($D330,素材!$1:$1016,COLUMN($F$1),FALSE))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BA330">
        <f>IF(ISNUMBER(SEARCH(SUBSTITUTE(BA$1,RIGHT(BA$1,2),""),VLOOKUP($D330,素材!$1:$1016,COLUMN($F$1),FALSE))),VLOOKUP($C330,装備品!$1:$998,COLUMN($O$1),FALSE)*VLOOKUP($D330,素材!$1:$1016,COLUMN($E$1),FALSE)/(LEN(VLOOKUP($D330,素材!$1:$1016,COLUMN($F$1),FALSE))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BB330">
        <f>IF(ISNUMBER(SEARCH(SUBSTITUTE(BB$1,RIGHT(BB$1,2),""),VLOOKUP($D330,素材!$1:$1016,COLUMN($F$1),FALSE))),VLOOKUP($C330,装備品!$1:$998,COLUMN($O$1),FALSE)*VLOOKUP($D330,素材!$1:$1016,COLUMN($E$1),FALSE)/(LEN(VLOOKUP($D330,素材!$1:$1016,COLUMN($F$1),FALSE))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BC330">
        <f>IF(ISNUMBER(SEARCH(SUBSTITUTE(BC$1,RIGHT(BC$1,2),""),VLOOKUP($D330,素材!$1:$1016,COLUMN($F$1),FALSE))),VLOOKUP($C330,装備品!$1:$998,COLUMN($O$1),FALSE)*VLOOKUP($D330,素材!$1:$1016,COLUMN($E$1),FALSE)/(LEN(VLOOKUP($D330,素材!$1:$1016,COLUMN($F$1),FALSE))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BD330">
        <f>IF(ISNUMBER(SEARCH(SUBSTITUTE(BD$1,RIGHT(BD$1,2),""),VLOOKUP($D330,素材!$1:$1016,COLUMN($F$1),FALSE))),VLOOKUP($C330,装備品!$1:$998,COLUMN($O$1),FALSE)*VLOOKUP($D330,素材!$1:$1016,COLUMN($E$1),FALSE)/(LEN(VLOOKUP($D330,素材!$1:$1016,COLUMN($F$1),FALSE))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BE330">
        <f>IF(ISNUMBER(SEARCH(SUBSTITUTE(BE$1,RIGHT(BE$1,2),""),VLOOKUP($D330,素材!$1:$1016,COLUMN($F$1),FALSE))),VLOOKUP($C330,装備品!$1:$998,COLUMN($O$1),FALSE)*VLOOKUP($D330,素材!$1:$1016,COLUMN($E$1),FALSE)/(LEN(VLOOKUP($D330,素材!$1:$1016,COLUMN($F$1),FALSE))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CL330">
        <f t="shared" si="47"/>
        <v>0</v>
      </c>
      <c r="CM330" s="22" t="str">
        <f t="shared" si="48"/>
        <v>.webp</v>
      </c>
      <c r="CN330" t="str">
        <f>IFERROR(VLOOKUP($C330,装備品!$1:$998,COLUMN(V$1),FALSE)*VLOOKUP($D330,素材!$1:$1016,COLUMN(N$1),FALSE)+IF(CI330="",0,VLOOKUP($CI330,付与!$1:$1176,COLUMN($CK$1),FALSE)),"")</f>
        <v/>
      </c>
      <c r="CO330" t="e">
        <f>VLOOKUP(D330,素材!$A:$O,COLUMN(素材!O$1),FALSE)</f>
        <v>#N/A</v>
      </c>
      <c r="CP330" t="e">
        <f>VLOOKUP(C330,装備品!$A:$AB,COLUMN(装備品!AB$1),FALSE)</f>
        <v>#N/A</v>
      </c>
      <c r="CR330" t="str">
        <f t="shared" si="43"/>
        <v>e_330</v>
      </c>
      <c r="CS330" t="e">
        <f t="shared" si="44"/>
        <v>#VALUE!</v>
      </c>
    </row>
    <row r="331" spans="1:97" hidden="1" outlineLevel="1" x14ac:dyDescent="0.4">
      <c r="A331" t="str">
        <f t="shared" si="46"/>
        <v>の</v>
      </c>
      <c r="B331" t="str">
        <f>IFERROR(IF(CI331="",VLOOKUP($D331,素材!$1:$1016,COLUMN($B$1),FALSE)&amp;"・"&amp;VLOOKUP($C331,装備品!$1:$998,COLUMN(B$1),FALSE),VLOOKUP($CI331,付与!$1:$1176,COLUMN($B$1),FALSE)&amp;"・"&amp;VLOOKUP($C331,装備品!$1:$998,COLUMN(B$1),FALSE)),"")</f>
        <v/>
      </c>
      <c r="C331" s="24"/>
      <c r="D331" s="24"/>
      <c r="E331" t="str">
        <f>IFERROR(VLOOKUP(C331,装備品!$1:$998,COLUMN(C$1),FALSE),"")</f>
        <v/>
      </c>
      <c r="F331" t="str">
        <f>IFERROR(ROUNDDOWN((VLOOKUP($C331,装備品!$1:$998,COLUMN(D$1),FALSE)+IFERROR(VLOOKUP($CI331,付与!$1:$1167,COLUMN(F$1),FALSE),0))*VLOOKUP($D331,素材!$1:$1016,COLUMN(D$1),FALSE),0),"")</f>
        <v/>
      </c>
      <c r="G331" t="str">
        <f>IFERROR(ROUNDDOWN((VLOOKUP($C331,装備品!$1:$998,COLUMN(E$1),FALSE)+IFERROR(VLOOKUP($CI331,付与!$1:$1167,COLUMN(G$1),FALSE),0))*VLOOKUP($D331,素材!$1:$1016,COLUMN($E$1),FALSE),0),"")</f>
        <v/>
      </c>
      <c r="H331" t="str">
        <f>IFERROR(ROUNDDOWN((VLOOKUP($C331,装備品!$1:$998,COLUMN(F$1),FALSE)+IFERROR(VLOOKUP($CI331,付与!$1:$1167,COLUMN(H$1),FALSE),0))*VLOOKUP($D331,素材!$1:$1016,COLUMN($E$1),FALSE),0),"")</f>
        <v/>
      </c>
      <c r="I331" t="str">
        <f>IFERROR(ROUNDDOWN((VLOOKUP($C331,装備品!$1:$998,COLUMN(G$1),FALSE)+IFERROR(VLOOKUP($CI331,付与!$1:$1167,COLUMN(I$1),FALSE),0))*VLOOKUP($D331,素材!$1:$1016,COLUMN($E$1),FALSE),0),"")</f>
        <v/>
      </c>
      <c r="J331" t="str">
        <f>IFERROR(ROUNDDOWN((VLOOKUP($C331,装備品!$1:$998,COLUMN(H$1),FALSE)+IFERROR(VLOOKUP($CI331,付与!$1:$1167,COLUMN(J$1),FALSE),0))*VLOOKUP($D331,素材!$1:$1016,COLUMN($E$1),FALSE),0),"")</f>
        <v/>
      </c>
      <c r="K331" t="str">
        <f>IFERROR(ROUNDDOWN((VLOOKUP($C331,装備品!$1:$998,COLUMN(I$1),FALSE)+IFERROR(VLOOKUP($CI331,付与!$1:$1167,COLUMN(K$1),FALSE),0))*VLOOKUP($D331,素材!$1:$1016,COLUMN($E$1),FALSE),0),"")</f>
        <v/>
      </c>
      <c r="L331" t="str">
        <f>IFERROR(VLOOKUP($D331,素材!$1:$1016,COLUMN($F$1),FALSE),"")</f>
        <v/>
      </c>
      <c r="M331" t="str">
        <f>IFERROR(VLOOKUP($C331,装備品!$1:$998,COLUMN(AA$1),FALSE)*VLOOKUP($D331,素材!$1:$1016,COLUMN($G$1),FALSE),"")</f>
        <v/>
      </c>
      <c r="N331" t="str">
        <f>IFERROR(VLOOKUP($C331,装備品!$1:$998,COLUMN(I$1),FALSE),"")</f>
        <v/>
      </c>
      <c r="O331" s="23" t="str">
        <f>IFERROR((VLOOKUP($C331,装備品!$1:$998,COLUMN(K$1),FALSE)+VLOOKUP($D331,素材!$1:$1016,COLUMN(H$1),FALSE))*100+IFERROR(VLOOKUP($CI331,付与!$1:$1167,COLUMN(O$1),FALSE),0),"")</f>
        <v/>
      </c>
      <c r="P331" s="23" t="str">
        <f>IFERROR((VLOOKUP($C331,装備品!$1:$998,COLUMN(L$1),FALSE)+VLOOKUP($D331,素材!$1:$1016,COLUMN(I$1),FALSE))*100+IFERROR(VLOOKUP($CI331,付与!$1:$1167,COLUMN(P$1),FALSE),0),"")</f>
        <v/>
      </c>
      <c r="Q331" t="str">
        <f>IFERROR(ROUNDUP(VLOOKUP($C331,装備品!$1:$998,COLUMN(M$1),FALSE)*(VLOOKUP($D331,素材!$1:$1002,COLUMN(D$1),FALSE)/100),1),"")</f>
        <v/>
      </c>
      <c r="R331" t="str">
        <f>IFERROR(ROUNDUP(VLOOKUP($C331,装備品!$1:$998,COLUMN(N$1),FALSE)*(VLOOKUP($D331,素材!$1:$1002,COLUMN(D$1),FALSE)/100),1),"")</f>
        <v/>
      </c>
      <c r="S331" t="str">
        <f>IFERROR(VLOOKUP($C331,装備品!$1:$998,COLUMN(P$1),FALSE),"")</f>
        <v/>
      </c>
      <c r="T331" t="str">
        <f>IFERROR(VLOOKUP($C331,装備品!$1:$998,COLUMN(Q$1),FALSE),"")</f>
        <v/>
      </c>
      <c r="U331" t="str">
        <f>IFERROR(VLOOKUP($C331,装備品!$1:$998,COLUMN(R$1),FALSE),"")</f>
        <v/>
      </c>
      <c r="V331" t="str">
        <f>IFERROR(VLOOKUP($C331,装備品!$1:$998,COLUMN(Q$1),FALSE),"")</f>
        <v/>
      </c>
      <c r="W331" t="str">
        <f>IFERROR(VLOOKUP($C331,装備品!$1:$998,COLUMN(T$1),FALSE),"")</f>
        <v/>
      </c>
      <c r="Y331" t="str">
        <f>IFERROR(VLOOKUP($C331,装備品!$1:$998,COLUMN(U$1),FALSE),"")</f>
        <v/>
      </c>
      <c r="Z331" t="str">
        <f>IFERROR(ROUNDUP(VLOOKUP($C331,装備品!$1:$998,COLUMN(O$1),FALSE)*VLOOKUP($D331,素材!$1:$1016,COLUMN(E$1),FALSE),1),"")</f>
        <v/>
      </c>
      <c r="AA331">
        <f>IF(ISNUMBER(SEARCH(SUBSTITUTE(AA$1,RIGHT(AA$1,2),""),VLOOKUP($D331,素材!$1:$1016,COLUMN($F$1),FALSE))),VLOOKUP($C331,装備品!$1:$998,COLUMN($O$1),FALSE)*VLOOKUP($D331,素材!$1:$1016,COLUMN($E$1),FALSE)/(LEN(VLOOKUP($D331,素材!$1:$1016,COLUMN($F$1),FALSE))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B331">
        <f>IF(ISNUMBER(SEARCH(SUBSTITUTE(AB$1,RIGHT(AB$1,2),""),VLOOKUP($D331,素材!$1:$1016,COLUMN($F$1),FALSE))),VLOOKUP($C331,装備品!$1:$998,COLUMN($O$1),FALSE)*VLOOKUP($D331,素材!$1:$1016,COLUMN($E$1),FALSE)/(LEN(VLOOKUP($D331,素材!$1:$1016,COLUMN($F$1),FALSE))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C331">
        <f>IF(ISNUMBER(SEARCH(SUBSTITUTE(AC$1,RIGHT(AC$1,2),""),VLOOKUP($D331,素材!$1:$1016,COLUMN($F$1),FALSE))),VLOOKUP($C331,装備品!$1:$998,COLUMN($O$1),FALSE)*VLOOKUP($D331,素材!$1:$1016,COLUMN($E$1),FALSE)/(LEN(VLOOKUP($D331,素材!$1:$1016,COLUMN($F$1),FALSE))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D331">
        <f>IF(ISNUMBER(SEARCH(SUBSTITUTE(AD$1,RIGHT(AD$1,2),""),VLOOKUP($D331,素材!$1:$1016,COLUMN($F$1),FALSE))),VLOOKUP($C331,装備品!$1:$998,COLUMN($O$1),FALSE)*VLOOKUP($D331,素材!$1:$1016,COLUMN($E$1),FALSE)/(LEN(VLOOKUP($D331,素材!$1:$1016,COLUMN($F$1),FALSE))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E331">
        <f>IF(ISNUMBER(SEARCH(SUBSTITUTE(AE$1,RIGHT(AE$1,2),""),VLOOKUP($D331,素材!$1:$1016,COLUMN($F$1),FALSE))),VLOOKUP($C331,装備品!$1:$998,COLUMN($O$1),FALSE)*VLOOKUP($D331,素材!$1:$1016,COLUMN($E$1),FALSE)/(LEN(VLOOKUP($D331,素材!$1:$1016,COLUMN($F$1),FALSE))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F331">
        <f>IF(ISNUMBER(SEARCH(SUBSTITUTE(AF$1,RIGHT(AF$1,2),""),VLOOKUP($D331,素材!$1:$1016,COLUMN($F$1),FALSE))),VLOOKUP($C331,装備品!$1:$998,COLUMN($O$1),FALSE)*VLOOKUP($D331,素材!$1:$1016,COLUMN($E$1),FALSE)/(LEN(VLOOKUP($D331,素材!$1:$1016,COLUMN($F$1),FALSE))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G331">
        <f>IF(ISNUMBER(SEARCH(SUBSTITUTE(AG$1,RIGHT(AG$1,2),""),VLOOKUP($D331,素材!$1:$1016,COLUMN($F$1),FALSE))),VLOOKUP($C331,装備品!$1:$998,COLUMN($O$1),FALSE)*VLOOKUP($D331,素材!$1:$1016,COLUMN($E$1),FALSE)/(LEN(VLOOKUP($D331,素材!$1:$1016,COLUMN($F$1),FALSE))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H331">
        <f>IF(ISNUMBER(SEARCH(SUBSTITUTE(AH$1,RIGHT(AH$1,2),""),VLOOKUP($D331,素材!$1:$1016,COLUMN($F$1),FALSE))),VLOOKUP($C331,装備品!$1:$998,COLUMN($O$1),FALSE)*VLOOKUP($D331,素材!$1:$1016,COLUMN($E$1),FALSE)/(LEN(VLOOKUP($D331,素材!$1:$1016,COLUMN($F$1),FALSE))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I331">
        <f>IF(ISNUMBER(SEARCH(SUBSTITUTE(AI$1,RIGHT(AI$1,2),""),VLOOKUP($D331,素材!$1:$1016,COLUMN($F$1),FALSE))),VLOOKUP($C331,装備品!$1:$998,COLUMN($O$1),FALSE)*VLOOKUP($D331,素材!$1:$1016,COLUMN($E$1),FALSE)/(LEN(VLOOKUP($D331,素材!$1:$1016,COLUMN($F$1),FALSE))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J331">
        <f>IF(ISNUMBER(SEARCH(SUBSTITUTE(AJ$1,RIGHT(AJ$1,2),""),VLOOKUP($D331,素材!$1:$1016,COLUMN($F$1),FALSE))),VLOOKUP($C331,装備品!$1:$998,COLUMN($O$1),FALSE)*VLOOKUP($D331,素材!$1:$1016,COLUMN($E$1),FALSE)/(LEN(VLOOKUP($D331,素材!$1:$1016,COLUMN($F$1),FALSE))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K331">
        <f>IF(ISNUMBER(SEARCH(SUBSTITUTE(AK$1,RIGHT(AK$1,2),""),VLOOKUP($D331,素材!$1:$1016,COLUMN($F$1),FALSE))),VLOOKUP($C331,装備品!$1:$998,COLUMN($O$1),FALSE)*VLOOKUP($D331,素材!$1:$1016,COLUMN($E$1),FALSE)/(LEN(VLOOKUP($D331,素材!$1:$1016,COLUMN($F$1),FALSE))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L331">
        <f>IF(ISNUMBER(SEARCH(SUBSTITUTE(AL$1,RIGHT(AL$1,2),""),VLOOKUP($D331,素材!$1:$1016,COLUMN($F$1),FALSE))),VLOOKUP($C331,装備品!$1:$998,COLUMN($O$1),FALSE)*VLOOKUP($D331,素材!$1:$1016,COLUMN($E$1),FALSE)/(LEN(VLOOKUP($D331,素材!$1:$1016,COLUMN($F$1),FALSE))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M331">
        <f>IF(ISNUMBER(SEARCH(SUBSTITUTE(AM$1,RIGHT(AM$1,2),""),VLOOKUP($D331,素材!$1:$1016,COLUMN($F$1),FALSE))),VLOOKUP($C331,装備品!$1:$998,COLUMN($O$1),FALSE)*VLOOKUP($D331,素材!$1:$1016,COLUMN($E$1),FALSE)/(LEN(VLOOKUP($D331,素材!$1:$1016,COLUMN($F$1),FALSE))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N331">
        <f>IF(ISNUMBER(SEARCH(SUBSTITUTE(AN$1,RIGHT(AN$1,2),""),VLOOKUP($D331,素材!$1:$1016,COLUMN($F$1),FALSE))),VLOOKUP($C331,装備品!$1:$998,COLUMN($O$1),FALSE)*VLOOKUP($D331,素材!$1:$1016,COLUMN($E$1),FALSE)/(LEN(VLOOKUP($D331,素材!$1:$1016,COLUMN($F$1),FALSE))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O331">
        <f>IF(ISNUMBER(SEARCH(SUBSTITUTE(AO$1,RIGHT(AO$1,2),""),VLOOKUP($D331,素材!$1:$1016,COLUMN($F$1),FALSE))),VLOOKUP($C331,装備品!$1:$998,COLUMN($O$1),FALSE)*VLOOKUP($D331,素材!$1:$1016,COLUMN($E$1),FALSE)/(LEN(VLOOKUP($D331,素材!$1:$1016,COLUMN($F$1),FALSE))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P331">
        <f>IF(ISNUMBER(SEARCH(SUBSTITUTE(AP$1,RIGHT(AP$1,2),""),VLOOKUP($D331,素材!$1:$1016,COLUMN($F$1),FALSE))),VLOOKUP($C331,装備品!$1:$998,COLUMN($O$1),FALSE)*VLOOKUP($D331,素材!$1:$1016,COLUMN($E$1),FALSE)/(LEN(VLOOKUP($D331,素材!$1:$1016,COLUMN($F$1),FALSE))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Q331">
        <f>IF(ISNUMBER(SEARCH(SUBSTITUTE(AQ$1,RIGHT(AQ$1,2),""),VLOOKUP($D331,素材!$1:$1016,COLUMN($F$1),FALSE))),VLOOKUP($C331,装備品!$1:$998,COLUMN($O$1),FALSE)*VLOOKUP($D331,素材!$1:$1016,COLUMN($E$1),FALSE)/(LEN(VLOOKUP($D331,素材!$1:$1016,COLUMN($F$1),FALSE))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R331">
        <f>IF(ISNUMBER(SEARCH(SUBSTITUTE(AR$1,RIGHT(AR$1,2),""),VLOOKUP($D331,素材!$1:$1016,COLUMN($F$1),FALSE))),VLOOKUP($C331,装備品!$1:$998,COLUMN($O$1),FALSE)*VLOOKUP($D331,素材!$1:$1016,COLUMN($E$1),FALSE)/(LEN(VLOOKUP($D331,素材!$1:$1016,COLUMN($F$1),FALSE))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S331">
        <f>IF(ISNUMBER(SEARCH(SUBSTITUTE(AS$1,RIGHT(AS$1,2),""),VLOOKUP($D331,素材!$1:$1016,COLUMN($F$1),FALSE))),VLOOKUP($C331,装備品!$1:$998,COLUMN($O$1),FALSE)*VLOOKUP($D331,素材!$1:$1016,COLUMN($E$1),FALSE)/(LEN(VLOOKUP($D331,素材!$1:$1016,COLUMN($F$1),FALSE))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T331">
        <f>IF(ISNUMBER(SEARCH(SUBSTITUTE(AT$1,RIGHT(AT$1,2),""),VLOOKUP($D331,素材!$1:$1016,COLUMN($F$1),FALSE))),VLOOKUP($C331,装備品!$1:$998,COLUMN($O$1),FALSE)*VLOOKUP($D331,素材!$1:$1016,COLUMN($E$1),FALSE)/(LEN(VLOOKUP($D331,素材!$1:$1016,COLUMN($F$1),FALSE))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U331">
        <f>IF(ISNUMBER(SEARCH(SUBSTITUTE(AU$1,RIGHT(AU$1,2),""),VLOOKUP($D331,素材!$1:$1016,COLUMN($F$1),FALSE))),VLOOKUP($C331,装備品!$1:$998,COLUMN($O$1),FALSE)*VLOOKUP($D331,素材!$1:$1016,COLUMN($E$1),FALSE)/(LEN(VLOOKUP($D331,素材!$1:$1016,COLUMN($F$1),FALSE))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V331">
        <f>IF(ISNUMBER(SEARCH(SUBSTITUTE(AV$1,RIGHT(AV$1,2),""),VLOOKUP($D331,素材!$1:$1016,COLUMN($F$1),FALSE))),VLOOKUP($C331,装備品!$1:$998,COLUMN($O$1),FALSE)*VLOOKUP($D331,素材!$1:$1016,COLUMN($E$1),FALSE)/(LEN(VLOOKUP($D331,素材!$1:$1016,COLUMN($F$1),FALSE))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W331">
        <f>IF(ISNUMBER(SEARCH(SUBSTITUTE(AW$1,RIGHT(AW$1,2),""),VLOOKUP($D331,素材!$1:$1016,COLUMN($F$1),FALSE))),VLOOKUP($C331,装備品!$1:$998,COLUMN($O$1),FALSE)*VLOOKUP($D331,素材!$1:$1016,COLUMN($E$1),FALSE)/(LEN(VLOOKUP($D331,素材!$1:$1016,COLUMN($F$1),FALSE))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X331">
        <f>IF(ISNUMBER(SEARCH(SUBSTITUTE(AX$1,RIGHT(AX$1,2),""),VLOOKUP($D331,素材!$1:$1016,COLUMN($F$1),FALSE))),VLOOKUP($C331,装備品!$1:$998,COLUMN($O$1),FALSE)*VLOOKUP($D331,素材!$1:$1016,COLUMN($E$1),FALSE)/(LEN(VLOOKUP($D331,素材!$1:$1016,COLUMN($F$1),FALSE))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Y331">
        <f>IF(ISNUMBER(SEARCH(SUBSTITUTE(AY$1,RIGHT(AY$1,2),""),VLOOKUP($D331,素材!$1:$1016,COLUMN($F$1),FALSE))),VLOOKUP($C331,装備品!$1:$998,COLUMN($O$1),FALSE)*VLOOKUP($D331,素材!$1:$1016,COLUMN($E$1),FALSE)/(LEN(VLOOKUP($D331,素材!$1:$1016,COLUMN($F$1),FALSE))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Z331">
        <f>IF(ISNUMBER(SEARCH(SUBSTITUTE(AZ$1,RIGHT(AZ$1,2),""),VLOOKUP($D331,素材!$1:$1016,COLUMN($F$1),FALSE))),VLOOKUP($C331,装備品!$1:$998,COLUMN($O$1),FALSE)*VLOOKUP($D331,素材!$1:$1016,COLUMN($E$1),FALSE)/(LEN(VLOOKUP($D331,素材!$1:$1016,COLUMN($F$1),FALSE))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BA331">
        <f>IF(ISNUMBER(SEARCH(SUBSTITUTE(BA$1,RIGHT(BA$1,2),""),VLOOKUP($D331,素材!$1:$1016,COLUMN($F$1),FALSE))),VLOOKUP($C331,装備品!$1:$998,COLUMN($O$1),FALSE)*VLOOKUP($D331,素材!$1:$1016,COLUMN($E$1),FALSE)/(LEN(VLOOKUP($D331,素材!$1:$1016,COLUMN($F$1),FALSE))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BB331">
        <f>IF(ISNUMBER(SEARCH(SUBSTITUTE(BB$1,RIGHT(BB$1,2),""),VLOOKUP($D331,素材!$1:$1016,COLUMN($F$1),FALSE))),VLOOKUP($C331,装備品!$1:$998,COLUMN($O$1),FALSE)*VLOOKUP($D331,素材!$1:$1016,COLUMN($E$1),FALSE)/(LEN(VLOOKUP($D331,素材!$1:$1016,COLUMN($F$1),FALSE))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BC331">
        <f>IF(ISNUMBER(SEARCH(SUBSTITUTE(BC$1,RIGHT(BC$1,2),""),VLOOKUP($D331,素材!$1:$1016,COLUMN($F$1),FALSE))),VLOOKUP($C331,装備品!$1:$998,COLUMN($O$1),FALSE)*VLOOKUP($D331,素材!$1:$1016,COLUMN($E$1),FALSE)/(LEN(VLOOKUP($D331,素材!$1:$1016,COLUMN($F$1),FALSE))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BD331">
        <f>IF(ISNUMBER(SEARCH(SUBSTITUTE(BD$1,RIGHT(BD$1,2),""),VLOOKUP($D331,素材!$1:$1016,COLUMN($F$1),FALSE))),VLOOKUP($C331,装備品!$1:$998,COLUMN($O$1),FALSE)*VLOOKUP($D331,素材!$1:$1016,COLUMN($E$1),FALSE)/(LEN(VLOOKUP($D331,素材!$1:$1016,COLUMN($F$1),FALSE))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BE331">
        <f>IF(ISNUMBER(SEARCH(SUBSTITUTE(BE$1,RIGHT(BE$1,2),""),VLOOKUP($D331,素材!$1:$1016,COLUMN($F$1),FALSE))),VLOOKUP($C331,装備品!$1:$998,COLUMN($O$1),FALSE)*VLOOKUP($D331,素材!$1:$1016,COLUMN($E$1),FALSE)/(LEN(VLOOKUP($D331,素材!$1:$1016,COLUMN($F$1),FALSE))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CL331">
        <f t="shared" si="47"/>
        <v>0</v>
      </c>
      <c r="CM331" s="22" t="str">
        <f t="shared" si="48"/>
        <v>.webp</v>
      </c>
      <c r="CN331" t="str">
        <f>IFERROR(VLOOKUP($C331,装備品!$1:$998,COLUMN(V$1),FALSE)*VLOOKUP($D331,素材!$1:$1016,COLUMN(N$1),FALSE)+IF(CI331="",0,VLOOKUP($CI331,付与!$1:$1176,COLUMN($CK$1),FALSE)),"")</f>
        <v/>
      </c>
      <c r="CO331" t="e">
        <f>VLOOKUP(D331,素材!$A:$O,COLUMN(素材!O$1),FALSE)</f>
        <v>#N/A</v>
      </c>
      <c r="CP331" t="e">
        <f>VLOOKUP(C331,装備品!$A:$AB,COLUMN(装備品!AB$1),FALSE)</f>
        <v>#N/A</v>
      </c>
      <c r="CR331" t="str">
        <f t="shared" si="43"/>
        <v>e_331</v>
      </c>
      <c r="CS331" t="e">
        <f t="shared" si="44"/>
        <v>#VALUE!</v>
      </c>
    </row>
    <row r="332" spans="1:97" hidden="1" outlineLevel="1" x14ac:dyDescent="0.4">
      <c r="A332" t="str">
        <f t="shared" si="46"/>
        <v>の</v>
      </c>
      <c r="B332" t="str">
        <f>IFERROR(IF(CI332="",VLOOKUP($D332,素材!$1:$1016,COLUMN($B$1),FALSE)&amp;"・"&amp;VLOOKUP($C332,装備品!$1:$998,COLUMN(B$1),FALSE),VLOOKUP($CI332,付与!$1:$1176,COLUMN($B$1),FALSE)&amp;"・"&amp;VLOOKUP($C332,装備品!$1:$998,COLUMN(B$1),FALSE)),"")</f>
        <v/>
      </c>
      <c r="C332" s="24"/>
      <c r="D332" s="24"/>
      <c r="E332" t="str">
        <f>IFERROR(VLOOKUP(C332,装備品!$1:$998,COLUMN(C$1),FALSE),"")</f>
        <v/>
      </c>
      <c r="F332" t="str">
        <f>IFERROR(ROUNDDOWN((VLOOKUP($C332,装備品!$1:$998,COLUMN(D$1),FALSE)+IFERROR(VLOOKUP($CI332,付与!$1:$1167,COLUMN(F$1),FALSE),0))*VLOOKUP($D332,素材!$1:$1016,COLUMN(D$1),FALSE),0),"")</f>
        <v/>
      </c>
      <c r="G332" t="str">
        <f>IFERROR(ROUNDDOWN((VLOOKUP($C332,装備品!$1:$998,COLUMN(E$1),FALSE)+IFERROR(VLOOKUP($CI332,付与!$1:$1167,COLUMN(G$1),FALSE),0))*VLOOKUP($D332,素材!$1:$1016,COLUMN($E$1),FALSE),0),"")</f>
        <v/>
      </c>
      <c r="H332" t="str">
        <f>IFERROR(ROUNDDOWN((VLOOKUP($C332,装備品!$1:$998,COLUMN(F$1),FALSE)+IFERROR(VLOOKUP($CI332,付与!$1:$1167,COLUMN(H$1),FALSE),0))*VLOOKUP($D332,素材!$1:$1016,COLUMN($E$1),FALSE),0),"")</f>
        <v/>
      </c>
      <c r="I332" t="str">
        <f>IFERROR(ROUNDDOWN((VLOOKUP($C332,装備品!$1:$998,COLUMN(G$1),FALSE)+IFERROR(VLOOKUP($CI332,付与!$1:$1167,COLUMN(I$1),FALSE),0))*VLOOKUP($D332,素材!$1:$1016,COLUMN($E$1),FALSE),0),"")</f>
        <v/>
      </c>
      <c r="J332" t="str">
        <f>IFERROR(ROUNDDOWN((VLOOKUP($C332,装備品!$1:$998,COLUMN(H$1),FALSE)+IFERROR(VLOOKUP($CI332,付与!$1:$1167,COLUMN(J$1),FALSE),0))*VLOOKUP($D332,素材!$1:$1016,COLUMN($E$1),FALSE),0),"")</f>
        <v/>
      </c>
      <c r="K332" t="str">
        <f>IFERROR(ROUNDDOWN((VLOOKUP($C332,装備品!$1:$998,COLUMN(I$1),FALSE)+IFERROR(VLOOKUP($CI332,付与!$1:$1167,COLUMN(K$1),FALSE),0))*VLOOKUP($D332,素材!$1:$1016,COLUMN($E$1),FALSE),0),"")</f>
        <v/>
      </c>
      <c r="L332" t="str">
        <f>IFERROR(VLOOKUP($D332,素材!$1:$1016,COLUMN($F$1),FALSE),"")</f>
        <v/>
      </c>
      <c r="M332" t="str">
        <f>IFERROR(VLOOKUP($C332,装備品!$1:$998,COLUMN(AA$1),FALSE)*VLOOKUP($D332,素材!$1:$1016,COLUMN($G$1),FALSE),"")</f>
        <v/>
      </c>
      <c r="N332" t="str">
        <f>IFERROR(VLOOKUP($C332,装備品!$1:$998,COLUMN(I$1),FALSE),"")</f>
        <v/>
      </c>
      <c r="O332" s="23" t="str">
        <f>IFERROR((VLOOKUP($C332,装備品!$1:$998,COLUMN(K$1),FALSE)+VLOOKUP($D332,素材!$1:$1016,COLUMN(H$1),FALSE))*100+IFERROR(VLOOKUP($CI332,付与!$1:$1167,COLUMN(O$1),FALSE),0),"")</f>
        <v/>
      </c>
      <c r="P332" s="23" t="str">
        <f>IFERROR((VLOOKUP($C332,装備品!$1:$998,COLUMN(L$1),FALSE)+VLOOKUP($D332,素材!$1:$1016,COLUMN(I$1),FALSE))*100+IFERROR(VLOOKUP($CI332,付与!$1:$1167,COLUMN(P$1),FALSE),0),"")</f>
        <v/>
      </c>
      <c r="Q332" t="str">
        <f>IFERROR(ROUNDUP(VLOOKUP($C332,装備品!$1:$998,COLUMN(M$1),FALSE)*(VLOOKUP($D332,素材!$1:$1002,COLUMN(D$1),FALSE)/100),1),"")</f>
        <v/>
      </c>
      <c r="R332" t="str">
        <f>IFERROR(ROUNDUP(VLOOKUP($C332,装備品!$1:$998,COLUMN(N$1),FALSE)*(VLOOKUP($D332,素材!$1:$1002,COLUMN(D$1),FALSE)/100),1),"")</f>
        <v/>
      </c>
      <c r="S332" t="str">
        <f>IFERROR(VLOOKUP($C332,装備品!$1:$998,COLUMN(P$1),FALSE),"")</f>
        <v/>
      </c>
      <c r="T332" t="str">
        <f>IFERROR(VLOOKUP($C332,装備品!$1:$998,COLUMN(Q$1),FALSE),"")</f>
        <v/>
      </c>
      <c r="U332" t="str">
        <f>IFERROR(VLOOKUP($C332,装備品!$1:$998,COLUMN(R$1),FALSE),"")</f>
        <v/>
      </c>
      <c r="V332" t="str">
        <f>IFERROR(VLOOKUP($C332,装備品!$1:$998,COLUMN(Q$1),FALSE),"")</f>
        <v/>
      </c>
      <c r="W332" t="str">
        <f>IFERROR(VLOOKUP($C332,装備品!$1:$998,COLUMN(T$1),FALSE),"")</f>
        <v/>
      </c>
      <c r="Y332" t="str">
        <f>IFERROR(VLOOKUP($C332,装備品!$1:$998,COLUMN(U$1),FALSE),"")</f>
        <v/>
      </c>
      <c r="Z332" t="str">
        <f>IFERROR(ROUNDUP(VLOOKUP($C332,装備品!$1:$998,COLUMN(O$1),FALSE)*VLOOKUP($D332,素材!$1:$1016,COLUMN(E$1),FALSE),1),"")</f>
        <v/>
      </c>
      <c r="AA332">
        <f>IF(ISNUMBER(SEARCH(SUBSTITUTE(AA$1,RIGHT(AA$1,2),""),VLOOKUP($D332,素材!$1:$1016,COLUMN($F$1),FALSE))),VLOOKUP($C332,装備品!$1:$998,COLUMN($O$1),FALSE)*VLOOKUP($D332,素材!$1:$1016,COLUMN($E$1),FALSE)/(LEN(VLOOKUP($D332,素材!$1:$1016,COLUMN($F$1),FALSE))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B332">
        <f>IF(ISNUMBER(SEARCH(SUBSTITUTE(AB$1,RIGHT(AB$1,2),""),VLOOKUP($D332,素材!$1:$1016,COLUMN($F$1),FALSE))),VLOOKUP($C332,装備品!$1:$998,COLUMN($O$1),FALSE)*VLOOKUP($D332,素材!$1:$1016,COLUMN($E$1),FALSE)/(LEN(VLOOKUP($D332,素材!$1:$1016,COLUMN($F$1),FALSE))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C332">
        <f>IF(ISNUMBER(SEARCH(SUBSTITUTE(AC$1,RIGHT(AC$1,2),""),VLOOKUP($D332,素材!$1:$1016,COLUMN($F$1),FALSE))),VLOOKUP($C332,装備品!$1:$998,COLUMN($O$1),FALSE)*VLOOKUP($D332,素材!$1:$1016,COLUMN($E$1),FALSE)/(LEN(VLOOKUP($D332,素材!$1:$1016,COLUMN($F$1),FALSE))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D332">
        <f>IF(ISNUMBER(SEARCH(SUBSTITUTE(AD$1,RIGHT(AD$1,2),""),VLOOKUP($D332,素材!$1:$1016,COLUMN($F$1),FALSE))),VLOOKUP($C332,装備品!$1:$998,COLUMN($O$1),FALSE)*VLOOKUP($D332,素材!$1:$1016,COLUMN($E$1),FALSE)/(LEN(VLOOKUP($D332,素材!$1:$1016,COLUMN($F$1),FALSE))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E332">
        <f>IF(ISNUMBER(SEARCH(SUBSTITUTE(AE$1,RIGHT(AE$1,2),""),VLOOKUP($D332,素材!$1:$1016,COLUMN($F$1),FALSE))),VLOOKUP($C332,装備品!$1:$998,COLUMN($O$1),FALSE)*VLOOKUP($D332,素材!$1:$1016,COLUMN($E$1),FALSE)/(LEN(VLOOKUP($D332,素材!$1:$1016,COLUMN($F$1),FALSE))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F332">
        <f>IF(ISNUMBER(SEARCH(SUBSTITUTE(AF$1,RIGHT(AF$1,2),""),VLOOKUP($D332,素材!$1:$1016,COLUMN($F$1),FALSE))),VLOOKUP($C332,装備品!$1:$998,COLUMN($O$1),FALSE)*VLOOKUP($D332,素材!$1:$1016,COLUMN($E$1),FALSE)/(LEN(VLOOKUP($D332,素材!$1:$1016,COLUMN($F$1),FALSE))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G332">
        <f>IF(ISNUMBER(SEARCH(SUBSTITUTE(AG$1,RIGHT(AG$1,2),""),VLOOKUP($D332,素材!$1:$1016,COLUMN($F$1),FALSE))),VLOOKUP($C332,装備品!$1:$998,COLUMN($O$1),FALSE)*VLOOKUP($D332,素材!$1:$1016,COLUMN($E$1),FALSE)/(LEN(VLOOKUP($D332,素材!$1:$1016,COLUMN($F$1),FALSE))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H332">
        <f>IF(ISNUMBER(SEARCH(SUBSTITUTE(AH$1,RIGHT(AH$1,2),""),VLOOKUP($D332,素材!$1:$1016,COLUMN($F$1),FALSE))),VLOOKUP($C332,装備品!$1:$998,COLUMN($O$1),FALSE)*VLOOKUP($D332,素材!$1:$1016,COLUMN($E$1),FALSE)/(LEN(VLOOKUP($D332,素材!$1:$1016,COLUMN($F$1),FALSE))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I332">
        <f>IF(ISNUMBER(SEARCH(SUBSTITUTE(AI$1,RIGHT(AI$1,2),""),VLOOKUP($D332,素材!$1:$1016,COLUMN($F$1),FALSE))),VLOOKUP($C332,装備品!$1:$998,COLUMN($O$1),FALSE)*VLOOKUP($D332,素材!$1:$1016,COLUMN($E$1),FALSE)/(LEN(VLOOKUP($D332,素材!$1:$1016,COLUMN($F$1),FALSE))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J332">
        <f>IF(ISNUMBER(SEARCH(SUBSTITUTE(AJ$1,RIGHT(AJ$1,2),""),VLOOKUP($D332,素材!$1:$1016,COLUMN($F$1),FALSE))),VLOOKUP($C332,装備品!$1:$998,COLUMN($O$1),FALSE)*VLOOKUP($D332,素材!$1:$1016,COLUMN($E$1),FALSE)/(LEN(VLOOKUP($D332,素材!$1:$1016,COLUMN($F$1),FALSE))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K332">
        <f>IF(ISNUMBER(SEARCH(SUBSTITUTE(AK$1,RIGHT(AK$1,2),""),VLOOKUP($D332,素材!$1:$1016,COLUMN($F$1),FALSE))),VLOOKUP($C332,装備品!$1:$998,COLUMN($O$1),FALSE)*VLOOKUP($D332,素材!$1:$1016,COLUMN($E$1),FALSE)/(LEN(VLOOKUP($D332,素材!$1:$1016,COLUMN($F$1),FALSE))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L332">
        <f>IF(ISNUMBER(SEARCH(SUBSTITUTE(AL$1,RIGHT(AL$1,2),""),VLOOKUP($D332,素材!$1:$1016,COLUMN($F$1),FALSE))),VLOOKUP($C332,装備品!$1:$998,COLUMN($O$1),FALSE)*VLOOKUP($D332,素材!$1:$1016,COLUMN($E$1),FALSE)/(LEN(VLOOKUP($D332,素材!$1:$1016,COLUMN($F$1),FALSE))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M332">
        <f>IF(ISNUMBER(SEARCH(SUBSTITUTE(AM$1,RIGHT(AM$1,2),""),VLOOKUP($D332,素材!$1:$1016,COLUMN($F$1),FALSE))),VLOOKUP($C332,装備品!$1:$998,COLUMN($O$1),FALSE)*VLOOKUP($D332,素材!$1:$1016,COLUMN($E$1),FALSE)/(LEN(VLOOKUP($D332,素材!$1:$1016,COLUMN($F$1),FALSE))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N332">
        <f>IF(ISNUMBER(SEARCH(SUBSTITUTE(AN$1,RIGHT(AN$1,2),""),VLOOKUP($D332,素材!$1:$1016,COLUMN($F$1),FALSE))),VLOOKUP($C332,装備品!$1:$998,COLUMN($O$1),FALSE)*VLOOKUP($D332,素材!$1:$1016,COLUMN($E$1),FALSE)/(LEN(VLOOKUP($D332,素材!$1:$1016,COLUMN($F$1),FALSE))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O332">
        <f>IF(ISNUMBER(SEARCH(SUBSTITUTE(AO$1,RIGHT(AO$1,2),""),VLOOKUP($D332,素材!$1:$1016,COLUMN($F$1),FALSE))),VLOOKUP($C332,装備品!$1:$998,COLUMN($O$1),FALSE)*VLOOKUP($D332,素材!$1:$1016,COLUMN($E$1),FALSE)/(LEN(VLOOKUP($D332,素材!$1:$1016,COLUMN($F$1),FALSE))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P332">
        <f>IF(ISNUMBER(SEARCH(SUBSTITUTE(AP$1,RIGHT(AP$1,2),""),VLOOKUP($D332,素材!$1:$1016,COLUMN($F$1),FALSE))),VLOOKUP($C332,装備品!$1:$998,COLUMN($O$1),FALSE)*VLOOKUP($D332,素材!$1:$1016,COLUMN($E$1),FALSE)/(LEN(VLOOKUP($D332,素材!$1:$1016,COLUMN($F$1),FALSE))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Q332">
        <f>IF(ISNUMBER(SEARCH(SUBSTITUTE(AQ$1,RIGHT(AQ$1,2),""),VLOOKUP($D332,素材!$1:$1016,COLUMN($F$1),FALSE))),VLOOKUP($C332,装備品!$1:$998,COLUMN($O$1),FALSE)*VLOOKUP($D332,素材!$1:$1016,COLUMN($E$1),FALSE)/(LEN(VLOOKUP($D332,素材!$1:$1016,COLUMN($F$1),FALSE))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R332">
        <f>IF(ISNUMBER(SEARCH(SUBSTITUTE(AR$1,RIGHT(AR$1,2),""),VLOOKUP($D332,素材!$1:$1016,COLUMN($F$1),FALSE))),VLOOKUP($C332,装備品!$1:$998,COLUMN($O$1),FALSE)*VLOOKUP($D332,素材!$1:$1016,COLUMN($E$1),FALSE)/(LEN(VLOOKUP($D332,素材!$1:$1016,COLUMN($F$1),FALSE))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S332">
        <f>IF(ISNUMBER(SEARCH(SUBSTITUTE(AS$1,RIGHT(AS$1,2),""),VLOOKUP($D332,素材!$1:$1016,COLUMN($F$1),FALSE))),VLOOKUP($C332,装備品!$1:$998,COLUMN($O$1),FALSE)*VLOOKUP($D332,素材!$1:$1016,COLUMN($E$1),FALSE)/(LEN(VLOOKUP($D332,素材!$1:$1016,COLUMN($F$1),FALSE))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T332">
        <f>IF(ISNUMBER(SEARCH(SUBSTITUTE(AT$1,RIGHT(AT$1,2),""),VLOOKUP($D332,素材!$1:$1016,COLUMN($F$1),FALSE))),VLOOKUP($C332,装備品!$1:$998,COLUMN($O$1),FALSE)*VLOOKUP($D332,素材!$1:$1016,COLUMN($E$1),FALSE)/(LEN(VLOOKUP($D332,素材!$1:$1016,COLUMN($F$1),FALSE))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U332">
        <f>IF(ISNUMBER(SEARCH(SUBSTITUTE(AU$1,RIGHT(AU$1,2),""),VLOOKUP($D332,素材!$1:$1016,COLUMN($F$1),FALSE))),VLOOKUP($C332,装備品!$1:$998,COLUMN($O$1),FALSE)*VLOOKUP($D332,素材!$1:$1016,COLUMN($E$1),FALSE)/(LEN(VLOOKUP($D332,素材!$1:$1016,COLUMN($F$1),FALSE))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V332">
        <f>IF(ISNUMBER(SEARCH(SUBSTITUTE(AV$1,RIGHT(AV$1,2),""),VLOOKUP($D332,素材!$1:$1016,COLUMN($F$1),FALSE))),VLOOKUP($C332,装備品!$1:$998,COLUMN($O$1),FALSE)*VLOOKUP($D332,素材!$1:$1016,COLUMN($E$1),FALSE)/(LEN(VLOOKUP($D332,素材!$1:$1016,COLUMN($F$1),FALSE))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W332">
        <f>IF(ISNUMBER(SEARCH(SUBSTITUTE(AW$1,RIGHT(AW$1,2),""),VLOOKUP($D332,素材!$1:$1016,COLUMN($F$1),FALSE))),VLOOKUP($C332,装備品!$1:$998,COLUMN($O$1),FALSE)*VLOOKUP($D332,素材!$1:$1016,COLUMN($E$1),FALSE)/(LEN(VLOOKUP($D332,素材!$1:$1016,COLUMN($F$1),FALSE))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X332">
        <f>IF(ISNUMBER(SEARCH(SUBSTITUTE(AX$1,RIGHT(AX$1,2),""),VLOOKUP($D332,素材!$1:$1016,COLUMN($F$1),FALSE))),VLOOKUP($C332,装備品!$1:$998,COLUMN($O$1),FALSE)*VLOOKUP($D332,素材!$1:$1016,COLUMN($E$1),FALSE)/(LEN(VLOOKUP($D332,素材!$1:$1016,COLUMN($F$1),FALSE))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Y332">
        <f>IF(ISNUMBER(SEARCH(SUBSTITUTE(AY$1,RIGHT(AY$1,2),""),VLOOKUP($D332,素材!$1:$1016,COLUMN($F$1),FALSE))),VLOOKUP($C332,装備品!$1:$998,COLUMN($O$1),FALSE)*VLOOKUP($D332,素材!$1:$1016,COLUMN($E$1),FALSE)/(LEN(VLOOKUP($D332,素材!$1:$1016,COLUMN($F$1),FALSE))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Z332">
        <f>IF(ISNUMBER(SEARCH(SUBSTITUTE(AZ$1,RIGHT(AZ$1,2),""),VLOOKUP($D332,素材!$1:$1016,COLUMN($F$1),FALSE))),VLOOKUP($C332,装備品!$1:$998,COLUMN($O$1),FALSE)*VLOOKUP($D332,素材!$1:$1016,COLUMN($E$1),FALSE)/(LEN(VLOOKUP($D332,素材!$1:$1016,COLUMN($F$1),FALSE))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BA332">
        <f>IF(ISNUMBER(SEARCH(SUBSTITUTE(BA$1,RIGHT(BA$1,2),""),VLOOKUP($D332,素材!$1:$1016,COLUMN($F$1),FALSE))),VLOOKUP($C332,装備品!$1:$998,COLUMN($O$1),FALSE)*VLOOKUP($D332,素材!$1:$1016,COLUMN($E$1),FALSE)/(LEN(VLOOKUP($D332,素材!$1:$1016,COLUMN($F$1),FALSE))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BB332">
        <f>IF(ISNUMBER(SEARCH(SUBSTITUTE(BB$1,RIGHT(BB$1,2),""),VLOOKUP($D332,素材!$1:$1016,COLUMN($F$1),FALSE))),VLOOKUP($C332,装備品!$1:$998,COLUMN($O$1),FALSE)*VLOOKUP($D332,素材!$1:$1016,COLUMN($E$1),FALSE)/(LEN(VLOOKUP($D332,素材!$1:$1016,COLUMN($F$1),FALSE))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BC332">
        <f>IF(ISNUMBER(SEARCH(SUBSTITUTE(BC$1,RIGHT(BC$1,2),""),VLOOKUP($D332,素材!$1:$1016,COLUMN($F$1),FALSE))),VLOOKUP($C332,装備品!$1:$998,COLUMN($O$1),FALSE)*VLOOKUP($D332,素材!$1:$1016,COLUMN($E$1),FALSE)/(LEN(VLOOKUP($D332,素材!$1:$1016,COLUMN($F$1),FALSE))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BD332">
        <f>IF(ISNUMBER(SEARCH(SUBSTITUTE(BD$1,RIGHT(BD$1,2),""),VLOOKUP($D332,素材!$1:$1016,COLUMN($F$1),FALSE))),VLOOKUP($C332,装備品!$1:$998,COLUMN($O$1),FALSE)*VLOOKUP($D332,素材!$1:$1016,COLUMN($E$1),FALSE)/(LEN(VLOOKUP($D332,素材!$1:$1016,COLUMN($F$1),FALSE))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BE332">
        <f>IF(ISNUMBER(SEARCH(SUBSTITUTE(BE$1,RIGHT(BE$1,2),""),VLOOKUP($D332,素材!$1:$1016,COLUMN($F$1),FALSE))),VLOOKUP($C332,装備品!$1:$998,COLUMN($O$1),FALSE)*VLOOKUP($D332,素材!$1:$1016,COLUMN($E$1),FALSE)/(LEN(VLOOKUP($D332,素材!$1:$1016,COLUMN($F$1),FALSE))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CL332">
        <f t="shared" si="47"/>
        <v>0</v>
      </c>
      <c r="CM332" s="22" t="str">
        <f t="shared" si="48"/>
        <v>.webp</v>
      </c>
      <c r="CN332" t="str">
        <f>IFERROR(VLOOKUP($C332,装備品!$1:$998,COLUMN(V$1),FALSE)*VLOOKUP($D332,素材!$1:$1016,COLUMN(N$1),FALSE)+IF(CI332="",0,VLOOKUP($CI332,付与!$1:$1176,COLUMN($CK$1),FALSE)),"")</f>
        <v/>
      </c>
      <c r="CO332" t="e">
        <f>VLOOKUP(D332,素材!$A:$O,COLUMN(素材!O$1),FALSE)</f>
        <v>#N/A</v>
      </c>
      <c r="CP332" t="e">
        <f>VLOOKUP(C332,装備品!$A:$AB,COLUMN(装備品!AB$1),FALSE)</f>
        <v>#N/A</v>
      </c>
      <c r="CR332" t="str">
        <f t="shared" si="43"/>
        <v>e_332</v>
      </c>
      <c r="CS332" t="e">
        <f t="shared" si="44"/>
        <v>#VALUE!</v>
      </c>
    </row>
    <row r="333" spans="1:97" hidden="1" outlineLevel="1" x14ac:dyDescent="0.4">
      <c r="A333" t="str">
        <f t="shared" si="46"/>
        <v>の</v>
      </c>
      <c r="B333" t="str">
        <f>IFERROR(IF(CI333="",VLOOKUP($D333,素材!$1:$1016,COLUMN($B$1),FALSE)&amp;"・"&amp;VLOOKUP($C333,装備品!$1:$998,COLUMN(B$1),FALSE),VLOOKUP($CI333,付与!$1:$1176,COLUMN($B$1),FALSE)&amp;"・"&amp;VLOOKUP($C333,装備品!$1:$998,COLUMN(B$1),FALSE)),"")</f>
        <v/>
      </c>
      <c r="C333" s="24"/>
      <c r="D333" s="24"/>
      <c r="E333" t="str">
        <f>IFERROR(VLOOKUP(C333,装備品!$1:$998,COLUMN(C$1),FALSE),"")</f>
        <v/>
      </c>
      <c r="F333" t="str">
        <f>IFERROR(ROUNDDOWN((VLOOKUP($C333,装備品!$1:$998,COLUMN(D$1),FALSE)+IFERROR(VLOOKUP($CI333,付与!$1:$1167,COLUMN(F$1),FALSE),0))*VLOOKUP($D333,素材!$1:$1016,COLUMN(D$1),FALSE),0),"")</f>
        <v/>
      </c>
      <c r="G333" t="str">
        <f>IFERROR(ROUNDDOWN((VLOOKUP($C333,装備品!$1:$998,COLUMN(E$1),FALSE)+IFERROR(VLOOKUP($CI333,付与!$1:$1167,COLUMN(G$1),FALSE),0))*VLOOKUP($D333,素材!$1:$1016,COLUMN($E$1),FALSE),0),"")</f>
        <v/>
      </c>
      <c r="H333" t="str">
        <f>IFERROR(ROUNDDOWN((VLOOKUP($C333,装備品!$1:$998,COLUMN(F$1),FALSE)+IFERROR(VLOOKUP($CI333,付与!$1:$1167,COLUMN(H$1),FALSE),0))*VLOOKUP($D333,素材!$1:$1016,COLUMN($E$1),FALSE),0),"")</f>
        <v/>
      </c>
      <c r="I333" t="str">
        <f>IFERROR(ROUNDDOWN((VLOOKUP($C333,装備品!$1:$998,COLUMN(G$1),FALSE)+IFERROR(VLOOKUP($CI333,付与!$1:$1167,COLUMN(I$1),FALSE),0))*VLOOKUP($D333,素材!$1:$1016,COLUMN($E$1),FALSE),0),"")</f>
        <v/>
      </c>
      <c r="J333" t="str">
        <f>IFERROR(ROUNDDOWN((VLOOKUP($C333,装備品!$1:$998,COLUMN(H$1),FALSE)+IFERROR(VLOOKUP($CI333,付与!$1:$1167,COLUMN(J$1),FALSE),0))*VLOOKUP($D333,素材!$1:$1016,COLUMN($E$1),FALSE),0),"")</f>
        <v/>
      </c>
      <c r="K333" t="str">
        <f>IFERROR(ROUNDDOWN((VLOOKUP($C333,装備品!$1:$998,COLUMN(I$1),FALSE)+IFERROR(VLOOKUP($CI333,付与!$1:$1167,COLUMN(K$1),FALSE),0))*VLOOKUP($D333,素材!$1:$1016,COLUMN($E$1),FALSE),0),"")</f>
        <v/>
      </c>
      <c r="L333" t="str">
        <f>IFERROR(VLOOKUP($D333,素材!$1:$1016,COLUMN($F$1),FALSE),"")</f>
        <v/>
      </c>
      <c r="M333" t="str">
        <f>IFERROR(VLOOKUP($C333,装備品!$1:$998,COLUMN(AA$1),FALSE)*VLOOKUP($D333,素材!$1:$1016,COLUMN($G$1),FALSE),"")</f>
        <v/>
      </c>
      <c r="N333" t="str">
        <f>IFERROR(VLOOKUP($C333,装備品!$1:$998,COLUMN(I$1),FALSE),"")</f>
        <v/>
      </c>
      <c r="O333" s="23" t="str">
        <f>IFERROR((VLOOKUP($C333,装備品!$1:$998,COLUMN(K$1),FALSE)+VLOOKUP($D333,素材!$1:$1016,COLUMN(H$1),FALSE))*100+IFERROR(VLOOKUP($CI333,付与!$1:$1167,COLUMN(O$1),FALSE),0),"")</f>
        <v/>
      </c>
      <c r="P333" s="23" t="str">
        <f>IFERROR((VLOOKUP($C333,装備品!$1:$998,COLUMN(L$1),FALSE)+VLOOKUP($D333,素材!$1:$1016,COLUMN(I$1),FALSE))*100+IFERROR(VLOOKUP($CI333,付与!$1:$1167,COLUMN(P$1),FALSE),0),"")</f>
        <v/>
      </c>
      <c r="Q333" t="str">
        <f>IFERROR(ROUNDUP(VLOOKUP($C333,装備品!$1:$998,COLUMN(M$1),FALSE)*(VLOOKUP($D333,素材!$1:$1002,COLUMN(D$1),FALSE)/100),1),"")</f>
        <v/>
      </c>
      <c r="R333" t="str">
        <f>IFERROR(ROUNDUP(VLOOKUP($C333,装備品!$1:$998,COLUMN(N$1),FALSE)*(VLOOKUP($D333,素材!$1:$1002,COLUMN(D$1),FALSE)/100),1),"")</f>
        <v/>
      </c>
      <c r="S333" t="str">
        <f>IFERROR(VLOOKUP($C333,装備品!$1:$998,COLUMN(P$1),FALSE),"")</f>
        <v/>
      </c>
      <c r="T333" t="str">
        <f>IFERROR(VLOOKUP($C333,装備品!$1:$998,COLUMN(Q$1),FALSE),"")</f>
        <v/>
      </c>
      <c r="U333" t="str">
        <f>IFERROR(VLOOKUP($C333,装備品!$1:$998,COLUMN(R$1),FALSE),"")</f>
        <v/>
      </c>
      <c r="V333" t="str">
        <f>IFERROR(VLOOKUP($C333,装備品!$1:$998,COLUMN(Q$1),FALSE),"")</f>
        <v/>
      </c>
      <c r="W333" t="str">
        <f>IFERROR(VLOOKUP($C333,装備品!$1:$998,COLUMN(T$1),FALSE),"")</f>
        <v/>
      </c>
      <c r="Y333" t="str">
        <f>IFERROR(VLOOKUP($C333,装備品!$1:$998,COLUMN(U$1),FALSE),"")</f>
        <v/>
      </c>
      <c r="Z333" t="str">
        <f>IFERROR(ROUNDUP(VLOOKUP($C333,装備品!$1:$998,COLUMN(O$1),FALSE)*VLOOKUP($D333,素材!$1:$1016,COLUMN(E$1),FALSE),1),"")</f>
        <v/>
      </c>
      <c r="AA333">
        <f>IF(ISNUMBER(SEARCH(SUBSTITUTE(AA$1,RIGHT(AA$1,2),""),VLOOKUP($D333,素材!$1:$1016,COLUMN($F$1),FALSE))),VLOOKUP($C333,装備品!$1:$998,COLUMN($O$1),FALSE)*VLOOKUP($D333,素材!$1:$1016,COLUMN($E$1),FALSE)/(LEN(VLOOKUP($D333,素材!$1:$1016,COLUMN($F$1),FALSE))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B333">
        <f>IF(ISNUMBER(SEARCH(SUBSTITUTE(AB$1,RIGHT(AB$1,2),""),VLOOKUP($D333,素材!$1:$1016,COLUMN($F$1),FALSE))),VLOOKUP($C333,装備品!$1:$998,COLUMN($O$1),FALSE)*VLOOKUP($D333,素材!$1:$1016,COLUMN($E$1),FALSE)/(LEN(VLOOKUP($D333,素材!$1:$1016,COLUMN($F$1),FALSE))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C333">
        <f>IF(ISNUMBER(SEARCH(SUBSTITUTE(AC$1,RIGHT(AC$1,2),""),VLOOKUP($D333,素材!$1:$1016,COLUMN($F$1),FALSE))),VLOOKUP($C333,装備品!$1:$998,COLUMN($O$1),FALSE)*VLOOKUP($D333,素材!$1:$1016,COLUMN($E$1),FALSE)/(LEN(VLOOKUP($D333,素材!$1:$1016,COLUMN($F$1),FALSE))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D333">
        <f>IF(ISNUMBER(SEARCH(SUBSTITUTE(AD$1,RIGHT(AD$1,2),""),VLOOKUP($D333,素材!$1:$1016,COLUMN($F$1),FALSE))),VLOOKUP($C333,装備品!$1:$998,COLUMN($O$1),FALSE)*VLOOKUP($D333,素材!$1:$1016,COLUMN($E$1),FALSE)/(LEN(VLOOKUP($D333,素材!$1:$1016,COLUMN($F$1),FALSE))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E333">
        <f>IF(ISNUMBER(SEARCH(SUBSTITUTE(AE$1,RIGHT(AE$1,2),""),VLOOKUP($D333,素材!$1:$1016,COLUMN($F$1),FALSE))),VLOOKUP($C333,装備品!$1:$998,COLUMN($O$1),FALSE)*VLOOKUP($D333,素材!$1:$1016,COLUMN($E$1),FALSE)/(LEN(VLOOKUP($D333,素材!$1:$1016,COLUMN($F$1),FALSE))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F333">
        <f>IF(ISNUMBER(SEARCH(SUBSTITUTE(AF$1,RIGHT(AF$1,2),""),VLOOKUP($D333,素材!$1:$1016,COLUMN($F$1),FALSE))),VLOOKUP($C333,装備品!$1:$998,COLUMN($O$1),FALSE)*VLOOKUP($D333,素材!$1:$1016,COLUMN($E$1),FALSE)/(LEN(VLOOKUP($D333,素材!$1:$1016,COLUMN($F$1),FALSE))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G333">
        <f>IF(ISNUMBER(SEARCH(SUBSTITUTE(AG$1,RIGHT(AG$1,2),""),VLOOKUP($D333,素材!$1:$1016,COLUMN($F$1),FALSE))),VLOOKUP($C333,装備品!$1:$998,COLUMN($O$1),FALSE)*VLOOKUP($D333,素材!$1:$1016,COLUMN($E$1),FALSE)/(LEN(VLOOKUP($D333,素材!$1:$1016,COLUMN($F$1),FALSE))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H333">
        <f>IF(ISNUMBER(SEARCH(SUBSTITUTE(AH$1,RIGHT(AH$1,2),""),VLOOKUP($D333,素材!$1:$1016,COLUMN($F$1),FALSE))),VLOOKUP($C333,装備品!$1:$998,COLUMN($O$1),FALSE)*VLOOKUP($D333,素材!$1:$1016,COLUMN($E$1),FALSE)/(LEN(VLOOKUP($D333,素材!$1:$1016,COLUMN($F$1),FALSE))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I333">
        <f>IF(ISNUMBER(SEARCH(SUBSTITUTE(AI$1,RIGHT(AI$1,2),""),VLOOKUP($D333,素材!$1:$1016,COLUMN($F$1),FALSE))),VLOOKUP($C333,装備品!$1:$998,COLUMN($O$1),FALSE)*VLOOKUP($D333,素材!$1:$1016,COLUMN($E$1),FALSE)/(LEN(VLOOKUP($D333,素材!$1:$1016,COLUMN($F$1),FALSE))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J333">
        <f>IF(ISNUMBER(SEARCH(SUBSTITUTE(AJ$1,RIGHT(AJ$1,2),""),VLOOKUP($D333,素材!$1:$1016,COLUMN($F$1),FALSE))),VLOOKUP($C333,装備品!$1:$998,COLUMN($O$1),FALSE)*VLOOKUP($D333,素材!$1:$1016,COLUMN($E$1),FALSE)/(LEN(VLOOKUP($D333,素材!$1:$1016,COLUMN($F$1),FALSE))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K333">
        <f>IF(ISNUMBER(SEARCH(SUBSTITUTE(AK$1,RIGHT(AK$1,2),""),VLOOKUP($D333,素材!$1:$1016,COLUMN($F$1),FALSE))),VLOOKUP($C333,装備品!$1:$998,COLUMN($O$1),FALSE)*VLOOKUP($D333,素材!$1:$1016,COLUMN($E$1),FALSE)/(LEN(VLOOKUP($D333,素材!$1:$1016,COLUMN($F$1),FALSE))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L333">
        <f>IF(ISNUMBER(SEARCH(SUBSTITUTE(AL$1,RIGHT(AL$1,2),""),VLOOKUP($D333,素材!$1:$1016,COLUMN($F$1),FALSE))),VLOOKUP($C333,装備品!$1:$998,COLUMN($O$1),FALSE)*VLOOKUP($D333,素材!$1:$1016,COLUMN($E$1),FALSE)/(LEN(VLOOKUP($D333,素材!$1:$1016,COLUMN($F$1),FALSE))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M333">
        <f>IF(ISNUMBER(SEARCH(SUBSTITUTE(AM$1,RIGHT(AM$1,2),""),VLOOKUP($D333,素材!$1:$1016,COLUMN($F$1),FALSE))),VLOOKUP($C333,装備品!$1:$998,COLUMN($O$1),FALSE)*VLOOKUP($D333,素材!$1:$1016,COLUMN($E$1),FALSE)/(LEN(VLOOKUP($D333,素材!$1:$1016,COLUMN($F$1),FALSE))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N333">
        <f>IF(ISNUMBER(SEARCH(SUBSTITUTE(AN$1,RIGHT(AN$1,2),""),VLOOKUP($D333,素材!$1:$1016,COLUMN($F$1),FALSE))),VLOOKUP($C333,装備品!$1:$998,COLUMN($O$1),FALSE)*VLOOKUP($D333,素材!$1:$1016,COLUMN($E$1),FALSE)/(LEN(VLOOKUP($D333,素材!$1:$1016,COLUMN($F$1),FALSE))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O333">
        <f>IF(ISNUMBER(SEARCH(SUBSTITUTE(AO$1,RIGHT(AO$1,2),""),VLOOKUP($D333,素材!$1:$1016,COLUMN($F$1),FALSE))),VLOOKUP($C333,装備品!$1:$998,COLUMN($O$1),FALSE)*VLOOKUP($D333,素材!$1:$1016,COLUMN($E$1),FALSE)/(LEN(VLOOKUP($D333,素材!$1:$1016,COLUMN($F$1),FALSE))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P333">
        <f>IF(ISNUMBER(SEARCH(SUBSTITUTE(AP$1,RIGHT(AP$1,2),""),VLOOKUP($D333,素材!$1:$1016,COLUMN($F$1),FALSE))),VLOOKUP($C333,装備品!$1:$998,COLUMN($O$1),FALSE)*VLOOKUP($D333,素材!$1:$1016,COLUMN($E$1),FALSE)/(LEN(VLOOKUP($D333,素材!$1:$1016,COLUMN($F$1),FALSE))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Q333">
        <f>IF(ISNUMBER(SEARCH(SUBSTITUTE(AQ$1,RIGHT(AQ$1,2),""),VLOOKUP($D333,素材!$1:$1016,COLUMN($F$1),FALSE))),VLOOKUP($C333,装備品!$1:$998,COLUMN($O$1),FALSE)*VLOOKUP($D333,素材!$1:$1016,COLUMN($E$1),FALSE)/(LEN(VLOOKUP($D333,素材!$1:$1016,COLUMN($F$1),FALSE))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R333">
        <f>IF(ISNUMBER(SEARCH(SUBSTITUTE(AR$1,RIGHT(AR$1,2),""),VLOOKUP($D333,素材!$1:$1016,COLUMN($F$1),FALSE))),VLOOKUP($C333,装備品!$1:$998,COLUMN($O$1),FALSE)*VLOOKUP($D333,素材!$1:$1016,COLUMN($E$1),FALSE)/(LEN(VLOOKUP($D333,素材!$1:$1016,COLUMN($F$1),FALSE))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S333">
        <f>IF(ISNUMBER(SEARCH(SUBSTITUTE(AS$1,RIGHT(AS$1,2),""),VLOOKUP($D333,素材!$1:$1016,COLUMN($F$1),FALSE))),VLOOKUP($C333,装備品!$1:$998,COLUMN($O$1),FALSE)*VLOOKUP($D333,素材!$1:$1016,COLUMN($E$1),FALSE)/(LEN(VLOOKUP($D333,素材!$1:$1016,COLUMN($F$1),FALSE))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T333">
        <f>IF(ISNUMBER(SEARCH(SUBSTITUTE(AT$1,RIGHT(AT$1,2),""),VLOOKUP($D333,素材!$1:$1016,COLUMN($F$1),FALSE))),VLOOKUP($C333,装備品!$1:$998,COLUMN($O$1),FALSE)*VLOOKUP($D333,素材!$1:$1016,COLUMN($E$1),FALSE)/(LEN(VLOOKUP($D333,素材!$1:$1016,COLUMN($F$1),FALSE))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U333">
        <f>IF(ISNUMBER(SEARCH(SUBSTITUTE(AU$1,RIGHT(AU$1,2),""),VLOOKUP($D333,素材!$1:$1016,COLUMN($F$1),FALSE))),VLOOKUP($C333,装備品!$1:$998,COLUMN($O$1),FALSE)*VLOOKUP($D333,素材!$1:$1016,COLUMN($E$1),FALSE)/(LEN(VLOOKUP($D333,素材!$1:$1016,COLUMN($F$1),FALSE))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V333">
        <f>IF(ISNUMBER(SEARCH(SUBSTITUTE(AV$1,RIGHT(AV$1,2),""),VLOOKUP($D333,素材!$1:$1016,COLUMN($F$1),FALSE))),VLOOKUP($C333,装備品!$1:$998,COLUMN($O$1),FALSE)*VLOOKUP($D333,素材!$1:$1016,COLUMN($E$1),FALSE)/(LEN(VLOOKUP($D333,素材!$1:$1016,COLUMN($F$1),FALSE))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W333">
        <f>IF(ISNUMBER(SEARCH(SUBSTITUTE(AW$1,RIGHT(AW$1,2),""),VLOOKUP($D333,素材!$1:$1016,COLUMN($F$1),FALSE))),VLOOKUP($C333,装備品!$1:$998,COLUMN($O$1),FALSE)*VLOOKUP($D333,素材!$1:$1016,COLUMN($E$1),FALSE)/(LEN(VLOOKUP($D333,素材!$1:$1016,COLUMN($F$1),FALSE))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X333">
        <f>IF(ISNUMBER(SEARCH(SUBSTITUTE(AX$1,RIGHT(AX$1,2),""),VLOOKUP($D333,素材!$1:$1016,COLUMN($F$1),FALSE))),VLOOKUP($C333,装備品!$1:$998,COLUMN($O$1),FALSE)*VLOOKUP($D333,素材!$1:$1016,COLUMN($E$1),FALSE)/(LEN(VLOOKUP($D333,素材!$1:$1016,COLUMN($F$1),FALSE))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Y333">
        <f>IF(ISNUMBER(SEARCH(SUBSTITUTE(AY$1,RIGHT(AY$1,2),""),VLOOKUP($D333,素材!$1:$1016,COLUMN($F$1),FALSE))),VLOOKUP($C333,装備品!$1:$998,COLUMN($O$1),FALSE)*VLOOKUP($D333,素材!$1:$1016,COLUMN($E$1),FALSE)/(LEN(VLOOKUP($D333,素材!$1:$1016,COLUMN($F$1),FALSE))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Z333">
        <f>IF(ISNUMBER(SEARCH(SUBSTITUTE(AZ$1,RIGHT(AZ$1,2),""),VLOOKUP($D333,素材!$1:$1016,COLUMN($F$1),FALSE))),VLOOKUP($C333,装備品!$1:$998,COLUMN($O$1),FALSE)*VLOOKUP($D333,素材!$1:$1016,COLUMN($E$1),FALSE)/(LEN(VLOOKUP($D333,素材!$1:$1016,COLUMN($F$1),FALSE))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BA333">
        <f>IF(ISNUMBER(SEARCH(SUBSTITUTE(BA$1,RIGHT(BA$1,2),""),VLOOKUP($D333,素材!$1:$1016,COLUMN($F$1),FALSE))),VLOOKUP($C333,装備品!$1:$998,COLUMN($O$1),FALSE)*VLOOKUP($D333,素材!$1:$1016,COLUMN($E$1),FALSE)/(LEN(VLOOKUP($D333,素材!$1:$1016,COLUMN($F$1),FALSE))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BB333">
        <f>IF(ISNUMBER(SEARCH(SUBSTITUTE(BB$1,RIGHT(BB$1,2),""),VLOOKUP($D333,素材!$1:$1016,COLUMN($F$1),FALSE))),VLOOKUP($C333,装備品!$1:$998,COLUMN($O$1),FALSE)*VLOOKUP($D333,素材!$1:$1016,COLUMN($E$1),FALSE)/(LEN(VLOOKUP($D333,素材!$1:$1016,COLUMN($F$1),FALSE))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BC333">
        <f>IF(ISNUMBER(SEARCH(SUBSTITUTE(BC$1,RIGHT(BC$1,2),""),VLOOKUP($D333,素材!$1:$1016,COLUMN($F$1),FALSE))),VLOOKUP($C333,装備品!$1:$998,COLUMN($O$1),FALSE)*VLOOKUP($D333,素材!$1:$1016,COLUMN($E$1),FALSE)/(LEN(VLOOKUP($D333,素材!$1:$1016,COLUMN($F$1),FALSE))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BD333">
        <f>IF(ISNUMBER(SEARCH(SUBSTITUTE(BD$1,RIGHT(BD$1,2),""),VLOOKUP($D333,素材!$1:$1016,COLUMN($F$1),FALSE))),VLOOKUP($C333,装備品!$1:$998,COLUMN($O$1),FALSE)*VLOOKUP($D333,素材!$1:$1016,COLUMN($E$1),FALSE)/(LEN(VLOOKUP($D333,素材!$1:$1016,COLUMN($F$1),FALSE))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BE333">
        <f>IF(ISNUMBER(SEARCH(SUBSTITUTE(BE$1,RIGHT(BE$1,2),""),VLOOKUP($D333,素材!$1:$1016,COLUMN($F$1),FALSE))),VLOOKUP($C333,装備品!$1:$998,COLUMN($O$1),FALSE)*VLOOKUP($D333,素材!$1:$1016,COLUMN($E$1),FALSE)/(LEN(VLOOKUP($D333,素材!$1:$1016,COLUMN($F$1),FALSE))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CL333">
        <f t="shared" si="47"/>
        <v>0</v>
      </c>
      <c r="CM333" s="22" t="str">
        <f t="shared" si="48"/>
        <v>.webp</v>
      </c>
      <c r="CN333" t="str">
        <f>IFERROR(VLOOKUP($C333,装備品!$1:$998,COLUMN(V$1),FALSE)*VLOOKUP($D333,素材!$1:$1016,COLUMN(N$1),FALSE)+IF(CI333="",0,VLOOKUP($CI333,付与!$1:$1176,COLUMN($CK$1),FALSE)),"")</f>
        <v/>
      </c>
      <c r="CO333" t="e">
        <f>VLOOKUP(D333,素材!$A:$O,COLUMN(素材!O$1),FALSE)</f>
        <v>#N/A</v>
      </c>
      <c r="CP333" t="e">
        <f>VLOOKUP(C333,装備品!$A:$AB,COLUMN(装備品!AB$1),FALSE)</f>
        <v>#N/A</v>
      </c>
      <c r="CR333" t="str">
        <f t="shared" si="43"/>
        <v>e_333</v>
      </c>
      <c r="CS333" t="e">
        <f t="shared" si="44"/>
        <v>#VALUE!</v>
      </c>
    </row>
    <row r="334" spans="1:97" hidden="1" outlineLevel="1" x14ac:dyDescent="0.4">
      <c r="A334" t="str">
        <f t="shared" si="46"/>
        <v>の</v>
      </c>
      <c r="B334" t="str">
        <f>IFERROR(IF(CI334="",VLOOKUP($D334,素材!$1:$1016,COLUMN($B$1),FALSE)&amp;"・"&amp;VLOOKUP($C334,装備品!$1:$998,COLUMN(B$1),FALSE),VLOOKUP($CI334,付与!$1:$1176,COLUMN($B$1),FALSE)&amp;"・"&amp;VLOOKUP($C334,装備品!$1:$998,COLUMN(B$1),FALSE)),"")</f>
        <v/>
      </c>
      <c r="C334" s="24"/>
      <c r="D334" s="24"/>
      <c r="E334" t="str">
        <f>IFERROR(VLOOKUP(C334,装備品!$1:$998,COLUMN(C$1),FALSE),"")</f>
        <v/>
      </c>
      <c r="F334" t="str">
        <f>IFERROR(ROUNDDOWN((VLOOKUP($C334,装備品!$1:$998,COLUMN(D$1),FALSE)+IFERROR(VLOOKUP($CI334,付与!$1:$1167,COLUMN(F$1),FALSE),0))*VLOOKUP($D334,素材!$1:$1016,COLUMN(D$1),FALSE),0),"")</f>
        <v/>
      </c>
      <c r="G334" t="str">
        <f>IFERROR(ROUNDDOWN((VLOOKUP($C334,装備品!$1:$998,COLUMN(E$1),FALSE)+IFERROR(VLOOKUP($CI334,付与!$1:$1167,COLUMN(G$1),FALSE),0))*VLOOKUP($D334,素材!$1:$1016,COLUMN($E$1),FALSE),0),"")</f>
        <v/>
      </c>
      <c r="H334" t="str">
        <f>IFERROR(ROUNDDOWN((VLOOKUP($C334,装備品!$1:$998,COLUMN(F$1),FALSE)+IFERROR(VLOOKUP($CI334,付与!$1:$1167,COLUMN(H$1),FALSE),0))*VLOOKUP($D334,素材!$1:$1016,COLUMN($E$1),FALSE),0),"")</f>
        <v/>
      </c>
      <c r="I334" t="str">
        <f>IFERROR(ROUNDDOWN((VLOOKUP($C334,装備品!$1:$998,COLUMN(G$1),FALSE)+IFERROR(VLOOKUP($CI334,付与!$1:$1167,COLUMN(I$1),FALSE),0))*VLOOKUP($D334,素材!$1:$1016,COLUMN($E$1),FALSE),0),"")</f>
        <v/>
      </c>
      <c r="J334" t="str">
        <f>IFERROR(ROUNDDOWN((VLOOKUP($C334,装備品!$1:$998,COLUMN(H$1),FALSE)+IFERROR(VLOOKUP($CI334,付与!$1:$1167,COLUMN(J$1),FALSE),0))*VLOOKUP($D334,素材!$1:$1016,COLUMN($E$1),FALSE),0),"")</f>
        <v/>
      </c>
      <c r="K334" t="str">
        <f>IFERROR(ROUNDDOWN((VLOOKUP($C334,装備品!$1:$998,COLUMN(I$1),FALSE)+IFERROR(VLOOKUP($CI334,付与!$1:$1167,COLUMN(K$1),FALSE),0))*VLOOKUP($D334,素材!$1:$1016,COLUMN($E$1),FALSE),0),"")</f>
        <v/>
      </c>
      <c r="L334" t="str">
        <f>IFERROR(VLOOKUP($D334,素材!$1:$1016,COLUMN($F$1),FALSE),"")</f>
        <v/>
      </c>
      <c r="M334" t="str">
        <f>IFERROR(VLOOKUP($C334,装備品!$1:$998,COLUMN(AA$1),FALSE)*VLOOKUP($D334,素材!$1:$1016,COLUMN($G$1),FALSE),"")</f>
        <v/>
      </c>
      <c r="N334" t="str">
        <f>IFERROR(VLOOKUP($C334,装備品!$1:$998,COLUMN(I$1),FALSE),"")</f>
        <v/>
      </c>
      <c r="O334" s="23" t="str">
        <f>IFERROR((VLOOKUP($C334,装備品!$1:$998,COLUMN(K$1),FALSE)+VLOOKUP($D334,素材!$1:$1016,COLUMN(H$1),FALSE))*100+IFERROR(VLOOKUP($CI334,付与!$1:$1167,COLUMN(O$1),FALSE),0),"")</f>
        <v/>
      </c>
      <c r="P334" s="23" t="str">
        <f>IFERROR((VLOOKUP($C334,装備品!$1:$998,COLUMN(L$1),FALSE)+VLOOKUP($D334,素材!$1:$1016,COLUMN(I$1),FALSE))*100+IFERROR(VLOOKUP($CI334,付与!$1:$1167,COLUMN(P$1),FALSE),0),"")</f>
        <v/>
      </c>
      <c r="Q334" t="str">
        <f>IFERROR(ROUNDUP(VLOOKUP($C334,装備品!$1:$998,COLUMN(M$1),FALSE)*(VLOOKUP($D334,素材!$1:$1002,COLUMN(D$1),FALSE)/100),1),"")</f>
        <v/>
      </c>
      <c r="R334" t="str">
        <f>IFERROR(ROUNDUP(VLOOKUP($C334,装備品!$1:$998,COLUMN(N$1),FALSE)*(VLOOKUP($D334,素材!$1:$1002,COLUMN(D$1),FALSE)/100),1),"")</f>
        <v/>
      </c>
      <c r="S334" t="str">
        <f>IFERROR(VLOOKUP($C334,装備品!$1:$998,COLUMN(P$1),FALSE),"")</f>
        <v/>
      </c>
      <c r="T334" t="str">
        <f>IFERROR(VLOOKUP($C334,装備品!$1:$998,COLUMN(Q$1),FALSE),"")</f>
        <v/>
      </c>
      <c r="U334" t="str">
        <f>IFERROR(VLOOKUP($C334,装備品!$1:$998,COLUMN(R$1),FALSE),"")</f>
        <v/>
      </c>
      <c r="V334" t="str">
        <f>IFERROR(VLOOKUP($C334,装備品!$1:$998,COLUMN(Q$1),FALSE),"")</f>
        <v/>
      </c>
      <c r="W334" t="str">
        <f>IFERROR(VLOOKUP($C334,装備品!$1:$998,COLUMN(T$1),FALSE),"")</f>
        <v/>
      </c>
      <c r="Y334" t="str">
        <f>IFERROR(VLOOKUP($C334,装備品!$1:$998,COLUMN(U$1),FALSE),"")</f>
        <v/>
      </c>
      <c r="Z334" t="str">
        <f>IFERROR(ROUNDUP(VLOOKUP($C334,装備品!$1:$998,COLUMN(O$1),FALSE)*VLOOKUP($D334,素材!$1:$1016,COLUMN(E$1),FALSE),1),"")</f>
        <v/>
      </c>
      <c r="AA334">
        <f>IF(ISNUMBER(SEARCH(SUBSTITUTE(AA$1,RIGHT(AA$1,2),""),VLOOKUP($D334,素材!$1:$1016,COLUMN($F$1),FALSE))),VLOOKUP($C334,装備品!$1:$998,COLUMN($O$1),FALSE)*VLOOKUP($D334,素材!$1:$1016,COLUMN($E$1),FALSE)/(LEN(VLOOKUP($D334,素材!$1:$1016,COLUMN($F$1),FALSE))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B334">
        <f>IF(ISNUMBER(SEARCH(SUBSTITUTE(AB$1,RIGHT(AB$1,2),""),VLOOKUP($D334,素材!$1:$1016,COLUMN($F$1),FALSE))),VLOOKUP($C334,装備品!$1:$998,COLUMN($O$1),FALSE)*VLOOKUP($D334,素材!$1:$1016,COLUMN($E$1),FALSE)/(LEN(VLOOKUP($D334,素材!$1:$1016,COLUMN($F$1),FALSE))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C334">
        <f>IF(ISNUMBER(SEARCH(SUBSTITUTE(AC$1,RIGHT(AC$1,2),""),VLOOKUP($D334,素材!$1:$1016,COLUMN($F$1),FALSE))),VLOOKUP($C334,装備品!$1:$998,COLUMN($O$1),FALSE)*VLOOKUP($D334,素材!$1:$1016,COLUMN($E$1),FALSE)/(LEN(VLOOKUP($D334,素材!$1:$1016,COLUMN($F$1),FALSE))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D334">
        <f>IF(ISNUMBER(SEARCH(SUBSTITUTE(AD$1,RIGHT(AD$1,2),""),VLOOKUP($D334,素材!$1:$1016,COLUMN($F$1),FALSE))),VLOOKUP($C334,装備品!$1:$998,COLUMN($O$1),FALSE)*VLOOKUP($D334,素材!$1:$1016,COLUMN($E$1),FALSE)/(LEN(VLOOKUP($D334,素材!$1:$1016,COLUMN($F$1),FALSE))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E334">
        <f>IF(ISNUMBER(SEARCH(SUBSTITUTE(AE$1,RIGHT(AE$1,2),""),VLOOKUP($D334,素材!$1:$1016,COLUMN($F$1),FALSE))),VLOOKUP($C334,装備品!$1:$998,COLUMN($O$1),FALSE)*VLOOKUP($D334,素材!$1:$1016,COLUMN($E$1),FALSE)/(LEN(VLOOKUP($D334,素材!$1:$1016,COLUMN($F$1),FALSE))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F334">
        <f>IF(ISNUMBER(SEARCH(SUBSTITUTE(AF$1,RIGHT(AF$1,2),""),VLOOKUP($D334,素材!$1:$1016,COLUMN($F$1),FALSE))),VLOOKUP($C334,装備品!$1:$998,COLUMN($O$1),FALSE)*VLOOKUP($D334,素材!$1:$1016,COLUMN($E$1),FALSE)/(LEN(VLOOKUP($D334,素材!$1:$1016,COLUMN($F$1),FALSE))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G334">
        <f>IF(ISNUMBER(SEARCH(SUBSTITUTE(AG$1,RIGHT(AG$1,2),""),VLOOKUP($D334,素材!$1:$1016,COLUMN($F$1),FALSE))),VLOOKUP($C334,装備品!$1:$998,COLUMN($O$1),FALSE)*VLOOKUP($D334,素材!$1:$1016,COLUMN($E$1),FALSE)/(LEN(VLOOKUP($D334,素材!$1:$1016,COLUMN($F$1),FALSE))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H334">
        <f>IF(ISNUMBER(SEARCH(SUBSTITUTE(AH$1,RIGHT(AH$1,2),""),VLOOKUP($D334,素材!$1:$1016,COLUMN($F$1),FALSE))),VLOOKUP($C334,装備品!$1:$998,COLUMN($O$1),FALSE)*VLOOKUP($D334,素材!$1:$1016,COLUMN($E$1),FALSE)/(LEN(VLOOKUP($D334,素材!$1:$1016,COLUMN($F$1),FALSE))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I334">
        <f>IF(ISNUMBER(SEARCH(SUBSTITUTE(AI$1,RIGHT(AI$1,2),""),VLOOKUP($D334,素材!$1:$1016,COLUMN($F$1),FALSE))),VLOOKUP($C334,装備品!$1:$998,COLUMN($O$1),FALSE)*VLOOKUP($D334,素材!$1:$1016,COLUMN($E$1),FALSE)/(LEN(VLOOKUP($D334,素材!$1:$1016,COLUMN($F$1),FALSE))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J334">
        <f>IF(ISNUMBER(SEARCH(SUBSTITUTE(AJ$1,RIGHT(AJ$1,2),""),VLOOKUP($D334,素材!$1:$1016,COLUMN($F$1),FALSE))),VLOOKUP($C334,装備品!$1:$998,COLUMN($O$1),FALSE)*VLOOKUP($D334,素材!$1:$1016,COLUMN($E$1),FALSE)/(LEN(VLOOKUP($D334,素材!$1:$1016,COLUMN($F$1),FALSE))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K334">
        <f>IF(ISNUMBER(SEARCH(SUBSTITUTE(AK$1,RIGHT(AK$1,2),""),VLOOKUP($D334,素材!$1:$1016,COLUMN($F$1),FALSE))),VLOOKUP($C334,装備品!$1:$998,COLUMN($O$1),FALSE)*VLOOKUP($D334,素材!$1:$1016,COLUMN($E$1),FALSE)/(LEN(VLOOKUP($D334,素材!$1:$1016,COLUMN($F$1),FALSE))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L334">
        <f>IF(ISNUMBER(SEARCH(SUBSTITUTE(AL$1,RIGHT(AL$1,2),""),VLOOKUP($D334,素材!$1:$1016,COLUMN($F$1),FALSE))),VLOOKUP($C334,装備品!$1:$998,COLUMN($O$1),FALSE)*VLOOKUP($D334,素材!$1:$1016,COLUMN($E$1),FALSE)/(LEN(VLOOKUP($D334,素材!$1:$1016,COLUMN($F$1),FALSE))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M334">
        <f>IF(ISNUMBER(SEARCH(SUBSTITUTE(AM$1,RIGHT(AM$1,2),""),VLOOKUP($D334,素材!$1:$1016,COLUMN($F$1),FALSE))),VLOOKUP($C334,装備品!$1:$998,COLUMN($O$1),FALSE)*VLOOKUP($D334,素材!$1:$1016,COLUMN($E$1),FALSE)/(LEN(VLOOKUP($D334,素材!$1:$1016,COLUMN($F$1),FALSE))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N334">
        <f>IF(ISNUMBER(SEARCH(SUBSTITUTE(AN$1,RIGHT(AN$1,2),""),VLOOKUP($D334,素材!$1:$1016,COLUMN($F$1),FALSE))),VLOOKUP($C334,装備品!$1:$998,COLUMN($O$1),FALSE)*VLOOKUP($D334,素材!$1:$1016,COLUMN($E$1),FALSE)/(LEN(VLOOKUP($D334,素材!$1:$1016,COLUMN($F$1),FALSE))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O334">
        <f>IF(ISNUMBER(SEARCH(SUBSTITUTE(AO$1,RIGHT(AO$1,2),""),VLOOKUP($D334,素材!$1:$1016,COLUMN($F$1),FALSE))),VLOOKUP($C334,装備品!$1:$998,COLUMN($O$1),FALSE)*VLOOKUP($D334,素材!$1:$1016,COLUMN($E$1),FALSE)/(LEN(VLOOKUP($D334,素材!$1:$1016,COLUMN($F$1),FALSE))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P334">
        <f>IF(ISNUMBER(SEARCH(SUBSTITUTE(AP$1,RIGHT(AP$1,2),""),VLOOKUP($D334,素材!$1:$1016,COLUMN($F$1),FALSE))),VLOOKUP($C334,装備品!$1:$998,COLUMN($O$1),FALSE)*VLOOKUP($D334,素材!$1:$1016,COLUMN($E$1),FALSE)/(LEN(VLOOKUP($D334,素材!$1:$1016,COLUMN($F$1),FALSE))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Q334">
        <f>IF(ISNUMBER(SEARCH(SUBSTITUTE(AQ$1,RIGHT(AQ$1,2),""),VLOOKUP($D334,素材!$1:$1016,COLUMN($F$1),FALSE))),VLOOKUP($C334,装備品!$1:$998,COLUMN($O$1),FALSE)*VLOOKUP($D334,素材!$1:$1016,COLUMN($E$1),FALSE)/(LEN(VLOOKUP($D334,素材!$1:$1016,COLUMN($F$1),FALSE))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R334">
        <f>IF(ISNUMBER(SEARCH(SUBSTITUTE(AR$1,RIGHT(AR$1,2),""),VLOOKUP($D334,素材!$1:$1016,COLUMN($F$1),FALSE))),VLOOKUP($C334,装備品!$1:$998,COLUMN($O$1),FALSE)*VLOOKUP($D334,素材!$1:$1016,COLUMN($E$1),FALSE)/(LEN(VLOOKUP($D334,素材!$1:$1016,COLUMN($F$1),FALSE))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S334">
        <f>IF(ISNUMBER(SEARCH(SUBSTITUTE(AS$1,RIGHT(AS$1,2),""),VLOOKUP($D334,素材!$1:$1016,COLUMN($F$1),FALSE))),VLOOKUP($C334,装備品!$1:$998,COLUMN($O$1),FALSE)*VLOOKUP($D334,素材!$1:$1016,COLUMN($E$1),FALSE)/(LEN(VLOOKUP($D334,素材!$1:$1016,COLUMN($F$1),FALSE))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T334">
        <f>IF(ISNUMBER(SEARCH(SUBSTITUTE(AT$1,RIGHT(AT$1,2),""),VLOOKUP($D334,素材!$1:$1016,COLUMN($F$1),FALSE))),VLOOKUP($C334,装備品!$1:$998,COLUMN($O$1),FALSE)*VLOOKUP($D334,素材!$1:$1016,COLUMN($E$1),FALSE)/(LEN(VLOOKUP($D334,素材!$1:$1016,COLUMN($F$1),FALSE))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U334">
        <f>IF(ISNUMBER(SEARCH(SUBSTITUTE(AU$1,RIGHT(AU$1,2),""),VLOOKUP($D334,素材!$1:$1016,COLUMN($F$1),FALSE))),VLOOKUP($C334,装備品!$1:$998,COLUMN($O$1),FALSE)*VLOOKUP($D334,素材!$1:$1016,COLUMN($E$1),FALSE)/(LEN(VLOOKUP($D334,素材!$1:$1016,COLUMN($F$1),FALSE))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V334">
        <f>IF(ISNUMBER(SEARCH(SUBSTITUTE(AV$1,RIGHT(AV$1,2),""),VLOOKUP($D334,素材!$1:$1016,COLUMN($F$1),FALSE))),VLOOKUP($C334,装備品!$1:$998,COLUMN($O$1),FALSE)*VLOOKUP($D334,素材!$1:$1016,COLUMN($E$1),FALSE)/(LEN(VLOOKUP($D334,素材!$1:$1016,COLUMN($F$1),FALSE))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W334">
        <f>IF(ISNUMBER(SEARCH(SUBSTITUTE(AW$1,RIGHT(AW$1,2),""),VLOOKUP($D334,素材!$1:$1016,COLUMN($F$1),FALSE))),VLOOKUP($C334,装備品!$1:$998,COLUMN($O$1),FALSE)*VLOOKUP($D334,素材!$1:$1016,COLUMN($E$1),FALSE)/(LEN(VLOOKUP($D334,素材!$1:$1016,COLUMN($F$1),FALSE))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X334">
        <f>IF(ISNUMBER(SEARCH(SUBSTITUTE(AX$1,RIGHT(AX$1,2),""),VLOOKUP($D334,素材!$1:$1016,COLUMN($F$1),FALSE))),VLOOKUP($C334,装備品!$1:$998,COLUMN($O$1),FALSE)*VLOOKUP($D334,素材!$1:$1016,COLUMN($E$1),FALSE)/(LEN(VLOOKUP($D334,素材!$1:$1016,COLUMN($F$1),FALSE))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Y334">
        <f>IF(ISNUMBER(SEARCH(SUBSTITUTE(AY$1,RIGHT(AY$1,2),""),VLOOKUP($D334,素材!$1:$1016,COLUMN($F$1),FALSE))),VLOOKUP($C334,装備品!$1:$998,COLUMN($O$1),FALSE)*VLOOKUP($D334,素材!$1:$1016,COLUMN($E$1),FALSE)/(LEN(VLOOKUP($D334,素材!$1:$1016,COLUMN($F$1),FALSE))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Z334">
        <f>IF(ISNUMBER(SEARCH(SUBSTITUTE(AZ$1,RIGHT(AZ$1,2),""),VLOOKUP($D334,素材!$1:$1016,COLUMN($F$1),FALSE))),VLOOKUP($C334,装備品!$1:$998,COLUMN($O$1),FALSE)*VLOOKUP($D334,素材!$1:$1016,COLUMN($E$1),FALSE)/(LEN(VLOOKUP($D334,素材!$1:$1016,COLUMN($F$1),FALSE))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BA334">
        <f>IF(ISNUMBER(SEARCH(SUBSTITUTE(BA$1,RIGHT(BA$1,2),""),VLOOKUP($D334,素材!$1:$1016,COLUMN($F$1),FALSE))),VLOOKUP($C334,装備品!$1:$998,COLUMN($O$1),FALSE)*VLOOKUP($D334,素材!$1:$1016,COLUMN($E$1),FALSE)/(LEN(VLOOKUP($D334,素材!$1:$1016,COLUMN($F$1),FALSE))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BB334">
        <f>IF(ISNUMBER(SEARCH(SUBSTITUTE(BB$1,RIGHT(BB$1,2),""),VLOOKUP($D334,素材!$1:$1016,COLUMN($F$1),FALSE))),VLOOKUP($C334,装備品!$1:$998,COLUMN($O$1),FALSE)*VLOOKUP($D334,素材!$1:$1016,COLUMN($E$1),FALSE)/(LEN(VLOOKUP($D334,素材!$1:$1016,COLUMN($F$1),FALSE))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BC334">
        <f>IF(ISNUMBER(SEARCH(SUBSTITUTE(BC$1,RIGHT(BC$1,2),""),VLOOKUP($D334,素材!$1:$1016,COLUMN($F$1),FALSE))),VLOOKUP($C334,装備品!$1:$998,COLUMN($O$1),FALSE)*VLOOKUP($D334,素材!$1:$1016,COLUMN($E$1),FALSE)/(LEN(VLOOKUP($D334,素材!$1:$1016,COLUMN($F$1),FALSE))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BD334">
        <f>IF(ISNUMBER(SEARCH(SUBSTITUTE(BD$1,RIGHT(BD$1,2),""),VLOOKUP($D334,素材!$1:$1016,COLUMN($F$1),FALSE))),VLOOKUP($C334,装備品!$1:$998,COLUMN($O$1),FALSE)*VLOOKUP($D334,素材!$1:$1016,COLUMN($E$1),FALSE)/(LEN(VLOOKUP($D334,素材!$1:$1016,COLUMN($F$1),FALSE))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BE334">
        <f>IF(ISNUMBER(SEARCH(SUBSTITUTE(BE$1,RIGHT(BE$1,2),""),VLOOKUP($D334,素材!$1:$1016,COLUMN($F$1),FALSE))),VLOOKUP($C334,装備品!$1:$998,COLUMN($O$1),FALSE)*VLOOKUP($D334,素材!$1:$1016,COLUMN($E$1),FALSE)/(LEN(VLOOKUP($D334,素材!$1:$1016,COLUMN($F$1),FALSE))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CL334">
        <f t="shared" si="47"/>
        <v>0</v>
      </c>
      <c r="CM334" s="22" t="str">
        <f t="shared" si="48"/>
        <v>.webp</v>
      </c>
      <c r="CN334" t="str">
        <f>IFERROR(VLOOKUP($C334,装備品!$1:$998,COLUMN(V$1),FALSE)*VLOOKUP($D334,素材!$1:$1016,COLUMN(N$1),FALSE)+IF(CI334="",0,VLOOKUP($CI334,付与!$1:$1176,COLUMN($CK$1),FALSE)),"")</f>
        <v/>
      </c>
      <c r="CO334" t="e">
        <f>VLOOKUP(D334,素材!$A:$O,COLUMN(素材!O$1),FALSE)</f>
        <v>#N/A</v>
      </c>
      <c r="CP334" t="e">
        <f>VLOOKUP(C334,装備品!$A:$AB,COLUMN(装備品!AB$1),FALSE)</f>
        <v>#N/A</v>
      </c>
      <c r="CR334" t="str">
        <f t="shared" ref="CR334:CR365" si="49">"e_"&amp;ROW(CR334)</f>
        <v>e_334</v>
      </c>
      <c r="CS334" t="e">
        <f t="shared" si="44"/>
        <v>#VALUE!</v>
      </c>
    </row>
    <row r="335" spans="1:97" hidden="1" outlineLevel="1" x14ac:dyDescent="0.4">
      <c r="A335" t="str">
        <f t="shared" si="46"/>
        <v>の</v>
      </c>
      <c r="B335" t="str">
        <f>IFERROR(IF(CI335="",VLOOKUP($D335,素材!$1:$1016,COLUMN($B$1),FALSE)&amp;"・"&amp;VLOOKUP($C335,装備品!$1:$998,COLUMN(B$1),FALSE),VLOOKUP($CI335,付与!$1:$1176,COLUMN($B$1),FALSE)&amp;"・"&amp;VLOOKUP($C335,装備品!$1:$998,COLUMN(B$1),FALSE)),"")</f>
        <v/>
      </c>
      <c r="C335" s="24"/>
      <c r="D335" s="24"/>
      <c r="E335" t="str">
        <f>IFERROR(VLOOKUP(C335,装備品!$1:$998,COLUMN(C$1),FALSE),"")</f>
        <v/>
      </c>
      <c r="F335" t="str">
        <f>IFERROR(ROUNDDOWN((VLOOKUP($C335,装備品!$1:$998,COLUMN(D$1),FALSE)+IFERROR(VLOOKUP($CI335,付与!$1:$1167,COLUMN(F$1),FALSE),0))*VLOOKUP($D335,素材!$1:$1016,COLUMN(D$1),FALSE),0),"")</f>
        <v/>
      </c>
      <c r="G335" t="str">
        <f>IFERROR(ROUNDDOWN((VLOOKUP($C335,装備品!$1:$998,COLUMN(E$1),FALSE)+IFERROR(VLOOKUP($CI335,付与!$1:$1167,COLUMN(G$1),FALSE),0))*VLOOKUP($D335,素材!$1:$1016,COLUMN($E$1),FALSE),0),"")</f>
        <v/>
      </c>
      <c r="H335" t="str">
        <f>IFERROR(ROUNDDOWN((VLOOKUP($C335,装備品!$1:$998,COLUMN(F$1),FALSE)+IFERROR(VLOOKUP($CI335,付与!$1:$1167,COLUMN(H$1),FALSE),0))*VLOOKUP($D335,素材!$1:$1016,COLUMN($E$1),FALSE),0),"")</f>
        <v/>
      </c>
      <c r="I335" t="str">
        <f>IFERROR(ROUNDDOWN((VLOOKUP($C335,装備品!$1:$998,COLUMN(G$1),FALSE)+IFERROR(VLOOKUP($CI335,付与!$1:$1167,COLUMN(I$1),FALSE),0))*VLOOKUP($D335,素材!$1:$1016,COLUMN($E$1),FALSE),0),"")</f>
        <v/>
      </c>
      <c r="J335" t="str">
        <f>IFERROR(ROUNDDOWN((VLOOKUP($C335,装備品!$1:$998,COLUMN(H$1),FALSE)+IFERROR(VLOOKUP($CI335,付与!$1:$1167,COLUMN(J$1),FALSE),0))*VLOOKUP($D335,素材!$1:$1016,COLUMN($E$1),FALSE),0),"")</f>
        <v/>
      </c>
      <c r="K335" t="str">
        <f>IFERROR(ROUNDDOWN((VLOOKUP($C335,装備品!$1:$998,COLUMN(I$1),FALSE)+IFERROR(VLOOKUP($CI335,付与!$1:$1167,COLUMN(K$1),FALSE),0))*VLOOKUP($D335,素材!$1:$1016,COLUMN($E$1),FALSE),0),"")</f>
        <v/>
      </c>
      <c r="L335" t="str">
        <f>IFERROR(VLOOKUP($D335,素材!$1:$1016,COLUMN($F$1),FALSE),"")</f>
        <v/>
      </c>
      <c r="M335" t="str">
        <f>IFERROR(VLOOKUP($C335,装備品!$1:$998,COLUMN(AA$1),FALSE)*VLOOKUP($D335,素材!$1:$1016,COLUMN($G$1),FALSE),"")</f>
        <v/>
      </c>
      <c r="N335" t="str">
        <f>IFERROR(VLOOKUP($C335,装備品!$1:$998,COLUMN(I$1),FALSE),"")</f>
        <v/>
      </c>
      <c r="O335" s="23" t="str">
        <f>IFERROR((VLOOKUP($C335,装備品!$1:$998,COLUMN(K$1),FALSE)+VLOOKUP($D335,素材!$1:$1016,COLUMN(H$1),FALSE))*100+IFERROR(VLOOKUP($CI335,付与!$1:$1167,COLUMN(O$1),FALSE),0),"")</f>
        <v/>
      </c>
      <c r="P335" s="23" t="str">
        <f>IFERROR((VLOOKUP($C335,装備品!$1:$998,COLUMN(L$1),FALSE)+VLOOKUP($D335,素材!$1:$1016,COLUMN(I$1),FALSE))*100+IFERROR(VLOOKUP($CI335,付与!$1:$1167,COLUMN(P$1),FALSE),0),"")</f>
        <v/>
      </c>
      <c r="Q335" t="str">
        <f>IFERROR(ROUNDUP(VLOOKUP($C335,装備品!$1:$998,COLUMN(M$1),FALSE)*(VLOOKUP($D335,素材!$1:$1002,COLUMN(D$1),FALSE)/100),1),"")</f>
        <v/>
      </c>
      <c r="R335" t="str">
        <f>IFERROR(ROUNDUP(VLOOKUP($C335,装備品!$1:$998,COLUMN(N$1),FALSE)*(VLOOKUP($D335,素材!$1:$1002,COLUMN(D$1),FALSE)/100),1),"")</f>
        <v/>
      </c>
      <c r="S335" t="str">
        <f>IFERROR(VLOOKUP($C335,装備品!$1:$998,COLUMN(P$1),FALSE),"")</f>
        <v/>
      </c>
      <c r="T335" t="str">
        <f>IFERROR(VLOOKUP($C335,装備品!$1:$998,COLUMN(Q$1),FALSE),"")</f>
        <v/>
      </c>
      <c r="U335" t="str">
        <f>IFERROR(VLOOKUP($C335,装備品!$1:$998,COLUMN(R$1),FALSE),"")</f>
        <v/>
      </c>
      <c r="V335" t="str">
        <f>IFERROR(VLOOKUP($C335,装備品!$1:$998,COLUMN(Q$1),FALSE),"")</f>
        <v/>
      </c>
      <c r="W335" t="str">
        <f>IFERROR(VLOOKUP($C335,装備品!$1:$998,COLUMN(T$1),FALSE),"")</f>
        <v/>
      </c>
      <c r="Y335" t="str">
        <f>IFERROR(VLOOKUP($C335,装備品!$1:$998,COLUMN(U$1),FALSE),"")</f>
        <v/>
      </c>
      <c r="Z335" t="str">
        <f>IFERROR(ROUNDUP(VLOOKUP($C335,装備品!$1:$998,COLUMN(O$1),FALSE)*VLOOKUP($D335,素材!$1:$1016,COLUMN(E$1),FALSE),1),"")</f>
        <v/>
      </c>
      <c r="AA335">
        <f>IF(ISNUMBER(SEARCH(SUBSTITUTE(AA$1,RIGHT(AA$1,2),""),VLOOKUP($D335,素材!$1:$1016,COLUMN($F$1),FALSE))),VLOOKUP($C335,装備品!$1:$998,COLUMN($O$1),FALSE)*VLOOKUP($D335,素材!$1:$1016,COLUMN($E$1),FALSE)/(LEN(VLOOKUP($D335,素材!$1:$1016,COLUMN($F$1),FALSE))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B335">
        <f>IF(ISNUMBER(SEARCH(SUBSTITUTE(AB$1,RIGHT(AB$1,2),""),VLOOKUP($D335,素材!$1:$1016,COLUMN($F$1),FALSE))),VLOOKUP($C335,装備品!$1:$998,COLUMN($O$1),FALSE)*VLOOKUP($D335,素材!$1:$1016,COLUMN($E$1),FALSE)/(LEN(VLOOKUP($D335,素材!$1:$1016,COLUMN($F$1),FALSE))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C335">
        <f>IF(ISNUMBER(SEARCH(SUBSTITUTE(AC$1,RIGHT(AC$1,2),""),VLOOKUP($D335,素材!$1:$1016,COLUMN($F$1),FALSE))),VLOOKUP($C335,装備品!$1:$998,COLUMN($O$1),FALSE)*VLOOKUP($D335,素材!$1:$1016,COLUMN($E$1),FALSE)/(LEN(VLOOKUP($D335,素材!$1:$1016,COLUMN($F$1),FALSE))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D335">
        <f>IF(ISNUMBER(SEARCH(SUBSTITUTE(AD$1,RIGHT(AD$1,2),""),VLOOKUP($D335,素材!$1:$1016,COLUMN($F$1),FALSE))),VLOOKUP($C335,装備品!$1:$998,COLUMN($O$1),FALSE)*VLOOKUP($D335,素材!$1:$1016,COLUMN($E$1),FALSE)/(LEN(VLOOKUP($D335,素材!$1:$1016,COLUMN($F$1),FALSE))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E335">
        <f>IF(ISNUMBER(SEARCH(SUBSTITUTE(AE$1,RIGHT(AE$1,2),""),VLOOKUP($D335,素材!$1:$1016,COLUMN($F$1),FALSE))),VLOOKUP($C335,装備品!$1:$998,COLUMN($O$1),FALSE)*VLOOKUP($D335,素材!$1:$1016,COLUMN($E$1),FALSE)/(LEN(VLOOKUP($D335,素材!$1:$1016,COLUMN($F$1),FALSE))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F335">
        <f>IF(ISNUMBER(SEARCH(SUBSTITUTE(AF$1,RIGHT(AF$1,2),""),VLOOKUP($D335,素材!$1:$1016,COLUMN($F$1),FALSE))),VLOOKUP($C335,装備品!$1:$998,COLUMN($O$1),FALSE)*VLOOKUP($D335,素材!$1:$1016,COLUMN($E$1),FALSE)/(LEN(VLOOKUP($D335,素材!$1:$1016,COLUMN($F$1),FALSE))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G335">
        <f>IF(ISNUMBER(SEARCH(SUBSTITUTE(AG$1,RIGHT(AG$1,2),""),VLOOKUP($D335,素材!$1:$1016,COLUMN($F$1),FALSE))),VLOOKUP($C335,装備品!$1:$998,COLUMN($O$1),FALSE)*VLOOKUP($D335,素材!$1:$1016,COLUMN($E$1),FALSE)/(LEN(VLOOKUP($D335,素材!$1:$1016,COLUMN($F$1),FALSE))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H335">
        <f>IF(ISNUMBER(SEARCH(SUBSTITUTE(AH$1,RIGHT(AH$1,2),""),VLOOKUP($D335,素材!$1:$1016,COLUMN($F$1),FALSE))),VLOOKUP($C335,装備品!$1:$998,COLUMN($O$1),FALSE)*VLOOKUP($D335,素材!$1:$1016,COLUMN($E$1),FALSE)/(LEN(VLOOKUP($D335,素材!$1:$1016,COLUMN($F$1),FALSE))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I335">
        <f>IF(ISNUMBER(SEARCH(SUBSTITUTE(AI$1,RIGHT(AI$1,2),""),VLOOKUP($D335,素材!$1:$1016,COLUMN($F$1),FALSE))),VLOOKUP($C335,装備品!$1:$998,COLUMN($O$1),FALSE)*VLOOKUP($D335,素材!$1:$1016,COLUMN($E$1),FALSE)/(LEN(VLOOKUP($D335,素材!$1:$1016,COLUMN($F$1),FALSE))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J335">
        <f>IF(ISNUMBER(SEARCH(SUBSTITUTE(AJ$1,RIGHT(AJ$1,2),""),VLOOKUP($D335,素材!$1:$1016,COLUMN($F$1),FALSE))),VLOOKUP($C335,装備品!$1:$998,COLUMN($O$1),FALSE)*VLOOKUP($D335,素材!$1:$1016,COLUMN($E$1),FALSE)/(LEN(VLOOKUP($D335,素材!$1:$1016,COLUMN($F$1),FALSE))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K335">
        <f>IF(ISNUMBER(SEARCH(SUBSTITUTE(AK$1,RIGHT(AK$1,2),""),VLOOKUP($D335,素材!$1:$1016,COLUMN($F$1),FALSE))),VLOOKUP($C335,装備品!$1:$998,COLUMN($O$1),FALSE)*VLOOKUP($D335,素材!$1:$1016,COLUMN($E$1),FALSE)/(LEN(VLOOKUP($D335,素材!$1:$1016,COLUMN($F$1),FALSE))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L335">
        <f>IF(ISNUMBER(SEARCH(SUBSTITUTE(AL$1,RIGHT(AL$1,2),""),VLOOKUP($D335,素材!$1:$1016,COLUMN($F$1),FALSE))),VLOOKUP($C335,装備品!$1:$998,COLUMN($O$1),FALSE)*VLOOKUP($D335,素材!$1:$1016,COLUMN($E$1),FALSE)/(LEN(VLOOKUP($D335,素材!$1:$1016,COLUMN($F$1),FALSE))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M335">
        <f>IF(ISNUMBER(SEARCH(SUBSTITUTE(AM$1,RIGHT(AM$1,2),""),VLOOKUP($D335,素材!$1:$1016,COLUMN($F$1),FALSE))),VLOOKUP($C335,装備品!$1:$998,COLUMN($O$1),FALSE)*VLOOKUP($D335,素材!$1:$1016,COLUMN($E$1),FALSE)/(LEN(VLOOKUP($D335,素材!$1:$1016,COLUMN($F$1),FALSE))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N335">
        <f>IF(ISNUMBER(SEARCH(SUBSTITUTE(AN$1,RIGHT(AN$1,2),""),VLOOKUP($D335,素材!$1:$1016,COLUMN($F$1),FALSE))),VLOOKUP($C335,装備品!$1:$998,COLUMN($O$1),FALSE)*VLOOKUP($D335,素材!$1:$1016,COLUMN($E$1),FALSE)/(LEN(VLOOKUP($D335,素材!$1:$1016,COLUMN($F$1),FALSE))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O335">
        <f>IF(ISNUMBER(SEARCH(SUBSTITUTE(AO$1,RIGHT(AO$1,2),""),VLOOKUP($D335,素材!$1:$1016,COLUMN($F$1),FALSE))),VLOOKUP($C335,装備品!$1:$998,COLUMN($O$1),FALSE)*VLOOKUP($D335,素材!$1:$1016,COLUMN($E$1),FALSE)/(LEN(VLOOKUP($D335,素材!$1:$1016,COLUMN($F$1),FALSE))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P335">
        <f>IF(ISNUMBER(SEARCH(SUBSTITUTE(AP$1,RIGHT(AP$1,2),""),VLOOKUP($D335,素材!$1:$1016,COLUMN($F$1),FALSE))),VLOOKUP($C335,装備品!$1:$998,COLUMN($O$1),FALSE)*VLOOKUP($D335,素材!$1:$1016,COLUMN($E$1),FALSE)/(LEN(VLOOKUP($D335,素材!$1:$1016,COLUMN($F$1),FALSE))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Q335">
        <f>IF(ISNUMBER(SEARCH(SUBSTITUTE(AQ$1,RIGHT(AQ$1,2),""),VLOOKUP($D335,素材!$1:$1016,COLUMN($F$1),FALSE))),VLOOKUP($C335,装備品!$1:$998,COLUMN($O$1),FALSE)*VLOOKUP($D335,素材!$1:$1016,COLUMN($E$1),FALSE)/(LEN(VLOOKUP($D335,素材!$1:$1016,COLUMN($F$1),FALSE))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R335">
        <f>IF(ISNUMBER(SEARCH(SUBSTITUTE(AR$1,RIGHT(AR$1,2),""),VLOOKUP($D335,素材!$1:$1016,COLUMN($F$1),FALSE))),VLOOKUP($C335,装備品!$1:$998,COLUMN($O$1),FALSE)*VLOOKUP($D335,素材!$1:$1016,COLUMN($E$1),FALSE)/(LEN(VLOOKUP($D335,素材!$1:$1016,COLUMN($F$1),FALSE))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S335">
        <f>IF(ISNUMBER(SEARCH(SUBSTITUTE(AS$1,RIGHT(AS$1,2),""),VLOOKUP($D335,素材!$1:$1016,COLUMN($F$1),FALSE))),VLOOKUP($C335,装備品!$1:$998,COLUMN($O$1),FALSE)*VLOOKUP($D335,素材!$1:$1016,COLUMN($E$1),FALSE)/(LEN(VLOOKUP($D335,素材!$1:$1016,COLUMN($F$1),FALSE))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T335">
        <f>IF(ISNUMBER(SEARCH(SUBSTITUTE(AT$1,RIGHT(AT$1,2),""),VLOOKUP($D335,素材!$1:$1016,COLUMN($F$1),FALSE))),VLOOKUP($C335,装備品!$1:$998,COLUMN($O$1),FALSE)*VLOOKUP($D335,素材!$1:$1016,COLUMN($E$1),FALSE)/(LEN(VLOOKUP($D335,素材!$1:$1016,COLUMN($F$1),FALSE))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U335">
        <f>IF(ISNUMBER(SEARCH(SUBSTITUTE(AU$1,RIGHT(AU$1,2),""),VLOOKUP($D335,素材!$1:$1016,COLUMN($F$1),FALSE))),VLOOKUP($C335,装備品!$1:$998,COLUMN($O$1),FALSE)*VLOOKUP($D335,素材!$1:$1016,COLUMN($E$1),FALSE)/(LEN(VLOOKUP($D335,素材!$1:$1016,COLUMN($F$1),FALSE))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V335">
        <f>IF(ISNUMBER(SEARCH(SUBSTITUTE(AV$1,RIGHT(AV$1,2),""),VLOOKUP($D335,素材!$1:$1016,COLUMN($F$1),FALSE))),VLOOKUP($C335,装備品!$1:$998,COLUMN($O$1),FALSE)*VLOOKUP($D335,素材!$1:$1016,COLUMN($E$1),FALSE)/(LEN(VLOOKUP($D335,素材!$1:$1016,COLUMN($F$1),FALSE))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W335">
        <f>IF(ISNUMBER(SEARCH(SUBSTITUTE(AW$1,RIGHT(AW$1,2),""),VLOOKUP($D335,素材!$1:$1016,COLUMN($F$1),FALSE))),VLOOKUP($C335,装備品!$1:$998,COLUMN($O$1),FALSE)*VLOOKUP($D335,素材!$1:$1016,COLUMN($E$1),FALSE)/(LEN(VLOOKUP($D335,素材!$1:$1016,COLUMN($F$1),FALSE))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X335">
        <f>IF(ISNUMBER(SEARCH(SUBSTITUTE(AX$1,RIGHT(AX$1,2),""),VLOOKUP($D335,素材!$1:$1016,COLUMN($F$1),FALSE))),VLOOKUP($C335,装備品!$1:$998,COLUMN($O$1),FALSE)*VLOOKUP($D335,素材!$1:$1016,COLUMN($E$1),FALSE)/(LEN(VLOOKUP($D335,素材!$1:$1016,COLUMN($F$1),FALSE))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Y335">
        <f>IF(ISNUMBER(SEARCH(SUBSTITUTE(AY$1,RIGHT(AY$1,2),""),VLOOKUP($D335,素材!$1:$1016,COLUMN($F$1),FALSE))),VLOOKUP($C335,装備品!$1:$998,COLUMN($O$1),FALSE)*VLOOKUP($D335,素材!$1:$1016,COLUMN($E$1),FALSE)/(LEN(VLOOKUP($D335,素材!$1:$1016,COLUMN($F$1),FALSE))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Z335">
        <f>IF(ISNUMBER(SEARCH(SUBSTITUTE(AZ$1,RIGHT(AZ$1,2),""),VLOOKUP($D335,素材!$1:$1016,COLUMN($F$1),FALSE))),VLOOKUP($C335,装備品!$1:$998,COLUMN($O$1),FALSE)*VLOOKUP($D335,素材!$1:$1016,COLUMN($E$1),FALSE)/(LEN(VLOOKUP($D335,素材!$1:$1016,COLUMN($F$1),FALSE))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BA335">
        <f>IF(ISNUMBER(SEARCH(SUBSTITUTE(BA$1,RIGHT(BA$1,2),""),VLOOKUP($D335,素材!$1:$1016,COLUMN($F$1),FALSE))),VLOOKUP($C335,装備品!$1:$998,COLUMN($O$1),FALSE)*VLOOKUP($D335,素材!$1:$1016,COLUMN($E$1),FALSE)/(LEN(VLOOKUP($D335,素材!$1:$1016,COLUMN($F$1),FALSE))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BB335">
        <f>IF(ISNUMBER(SEARCH(SUBSTITUTE(BB$1,RIGHT(BB$1,2),""),VLOOKUP($D335,素材!$1:$1016,COLUMN($F$1),FALSE))),VLOOKUP($C335,装備品!$1:$998,COLUMN($O$1),FALSE)*VLOOKUP($D335,素材!$1:$1016,COLUMN($E$1),FALSE)/(LEN(VLOOKUP($D335,素材!$1:$1016,COLUMN($F$1),FALSE))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BC335">
        <f>IF(ISNUMBER(SEARCH(SUBSTITUTE(BC$1,RIGHT(BC$1,2),""),VLOOKUP($D335,素材!$1:$1016,COLUMN($F$1),FALSE))),VLOOKUP($C335,装備品!$1:$998,COLUMN($O$1),FALSE)*VLOOKUP($D335,素材!$1:$1016,COLUMN($E$1),FALSE)/(LEN(VLOOKUP($D335,素材!$1:$1016,COLUMN($F$1),FALSE))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BD335">
        <f>IF(ISNUMBER(SEARCH(SUBSTITUTE(BD$1,RIGHT(BD$1,2),""),VLOOKUP($D335,素材!$1:$1016,COLUMN($F$1),FALSE))),VLOOKUP($C335,装備品!$1:$998,COLUMN($O$1),FALSE)*VLOOKUP($D335,素材!$1:$1016,COLUMN($E$1),FALSE)/(LEN(VLOOKUP($D335,素材!$1:$1016,COLUMN($F$1),FALSE))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BE335">
        <f>IF(ISNUMBER(SEARCH(SUBSTITUTE(BE$1,RIGHT(BE$1,2),""),VLOOKUP($D335,素材!$1:$1016,COLUMN($F$1),FALSE))),VLOOKUP($C335,装備品!$1:$998,COLUMN($O$1),FALSE)*VLOOKUP($D335,素材!$1:$1016,COLUMN($E$1),FALSE)/(LEN(VLOOKUP($D335,素材!$1:$1016,COLUMN($F$1),FALSE))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CL335">
        <f t="shared" si="47"/>
        <v>0</v>
      </c>
      <c r="CM335" s="22" t="str">
        <f t="shared" si="48"/>
        <v>.webp</v>
      </c>
      <c r="CN335" t="str">
        <f>IFERROR(VLOOKUP($C335,装備品!$1:$998,COLUMN(V$1),FALSE)*VLOOKUP($D335,素材!$1:$1016,COLUMN(N$1),FALSE)+IF(CI335="",0,VLOOKUP($CI335,付与!$1:$1176,COLUMN($CK$1),FALSE)),"")</f>
        <v/>
      </c>
      <c r="CO335" t="e">
        <f>VLOOKUP(D335,素材!$A:$O,COLUMN(素材!O$1),FALSE)</f>
        <v>#N/A</v>
      </c>
      <c r="CP335" t="e">
        <f>VLOOKUP(C335,装備品!$A:$AB,COLUMN(装備品!AB$1),FALSE)</f>
        <v>#N/A</v>
      </c>
      <c r="CR335" t="str">
        <f t="shared" si="49"/>
        <v>e_335</v>
      </c>
      <c r="CS335" t="e">
        <f t="shared" ref="CS335:CS366" si="50">CN335*100</f>
        <v>#VALUE!</v>
      </c>
    </row>
    <row r="336" spans="1:97" hidden="1" outlineLevel="1" x14ac:dyDescent="0.4">
      <c r="A336" t="str">
        <f t="shared" si="46"/>
        <v>の</v>
      </c>
      <c r="B336" t="str">
        <f>IFERROR(IF(CI336="",VLOOKUP($D336,素材!$1:$1016,COLUMN($B$1),FALSE)&amp;"・"&amp;VLOOKUP($C336,装備品!$1:$998,COLUMN(B$1),FALSE),VLOOKUP($CI336,付与!$1:$1176,COLUMN($B$1),FALSE)&amp;"・"&amp;VLOOKUP($C336,装備品!$1:$998,COLUMN(B$1),FALSE)),"")</f>
        <v/>
      </c>
      <c r="C336" s="24"/>
      <c r="D336" s="24"/>
      <c r="E336" t="str">
        <f>IFERROR(VLOOKUP(C336,装備品!$1:$998,COLUMN(C$1),FALSE),"")</f>
        <v/>
      </c>
      <c r="F336" t="str">
        <f>IFERROR(ROUNDDOWN((VLOOKUP($C336,装備品!$1:$998,COLUMN(D$1),FALSE)+IFERROR(VLOOKUP($CI336,付与!$1:$1167,COLUMN(F$1),FALSE),0))*VLOOKUP($D336,素材!$1:$1016,COLUMN(D$1),FALSE),0),"")</f>
        <v/>
      </c>
      <c r="G336" t="str">
        <f>IFERROR(ROUNDDOWN((VLOOKUP($C336,装備品!$1:$998,COLUMN(E$1),FALSE)+IFERROR(VLOOKUP($CI336,付与!$1:$1167,COLUMN(G$1),FALSE),0))*VLOOKUP($D336,素材!$1:$1016,COLUMN($E$1),FALSE),0),"")</f>
        <v/>
      </c>
      <c r="H336" t="str">
        <f>IFERROR(ROUNDDOWN((VLOOKUP($C336,装備品!$1:$998,COLUMN(F$1),FALSE)+IFERROR(VLOOKUP($CI336,付与!$1:$1167,COLUMN(H$1),FALSE),0))*VLOOKUP($D336,素材!$1:$1016,COLUMN($E$1),FALSE),0),"")</f>
        <v/>
      </c>
      <c r="I336" t="str">
        <f>IFERROR(ROUNDDOWN((VLOOKUP($C336,装備品!$1:$998,COLUMN(G$1),FALSE)+IFERROR(VLOOKUP($CI336,付与!$1:$1167,COLUMN(I$1),FALSE),0))*VLOOKUP($D336,素材!$1:$1016,COLUMN($E$1),FALSE),0),"")</f>
        <v/>
      </c>
      <c r="J336" t="str">
        <f>IFERROR(ROUNDDOWN((VLOOKUP($C336,装備品!$1:$998,COLUMN(H$1),FALSE)+IFERROR(VLOOKUP($CI336,付与!$1:$1167,COLUMN(J$1),FALSE),0))*VLOOKUP($D336,素材!$1:$1016,COLUMN($E$1),FALSE),0),"")</f>
        <v/>
      </c>
      <c r="K336" t="str">
        <f>IFERROR(ROUNDDOWN((VLOOKUP($C336,装備品!$1:$998,COLUMN(I$1),FALSE)+IFERROR(VLOOKUP($CI336,付与!$1:$1167,COLUMN(K$1),FALSE),0))*VLOOKUP($D336,素材!$1:$1016,COLUMN($E$1),FALSE),0),"")</f>
        <v/>
      </c>
      <c r="L336" t="str">
        <f>IFERROR(VLOOKUP($D336,素材!$1:$1016,COLUMN($F$1),FALSE),"")</f>
        <v/>
      </c>
      <c r="M336" t="str">
        <f>IFERROR(VLOOKUP($C336,装備品!$1:$998,COLUMN(AA$1),FALSE)*VLOOKUP($D336,素材!$1:$1016,COLUMN($G$1),FALSE),"")</f>
        <v/>
      </c>
      <c r="N336" t="str">
        <f>IFERROR(VLOOKUP($C336,装備品!$1:$998,COLUMN(I$1),FALSE),"")</f>
        <v/>
      </c>
      <c r="O336" s="23" t="str">
        <f>IFERROR((VLOOKUP($C336,装備品!$1:$998,COLUMN(K$1),FALSE)+VLOOKUP($D336,素材!$1:$1016,COLUMN(H$1),FALSE))*100+IFERROR(VLOOKUP($CI336,付与!$1:$1167,COLUMN(O$1),FALSE),0),"")</f>
        <v/>
      </c>
      <c r="P336" s="23" t="str">
        <f>IFERROR((VLOOKUP($C336,装備品!$1:$998,COLUMN(L$1),FALSE)+VLOOKUP($D336,素材!$1:$1016,COLUMN(I$1),FALSE))*100+IFERROR(VLOOKUP($CI336,付与!$1:$1167,COLUMN(P$1),FALSE),0),"")</f>
        <v/>
      </c>
      <c r="Q336" t="str">
        <f>IFERROR(ROUNDUP(VLOOKUP($C336,装備品!$1:$998,COLUMN(M$1),FALSE)*(VLOOKUP($D336,素材!$1:$1002,COLUMN(D$1),FALSE)/100),1),"")</f>
        <v/>
      </c>
      <c r="R336" t="str">
        <f>IFERROR(ROUNDUP(VLOOKUP($C336,装備品!$1:$998,COLUMN(N$1),FALSE)*(VLOOKUP($D336,素材!$1:$1002,COLUMN(D$1),FALSE)/100),1),"")</f>
        <v/>
      </c>
      <c r="S336" t="str">
        <f>IFERROR(VLOOKUP($C336,装備品!$1:$998,COLUMN(P$1),FALSE),"")</f>
        <v/>
      </c>
      <c r="T336" t="str">
        <f>IFERROR(VLOOKUP($C336,装備品!$1:$998,COLUMN(Q$1),FALSE),"")</f>
        <v/>
      </c>
      <c r="U336" t="str">
        <f>IFERROR(VLOOKUP($C336,装備品!$1:$998,COLUMN(R$1),FALSE),"")</f>
        <v/>
      </c>
      <c r="V336" t="str">
        <f>IFERROR(VLOOKUP($C336,装備品!$1:$998,COLUMN(Q$1),FALSE),"")</f>
        <v/>
      </c>
      <c r="W336" t="str">
        <f>IFERROR(VLOOKUP($C336,装備品!$1:$998,COLUMN(T$1),FALSE),"")</f>
        <v/>
      </c>
      <c r="Y336" t="str">
        <f>IFERROR(VLOOKUP($C336,装備品!$1:$998,COLUMN(U$1),FALSE),"")</f>
        <v/>
      </c>
      <c r="Z336" t="str">
        <f>IFERROR(ROUNDUP(VLOOKUP($C336,装備品!$1:$998,COLUMN(O$1),FALSE)*VLOOKUP($D336,素材!$1:$1016,COLUMN(E$1),FALSE),1),"")</f>
        <v/>
      </c>
      <c r="AA336">
        <f>IF(ISNUMBER(SEARCH(SUBSTITUTE(AA$1,RIGHT(AA$1,2),""),VLOOKUP($D336,素材!$1:$1016,COLUMN($F$1),FALSE))),VLOOKUP($C336,装備品!$1:$998,COLUMN($O$1),FALSE)*VLOOKUP($D336,素材!$1:$1016,COLUMN($E$1),FALSE)/(LEN(VLOOKUP($D336,素材!$1:$1016,COLUMN($F$1),FALSE))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B336">
        <f>IF(ISNUMBER(SEARCH(SUBSTITUTE(AB$1,RIGHT(AB$1,2),""),VLOOKUP($D336,素材!$1:$1016,COLUMN($F$1),FALSE))),VLOOKUP($C336,装備品!$1:$998,COLUMN($O$1),FALSE)*VLOOKUP($D336,素材!$1:$1016,COLUMN($E$1),FALSE)/(LEN(VLOOKUP($D336,素材!$1:$1016,COLUMN($F$1),FALSE))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C336">
        <f>IF(ISNUMBER(SEARCH(SUBSTITUTE(AC$1,RIGHT(AC$1,2),""),VLOOKUP($D336,素材!$1:$1016,COLUMN($F$1),FALSE))),VLOOKUP($C336,装備品!$1:$998,COLUMN($O$1),FALSE)*VLOOKUP($D336,素材!$1:$1016,COLUMN($E$1),FALSE)/(LEN(VLOOKUP($D336,素材!$1:$1016,COLUMN($F$1),FALSE))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D336">
        <f>IF(ISNUMBER(SEARCH(SUBSTITUTE(AD$1,RIGHT(AD$1,2),""),VLOOKUP($D336,素材!$1:$1016,COLUMN($F$1),FALSE))),VLOOKUP($C336,装備品!$1:$998,COLUMN($O$1),FALSE)*VLOOKUP($D336,素材!$1:$1016,COLUMN($E$1),FALSE)/(LEN(VLOOKUP($D336,素材!$1:$1016,COLUMN($F$1),FALSE))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E336">
        <f>IF(ISNUMBER(SEARCH(SUBSTITUTE(AE$1,RIGHT(AE$1,2),""),VLOOKUP($D336,素材!$1:$1016,COLUMN($F$1),FALSE))),VLOOKUP($C336,装備品!$1:$998,COLUMN($O$1),FALSE)*VLOOKUP($D336,素材!$1:$1016,COLUMN($E$1),FALSE)/(LEN(VLOOKUP($D336,素材!$1:$1016,COLUMN($F$1),FALSE))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F336">
        <f>IF(ISNUMBER(SEARCH(SUBSTITUTE(AF$1,RIGHT(AF$1,2),""),VLOOKUP($D336,素材!$1:$1016,COLUMN($F$1),FALSE))),VLOOKUP($C336,装備品!$1:$998,COLUMN($O$1),FALSE)*VLOOKUP($D336,素材!$1:$1016,COLUMN($E$1),FALSE)/(LEN(VLOOKUP($D336,素材!$1:$1016,COLUMN($F$1),FALSE))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G336">
        <f>IF(ISNUMBER(SEARCH(SUBSTITUTE(AG$1,RIGHT(AG$1,2),""),VLOOKUP($D336,素材!$1:$1016,COLUMN($F$1),FALSE))),VLOOKUP($C336,装備品!$1:$998,COLUMN($O$1),FALSE)*VLOOKUP($D336,素材!$1:$1016,COLUMN($E$1),FALSE)/(LEN(VLOOKUP($D336,素材!$1:$1016,COLUMN($F$1),FALSE))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H336">
        <f>IF(ISNUMBER(SEARCH(SUBSTITUTE(AH$1,RIGHT(AH$1,2),""),VLOOKUP($D336,素材!$1:$1016,COLUMN($F$1),FALSE))),VLOOKUP($C336,装備品!$1:$998,COLUMN($O$1),FALSE)*VLOOKUP($D336,素材!$1:$1016,COLUMN($E$1),FALSE)/(LEN(VLOOKUP($D336,素材!$1:$1016,COLUMN($F$1),FALSE))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I336">
        <f>IF(ISNUMBER(SEARCH(SUBSTITUTE(AI$1,RIGHT(AI$1,2),""),VLOOKUP($D336,素材!$1:$1016,COLUMN($F$1),FALSE))),VLOOKUP($C336,装備品!$1:$998,COLUMN($O$1),FALSE)*VLOOKUP($D336,素材!$1:$1016,COLUMN($E$1),FALSE)/(LEN(VLOOKUP($D336,素材!$1:$1016,COLUMN($F$1),FALSE))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J336">
        <f>IF(ISNUMBER(SEARCH(SUBSTITUTE(AJ$1,RIGHT(AJ$1,2),""),VLOOKUP($D336,素材!$1:$1016,COLUMN($F$1),FALSE))),VLOOKUP($C336,装備品!$1:$998,COLUMN($O$1),FALSE)*VLOOKUP($D336,素材!$1:$1016,COLUMN($E$1),FALSE)/(LEN(VLOOKUP($D336,素材!$1:$1016,COLUMN($F$1),FALSE))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K336">
        <f>IF(ISNUMBER(SEARCH(SUBSTITUTE(AK$1,RIGHT(AK$1,2),""),VLOOKUP($D336,素材!$1:$1016,COLUMN($F$1),FALSE))),VLOOKUP($C336,装備品!$1:$998,COLUMN($O$1),FALSE)*VLOOKUP($D336,素材!$1:$1016,COLUMN($E$1),FALSE)/(LEN(VLOOKUP($D336,素材!$1:$1016,COLUMN($F$1),FALSE))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L336">
        <f>IF(ISNUMBER(SEARCH(SUBSTITUTE(AL$1,RIGHT(AL$1,2),""),VLOOKUP($D336,素材!$1:$1016,COLUMN($F$1),FALSE))),VLOOKUP($C336,装備品!$1:$998,COLUMN($O$1),FALSE)*VLOOKUP($D336,素材!$1:$1016,COLUMN($E$1),FALSE)/(LEN(VLOOKUP($D336,素材!$1:$1016,COLUMN($F$1),FALSE))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M336">
        <f>IF(ISNUMBER(SEARCH(SUBSTITUTE(AM$1,RIGHT(AM$1,2),""),VLOOKUP($D336,素材!$1:$1016,COLUMN($F$1),FALSE))),VLOOKUP($C336,装備品!$1:$998,COLUMN($O$1),FALSE)*VLOOKUP($D336,素材!$1:$1016,COLUMN($E$1),FALSE)/(LEN(VLOOKUP($D336,素材!$1:$1016,COLUMN($F$1),FALSE))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N336">
        <f>IF(ISNUMBER(SEARCH(SUBSTITUTE(AN$1,RIGHT(AN$1,2),""),VLOOKUP($D336,素材!$1:$1016,COLUMN($F$1),FALSE))),VLOOKUP($C336,装備品!$1:$998,COLUMN($O$1),FALSE)*VLOOKUP($D336,素材!$1:$1016,COLUMN($E$1),FALSE)/(LEN(VLOOKUP($D336,素材!$1:$1016,COLUMN($F$1),FALSE))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O336">
        <f>IF(ISNUMBER(SEARCH(SUBSTITUTE(AO$1,RIGHT(AO$1,2),""),VLOOKUP($D336,素材!$1:$1016,COLUMN($F$1),FALSE))),VLOOKUP($C336,装備品!$1:$998,COLUMN($O$1),FALSE)*VLOOKUP($D336,素材!$1:$1016,COLUMN($E$1),FALSE)/(LEN(VLOOKUP($D336,素材!$1:$1016,COLUMN($F$1),FALSE))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P336">
        <f>IF(ISNUMBER(SEARCH(SUBSTITUTE(AP$1,RIGHT(AP$1,2),""),VLOOKUP($D336,素材!$1:$1016,COLUMN($F$1),FALSE))),VLOOKUP($C336,装備品!$1:$998,COLUMN($O$1),FALSE)*VLOOKUP($D336,素材!$1:$1016,COLUMN($E$1),FALSE)/(LEN(VLOOKUP($D336,素材!$1:$1016,COLUMN($F$1),FALSE))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Q336">
        <f>IF(ISNUMBER(SEARCH(SUBSTITUTE(AQ$1,RIGHT(AQ$1,2),""),VLOOKUP($D336,素材!$1:$1016,COLUMN($F$1),FALSE))),VLOOKUP($C336,装備品!$1:$998,COLUMN($O$1),FALSE)*VLOOKUP($D336,素材!$1:$1016,COLUMN($E$1),FALSE)/(LEN(VLOOKUP($D336,素材!$1:$1016,COLUMN($F$1),FALSE))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R336">
        <f>IF(ISNUMBER(SEARCH(SUBSTITUTE(AR$1,RIGHT(AR$1,2),""),VLOOKUP($D336,素材!$1:$1016,COLUMN($F$1),FALSE))),VLOOKUP($C336,装備品!$1:$998,COLUMN($O$1),FALSE)*VLOOKUP($D336,素材!$1:$1016,COLUMN($E$1),FALSE)/(LEN(VLOOKUP($D336,素材!$1:$1016,COLUMN($F$1),FALSE))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S336">
        <f>IF(ISNUMBER(SEARCH(SUBSTITUTE(AS$1,RIGHT(AS$1,2),""),VLOOKUP($D336,素材!$1:$1016,COLUMN($F$1),FALSE))),VLOOKUP($C336,装備品!$1:$998,COLUMN($O$1),FALSE)*VLOOKUP($D336,素材!$1:$1016,COLUMN($E$1),FALSE)/(LEN(VLOOKUP($D336,素材!$1:$1016,COLUMN($F$1),FALSE))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T336">
        <f>IF(ISNUMBER(SEARCH(SUBSTITUTE(AT$1,RIGHT(AT$1,2),""),VLOOKUP($D336,素材!$1:$1016,COLUMN($F$1),FALSE))),VLOOKUP($C336,装備品!$1:$998,COLUMN($O$1),FALSE)*VLOOKUP($D336,素材!$1:$1016,COLUMN($E$1),FALSE)/(LEN(VLOOKUP($D336,素材!$1:$1016,COLUMN($F$1),FALSE))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U336">
        <f>IF(ISNUMBER(SEARCH(SUBSTITUTE(AU$1,RIGHT(AU$1,2),""),VLOOKUP($D336,素材!$1:$1016,COLUMN($F$1),FALSE))),VLOOKUP($C336,装備品!$1:$998,COLUMN($O$1),FALSE)*VLOOKUP($D336,素材!$1:$1016,COLUMN($E$1),FALSE)/(LEN(VLOOKUP($D336,素材!$1:$1016,COLUMN($F$1),FALSE))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V336">
        <f>IF(ISNUMBER(SEARCH(SUBSTITUTE(AV$1,RIGHT(AV$1,2),""),VLOOKUP($D336,素材!$1:$1016,COLUMN($F$1),FALSE))),VLOOKUP($C336,装備品!$1:$998,COLUMN($O$1),FALSE)*VLOOKUP($D336,素材!$1:$1016,COLUMN($E$1),FALSE)/(LEN(VLOOKUP($D336,素材!$1:$1016,COLUMN($F$1),FALSE))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W336">
        <f>IF(ISNUMBER(SEARCH(SUBSTITUTE(AW$1,RIGHT(AW$1,2),""),VLOOKUP($D336,素材!$1:$1016,COLUMN($F$1),FALSE))),VLOOKUP($C336,装備品!$1:$998,COLUMN($O$1),FALSE)*VLOOKUP($D336,素材!$1:$1016,COLUMN($E$1),FALSE)/(LEN(VLOOKUP($D336,素材!$1:$1016,COLUMN($F$1),FALSE))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X336">
        <f>IF(ISNUMBER(SEARCH(SUBSTITUTE(AX$1,RIGHT(AX$1,2),""),VLOOKUP($D336,素材!$1:$1016,COLUMN($F$1),FALSE))),VLOOKUP($C336,装備品!$1:$998,COLUMN($O$1),FALSE)*VLOOKUP($D336,素材!$1:$1016,COLUMN($E$1),FALSE)/(LEN(VLOOKUP($D336,素材!$1:$1016,COLUMN($F$1),FALSE))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Y336">
        <f>IF(ISNUMBER(SEARCH(SUBSTITUTE(AY$1,RIGHT(AY$1,2),""),VLOOKUP($D336,素材!$1:$1016,COLUMN($F$1),FALSE))),VLOOKUP($C336,装備品!$1:$998,COLUMN($O$1),FALSE)*VLOOKUP($D336,素材!$1:$1016,COLUMN($E$1),FALSE)/(LEN(VLOOKUP($D336,素材!$1:$1016,COLUMN($F$1),FALSE))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Z336">
        <f>IF(ISNUMBER(SEARCH(SUBSTITUTE(AZ$1,RIGHT(AZ$1,2),""),VLOOKUP($D336,素材!$1:$1016,COLUMN($F$1),FALSE))),VLOOKUP($C336,装備品!$1:$998,COLUMN($O$1),FALSE)*VLOOKUP($D336,素材!$1:$1016,COLUMN($E$1),FALSE)/(LEN(VLOOKUP($D336,素材!$1:$1016,COLUMN($F$1),FALSE))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BA336">
        <f>IF(ISNUMBER(SEARCH(SUBSTITUTE(BA$1,RIGHT(BA$1,2),""),VLOOKUP($D336,素材!$1:$1016,COLUMN($F$1),FALSE))),VLOOKUP($C336,装備品!$1:$998,COLUMN($O$1),FALSE)*VLOOKUP($D336,素材!$1:$1016,COLUMN($E$1),FALSE)/(LEN(VLOOKUP($D336,素材!$1:$1016,COLUMN($F$1),FALSE))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BB336">
        <f>IF(ISNUMBER(SEARCH(SUBSTITUTE(BB$1,RIGHT(BB$1,2),""),VLOOKUP($D336,素材!$1:$1016,COLUMN($F$1),FALSE))),VLOOKUP($C336,装備品!$1:$998,COLUMN($O$1),FALSE)*VLOOKUP($D336,素材!$1:$1016,COLUMN($E$1),FALSE)/(LEN(VLOOKUP($D336,素材!$1:$1016,COLUMN($F$1),FALSE))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BC336">
        <f>IF(ISNUMBER(SEARCH(SUBSTITUTE(BC$1,RIGHT(BC$1,2),""),VLOOKUP($D336,素材!$1:$1016,COLUMN($F$1),FALSE))),VLOOKUP($C336,装備品!$1:$998,COLUMN($O$1),FALSE)*VLOOKUP($D336,素材!$1:$1016,COLUMN($E$1),FALSE)/(LEN(VLOOKUP($D336,素材!$1:$1016,COLUMN($F$1),FALSE))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BD336">
        <f>IF(ISNUMBER(SEARCH(SUBSTITUTE(BD$1,RIGHT(BD$1,2),""),VLOOKUP($D336,素材!$1:$1016,COLUMN($F$1),FALSE))),VLOOKUP($C336,装備品!$1:$998,COLUMN($O$1),FALSE)*VLOOKUP($D336,素材!$1:$1016,COLUMN($E$1),FALSE)/(LEN(VLOOKUP($D336,素材!$1:$1016,COLUMN($F$1),FALSE))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BE336">
        <f>IF(ISNUMBER(SEARCH(SUBSTITUTE(BE$1,RIGHT(BE$1,2),""),VLOOKUP($D336,素材!$1:$1016,COLUMN($F$1),FALSE))),VLOOKUP($C336,装備品!$1:$998,COLUMN($O$1),FALSE)*VLOOKUP($D336,素材!$1:$1016,COLUMN($E$1),FALSE)/(LEN(VLOOKUP($D336,素材!$1:$1016,COLUMN($F$1),FALSE))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CL336">
        <f t="shared" si="47"/>
        <v>0</v>
      </c>
      <c r="CM336" s="22" t="str">
        <f t="shared" si="48"/>
        <v>.webp</v>
      </c>
      <c r="CN336" t="str">
        <f>IFERROR(VLOOKUP($C336,装備品!$1:$998,COLUMN(V$1),FALSE)*VLOOKUP($D336,素材!$1:$1016,COLUMN(N$1),FALSE)+IF(CI336="",0,VLOOKUP($CI336,付与!$1:$1176,COLUMN($CK$1),FALSE)),"")</f>
        <v/>
      </c>
      <c r="CO336" t="e">
        <f>VLOOKUP(D336,素材!$A:$O,COLUMN(素材!O$1),FALSE)</f>
        <v>#N/A</v>
      </c>
      <c r="CP336" t="e">
        <f>VLOOKUP(C336,装備品!$A:$AB,COLUMN(装備品!AB$1),FALSE)</f>
        <v>#N/A</v>
      </c>
      <c r="CR336" t="str">
        <f t="shared" si="49"/>
        <v>e_336</v>
      </c>
      <c r="CS336" t="e">
        <f t="shared" si="50"/>
        <v>#VALUE!</v>
      </c>
    </row>
    <row r="337" spans="1:97" hidden="1" outlineLevel="1" x14ac:dyDescent="0.4">
      <c r="A337" t="str">
        <f t="shared" ref="A337:A348" si="51">IF(CI337="",D337&amp;"の"&amp;C337,CI337&amp;"の"&amp;C337)</f>
        <v>の</v>
      </c>
      <c r="B337" t="str">
        <f>IFERROR(IF(CI337="",VLOOKUP($D337,素材!$1:$1016,COLUMN($B$1),FALSE)&amp;"・"&amp;VLOOKUP($C337,装備品!$1:$998,COLUMN(B$1),FALSE),VLOOKUP($CI337,付与!$1:$1176,COLUMN($B$1),FALSE)&amp;"・"&amp;VLOOKUP($C337,装備品!$1:$998,COLUMN(B$1),FALSE)),"")</f>
        <v/>
      </c>
      <c r="C337" s="24"/>
      <c r="D337" s="24"/>
      <c r="E337" t="str">
        <f>IFERROR(VLOOKUP(C337,装備品!$1:$998,COLUMN(C$1),FALSE),"")</f>
        <v/>
      </c>
      <c r="F337" t="str">
        <f>IFERROR(ROUNDDOWN((VLOOKUP($C337,装備品!$1:$998,COLUMN(D$1),FALSE)+IFERROR(VLOOKUP($CI337,付与!$1:$1167,COLUMN(F$1),FALSE),0))*VLOOKUP($D337,素材!$1:$1016,COLUMN(D$1),FALSE),0),"")</f>
        <v/>
      </c>
      <c r="G337" t="str">
        <f>IFERROR(ROUNDDOWN((VLOOKUP($C337,装備品!$1:$998,COLUMN(E$1),FALSE)+IFERROR(VLOOKUP($CI337,付与!$1:$1167,COLUMN(G$1),FALSE),0))*VLOOKUP($D337,素材!$1:$1016,COLUMN($E$1),FALSE),0),"")</f>
        <v/>
      </c>
      <c r="H337" t="str">
        <f>IFERROR(ROUNDDOWN((VLOOKUP($C337,装備品!$1:$998,COLUMN(F$1),FALSE)+IFERROR(VLOOKUP($CI337,付与!$1:$1167,COLUMN(H$1),FALSE),0))*VLOOKUP($D337,素材!$1:$1016,COLUMN($E$1),FALSE),0),"")</f>
        <v/>
      </c>
      <c r="I337" t="str">
        <f>IFERROR(ROUNDDOWN((VLOOKUP($C337,装備品!$1:$998,COLUMN(G$1),FALSE)+IFERROR(VLOOKUP($CI337,付与!$1:$1167,COLUMN(I$1),FALSE),0))*VLOOKUP($D337,素材!$1:$1016,COLUMN($E$1),FALSE),0),"")</f>
        <v/>
      </c>
      <c r="J337" t="str">
        <f>IFERROR(ROUNDDOWN((VLOOKUP($C337,装備品!$1:$998,COLUMN(H$1),FALSE)+IFERROR(VLOOKUP($CI337,付与!$1:$1167,COLUMN(J$1),FALSE),0))*VLOOKUP($D337,素材!$1:$1016,COLUMN($E$1),FALSE),0),"")</f>
        <v/>
      </c>
      <c r="K337" t="str">
        <f>IFERROR(ROUNDDOWN((VLOOKUP($C337,装備品!$1:$998,COLUMN(I$1),FALSE)+IFERROR(VLOOKUP($CI337,付与!$1:$1167,COLUMN(K$1),FALSE),0))*VLOOKUP($D337,素材!$1:$1016,COLUMN($E$1),FALSE),0),"")</f>
        <v/>
      </c>
      <c r="L337" t="str">
        <f>IFERROR(VLOOKUP($D337,素材!$1:$1016,COLUMN($F$1),FALSE),"")</f>
        <v/>
      </c>
      <c r="M337" t="str">
        <f>IFERROR(VLOOKUP($C337,装備品!$1:$998,COLUMN(AA$1),FALSE)*VLOOKUP($D337,素材!$1:$1016,COLUMN($G$1),FALSE),"")</f>
        <v/>
      </c>
      <c r="N337" t="str">
        <f>IFERROR(VLOOKUP($C337,装備品!$1:$998,COLUMN(I$1),FALSE),"")</f>
        <v/>
      </c>
      <c r="O337" s="23" t="str">
        <f>IFERROR((VLOOKUP($C337,装備品!$1:$998,COLUMN(K$1),FALSE)+VLOOKUP($D337,素材!$1:$1016,COLUMN(H$1),FALSE))*100+IFERROR(VLOOKUP($CI337,付与!$1:$1167,COLUMN(O$1),FALSE),0),"")</f>
        <v/>
      </c>
      <c r="P337" s="23" t="str">
        <f>IFERROR((VLOOKUP($C337,装備品!$1:$998,COLUMN(L$1),FALSE)+VLOOKUP($D337,素材!$1:$1016,COLUMN(I$1),FALSE))*100+IFERROR(VLOOKUP($CI337,付与!$1:$1167,COLUMN(P$1),FALSE),0),"")</f>
        <v/>
      </c>
      <c r="Q337" t="str">
        <f>IFERROR(ROUNDUP(VLOOKUP($C337,装備品!$1:$998,COLUMN(M$1),FALSE)*(VLOOKUP($D337,素材!$1:$1002,COLUMN(D$1),FALSE)/100),1),"")</f>
        <v/>
      </c>
      <c r="R337" t="str">
        <f>IFERROR(ROUNDUP(VLOOKUP($C337,装備品!$1:$998,COLUMN(N$1),FALSE)*(VLOOKUP($D337,素材!$1:$1002,COLUMN(D$1),FALSE)/100),1),"")</f>
        <v/>
      </c>
      <c r="S337" t="str">
        <f>IFERROR(VLOOKUP($C337,装備品!$1:$998,COLUMN(P$1),FALSE),"")</f>
        <v/>
      </c>
      <c r="T337" t="str">
        <f>IFERROR(VLOOKUP($C337,装備品!$1:$998,COLUMN(Q$1),FALSE),"")</f>
        <v/>
      </c>
      <c r="U337" t="str">
        <f>IFERROR(VLOOKUP($C337,装備品!$1:$998,COLUMN(R$1),FALSE),"")</f>
        <v/>
      </c>
      <c r="V337" t="str">
        <f>IFERROR(VLOOKUP($C337,装備品!$1:$998,COLUMN(Q$1),FALSE),"")</f>
        <v/>
      </c>
      <c r="W337" t="str">
        <f>IFERROR(VLOOKUP($C337,装備品!$1:$998,COLUMN(T$1),FALSE),"")</f>
        <v/>
      </c>
      <c r="Y337" t="str">
        <f>IFERROR(VLOOKUP($C337,装備品!$1:$998,COLUMN(U$1),FALSE),"")</f>
        <v/>
      </c>
      <c r="Z337" t="str">
        <f>IFERROR(ROUNDUP(VLOOKUP($C337,装備品!$1:$998,COLUMN(O$1),FALSE)*VLOOKUP($D337,素材!$1:$1016,COLUMN(E$1),FALSE),1),"")</f>
        <v/>
      </c>
      <c r="AA337">
        <f>IF(ISNUMBER(SEARCH(SUBSTITUTE(AA$1,RIGHT(AA$1,2),""),VLOOKUP($D337,素材!$1:$1016,COLUMN($F$1),FALSE))),VLOOKUP($C337,装備品!$1:$998,COLUMN($O$1),FALSE)*VLOOKUP($D337,素材!$1:$1016,COLUMN($E$1),FALSE)/(LEN(VLOOKUP($D337,素材!$1:$1016,COLUMN($F$1),FALSE))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B337">
        <f>IF(ISNUMBER(SEARCH(SUBSTITUTE(AB$1,RIGHT(AB$1,2),""),VLOOKUP($D337,素材!$1:$1016,COLUMN($F$1),FALSE))),VLOOKUP($C337,装備品!$1:$998,COLUMN($O$1),FALSE)*VLOOKUP($D337,素材!$1:$1016,COLUMN($E$1),FALSE)/(LEN(VLOOKUP($D337,素材!$1:$1016,COLUMN($F$1),FALSE))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C337">
        <f>IF(ISNUMBER(SEARCH(SUBSTITUTE(AC$1,RIGHT(AC$1,2),""),VLOOKUP($D337,素材!$1:$1016,COLUMN($F$1),FALSE))),VLOOKUP($C337,装備品!$1:$998,COLUMN($O$1),FALSE)*VLOOKUP($D337,素材!$1:$1016,COLUMN($E$1),FALSE)/(LEN(VLOOKUP($D337,素材!$1:$1016,COLUMN($F$1),FALSE))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D337">
        <f>IF(ISNUMBER(SEARCH(SUBSTITUTE(AD$1,RIGHT(AD$1,2),""),VLOOKUP($D337,素材!$1:$1016,COLUMN($F$1),FALSE))),VLOOKUP($C337,装備品!$1:$998,COLUMN($O$1),FALSE)*VLOOKUP($D337,素材!$1:$1016,COLUMN($E$1),FALSE)/(LEN(VLOOKUP($D337,素材!$1:$1016,COLUMN($F$1),FALSE))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E337">
        <f>IF(ISNUMBER(SEARCH(SUBSTITUTE(AE$1,RIGHT(AE$1,2),""),VLOOKUP($D337,素材!$1:$1016,COLUMN($F$1),FALSE))),VLOOKUP($C337,装備品!$1:$998,COLUMN($O$1),FALSE)*VLOOKUP($D337,素材!$1:$1016,COLUMN($E$1),FALSE)/(LEN(VLOOKUP($D337,素材!$1:$1016,COLUMN($F$1),FALSE))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F337">
        <f>IF(ISNUMBER(SEARCH(SUBSTITUTE(AF$1,RIGHT(AF$1,2),""),VLOOKUP($D337,素材!$1:$1016,COLUMN($F$1),FALSE))),VLOOKUP($C337,装備品!$1:$998,COLUMN($O$1),FALSE)*VLOOKUP($D337,素材!$1:$1016,COLUMN($E$1),FALSE)/(LEN(VLOOKUP($D337,素材!$1:$1016,COLUMN($F$1),FALSE))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G337">
        <f>IF(ISNUMBER(SEARCH(SUBSTITUTE(AG$1,RIGHT(AG$1,2),""),VLOOKUP($D337,素材!$1:$1016,COLUMN($F$1),FALSE))),VLOOKUP($C337,装備品!$1:$998,COLUMN($O$1),FALSE)*VLOOKUP($D337,素材!$1:$1016,COLUMN($E$1),FALSE)/(LEN(VLOOKUP($D337,素材!$1:$1016,COLUMN($F$1),FALSE))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H337">
        <f>IF(ISNUMBER(SEARCH(SUBSTITUTE(AH$1,RIGHT(AH$1,2),""),VLOOKUP($D337,素材!$1:$1016,COLUMN($F$1),FALSE))),VLOOKUP($C337,装備品!$1:$998,COLUMN($O$1),FALSE)*VLOOKUP($D337,素材!$1:$1016,COLUMN($E$1),FALSE)/(LEN(VLOOKUP($D337,素材!$1:$1016,COLUMN($F$1),FALSE))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I337">
        <f>IF(ISNUMBER(SEARCH(SUBSTITUTE(AI$1,RIGHT(AI$1,2),""),VLOOKUP($D337,素材!$1:$1016,COLUMN($F$1),FALSE))),VLOOKUP($C337,装備品!$1:$998,COLUMN($O$1),FALSE)*VLOOKUP($D337,素材!$1:$1016,COLUMN($E$1),FALSE)/(LEN(VLOOKUP($D337,素材!$1:$1016,COLUMN($F$1),FALSE))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J337">
        <f>IF(ISNUMBER(SEARCH(SUBSTITUTE(AJ$1,RIGHT(AJ$1,2),""),VLOOKUP($D337,素材!$1:$1016,COLUMN($F$1),FALSE))),VLOOKUP($C337,装備品!$1:$998,COLUMN($O$1),FALSE)*VLOOKUP($D337,素材!$1:$1016,COLUMN($E$1),FALSE)/(LEN(VLOOKUP($D337,素材!$1:$1016,COLUMN($F$1),FALSE))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K337">
        <f>IF(ISNUMBER(SEARCH(SUBSTITUTE(AK$1,RIGHT(AK$1,2),""),VLOOKUP($D337,素材!$1:$1016,COLUMN($F$1),FALSE))),VLOOKUP($C337,装備品!$1:$998,COLUMN($O$1),FALSE)*VLOOKUP($D337,素材!$1:$1016,COLUMN($E$1),FALSE)/(LEN(VLOOKUP($D337,素材!$1:$1016,COLUMN($F$1),FALSE))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L337">
        <f>IF(ISNUMBER(SEARCH(SUBSTITUTE(AL$1,RIGHT(AL$1,2),""),VLOOKUP($D337,素材!$1:$1016,COLUMN($F$1),FALSE))),VLOOKUP($C337,装備品!$1:$998,COLUMN($O$1),FALSE)*VLOOKUP($D337,素材!$1:$1016,COLUMN($E$1),FALSE)/(LEN(VLOOKUP($D337,素材!$1:$1016,COLUMN($F$1),FALSE))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M337">
        <f>IF(ISNUMBER(SEARCH(SUBSTITUTE(AM$1,RIGHT(AM$1,2),""),VLOOKUP($D337,素材!$1:$1016,COLUMN($F$1),FALSE))),VLOOKUP($C337,装備品!$1:$998,COLUMN($O$1),FALSE)*VLOOKUP($D337,素材!$1:$1016,COLUMN($E$1),FALSE)/(LEN(VLOOKUP($D337,素材!$1:$1016,COLUMN($F$1),FALSE))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N337">
        <f>IF(ISNUMBER(SEARCH(SUBSTITUTE(AN$1,RIGHT(AN$1,2),""),VLOOKUP($D337,素材!$1:$1016,COLUMN($F$1),FALSE))),VLOOKUP($C337,装備品!$1:$998,COLUMN($O$1),FALSE)*VLOOKUP($D337,素材!$1:$1016,COLUMN($E$1),FALSE)/(LEN(VLOOKUP($D337,素材!$1:$1016,COLUMN($F$1),FALSE))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O337">
        <f>IF(ISNUMBER(SEARCH(SUBSTITUTE(AO$1,RIGHT(AO$1,2),""),VLOOKUP($D337,素材!$1:$1016,COLUMN($F$1),FALSE))),VLOOKUP($C337,装備品!$1:$998,COLUMN($O$1),FALSE)*VLOOKUP($D337,素材!$1:$1016,COLUMN($E$1),FALSE)/(LEN(VLOOKUP($D337,素材!$1:$1016,COLUMN($F$1),FALSE))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P337">
        <f>IF(ISNUMBER(SEARCH(SUBSTITUTE(AP$1,RIGHT(AP$1,2),""),VLOOKUP($D337,素材!$1:$1016,COLUMN($F$1),FALSE))),VLOOKUP($C337,装備品!$1:$998,COLUMN($O$1),FALSE)*VLOOKUP($D337,素材!$1:$1016,COLUMN($E$1),FALSE)/(LEN(VLOOKUP($D337,素材!$1:$1016,COLUMN($F$1),FALSE))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Q337">
        <f>IF(ISNUMBER(SEARCH(SUBSTITUTE(AQ$1,RIGHT(AQ$1,2),""),VLOOKUP($D337,素材!$1:$1016,COLUMN($F$1),FALSE))),VLOOKUP($C337,装備品!$1:$998,COLUMN($O$1),FALSE)*VLOOKUP($D337,素材!$1:$1016,COLUMN($E$1),FALSE)/(LEN(VLOOKUP($D337,素材!$1:$1016,COLUMN($F$1),FALSE))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R337">
        <f>IF(ISNUMBER(SEARCH(SUBSTITUTE(AR$1,RIGHT(AR$1,2),""),VLOOKUP($D337,素材!$1:$1016,COLUMN($F$1),FALSE))),VLOOKUP($C337,装備品!$1:$998,COLUMN($O$1),FALSE)*VLOOKUP($D337,素材!$1:$1016,COLUMN($E$1),FALSE)/(LEN(VLOOKUP($D337,素材!$1:$1016,COLUMN($F$1),FALSE))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S337">
        <f>IF(ISNUMBER(SEARCH(SUBSTITUTE(AS$1,RIGHT(AS$1,2),""),VLOOKUP($D337,素材!$1:$1016,COLUMN($F$1),FALSE))),VLOOKUP($C337,装備品!$1:$998,COLUMN($O$1),FALSE)*VLOOKUP($D337,素材!$1:$1016,COLUMN($E$1),FALSE)/(LEN(VLOOKUP($D337,素材!$1:$1016,COLUMN($F$1),FALSE))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T337">
        <f>IF(ISNUMBER(SEARCH(SUBSTITUTE(AT$1,RIGHT(AT$1,2),""),VLOOKUP($D337,素材!$1:$1016,COLUMN($F$1),FALSE))),VLOOKUP($C337,装備品!$1:$998,COLUMN($O$1),FALSE)*VLOOKUP($D337,素材!$1:$1016,COLUMN($E$1),FALSE)/(LEN(VLOOKUP($D337,素材!$1:$1016,COLUMN($F$1),FALSE))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U337">
        <f>IF(ISNUMBER(SEARCH(SUBSTITUTE(AU$1,RIGHT(AU$1,2),""),VLOOKUP($D337,素材!$1:$1016,COLUMN($F$1),FALSE))),VLOOKUP($C337,装備品!$1:$998,COLUMN($O$1),FALSE)*VLOOKUP($D337,素材!$1:$1016,COLUMN($E$1),FALSE)/(LEN(VLOOKUP($D337,素材!$1:$1016,COLUMN($F$1),FALSE))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V337">
        <f>IF(ISNUMBER(SEARCH(SUBSTITUTE(AV$1,RIGHT(AV$1,2),""),VLOOKUP($D337,素材!$1:$1016,COLUMN($F$1),FALSE))),VLOOKUP($C337,装備品!$1:$998,COLUMN($O$1),FALSE)*VLOOKUP($D337,素材!$1:$1016,COLUMN($E$1),FALSE)/(LEN(VLOOKUP($D337,素材!$1:$1016,COLUMN($F$1),FALSE))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W337">
        <f>IF(ISNUMBER(SEARCH(SUBSTITUTE(AW$1,RIGHT(AW$1,2),""),VLOOKUP($D337,素材!$1:$1016,COLUMN($F$1),FALSE))),VLOOKUP($C337,装備品!$1:$998,COLUMN($O$1),FALSE)*VLOOKUP($D337,素材!$1:$1016,COLUMN($E$1),FALSE)/(LEN(VLOOKUP($D337,素材!$1:$1016,COLUMN($F$1),FALSE))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X337">
        <f>IF(ISNUMBER(SEARCH(SUBSTITUTE(AX$1,RIGHT(AX$1,2),""),VLOOKUP($D337,素材!$1:$1016,COLUMN($F$1),FALSE))),VLOOKUP($C337,装備品!$1:$998,COLUMN($O$1),FALSE)*VLOOKUP($D337,素材!$1:$1016,COLUMN($E$1),FALSE)/(LEN(VLOOKUP($D337,素材!$1:$1016,COLUMN($F$1),FALSE))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Y337">
        <f>IF(ISNUMBER(SEARCH(SUBSTITUTE(AY$1,RIGHT(AY$1,2),""),VLOOKUP($D337,素材!$1:$1016,COLUMN($F$1),FALSE))),VLOOKUP($C337,装備品!$1:$998,COLUMN($O$1),FALSE)*VLOOKUP($D337,素材!$1:$1016,COLUMN($E$1),FALSE)/(LEN(VLOOKUP($D337,素材!$1:$1016,COLUMN($F$1),FALSE))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Z337">
        <f>IF(ISNUMBER(SEARCH(SUBSTITUTE(AZ$1,RIGHT(AZ$1,2),""),VLOOKUP($D337,素材!$1:$1016,COLUMN($F$1),FALSE))),VLOOKUP($C337,装備品!$1:$998,COLUMN($O$1),FALSE)*VLOOKUP($D337,素材!$1:$1016,COLUMN($E$1),FALSE)/(LEN(VLOOKUP($D337,素材!$1:$1016,COLUMN($F$1),FALSE))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BA337">
        <f>IF(ISNUMBER(SEARCH(SUBSTITUTE(BA$1,RIGHT(BA$1,2),""),VLOOKUP($D337,素材!$1:$1016,COLUMN($F$1),FALSE))),VLOOKUP($C337,装備品!$1:$998,COLUMN($O$1),FALSE)*VLOOKUP($D337,素材!$1:$1016,COLUMN($E$1),FALSE)/(LEN(VLOOKUP($D337,素材!$1:$1016,COLUMN($F$1),FALSE))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BB337">
        <f>IF(ISNUMBER(SEARCH(SUBSTITUTE(BB$1,RIGHT(BB$1,2),""),VLOOKUP($D337,素材!$1:$1016,COLUMN($F$1),FALSE))),VLOOKUP($C337,装備品!$1:$998,COLUMN($O$1),FALSE)*VLOOKUP($D337,素材!$1:$1016,COLUMN($E$1),FALSE)/(LEN(VLOOKUP($D337,素材!$1:$1016,COLUMN($F$1),FALSE))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BC337">
        <f>IF(ISNUMBER(SEARCH(SUBSTITUTE(BC$1,RIGHT(BC$1,2),""),VLOOKUP($D337,素材!$1:$1016,COLUMN($F$1),FALSE))),VLOOKUP($C337,装備品!$1:$998,COLUMN($O$1),FALSE)*VLOOKUP($D337,素材!$1:$1016,COLUMN($E$1),FALSE)/(LEN(VLOOKUP($D337,素材!$1:$1016,COLUMN($F$1),FALSE))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BD337">
        <f>IF(ISNUMBER(SEARCH(SUBSTITUTE(BD$1,RIGHT(BD$1,2),""),VLOOKUP($D337,素材!$1:$1016,COLUMN($F$1),FALSE))),VLOOKUP($C337,装備品!$1:$998,COLUMN($O$1),FALSE)*VLOOKUP($D337,素材!$1:$1016,COLUMN($E$1),FALSE)/(LEN(VLOOKUP($D337,素材!$1:$1016,COLUMN($F$1),FALSE))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BE337">
        <f>IF(ISNUMBER(SEARCH(SUBSTITUTE(BE$1,RIGHT(BE$1,2),""),VLOOKUP($D337,素材!$1:$1016,COLUMN($F$1),FALSE))),VLOOKUP($C337,装備品!$1:$998,COLUMN($O$1),FALSE)*VLOOKUP($D337,素材!$1:$1016,COLUMN($E$1),FALSE)/(LEN(VLOOKUP($D337,素材!$1:$1016,COLUMN($F$1),FALSE))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CL337">
        <f t="shared" si="47"/>
        <v>0</v>
      </c>
      <c r="CM337" s="22" t="str">
        <f t="shared" si="48"/>
        <v>.webp</v>
      </c>
      <c r="CN337" t="str">
        <f>IFERROR(VLOOKUP($C337,装備品!$1:$998,COLUMN(V$1),FALSE)*VLOOKUP($D337,素材!$1:$1016,COLUMN(N$1),FALSE)+IF(CI337="",0,VLOOKUP($CI337,付与!$1:$1176,COLUMN($CK$1),FALSE)),"")</f>
        <v/>
      </c>
      <c r="CO337" t="e">
        <f>VLOOKUP(D337,素材!$A:$O,COLUMN(素材!O$1),FALSE)</f>
        <v>#N/A</v>
      </c>
      <c r="CP337" t="e">
        <f>VLOOKUP(C337,装備品!$A:$AB,COLUMN(装備品!AB$1),FALSE)</f>
        <v>#N/A</v>
      </c>
      <c r="CR337" t="str">
        <f t="shared" si="49"/>
        <v>e_337</v>
      </c>
      <c r="CS337" t="e">
        <f t="shared" si="50"/>
        <v>#VALUE!</v>
      </c>
    </row>
    <row r="338" spans="1:97" hidden="1" outlineLevel="1" x14ac:dyDescent="0.4">
      <c r="A338" t="str">
        <f t="shared" si="51"/>
        <v>の</v>
      </c>
      <c r="B338" t="str">
        <f>IFERROR(IF(CI338="",VLOOKUP($D338,素材!$1:$1016,COLUMN($B$1),FALSE)&amp;"・"&amp;VLOOKUP($C338,装備品!$1:$998,COLUMN(B$1),FALSE),VLOOKUP($CI338,付与!$1:$1176,COLUMN($B$1),FALSE)&amp;"・"&amp;VLOOKUP($C338,装備品!$1:$998,COLUMN(B$1),FALSE)),"")</f>
        <v/>
      </c>
      <c r="C338" s="24"/>
      <c r="D338" s="24"/>
      <c r="E338" t="str">
        <f>IFERROR(VLOOKUP(C338,装備品!$1:$998,COLUMN(C$1),FALSE),"")</f>
        <v/>
      </c>
      <c r="F338" t="str">
        <f>IFERROR(ROUNDDOWN((VLOOKUP($C338,装備品!$1:$998,COLUMN(D$1),FALSE)+IFERROR(VLOOKUP($CI338,付与!$1:$1167,COLUMN(F$1),FALSE),0))*VLOOKUP($D338,素材!$1:$1016,COLUMN(D$1),FALSE),0),"")</f>
        <v/>
      </c>
      <c r="G338" t="str">
        <f>IFERROR(ROUNDDOWN((VLOOKUP($C338,装備品!$1:$998,COLUMN(E$1),FALSE)+IFERROR(VLOOKUP($CI338,付与!$1:$1167,COLUMN(G$1),FALSE),0))*VLOOKUP($D338,素材!$1:$1016,COLUMN($E$1),FALSE),0),"")</f>
        <v/>
      </c>
      <c r="H338" t="str">
        <f>IFERROR(ROUNDDOWN((VLOOKUP($C338,装備品!$1:$998,COLUMN(F$1),FALSE)+IFERROR(VLOOKUP($CI338,付与!$1:$1167,COLUMN(H$1),FALSE),0))*VLOOKUP($D338,素材!$1:$1016,COLUMN($E$1),FALSE),0),"")</f>
        <v/>
      </c>
      <c r="I338" t="str">
        <f>IFERROR(ROUNDDOWN((VLOOKUP($C338,装備品!$1:$998,COLUMN(G$1),FALSE)+IFERROR(VLOOKUP($CI338,付与!$1:$1167,COLUMN(I$1),FALSE),0))*VLOOKUP($D338,素材!$1:$1016,COLUMN($E$1),FALSE),0),"")</f>
        <v/>
      </c>
      <c r="J338" t="str">
        <f>IFERROR(ROUNDDOWN((VLOOKUP($C338,装備品!$1:$998,COLUMN(H$1),FALSE)+IFERROR(VLOOKUP($CI338,付与!$1:$1167,COLUMN(J$1),FALSE),0))*VLOOKUP($D338,素材!$1:$1016,COLUMN($E$1),FALSE),0),"")</f>
        <v/>
      </c>
      <c r="K338" t="str">
        <f>IFERROR(ROUNDDOWN((VLOOKUP($C338,装備品!$1:$998,COLUMN(I$1),FALSE)+IFERROR(VLOOKUP($CI338,付与!$1:$1167,COLUMN(K$1),FALSE),0))*VLOOKUP($D338,素材!$1:$1016,COLUMN($E$1),FALSE),0),"")</f>
        <v/>
      </c>
      <c r="L338" t="str">
        <f>IFERROR(VLOOKUP($D338,素材!$1:$1016,COLUMN($F$1),FALSE),"")</f>
        <v/>
      </c>
      <c r="M338" t="str">
        <f>IFERROR(VLOOKUP($C338,装備品!$1:$998,COLUMN(AA$1),FALSE)*VLOOKUP($D338,素材!$1:$1016,COLUMN($G$1),FALSE),"")</f>
        <v/>
      </c>
      <c r="N338" t="str">
        <f>IFERROR(VLOOKUP($C338,装備品!$1:$998,COLUMN(I$1),FALSE),"")</f>
        <v/>
      </c>
      <c r="O338" s="23" t="str">
        <f>IFERROR((VLOOKUP($C338,装備品!$1:$998,COLUMN(K$1),FALSE)+VLOOKUP($D338,素材!$1:$1016,COLUMN(H$1),FALSE))*100+IFERROR(VLOOKUP($CI338,付与!$1:$1167,COLUMN(O$1),FALSE),0),"")</f>
        <v/>
      </c>
      <c r="P338" s="23" t="str">
        <f>IFERROR((VLOOKUP($C338,装備品!$1:$998,COLUMN(L$1),FALSE)+VLOOKUP($D338,素材!$1:$1016,COLUMN(I$1),FALSE))*100+IFERROR(VLOOKUP($CI338,付与!$1:$1167,COLUMN(P$1),FALSE),0),"")</f>
        <v/>
      </c>
      <c r="Q338" t="str">
        <f>IFERROR(ROUNDUP(VLOOKUP($C338,装備品!$1:$998,COLUMN(M$1),FALSE)*(VLOOKUP($D338,素材!$1:$1002,COLUMN(D$1),FALSE)/100),1),"")</f>
        <v/>
      </c>
      <c r="R338" t="str">
        <f>IFERROR(ROUNDUP(VLOOKUP($C338,装備品!$1:$998,COLUMN(N$1),FALSE)*(VLOOKUP($D338,素材!$1:$1002,COLUMN(D$1),FALSE)/100),1),"")</f>
        <v/>
      </c>
      <c r="S338" t="str">
        <f>IFERROR(VLOOKUP($C338,装備品!$1:$998,COLUMN(P$1),FALSE),"")</f>
        <v/>
      </c>
      <c r="T338" t="str">
        <f>IFERROR(VLOOKUP($C338,装備品!$1:$998,COLUMN(Q$1),FALSE),"")</f>
        <v/>
      </c>
      <c r="U338" t="str">
        <f>IFERROR(VLOOKUP($C338,装備品!$1:$998,COLUMN(R$1),FALSE),"")</f>
        <v/>
      </c>
      <c r="V338" t="str">
        <f>IFERROR(VLOOKUP($C338,装備品!$1:$998,COLUMN(Q$1),FALSE),"")</f>
        <v/>
      </c>
      <c r="W338" t="str">
        <f>IFERROR(VLOOKUP($C338,装備品!$1:$998,COLUMN(T$1),FALSE),"")</f>
        <v/>
      </c>
      <c r="Y338" t="str">
        <f>IFERROR(VLOOKUP($C338,装備品!$1:$998,COLUMN(U$1),FALSE),"")</f>
        <v/>
      </c>
      <c r="Z338" t="str">
        <f>IFERROR(ROUNDUP(VLOOKUP($C338,装備品!$1:$998,COLUMN(O$1),FALSE)*VLOOKUP($D338,素材!$1:$1016,COLUMN(E$1),FALSE),1),"")</f>
        <v/>
      </c>
      <c r="AA338">
        <f>IF(ISNUMBER(SEARCH(SUBSTITUTE(AA$1,RIGHT(AA$1,2),""),VLOOKUP($D338,素材!$1:$1016,COLUMN($F$1),FALSE))),VLOOKUP($C338,装備品!$1:$998,COLUMN($O$1),FALSE)*VLOOKUP($D338,素材!$1:$1016,COLUMN($E$1),FALSE)/(LEN(VLOOKUP($D338,素材!$1:$1016,COLUMN($F$1),FALSE))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B338">
        <f>IF(ISNUMBER(SEARCH(SUBSTITUTE(AB$1,RIGHT(AB$1,2),""),VLOOKUP($D338,素材!$1:$1016,COLUMN($F$1),FALSE))),VLOOKUP($C338,装備品!$1:$998,COLUMN($O$1),FALSE)*VLOOKUP($D338,素材!$1:$1016,COLUMN($E$1),FALSE)/(LEN(VLOOKUP($D338,素材!$1:$1016,COLUMN($F$1),FALSE))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C338">
        <f>IF(ISNUMBER(SEARCH(SUBSTITUTE(AC$1,RIGHT(AC$1,2),""),VLOOKUP($D338,素材!$1:$1016,COLUMN($F$1),FALSE))),VLOOKUP($C338,装備品!$1:$998,COLUMN($O$1),FALSE)*VLOOKUP($D338,素材!$1:$1016,COLUMN($E$1),FALSE)/(LEN(VLOOKUP($D338,素材!$1:$1016,COLUMN($F$1),FALSE))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D338">
        <f>IF(ISNUMBER(SEARCH(SUBSTITUTE(AD$1,RIGHT(AD$1,2),""),VLOOKUP($D338,素材!$1:$1016,COLUMN($F$1),FALSE))),VLOOKUP($C338,装備品!$1:$998,COLUMN($O$1),FALSE)*VLOOKUP($D338,素材!$1:$1016,COLUMN($E$1),FALSE)/(LEN(VLOOKUP($D338,素材!$1:$1016,COLUMN($F$1),FALSE))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E338">
        <f>IF(ISNUMBER(SEARCH(SUBSTITUTE(AE$1,RIGHT(AE$1,2),""),VLOOKUP($D338,素材!$1:$1016,COLUMN($F$1),FALSE))),VLOOKUP($C338,装備品!$1:$998,COLUMN($O$1),FALSE)*VLOOKUP($D338,素材!$1:$1016,COLUMN($E$1),FALSE)/(LEN(VLOOKUP($D338,素材!$1:$1016,COLUMN($F$1),FALSE))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F338">
        <f>IF(ISNUMBER(SEARCH(SUBSTITUTE(AF$1,RIGHT(AF$1,2),""),VLOOKUP($D338,素材!$1:$1016,COLUMN($F$1),FALSE))),VLOOKUP($C338,装備品!$1:$998,COLUMN($O$1),FALSE)*VLOOKUP($D338,素材!$1:$1016,COLUMN($E$1),FALSE)/(LEN(VLOOKUP($D338,素材!$1:$1016,COLUMN($F$1),FALSE))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G338">
        <f>IF(ISNUMBER(SEARCH(SUBSTITUTE(AG$1,RIGHT(AG$1,2),""),VLOOKUP($D338,素材!$1:$1016,COLUMN($F$1),FALSE))),VLOOKUP($C338,装備品!$1:$998,COLUMN($O$1),FALSE)*VLOOKUP($D338,素材!$1:$1016,COLUMN($E$1),FALSE)/(LEN(VLOOKUP($D338,素材!$1:$1016,COLUMN($F$1),FALSE))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H338">
        <f>IF(ISNUMBER(SEARCH(SUBSTITUTE(AH$1,RIGHT(AH$1,2),""),VLOOKUP($D338,素材!$1:$1016,COLUMN($F$1),FALSE))),VLOOKUP($C338,装備品!$1:$998,COLUMN($O$1),FALSE)*VLOOKUP($D338,素材!$1:$1016,COLUMN($E$1),FALSE)/(LEN(VLOOKUP($D338,素材!$1:$1016,COLUMN($F$1),FALSE))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I338">
        <f>IF(ISNUMBER(SEARCH(SUBSTITUTE(AI$1,RIGHT(AI$1,2),""),VLOOKUP($D338,素材!$1:$1016,COLUMN($F$1),FALSE))),VLOOKUP($C338,装備品!$1:$998,COLUMN($O$1),FALSE)*VLOOKUP($D338,素材!$1:$1016,COLUMN($E$1),FALSE)/(LEN(VLOOKUP($D338,素材!$1:$1016,COLUMN($F$1),FALSE))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J338">
        <f>IF(ISNUMBER(SEARCH(SUBSTITUTE(AJ$1,RIGHT(AJ$1,2),""),VLOOKUP($D338,素材!$1:$1016,COLUMN($F$1),FALSE))),VLOOKUP($C338,装備品!$1:$998,COLUMN($O$1),FALSE)*VLOOKUP($D338,素材!$1:$1016,COLUMN($E$1),FALSE)/(LEN(VLOOKUP($D338,素材!$1:$1016,COLUMN($F$1),FALSE))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K338">
        <f>IF(ISNUMBER(SEARCH(SUBSTITUTE(AK$1,RIGHT(AK$1,2),""),VLOOKUP($D338,素材!$1:$1016,COLUMN($F$1),FALSE))),VLOOKUP($C338,装備品!$1:$998,COLUMN($O$1),FALSE)*VLOOKUP($D338,素材!$1:$1016,COLUMN($E$1),FALSE)/(LEN(VLOOKUP($D338,素材!$1:$1016,COLUMN($F$1),FALSE))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L338">
        <f>IF(ISNUMBER(SEARCH(SUBSTITUTE(AL$1,RIGHT(AL$1,2),""),VLOOKUP($D338,素材!$1:$1016,COLUMN($F$1),FALSE))),VLOOKUP($C338,装備品!$1:$998,COLUMN($O$1),FALSE)*VLOOKUP($D338,素材!$1:$1016,COLUMN($E$1),FALSE)/(LEN(VLOOKUP($D338,素材!$1:$1016,COLUMN($F$1),FALSE))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M338">
        <f>IF(ISNUMBER(SEARCH(SUBSTITUTE(AM$1,RIGHT(AM$1,2),""),VLOOKUP($D338,素材!$1:$1016,COLUMN($F$1),FALSE))),VLOOKUP($C338,装備品!$1:$998,COLUMN($O$1),FALSE)*VLOOKUP($D338,素材!$1:$1016,COLUMN($E$1),FALSE)/(LEN(VLOOKUP($D338,素材!$1:$1016,COLUMN($F$1),FALSE))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N338">
        <f>IF(ISNUMBER(SEARCH(SUBSTITUTE(AN$1,RIGHT(AN$1,2),""),VLOOKUP($D338,素材!$1:$1016,COLUMN($F$1),FALSE))),VLOOKUP($C338,装備品!$1:$998,COLUMN($O$1),FALSE)*VLOOKUP($D338,素材!$1:$1016,COLUMN($E$1),FALSE)/(LEN(VLOOKUP($D338,素材!$1:$1016,COLUMN($F$1),FALSE))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O338">
        <f>IF(ISNUMBER(SEARCH(SUBSTITUTE(AO$1,RIGHT(AO$1,2),""),VLOOKUP($D338,素材!$1:$1016,COLUMN($F$1),FALSE))),VLOOKUP($C338,装備品!$1:$998,COLUMN($O$1),FALSE)*VLOOKUP($D338,素材!$1:$1016,COLUMN($E$1),FALSE)/(LEN(VLOOKUP($D338,素材!$1:$1016,COLUMN($F$1),FALSE))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P338">
        <f>IF(ISNUMBER(SEARCH(SUBSTITUTE(AP$1,RIGHT(AP$1,2),""),VLOOKUP($D338,素材!$1:$1016,COLUMN($F$1),FALSE))),VLOOKUP($C338,装備品!$1:$998,COLUMN($O$1),FALSE)*VLOOKUP($D338,素材!$1:$1016,COLUMN($E$1),FALSE)/(LEN(VLOOKUP($D338,素材!$1:$1016,COLUMN($F$1),FALSE))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Q338">
        <f>IF(ISNUMBER(SEARCH(SUBSTITUTE(AQ$1,RIGHT(AQ$1,2),""),VLOOKUP($D338,素材!$1:$1016,COLUMN($F$1),FALSE))),VLOOKUP($C338,装備品!$1:$998,COLUMN($O$1),FALSE)*VLOOKUP($D338,素材!$1:$1016,COLUMN($E$1),FALSE)/(LEN(VLOOKUP($D338,素材!$1:$1016,COLUMN($F$1),FALSE))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R338">
        <f>IF(ISNUMBER(SEARCH(SUBSTITUTE(AR$1,RIGHT(AR$1,2),""),VLOOKUP($D338,素材!$1:$1016,COLUMN($F$1),FALSE))),VLOOKUP($C338,装備品!$1:$998,COLUMN($O$1),FALSE)*VLOOKUP($D338,素材!$1:$1016,COLUMN($E$1),FALSE)/(LEN(VLOOKUP($D338,素材!$1:$1016,COLUMN($F$1),FALSE))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S338">
        <f>IF(ISNUMBER(SEARCH(SUBSTITUTE(AS$1,RIGHT(AS$1,2),""),VLOOKUP($D338,素材!$1:$1016,COLUMN($F$1),FALSE))),VLOOKUP($C338,装備品!$1:$998,COLUMN($O$1),FALSE)*VLOOKUP($D338,素材!$1:$1016,COLUMN($E$1),FALSE)/(LEN(VLOOKUP($D338,素材!$1:$1016,COLUMN($F$1),FALSE))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T338">
        <f>IF(ISNUMBER(SEARCH(SUBSTITUTE(AT$1,RIGHT(AT$1,2),""),VLOOKUP($D338,素材!$1:$1016,COLUMN($F$1),FALSE))),VLOOKUP($C338,装備品!$1:$998,COLUMN($O$1),FALSE)*VLOOKUP($D338,素材!$1:$1016,COLUMN($E$1),FALSE)/(LEN(VLOOKUP($D338,素材!$1:$1016,COLUMN($F$1),FALSE))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U338">
        <f>IF(ISNUMBER(SEARCH(SUBSTITUTE(AU$1,RIGHT(AU$1,2),""),VLOOKUP($D338,素材!$1:$1016,COLUMN($F$1),FALSE))),VLOOKUP($C338,装備品!$1:$998,COLUMN($O$1),FALSE)*VLOOKUP($D338,素材!$1:$1016,COLUMN($E$1),FALSE)/(LEN(VLOOKUP($D338,素材!$1:$1016,COLUMN($F$1),FALSE))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V338">
        <f>IF(ISNUMBER(SEARCH(SUBSTITUTE(AV$1,RIGHT(AV$1,2),""),VLOOKUP($D338,素材!$1:$1016,COLUMN($F$1),FALSE))),VLOOKUP($C338,装備品!$1:$998,COLUMN($O$1),FALSE)*VLOOKUP($D338,素材!$1:$1016,COLUMN($E$1),FALSE)/(LEN(VLOOKUP($D338,素材!$1:$1016,COLUMN($F$1),FALSE))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W338">
        <f>IF(ISNUMBER(SEARCH(SUBSTITUTE(AW$1,RIGHT(AW$1,2),""),VLOOKUP($D338,素材!$1:$1016,COLUMN($F$1),FALSE))),VLOOKUP($C338,装備品!$1:$998,COLUMN($O$1),FALSE)*VLOOKUP($D338,素材!$1:$1016,COLUMN($E$1),FALSE)/(LEN(VLOOKUP($D338,素材!$1:$1016,COLUMN($F$1),FALSE))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X338">
        <f>IF(ISNUMBER(SEARCH(SUBSTITUTE(AX$1,RIGHT(AX$1,2),""),VLOOKUP($D338,素材!$1:$1016,COLUMN($F$1),FALSE))),VLOOKUP($C338,装備品!$1:$998,COLUMN($O$1),FALSE)*VLOOKUP($D338,素材!$1:$1016,COLUMN($E$1),FALSE)/(LEN(VLOOKUP($D338,素材!$1:$1016,COLUMN($F$1),FALSE))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Y338">
        <f>IF(ISNUMBER(SEARCH(SUBSTITUTE(AY$1,RIGHT(AY$1,2),""),VLOOKUP($D338,素材!$1:$1016,COLUMN($F$1),FALSE))),VLOOKUP($C338,装備品!$1:$998,COLUMN($O$1),FALSE)*VLOOKUP($D338,素材!$1:$1016,COLUMN($E$1),FALSE)/(LEN(VLOOKUP($D338,素材!$1:$1016,COLUMN($F$1),FALSE))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Z338">
        <f>IF(ISNUMBER(SEARCH(SUBSTITUTE(AZ$1,RIGHT(AZ$1,2),""),VLOOKUP($D338,素材!$1:$1016,COLUMN($F$1),FALSE))),VLOOKUP($C338,装備品!$1:$998,COLUMN($O$1),FALSE)*VLOOKUP($D338,素材!$1:$1016,COLUMN($E$1),FALSE)/(LEN(VLOOKUP($D338,素材!$1:$1016,COLUMN($F$1),FALSE))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BA338">
        <f>IF(ISNUMBER(SEARCH(SUBSTITUTE(BA$1,RIGHT(BA$1,2),""),VLOOKUP($D338,素材!$1:$1016,COLUMN($F$1),FALSE))),VLOOKUP($C338,装備品!$1:$998,COLUMN($O$1),FALSE)*VLOOKUP($D338,素材!$1:$1016,COLUMN($E$1),FALSE)/(LEN(VLOOKUP($D338,素材!$1:$1016,COLUMN($F$1),FALSE))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BB338">
        <f>IF(ISNUMBER(SEARCH(SUBSTITUTE(BB$1,RIGHT(BB$1,2),""),VLOOKUP($D338,素材!$1:$1016,COLUMN($F$1),FALSE))),VLOOKUP($C338,装備品!$1:$998,COLUMN($O$1),FALSE)*VLOOKUP($D338,素材!$1:$1016,COLUMN($E$1),FALSE)/(LEN(VLOOKUP($D338,素材!$1:$1016,COLUMN($F$1),FALSE))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BC338">
        <f>IF(ISNUMBER(SEARCH(SUBSTITUTE(BC$1,RIGHT(BC$1,2),""),VLOOKUP($D338,素材!$1:$1016,COLUMN($F$1),FALSE))),VLOOKUP($C338,装備品!$1:$998,COLUMN($O$1),FALSE)*VLOOKUP($D338,素材!$1:$1016,COLUMN($E$1),FALSE)/(LEN(VLOOKUP($D338,素材!$1:$1016,COLUMN($F$1),FALSE))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BD338">
        <f>IF(ISNUMBER(SEARCH(SUBSTITUTE(BD$1,RIGHT(BD$1,2),""),VLOOKUP($D338,素材!$1:$1016,COLUMN($F$1),FALSE))),VLOOKUP($C338,装備品!$1:$998,COLUMN($O$1),FALSE)*VLOOKUP($D338,素材!$1:$1016,COLUMN($E$1),FALSE)/(LEN(VLOOKUP($D338,素材!$1:$1016,COLUMN($F$1),FALSE))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BE338">
        <f>IF(ISNUMBER(SEARCH(SUBSTITUTE(BE$1,RIGHT(BE$1,2),""),VLOOKUP($D338,素材!$1:$1016,COLUMN($F$1),FALSE))),VLOOKUP($C338,装備品!$1:$998,COLUMN($O$1),FALSE)*VLOOKUP($D338,素材!$1:$1016,COLUMN($E$1),FALSE)/(LEN(VLOOKUP($D338,素材!$1:$1016,COLUMN($F$1),FALSE))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CL338">
        <f t="shared" si="47"/>
        <v>0</v>
      </c>
      <c r="CM338" s="22" t="str">
        <f t="shared" si="48"/>
        <v>.webp</v>
      </c>
      <c r="CN338" t="str">
        <f>IFERROR(VLOOKUP($C338,装備品!$1:$998,COLUMN(V$1),FALSE)*VLOOKUP($D338,素材!$1:$1016,COLUMN(N$1),FALSE)+IF(CI338="",0,VLOOKUP($CI338,付与!$1:$1176,COLUMN($CK$1),FALSE)),"")</f>
        <v/>
      </c>
      <c r="CO338" t="e">
        <f>VLOOKUP(D338,素材!$A:$O,COLUMN(素材!O$1),FALSE)</f>
        <v>#N/A</v>
      </c>
      <c r="CP338" t="e">
        <f>VLOOKUP(C338,装備品!$A:$AB,COLUMN(装備品!AB$1),FALSE)</f>
        <v>#N/A</v>
      </c>
      <c r="CR338" t="str">
        <f t="shared" si="49"/>
        <v>e_338</v>
      </c>
      <c r="CS338" t="e">
        <f t="shared" si="50"/>
        <v>#VALUE!</v>
      </c>
    </row>
    <row r="339" spans="1:97" hidden="1" outlineLevel="1" x14ac:dyDescent="0.4">
      <c r="A339" t="str">
        <f t="shared" si="51"/>
        <v>の</v>
      </c>
      <c r="B339" t="str">
        <f>IFERROR(IF(CI339="",VLOOKUP($D339,素材!$1:$1016,COLUMN($B$1),FALSE)&amp;"・"&amp;VLOOKUP($C339,装備品!$1:$998,COLUMN(B$1),FALSE),VLOOKUP($CI339,付与!$1:$1176,COLUMN($B$1),FALSE)&amp;"・"&amp;VLOOKUP($C339,装備品!$1:$998,COLUMN(B$1),FALSE)),"")</f>
        <v/>
      </c>
      <c r="C339" s="24"/>
      <c r="D339" s="24"/>
      <c r="E339" t="str">
        <f>IFERROR(VLOOKUP(C339,装備品!$1:$998,COLUMN(C$1),FALSE),"")</f>
        <v/>
      </c>
      <c r="F339" t="str">
        <f>IFERROR(ROUNDDOWN((VLOOKUP($C339,装備品!$1:$998,COLUMN(D$1),FALSE)+IFERROR(VLOOKUP($CI339,付与!$1:$1167,COLUMN(F$1),FALSE),0))*VLOOKUP($D339,素材!$1:$1016,COLUMN(D$1),FALSE),0),"")</f>
        <v/>
      </c>
      <c r="G339" t="str">
        <f>IFERROR(ROUNDDOWN((VLOOKUP($C339,装備品!$1:$998,COLUMN(E$1),FALSE)+IFERROR(VLOOKUP($CI339,付与!$1:$1167,COLUMN(G$1),FALSE),0))*VLOOKUP($D339,素材!$1:$1016,COLUMN($E$1),FALSE),0),"")</f>
        <v/>
      </c>
      <c r="H339" t="str">
        <f>IFERROR(ROUNDDOWN((VLOOKUP($C339,装備品!$1:$998,COLUMN(F$1),FALSE)+IFERROR(VLOOKUP($CI339,付与!$1:$1167,COLUMN(H$1),FALSE),0))*VLOOKUP($D339,素材!$1:$1016,COLUMN($E$1),FALSE),0),"")</f>
        <v/>
      </c>
      <c r="I339" t="str">
        <f>IFERROR(ROUNDDOWN((VLOOKUP($C339,装備品!$1:$998,COLUMN(G$1),FALSE)+IFERROR(VLOOKUP($CI339,付与!$1:$1167,COLUMN(I$1),FALSE),0))*VLOOKUP($D339,素材!$1:$1016,COLUMN($E$1),FALSE),0),"")</f>
        <v/>
      </c>
      <c r="J339" t="str">
        <f>IFERROR(ROUNDDOWN((VLOOKUP($C339,装備品!$1:$998,COLUMN(H$1),FALSE)+IFERROR(VLOOKUP($CI339,付与!$1:$1167,COLUMN(J$1),FALSE),0))*VLOOKUP($D339,素材!$1:$1016,COLUMN($E$1),FALSE),0),"")</f>
        <v/>
      </c>
      <c r="K339" t="str">
        <f>IFERROR(ROUNDDOWN((VLOOKUP($C339,装備品!$1:$998,COLUMN(I$1),FALSE)+IFERROR(VLOOKUP($CI339,付与!$1:$1167,COLUMN(K$1),FALSE),0))*VLOOKUP($D339,素材!$1:$1016,COLUMN($E$1),FALSE),0),"")</f>
        <v/>
      </c>
      <c r="L339" t="str">
        <f>IFERROR(VLOOKUP($D339,素材!$1:$1016,COLUMN($F$1),FALSE),"")</f>
        <v/>
      </c>
      <c r="M339" t="str">
        <f>IFERROR(VLOOKUP($C339,装備品!$1:$998,COLUMN(AA$1),FALSE)*VLOOKUP($D339,素材!$1:$1016,COLUMN($G$1),FALSE),"")</f>
        <v/>
      </c>
      <c r="N339" t="str">
        <f>IFERROR(VLOOKUP($C339,装備品!$1:$998,COLUMN(I$1),FALSE),"")</f>
        <v/>
      </c>
      <c r="O339" s="23" t="str">
        <f>IFERROR((VLOOKUP($C339,装備品!$1:$998,COLUMN(K$1),FALSE)+VLOOKUP($D339,素材!$1:$1016,COLUMN(H$1),FALSE))*100+IFERROR(VLOOKUP($CI339,付与!$1:$1167,COLUMN(O$1),FALSE),0),"")</f>
        <v/>
      </c>
      <c r="P339" s="23" t="str">
        <f>IFERROR((VLOOKUP($C339,装備品!$1:$998,COLUMN(L$1),FALSE)+VLOOKUP($D339,素材!$1:$1016,COLUMN(I$1),FALSE))*100+IFERROR(VLOOKUP($CI339,付与!$1:$1167,COLUMN(P$1),FALSE),0),"")</f>
        <v/>
      </c>
      <c r="Q339" t="str">
        <f>IFERROR(ROUNDUP(VLOOKUP($C339,装備品!$1:$998,COLUMN(M$1),FALSE)*(VLOOKUP($D339,素材!$1:$1002,COLUMN(D$1),FALSE)/100),1),"")</f>
        <v/>
      </c>
      <c r="R339" t="str">
        <f>IFERROR(ROUNDUP(VLOOKUP($C339,装備品!$1:$998,COLUMN(N$1),FALSE)*(VLOOKUP($D339,素材!$1:$1002,COLUMN(D$1),FALSE)/100),1),"")</f>
        <v/>
      </c>
      <c r="S339" t="str">
        <f>IFERROR(VLOOKUP($C339,装備品!$1:$998,COLUMN(P$1),FALSE),"")</f>
        <v/>
      </c>
      <c r="T339" t="str">
        <f>IFERROR(VLOOKUP($C339,装備品!$1:$998,COLUMN(Q$1),FALSE),"")</f>
        <v/>
      </c>
      <c r="U339" t="str">
        <f>IFERROR(VLOOKUP($C339,装備品!$1:$998,COLUMN(R$1),FALSE),"")</f>
        <v/>
      </c>
      <c r="V339" t="str">
        <f>IFERROR(VLOOKUP($C339,装備品!$1:$998,COLUMN(Q$1),FALSE),"")</f>
        <v/>
      </c>
      <c r="W339" t="str">
        <f>IFERROR(VLOOKUP($C339,装備品!$1:$998,COLUMN(T$1),FALSE),"")</f>
        <v/>
      </c>
      <c r="Y339" t="str">
        <f>IFERROR(VLOOKUP($C339,装備品!$1:$998,COLUMN(U$1),FALSE),"")</f>
        <v/>
      </c>
      <c r="Z339" t="str">
        <f>IFERROR(ROUNDUP(VLOOKUP($C339,装備品!$1:$998,COLUMN(O$1),FALSE)*VLOOKUP($D339,素材!$1:$1016,COLUMN(E$1),FALSE),1),"")</f>
        <v/>
      </c>
      <c r="AA339">
        <f>IF(ISNUMBER(SEARCH(SUBSTITUTE(AA$1,RIGHT(AA$1,2),""),VLOOKUP($D339,素材!$1:$1016,COLUMN($F$1),FALSE))),VLOOKUP($C339,装備品!$1:$998,COLUMN($O$1),FALSE)*VLOOKUP($D339,素材!$1:$1016,COLUMN($E$1),FALSE)/(LEN(VLOOKUP($D339,素材!$1:$1016,COLUMN($F$1),FALSE))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B339">
        <f>IF(ISNUMBER(SEARCH(SUBSTITUTE(AB$1,RIGHT(AB$1,2),""),VLOOKUP($D339,素材!$1:$1016,COLUMN($F$1),FALSE))),VLOOKUP($C339,装備品!$1:$998,COLUMN($O$1),FALSE)*VLOOKUP($D339,素材!$1:$1016,COLUMN($E$1),FALSE)/(LEN(VLOOKUP($D339,素材!$1:$1016,COLUMN($F$1),FALSE))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C339">
        <f>IF(ISNUMBER(SEARCH(SUBSTITUTE(AC$1,RIGHT(AC$1,2),""),VLOOKUP($D339,素材!$1:$1016,COLUMN($F$1),FALSE))),VLOOKUP($C339,装備品!$1:$998,COLUMN($O$1),FALSE)*VLOOKUP($D339,素材!$1:$1016,COLUMN($E$1),FALSE)/(LEN(VLOOKUP($D339,素材!$1:$1016,COLUMN($F$1),FALSE))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D339">
        <f>IF(ISNUMBER(SEARCH(SUBSTITUTE(AD$1,RIGHT(AD$1,2),""),VLOOKUP($D339,素材!$1:$1016,COLUMN($F$1),FALSE))),VLOOKUP($C339,装備品!$1:$998,COLUMN($O$1),FALSE)*VLOOKUP($D339,素材!$1:$1016,COLUMN($E$1),FALSE)/(LEN(VLOOKUP($D339,素材!$1:$1016,COLUMN($F$1),FALSE))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E339">
        <f>IF(ISNUMBER(SEARCH(SUBSTITUTE(AE$1,RIGHT(AE$1,2),""),VLOOKUP($D339,素材!$1:$1016,COLUMN($F$1),FALSE))),VLOOKUP($C339,装備品!$1:$998,COLUMN($O$1),FALSE)*VLOOKUP($D339,素材!$1:$1016,COLUMN($E$1),FALSE)/(LEN(VLOOKUP($D339,素材!$1:$1016,COLUMN($F$1),FALSE))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F339">
        <f>IF(ISNUMBER(SEARCH(SUBSTITUTE(AF$1,RIGHT(AF$1,2),""),VLOOKUP($D339,素材!$1:$1016,COLUMN($F$1),FALSE))),VLOOKUP($C339,装備品!$1:$998,COLUMN($O$1),FALSE)*VLOOKUP($D339,素材!$1:$1016,COLUMN($E$1),FALSE)/(LEN(VLOOKUP($D339,素材!$1:$1016,COLUMN($F$1),FALSE))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G339">
        <f>IF(ISNUMBER(SEARCH(SUBSTITUTE(AG$1,RIGHT(AG$1,2),""),VLOOKUP($D339,素材!$1:$1016,COLUMN($F$1),FALSE))),VLOOKUP($C339,装備品!$1:$998,COLUMN($O$1),FALSE)*VLOOKUP($D339,素材!$1:$1016,COLUMN($E$1),FALSE)/(LEN(VLOOKUP($D339,素材!$1:$1016,COLUMN($F$1),FALSE))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H339">
        <f>IF(ISNUMBER(SEARCH(SUBSTITUTE(AH$1,RIGHT(AH$1,2),""),VLOOKUP($D339,素材!$1:$1016,COLUMN($F$1),FALSE))),VLOOKUP($C339,装備品!$1:$998,COLUMN($O$1),FALSE)*VLOOKUP($D339,素材!$1:$1016,COLUMN($E$1),FALSE)/(LEN(VLOOKUP($D339,素材!$1:$1016,COLUMN($F$1),FALSE))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I339">
        <f>IF(ISNUMBER(SEARCH(SUBSTITUTE(AI$1,RIGHT(AI$1,2),""),VLOOKUP($D339,素材!$1:$1016,COLUMN($F$1),FALSE))),VLOOKUP($C339,装備品!$1:$998,COLUMN($O$1),FALSE)*VLOOKUP($D339,素材!$1:$1016,COLUMN($E$1),FALSE)/(LEN(VLOOKUP($D339,素材!$1:$1016,COLUMN($F$1),FALSE))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J339">
        <f>IF(ISNUMBER(SEARCH(SUBSTITUTE(AJ$1,RIGHT(AJ$1,2),""),VLOOKUP($D339,素材!$1:$1016,COLUMN($F$1),FALSE))),VLOOKUP($C339,装備品!$1:$998,COLUMN($O$1),FALSE)*VLOOKUP($D339,素材!$1:$1016,COLUMN($E$1),FALSE)/(LEN(VLOOKUP($D339,素材!$1:$1016,COLUMN($F$1),FALSE))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K339">
        <f>IF(ISNUMBER(SEARCH(SUBSTITUTE(AK$1,RIGHT(AK$1,2),""),VLOOKUP($D339,素材!$1:$1016,COLUMN($F$1),FALSE))),VLOOKUP($C339,装備品!$1:$998,COLUMN($O$1),FALSE)*VLOOKUP($D339,素材!$1:$1016,COLUMN($E$1),FALSE)/(LEN(VLOOKUP($D339,素材!$1:$1016,COLUMN($F$1),FALSE))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L339">
        <f>IF(ISNUMBER(SEARCH(SUBSTITUTE(AL$1,RIGHT(AL$1,2),""),VLOOKUP($D339,素材!$1:$1016,COLUMN($F$1),FALSE))),VLOOKUP($C339,装備品!$1:$998,COLUMN($O$1),FALSE)*VLOOKUP($D339,素材!$1:$1016,COLUMN($E$1),FALSE)/(LEN(VLOOKUP($D339,素材!$1:$1016,COLUMN($F$1),FALSE))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M339">
        <f>IF(ISNUMBER(SEARCH(SUBSTITUTE(AM$1,RIGHT(AM$1,2),""),VLOOKUP($D339,素材!$1:$1016,COLUMN($F$1),FALSE))),VLOOKUP($C339,装備品!$1:$998,COLUMN($O$1),FALSE)*VLOOKUP($D339,素材!$1:$1016,COLUMN($E$1),FALSE)/(LEN(VLOOKUP($D339,素材!$1:$1016,COLUMN($F$1),FALSE))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N339">
        <f>IF(ISNUMBER(SEARCH(SUBSTITUTE(AN$1,RIGHT(AN$1,2),""),VLOOKUP($D339,素材!$1:$1016,COLUMN($F$1),FALSE))),VLOOKUP($C339,装備品!$1:$998,COLUMN($O$1),FALSE)*VLOOKUP($D339,素材!$1:$1016,COLUMN($E$1),FALSE)/(LEN(VLOOKUP($D339,素材!$1:$1016,COLUMN($F$1),FALSE))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O339">
        <f>IF(ISNUMBER(SEARCH(SUBSTITUTE(AO$1,RIGHT(AO$1,2),""),VLOOKUP($D339,素材!$1:$1016,COLUMN($F$1),FALSE))),VLOOKUP($C339,装備品!$1:$998,COLUMN($O$1),FALSE)*VLOOKUP($D339,素材!$1:$1016,COLUMN($E$1),FALSE)/(LEN(VLOOKUP($D339,素材!$1:$1016,COLUMN($F$1),FALSE))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P339">
        <f>IF(ISNUMBER(SEARCH(SUBSTITUTE(AP$1,RIGHT(AP$1,2),""),VLOOKUP($D339,素材!$1:$1016,COLUMN($F$1),FALSE))),VLOOKUP($C339,装備品!$1:$998,COLUMN($O$1),FALSE)*VLOOKUP($D339,素材!$1:$1016,COLUMN($E$1),FALSE)/(LEN(VLOOKUP($D339,素材!$1:$1016,COLUMN($F$1),FALSE))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Q339">
        <f>IF(ISNUMBER(SEARCH(SUBSTITUTE(AQ$1,RIGHT(AQ$1,2),""),VLOOKUP($D339,素材!$1:$1016,COLUMN($F$1),FALSE))),VLOOKUP($C339,装備品!$1:$998,COLUMN($O$1),FALSE)*VLOOKUP($D339,素材!$1:$1016,COLUMN($E$1),FALSE)/(LEN(VLOOKUP($D339,素材!$1:$1016,COLUMN($F$1),FALSE))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R339">
        <f>IF(ISNUMBER(SEARCH(SUBSTITUTE(AR$1,RIGHT(AR$1,2),""),VLOOKUP($D339,素材!$1:$1016,COLUMN($F$1),FALSE))),VLOOKUP($C339,装備品!$1:$998,COLUMN($O$1),FALSE)*VLOOKUP($D339,素材!$1:$1016,COLUMN($E$1),FALSE)/(LEN(VLOOKUP($D339,素材!$1:$1016,COLUMN($F$1),FALSE))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S339">
        <f>IF(ISNUMBER(SEARCH(SUBSTITUTE(AS$1,RIGHT(AS$1,2),""),VLOOKUP($D339,素材!$1:$1016,COLUMN($F$1),FALSE))),VLOOKUP($C339,装備品!$1:$998,COLUMN($O$1),FALSE)*VLOOKUP($D339,素材!$1:$1016,COLUMN($E$1),FALSE)/(LEN(VLOOKUP($D339,素材!$1:$1016,COLUMN($F$1),FALSE))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T339">
        <f>IF(ISNUMBER(SEARCH(SUBSTITUTE(AT$1,RIGHT(AT$1,2),""),VLOOKUP($D339,素材!$1:$1016,COLUMN($F$1),FALSE))),VLOOKUP($C339,装備品!$1:$998,COLUMN($O$1),FALSE)*VLOOKUP($D339,素材!$1:$1016,COLUMN($E$1),FALSE)/(LEN(VLOOKUP($D339,素材!$1:$1016,COLUMN($F$1),FALSE))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U339">
        <f>IF(ISNUMBER(SEARCH(SUBSTITUTE(AU$1,RIGHT(AU$1,2),""),VLOOKUP($D339,素材!$1:$1016,COLUMN($F$1),FALSE))),VLOOKUP($C339,装備品!$1:$998,COLUMN($O$1),FALSE)*VLOOKUP($D339,素材!$1:$1016,COLUMN($E$1),FALSE)/(LEN(VLOOKUP($D339,素材!$1:$1016,COLUMN($F$1),FALSE))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V339">
        <f>IF(ISNUMBER(SEARCH(SUBSTITUTE(AV$1,RIGHT(AV$1,2),""),VLOOKUP($D339,素材!$1:$1016,COLUMN($F$1),FALSE))),VLOOKUP($C339,装備品!$1:$998,COLUMN($O$1),FALSE)*VLOOKUP($D339,素材!$1:$1016,COLUMN($E$1),FALSE)/(LEN(VLOOKUP($D339,素材!$1:$1016,COLUMN($F$1),FALSE))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W339">
        <f>IF(ISNUMBER(SEARCH(SUBSTITUTE(AW$1,RIGHT(AW$1,2),""),VLOOKUP($D339,素材!$1:$1016,COLUMN($F$1),FALSE))),VLOOKUP($C339,装備品!$1:$998,COLUMN($O$1),FALSE)*VLOOKUP($D339,素材!$1:$1016,COLUMN($E$1),FALSE)/(LEN(VLOOKUP($D339,素材!$1:$1016,COLUMN($F$1),FALSE))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X339">
        <f>IF(ISNUMBER(SEARCH(SUBSTITUTE(AX$1,RIGHT(AX$1,2),""),VLOOKUP($D339,素材!$1:$1016,COLUMN($F$1),FALSE))),VLOOKUP($C339,装備品!$1:$998,COLUMN($O$1),FALSE)*VLOOKUP($D339,素材!$1:$1016,COLUMN($E$1),FALSE)/(LEN(VLOOKUP($D339,素材!$1:$1016,COLUMN($F$1),FALSE))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Y339">
        <f>IF(ISNUMBER(SEARCH(SUBSTITUTE(AY$1,RIGHT(AY$1,2),""),VLOOKUP($D339,素材!$1:$1016,COLUMN($F$1),FALSE))),VLOOKUP($C339,装備品!$1:$998,COLUMN($O$1),FALSE)*VLOOKUP($D339,素材!$1:$1016,COLUMN($E$1),FALSE)/(LEN(VLOOKUP($D339,素材!$1:$1016,COLUMN($F$1),FALSE))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Z339">
        <f>IF(ISNUMBER(SEARCH(SUBSTITUTE(AZ$1,RIGHT(AZ$1,2),""),VLOOKUP($D339,素材!$1:$1016,COLUMN($F$1),FALSE))),VLOOKUP($C339,装備品!$1:$998,COLUMN($O$1),FALSE)*VLOOKUP($D339,素材!$1:$1016,COLUMN($E$1),FALSE)/(LEN(VLOOKUP($D339,素材!$1:$1016,COLUMN($F$1),FALSE))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BA339">
        <f>IF(ISNUMBER(SEARCH(SUBSTITUTE(BA$1,RIGHT(BA$1,2),""),VLOOKUP($D339,素材!$1:$1016,COLUMN($F$1),FALSE))),VLOOKUP($C339,装備品!$1:$998,COLUMN($O$1),FALSE)*VLOOKUP($D339,素材!$1:$1016,COLUMN($E$1),FALSE)/(LEN(VLOOKUP($D339,素材!$1:$1016,COLUMN($F$1),FALSE))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BB339">
        <f>IF(ISNUMBER(SEARCH(SUBSTITUTE(BB$1,RIGHT(BB$1,2),""),VLOOKUP($D339,素材!$1:$1016,COLUMN($F$1),FALSE))),VLOOKUP($C339,装備品!$1:$998,COLUMN($O$1),FALSE)*VLOOKUP($D339,素材!$1:$1016,COLUMN($E$1),FALSE)/(LEN(VLOOKUP($D339,素材!$1:$1016,COLUMN($F$1),FALSE))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BC339">
        <f>IF(ISNUMBER(SEARCH(SUBSTITUTE(BC$1,RIGHT(BC$1,2),""),VLOOKUP($D339,素材!$1:$1016,COLUMN($F$1),FALSE))),VLOOKUP($C339,装備品!$1:$998,COLUMN($O$1),FALSE)*VLOOKUP($D339,素材!$1:$1016,COLUMN($E$1),FALSE)/(LEN(VLOOKUP($D339,素材!$1:$1016,COLUMN($F$1),FALSE))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BD339">
        <f>IF(ISNUMBER(SEARCH(SUBSTITUTE(BD$1,RIGHT(BD$1,2),""),VLOOKUP($D339,素材!$1:$1016,COLUMN($F$1),FALSE))),VLOOKUP($C339,装備品!$1:$998,COLUMN($O$1),FALSE)*VLOOKUP($D339,素材!$1:$1016,COLUMN($E$1),FALSE)/(LEN(VLOOKUP($D339,素材!$1:$1016,COLUMN($F$1),FALSE))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BE339">
        <f>IF(ISNUMBER(SEARCH(SUBSTITUTE(BE$1,RIGHT(BE$1,2),""),VLOOKUP($D339,素材!$1:$1016,COLUMN($F$1),FALSE))),VLOOKUP($C339,装備品!$1:$998,COLUMN($O$1),FALSE)*VLOOKUP($D339,素材!$1:$1016,COLUMN($E$1),FALSE)/(LEN(VLOOKUP($D339,素材!$1:$1016,COLUMN($F$1),FALSE))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CL339">
        <f t="shared" si="47"/>
        <v>0</v>
      </c>
      <c r="CM339" s="22" t="str">
        <f t="shared" si="48"/>
        <v>.webp</v>
      </c>
      <c r="CN339" t="str">
        <f>IFERROR(VLOOKUP($C339,装備品!$1:$998,COLUMN(V$1),FALSE)*VLOOKUP($D339,素材!$1:$1016,COLUMN(N$1),FALSE)+IF(CI339="",0,VLOOKUP($CI339,付与!$1:$1176,COLUMN($CK$1),FALSE)),"")</f>
        <v/>
      </c>
      <c r="CO339" t="e">
        <f>VLOOKUP(D339,素材!$A:$O,COLUMN(素材!O$1),FALSE)</f>
        <v>#N/A</v>
      </c>
      <c r="CP339" t="e">
        <f>VLOOKUP(C339,装備品!$A:$AB,COLUMN(装備品!AB$1),FALSE)</f>
        <v>#N/A</v>
      </c>
      <c r="CR339" t="str">
        <f t="shared" si="49"/>
        <v>e_339</v>
      </c>
      <c r="CS339" t="e">
        <f t="shared" si="50"/>
        <v>#VALUE!</v>
      </c>
    </row>
    <row r="340" spans="1:97" hidden="1" outlineLevel="1" x14ac:dyDescent="0.4">
      <c r="A340" t="str">
        <f t="shared" si="51"/>
        <v>の</v>
      </c>
      <c r="B340" t="str">
        <f>IFERROR(IF(CI340="",VLOOKUP($D340,素材!$1:$1016,COLUMN($B$1),FALSE)&amp;"・"&amp;VLOOKUP($C340,装備品!$1:$998,COLUMN(B$1),FALSE),VLOOKUP($CI340,付与!$1:$1176,COLUMN($B$1),FALSE)&amp;"・"&amp;VLOOKUP($C340,装備品!$1:$998,COLUMN(B$1),FALSE)),"")</f>
        <v/>
      </c>
      <c r="C340" s="24"/>
      <c r="D340" s="24"/>
      <c r="E340" t="str">
        <f>IFERROR(VLOOKUP(C340,装備品!$1:$998,COLUMN(C$1),FALSE),"")</f>
        <v/>
      </c>
      <c r="F340" t="str">
        <f>IFERROR(ROUNDDOWN((VLOOKUP($C340,装備品!$1:$998,COLUMN(D$1),FALSE)+IFERROR(VLOOKUP($CI340,付与!$1:$1167,COLUMN(F$1),FALSE),0))*VLOOKUP($D340,素材!$1:$1016,COLUMN(D$1),FALSE),0),"")</f>
        <v/>
      </c>
      <c r="G340" t="str">
        <f>IFERROR(ROUNDDOWN((VLOOKUP($C340,装備品!$1:$998,COLUMN(E$1),FALSE)+IFERROR(VLOOKUP($CI340,付与!$1:$1167,COLUMN(G$1),FALSE),0))*VLOOKUP($D340,素材!$1:$1016,COLUMN($E$1),FALSE),0),"")</f>
        <v/>
      </c>
      <c r="H340" t="str">
        <f>IFERROR(ROUNDDOWN((VLOOKUP($C340,装備品!$1:$998,COLUMN(F$1),FALSE)+IFERROR(VLOOKUP($CI340,付与!$1:$1167,COLUMN(H$1),FALSE),0))*VLOOKUP($D340,素材!$1:$1016,COLUMN($E$1),FALSE),0),"")</f>
        <v/>
      </c>
      <c r="I340" t="str">
        <f>IFERROR(ROUNDDOWN((VLOOKUP($C340,装備品!$1:$998,COLUMN(G$1),FALSE)+IFERROR(VLOOKUP($CI340,付与!$1:$1167,COLUMN(I$1),FALSE),0))*VLOOKUP($D340,素材!$1:$1016,COLUMN($E$1),FALSE),0),"")</f>
        <v/>
      </c>
      <c r="J340" t="str">
        <f>IFERROR(ROUNDDOWN((VLOOKUP($C340,装備品!$1:$998,COLUMN(H$1),FALSE)+IFERROR(VLOOKUP($CI340,付与!$1:$1167,COLUMN(J$1),FALSE),0))*VLOOKUP($D340,素材!$1:$1016,COLUMN($E$1),FALSE),0),"")</f>
        <v/>
      </c>
      <c r="K340" t="str">
        <f>IFERROR(ROUNDDOWN((VLOOKUP($C340,装備品!$1:$998,COLUMN(I$1),FALSE)+IFERROR(VLOOKUP($CI340,付与!$1:$1167,COLUMN(K$1),FALSE),0))*VLOOKUP($D340,素材!$1:$1016,COLUMN($E$1),FALSE),0),"")</f>
        <v/>
      </c>
      <c r="L340" t="str">
        <f>IFERROR(VLOOKUP($D340,素材!$1:$1016,COLUMN($F$1),FALSE),"")</f>
        <v/>
      </c>
      <c r="M340" t="str">
        <f>IFERROR(VLOOKUP($C340,装備品!$1:$998,COLUMN(AA$1),FALSE)*VLOOKUP($D340,素材!$1:$1016,COLUMN($G$1),FALSE),"")</f>
        <v/>
      </c>
      <c r="N340" t="str">
        <f>IFERROR(VLOOKUP($C340,装備品!$1:$998,COLUMN(I$1),FALSE),"")</f>
        <v/>
      </c>
      <c r="O340" s="23" t="str">
        <f>IFERROR((VLOOKUP($C340,装備品!$1:$998,COLUMN(K$1),FALSE)+VLOOKUP($D340,素材!$1:$1016,COLUMN(H$1),FALSE))*100+IFERROR(VLOOKUP($CI340,付与!$1:$1167,COLUMN(O$1),FALSE),0),"")</f>
        <v/>
      </c>
      <c r="P340" s="23" t="str">
        <f>IFERROR((VLOOKUP($C340,装備品!$1:$998,COLUMN(L$1),FALSE)+VLOOKUP($D340,素材!$1:$1016,COLUMN(I$1),FALSE))*100+IFERROR(VLOOKUP($CI340,付与!$1:$1167,COLUMN(P$1),FALSE),0),"")</f>
        <v/>
      </c>
      <c r="Q340" t="str">
        <f>IFERROR(ROUNDUP(VLOOKUP($C340,装備品!$1:$998,COLUMN(M$1),FALSE)*(VLOOKUP($D340,素材!$1:$1002,COLUMN(D$1),FALSE)/100),1),"")</f>
        <v/>
      </c>
      <c r="R340" t="str">
        <f>IFERROR(ROUNDUP(VLOOKUP($C340,装備品!$1:$998,COLUMN(N$1),FALSE)*(VLOOKUP($D340,素材!$1:$1002,COLUMN(D$1),FALSE)/100),1),"")</f>
        <v/>
      </c>
      <c r="S340" t="str">
        <f>IFERROR(VLOOKUP($C340,装備品!$1:$998,COLUMN(P$1),FALSE),"")</f>
        <v/>
      </c>
      <c r="T340" t="str">
        <f>IFERROR(VLOOKUP($C340,装備品!$1:$998,COLUMN(Q$1),FALSE),"")</f>
        <v/>
      </c>
      <c r="U340" t="str">
        <f>IFERROR(VLOOKUP($C340,装備品!$1:$998,COLUMN(R$1),FALSE),"")</f>
        <v/>
      </c>
      <c r="V340" t="str">
        <f>IFERROR(VLOOKUP($C340,装備品!$1:$998,COLUMN(Q$1),FALSE),"")</f>
        <v/>
      </c>
      <c r="W340" t="str">
        <f>IFERROR(VLOOKUP($C340,装備品!$1:$998,COLUMN(T$1),FALSE),"")</f>
        <v/>
      </c>
      <c r="Y340" t="str">
        <f>IFERROR(VLOOKUP($C340,装備品!$1:$998,COLUMN(U$1),FALSE),"")</f>
        <v/>
      </c>
      <c r="Z340" t="str">
        <f>IFERROR(ROUNDUP(VLOOKUP($C340,装備品!$1:$998,COLUMN(O$1),FALSE)*VLOOKUP($D340,素材!$1:$1016,COLUMN(E$1),FALSE),1),"")</f>
        <v/>
      </c>
      <c r="AA340">
        <f>IF(ISNUMBER(SEARCH(SUBSTITUTE(AA$1,RIGHT(AA$1,2),""),VLOOKUP($D340,素材!$1:$1016,COLUMN($F$1),FALSE))),VLOOKUP($C340,装備品!$1:$998,COLUMN($O$1),FALSE)*VLOOKUP($D340,素材!$1:$1016,COLUMN($E$1),FALSE)/(LEN(VLOOKUP($D340,素材!$1:$1016,COLUMN($F$1),FALSE))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B340">
        <f>IF(ISNUMBER(SEARCH(SUBSTITUTE(AB$1,RIGHT(AB$1,2),""),VLOOKUP($D340,素材!$1:$1016,COLUMN($F$1),FALSE))),VLOOKUP($C340,装備品!$1:$998,COLUMN($O$1),FALSE)*VLOOKUP($D340,素材!$1:$1016,COLUMN($E$1),FALSE)/(LEN(VLOOKUP($D340,素材!$1:$1016,COLUMN($F$1),FALSE))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C340">
        <f>IF(ISNUMBER(SEARCH(SUBSTITUTE(AC$1,RIGHT(AC$1,2),""),VLOOKUP($D340,素材!$1:$1016,COLUMN($F$1),FALSE))),VLOOKUP($C340,装備品!$1:$998,COLUMN($O$1),FALSE)*VLOOKUP($D340,素材!$1:$1016,COLUMN($E$1),FALSE)/(LEN(VLOOKUP($D340,素材!$1:$1016,COLUMN($F$1),FALSE))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D340">
        <f>IF(ISNUMBER(SEARCH(SUBSTITUTE(AD$1,RIGHT(AD$1,2),""),VLOOKUP($D340,素材!$1:$1016,COLUMN($F$1),FALSE))),VLOOKUP($C340,装備品!$1:$998,COLUMN($O$1),FALSE)*VLOOKUP($D340,素材!$1:$1016,COLUMN($E$1),FALSE)/(LEN(VLOOKUP($D340,素材!$1:$1016,COLUMN($F$1),FALSE))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E340">
        <f>IF(ISNUMBER(SEARCH(SUBSTITUTE(AE$1,RIGHT(AE$1,2),""),VLOOKUP($D340,素材!$1:$1016,COLUMN($F$1),FALSE))),VLOOKUP($C340,装備品!$1:$998,COLUMN($O$1),FALSE)*VLOOKUP($D340,素材!$1:$1016,COLUMN($E$1),FALSE)/(LEN(VLOOKUP($D340,素材!$1:$1016,COLUMN($F$1),FALSE))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F340">
        <f>IF(ISNUMBER(SEARCH(SUBSTITUTE(AF$1,RIGHT(AF$1,2),""),VLOOKUP($D340,素材!$1:$1016,COLUMN($F$1),FALSE))),VLOOKUP($C340,装備品!$1:$998,COLUMN($O$1),FALSE)*VLOOKUP($D340,素材!$1:$1016,COLUMN($E$1),FALSE)/(LEN(VLOOKUP($D340,素材!$1:$1016,COLUMN($F$1),FALSE))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G340">
        <f>IF(ISNUMBER(SEARCH(SUBSTITUTE(AG$1,RIGHT(AG$1,2),""),VLOOKUP($D340,素材!$1:$1016,COLUMN($F$1),FALSE))),VLOOKUP($C340,装備品!$1:$998,COLUMN($O$1),FALSE)*VLOOKUP($D340,素材!$1:$1016,COLUMN($E$1),FALSE)/(LEN(VLOOKUP($D340,素材!$1:$1016,COLUMN($F$1),FALSE))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H340">
        <f>IF(ISNUMBER(SEARCH(SUBSTITUTE(AH$1,RIGHT(AH$1,2),""),VLOOKUP($D340,素材!$1:$1016,COLUMN($F$1),FALSE))),VLOOKUP($C340,装備品!$1:$998,COLUMN($O$1),FALSE)*VLOOKUP($D340,素材!$1:$1016,COLUMN($E$1),FALSE)/(LEN(VLOOKUP($D340,素材!$1:$1016,COLUMN($F$1),FALSE))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I340">
        <f>IF(ISNUMBER(SEARCH(SUBSTITUTE(AI$1,RIGHT(AI$1,2),""),VLOOKUP($D340,素材!$1:$1016,COLUMN($F$1),FALSE))),VLOOKUP($C340,装備品!$1:$998,COLUMN($O$1),FALSE)*VLOOKUP($D340,素材!$1:$1016,COLUMN($E$1),FALSE)/(LEN(VLOOKUP($D340,素材!$1:$1016,COLUMN($F$1),FALSE))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J340">
        <f>IF(ISNUMBER(SEARCH(SUBSTITUTE(AJ$1,RIGHT(AJ$1,2),""),VLOOKUP($D340,素材!$1:$1016,COLUMN($F$1),FALSE))),VLOOKUP($C340,装備品!$1:$998,COLUMN($O$1),FALSE)*VLOOKUP($D340,素材!$1:$1016,COLUMN($E$1),FALSE)/(LEN(VLOOKUP($D340,素材!$1:$1016,COLUMN($F$1),FALSE))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K340">
        <f>IF(ISNUMBER(SEARCH(SUBSTITUTE(AK$1,RIGHT(AK$1,2),""),VLOOKUP($D340,素材!$1:$1016,COLUMN($F$1),FALSE))),VLOOKUP($C340,装備品!$1:$998,COLUMN($O$1),FALSE)*VLOOKUP($D340,素材!$1:$1016,COLUMN($E$1),FALSE)/(LEN(VLOOKUP($D340,素材!$1:$1016,COLUMN($F$1),FALSE))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L340">
        <f>IF(ISNUMBER(SEARCH(SUBSTITUTE(AL$1,RIGHT(AL$1,2),""),VLOOKUP($D340,素材!$1:$1016,COLUMN($F$1),FALSE))),VLOOKUP($C340,装備品!$1:$998,COLUMN($O$1),FALSE)*VLOOKUP($D340,素材!$1:$1016,COLUMN($E$1),FALSE)/(LEN(VLOOKUP($D340,素材!$1:$1016,COLUMN($F$1),FALSE))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M340">
        <f>IF(ISNUMBER(SEARCH(SUBSTITUTE(AM$1,RIGHT(AM$1,2),""),VLOOKUP($D340,素材!$1:$1016,COLUMN($F$1),FALSE))),VLOOKUP($C340,装備品!$1:$998,COLUMN($O$1),FALSE)*VLOOKUP($D340,素材!$1:$1016,COLUMN($E$1),FALSE)/(LEN(VLOOKUP($D340,素材!$1:$1016,COLUMN($F$1),FALSE))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N340">
        <f>IF(ISNUMBER(SEARCH(SUBSTITUTE(AN$1,RIGHT(AN$1,2),""),VLOOKUP($D340,素材!$1:$1016,COLUMN($F$1),FALSE))),VLOOKUP($C340,装備品!$1:$998,COLUMN($O$1),FALSE)*VLOOKUP($D340,素材!$1:$1016,COLUMN($E$1),FALSE)/(LEN(VLOOKUP($D340,素材!$1:$1016,COLUMN($F$1),FALSE))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O340">
        <f>IF(ISNUMBER(SEARCH(SUBSTITUTE(AO$1,RIGHT(AO$1,2),""),VLOOKUP($D340,素材!$1:$1016,COLUMN($F$1),FALSE))),VLOOKUP($C340,装備品!$1:$998,COLUMN($O$1),FALSE)*VLOOKUP($D340,素材!$1:$1016,COLUMN($E$1),FALSE)/(LEN(VLOOKUP($D340,素材!$1:$1016,COLUMN($F$1),FALSE))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P340">
        <f>IF(ISNUMBER(SEARCH(SUBSTITUTE(AP$1,RIGHT(AP$1,2),""),VLOOKUP($D340,素材!$1:$1016,COLUMN($F$1),FALSE))),VLOOKUP($C340,装備品!$1:$998,COLUMN($O$1),FALSE)*VLOOKUP($D340,素材!$1:$1016,COLUMN($E$1),FALSE)/(LEN(VLOOKUP($D340,素材!$1:$1016,COLUMN($F$1),FALSE))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Q340">
        <f>IF(ISNUMBER(SEARCH(SUBSTITUTE(AQ$1,RIGHT(AQ$1,2),""),VLOOKUP($D340,素材!$1:$1016,COLUMN($F$1),FALSE))),VLOOKUP($C340,装備品!$1:$998,COLUMN($O$1),FALSE)*VLOOKUP($D340,素材!$1:$1016,COLUMN($E$1),FALSE)/(LEN(VLOOKUP($D340,素材!$1:$1016,COLUMN($F$1),FALSE))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R340">
        <f>IF(ISNUMBER(SEARCH(SUBSTITUTE(AR$1,RIGHT(AR$1,2),""),VLOOKUP($D340,素材!$1:$1016,COLUMN($F$1),FALSE))),VLOOKUP($C340,装備品!$1:$998,COLUMN($O$1),FALSE)*VLOOKUP($D340,素材!$1:$1016,COLUMN($E$1),FALSE)/(LEN(VLOOKUP($D340,素材!$1:$1016,COLUMN($F$1),FALSE))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S340">
        <f>IF(ISNUMBER(SEARCH(SUBSTITUTE(AS$1,RIGHT(AS$1,2),""),VLOOKUP($D340,素材!$1:$1016,COLUMN($F$1),FALSE))),VLOOKUP($C340,装備品!$1:$998,COLUMN($O$1),FALSE)*VLOOKUP($D340,素材!$1:$1016,COLUMN($E$1),FALSE)/(LEN(VLOOKUP($D340,素材!$1:$1016,COLUMN($F$1),FALSE))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T340">
        <f>IF(ISNUMBER(SEARCH(SUBSTITUTE(AT$1,RIGHT(AT$1,2),""),VLOOKUP($D340,素材!$1:$1016,COLUMN($F$1),FALSE))),VLOOKUP($C340,装備品!$1:$998,COLUMN($O$1),FALSE)*VLOOKUP($D340,素材!$1:$1016,COLUMN($E$1),FALSE)/(LEN(VLOOKUP($D340,素材!$1:$1016,COLUMN($F$1),FALSE))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U340">
        <f>IF(ISNUMBER(SEARCH(SUBSTITUTE(AU$1,RIGHT(AU$1,2),""),VLOOKUP($D340,素材!$1:$1016,COLUMN($F$1),FALSE))),VLOOKUP($C340,装備品!$1:$998,COLUMN($O$1),FALSE)*VLOOKUP($D340,素材!$1:$1016,COLUMN($E$1),FALSE)/(LEN(VLOOKUP($D340,素材!$1:$1016,COLUMN($F$1),FALSE))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V340">
        <f>IF(ISNUMBER(SEARCH(SUBSTITUTE(AV$1,RIGHT(AV$1,2),""),VLOOKUP($D340,素材!$1:$1016,COLUMN($F$1),FALSE))),VLOOKUP($C340,装備品!$1:$998,COLUMN($O$1),FALSE)*VLOOKUP($D340,素材!$1:$1016,COLUMN($E$1),FALSE)/(LEN(VLOOKUP($D340,素材!$1:$1016,COLUMN($F$1),FALSE))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W340">
        <f>IF(ISNUMBER(SEARCH(SUBSTITUTE(AW$1,RIGHT(AW$1,2),""),VLOOKUP($D340,素材!$1:$1016,COLUMN($F$1),FALSE))),VLOOKUP($C340,装備品!$1:$998,COLUMN($O$1),FALSE)*VLOOKUP($D340,素材!$1:$1016,COLUMN($E$1),FALSE)/(LEN(VLOOKUP($D340,素材!$1:$1016,COLUMN($F$1),FALSE))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X340">
        <f>IF(ISNUMBER(SEARCH(SUBSTITUTE(AX$1,RIGHT(AX$1,2),""),VLOOKUP($D340,素材!$1:$1016,COLUMN($F$1),FALSE))),VLOOKUP($C340,装備品!$1:$998,COLUMN($O$1),FALSE)*VLOOKUP($D340,素材!$1:$1016,COLUMN($E$1),FALSE)/(LEN(VLOOKUP($D340,素材!$1:$1016,COLUMN($F$1),FALSE))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Y340">
        <f>IF(ISNUMBER(SEARCH(SUBSTITUTE(AY$1,RIGHT(AY$1,2),""),VLOOKUP($D340,素材!$1:$1016,COLUMN($F$1),FALSE))),VLOOKUP($C340,装備品!$1:$998,COLUMN($O$1),FALSE)*VLOOKUP($D340,素材!$1:$1016,COLUMN($E$1),FALSE)/(LEN(VLOOKUP($D340,素材!$1:$1016,COLUMN($F$1),FALSE))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Z340">
        <f>IF(ISNUMBER(SEARCH(SUBSTITUTE(AZ$1,RIGHT(AZ$1,2),""),VLOOKUP($D340,素材!$1:$1016,COLUMN($F$1),FALSE))),VLOOKUP($C340,装備品!$1:$998,COLUMN($O$1),FALSE)*VLOOKUP($D340,素材!$1:$1016,COLUMN($E$1),FALSE)/(LEN(VLOOKUP($D340,素材!$1:$1016,COLUMN($F$1),FALSE))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BA340">
        <f>IF(ISNUMBER(SEARCH(SUBSTITUTE(BA$1,RIGHT(BA$1,2),""),VLOOKUP($D340,素材!$1:$1016,COLUMN($F$1),FALSE))),VLOOKUP($C340,装備品!$1:$998,COLUMN($O$1),FALSE)*VLOOKUP($D340,素材!$1:$1016,COLUMN($E$1),FALSE)/(LEN(VLOOKUP($D340,素材!$1:$1016,COLUMN($F$1),FALSE))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BB340">
        <f>IF(ISNUMBER(SEARCH(SUBSTITUTE(BB$1,RIGHT(BB$1,2),""),VLOOKUP($D340,素材!$1:$1016,COLUMN($F$1),FALSE))),VLOOKUP($C340,装備品!$1:$998,COLUMN($O$1),FALSE)*VLOOKUP($D340,素材!$1:$1016,COLUMN($E$1),FALSE)/(LEN(VLOOKUP($D340,素材!$1:$1016,COLUMN($F$1),FALSE))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BC340">
        <f>IF(ISNUMBER(SEARCH(SUBSTITUTE(BC$1,RIGHT(BC$1,2),""),VLOOKUP($D340,素材!$1:$1016,COLUMN($F$1),FALSE))),VLOOKUP($C340,装備品!$1:$998,COLUMN($O$1),FALSE)*VLOOKUP($D340,素材!$1:$1016,COLUMN($E$1),FALSE)/(LEN(VLOOKUP($D340,素材!$1:$1016,COLUMN($F$1),FALSE))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BD340">
        <f>IF(ISNUMBER(SEARCH(SUBSTITUTE(BD$1,RIGHT(BD$1,2),""),VLOOKUP($D340,素材!$1:$1016,COLUMN($F$1),FALSE))),VLOOKUP($C340,装備品!$1:$998,COLUMN($O$1),FALSE)*VLOOKUP($D340,素材!$1:$1016,COLUMN($E$1),FALSE)/(LEN(VLOOKUP($D340,素材!$1:$1016,COLUMN($F$1),FALSE))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BE340">
        <f>IF(ISNUMBER(SEARCH(SUBSTITUTE(BE$1,RIGHT(BE$1,2),""),VLOOKUP($D340,素材!$1:$1016,COLUMN($F$1),FALSE))),VLOOKUP($C340,装備品!$1:$998,COLUMN($O$1),FALSE)*VLOOKUP($D340,素材!$1:$1016,COLUMN($E$1),FALSE)/(LEN(VLOOKUP($D340,素材!$1:$1016,COLUMN($F$1),FALSE))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CL340">
        <f t="shared" si="47"/>
        <v>0</v>
      </c>
      <c r="CM340" s="22" t="str">
        <f t="shared" si="48"/>
        <v>.webp</v>
      </c>
      <c r="CN340" t="str">
        <f>IFERROR(VLOOKUP($C340,装備品!$1:$998,COLUMN(V$1),FALSE)*VLOOKUP($D340,素材!$1:$1016,COLUMN(N$1),FALSE)+IF(CI340="",0,VLOOKUP($CI340,付与!$1:$1176,COLUMN($CK$1),FALSE)),"")</f>
        <v/>
      </c>
      <c r="CO340" t="e">
        <f>VLOOKUP(D340,素材!$A:$O,COLUMN(素材!O$1),FALSE)</f>
        <v>#N/A</v>
      </c>
      <c r="CP340" t="e">
        <f>VLOOKUP(C340,装備品!$A:$AB,COLUMN(装備品!AB$1),FALSE)</f>
        <v>#N/A</v>
      </c>
      <c r="CR340" t="str">
        <f t="shared" si="49"/>
        <v>e_340</v>
      </c>
      <c r="CS340" t="e">
        <f t="shared" si="50"/>
        <v>#VALUE!</v>
      </c>
    </row>
    <row r="341" spans="1:97" hidden="1" outlineLevel="1" x14ac:dyDescent="0.4">
      <c r="A341" t="str">
        <f t="shared" si="51"/>
        <v>の</v>
      </c>
      <c r="B341" t="str">
        <f>IFERROR(IF(CI341="",VLOOKUP($D341,素材!$1:$1016,COLUMN($B$1),FALSE)&amp;"・"&amp;VLOOKUP($C341,装備品!$1:$998,COLUMN(B$1),FALSE),VLOOKUP($CI341,付与!$1:$1176,COLUMN($B$1),FALSE)&amp;"・"&amp;VLOOKUP($C341,装備品!$1:$998,COLUMN(B$1),FALSE)),"")</f>
        <v/>
      </c>
      <c r="C341" s="24"/>
      <c r="D341" s="24"/>
      <c r="E341" t="str">
        <f>IFERROR(VLOOKUP(C341,装備品!$1:$998,COLUMN(C$1),FALSE),"")</f>
        <v/>
      </c>
      <c r="F341" t="str">
        <f>IFERROR(ROUNDDOWN((VLOOKUP($C341,装備品!$1:$998,COLUMN(D$1),FALSE)+IFERROR(VLOOKUP($CI341,付与!$1:$1167,COLUMN(F$1),FALSE),0))*VLOOKUP($D341,素材!$1:$1016,COLUMN(D$1),FALSE),0),"")</f>
        <v/>
      </c>
      <c r="G341" t="str">
        <f>IFERROR(ROUNDDOWN((VLOOKUP($C341,装備品!$1:$998,COLUMN(E$1),FALSE)+IFERROR(VLOOKUP($CI341,付与!$1:$1167,COLUMN(G$1),FALSE),0))*VLOOKUP($D341,素材!$1:$1016,COLUMN($E$1),FALSE),0),"")</f>
        <v/>
      </c>
      <c r="H341" t="str">
        <f>IFERROR(ROUNDDOWN((VLOOKUP($C341,装備品!$1:$998,COLUMN(F$1),FALSE)+IFERROR(VLOOKUP($CI341,付与!$1:$1167,COLUMN(H$1),FALSE),0))*VLOOKUP($D341,素材!$1:$1016,COLUMN($E$1),FALSE),0),"")</f>
        <v/>
      </c>
      <c r="I341" t="str">
        <f>IFERROR(ROUNDDOWN((VLOOKUP($C341,装備品!$1:$998,COLUMN(G$1),FALSE)+IFERROR(VLOOKUP($CI341,付与!$1:$1167,COLUMN(I$1),FALSE),0))*VLOOKUP($D341,素材!$1:$1016,COLUMN($E$1),FALSE),0),"")</f>
        <v/>
      </c>
      <c r="J341" t="str">
        <f>IFERROR(ROUNDDOWN((VLOOKUP($C341,装備品!$1:$998,COLUMN(H$1),FALSE)+IFERROR(VLOOKUP($CI341,付与!$1:$1167,COLUMN(J$1),FALSE),0))*VLOOKUP($D341,素材!$1:$1016,COLUMN($E$1),FALSE),0),"")</f>
        <v/>
      </c>
      <c r="K341" t="str">
        <f>IFERROR(ROUNDDOWN((VLOOKUP($C341,装備品!$1:$998,COLUMN(I$1),FALSE)+IFERROR(VLOOKUP($CI341,付与!$1:$1167,COLUMN(K$1),FALSE),0))*VLOOKUP($D341,素材!$1:$1016,COLUMN($E$1),FALSE),0),"")</f>
        <v/>
      </c>
      <c r="L341" t="str">
        <f>IFERROR(VLOOKUP($D341,素材!$1:$1016,COLUMN($F$1),FALSE),"")</f>
        <v/>
      </c>
      <c r="M341" t="str">
        <f>IFERROR(VLOOKUP($C341,装備品!$1:$998,COLUMN(AA$1),FALSE)*VLOOKUP($D341,素材!$1:$1016,COLUMN($G$1),FALSE),"")</f>
        <v/>
      </c>
      <c r="N341" t="str">
        <f>IFERROR(VLOOKUP($C341,装備品!$1:$998,COLUMN(I$1),FALSE),"")</f>
        <v/>
      </c>
      <c r="O341" s="23" t="str">
        <f>IFERROR((VLOOKUP($C341,装備品!$1:$998,COLUMN(K$1),FALSE)+VLOOKUP($D341,素材!$1:$1016,COLUMN(H$1),FALSE))*100+IFERROR(VLOOKUP($CI341,付与!$1:$1167,COLUMN(O$1),FALSE),0),"")</f>
        <v/>
      </c>
      <c r="P341" s="23" t="str">
        <f>IFERROR((VLOOKUP($C341,装備品!$1:$998,COLUMN(L$1),FALSE)+VLOOKUP($D341,素材!$1:$1016,COLUMN(I$1),FALSE))*100+IFERROR(VLOOKUP($CI341,付与!$1:$1167,COLUMN(P$1),FALSE),0),"")</f>
        <v/>
      </c>
      <c r="Q341" t="str">
        <f>IFERROR(ROUNDUP(VLOOKUP($C341,装備品!$1:$998,COLUMN(M$1),FALSE)*(VLOOKUP($D341,素材!$1:$1002,COLUMN(D$1),FALSE)/100),1),"")</f>
        <v/>
      </c>
      <c r="R341" t="str">
        <f>IFERROR(ROUNDUP(VLOOKUP($C341,装備品!$1:$998,COLUMN(N$1),FALSE)*(VLOOKUP($D341,素材!$1:$1002,COLUMN(D$1),FALSE)/100),1),"")</f>
        <v/>
      </c>
      <c r="S341" t="str">
        <f>IFERROR(VLOOKUP($C341,装備品!$1:$998,COLUMN(P$1),FALSE),"")</f>
        <v/>
      </c>
      <c r="T341" t="str">
        <f>IFERROR(VLOOKUP($C341,装備品!$1:$998,COLUMN(Q$1),FALSE),"")</f>
        <v/>
      </c>
      <c r="U341" t="str">
        <f>IFERROR(VLOOKUP($C341,装備品!$1:$998,COLUMN(R$1),FALSE),"")</f>
        <v/>
      </c>
      <c r="V341" t="str">
        <f>IFERROR(VLOOKUP($C341,装備品!$1:$998,COLUMN(Q$1),FALSE),"")</f>
        <v/>
      </c>
      <c r="W341" t="str">
        <f>IFERROR(VLOOKUP($C341,装備品!$1:$998,COLUMN(T$1),FALSE),"")</f>
        <v/>
      </c>
      <c r="Y341" t="str">
        <f>IFERROR(VLOOKUP($C341,装備品!$1:$998,COLUMN(U$1),FALSE),"")</f>
        <v/>
      </c>
      <c r="Z341" t="str">
        <f>IFERROR(ROUNDUP(VLOOKUP($C341,装備品!$1:$998,COLUMN(O$1),FALSE)*VLOOKUP($D341,素材!$1:$1016,COLUMN(E$1),FALSE),1),"")</f>
        <v/>
      </c>
      <c r="AA341">
        <f>IF(ISNUMBER(SEARCH(SUBSTITUTE(AA$1,RIGHT(AA$1,2),""),VLOOKUP($D341,素材!$1:$1016,COLUMN($F$1),FALSE))),VLOOKUP($C341,装備品!$1:$998,COLUMN($O$1),FALSE)*VLOOKUP($D341,素材!$1:$1016,COLUMN($E$1),FALSE)/(LEN(VLOOKUP($D341,素材!$1:$1016,COLUMN($F$1),FALSE))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B341">
        <f>IF(ISNUMBER(SEARCH(SUBSTITUTE(AB$1,RIGHT(AB$1,2),""),VLOOKUP($D341,素材!$1:$1016,COLUMN($F$1),FALSE))),VLOOKUP($C341,装備品!$1:$998,COLUMN($O$1),FALSE)*VLOOKUP($D341,素材!$1:$1016,COLUMN($E$1),FALSE)/(LEN(VLOOKUP($D341,素材!$1:$1016,COLUMN($F$1),FALSE))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C341">
        <f>IF(ISNUMBER(SEARCH(SUBSTITUTE(AC$1,RIGHT(AC$1,2),""),VLOOKUP($D341,素材!$1:$1016,COLUMN($F$1),FALSE))),VLOOKUP($C341,装備品!$1:$998,COLUMN($O$1),FALSE)*VLOOKUP($D341,素材!$1:$1016,COLUMN($E$1),FALSE)/(LEN(VLOOKUP($D341,素材!$1:$1016,COLUMN($F$1),FALSE))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D341">
        <f>IF(ISNUMBER(SEARCH(SUBSTITUTE(AD$1,RIGHT(AD$1,2),""),VLOOKUP($D341,素材!$1:$1016,COLUMN($F$1),FALSE))),VLOOKUP($C341,装備品!$1:$998,COLUMN($O$1),FALSE)*VLOOKUP($D341,素材!$1:$1016,COLUMN($E$1),FALSE)/(LEN(VLOOKUP($D341,素材!$1:$1016,COLUMN($F$1),FALSE))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E341">
        <f>IF(ISNUMBER(SEARCH(SUBSTITUTE(AE$1,RIGHT(AE$1,2),""),VLOOKUP($D341,素材!$1:$1016,COLUMN($F$1),FALSE))),VLOOKUP($C341,装備品!$1:$998,COLUMN($O$1),FALSE)*VLOOKUP($D341,素材!$1:$1016,COLUMN($E$1),FALSE)/(LEN(VLOOKUP($D341,素材!$1:$1016,COLUMN($F$1),FALSE))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F341">
        <f>IF(ISNUMBER(SEARCH(SUBSTITUTE(AF$1,RIGHT(AF$1,2),""),VLOOKUP($D341,素材!$1:$1016,COLUMN($F$1),FALSE))),VLOOKUP($C341,装備品!$1:$998,COLUMN($O$1),FALSE)*VLOOKUP($D341,素材!$1:$1016,COLUMN($E$1),FALSE)/(LEN(VLOOKUP($D341,素材!$1:$1016,COLUMN($F$1),FALSE))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G341">
        <f>IF(ISNUMBER(SEARCH(SUBSTITUTE(AG$1,RIGHT(AG$1,2),""),VLOOKUP($D341,素材!$1:$1016,COLUMN($F$1),FALSE))),VLOOKUP($C341,装備品!$1:$998,COLUMN($O$1),FALSE)*VLOOKUP($D341,素材!$1:$1016,COLUMN($E$1),FALSE)/(LEN(VLOOKUP($D341,素材!$1:$1016,COLUMN($F$1),FALSE))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H341">
        <f>IF(ISNUMBER(SEARCH(SUBSTITUTE(AH$1,RIGHT(AH$1,2),""),VLOOKUP($D341,素材!$1:$1016,COLUMN($F$1),FALSE))),VLOOKUP($C341,装備品!$1:$998,COLUMN($O$1),FALSE)*VLOOKUP($D341,素材!$1:$1016,COLUMN($E$1),FALSE)/(LEN(VLOOKUP($D341,素材!$1:$1016,COLUMN($F$1),FALSE))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I341">
        <f>IF(ISNUMBER(SEARCH(SUBSTITUTE(AI$1,RIGHT(AI$1,2),""),VLOOKUP($D341,素材!$1:$1016,COLUMN($F$1),FALSE))),VLOOKUP($C341,装備品!$1:$998,COLUMN($O$1),FALSE)*VLOOKUP($D341,素材!$1:$1016,COLUMN($E$1),FALSE)/(LEN(VLOOKUP($D341,素材!$1:$1016,COLUMN($F$1),FALSE))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J341">
        <f>IF(ISNUMBER(SEARCH(SUBSTITUTE(AJ$1,RIGHT(AJ$1,2),""),VLOOKUP($D341,素材!$1:$1016,COLUMN($F$1),FALSE))),VLOOKUP($C341,装備品!$1:$998,COLUMN($O$1),FALSE)*VLOOKUP($D341,素材!$1:$1016,COLUMN($E$1),FALSE)/(LEN(VLOOKUP($D341,素材!$1:$1016,COLUMN($F$1),FALSE))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K341">
        <f>IF(ISNUMBER(SEARCH(SUBSTITUTE(AK$1,RIGHT(AK$1,2),""),VLOOKUP($D341,素材!$1:$1016,COLUMN($F$1),FALSE))),VLOOKUP($C341,装備品!$1:$998,COLUMN($O$1),FALSE)*VLOOKUP($D341,素材!$1:$1016,COLUMN($E$1),FALSE)/(LEN(VLOOKUP($D341,素材!$1:$1016,COLUMN($F$1),FALSE))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L341">
        <f>IF(ISNUMBER(SEARCH(SUBSTITUTE(AL$1,RIGHT(AL$1,2),""),VLOOKUP($D341,素材!$1:$1016,COLUMN($F$1),FALSE))),VLOOKUP($C341,装備品!$1:$998,COLUMN($O$1),FALSE)*VLOOKUP($D341,素材!$1:$1016,COLUMN($E$1),FALSE)/(LEN(VLOOKUP($D341,素材!$1:$1016,COLUMN($F$1),FALSE))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M341">
        <f>IF(ISNUMBER(SEARCH(SUBSTITUTE(AM$1,RIGHT(AM$1,2),""),VLOOKUP($D341,素材!$1:$1016,COLUMN($F$1),FALSE))),VLOOKUP($C341,装備品!$1:$998,COLUMN($O$1),FALSE)*VLOOKUP($D341,素材!$1:$1016,COLUMN($E$1),FALSE)/(LEN(VLOOKUP($D341,素材!$1:$1016,COLUMN($F$1),FALSE))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N341">
        <f>IF(ISNUMBER(SEARCH(SUBSTITUTE(AN$1,RIGHT(AN$1,2),""),VLOOKUP($D341,素材!$1:$1016,COLUMN($F$1),FALSE))),VLOOKUP($C341,装備品!$1:$998,COLUMN($O$1),FALSE)*VLOOKUP($D341,素材!$1:$1016,COLUMN($E$1),FALSE)/(LEN(VLOOKUP($D341,素材!$1:$1016,COLUMN($F$1),FALSE))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O341">
        <f>IF(ISNUMBER(SEARCH(SUBSTITUTE(AO$1,RIGHT(AO$1,2),""),VLOOKUP($D341,素材!$1:$1016,COLUMN($F$1),FALSE))),VLOOKUP($C341,装備品!$1:$998,COLUMN($O$1),FALSE)*VLOOKUP($D341,素材!$1:$1016,COLUMN($E$1),FALSE)/(LEN(VLOOKUP($D341,素材!$1:$1016,COLUMN($F$1),FALSE))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P341">
        <f>IF(ISNUMBER(SEARCH(SUBSTITUTE(AP$1,RIGHT(AP$1,2),""),VLOOKUP($D341,素材!$1:$1016,COLUMN($F$1),FALSE))),VLOOKUP($C341,装備品!$1:$998,COLUMN($O$1),FALSE)*VLOOKUP($D341,素材!$1:$1016,COLUMN($E$1),FALSE)/(LEN(VLOOKUP($D341,素材!$1:$1016,COLUMN($F$1),FALSE))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Q341">
        <f>IF(ISNUMBER(SEARCH(SUBSTITUTE(AQ$1,RIGHT(AQ$1,2),""),VLOOKUP($D341,素材!$1:$1016,COLUMN($F$1),FALSE))),VLOOKUP($C341,装備品!$1:$998,COLUMN($O$1),FALSE)*VLOOKUP($D341,素材!$1:$1016,COLUMN($E$1),FALSE)/(LEN(VLOOKUP($D341,素材!$1:$1016,COLUMN($F$1),FALSE))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R341">
        <f>IF(ISNUMBER(SEARCH(SUBSTITUTE(AR$1,RIGHT(AR$1,2),""),VLOOKUP($D341,素材!$1:$1016,COLUMN($F$1),FALSE))),VLOOKUP($C341,装備品!$1:$998,COLUMN($O$1),FALSE)*VLOOKUP($D341,素材!$1:$1016,COLUMN($E$1),FALSE)/(LEN(VLOOKUP($D341,素材!$1:$1016,COLUMN($F$1),FALSE))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S341">
        <f>IF(ISNUMBER(SEARCH(SUBSTITUTE(AS$1,RIGHT(AS$1,2),""),VLOOKUP($D341,素材!$1:$1016,COLUMN($F$1),FALSE))),VLOOKUP($C341,装備品!$1:$998,COLUMN($O$1),FALSE)*VLOOKUP($D341,素材!$1:$1016,COLUMN($E$1),FALSE)/(LEN(VLOOKUP($D341,素材!$1:$1016,COLUMN($F$1),FALSE))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T341">
        <f>IF(ISNUMBER(SEARCH(SUBSTITUTE(AT$1,RIGHT(AT$1,2),""),VLOOKUP($D341,素材!$1:$1016,COLUMN($F$1),FALSE))),VLOOKUP($C341,装備品!$1:$998,COLUMN($O$1),FALSE)*VLOOKUP($D341,素材!$1:$1016,COLUMN($E$1),FALSE)/(LEN(VLOOKUP($D341,素材!$1:$1016,COLUMN($F$1),FALSE))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U341">
        <f>IF(ISNUMBER(SEARCH(SUBSTITUTE(AU$1,RIGHT(AU$1,2),""),VLOOKUP($D341,素材!$1:$1016,COLUMN($F$1),FALSE))),VLOOKUP($C341,装備品!$1:$998,COLUMN($O$1),FALSE)*VLOOKUP($D341,素材!$1:$1016,COLUMN($E$1),FALSE)/(LEN(VLOOKUP($D341,素材!$1:$1016,COLUMN($F$1),FALSE))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V341">
        <f>IF(ISNUMBER(SEARCH(SUBSTITUTE(AV$1,RIGHT(AV$1,2),""),VLOOKUP($D341,素材!$1:$1016,COLUMN($F$1),FALSE))),VLOOKUP($C341,装備品!$1:$998,COLUMN($O$1),FALSE)*VLOOKUP($D341,素材!$1:$1016,COLUMN($E$1),FALSE)/(LEN(VLOOKUP($D341,素材!$1:$1016,COLUMN($F$1),FALSE))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W341">
        <f>IF(ISNUMBER(SEARCH(SUBSTITUTE(AW$1,RIGHT(AW$1,2),""),VLOOKUP($D341,素材!$1:$1016,COLUMN($F$1),FALSE))),VLOOKUP($C341,装備品!$1:$998,COLUMN($O$1),FALSE)*VLOOKUP($D341,素材!$1:$1016,COLUMN($E$1),FALSE)/(LEN(VLOOKUP($D341,素材!$1:$1016,COLUMN($F$1),FALSE))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X341">
        <f>IF(ISNUMBER(SEARCH(SUBSTITUTE(AX$1,RIGHT(AX$1,2),""),VLOOKUP($D341,素材!$1:$1016,COLUMN($F$1),FALSE))),VLOOKUP($C341,装備品!$1:$998,COLUMN($O$1),FALSE)*VLOOKUP($D341,素材!$1:$1016,COLUMN($E$1),FALSE)/(LEN(VLOOKUP($D341,素材!$1:$1016,COLUMN($F$1),FALSE))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Y341">
        <f>IF(ISNUMBER(SEARCH(SUBSTITUTE(AY$1,RIGHT(AY$1,2),""),VLOOKUP($D341,素材!$1:$1016,COLUMN($F$1),FALSE))),VLOOKUP($C341,装備品!$1:$998,COLUMN($O$1),FALSE)*VLOOKUP($D341,素材!$1:$1016,COLUMN($E$1),FALSE)/(LEN(VLOOKUP($D341,素材!$1:$1016,COLUMN($F$1),FALSE))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Z341">
        <f>IF(ISNUMBER(SEARCH(SUBSTITUTE(AZ$1,RIGHT(AZ$1,2),""),VLOOKUP($D341,素材!$1:$1016,COLUMN($F$1),FALSE))),VLOOKUP($C341,装備品!$1:$998,COLUMN($O$1),FALSE)*VLOOKUP($D341,素材!$1:$1016,COLUMN($E$1),FALSE)/(LEN(VLOOKUP($D341,素材!$1:$1016,COLUMN($F$1),FALSE))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BA341">
        <f>IF(ISNUMBER(SEARCH(SUBSTITUTE(BA$1,RIGHT(BA$1,2),""),VLOOKUP($D341,素材!$1:$1016,COLUMN($F$1),FALSE))),VLOOKUP($C341,装備品!$1:$998,COLUMN($O$1),FALSE)*VLOOKUP($D341,素材!$1:$1016,COLUMN($E$1),FALSE)/(LEN(VLOOKUP($D341,素材!$1:$1016,COLUMN($F$1),FALSE))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BB341">
        <f>IF(ISNUMBER(SEARCH(SUBSTITUTE(BB$1,RIGHT(BB$1,2),""),VLOOKUP($D341,素材!$1:$1016,COLUMN($F$1),FALSE))),VLOOKUP($C341,装備品!$1:$998,COLUMN($O$1),FALSE)*VLOOKUP($D341,素材!$1:$1016,COLUMN($E$1),FALSE)/(LEN(VLOOKUP($D341,素材!$1:$1016,COLUMN($F$1),FALSE))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BC341">
        <f>IF(ISNUMBER(SEARCH(SUBSTITUTE(BC$1,RIGHT(BC$1,2),""),VLOOKUP($D341,素材!$1:$1016,COLUMN($F$1),FALSE))),VLOOKUP($C341,装備品!$1:$998,COLUMN($O$1),FALSE)*VLOOKUP($D341,素材!$1:$1016,COLUMN($E$1),FALSE)/(LEN(VLOOKUP($D341,素材!$1:$1016,COLUMN($F$1),FALSE))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BD341">
        <f>IF(ISNUMBER(SEARCH(SUBSTITUTE(BD$1,RIGHT(BD$1,2),""),VLOOKUP($D341,素材!$1:$1016,COLUMN($F$1),FALSE))),VLOOKUP($C341,装備品!$1:$998,COLUMN($O$1),FALSE)*VLOOKUP($D341,素材!$1:$1016,COLUMN($E$1),FALSE)/(LEN(VLOOKUP($D341,素材!$1:$1016,COLUMN($F$1),FALSE))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BE341">
        <f>IF(ISNUMBER(SEARCH(SUBSTITUTE(BE$1,RIGHT(BE$1,2),""),VLOOKUP($D341,素材!$1:$1016,COLUMN($F$1),FALSE))),VLOOKUP($C341,装備品!$1:$998,COLUMN($O$1),FALSE)*VLOOKUP($D341,素材!$1:$1016,COLUMN($E$1),FALSE)/(LEN(VLOOKUP($D341,素材!$1:$1016,COLUMN($F$1),FALSE))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CL341">
        <f t="shared" si="47"/>
        <v>0</v>
      </c>
      <c r="CM341" s="22" t="str">
        <f t="shared" si="48"/>
        <v>.webp</v>
      </c>
      <c r="CN341" t="str">
        <f>IFERROR(VLOOKUP($C341,装備品!$1:$998,COLUMN(V$1),FALSE)*VLOOKUP($D341,素材!$1:$1016,COLUMN(N$1),FALSE)+IF(CI341="",0,VLOOKUP($CI341,付与!$1:$1176,COLUMN($CK$1),FALSE)),"")</f>
        <v/>
      </c>
      <c r="CO341" t="e">
        <f>VLOOKUP(D341,素材!$A:$O,COLUMN(素材!O$1),FALSE)</f>
        <v>#N/A</v>
      </c>
      <c r="CP341" t="e">
        <f>VLOOKUP(C341,装備品!$A:$AB,COLUMN(装備品!AB$1),FALSE)</f>
        <v>#N/A</v>
      </c>
      <c r="CR341" t="str">
        <f t="shared" si="49"/>
        <v>e_341</v>
      </c>
      <c r="CS341" t="e">
        <f t="shared" si="50"/>
        <v>#VALUE!</v>
      </c>
    </row>
    <row r="342" spans="1:97" hidden="1" outlineLevel="1" x14ac:dyDescent="0.4">
      <c r="A342" t="str">
        <f t="shared" si="51"/>
        <v>の</v>
      </c>
      <c r="B342" t="str">
        <f>IFERROR(IF(CI342="",VLOOKUP($D342,素材!$1:$1016,COLUMN($B$1),FALSE)&amp;"・"&amp;VLOOKUP($C342,装備品!$1:$998,COLUMN(B$1),FALSE),VLOOKUP($CI342,付与!$1:$1176,COLUMN($B$1),FALSE)&amp;"・"&amp;VLOOKUP($C342,装備品!$1:$998,COLUMN(B$1),FALSE)),"")</f>
        <v/>
      </c>
      <c r="C342" s="24"/>
      <c r="D342" s="24"/>
      <c r="E342" t="str">
        <f>IFERROR(VLOOKUP(C342,装備品!$1:$998,COLUMN(C$1),FALSE),"")</f>
        <v/>
      </c>
      <c r="F342" t="str">
        <f>IFERROR(ROUNDDOWN((VLOOKUP($C342,装備品!$1:$998,COLUMN(D$1),FALSE)+IFERROR(VLOOKUP($CI342,付与!$1:$1167,COLUMN(F$1),FALSE),0))*VLOOKUP($D342,素材!$1:$1016,COLUMN(D$1),FALSE),0),"")</f>
        <v/>
      </c>
      <c r="G342" t="str">
        <f>IFERROR(ROUNDDOWN((VLOOKUP($C342,装備品!$1:$998,COLUMN(E$1),FALSE)+IFERROR(VLOOKUP($CI342,付与!$1:$1167,COLUMN(G$1),FALSE),0))*VLOOKUP($D342,素材!$1:$1016,COLUMN($E$1),FALSE),0),"")</f>
        <v/>
      </c>
      <c r="H342" t="str">
        <f>IFERROR(ROUNDDOWN((VLOOKUP($C342,装備品!$1:$998,COLUMN(F$1),FALSE)+IFERROR(VLOOKUP($CI342,付与!$1:$1167,COLUMN(H$1),FALSE),0))*VLOOKUP($D342,素材!$1:$1016,COLUMN($E$1),FALSE),0),"")</f>
        <v/>
      </c>
      <c r="I342" t="str">
        <f>IFERROR(ROUNDDOWN((VLOOKUP($C342,装備品!$1:$998,COLUMN(G$1),FALSE)+IFERROR(VLOOKUP($CI342,付与!$1:$1167,COLUMN(I$1),FALSE),0))*VLOOKUP($D342,素材!$1:$1016,COLUMN($E$1),FALSE),0),"")</f>
        <v/>
      </c>
      <c r="J342" t="str">
        <f>IFERROR(ROUNDDOWN((VLOOKUP($C342,装備品!$1:$998,COLUMN(H$1),FALSE)+IFERROR(VLOOKUP($CI342,付与!$1:$1167,COLUMN(J$1),FALSE),0))*VLOOKUP($D342,素材!$1:$1016,COLUMN($E$1),FALSE),0),"")</f>
        <v/>
      </c>
      <c r="K342" t="str">
        <f>IFERROR(ROUNDDOWN((VLOOKUP($C342,装備品!$1:$998,COLUMN(I$1),FALSE)+IFERROR(VLOOKUP($CI342,付与!$1:$1167,COLUMN(K$1),FALSE),0))*VLOOKUP($D342,素材!$1:$1016,COLUMN($E$1),FALSE),0),"")</f>
        <v/>
      </c>
      <c r="L342" t="str">
        <f>IFERROR(VLOOKUP($D342,素材!$1:$1016,COLUMN($F$1),FALSE),"")</f>
        <v/>
      </c>
      <c r="M342" t="str">
        <f>IFERROR(VLOOKUP($C342,装備品!$1:$998,COLUMN(AA$1),FALSE)*VLOOKUP($D342,素材!$1:$1016,COLUMN($G$1),FALSE),"")</f>
        <v/>
      </c>
      <c r="N342" t="str">
        <f>IFERROR(VLOOKUP($C342,装備品!$1:$998,COLUMN(I$1),FALSE),"")</f>
        <v/>
      </c>
      <c r="O342" s="23" t="str">
        <f>IFERROR((VLOOKUP($C342,装備品!$1:$998,COLUMN(K$1),FALSE)+VLOOKUP($D342,素材!$1:$1016,COLUMN(H$1),FALSE))*100+IFERROR(VLOOKUP($CI342,付与!$1:$1167,COLUMN(O$1),FALSE),0),"")</f>
        <v/>
      </c>
      <c r="P342" s="23" t="str">
        <f>IFERROR((VLOOKUP($C342,装備品!$1:$998,COLUMN(L$1),FALSE)+VLOOKUP($D342,素材!$1:$1016,COLUMN(I$1),FALSE))*100+IFERROR(VLOOKUP($CI342,付与!$1:$1167,COLUMN(P$1),FALSE),0),"")</f>
        <v/>
      </c>
      <c r="Q342" t="str">
        <f>IFERROR(ROUNDUP(VLOOKUP($C342,装備品!$1:$998,COLUMN(M$1),FALSE)*(VLOOKUP($D342,素材!$1:$1002,COLUMN(D$1),FALSE)/100),1),"")</f>
        <v/>
      </c>
      <c r="R342" t="str">
        <f>IFERROR(ROUNDUP(VLOOKUP($C342,装備品!$1:$998,COLUMN(N$1),FALSE)*(VLOOKUP($D342,素材!$1:$1002,COLUMN(D$1),FALSE)/100),1),"")</f>
        <v/>
      </c>
      <c r="S342" t="str">
        <f>IFERROR(VLOOKUP($C342,装備品!$1:$998,COLUMN(P$1),FALSE),"")</f>
        <v/>
      </c>
      <c r="T342" t="str">
        <f>IFERROR(VLOOKUP($C342,装備品!$1:$998,COLUMN(Q$1),FALSE),"")</f>
        <v/>
      </c>
      <c r="U342" t="str">
        <f>IFERROR(VLOOKUP($C342,装備品!$1:$998,COLUMN(R$1),FALSE),"")</f>
        <v/>
      </c>
      <c r="V342" t="str">
        <f>IFERROR(VLOOKUP($C342,装備品!$1:$998,COLUMN(Q$1),FALSE),"")</f>
        <v/>
      </c>
      <c r="W342" t="str">
        <f>IFERROR(VLOOKUP($C342,装備品!$1:$998,COLUMN(T$1),FALSE),"")</f>
        <v/>
      </c>
      <c r="Y342" t="str">
        <f>IFERROR(VLOOKUP($C342,装備品!$1:$998,COLUMN(U$1),FALSE),"")</f>
        <v/>
      </c>
      <c r="Z342" t="str">
        <f>IFERROR(ROUNDUP(VLOOKUP($C342,装備品!$1:$998,COLUMN(O$1),FALSE)*VLOOKUP($D342,素材!$1:$1016,COLUMN(E$1),FALSE),1),"")</f>
        <v/>
      </c>
      <c r="AA342">
        <f>IF(ISNUMBER(SEARCH(SUBSTITUTE(AA$1,RIGHT(AA$1,2),""),VLOOKUP($D342,素材!$1:$1016,COLUMN($F$1),FALSE))),VLOOKUP($C342,装備品!$1:$998,COLUMN($O$1),FALSE)*VLOOKUP($D342,素材!$1:$1016,COLUMN($E$1),FALSE)/(LEN(VLOOKUP($D342,素材!$1:$1016,COLUMN($F$1),FALSE))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B342">
        <f>IF(ISNUMBER(SEARCH(SUBSTITUTE(AB$1,RIGHT(AB$1,2),""),VLOOKUP($D342,素材!$1:$1016,COLUMN($F$1),FALSE))),VLOOKUP($C342,装備品!$1:$998,COLUMN($O$1),FALSE)*VLOOKUP($D342,素材!$1:$1016,COLUMN($E$1),FALSE)/(LEN(VLOOKUP($D342,素材!$1:$1016,COLUMN($F$1),FALSE))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C342">
        <f>IF(ISNUMBER(SEARCH(SUBSTITUTE(AC$1,RIGHT(AC$1,2),""),VLOOKUP($D342,素材!$1:$1016,COLUMN($F$1),FALSE))),VLOOKUP($C342,装備品!$1:$998,COLUMN($O$1),FALSE)*VLOOKUP($D342,素材!$1:$1016,COLUMN($E$1),FALSE)/(LEN(VLOOKUP($D342,素材!$1:$1016,COLUMN($F$1),FALSE))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D342">
        <f>IF(ISNUMBER(SEARCH(SUBSTITUTE(AD$1,RIGHT(AD$1,2),""),VLOOKUP($D342,素材!$1:$1016,COLUMN($F$1),FALSE))),VLOOKUP($C342,装備品!$1:$998,COLUMN($O$1),FALSE)*VLOOKUP($D342,素材!$1:$1016,COLUMN($E$1),FALSE)/(LEN(VLOOKUP($D342,素材!$1:$1016,COLUMN($F$1),FALSE))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E342">
        <f>IF(ISNUMBER(SEARCH(SUBSTITUTE(AE$1,RIGHT(AE$1,2),""),VLOOKUP($D342,素材!$1:$1016,COLUMN($F$1),FALSE))),VLOOKUP($C342,装備品!$1:$998,COLUMN($O$1),FALSE)*VLOOKUP($D342,素材!$1:$1016,COLUMN($E$1),FALSE)/(LEN(VLOOKUP($D342,素材!$1:$1016,COLUMN($F$1),FALSE))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F342">
        <f>IF(ISNUMBER(SEARCH(SUBSTITUTE(AF$1,RIGHT(AF$1,2),""),VLOOKUP($D342,素材!$1:$1016,COLUMN($F$1),FALSE))),VLOOKUP($C342,装備品!$1:$998,COLUMN($O$1),FALSE)*VLOOKUP($D342,素材!$1:$1016,COLUMN($E$1),FALSE)/(LEN(VLOOKUP($D342,素材!$1:$1016,COLUMN($F$1),FALSE))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G342">
        <f>IF(ISNUMBER(SEARCH(SUBSTITUTE(AG$1,RIGHT(AG$1,2),""),VLOOKUP($D342,素材!$1:$1016,COLUMN($F$1),FALSE))),VLOOKUP($C342,装備品!$1:$998,COLUMN($O$1),FALSE)*VLOOKUP($D342,素材!$1:$1016,COLUMN($E$1),FALSE)/(LEN(VLOOKUP($D342,素材!$1:$1016,COLUMN($F$1),FALSE))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H342">
        <f>IF(ISNUMBER(SEARCH(SUBSTITUTE(AH$1,RIGHT(AH$1,2),""),VLOOKUP($D342,素材!$1:$1016,COLUMN($F$1),FALSE))),VLOOKUP($C342,装備品!$1:$998,COLUMN($O$1),FALSE)*VLOOKUP($D342,素材!$1:$1016,COLUMN($E$1),FALSE)/(LEN(VLOOKUP($D342,素材!$1:$1016,COLUMN($F$1),FALSE))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I342">
        <f>IF(ISNUMBER(SEARCH(SUBSTITUTE(AI$1,RIGHT(AI$1,2),""),VLOOKUP($D342,素材!$1:$1016,COLUMN($F$1),FALSE))),VLOOKUP($C342,装備品!$1:$998,COLUMN($O$1),FALSE)*VLOOKUP($D342,素材!$1:$1016,COLUMN($E$1),FALSE)/(LEN(VLOOKUP($D342,素材!$1:$1016,COLUMN($F$1),FALSE))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J342">
        <f>IF(ISNUMBER(SEARCH(SUBSTITUTE(AJ$1,RIGHT(AJ$1,2),""),VLOOKUP($D342,素材!$1:$1016,COLUMN($F$1),FALSE))),VLOOKUP($C342,装備品!$1:$998,COLUMN($O$1),FALSE)*VLOOKUP($D342,素材!$1:$1016,COLUMN($E$1),FALSE)/(LEN(VLOOKUP($D342,素材!$1:$1016,COLUMN($F$1),FALSE))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K342">
        <f>IF(ISNUMBER(SEARCH(SUBSTITUTE(AK$1,RIGHT(AK$1,2),""),VLOOKUP($D342,素材!$1:$1016,COLUMN($F$1),FALSE))),VLOOKUP($C342,装備品!$1:$998,COLUMN($O$1),FALSE)*VLOOKUP($D342,素材!$1:$1016,COLUMN($E$1),FALSE)/(LEN(VLOOKUP($D342,素材!$1:$1016,COLUMN($F$1),FALSE))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L342">
        <f>IF(ISNUMBER(SEARCH(SUBSTITUTE(AL$1,RIGHT(AL$1,2),""),VLOOKUP($D342,素材!$1:$1016,COLUMN($F$1),FALSE))),VLOOKUP($C342,装備品!$1:$998,COLUMN($O$1),FALSE)*VLOOKUP($D342,素材!$1:$1016,COLUMN($E$1),FALSE)/(LEN(VLOOKUP($D342,素材!$1:$1016,COLUMN($F$1),FALSE))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M342">
        <f>IF(ISNUMBER(SEARCH(SUBSTITUTE(AM$1,RIGHT(AM$1,2),""),VLOOKUP($D342,素材!$1:$1016,COLUMN($F$1),FALSE))),VLOOKUP($C342,装備品!$1:$998,COLUMN($O$1),FALSE)*VLOOKUP($D342,素材!$1:$1016,COLUMN($E$1),FALSE)/(LEN(VLOOKUP($D342,素材!$1:$1016,COLUMN($F$1),FALSE))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N342">
        <f>IF(ISNUMBER(SEARCH(SUBSTITUTE(AN$1,RIGHT(AN$1,2),""),VLOOKUP($D342,素材!$1:$1016,COLUMN($F$1),FALSE))),VLOOKUP($C342,装備品!$1:$998,COLUMN($O$1),FALSE)*VLOOKUP($D342,素材!$1:$1016,COLUMN($E$1),FALSE)/(LEN(VLOOKUP($D342,素材!$1:$1016,COLUMN($F$1),FALSE))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O342">
        <f>IF(ISNUMBER(SEARCH(SUBSTITUTE(AO$1,RIGHT(AO$1,2),""),VLOOKUP($D342,素材!$1:$1016,COLUMN($F$1),FALSE))),VLOOKUP($C342,装備品!$1:$998,COLUMN($O$1),FALSE)*VLOOKUP($D342,素材!$1:$1016,COLUMN($E$1),FALSE)/(LEN(VLOOKUP($D342,素材!$1:$1016,COLUMN($F$1),FALSE))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P342">
        <f>IF(ISNUMBER(SEARCH(SUBSTITUTE(AP$1,RIGHT(AP$1,2),""),VLOOKUP($D342,素材!$1:$1016,COLUMN($F$1),FALSE))),VLOOKUP($C342,装備品!$1:$998,COLUMN($O$1),FALSE)*VLOOKUP($D342,素材!$1:$1016,COLUMN($E$1),FALSE)/(LEN(VLOOKUP($D342,素材!$1:$1016,COLUMN($F$1),FALSE))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Q342">
        <f>IF(ISNUMBER(SEARCH(SUBSTITUTE(AQ$1,RIGHT(AQ$1,2),""),VLOOKUP($D342,素材!$1:$1016,COLUMN($F$1),FALSE))),VLOOKUP($C342,装備品!$1:$998,COLUMN($O$1),FALSE)*VLOOKUP($D342,素材!$1:$1016,COLUMN($E$1),FALSE)/(LEN(VLOOKUP($D342,素材!$1:$1016,COLUMN($F$1),FALSE))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R342">
        <f>IF(ISNUMBER(SEARCH(SUBSTITUTE(AR$1,RIGHT(AR$1,2),""),VLOOKUP($D342,素材!$1:$1016,COLUMN($F$1),FALSE))),VLOOKUP($C342,装備品!$1:$998,COLUMN($O$1),FALSE)*VLOOKUP($D342,素材!$1:$1016,COLUMN($E$1),FALSE)/(LEN(VLOOKUP($D342,素材!$1:$1016,COLUMN($F$1),FALSE))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S342">
        <f>IF(ISNUMBER(SEARCH(SUBSTITUTE(AS$1,RIGHT(AS$1,2),""),VLOOKUP($D342,素材!$1:$1016,COLUMN($F$1),FALSE))),VLOOKUP($C342,装備品!$1:$998,COLUMN($O$1),FALSE)*VLOOKUP($D342,素材!$1:$1016,COLUMN($E$1),FALSE)/(LEN(VLOOKUP($D342,素材!$1:$1016,COLUMN($F$1),FALSE))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T342">
        <f>IF(ISNUMBER(SEARCH(SUBSTITUTE(AT$1,RIGHT(AT$1,2),""),VLOOKUP($D342,素材!$1:$1016,COLUMN($F$1),FALSE))),VLOOKUP($C342,装備品!$1:$998,COLUMN($O$1),FALSE)*VLOOKUP($D342,素材!$1:$1016,COLUMN($E$1),FALSE)/(LEN(VLOOKUP($D342,素材!$1:$1016,COLUMN($F$1),FALSE))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U342">
        <f>IF(ISNUMBER(SEARCH(SUBSTITUTE(AU$1,RIGHT(AU$1,2),""),VLOOKUP($D342,素材!$1:$1016,COLUMN($F$1),FALSE))),VLOOKUP($C342,装備品!$1:$998,COLUMN($O$1),FALSE)*VLOOKUP($D342,素材!$1:$1016,COLUMN($E$1),FALSE)/(LEN(VLOOKUP($D342,素材!$1:$1016,COLUMN($F$1),FALSE))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V342">
        <f>IF(ISNUMBER(SEARCH(SUBSTITUTE(AV$1,RIGHT(AV$1,2),""),VLOOKUP($D342,素材!$1:$1016,COLUMN($F$1),FALSE))),VLOOKUP($C342,装備品!$1:$998,COLUMN($O$1),FALSE)*VLOOKUP($D342,素材!$1:$1016,COLUMN($E$1),FALSE)/(LEN(VLOOKUP($D342,素材!$1:$1016,COLUMN($F$1),FALSE))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W342">
        <f>IF(ISNUMBER(SEARCH(SUBSTITUTE(AW$1,RIGHT(AW$1,2),""),VLOOKUP($D342,素材!$1:$1016,COLUMN($F$1),FALSE))),VLOOKUP($C342,装備品!$1:$998,COLUMN($O$1),FALSE)*VLOOKUP($D342,素材!$1:$1016,COLUMN($E$1),FALSE)/(LEN(VLOOKUP($D342,素材!$1:$1016,COLUMN($F$1),FALSE))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X342">
        <f>IF(ISNUMBER(SEARCH(SUBSTITUTE(AX$1,RIGHT(AX$1,2),""),VLOOKUP($D342,素材!$1:$1016,COLUMN($F$1),FALSE))),VLOOKUP($C342,装備品!$1:$998,COLUMN($O$1),FALSE)*VLOOKUP($D342,素材!$1:$1016,COLUMN($E$1),FALSE)/(LEN(VLOOKUP($D342,素材!$1:$1016,COLUMN($F$1),FALSE))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Y342">
        <f>IF(ISNUMBER(SEARCH(SUBSTITUTE(AY$1,RIGHT(AY$1,2),""),VLOOKUP($D342,素材!$1:$1016,COLUMN($F$1),FALSE))),VLOOKUP($C342,装備品!$1:$998,COLUMN($O$1),FALSE)*VLOOKUP($D342,素材!$1:$1016,COLUMN($E$1),FALSE)/(LEN(VLOOKUP($D342,素材!$1:$1016,COLUMN($F$1),FALSE))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Z342">
        <f>IF(ISNUMBER(SEARCH(SUBSTITUTE(AZ$1,RIGHT(AZ$1,2),""),VLOOKUP($D342,素材!$1:$1016,COLUMN($F$1),FALSE))),VLOOKUP($C342,装備品!$1:$998,COLUMN($O$1),FALSE)*VLOOKUP($D342,素材!$1:$1016,COLUMN($E$1),FALSE)/(LEN(VLOOKUP($D342,素材!$1:$1016,COLUMN($F$1),FALSE))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BA342">
        <f>IF(ISNUMBER(SEARCH(SUBSTITUTE(BA$1,RIGHT(BA$1,2),""),VLOOKUP($D342,素材!$1:$1016,COLUMN($F$1),FALSE))),VLOOKUP($C342,装備品!$1:$998,COLUMN($O$1),FALSE)*VLOOKUP($D342,素材!$1:$1016,COLUMN($E$1),FALSE)/(LEN(VLOOKUP($D342,素材!$1:$1016,COLUMN($F$1),FALSE))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BB342">
        <f>IF(ISNUMBER(SEARCH(SUBSTITUTE(BB$1,RIGHT(BB$1,2),""),VLOOKUP($D342,素材!$1:$1016,COLUMN($F$1),FALSE))),VLOOKUP($C342,装備品!$1:$998,COLUMN($O$1),FALSE)*VLOOKUP($D342,素材!$1:$1016,COLUMN($E$1),FALSE)/(LEN(VLOOKUP($D342,素材!$1:$1016,COLUMN($F$1),FALSE))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BC342">
        <f>IF(ISNUMBER(SEARCH(SUBSTITUTE(BC$1,RIGHT(BC$1,2),""),VLOOKUP($D342,素材!$1:$1016,COLUMN($F$1),FALSE))),VLOOKUP($C342,装備品!$1:$998,COLUMN($O$1),FALSE)*VLOOKUP($D342,素材!$1:$1016,COLUMN($E$1),FALSE)/(LEN(VLOOKUP($D342,素材!$1:$1016,COLUMN($F$1),FALSE))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BD342">
        <f>IF(ISNUMBER(SEARCH(SUBSTITUTE(BD$1,RIGHT(BD$1,2),""),VLOOKUP($D342,素材!$1:$1016,COLUMN($F$1),FALSE))),VLOOKUP($C342,装備品!$1:$998,COLUMN($O$1),FALSE)*VLOOKUP($D342,素材!$1:$1016,COLUMN($E$1),FALSE)/(LEN(VLOOKUP($D342,素材!$1:$1016,COLUMN($F$1),FALSE))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BE342">
        <f>IF(ISNUMBER(SEARCH(SUBSTITUTE(BE$1,RIGHT(BE$1,2),""),VLOOKUP($D342,素材!$1:$1016,COLUMN($F$1),FALSE))),VLOOKUP($C342,装備品!$1:$998,COLUMN($O$1),FALSE)*VLOOKUP($D342,素材!$1:$1016,COLUMN($E$1),FALSE)/(LEN(VLOOKUP($D342,素材!$1:$1016,COLUMN($F$1),FALSE))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CL342">
        <f t="shared" si="47"/>
        <v>0</v>
      </c>
      <c r="CM342" s="22" t="str">
        <f t="shared" si="48"/>
        <v>.webp</v>
      </c>
      <c r="CN342" t="str">
        <f>IFERROR(VLOOKUP($C342,装備品!$1:$998,COLUMN(V$1),FALSE)*VLOOKUP($D342,素材!$1:$1016,COLUMN(N$1),FALSE)+IF(CI342="",0,VLOOKUP($CI342,付与!$1:$1176,COLUMN($CK$1),FALSE)),"")</f>
        <v/>
      </c>
      <c r="CO342" t="e">
        <f>VLOOKUP(D342,素材!$A:$O,COLUMN(素材!O$1),FALSE)</f>
        <v>#N/A</v>
      </c>
      <c r="CP342" t="e">
        <f>VLOOKUP(C342,装備品!$A:$AB,COLUMN(装備品!AB$1),FALSE)</f>
        <v>#N/A</v>
      </c>
      <c r="CR342" t="str">
        <f t="shared" si="49"/>
        <v>e_342</v>
      </c>
      <c r="CS342" t="e">
        <f t="shared" si="50"/>
        <v>#VALUE!</v>
      </c>
    </row>
    <row r="343" spans="1:97" hidden="1" outlineLevel="1" x14ac:dyDescent="0.4">
      <c r="A343" t="str">
        <f t="shared" si="51"/>
        <v>の</v>
      </c>
      <c r="B343" t="str">
        <f>IFERROR(IF(CI343="",VLOOKUP($D343,素材!$1:$1016,COLUMN($B$1),FALSE)&amp;"・"&amp;VLOOKUP($C343,装備品!$1:$998,COLUMN(B$1),FALSE),VLOOKUP($CI343,付与!$1:$1176,COLUMN($B$1),FALSE)&amp;"・"&amp;VLOOKUP($C343,装備品!$1:$998,COLUMN(B$1),FALSE)),"")</f>
        <v/>
      </c>
      <c r="C343" s="24"/>
      <c r="D343" s="24"/>
      <c r="E343" t="str">
        <f>IFERROR(VLOOKUP(C343,装備品!$1:$998,COLUMN(C$1),FALSE),"")</f>
        <v/>
      </c>
      <c r="F343" t="str">
        <f>IFERROR(ROUNDDOWN((VLOOKUP($C343,装備品!$1:$998,COLUMN(D$1),FALSE)+IFERROR(VLOOKUP($CI343,付与!$1:$1167,COLUMN(F$1),FALSE),0))*VLOOKUP($D343,素材!$1:$1016,COLUMN(D$1),FALSE),0),"")</f>
        <v/>
      </c>
      <c r="G343" t="str">
        <f>IFERROR(ROUNDDOWN((VLOOKUP($C343,装備品!$1:$998,COLUMN(E$1),FALSE)+IFERROR(VLOOKUP($CI343,付与!$1:$1167,COLUMN(G$1),FALSE),0))*VLOOKUP($D343,素材!$1:$1016,COLUMN($E$1),FALSE),0),"")</f>
        <v/>
      </c>
      <c r="H343" t="str">
        <f>IFERROR(ROUNDDOWN((VLOOKUP($C343,装備品!$1:$998,COLUMN(F$1),FALSE)+IFERROR(VLOOKUP($CI343,付与!$1:$1167,COLUMN(H$1),FALSE),0))*VLOOKUP($D343,素材!$1:$1016,COLUMN($E$1),FALSE),0),"")</f>
        <v/>
      </c>
      <c r="I343" t="str">
        <f>IFERROR(ROUNDDOWN((VLOOKUP($C343,装備品!$1:$998,COLUMN(G$1),FALSE)+IFERROR(VLOOKUP($CI343,付与!$1:$1167,COLUMN(I$1),FALSE),0))*VLOOKUP($D343,素材!$1:$1016,COLUMN($E$1),FALSE),0),"")</f>
        <v/>
      </c>
      <c r="J343" t="str">
        <f>IFERROR(ROUNDDOWN((VLOOKUP($C343,装備品!$1:$998,COLUMN(H$1),FALSE)+IFERROR(VLOOKUP($CI343,付与!$1:$1167,COLUMN(J$1),FALSE),0))*VLOOKUP($D343,素材!$1:$1016,COLUMN($E$1),FALSE),0),"")</f>
        <v/>
      </c>
      <c r="K343" t="str">
        <f>IFERROR(ROUNDDOWN((VLOOKUP($C343,装備品!$1:$998,COLUMN(I$1),FALSE)+IFERROR(VLOOKUP($CI343,付与!$1:$1167,COLUMN(K$1),FALSE),0))*VLOOKUP($D343,素材!$1:$1016,COLUMN($E$1),FALSE),0),"")</f>
        <v/>
      </c>
      <c r="L343" t="str">
        <f>IFERROR(VLOOKUP($D343,素材!$1:$1016,COLUMN($F$1),FALSE),"")</f>
        <v/>
      </c>
      <c r="M343" t="str">
        <f>IFERROR(VLOOKUP($C343,装備品!$1:$998,COLUMN(AA$1),FALSE)*VLOOKUP($D343,素材!$1:$1016,COLUMN($G$1),FALSE),"")</f>
        <v/>
      </c>
      <c r="N343" t="str">
        <f>IFERROR(VLOOKUP($C343,装備品!$1:$998,COLUMN(I$1),FALSE),"")</f>
        <v/>
      </c>
      <c r="O343" s="23" t="str">
        <f>IFERROR((VLOOKUP($C343,装備品!$1:$998,COLUMN(K$1),FALSE)+VLOOKUP($D343,素材!$1:$1016,COLUMN(H$1),FALSE))*100+IFERROR(VLOOKUP($CI343,付与!$1:$1167,COLUMN(O$1),FALSE),0),"")</f>
        <v/>
      </c>
      <c r="P343" s="23" t="str">
        <f>IFERROR((VLOOKUP($C343,装備品!$1:$998,COLUMN(L$1),FALSE)+VLOOKUP($D343,素材!$1:$1016,COLUMN(I$1),FALSE))*100+IFERROR(VLOOKUP($CI343,付与!$1:$1167,COLUMN(P$1),FALSE),0),"")</f>
        <v/>
      </c>
      <c r="Q343" t="str">
        <f>IFERROR(ROUNDUP(VLOOKUP($C343,装備品!$1:$998,COLUMN(M$1),FALSE)*(VLOOKUP($D343,素材!$1:$1002,COLUMN(D$1),FALSE)/100),1),"")</f>
        <v/>
      </c>
      <c r="R343" t="str">
        <f>IFERROR(ROUNDUP(VLOOKUP($C343,装備品!$1:$998,COLUMN(N$1),FALSE)*(VLOOKUP($D343,素材!$1:$1002,COLUMN(D$1),FALSE)/100),1),"")</f>
        <v/>
      </c>
      <c r="S343" t="str">
        <f>IFERROR(VLOOKUP($C343,装備品!$1:$998,COLUMN(P$1),FALSE),"")</f>
        <v/>
      </c>
      <c r="T343" t="str">
        <f>IFERROR(VLOOKUP($C343,装備品!$1:$998,COLUMN(Q$1),FALSE),"")</f>
        <v/>
      </c>
      <c r="U343" t="str">
        <f>IFERROR(VLOOKUP($C343,装備品!$1:$998,COLUMN(R$1),FALSE),"")</f>
        <v/>
      </c>
      <c r="V343" t="str">
        <f>IFERROR(VLOOKUP($C343,装備品!$1:$998,COLUMN(Q$1),FALSE),"")</f>
        <v/>
      </c>
      <c r="W343" t="str">
        <f>IFERROR(VLOOKUP($C343,装備品!$1:$998,COLUMN(T$1),FALSE),"")</f>
        <v/>
      </c>
      <c r="Y343" t="str">
        <f>IFERROR(VLOOKUP($C343,装備品!$1:$998,COLUMN(U$1),FALSE),"")</f>
        <v/>
      </c>
      <c r="Z343" t="str">
        <f>IFERROR(ROUNDUP(VLOOKUP($C343,装備品!$1:$998,COLUMN(O$1),FALSE)*VLOOKUP($D343,素材!$1:$1016,COLUMN(E$1),FALSE),1),"")</f>
        <v/>
      </c>
      <c r="AA343">
        <f>IF(ISNUMBER(SEARCH(SUBSTITUTE(AA$1,RIGHT(AA$1,2),""),VLOOKUP($D343,素材!$1:$1016,COLUMN($F$1),FALSE))),VLOOKUP($C343,装備品!$1:$998,COLUMN($O$1),FALSE)*VLOOKUP($D343,素材!$1:$1016,COLUMN($E$1),FALSE)/(LEN(VLOOKUP($D343,素材!$1:$1016,COLUMN($F$1),FALSE))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B343">
        <f>IF(ISNUMBER(SEARCH(SUBSTITUTE(AB$1,RIGHT(AB$1,2),""),VLOOKUP($D343,素材!$1:$1016,COLUMN($F$1),FALSE))),VLOOKUP($C343,装備品!$1:$998,COLUMN($O$1),FALSE)*VLOOKUP($D343,素材!$1:$1016,COLUMN($E$1),FALSE)/(LEN(VLOOKUP($D343,素材!$1:$1016,COLUMN($F$1),FALSE))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C343">
        <f>IF(ISNUMBER(SEARCH(SUBSTITUTE(AC$1,RIGHT(AC$1,2),""),VLOOKUP($D343,素材!$1:$1016,COLUMN($F$1),FALSE))),VLOOKUP($C343,装備品!$1:$998,COLUMN($O$1),FALSE)*VLOOKUP($D343,素材!$1:$1016,COLUMN($E$1),FALSE)/(LEN(VLOOKUP($D343,素材!$1:$1016,COLUMN($F$1),FALSE))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D343">
        <f>IF(ISNUMBER(SEARCH(SUBSTITUTE(AD$1,RIGHT(AD$1,2),""),VLOOKUP($D343,素材!$1:$1016,COLUMN($F$1),FALSE))),VLOOKUP($C343,装備品!$1:$998,COLUMN($O$1),FALSE)*VLOOKUP($D343,素材!$1:$1016,COLUMN($E$1),FALSE)/(LEN(VLOOKUP($D343,素材!$1:$1016,COLUMN($F$1),FALSE))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E343">
        <f>IF(ISNUMBER(SEARCH(SUBSTITUTE(AE$1,RIGHT(AE$1,2),""),VLOOKUP($D343,素材!$1:$1016,COLUMN($F$1),FALSE))),VLOOKUP($C343,装備品!$1:$998,COLUMN($O$1),FALSE)*VLOOKUP($D343,素材!$1:$1016,COLUMN($E$1),FALSE)/(LEN(VLOOKUP($D343,素材!$1:$1016,COLUMN($F$1),FALSE))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F343">
        <f>IF(ISNUMBER(SEARCH(SUBSTITUTE(AF$1,RIGHT(AF$1,2),""),VLOOKUP($D343,素材!$1:$1016,COLUMN($F$1),FALSE))),VLOOKUP($C343,装備品!$1:$998,COLUMN($O$1),FALSE)*VLOOKUP($D343,素材!$1:$1016,COLUMN($E$1),FALSE)/(LEN(VLOOKUP($D343,素材!$1:$1016,COLUMN($F$1),FALSE))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G343">
        <f>IF(ISNUMBER(SEARCH(SUBSTITUTE(AG$1,RIGHT(AG$1,2),""),VLOOKUP($D343,素材!$1:$1016,COLUMN($F$1),FALSE))),VLOOKUP($C343,装備品!$1:$998,COLUMN($O$1),FALSE)*VLOOKUP($D343,素材!$1:$1016,COLUMN($E$1),FALSE)/(LEN(VLOOKUP($D343,素材!$1:$1016,COLUMN($F$1),FALSE))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H343">
        <f>IF(ISNUMBER(SEARCH(SUBSTITUTE(AH$1,RIGHT(AH$1,2),""),VLOOKUP($D343,素材!$1:$1016,COLUMN($F$1),FALSE))),VLOOKUP($C343,装備品!$1:$998,COLUMN($O$1),FALSE)*VLOOKUP($D343,素材!$1:$1016,COLUMN($E$1),FALSE)/(LEN(VLOOKUP($D343,素材!$1:$1016,COLUMN($F$1),FALSE))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I343">
        <f>IF(ISNUMBER(SEARCH(SUBSTITUTE(AI$1,RIGHT(AI$1,2),""),VLOOKUP($D343,素材!$1:$1016,COLUMN($F$1),FALSE))),VLOOKUP($C343,装備品!$1:$998,COLUMN($O$1),FALSE)*VLOOKUP($D343,素材!$1:$1016,COLUMN($E$1),FALSE)/(LEN(VLOOKUP($D343,素材!$1:$1016,COLUMN($F$1),FALSE))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J343">
        <f>IF(ISNUMBER(SEARCH(SUBSTITUTE(AJ$1,RIGHT(AJ$1,2),""),VLOOKUP($D343,素材!$1:$1016,COLUMN($F$1),FALSE))),VLOOKUP($C343,装備品!$1:$998,COLUMN($O$1),FALSE)*VLOOKUP($D343,素材!$1:$1016,COLUMN($E$1),FALSE)/(LEN(VLOOKUP($D343,素材!$1:$1016,COLUMN($F$1),FALSE))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K343">
        <f>IF(ISNUMBER(SEARCH(SUBSTITUTE(AK$1,RIGHT(AK$1,2),""),VLOOKUP($D343,素材!$1:$1016,COLUMN($F$1),FALSE))),VLOOKUP($C343,装備品!$1:$998,COLUMN($O$1),FALSE)*VLOOKUP($D343,素材!$1:$1016,COLUMN($E$1),FALSE)/(LEN(VLOOKUP($D343,素材!$1:$1016,COLUMN($F$1),FALSE))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L343">
        <f>IF(ISNUMBER(SEARCH(SUBSTITUTE(AL$1,RIGHT(AL$1,2),""),VLOOKUP($D343,素材!$1:$1016,COLUMN($F$1),FALSE))),VLOOKUP($C343,装備品!$1:$998,COLUMN($O$1),FALSE)*VLOOKUP($D343,素材!$1:$1016,COLUMN($E$1),FALSE)/(LEN(VLOOKUP($D343,素材!$1:$1016,COLUMN($F$1),FALSE))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M343">
        <f>IF(ISNUMBER(SEARCH(SUBSTITUTE(AM$1,RIGHT(AM$1,2),""),VLOOKUP($D343,素材!$1:$1016,COLUMN($F$1),FALSE))),VLOOKUP($C343,装備品!$1:$998,COLUMN($O$1),FALSE)*VLOOKUP($D343,素材!$1:$1016,COLUMN($E$1),FALSE)/(LEN(VLOOKUP($D343,素材!$1:$1016,COLUMN($F$1),FALSE))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N343">
        <f>IF(ISNUMBER(SEARCH(SUBSTITUTE(AN$1,RIGHT(AN$1,2),""),VLOOKUP($D343,素材!$1:$1016,COLUMN($F$1),FALSE))),VLOOKUP($C343,装備品!$1:$998,COLUMN($O$1),FALSE)*VLOOKUP($D343,素材!$1:$1016,COLUMN($E$1),FALSE)/(LEN(VLOOKUP($D343,素材!$1:$1016,COLUMN($F$1),FALSE))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O343">
        <f>IF(ISNUMBER(SEARCH(SUBSTITUTE(AO$1,RIGHT(AO$1,2),""),VLOOKUP($D343,素材!$1:$1016,COLUMN($F$1),FALSE))),VLOOKUP($C343,装備品!$1:$998,COLUMN($O$1),FALSE)*VLOOKUP($D343,素材!$1:$1016,COLUMN($E$1),FALSE)/(LEN(VLOOKUP($D343,素材!$1:$1016,COLUMN($F$1),FALSE))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P343">
        <f>IF(ISNUMBER(SEARCH(SUBSTITUTE(AP$1,RIGHT(AP$1,2),""),VLOOKUP($D343,素材!$1:$1016,COLUMN($F$1),FALSE))),VLOOKUP($C343,装備品!$1:$998,COLUMN($O$1),FALSE)*VLOOKUP($D343,素材!$1:$1016,COLUMN($E$1),FALSE)/(LEN(VLOOKUP($D343,素材!$1:$1016,COLUMN($F$1),FALSE))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Q343">
        <f>IF(ISNUMBER(SEARCH(SUBSTITUTE(AQ$1,RIGHT(AQ$1,2),""),VLOOKUP($D343,素材!$1:$1016,COLUMN($F$1),FALSE))),VLOOKUP($C343,装備品!$1:$998,COLUMN($O$1),FALSE)*VLOOKUP($D343,素材!$1:$1016,COLUMN($E$1),FALSE)/(LEN(VLOOKUP($D343,素材!$1:$1016,COLUMN($F$1),FALSE))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R343">
        <f>IF(ISNUMBER(SEARCH(SUBSTITUTE(AR$1,RIGHT(AR$1,2),""),VLOOKUP($D343,素材!$1:$1016,COLUMN($F$1),FALSE))),VLOOKUP($C343,装備品!$1:$998,COLUMN($O$1),FALSE)*VLOOKUP($D343,素材!$1:$1016,COLUMN($E$1),FALSE)/(LEN(VLOOKUP($D343,素材!$1:$1016,COLUMN($F$1),FALSE))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S343">
        <f>IF(ISNUMBER(SEARCH(SUBSTITUTE(AS$1,RIGHT(AS$1,2),""),VLOOKUP($D343,素材!$1:$1016,COLUMN($F$1),FALSE))),VLOOKUP($C343,装備品!$1:$998,COLUMN($O$1),FALSE)*VLOOKUP($D343,素材!$1:$1016,COLUMN($E$1),FALSE)/(LEN(VLOOKUP($D343,素材!$1:$1016,COLUMN($F$1),FALSE))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T343">
        <f>IF(ISNUMBER(SEARCH(SUBSTITUTE(AT$1,RIGHT(AT$1,2),""),VLOOKUP($D343,素材!$1:$1016,COLUMN($F$1),FALSE))),VLOOKUP($C343,装備品!$1:$998,COLUMN($O$1),FALSE)*VLOOKUP($D343,素材!$1:$1016,COLUMN($E$1),FALSE)/(LEN(VLOOKUP($D343,素材!$1:$1016,COLUMN($F$1),FALSE))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U343">
        <f>IF(ISNUMBER(SEARCH(SUBSTITUTE(AU$1,RIGHT(AU$1,2),""),VLOOKUP($D343,素材!$1:$1016,COLUMN($F$1),FALSE))),VLOOKUP($C343,装備品!$1:$998,COLUMN($O$1),FALSE)*VLOOKUP($D343,素材!$1:$1016,COLUMN($E$1),FALSE)/(LEN(VLOOKUP($D343,素材!$1:$1016,COLUMN($F$1),FALSE))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V343">
        <f>IF(ISNUMBER(SEARCH(SUBSTITUTE(AV$1,RIGHT(AV$1,2),""),VLOOKUP($D343,素材!$1:$1016,COLUMN($F$1),FALSE))),VLOOKUP($C343,装備品!$1:$998,COLUMN($O$1),FALSE)*VLOOKUP($D343,素材!$1:$1016,COLUMN($E$1),FALSE)/(LEN(VLOOKUP($D343,素材!$1:$1016,COLUMN($F$1),FALSE))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W343">
        <f>IF(ISNUMBER(SEARCH(SUBSTITUTE(AW$1,RIGHT(AW$1,2),""),VLOOKUP($D343,素材!$1:$1016,COLUMN($F$1),FALSE))),VLOOKUP($C343,装備品!$1:$998,COLUMN($O$1),FALSE)*VLOOKUP($D343,素材!$1:$1016,COLUMN($E$1),FALSE)/(LEN(VLOOKUP($D343,素材!$1:$1016,COLUMN($F$1),FALSE))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X343">
        <f>IF(ISNUMBER(SEARCH(SUBSTITUTE(AX$1,RIGHT(AX$1,2),""),VLOOKUP($D343,素材!$1:$1016,COLUMN($F$1),FALSE))),VLOOKUP($C343,装備品!$1:$998,COLUMN($O$1),FALSE)*VLOOKUP($D343,素材!$1:$1016,COLUMN($E$1),FALSE)/(LEN(VLOOKUP($D343,素材!$1:$1016,COLUMN($F$1),FALSE))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Y343">
        <f>IF(ISNUMBER(SEARCH(SUBSTITUTE(AY$1,RIGHT(AY$1,2),""),VLOOKUP($D343,素材!$1:$1016,COLUMN($F$1),FALSE))),VLOOKUP($C343,装備品!$1:$998,COLUMN($O$1),FALSE)*VLOOKUP($D343,素材!$1:$1016,COLUMN($E$1),FALSE)/(LEN(VLOOKUP($D343,素材!$1:$1016,COLUMN($F$1),FALSE))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Z343">
        <f>IF(ISNUMBER(SEARCH(SUBSTITUTE(AZ$1,RIGHT(AZ$1,2),""),VLOOKUP($D343,素材!$1:$1016,COLUMN($F$1),FALSE))),VLOOKUP($C343,装備品!$1:$998,COLUMN($O$1),FALSE)*VLOOKUP($D343,素材!$1:$1016,COLUMN($E$1),FALSE)/(LEN(VLOOKUP($D343,素材!$1:$1016,COLUMN($F$1),FALSE))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BA343">
        <f>IF(ISNUMBER(SEARCH(SUBSTITUTE(BA$1,RIGHT(BA$1,2),""),VLOOKUP($D343,素材!$1:$1016,COLUMN($F$1),FALSE))),VLOOKUP($C343,装備品!$1:$998,COLUMN($O$1),FALSE)*VLOOKUP($D343,素材!$1:$1016,COLUMN($E$1),FALSE)/(LEN(VLOOKUP($D343,素材!$1:$1016,COLUMN($F$1),FALSE))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BB343">
        <f>IF(ISNUMBER(SEARCH(SUBSTITUTE(BB$1,RIGHT(BB$1,2),""),VLOOKUP($D343,素材!$1:$1016,COLUMN($F$1),FALSE))),VLOOKUP($C343,装備品!$1:$998,COLUMN($O$1),FALSE)*VLOOKUP($D343,素材!$1:$1016,COLUMN($E$1),FALSE)/(LEN(VLOOKUP($D343,素材!$1:$1016,COLUMN($F$1),FALSE))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BC343">
        <f>IF(ISNUMBER(SEARCH(SUBSTITUTE(BC$1,RIGHT(BC$1,2),""),VLOOKUP($D343,素材!$1:$1016,COLUMN($F$1),FALSE))),VLOOKUP($C343,装備品!$1:$998,COLUMN($O$1),FALSE)*VLOOKUP($D343,素材!$1:$1016,COLUMN($E$1),FALSE)/(LEN(VLOOKUP($D343,素材!$1:$1016,COLUMN($F$1),FALSE))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BD343">
        <f>IF(ISNUMBER(SEARCH(SUBSTITUTE(BD$1,RIGHT(BD$1,2),""),VLOOKUP($D343,素材!$1:$1016,COLUMN($F$1),FALSE))),VLOOKUP($C343,装備品!$1:$998,COLUMN($O$1),FALSE)*VLOOKUP($D343,素材!$1:$1016,COLUMN($E$1),FALSE)/(LEN(VLOOKUP($D343,素材!$1:$1016,COLUMN($F$1),FALSE))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BE343">
        <f>IF(ISNUMBER(SEARCH(SUBSTITUTE(BE$1,RIGHT(BE$1,2),""),VLOOKUP($D343,素材!$1:$1016,COLUMN($F$1),FALSE))),VLOOKUP($C343,装備品!$1:$998,COLUMN($O$1),FALSE)*VLOOKUP($D343,素材!$1:$1016,COLUMN($E$1),FALSE)/(LEN(VLOOKUP($D343,素材!$1:$1016,COLUMN($F$1),FALSE))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CL343">
        <f t="shared" si="47"/>
        <v>0</v>
      </c>
      <c r="CM343" s="22" t="str">
        <f t="shared" si="48"/>
        <v>.webp</v>
      </c>
      <c r="CN343" t="str">
        <f>IFERROR(VLOOKUP($C343,装備品!$1:$998,COLUMN(V$1),FALSE)*VLOOKUP($D343,素材!$1:$1016,COLUMN(N$1),FALSE)+IF(CI343="",0,VLOOKUP($CI343,付与!$1:$1176,COLUMN($CK$1),FALSE)),"")</f>
        <v/>
      </c>
      <c r="CO343" t="e">
        <f>VLOOKUP(D343,素材!$A:$O,COLUMN(素材!O$1),FALSE)</f>
        <v>#N/A</v>
      </c>
      <c r="CP343" t="e">
        <f>VLOOKUP(C343,装備品!$A:$AB,COLUMN(装備品!AB$1),FALSE)</f>
        <v>#N/A</v>
      </c>
      <c r="CR343" t="str">
        <f t="shared" si="49"/>
        <v>e_343</v>
      </c>
      <c r="CS343" t="e">
        <f t="shared" si="50"/>
        <v>#VALUE!</v>
      </c>
    </row>
    <row r="344" spans="1:97" hidden="1" outlineLevel="1" x14ac:dyDescent="0.4">
      <c r="A344" t="str">
        <f t="shared" si="51"/>
        <v>の</v>
      </c>
      <c r="B344" t="str">
        <f>IFERROR(IF(CI344="",VLOOKUP($D344,素材!$1:$1016,COLUMN($B$1),FALSE)&amp;"・"&amp;VLOOKUP($C344,装備品!$1:$998,COLUMN(B$1),FALSE),VLOOKUP($CI344,付与!$1:$1176,COLUMN($B$1),FALSE)&amp;"・"&amp;VLOOKUP($C344,装備品!$1:$998,COLUMN(B$1),FALSE)),"")</f>
        <v/>
      </c>
      <c r="C344" s="24"/>
      <c r="D344" s="24"/>
      <c r="E344" t="str">
        <f>IFERROR(VLOOKUP(C344,装備品!$1:$998,COLUMN(C$1),FALSE),"")</f>
        <v/>
      </c>
      <c r="F344" t="str">
        <f>IFERROR(ROUNDDOWN((VLOOKUP($C344,装備品!$1:$998,COLUMN(D$1),FALSE)+IFERROR(VLOOKUP($CI344,付与!$1:$1167,COLUMN(F$1),FALSE),0))*VLOOKUP($D344,素材!$1:$1016,COLUMN(D$1),FALSE),0),"")</f>
        <v/>
      </c>
      <c r="G344" t="str">
        <f>IFERROR(ROUNDDOWN((VLOOKUP($C344,装備品!$1:$998,COLUMN(E$1),FALSE)+IFERROR(VLOOKUP($CI344,付与!$1:$1167,COLUMN(G$1),FALSE),0))*VLOOKUP($D344,素材!$1:$1016,COLUMN($E$1),FALSE),0),"")</f>
        <v/>
      </c>
      <c r="H344" t="str">
        <f>IFERROR(ROUNDDOWN((VLOOKUP($C344,装備品!$1:$998,COLUMN(F$1),FALSE)+IFERROR(VLOOKUP($CI344,付与!$1:$1167,COLUMN(H$1),FALSE),0))*VLOOKUP($D344,素材!$1:$1016,COLUMN($E$1),FALSE),0),"")</f>
        <v/>
      </c>
      <c r="I344" t="str">
        <f>IFERROR(ROUNDDOWN((VLOOKUP($C344,装備品!$1:$998,COLUMN(G$1),FALSE)+IFERROR(VLOOKUP($CI344,付与!$1:$1167,COLUMN(I$1),FALSE),0))*VLOOKUP($D344,素材!$1:$1016,COLUMN($E$1),FALSE),0),"")</f>
        <v/>
      </c>
      <c r="J344" t="str">
        <f>IFERROR(ROUNDDOWN((VLOOKUP($C344,装備品!$1:$998,COLUMN(H$1),FALSE)+IFERROR(VLOOKUP($CI344,付与!$1:$1167,COLUMN(J$1),FALSE),0))*VLOOKUP($D344,素材!$1:$1016,COLUMN($E$1),FALSE),0),"")</f>
        <v/>
      </c>
      <c r="K344" t="str">
        <f>IFERROR(ROUNDDOWN((VLOOKUP($C344,装備品!$1:$998,COLUMN(I$1),FALSE)+IFERROR(VLOOKUP($CI344,付与!$1:$1167,COLUMN(K$1),FALSE),0))*VLOOKUP($D344,素材!$1:$1016,COLUMN($E$1),FALSE),0),"")</f>
        <v/>
      </c>
      <c r="L344" t="str">
        <f>IFERROR(VLOOKUP($D344,素材!$1:$1016,COLUMN($F$1),FALSE),"")</f>
        <v/>
      </c>
      <c r="M344" t="str">
        <f>IFERROR(VLOOKUP($C344,装備品!$1:$998,COLUMN(AA$1),FALSE)*VLOOKUP($D344,素材!$1:$1016,COLUMN($G$1),FALSE),"")</f>
        <v/>
      </c>
      <c r="N344" t="str">
        <f>IFERROR(VLOOKUP($C344,装備品!$1:$998,COLUMN(I$1),FALSE),"")</f>
        <v/>
      </c>
      <c r="O344" s="23" t="str">
        <f>IFERROR((VLOOKUP($C344,装備品!$1:$998,COLUMN(K$1),FALSE)+VLOOKUP($D344,素材!$1:$1016,COLUMN(H$1),FALSE))*100+IFERROR(VLOOKUP($CI344,付与!$1:$1167,COLUMN(O$1),FALSE),0),"")</f>
        <v/>
      </c>
      <c r="P344" s="23" t="str">
        <f>IFERROR((VLOOKUP($C344,装備品!$1:$998,COLUMN(L$1),FALSE)+VLOOKUP($D344,素材!$1:$1016,COLUMN(I$1),FALSE))*100+IFERROR(VLOOKUP($CI344,付与!$1:$1167,COLUMN(P$1),FALSE),0),"")</f>
        <v/>
      </c>
      <c r="Q344" t="str">
        <f>IFERROR(ROUNDUP(VLOOKUP($C344,装備品!$1:$998,COLUMN(M$1),FALSE)*(VLOOKUP($D344,素材!$1:$1002,COLUMN(D$1),FALSE)/100),1),"")</f>
        <v/>
      </c>
      <c r="R344" t="str">
        <f>IFERROR(ROUNDUP(VLOOKUP($C344,装備品!$1:$998,COLUMN(N$1),FALSE)*(VLOOKUP($D344,素材!$1:$1002,COLUMN(D$1),FALSE)/100),1),"")</f>
        <v/>
      </c>
      <c r="S344" t="str">
        <f>IFERROR(VLOOKUP($C344,装備品!$1:$998,COLUMN(P$1),FALSE),"")</f>
        <v/>
      </c>
      <c r="T344" t="str">
        <f>IFERROR(VLOOKUP($C344,装備品!$1:$998,COLUMN(Q$1),FALSE),"")</f>
        <v/>
      </c>
      <c r="U344" t="str">
        <f>IFERROR(VLOOKUP($C344,装備品!$1:$998,COLUMN(R$1),FALSE),"")</f>
        <v/>
      </c>
      <c r="V344" t="str">
        <f>IFERROR(VLOOKUP($C344,装備品!$1:$998,COLUMN(Q$1),FALSE),"")</f>
        <v/>
      </c>
      <c r="W344" t="str">
        <f>IFERROR(VLOOKUP($C344,装備品!$1:$998,COLUMN(T$1),FALSE),"")</f>
        <v/>
      </c>
      <c r="Y344" t="str">
        <f>IFERROR(VLOOKUP($C344,装備品!$1:$998,COLUMN(U$1),FALSE),"")</f>
        <v/>
      </c>
      <c r="Z344" t="str">
        <f>IFERROR(ROUNDUP(VLOOKUP($C344,装備品!$1:$998,COLUMN(O$1),FALSE)*VLOOKUP($D344,素材!$1:$1016,COLUMN(E$1),FALSE),1),"")</f>
        <v/>
      </c>
      <c r="AA344">
        <f>IF(ISNUMBER(SEARCH(SUBSTITUTE(AA$1,RIGHT(AA$1,2),""),VLOOKUP($D344,素材!$1:$1016,COLUMN($F$1),FALSE))),VLOOKUP($C344,装備品!$1:$998,COLUMN($O$1),FALSE)*VLOOKUP($D344,素材!$1:$1016,COLUMN($E$1),FALSE)/(LEN(VLOOKUP($D344,素材!$1:$1016,COLUMN($F$1),FALSE))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B344">
        <f>IF(ISNUMBER(SEARCH(SUBSTITUTE(AB$1,RIGHT(AB$1,2),""),VLOOKUP($D344,素材!$1:$1016,COLUMN($F$1),FALSE))),VLOOKUP($C344,装備品!$1:$998,COLUMN($O$1),FALSE)*VLOOKUP($D344,素材!$1:$1016,COLUMN($E$1),FALSE)/(LEN(VLOOKUP($D344,素材!$1:$1016,COLUMN($F$1),FALSE))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C344">
        <f>IF(ISNUMBER(SEARCH(SUBSTITUTE(AC$1,RIGHT(AC$1,2),""),VLOOKUP($D344,素材!$1:$1016,COLUMN($F$1),FALSE))),VLOOKUP($C344,装備品!$1:$998,COLUMN($O$1),FALSE)*VLOOKUP($D344,素材!$1:$1016,COLUMN($E$1),FALSE)/(LEN(VLOOKUP($D344,素材!$1:$1016,COLUMN($F$1),FALSE))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D344">
        <f>IF(ISNUMBER(SEARCH(SUBSTITUTE(AD$1,RIGHT(AD$1,2),""),VLOOKUP($D344,素材!$1:$1016,COLUMN($F$1),FALSE))),VLOOKUP($C344,装備品!$1:$998,COLUMN($O$1),FALSE)*VLOOKUP($D344,素材!$1:$1016,COLUMN($E$1),FALSE)/(LEN(VLOOKUP($D344,素材!$1:$1016,COLUMN($F$1),FALSE))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E344">
        <f>IF(ISNUMBER(SEARCH(SUBSTITUTE(AE$1,RIGHT(AE$1,2),""),VLOOKUP($D344,素材!$1:$1016,COLUMN($F$1),FALSE))),VLOOKUP($C344,装備品!$1:$998,COLUMN($O$1),FALSE)*VLOOKUP($D344,素材!$1:$1016,COLUMN($E$1),FALSE)/(LEN(VLOOKUP($D344,素材!$1:$1016,COLUMN($F$1),FALSE))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F344">
        <f>IF(ISNUMBER(SEARCH(SUBSTITUTE(AF$1,RIGHT(AF$1,2),""),VLOOKUP($D344,素材!$1:$1016,COLUMN($F$1),FALSE))),VLOOKUP($C344,装備品!$1:$998,COLUMN($O$1),FALSE)*VLOOKUP($D344,素材!$1:$1016,COLUMN($E$1),FALSE)/(LEN(VLOOKUP($D344,素材!$1:$1016,COLUMN($F$1),FALSE))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G344">
        <f>IF(ISNUMBER(SEARCH(SUBSTITUTE(AG$1,RIGHT(AG$1,2),""),VLOOKUP($D344,素材!$1:$1016,COLUMN($F$1),FALSE))),VLOOKUP($C344,装備品!$1:$998,COLUMN($O$1),FALSE)*VLOOKUP($D344,素材!$1:$1016,COLUMN($E$1),FALSE)/(LEN(VLOOKUP($D344,素材!$1:$1016,COLUMN($F$1),FALSE))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H344">
        <f>IF(ISNUMBER(SEARCH(SUBSTITUTE(AH$1,RIGHT(AH$1,2),""),VLOOKUP($D344,素材!$1:$1016,COLUMN($F$1),FALSE))),VLOOKUP($C344,装備品!$1:$998,COLUMN($O$1),FALSE)*VLOOKUP($D344,素材!$1:$1016,COLUMN($E$1),FALSE)/(LEN(VLOOKUP($D344,素材!$1:$1016,COLUMN($F$1),FALSE))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I344">
        <f>IF(ISNUMBER(SEARCH(SUBSTITUTE(AI$1,RIGHT(AI$1,2),""),VLOOKUP($D344,素材!$1:$1016,COLUMN($F$1),FALSE))),VLOOKUP($C344,装備品!$1:$998,COLUMN($O$1),FALSE)*VLOOKUP($D344,素材!$1:$1016,COLUMN($E$1),FALSE)/(LEN(VLOOKUP($D344,素材!$1:$1016,COLUMN($F$1),FALSE))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J344">
        <f>IF(ISNUMBER(SEARCH(SUBSTITUTE(AJ$1,RIGHT(AJ$1,2),""),VLOOKUP($D344,素材!$1:$1016,COLUMN($F$1),FALSE))),VLOOKUP($C344,装備品!$1:$998,COLUMN($O$1),FALSE)*VLOOKUP($D344,素材!$1:$1016,COLUMN($E$1),FALSE)/(LEN(VLOOKUP($D344,素材!$1:$1016,COLUMN($F$1),FALSE))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K344">
        <f>IF(ISNUMBER(SEARCH(SUBSTITUTE(AK$1,RIGHT(AK$1,2),""),VLOOKUP($D344,素材!$1:$1016,COLUMN($F$1),FALSE))),VLOOKUP($C344,装備品!$1:$998,COLUMN($O$1),FALSE)*VLOOKUP($D344,素材!$1:$1016,COLUMN($E$1),FALSE)/(LEN(VLOOKUP($D344,素材!$1:$1016,COLUMN($F$1),FALSE))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L344">
        <f>IF(ISNUMBER(SEARCH(SUBSTITUTE(AL$1,RIGHT(AL$1,2),""),VLOOKUP($D344,素材!$1:$1016,COLUMN($F$1),FALSE))),VLOOKUP($C344,装備品!$1:$998,COLUMN($O$1),FALSE)*VLOOKUP($D344,素材!$1:$1016,COLUMN($E$1),FALSE)/(LEN(VLOOKUP($D344,素材!$1:$1016,COLUMN($F$1),FALSE))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M344">
        <f>IF(ISNUMBER(SEARCH(SUBSTITUTE(AM$1,RIGHT(AM$1,2),""),VLOOKUP($D344,素材!$1:$1016,COLUMN($F$1),FALSE))),VLOOKUP($C344,装備品!$1:$998,COLUMN($O$1),FALSE)*VLOOKUP($D344,素材!$1:$1016,COLUMN($E$1),FALSE)/(LEN(VLOOKUP($D344,素材!$1:$1016,COLUMN($F$1),FALSE))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N344">
        <f>IF(ISNUMBER(SEARCH(SUBSTITUTE(AN$1,RIGHT(AN$1,2),""),VLOOKUP($D344,素材!$1:$1016,COLUMN($F$1),FALSE))),VLOOKUP($C344,装備品!$1:$998,COLUMN($O$1),FALSE)*VLOOKUP($D344,素材!$1:$1016,COLUMN($E$1),FALSE)/(LEN(VLOOKUP($D344,素材!$1:$1016,COLUMN($F$1),FALSE))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O344">
        <f>IF(ISNUMBER(SEARCH(SUBSTITUTE(AO$1,RIGHT(AO$1,2),""),VLOOKUP($D344,素材!$1:$1016,COLUMN($F$1),FALSE))),VLOOKUP($C344,装備品!$1:$998,COLUMN($O$1),FALSE)*VLOOKUP($D344,素材!$1:$1016,COLUMN($E$1),FALSE)/(LEN(VLOOKUP($D344,素材!$1:$1016,COLUMN($F$1),FALSE))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P344">
        <f>IF(ISNUMBER(SEARCH(SUBSTITUTE(AP$1,RIGHT(AP$1,2),""),VLOOKUP($D344,素材!$1:$1016,COLUMN($F$1),FALSE))),VLOOKUP($C344,装備品!$1:$998,COLUMN($O$1),FALSE)*VLOOKUP($D344,素材!$1:$1016,COLUMN($E$1),FALSE)/(LEN(VLOOKUP($D344,素材!$1:$1016,COLUMN($F$1),FALSE))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Q344">
        <f>IF(ISNUMBER(SEARCH(SUBSTITUTE(AQ$1,RIGHT(AQ$1,2),""),VLOOKUP($D344,素材!$1:$1016,COLUMN($F$1),FALSE))),VLOOKUP($C344,装備品!$1:$998,COLUMN($O$1),FALSE)*VLOOKUP($D344,素材!$1:$1016,COLUMN($E$1),FALSE)/(LEN(VLOOKUP($D344,素材!$1:$1016,COLUMN($F$1),FALSE))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R344">
        <f>IF(ISNUMBER(SEARCH(SUBSTITUTE(AR$1,RIGHT(AR$1,2),""),VLOOKUP($D344,素材!$1:$1016,COLUMN($F$1),FALSE))),VLOOKUP($C344,装備品!$1:$998,COLUMN($O$1),FALSE)*VLOOKUP($D344,素材!$1:$1016,COLUMN($E$1),FALSE)/(LEN(VLOOKUP($D344,素材!$1:$1016,COLUMN($F$1),FALSE))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S344">
        <f>IF(ISNUMBER(SEARCH(SUBSTITUTE(AS$1,RIGHT(AS$1,2),""),VLOOKUP($D344,素材!$1:$1016,COLUMN($F$1),FALSE))),VLOOKUP($C344,装備品!$1:$998,COLUMN($O$1),FALSE)*VLOOKUP($D344,素材!$1:$1016,COLUMN($E$1),FALSE)/(LEN(VLOOKUP($D344,素材!$1:$1016,COLUMN($F$1),FALSE))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T344">
        <f>IF(ISNUMBER(SEARCH(SUBSTITUTE(AT$1,RIGHT(AT$1,2),""),VLOOKUP($D344,素材!$1:$1016,COLUMN($F$1),FALSE))),VLOOKUP($C344,装備品!$1:$998,COLUMN($O$1),FALSE)*VLOOKUP($D344,素材!$1:$1016,COLUMN($E$1),FALSE)/(LEN(VLOOKUP($D344,素材!$1:$1016,COLUMN($F$1),FALSE))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U344">
        <f>IF(ISNUMBER(SEARCH(SUBSTITUTE(AU$1,RIGHT(AU$1,2),""),VLOOKUP($D344,素材!$1:$1016,COLUMN($F$1),FALSE))),VLOOKUP($C344,装備品!$1:$998,COLUMN($O$1),FALSE)*VLOOKUP($D344,素材!$1:$1016,COLUMN($E$1),FALSE)/(LEN(VLOOKUP($D344,素材!$1:$1016,COLUMN($F$1),FALSE))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V344">
        <f>IF(ISNUMBER(SEARCH(SUBSTITUTE(AV$1,RIGHT(AV$1,2),""),VLOOKUP($D344,素材!$1:$1016,COLUMN($F$1),FALSE))),VLOOKUP($C344,装備品!$1:$998,COLUMN($O$1),FALSE)*VLOOKUP($D344,素材!$1:$1016,COLUMN($E$1),FALSE)/(LEN(VLOOKUP($D344,素材!$1:$1016,COLUMN($F$1),FALSE))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W344">
        <f>IF(ISNUMBER(SEARCH(SUBSTITUTE(AW$1,RIGHT(AW$1,2),""),VLOOKUP($D344,素材!$1:$1016,COLUMN($F$1),FALSE))),VLOOKUP($C344,装備品!$1:$998,COLUMN($O$1),FALSE)*VLOOKUP($D344,素材!$1:$1016,COLUMN($E$1),FALSE)/(LEN(VLOOKUP($D344,素材!$1:$1016,COLUMN($F$1),FALSE))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X344">
        <f>IF(ISNUMBER(SEARCH(SUBSTITUTE(AX$1,RIGHT(AX$1,2),""),VLOOKUP($D344,素材!$1:$1016,COLUMN($F$1),FALSE))),VLOOKUP($C344,装備品!$1:$998,COLUMN($O$1),FALSE)*VLOOKUP($D344,素材!$1:$1016,COLUMN($E$1),FALSE)/(LEN(VLOOKUP($D344,素材!$1:$1016,COLUMN($F$1),FALSE))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Y344">
        <f>IF(ISNUMBER(SEARCH(SUBSTITUTE(AY$1,RIGHT(AY$1,2),""),VLOOKUP($D344,素材!$1:$1016,COLUMN($F$1),FALSE))),VLOOKUP($C344,装備品!$1:$998,COLUMN($O$1),FALSE)*VLOOKUP($D344,素材!$1:$1016,COLUMN($E$1),FALSE)/(LEN(VLOOKUP($D344,素材!$1:$1016,COLUMN($F$1),FALSE))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Z344">
        <f>IF(ISNUMBER(SEARCH(SUBSTITUTE(AZ$1,RIGHT(AZ$1,2),""),VLOOKUP($D344,素材!$1:$1016,COLUMN($F$1),FALSE))),VLOOKUP($C344,装備品!$1:$998,COLUMN($O$1),FALSE)*VLOOKUP($D344,素材!$1:$1016,COLUMN($E$1),FALSE)/(LEN(VLOOKUP($D344,素材!$1:$1016,COLUMN($F$1),FALSE))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BA344">
        <f>IF(ISNUMBER(SEARCH(SUBSTITUTE(BA$1,RIGHT(BA$1,2),""),VLOOKUP($D344,素材!$1:$1016,COLUMN($F$1),FALSE))),VLOOKUP($C344,装備品!$1:$998,COLUMN($O$1),FALSE)*VLOOKUP($D344,素材!$1:$1016,COLUMN($E$1),FALSE)/(LEN(VLOOKUP($D344,素材!$1:$1016,COLUMN($F$1),FALSE))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BB344">
        <f>IF(ISNUMBER(SEARCH(SUBSTITUTE(BB$1,RIGHT(BB$1,2),""),VLOOKUP($D344,素材!$1:$1016,COLUMN($F$1),FALSE))),VLOOKUP($C344,装備品!$1:$998,COLUMN($O$1),FALSE)*VLOOKUP($D344,素材!$1:$1016,COLUMN($E$1),FALSE)/(LEN(VLOOKUP($D344,素材!$1:$1016,COLUMN($F$1),FALSE))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BC344">
        <f>IF(ISNUMBER(SEARCH(SUBSTITUTE(BC$1,RIGHT(BC$1,2),""),VLOOKUP($D344,素材!$1:$1016,COLUMN($F$1),FALSE))),VLOOKUP($C344,装備品!$1:$998,COLUMN($O$1),FALSE)*VLOOKUP($D344,素材!$1:$1016,COLUMN($E$1),FALSE)/(LEN(VLOOKUP($D344,素材!$1:$1016,COLUMN($F$1),FALSE))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BD344">
        <f>IF(ISNUMBER(SEARCH(SUBSTITUTE(BD$1,RIGHT(BD$1,2),""),VLOOKUP($D344,素材!$1:$1016,COLUMN($F$1),FALSE))),VLOOKUP($C344,装備品!$1:$998,COLUMN($O$1),FALSE)*VLOOKUP($D344,素材!$1:$1016,COLUMN($E$1),FALSE)/(LEN(VLOOKUP($D344,素材!$1:$1016,COLUMN($F$1),FALSE))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BE344">
        <f>IF(ISNUMBER(SEARCH(SUBSTITUTE(BE$1,RIGHT(BE$1,2),""),VLOOKUP($D344,素材!$1:$1016,COLUMN($F$1),FALSE))),VLOOKUP($C344,装備品!$1:$998,COLUMN($O$1),FALSE)*VLOOKUP($D344,素材!$1:$1016,COLUMN($E$1),FALSE)/(LEN(VLOOKUP($D344,素材!$1:$1016,COLUMN($F$1),FALSE))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CL344">
        <f t="shared" si="47"/>
        <v>0</v>
      </c>
      <c r="CM344" s="22" t="str">
        <f t="shared" si="48"/>
        <v>.webp</v>
      </c>
      <c r="CN344" t="str">
        <f>IFERROR(VLOOKUP($C344,装備品!$1:$998,COLUMN(V$1),FALSE)*VLOOKUP($D344,素材!$1:$1016,COLUMN(N$1),FALSE)+IF(CI344="",0,VLOOKUP($CI344,付与!$1:$1176,COLUMN($CK$1),FALSE)),"")</f>
        <v/>
      </c>
      <c r="CO344" t="e">
        <f>VLOOKUP(D344,素材!$A:$O,COLUMN(素材!O$1),FALSE)</f>
        <v>#N/A</v>
      </c>
      <c r="CP344" t="e">
        <f>VLOOKUP(C344,装備品!$A:$AB,COLUMN(装備品!AB$1),FALSE)</f>
        <v>#N/A</v>
      </c>
      <c r="CR344" t="str">
        <f t="shared" si="49"/>
        <v>e_344</v>
      </c>
      <c r="CS344" t="e">
        <f t="shared" si="50"/>
        <v>#VALUE!</v>
      </c>
    </row>
    <row r="345" spans="1:97" hidden="1" outlineLevel="1" x14ac:dyDescent="0.4">
      <c r="A345" t="str">
        <f t="shared" si="51"/>
        <v>の</v>
      </c>
      <c r="B345" t="str">
        <f>IFERROR(IF(CI345="",VLOOKUP($D345,素材!$1:$1016,COLUMN($B$1),FALSE)&amp;"・"&amp;VLOOKUP($C345,装備品!$1:$998,COLUMN(B$1),FALSE),VLOOKUP($CI345,付与!$1:$1176,COLUMN($B$1),FALSE)&amp;"・"&amp;VLOOKUP($C345,装備品!$1:$998,COLUMN(B$1),FALSE)),"")</f>
        <v/>
      </c>
      <c r="C345" s="24"/>
      <c r="D345" s="24"/>
      <c r="E345" t="str">
        <f>IFERROR(VLOOKUP(C345,装備品!$1:$998,COLUMN(C$1),FALSE),"")</f>
        <v/>
      </c>
      <c r="F345" t="str">
        <f>IFERROR(ROUNDDOWN((VLOOKUP($C345,装備品!$1:$998,COLUMN(D$1),FALSE)+IFERROR(VLOOKUP($CI345,付与!$1:$1167,COLUMN(F$1),FALSE),0))*VLOOKUP($D345,素材!$1:$1016,COLUMN(D$1),FALSE),0),"")</f>
        <v/>
      </c>
      <c r="G345" t="str">
        <f>IFERROR(ROUNDDOWN((VLOOKUP($C345,装備品!$1:$998,COLUMN(E$1),FALSE)+IFERROR(VLOOKUP($CI345,付与!$1:$1167,COLUMN(G$1),FALSE),0))*VLOOKUP($D345,素材!$1:$1016,COLUMN($E$1),FALSE),0),"")</f>
        <v/>
      </c>
      <c r="H345" t="str">
        <f>IFERROR(ROUNDDOWN((VLOOKUP($C345,装備品!$1:$998,COLUMN(F$1),FALSE)+IFERROR(VLOOKUP($CI345,付与!$1:$1167,COLUMN(H$1),FALSE),0))*VLOOKUP($D345,素材!$1:$1016,COLUMN($E$1),FALSE),0),"")</f>
        <v/>
      </c>
      <c r="I345" t="str">
        <f>IFERROR(ROUNDDOWN((VLOOKUP($C345,装備品!$1:$998,COLUMN(G$1),FALSE)+IFERROR(VLOOKUP($CI345,付与!$1:$1167,COLUMN(I$1),FALSE),0))*VLOOKUP($D345,素材!$1:$1016,COLUMN($E$1),FALSE),0),"")</f>
        <v/>
      </c>
      <c r="J345" t="str">
        <f>IFERROR(ROUNDDOWN((VLOOKUP($C345,装備品!$1:$998,COLUMN(H$1),FALSE)+IFERROR(VLOOKUP($CI345,付与!$1:$1167,COLUMN(J$1),FALSE),0))*VLOOKUP($D345,素材!$1:$1016,COLUMN($E$1),FALSE),0),"")</f>
        <v/>
      </c>
      <c r="K345" t="str">
        <f>IFERROR(ROUNDDOWN((VLOOKUP($C345,装備品!$1:$998,COLUMN(I$1),FALSE)+IFERROR(VLOOKUP($CI345,付与!$1:$1167,COLUMN(K$1),FALSE),0))*VLOOKUP($D345,素材!$1:$1016,COLUMN($E$1),FALSE),0),"")</f>
        <v/>
      </c>
      <c r="L345" t="str">
        <f>IFERROR(VLOOKUP($D345,素材!$1:$1016,COLUMN($F$1),FALSE),"")</f>
        <v/>
      </c>
      <c r="M345" t="str">
        <f>IFERROR(VLOOKUP($C345,装備品!$1:$998,COLUMN(AA$1),FALSE)*VLOOKUP($D345,素材!$1:$1016,COLUMN($G$1),FALSE),"")</f>
        <v/>
      </c>
      <c r="N345" t="str">
        <f>IFERROR(VLOOKUP($C345,装備品!$1:$998,COLUMN(I$1),FALSE),"")</f>
        <v/>
      </c>
      <c r="O345" s="23" t="str">
        <f>IFERROR((VLOOKUP($C345,装備品!$1:$998,COLUMN(K$1),FALSE)+VLOOKUP($D345,素材!$1:$1016,COLUMN(H$1),FALSE))*100+IFERROR(VLOOKUP($CI345,付与!$1:$1167,COLUMN(O$1),FALSE),0),"")</f>
        <v/>
      </c>
      <c r="P345" s="23" t="str">
        <f>IFERROR((VLOOKUP($C345,装備品!$1:$998,COLUMN(L$1),FALSE)+VLOOKUP($D345,素材!$1:$1016,COLUMN(I$1),FALSE))*100+IFERROR(VLOOKUP($CI345,付与!$1:$1167,COLUMN(P$1),FALSE),0),"")</f>
        <v/>
      </c>
      <c r="Q345" t="str">
        <f>IFERROR(ROUNDUP(VLOOKUP($C345,装備品!$1:$998,COLUMN(M$1),FALSE)*(VLOOKUP($D345,素材!$1:$1002,COLUMN(D$1),FALSE)/100),1),"")</f>
        <v/>
      </c>
      <c r="R345" t="str">
        <f>IFERROR(ROUNDUP(VLOOKUP($C345,装備品!$1:$998,COLUMN(N$1),FALSE)*(VLOOKUP($D345,素材!$1:$1002,COLUMN(D$1),FALSE)/100),1),"")</f>
        <v/>
      </c>
      <c r="S345" t="str">
        <f>IFERROR(VLOOKUP($C345,装備品!$1:$998,COLUMN(P$1),FALSE),"")</f>
        <v/>
      </c>
      <c r="T345" t="str">
        <f>IFERROR(VLOOKUP($C345,装備品!$1:$998,COLUMN(Q$1),FALSE),"")</f>
        <v/>
      </c>
      <c r="U345" t="str">
        <f>IFERROR(VLOOKUP($C345,装備品!$1:$998,COLUMN(R$1),FALSE),"")</f>
        <v/>
      </c>
      <c r="V345" t="str">
        <f>IFERROR(VLOOKUP($C345,装備品!$1:$998,COLUMN(Q$1),FALSE),"")</f>
        <v/>
      </c>
      <c r="W345" t="str">
        <f>IFERROR(VLOOKUP($C345,装備品!$1:$998,COLUMN(T$1),FALSE),"")</f>
        <v/>
      </c>
      <c r="Y345" t="str">
        <f>IFERROR(VLOOKUP($C345,装備品!$1:$998,COLUMN(U$1),FALSE),"")</f>
        <v/>
      </c>
      <c r="Z345" t="str">
        <f>IFERROR(ROUNDUP(VLOOKUP($C345,装備品!$1:$998,COLUMN(O$1),FALSE)*VLOOKUP($D345,素材!$1:$1016,COLUMN(E$1),FALSE),1),"")</f>
        <v/>
      </c>
      <c r="AA345">
        <f>IF(ISNUMBER(SEARCH(SUBSTITUTE(AA$1,RIGHT(AA$1,2),""),VLOOKUP($D345,素材!$1:$1016,COLUMN($F$1),FALSE))),VLOOKUP($C345,装備品!$1:$998,COLUMN($O$1),FALSE)*VLOOKUP($D345,素材!$1:$1016,COLUMN($E$1),FALSE)/(LEN(VLOOKUP($D345,素材!$1:$1016,COLUMN($F$1),FALSE))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B345">
        <f>IF(ISNUMBER(SEARCH(SUBSTITUTE(AB$1,RIGHT(AB$1,2),""),VLOOKUP($D345,素材!$1:$1016,COLUMN($F$1),FALSE))),VLOOKUP($C345,装備品!$1:$998,COLUMN($O$1),FALSE)*VLOOKUP($D345,素材!$1:$1016,COLUMN($E$1),FALSE)/(LEN(VLOOKUP($D345,素材!$1:$1016,COLUMN($F$1),FALSE))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C345">
        <f>IF(ISNUMBER(SEARCH(SUBSTITUTE(AC$1,RIGHT(AC$1,2),""),VLOOKUP($D345,素材!$1:$1016,COLUMN($F$1),FALSE))),VLOOKUP($C345,装備品!$1:$998,COLUMN($O$1),FALSE)*VLOOKUP($D345,素材!$1:$1016,COLUMN($E$1),FALSE)/(LEN(VLOOKUP($D345,素材!$1:$1016,COLUMN($F$1),FALSE))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D345">
        <f>IF(ISNUMBER(SEARCH(SUBSTITUTE(AD$1,RIGHT(AD$1,2),""),VLOOKUP($D345,素材!$1:$1016,COLUMN($F$1),FALSE))),VLOOKUP($C345,装備品!$1:$998,COLUMN($O$1),FALSE)*VLOOKUP($D345,素材!$1:$1016,COLUMN($E$1),FALSE)/(LEN(VLOOKUP($D345,素材!$1:$1016,COLUMN($F$1),FALSE))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E345">
        <f>IF(ISNUMBER(SEARCH(SUBSTITUTE(AE$1,RIGHT(AE$1,2),""),VLOOKUP($D345,素材!$1:$1016,COLUMN($F$1),FALSE))),VLOOKUP($C345,装備品!$1:$998,COLUMN($O$1),FALSE)*VLOOKUP($D345,素材!$1:$1016,COLUMN($E$1),FALSE)/(LEN(VLOOKUP($D345,素材!$1:$1016,COLUMN($F$1),FALSE))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F345">
        <f>IF(ISNUMBER(SEARCH(SUBSTITUTE(AF$1,RIGHT(AF$1,2),""),VLOOKUP($D345,素材!$1:$1016,COLUMN($F$1),FALSE))),VLOOKUP($C345,装備品!$1:$998,COLUMN($O$1),FALSE)*VLOOKUP($D345,素材!$1:$1016,COLUMN($E$1),FALSE)/(LEN(VLOOKUP($D345,素材!$1:$1016,COLUMN($F$1),FALSE))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G345">
        <f>IF(ISNUMBER(SEARCH(SUBSTITUTE(AG$1,RIGHT(AG$1,2),""),VLOOKUP($D345,素材!$1:$1016,COLUMN($F$1),FALSE))),VLOOKUP($C345,装備品!$1:$998,COLUMN($O$1),FALSE)*VLOOKUP($D345,素材!$1:$1016,COLUMN($E$1),FALSE)/(LEN(VLOOKUP($D345,素材!$1:$1016,COLUMN($F$1),FALSE))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H345">
        <f>IF(ISNUMBER(SEARCH(SUBSTITUTE(AH$1,RIGHT(AH$1,2),""),VLOOKUP($D345,素材!$1:$1016,COLUMN($F$1),FALSE))),VLOOKUP($C345,装備品!$1:$998,COLUMN($O$1),FALSE)*VLOOKUP($D345,素材!$1:$1016,COLUMN($E$1),FALSE)/(LEN(VLOOKUP($D345,素材!$1:$1016,COLUMN($F$1),FALSE))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I345">
        <f>IF(ISNUMBER(SEARCH(SUBSTITUTE(AI$1,RIGHT(AI$1,2),""),VLOOKUP($D345,素材!$1:$1016,COLUMN($F$1),FALSE))),VLOOKUP($C345,装備品!$1:$998,COLUMN($O$1),FALSE)*VLOOKUP($D345,素材!$1:$1016,COLUMN($E$1),FALSE)/(LEN(VLOOKUP($D345,素材!$1:$1016,COLUMN($F$1),FALSE))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J345">
        <f>IF(ISNUMBER(SEARCH(SUBSTITUTE(AJ$1,RIGHT(AJ$1,2),""),VLOOKUP($D345,素材!$1:$1016,COLUMN($F$1),FALSE))),VLOOKUP($C345,装備品!$1:$998,COLUMN($O$1),FALSE)*VLOOKUP($D345,素材!$1:$1016,COLUMN($E$1),FALSE)/(LEN(VLOOKUP($D345,素材!$1:$1016,COLUMN($F$1),FALSE))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K345">
        <f>IF(ISNUMBER(SEARCH(SUBSTITUTE(AK$1,RIGHT(AK$1,2),""),VLOOKUP($D345,素材!$1:$1016,COLUMN($F$1),FALSE))),VLOOKUP($C345,装備品!$1:$998,COLUMN($O$1),FALSE)*VLOOKUP($D345,素材!$1:$1016,COLUMN($E$1),FALSE)/(LEN(VLOOKUP($D345,素材!$1:$1016,COLUMN($F$1),FALSE))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L345">
        <f>IF(ISNUMBER(SEARCH(SUBSTITUTE(AL$1,RIGHT(AL$1,2),""),VLOOKUP($D345,素材!$1:$1016,COLUMN($F$1),FALSE))),VLOOKUP($C345,装備品!$1:$998,COLUMN($O$1),FALSE)*VLOOKUP($D345,素材!$1:$1016,COLUMN($E$1),FALSE)/(LEN(VLOOKUP($D345,素材!$1:$1016,COLUMN($F$1),FALSE))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M345">
        <f>IF(ISNUMBER(SEARCH(SUBSTITUTE(AM$1,RIGHT(AM$1,2),""),VLOOKUP($D345,素材!$1:$1016,COLUMN($F$1),FALSE))),VLOOKUP($C345,装備品!$1:$998,COLUMN($O$1),FALSE)*VLOOKUP($D345,素材!$1:$1016,COLUMN($E$1),FALSE)/(LEN(VLOOKUP($D345,素材!$1:$1016,COLUMN($F$1),FALSE))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N345">
        <f>IF(ISNUMBER(SEARCH(SUBSTITUTE(AN$1,RIGHT(AN$1,2),""),VLOOKUP($D345,素材!$1:$1016,COLUMN($F$1),FALSE))),VLOOKUP($C345,装備品!$1:$998,COLUMN($O$1),FALSE)*VLOOKUP($D345,素材!$1:$1016,COLUMN($E$1),FALSE)/(LEN(VLOOKUP($D345,素材!$1:$1016,COLUMN($F$1),FALSE))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O345">
        <f>IF(ISNUMBER(SEARCH(SUBSTITUTE(AO$1,RIGHT(AO$1,2),""),VLOOKUP($D345,素材!$1:$1016,COLUMN($F$1),FALSE))),VLOOKUP($C345,装備品!$1:$998,COLUMN($O$1),FALSE)*VLOOKUP($D345,素材!$1:$1016,COLUMN($E$1),FALSE)/(LEN(VLOOKUP($D345,素材!$1:$1016,COLUMN($F$1),FALSE))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P345">
        <f>IF(ISNUMBER(SEARCH(SUBSTITUTE(AP$1,RIGHT(AP$1,2),""),VLOOKUP($D345,素材!$1:$1016,COLUMN($F$1),FALSE))),VLOOKUP($C345,装備品!$1:$998,COLUMN($O$1),FALSE)*VLOOKUP($D345,素材!$1:$1016,COLUMN($E$1),FALSE)/(LEN(VLOOKUP($D345,素材!$1:$1016,COLUMN($F$1),FALSE))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Q345">
        <f>IF(ISNUMBER(SEARCH(SUBSTITUTE(AQ$1,RIGHT(AQ$1,2),""),VLOOKUP($D345,素材!$1:$1016,COLUMN($F$1),FALSE))),VLOOKUP($C345,装備品!$1:$998,COLUMN($O$1),FALSE)*VLOOKUP($D345,素材!$1:$1016,COLUMN($E$1),FALSE)/(LEN(VLOOKUP($D345,素材!$1:$1016,COLUMN($F$1),FALSE))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R345">
        <f>IF(ISNUMBER(SEARCH(SUBSTITUTE(AR$1,RIGHT(AR$1,2),""),VLOOKUP($D345,素材!$1:$1016,COLUMN($F$1),FALSE))),VLOOKUP($C345,装備品!$1:$998,COLUMN($O$1),FALSE)*VLOOKUP($D345,素材!$1:$1016,COLUMN($E$1),FALSE)/(LEN(VLOOKUP($D345,素材!$1:$1016,COLUMN($F$1),FALSE))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S345">
        <f>IF(ISNUMBER(SEARCH(SUBSTITUTE(AS$1,RIGHT(AS$1,2),""),VLOOKUP($D345,素材!$1:$1016,COLUMN($F$1),FALSE))),VLOOKUP($C345,装備品!$1:$998,COLUMN($O$1),FALSE)*VLOOKUP($D345,素材!$1:$1016,COLUMN($E$1),FALSE)/(LEN(VLOOKUP($D345,素材!$1:$1016,COLUMN($F$1),FALSE))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T345">
        <f>IF(ISNUMBER(SEARCH(SUBSTITUTE(AT$1,RIGHT(AT$1,2),""),VLOOKUP($D345,素材!$1:$1016,COLUMN($F$1),FALSE))),VLOOKUP($C345,装備品!$1:$998,COLUMN($O$1),FALSE)*VLOOKUP($D345,素材!$1:$1016,COLUMN($E$1),FALSE)/(LEN(VLOOKUP($D345,素材!$1:$1016,COLUMN($F$1),FALSE))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U345">
        <f>IF(ISNUMBER(SEARCH(SUBSTITUTE(AU$1,RIGHT(AU$1,2),""),VLOOKUP($D345,素材!$1:$1016,COLUMN($F$1),FALSE))),VLOOKUP($C345,装備品!$1:$998,COLUMN($O$1),FALSE)*VLOOKUP($D345,素材!$1:$1016,COLUMN($E$1),FALSE)/(LEN(VLOOKUP($D345,素材!$1:$1016,COLUMN($F$1),FALSE))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V345">
        <f>IF(ISNUMBER(SEARCH(SUBSTITUTE(AV$1,RIGHT(AV$1,2),""),VLOOKUP($D345,素材!$1:$1016,COLUMN($F$1),FALSE))),VLOOKUP($C345,装備品!$1:$998,COLUMN($O$1),FALSE)*VLOOKUP($D345,素材!$1:$1016,COLUMN($E$1),FALSE)/(LEN(VLOOKUP($D345,素材!$1:$1016,COLUMN($F$1),FALSE))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W345">
        <f>IF(ISNUMBER(SEARCH(SUBSTITUTE(AW$1,RIGHT(AW$1,2),""),VLOOKUP($D345,素材!$1:$1016,COLUMN($F$1),FALSE))),VLOOKUP($C345,装備品!$1:$998,COLUMN($O$1),FALSE)*VLOOKUP($D345,素材!$1:$1016,COLUMN($E$1),FALSE)/(LEN(VLOOKUP($D345,素材!$1:$1016,COLUMN($F$1),FALSE))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X345">
        <f>IF(ISNUMBER(SEARCH(SUBSTITUTE(AX$1,RIGHT(AX$1,2),""),VLOOKUP($D345,素材!$1:$1016,COLUMN($F$1),FALSE))),VLOOKUP($C345,装備品!$1:$998,COLUMN($O$1),FALSE)*VLOOKUP($D345,素材!$1:$1016,COLUMN($E$1),FALSE)/(LEN(VLOOKUP($D345,素材!$1:$1016,COLUMN($F$1),FALSE))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Y345">
        <f>IF(ISNUMBER(SEARCH(SUBSTITUTE(AY$1,RIGHT(AY$1,2),""),VLOOKUP($D345,素材!$1:$1016,COLUMN($F$1),FALSE))),VLOOKUP($C345,装備品!$1:$998,COLUMN($O$1),FALSE)*VLOOKUP($D345,素材!$1:$1016,COLUMN($E$1),FALSE)/(LEN(VLOOKUP($D345,素材!$1:$1016,COLUMN($F$1),FALSE))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Z345">
        <f>IF(ISNUMBER(SEARCH(SUBSTITUTE(AZ$1,RIGHT(AZ$1,2),""),VLOOKUP($D345,素材!$1:$1016,COLUMN($F$1),FALSE))),VLOOKUP($C345,装備品!$1:$998,COLUMN($O$1),FALSE)*VLOOKUP($D345,素材!$1:$1016,COLUMN($E$1),FALSE)/(LEN(VLOOKUP($D345,素材!$1:$1016,COLUMN($F$1),FALSE))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BA345">
        <f>IF(ISNUMBER(SEARCH(SUBSTITUTE(BA$1,RIGHT(BA$1,2),""),VLOOKUP($D345,素材!$1:$1016,COLUMN($F$1),FALSE))),VLOOKUP($C345,装備品!$1:$998,COLUMN($O$1),FALSE)*VLOOKUP($D345,素材!$1:$1016,COLUMN($E$1),FALSE)/(LEN(VLOOKUP($D345,素材!$1:$1016,COLUMN($F$1),FALSE))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BB345">
        <f>IF(ISNUMBER(SEARCH(SUBSTITUTE(BB$1,RIGHT(BB$1,2),""),VLOOKUP($D345,素材!$1:$1016,COLUMN($F$1),FALSE))),VLOOKUP($C345,装備品!$1:$998,COLUMN($O$1),FALSE)*VLOOKUP($D345,素材!$1:$1016,COLUMN($E$1),FALSE)/(LEN(VLOOKUP($D345,素材!$1:$1016,COLUMN($F$1),FALSE))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BC345">
        <f>IF(ISNUMBER(SEARCH(SUBSTITUTE(BC$1,RIGHT(BC$1,2),""),VLOOKUP($D345,素材!$1:$1016,COLUMN($F$1),FALSE))),VLOOKUP($C345,装備品!$1:$998,COLUMN($O$1),FALSE)*VLOOKUP($D345,素材!$1:$1016,COLUMN($E$1),FALSE)/(LEN(VLOOKUP($D345,素材!$1:$1016,COLUMN($F$1),FALSE))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BD345">
        <f>IF(ISNUMBER(SEARCH(SUBSTITUTE(BD$1,RIGHT(BD$1,2),""),VLOOKUP($D345,素材!$1:$1016,COLUMN($F$1),FALSE))),VLOOKUP($C345,装備品!$1:$998,COLUMN($O$1),FALSE)*VLOOKUP($D345,素材!$1:$1016,COLUMN($E$1),FALSE)/(LEN(VLOOKUP($D345,素材!$1:$1016,COLUMN($F$1),FALSE))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BE345">
        <f>IF(ISNUMBER(SEARCH(SUBSTITUTE(BE$1,RIGHT(BE$1,2),""),VLOOKUP($D345,素材!$1:$1016,COLUMN($F$1),FALSE))),VLOOKUP($C345,装備品!$1:$998,COLUMN($O$1),FALSE)*VLOOKUP($D345,素材!$1:$1016,COLUMN($E$1),FALSE)/(LEN(VLOOKUP($D345,素材!$1:$1016,COLUMN($F$1),FALSE))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CL345">
        <f t="shared" si="47"/>
        <v>0</v>
      </c>
      <c r="CM345" s="22" t="str">
        <f t="shared" si="48"/>
        <v>.webp</v>
      </c>
      <c r="CN345" t="str">
        <f>IFERROR(VLOOKUP($C345,装備品!$1:$998,COLUMN(V$1),FALSE)*VLOOKUP($D345,素材!$1:$1016,COLUMN(N$1),FALSE)+IF(CI345="",0,VLOOKUP($CI345,付与!$1:$1176,COLUMN($CK$1),FALSE)),"")</f>
        <v/>
      </c>
      <c r="CO345" t="e">
        <f>VLOOKUP(D345,素材!$A:$O,COLUMN(素材!O$1),FALSE)</f>
        <v>#N/A</v>
      </c>
      <c r="CP345" t="e">
        <f>VLOOKUP(C345,装備品!$A:$AB,COLUMN(装備品!AB$1),FALSE)</f>
        <v>#N/A</v>
      </c>
      <c r="CR345" t="str">
        <f t="shared" si="49"/>
        <v>e_345</v>
      </c>
      <c r="CS345" t="e">
        <f t="shared" si="50"/>
        <v>#VALUE!</v>
      </c>
    </row>
    <row r="346" spans="1:97" hidden="1" outlineLevel="1" x14ac:dyDescent="0.4">
      <c r="A346" t="str">
        <f t="shared" si="51"/>
        <v>の</v>
      </c>
      <c r="B346" t="str">
        <f>IFERROR(IF(CI346="",VLOOKUP($D346,素材!$1:$1016,COLUMN($B$1),FALSE)&amp;"・"&amp;VLOOKUP($C346,装備品!$1:$998,COLUMN(B$1),FALSE),VLOOKUP($CI346,付与!$1:$1176,COLUMN($B$1),FALSE)&amp;"・"&amp;VLOOKUP($C346,装備品!$1:$998,COLUMN(B$1),FALSE)),"")</f>
        <v/>
      </c>
      <c r="C346" s="24"/>
      <c r="D346" s="24"/>
      <c r="E346" t="str">
        <f>IFERROR(VLOOKUP(C346,装備品!$1:$998,COLUMN(C$1),FALSE),"")</f>
        <v/>
      </c>
      <c r="F346" t="str">
        <f>IFERROR(ROUNDDOWN((VLOOKUP($C346,装備品!$1:$998,COLUMN(D$1),FALSE)+IFERROR(VLOOKUP($CI346,付与!$1:$1167,COLUMN(F$1),FALSE),0))*VLOOKUP($D346,素材!$1:$1016,COLUMN(D$1),FALSE),0),"")</f>
        <v/>
      </c>
      <c r="G346" t="str">
        <f>IFERROR(ROUNDDOWN((VLOOKUP($C346,装備品!$1:$998,COLUMN(E$1),FALSE)+IFERROR(VLOOKUP($CI346,付与!$1:$1167,COLUMN(G$1),FALSE),0))*VLOOKUP($D346,素材!$1:$1016,COLUMN($E$1),FALSE),0),"")</f>
        <v/>
      </c>
      <c r="H346" t="str">
        <f>IFERROR(ROUNDDOWN((VLOOKUP($C346,装備品!$1:$998,COLUMN(F$1),FALSE)+IFERROR(VLOOKUP($CI346,付与!$1:$1167,COLUMN(H$1),FALSE),0))*VLOOKUP($D346,素材!$1:$1016,COLUMN($E$1),FALSE),0),"")</f>
        <v/>
      </c>
      <c r="I346" t="str">
        <f>IFERROR(ROUNDDOWN((VLOOKUP($C346,装備品!$1:$998,COLUMN(G$1),FALSE)+IFERROR(VLOOKUP($CI346,付与!$1:$1167,COLUMN(I$1),FALSE),0))*VLOOKUP($D346,素材!$1:$1016,COLUMN($E$1),FALSE),0),"")</f>
        <v/>
      </c>
      <c r="J346" t="str">
        <f>IFERROR(ROUNDDOWN((VLOOKUP($C346,装備品!$1:$998,COLUMN(H$1),FALSE)+IFERROR(VLOOKUP($CI346,付与!$1:$1167,COLUMN(J$1),FALSE),0))*VLOOKUP($D346,素材!$1:$1016,COLUMN($E$1),FALSE),0),"")</f>
        <v/>
      </c>
      <c r="K346" t="str">
        <f>IFERROR(ROUNDDOWN((VLOOKUP($C346,装備品!$1:$998,COLUMN(I$1),FALSE)+IFERROR(VLOOKUP($CI346,付与!$1:$1167,COLUMN(K$1),FALSE),0))*VLOOKUP($D346,素材!$1:$1016,COLUMN($E$1),FALSE),0),"")</f>
        <v/>
      </c>
      <c r="L346" t="str">
        <f>IFERROR(VLOOKUP($D346,素材!$1:$1016,COLUMN($F$1),FALSE),"")</f>
        <v/>
      </c>
      <c r="M346" t="str">
        <f>IFERROR(VLOOKUP($C346,装備品!$1:$998,COLUMN(AA$1),FALSE)*VLOOKUP($D346,素材!$1:$1016,COLUMN($G$1),FALSE),"")</f>
        <v/>
      </c>
      <c r="N346" t="str">
        <f>IFERROR(VLOOKUP($C346,装備品!$1:$998,COLUMN(I$1),FALSE),"")</f>
        <v/>
      </c>
      <c r="O346" s="23" t="str">
        <f>IFERROR((VLOOKUP($C346,装備品!$1:$998,COLUMN(K$1),FALSE)+VLOOKUP($D346,素材!$1:$1016,COLUMN(H$1),FALSE))*100+IFERROR(VLOOKUP($CI346,付与!$1:$1167,COLUMN(O$1),FALSE),0),"")</f>
        <v/>
      </c>
      <c r="P346" s="23" t="str">
        <f>IFERROR((VLOOKUP($C346,装備品!$1:$998,COLUMN(L$1),FALSE)+VLOOKUP($D346,素材!$1:$1016,COLUMN(I$1),FALSE))*100+IFERROR(VLOOKUP($CI346,付与!$1:$1167,COLUMN(P$1),FALSE),0),"")</f>
        <v/>
      </c>
      <c r="Q346" t="str">
        <f>IFERROR(ROUNDUP(VLOOKUP($C346,装備品!$1:$998,COLUMN(M$1),FALSE)*(VLOOKUP($D346,素材!$1:$1002,COLUMN(D$1),FALSE)/100),1),"")</f>
        <v/>
      </c>
      <c r="R346" t="str">
        <f>IFERROR(ROUNDUP(VLOOKUP($C346,装備品!$1:$998,COLUMN(N$1),FALSE)*(VLOOKUP($D346,素材!$1:$1002,COLUMN(D$1),FALSE)/100),1),"")</f>
        <v/>
      </c>
      <c r="S346" t="str">
        <f>IFERROR(VLOOKUP($C346,装備品!$1:$998,COLUMN(P$1),FALSE),"")</f>
        <v/>
      </c>
      <c r="T346" t="str">
        <f>IFERROR(VLOOKUP($C346,装備品!$1:$998,COLUMN(Q$1),FALSE),"")</f>
        <v/>
      </c>
      <c r="U346" t="str">
        <f>IFERROR(VLOOKUP($C346,装備品!$1:$998,COLUMN(R$1),FALSE),"")</f>
        <v/>
      </c>
      <c r="V346" t="str">
        <f>IFERROR(VLOOKUP($C346,装備品!$1:$998,COLUMN(Q$1),FALSE),"")</f>
        <v/>
      </c>
      <c r="W346" t="str">
        <f>IFERROR(VLOOKUP($C346,装備品!$1:$998,COLUMN(T$1),FALSE),"")</f>
        <v/>
      </c>
      <c r="Y346" t="str">
        <f>IFERROR(VLOOKUP($C346,装備品!$1:$998,COLUMN(U$1),FALSE),"")</f>
        <v/>
      </c>
      <c r="Z346" t="str">
        <f>IFERROR(ROUNDUP(VLOOKUP($C346,装備品!$1:$998,COLUMN(O$1),FALSE)*VLOOKUP($D346,素材!$1:$1016,COLUMN(E$1),FALSE),1),"")</f>
        <v/>
      </c>
      <c r="AA346">
        <f>IF(ISNUMBER(SEARCH(SUBSTITUTE(AA$1,RIGHT(AA$1,2),""),VLOOKUP($D346,素材!$1:$1016,COLUMN($F$1),FALSE))),VLOOKUP($C346,装備品!$1:$998,COLUMN($O$1),FALSE)*VLOOKUP($D346,素材!$1:$1016,COLUMN($E$1),FALSE)/(LEN(VLOOKUP($D346,素材!$1:$1016,COLUMN($F$1),FALSE))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B346">
        <f>IF(ISNUMBER(SEARCH(SUBSTITUTE(AB$1,RIGHT(AB$1,2),""),VLOOKUP($D346,素材!$1:$1016,COLUMN($F$1),FALSE))),VLOOKUP($C346,装備品!$1:$998,COLUMN($O$1),FALSE)*VLOOKUP($D346,素材!$1:$1016,COLUMN($E$1),FALSE)/(LEN(VLOOKUP($D346,素材!$1:$1016,COLUMN($F$1),FALSE))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C346">
        <f>IF(ISNUMBER(SEARCH(SUBSTITUTE(AC$1,RIGHT(AC$1,2),""),VLOOKUP($D346,素材!$1:$1016,COLUMN($F$1),FALSE))),VLOOKUP($C346,装備品!$1:$998,COLUMN($O$1),FALSE)*VLOOKUP($D346,素材!$1:$1016,COLUMN($E$1),FALSE)/(LEN(VLOOKUP($D346,素材!$1:$1016,COLUMN($F$1),FALSE))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D346">
        <f>IF(ISNUMBER(SEARCH(SUBSTITUTE(AD$1,RIGHT(AD$1,2),""),VLOOKUP($D346,素材!$1:$1016,COLUMN($F$1),FALSE))),VLOOKUP($C346,装備品!$1:$998,COLUMN($O$1),FALSE)*VLOOKUP($D346,素材!$1:$1016,COLUMN($E$1),FALSE)/(LEN(VLOOKUP($D346,素材!$1:$1016,COLUMN($F$1),FALSE))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E346">
        <f>IF(ISNUMBER(SEARCH(SUBSTITUTE(AE$1,RIGHT(AE$1,2),""),VLOOKUP($D346,素材!$1:$1016,COLUMN($F$1),FALSE))),VLOOKUP($C346,装備品!$1:$998,COLUMN($O$1),FALSE)*VLOOKUP($D346,素材!$1:$1016,COLUMN($E$1),FALSE)/(LEN(VLOOKUP($D346,素材!$1:$1016,COLUMN($F$1),FALSE))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F346">
        <f>IF(ISNUMBER(SEARCH(SUBSTITUTE(AF$1,RIGHT(AF$1,2),""),VLOOKUP($D346,素材!$1:$1016,COLUMN($F$1),FALSE))),VLOOKUP($C346,装備品!$1:$998,COLUMN($O$1),FALSE)*VLOOKUP($D346,素材!$1:$1016,COLUMN($E$1),FALSE)/(LEN(VLOOKUP($D346,素材!$1:$1016,COLUMN($F$1),FALSE))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G346">
        <f>IF(ISNUMBER(SEARCH(SUBSTITUTE(AG$1,RIGHT(AG$1,2),""),VLOOKUP($D346,素材!$1:$1016,COLUMN($F$1),FALSE))),VLOOKUP($C346,装備品!$1:$998,COLUMN($O$1),FALSE)*VLOOKUP($D346,素材!$1:$1016,COLUMN($E$1),FALSE)/(LEN(VLOOKUP($D346,素材!$1:$1016,COLUMN($F$1),FALSE))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H346">
        <f>IF(ISNUMBER(SEARCH(SUBSTITUTE(AH$1,RIGHT(AH$1,2),""),VLOOKUP($D346,素材!$1:$1016,COLUMN($F$1),FALSE))),VLOOKUP($C346,装備品!$1:$998,COLUMN($O$1),FALSE)*VLOOKUP($D346,素材!$1:$1016,COLUMN($E$1),FALSE)/(LEN(VLOOKUP($D346,素材!$1:$1016,COLUMN($F$1),FALSE))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I346">
        <f>IF(ISNUMBER(SEARCH(SUBSTITUTE(AI$1,RIGHT(AI$1,2),""),VLOOKUP($D346,素材!$1:$1016,COLUMN($F$1),FALSE))),VLOOKUP($C346,装備品!$1:$998,COLUMN($O$1),FALSE)*VLOOKUP($D346,素材!$1:$1016,COLUMN($E$1),FALSE)/(LEN(VLOOKUP($D346,素材!$1:$1016,COLUMN($F$1),FALSE))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J346">
        <f>IF(ISNUMBER(SEARCH(SUBSTITUTE(AJ$1,RIGHT(AJ$1,2),""),VLOOKUP($D346,素材!$1:$1016,COLUMN($F$1),FALSE))),VLOOKUP($C346,装備品!$1:$998,COLUMN($O$1),FALSE)*VLOOKUP($D346,素材!$1:$1016,COLUMN($E$1),FALSE)/(LEN(VLOOKUP($D346,素材!$1:$1016,COLUMN($F$1),FALSE))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K346">
        <f>IF(ISNUMBER(SEARCH(SUBSTITUTE(AK$1,RIGHT(AK$1,2),""),VLOOKUP($D346,素材!$1:$1016,COLUMN($F$1),FALSE))),VLOOKUP($C346,装備品!$1:$998,COLUMN($O$1),FALSE)*VLOOKUP($D346,素材!$1:$1016,COLUMN($E$1),FALSE)/(LEN(VLOOKUP($D346,素材!$1:$1016,COLUMN($F$1),FALSE))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L346">
        <f>IF(ISNUMBER(SEARCH(SUBSTITUTE(AL$1,RIGHT(AL$1,2),""),VLOOKUP($D346,素材!$1:$1016,COLUMN($F$1),FALSE))),VLOOKUP($C346,装備品!$1:$998,COLUMN($O$1),FALSE)*VLOOKUP($D346,素材!$1:$1016,COLUMN($E$1),FALSE)/(LEN(VLOOKUP($D346,素材!$1:$1016,COLUMN($F$1),FALSE))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M346">
        <f>IF(ISNUMBER(SEARCH(SUBSTITUTE(AM$1,RIGHT(AM$1,2),""),VLOOKUP($D346,素材!$1:$1016,COLUMN($F$1),FALSE))),VLOOKUP($C346,装備品!$1:$998,COLUMN($O$1),FALSE)*VLOOKUP($D346,素材!$1:$1016,COLUMN($E$1),FALSE)/(LEN(VLOOKUP($D346,素材!$1:$1016,COLUMN($F$1),FALSE))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N346">
        <f>IF(ISNUMBER(SEARCH(SUBSTITUTE(AN$1,RIGHT(AN$1,2),""),VLOOKUP($D346,素材!$1:$1016,COLUMN($F$1),FALSE))),VLOOKUP($C346,装備品!$1:$998,COLUMN($O$1),FALSE)*VLOOKUP($D346,素材!$1:$1016,COLUMN($E$1),FALSE)/(LEN(VLOOKUP($D346,素材!$1:$1016,COLUMN($F$1),FALSE))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O346">
        <f>IF(ISNUMBER(SEARCH(SUBSTITUTE(AO$1,RIGHT(AO$1,2),""),VLOOKUP($D346,素材!$1:$1016,COLUMN($F$1),FALSE))),VLOOKUP($C346,装備品!$1:$998,COLUMN($O$1),FALSE)*VLOOKUP($D346,素材!$1:$1016,COLUMN($E$1),FALSE)/(LEN(VLOOKUP($D346,素材!$1:$1016,COLUMN($F$1),FALSE))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P346">
        <f>IF(ISNUMBER(SEARCH(SUBSTITUTE(AP$1,RIGHT(AP$1,2),""),VLOOKUP($D346,素材!$1:$1016,COLUMN($F$1),FALSE))),VLOOKUP($C346,装備品!$1:$998,COLUMN($O$1),FALSE)*VLOOKUP($D346,素材!$1:$1016,COLUMN($E$1),FALSE)/(LEN(VLOOKUP($D346,素材!$1:$1016,COLUMN($F$1),FALSE))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Q346">
        <f>IF(ISNUMBER(SEARCH(SUBSTITUTE(AQ$1,RIGHT(AQ$1,2),""),VLOOKUP($D346,素材!$1:$1016,COLUMN($F$1),FALSE))),VLOOKUP($C346,装備品!$1:$998,COLUMN($O$1),FALSE)*VLOOKUP($D346,素材!$1:$1016,COLUMN($E$1),FALSE)/(LEN(VLOOKUP($D346,素材!$1:$1016,COLUMN($F$1),FALSE))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R346">
        <f>IF(ISNUMBER(SEARCH(SUBSTITUTE(AR$1,RIGHT(AR$1,2),""),VLOOKUP($D346,素材!$1:$1016,COLUMN($F$1),FALSE))),VLOOKUP($C346,装備品!$1:$998,COLUMN($O$1),FALSE)*VLOOKUP($D346,素材!$1:$1016,COLUMN($E$1),FALSE)/(LEN(VLOOKUP($D346,素材!$1:$1016,COLUMN($F$1),FALSE))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S346">
        <f>IF(ISNUMBER(SEARCH(SUBSTITUTE(AS$1,RIGHT(AS$1,2),""),VLOOKUP($D346,素材!$1:$1016,COLUMN($F$1),FALSE))),VLOOKUP($C346,装備品!$1:$998,COLUMN($O$1),FALSE)*VLOOKUP($D346,素材!$1:$1016,COLUMN($E$1),FALSE)/(LEN(VLOOKUP($D346,素材!$1:$1016,COLUMN($F$1),FALSE))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T346">
        <f>IF(ISNUMBER(SEARCH(SUBSTITUTE(AT$1,RIGHT(AT$1,2),""),VLOOKUP($D346,素材!$1:$1016,COLUMN($F$1),FALSE))),VLOOKUP($C346,装備品!$1:$998,COLUMN($O$1),FALSE)*VLOOKUP($D346,素材!$1:$1016,COLUMN($E$1),FALSE)/(LEN(VLOOKUP($D346,素材!$1:$1016,COLUMN($F$1),FALSE))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U346">
        <f>IF(ISNUMBER(SEARCH(SUBSTITUTE(AU$1,RIGHT(AU$1,2),""),VLOOKUP($D346,素材!$1:$1016,COLUMN($F$1),FALSE))),VLOOKUP($C346,装備品!$1:$998,COLUMN($O$1),FALSE)*VLOOKUP($D346,素材!$1:$1016,COLUMN($E$1),FALSE)/(LEN(VLOOKUP($D346,素材!$1:$1016,COLUMN($F$1),FALSE))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V346">
        <f>IF(ISNUMBER(SEARCH(SUBSTITUTE(AV$1,RIGHT(AV$1,2),""),VLOOKUP($D346,素材!$1:$1016,COLUMN($F$1),FALSE))),VLOOKUP($C346,装備品!$1:$998,COLUMN($O$1),FALSE)*VLOOKUP($D346,素材!$1:$1016,COLUMN($E$1),FALSE)/(LEN(VLOOKUP($D346,素材!$1:$1016,COLUMN($F$1),FALSE))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W346">
        <f>IF(ISNUMBER(SEARCH(SUBSTITUTE(AW$1,RIGHT(AW$1,2),""),VLOOKUP($D346,素材!$1:$1016,COLUMN($F$1),FALSE))),VLOOKUP($C346,装備品!$1:$998,COLUMN($O$1),FALSE)*VLOOKUP($D346,素材!$1:$1016,COLUMN($E$1),FALSE)/(LEN(VLOOKUP($D346,素材!$1:$1016,COLUMN($F$1),FALSE))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X346">
        <f>IF(ISNUMBER(SEARCH(SUBSTITUTE(AX$1,RIGHT(AX$1,2),""),VLOOKUP($D346,素材!$1:$1016,COLUMN($F$1),FALSE))),VLOOKUP($C346,装備品!$1:$998,COLUMN($O$1),FALSE)*VLOOKUP($D346,素材!$1:$1016,COLUMN($E$1),FALSE)/(LEN(VLOOKUP($D346,素材!$1:$1016,COLUMN($F$1),FALSE))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Y346">
        <f>IF(ISNUMBER(SEARCH(SUBSTITUTE(AY$1,RIGHT(AY$1,2),""),VLOOKUP($D346,素材!$1:$1016,COLUMN($F$1),FALSE))),VLOOKUP($C346,装備品!$1:$998,COLUMN($O$1),FALSE)*VLOOKUP($D346,素材!$1:$1016,COLUMN($E$1),FALSE)/(LEN(VLOOKUP($D346,素材!$1:$1016,COLUMN($F$1),FALSE))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Z346">
        <f>IF(ISNUMBER(SEARCH(SUBSTITUTE(AZ$1,RIGHT(AZ$1,2),""),VLOOKUP($D346,素材!$1:$1016,COLUMN($F$1),FALSE))),VLOOKUP($C346,装備品!$1:$998,COLUMN($O$1),FALSE)*VLOOKUP($D346,素材!$1:$1016,COLUMN($E$1),FALSE)/(LEN(VLOOKUP($D346,素材!$1:$1016,COLUMN($F$1),FALSE))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BA346">
        <f>IF(ISNUMBER(SEARCH(SUBSTITUTE(BA$1,RIGHT(BA$1,2),""),VLOOKUP($D346,素材!$1:$1016,COLUMN($F$1),FALSE))),VLOOKUP($C346,装備品!$1:$998,COLUMN($O$1),FALSE)*VLOOKUP($D346,素材!$1:$1016,COLUMN($E$1),FALSE)/(LEN(VLOOKUP($D346,素材!$1:$1016,COLUMN($F$1),FALSE))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BB346">
        <f>IF(ISNUMBER(SEARCH(SUBSTITUTE(BB$1,RIGHT(BB$1,2),""),VLOOKUP($D346,素材!$1:$1016,COLUMN($F$1),FALSE))),VLOOKUP($C346,装備品!$1:$998,COLUMN($O$1),FALSE)*VLOOKUP($D346,素材!$1:$1016,COLUMN($E$1),FALSE)/(LEN(VLOOKUP($D346,素材!$1:$1016,COLUMN($F$1),FALSE))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BC346">
        <f>IF(ISNUMBER(SEARCH(SUBSTITUTE(BC$1,RIGHT(BC$1,2),""),VLOOKUP($D346,素材!$1:$1016,COLUMN($F$1),FALSE))),VLOOKUP($C346,装備品!$1:$998,COLUMN($O$1),FALSE)*VLOOKUP($D346,素材!$1:$1016,COLUMN($E$1),FALSE)/(LEN(VLOOKUP($D346,素材!$1:$1016,COLUMN($F$1),FALSE))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BD346">
        <f>IF(ISNUMBER(SEARCH(SUBSTITUTE(BD$1,RIGHT(BD$1,2),""),VLOOKUP($D346,素材!$1:$1016,COLUMN($F$1),FALSE))),VLOOKUP($C346,装備品!$1:$998,COLUMN($O$1),FALSE)*VLOOKUP($D346,素材!$1:$1016,COLUMN($E$1),FALSE)/(LEN(VLOOKUP($D346,素材!$1:$1016,COLUMN($F$1),FALSE))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BE346">
        <f>IF(ISNUMBER(SEARCH(SUBSTITUTE(BE$1,RIGHT(BE$1,2),""),VLOOKUP($D346,素材!$1:$1016,COLUMN($F$1),FALSE))),VLOOKUP($C346,装備品!$1:$998,COLUMN($O$1),FALSE)*VLOOKUP($D346,素材!$1:$1016,COLUMN($E$1),FALSE)/(LEN(VLOOKUP($D346,素材!$1:$1016,COLUMN($F$1),FALSE))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CL346">
        <f t="shared" si="47"/>
        <v>0</v>
      </c>
      <c r="CM346" s="22" t="str">
        <f t="shared" si="48"/>
        <v>.webp</v>
      </c>
      <c r="CN346" t="str">
        <f>IFERROR(VLOOKUP($C346,装備品!$1:$998,COLUMN(V$1),FALSE)*VLOOKUP($D346,素材!$1:$1016,COLUMN(N$1),FALSE)+IF(CI346="",0,VLOOKUP($CI346,付与!$1:$1176,COLUMN($CK$1),FALSE)),"")</f>
        <v/>
      </c>
      <c r="CO346" t="e">
        <f>VLOOKUP(D346,素材!$A:$O,COLUMN(素材!O$1),FALSE)</f>
        <v>#N/A</v>
      </c>
      <c r="CP346" t="e">
        <f>VLOOKUP(C346,装備品!$A:$AB,COLUMN(装備品!AB$1),FALSE)</f>
        <v>#N/A</v>
      </c>
      <c r="CR346" t="str">
        <f t="shared" si="49"/>
        <v>e_346</v>
      </c>
      <c r="CS346" t="e">
        <f t="shared" si="50"/>
        <v>#VALUE!</v>
      </c>
    </row>
    <row r="347" spans="1:97" hidden="1" outlineLevel="1" x14ac:dyDescent="0.4">
      <c r="A347" t="str">
        <f t="shared" si="51"/>
        <v>の</v>
      </c>
      <c r="B347" t="str">
        <f>IFERROR(IF(CI347="",VLOOKUP($D347,素材!$1:$1016,COLUMN($B$1),FALSE)&amp;"・"&amp;VLOOKUP($C347,装備品!$1:$998,COLUMN(B$1),FALSE),VLOOKUP($CI347,付与!$1:$1176,COLUMN($B$1),FALSE)&amp;"・"&amp;VLOOKUP($C347,装備品!$1:$998,COLUMN(B$1),FALSE)),"")</f>
        <v/>
      </c>
      <c r="C347" s="24"/>
      <c r="D347" s="24"/>
      <c r="E347" t="str">
        <f>IFERROR(VLOOKUP(C347,装備品!$1:$998,COLUMN(C$1),FALSE),"")</f>
        <v/>
      </c>
      <c r="F347" t="str">
        <f>IFERROR(ROUNDDOWN((VLOOKUP($C347,装備品!$1:$998,COLUMN(D$1),FALSE)+IFERROR(VLOOKUP($CI347,付与!$1:$1167,COLUMN(F$1),FALSE),0))*VLOOKUP($D347,素材!$1:$1016,COLUMN(D$1),FALSE),0),"")</f>
        <v/>
      </c>
      <c r="G347" t="str">
        <f>IFERROR(ROUNDDOWN((VLOOKUP($C347,装備品!$1:$998,COLUMN(E$1),FALSE)+IFERROR(VLOOKUP($CI347,付与!$1:$1167,COLUMN(G$1),FALSE),0))*VLOOKUP($D347,素材!$1:$1016,COLUMN($E$1),FALSE),0),"")</f>
        <v/>
      </c>
      <c r="H347" t="str">
        <f>IFERROR(ROUNDDOWN((VLOOKUP($C347,装備品!$1:$998,COLUMN(F$1),FALSE)+IFERROR(VLOOKUP($CI347,付与!$1:$1167,COLUMN(H$1),FALSE),0))*VLOOKUP($D347,素材!$1:$1016,COLUMN($E$1),FALSE),0),"")</f>
        <v/>
      </c>
      <c r="I347" t="str">
        <f>IFERROR(ROUNDDOWN((VLOOKUP($C347,装備品!$1:$998,COLUMN(G$1),FALSE)+IFERROR(VLOOKUP($CI347,付与!$1:$1167,COLUMN(I$1),FALSE),0))*VLOOKUP($D347,素材!$1:$1016,COLUMN($E$1),FALSE),0),"")</f>
        <v/>
      </c>
      <c r="J347" t="str">
        <f>IFERROR(ROUNDDOWN((VLOOKUP($C347,装備品!$1:$998,COLUMN(H$1),FALSE)+IFERROR(VLOOKUP($CI347,付与!$1:$1167,COLUMN(J$1),FALSE),0))*VLOOKUP($D347,素材!$1:$1016,COLUMN($E$1),FALSE),0),"")</f>
        <v/>
      </c>
      <c r="K347" t="str">
        <f>IFERROR(ROUNDDOWN((VLOOKUP($C347,装備品!$1:$998,COLUMN(I$1),FALSE)+IFERROR(VLOOKUP($CI347,付与!$1:$1167,COLUMN(K$1),FALSE),0))*VLOOKUP($D347,素材!$1:$1016,COLUMN($E$1),FALSE),0),"")</f>
        <v/>
      </c>
      <c r="L347" t="str">
        <f>IFERROR(VLOOKUP($D347,素材!$1:$1016,COLUMN($F$1),FALSE),"")</f>
        <v/>
      </c>
      <c r="M347" t="str">
        <f>IFERROR(VLOOKUP($C347,装備品!$1:$998,COLUMN(AA$1),FALSE)*VLOOKUP($D347,素材!$1:$1016,COLUMN($G$1),FALSE),"")</f>
        <v/>
      </c>
      <c r="N347" t="str">
        <f>IFERROR(VLOOKUP($C347,装備品!$1:$998,COLUMN(I$1),FALSE),"")</f>
        <v/>
      </c>
      <c r="O347" s="23" t="str">
        <f>IFERROR((VLOOKUP($C347,装備品!$1:$998,COLUMN(K$1),FALSE)+VLOOKUP($D347,素材!$1:$1016,COLUMN(H$1),FALSE))*100+IFERROR(VLOOKUP($CI347,付与!$1:$1167,COLUMN(O$1),FALSE),0),"")</f>
        <v/>
      </c>
      <c r="P347" s="23" t="str">
        <f>IFERROR((VLOOKUP($C347,装備品!$1:$998,COLUMN(L$1),FALSE)+VLOOKUP($D347,素材!$1:$1016,COLUMN(I$1),FALSE))*100+IFERROR(VLOOKUP($CI347,付与!$1:$1167,COLUMN(P$1),FALSE),0),"")</f>
        <v/>
      </c>
      <c r="Q347" t="str">
        <f>IFERROR(ROUNDUP(VLOOKUP($C347,装備品!$1:$998,COLUMN(M$1),FALSE)*(VLOOKUP($D347,素材!$1:$1002,COLUMN(D$1),FALSE)/100),1),"")</f>
        <v/>
      </c>
      <c r="R347" t="str">
        <f>IFERROR(ROUNDUP(VLOOKUP($C347,装備品!$1:$998,COLUMN(N$1),FALSE)*(VLOOKUP($D347,素材!$1:$1002,COLUMN(D$1),FALSE)/100),1),"")</f>
        <v/>
      </c>
      <c r="S347" t="str">
        <f>IFERROR(VLOOKUP($C347,装備品!$1:$998,COLUMN(P$1),FALSE),"")</f>
        <v/>
      </c>
      <c r="T347" t="str">
        <f>IFERROR(VLOOKUP($C347,装備品!$1:$998,COLUMN(Q$1),FALSE),"")</f>
        <v/>
      </c>
      <c r="U347" t="str">
        <f>IFERROR(VLOOKUP($C347,装備品!$1:$998,COLUMN(R$1),FALSE),"")</f>
        <v/>
      </c>
      <c r="V347" t="str">
        <f>IFERROR(VLOOKUP($C347,装備品!$1:$998,COLUMN(Q$1),FALSE),"")</f>
        <v/>
      </c>
      <c r="W347" t="str">
        <f>IFERROR(VLOOKUP($C347,装備品!$1:$998,COLUMN(T$1),FALSE),"")</f>
        <v/>
      </c>
      <c r="Y347" t="str">
        <f>IFERROR(VLOOKUP($C347,装備品!$1:$998,COLUMN(U$1),FALSE),"")</f>
        <v/>
      </c>
      <c r="Z347" t="str">
        <f>IFERROR(ROUNDUP(VLOOKUP($C347,装備品!$1:$998,COLUMN(O$1),FALSE)*VLOOKUP($D347,素材!$1:$1016,COLUMN(E$1),FALSE),1),"")</f>
        <v/>
      </c>
      <c r="AA347">
        <f>IF(ISNUMBER(SEARCH(SUBSTITUTE(AA$1,RIGHT(AA$1,2),""),VLOOKUP($D347,素材!$1:$1016,COLUMN($F$1),FALSE))),VLOOKUP($C347,装備品!$1:$998,COLUMN($O$1),FALSE)*VLOOKUP($D347,素材!$1:$1016,COLUMN($E$1),FALSE)/(LEN(VLOOKUP($D347,素材!$1:$1016,COLUMN($F$1),FALSE))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B347">
        <f>IF(ISNUMBER(SEARCH(SUBSTITUTE(AB$1,RIGHT(AB$1,2),""),VLOOKUP($D347,素材!$1:$1016,COLUMN($F$1),FALSE))),VLOOKUP($C347,装備品!$1:$998,COLUMN($O$1),FALSE)*VLOOKUP($D347,素材!$1:$1016,COLUMN($E$1),FALSE)/(LEN(VLOOKUP($D347,素材!$1:$1016,COLUMN($F$1),FALSE))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C347">
        <f>IF(ISNUMBER(SEARCH(SUBSTITUTE(AC$1,RIGHT(AC$1,2),""),VLOOKUP($D347,素材!$1:$1016,COLUMN($F$1),FALSE))),VLOOKUP($C347,装備品!$1:$998,COLUMN($O$1),FALSE)*VLOOKUP($D347,素材!$1:$1016,COLUMN($E$1),FALSE)/(LEN(VLOOKUP($D347,素材!$1:$1016,COLUMN($F$1),FALSE))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D347">
        <f>IF(ISNUMBER(SEARCH(SUBSTITUTE(AD$1,RIGHT(AD$1,2),""),VLOOKUP($D347,素材!$1:$1016,COLUMN($F$1),FALSE))),VLOOKUP($C347,装備品!$1:$998,COLUMN($O$1),FALSE)*VLOOKUP($D347,素材!$1:$1016,COLUMN($E$1),FALSE)/(LEN(VLOOKUP($D347,素材!$1:$1016,COLUMN($F$1),FALSE))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E347">
        <f>IF(ISNUMBER(SEARCH(SUBSTITUTE(AE$1,RIGHT(AE$1,2),""),VLOOKUP($D347,素材!$1:$1016,COLUMN($F$1),FALSE))),VLOOKUP($C347,装備品!$1:$998,COLUMN($O$1),FALSE)*VLOOKUP($D347,素材!$1:$1016,COLUMN($E$1),FALSE)/(LEN(VLOOKUP($D347,素材!$1:$1016,COLUMN($F$1),FALSE))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F347">
        <f>IF(ISNUMBER(SEARCH(SUBSTITUTE(AF$1,RIGHT(AF$1,2),""),VLOOKUP($D347,素材!$1:$1016,COLUMN($F$1),FALSE))),VLOOKUP($C347,装備品!$1:$998,COLUMN($O$1),FALSE)*VLOOKUP($D347,素材!$1:$1016,COLUMN($E$1),FALSE)/(LEN(VLOOKUP($D347,素材!$1:$1016,COLUMN($F$1),FALSE))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G347">
        <f>IF(ISNUMBER(SEARCH(SUBSTITUTE(AG$1,RIGHT(AG$1,2),""),VLOOKUP($D347,素材!$1:$1016,COLUMN($F$1),FALSE))),VLOOKUP($C347,装備品!$1:$998,COLUMN($O$1),FALSE)*VLOOKUP($D347,素材!$1:$1016,COLUMN($E$1),FALSE)/(LEN(VLOOKUP($D347,素材!$1:$1016,COLUMN($F$1),FALSE))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H347">
        <f>IF(ISNUMBER(SEARCH(SUBSTITUTE(AH$1,RIGHT(AH$1,2),""),VLOOKUP($D347,素材!$1:$1016,COLUMN($F$1),FALSE))),VLOOKUP($C347,装備品!$1:$998,COLUMN($O$1),FALSE)*VLOOKUP($D347,素材!$1:$1016,COLUMN($E$1),FALSE)/(LEN(VLOOKUP($D347,素材!$1:$1016,COLUMN($F$1),FALSE))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I347">
        <f>IF(ISNUMBER(SEARCH(SUBSTITUTE(AI$1,RIGHT(AI$1,2),""),VLOOKUP($D347,素材!$1:$1016,COLUMN($F$1),FALSE))),VLOOKUP($C347,装備品!$1:$998,COLUMN($O$1),FALSE)*VLOOKUP($D347,素材!$1:$1016,COLUMN($E$1),FALSE)/(LEN(VLOOKUP($D347,素材!$1:$1016,COLUMN($F$1),FALSE))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J347">
        <f>IF(ISNUMBER(SEARCH(SUBSTITUTE(AJ$1,RIGHT(AJ$1,2),""),VLOOKUP($D347,素材!$1:$1016,COLUMN($F$1),FALSE))),VLOOKUP($C347,装備品!$1:$998,COLUMN($O$1),FALSE)*VLOOKUP($D347,素材!$1:$1016,COLUMN($E$1),FALSE)/(LEN(VLOOKUP($D347,素材!$1:$1016,COLUMN($F$1),FALSE))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K347">
        <f>IF(ISNUMBER(SEARCH(SUBSTITUTE(AK$1,RIGHT(AK$1,2),""),VLOOKUP($D347,素材!$1:$1016,COLUMN($F$1),FALSE))),VLOOKUP($C347,装備品!$1:$998,COLUMN($O$1),FALSE)*VLOOKUP($D347,素材!$1:$1016,COLUMN($E$1),FALSE)/(LEN(VLOOKUP($D347,素材!$1:$1016,COLUMN($F$1),FALSE))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L347">
        <f>IF(ISNUMBER(SEARCH(SUBSTITUTE(AL$1,RIGHT(AL$1,2),""),VLOOKUP($D347,素材!$1:$1016,COLUMN($F$1),FALSE))),VLOOKUP($C347,装備品!$1:$998,COLUMN($O$1),FALSE)*VLOOKUP($D347,素材!$1:$1016,COLUMN($E$1),FALSE)/(LEN(VLOOKUP($D347,素材!$1:$1016,COLUMN($F$1),FALSE))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M347">
        <f>IF(ISNUMBER(SEARCH(SUBSTITUTE(AM$1,RIGHT(AM$1,2),""),VLOOKUP($D347,素材!$1:$1016,COLUMN($F$1),FALSE))),VLOOKUP($C347,装備品!$1:$998,COLUMN($O$1),FALSE)*VLOOKUP($D347,素材!$1:$1016,COLUMN($E$1),FALSE)/(LEN(VLOOKUP($D347,素材!$1:$1016,COLUMN($F$1),FALSE))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N347">
        <f>IF(ISNUMBER(SEARCH(SUBSTITUTE(AN$1,RIGHT(AN$1,2),""),VLOOKUP($D347,素材!$1:$1016,COLUMN($F$1),FALSE))),VLOOKUP($C347,装備品!$1:$998,COLUMN($O$1),FALSE)*VLOOKUP($D347,素材!$1:$1016,COLUMN($E$1),FALSE)/(LEN(VLOOKUP($D347,素材!$1:$1016,COLUMN($F$1),FALSE))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O347">
        <f>IF(ISNUMBER(SEARCH(SUBSTITUTE(AO$1,RIGHT(AO$1,2),""),VLOOKUP($D347,素材!$1:$1016,COLUMN($F$1),FALSE))),VLOOKUP($C347,装備品!$1:$998,COLUMN($O$1),FALSE)*VLOOKUP($D347,素材!$1:$1016,COLUMN($E$1),FALSE)/(LEN(VLOOKUP($D347,素材!$1:$1016,COLUMN($F$1),FALSE))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P347">
        <f>IF(ISNUMBER(SEARCH(SUBSTITUTE(AP$1,RIGHT(AP$1,2),""),VLOOKUP($D347,素材!$1:$1016,COLUMN($F$1),FALSE))),VLOOKUP($C347,装備品!$1:$998,COLUMN($O$1),FALSE)*VLOOKUP($D347,素材!$1:$1016,COLUMN($E$1),FALSE)/(LEN(VLOOKUP($D347,素材!$1:$1016,COLUMN($F$1),FALSE))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Q347">
        <f>IF(ISNUMBER(SEARCH(SUBSTITUTE(AQ$1,RIGHT(AQ$1,2),""),VLOOKUP($D347,素材!$1:$1016,COLUMN($F$1),FALSE))),VLOOKUP($C347,装備品!$1:$998,COLUMN($O$1),FALSE)*VLOOKUP($D347,素材!$1:$1016,COLUMN($E$1),FALSE)/(LEN(VLOOKUP($D347,素材!$1:$1016,COLUMN($F$1),FALSE))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R347">
        <f>IF(ISNUMBER(SEARCH(SUBSTITUTE(AR$1,RIGHT(AR$1,2),""),VLOOKUP($D347,素材!$1:$1016,COLUMN($F$1),FALSE))),VLOOKUP($C347,装備品!$1:$998,COLUMN($O$1),FALSE)*VLOOKUP($D347,素材!$1:$1016,COLUMN($E$1),FALSE)/(LEN(VLOOKUP($D347,素材!$1:$1016,COLUMN($F$1),FALSE))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S347">
        <f>IF(ISNUMBER(SEARCH(SUBSTITUTE(AS$1,RIGHT(AS$1,2),""),VLOOKUP($D347,素材!$1:$1016,COLUMN($F$1),FALSE))),VLOOKUP($C347,装備品!$1:$998,COLUMN($O$1),FALSE)*VLOOKUP($D347,素材!$1:$1016,COLUMN($E$1),FALSE)/(LEN(VLOOKUP($D347,素材!$1:$1016,COLUMN($F$1),FALSE))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T347">
        <f>IF(ISNUMBER(SEARCH(SUBSTITUTE(AT$1,RIGHT(AT$1,2),""),VLOOKUP($D347,素材!$1:$1016,COLUMN($F$1),FALSE))),VLOOKUP($C347,装備品!$1:$998,COLUMN($O$1),FALSE)*VLOOKUP($D347,素材!$1:$1016,COLUMN($E$1),FALSE)/(LEN(VLOOKUP($D347,素材!$1:$1016,COLUMN($F$1),FALSE))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U347">
        <f>IF(ISNUMBER(SEARCH(SUBSTITUTE(AU$1,RIGHT(AU$1,2),""),VLOOKUP($D347,素材!$1:$1016,COLUMN($F$1),FALSE))),VLOOKUP($C347,装備品!$1:$998,COLUMN($O$1),FALSE)*VLOOKUP($D347,素材!$1:$1016,COLUMN($E$1),FALSE)/(LEN(VLOOKUP($D347,素材!$1:$1016,COLUMN($F$1),FALSE))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V347">
        <f>IF(ISNUMBER(SEARCH(SUBSTITUTE(AV$1,RIGHT(AV$1,2),""),VLOOKUP($D347,素材!$1:$1016,COLUMN($F$1),FALSE))),VLOOKUP($C347,装備品!$1:$998,COLUMN($O$1),FALSE)*VLOOKUP($D347,素材!$1:$1016,COLUMN($E$1),FALSE)/(LEN(VLOOKUP($D347,素材!$1:$1016,COLUMN($F$1),FALSE))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W347">
        <f>IF(ISNUMBER(SEARCH(SUBSTITUTE(AW$1,RIGHT(AW$1,2),""),VLOOKUP($D347,素材!$1:$1016,COLUMN($F$1),FALSE))),VLOOKUP($C347,装備品!$1:$998,COLUMN($O$1),FALSE)*VLOOKUP($D347,素材!$1:$1016,COLUMN($E$1),FALSE)/(LEN(VLOOKUP($D347,素材!$1:$1016,COLUMN($F$1),FALSE))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X347">
        <f>IF(ISNUMBER(SEARCH(SUBSTITUTE(AX$1,RIGHT(AX$1,2),""),VLOOKUP($D347,素材!$1:$1016,COLUMN($F$1),FALSE))),VLOOKUP($C347,装備品!$1:$998,COLUMN($O$1),FALSE)*VLOOKUP($D347,素材!$1:$1016,COLUMN($E$1),FALSE)/(LEN(VLOOKUP($D347,素材!$1:$1016,COLUMN($F$1),FALSE))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Y347">
        <f>IF(ISNUMBER(SEARCH(SUBSTITUTE(AY$1,RIGHT(AY$1,2),""),VLOOKUP($D347,素材!$1:$1016,COLUMN($F$1),FALSE))),VLOOKUP($C347,装備品!$1:$998,COLUMN($O$1),FALSE)*VLOOKUP($D347,素材!$1:$1016,COLUMN($E$1),FALSE)/(LEN(VLOOKUP($D347,素材!$1:$1016,COLUMN($F$1),FALSE))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Z347">
        <f>IF(ISNUMBER(SEARCH(SUBSTITUTE(AZ$1,RIGHT(AZ$1,2),""),VLOOKUP($D347,素材!$1:$1016,COLUMN($F$1),FALSE))),VLOOKUP($C347,装備品!$1:$998,COLUMN($O$1),FALSE)*VLOOKUP($D347,素材!$1:$1016,COLUMN($E$1),FALSE)/(LEN(VLOOKUP($D347,素材!$1:$1016,COLUMN($F$1),FALSE))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BA347">
        <f>IF(ISNUMBER(SEARCH(SUBSTITUTE(BA$1,RIGHT(BA$1,2),""),VLOOKUP($D347,素材!$1:$1016,COLUMN($F$1),FALSE))),VLOOKUP($C347,装備品!$1:$998,COLUMN($O$1),FALSE)*VLOOKUP($D347,素材!$1:$1016,COLUMN($E$1),FALSE)/(LEN(VLOOKUP($D347,素材!$1:$1016,COLUMN($F$1),FALSE))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BB347">
        <f>IF(ISNUMBER(SEARCH(SUBSTITUTE(BB$1,RIGHT(BB$1,2),""),VLOOKUP($D347,素材!$1:$1016,COLUMN($F$1),FALSE))),VLOOKUP($C347,装備品!$1:$998,COLUMN($O$1),FALSE)*VLOOKUP($D347,素材!$1:$1016,COLUMN($E$1),FALSE)/(LEN(VLOOKUP($D347,素材!$1:$1016,COLUMN($F$1),FALSE))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BC347">
        <f>IF(ISNUMBER(SEARCH(SUBSTITUTE(BC$1,RIGHT(BC$1,2),""),VLOOKUP($D347,素材!$1:$1016,COLUMN($F$1),FALSE))),VLOOKUP($C347,装備品!$1:$998,COLUMN($O$1),FALSE)*VLOOKUP($D347,素材!$1:$1016,COLUMN($E$1),FALSE)/(LEN(VLOOKUP($D347,素材!$1:$1016,COLUMN($F$1),FALSE))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BD347">
        <f>IF(ISNUMBER(SEARCH(SUBSTITUTE(BD$1,RIGHT(BD$1,2),""),VLOOKUP($D347,素材!$1:$1016,COLUMN($F$1),FALSE))),VLOOKUP($C347,装備品!$1:$998,COLUMN($O$1),FALSE)*VLOOKUP($D347,素材!$1:$1016,COLUMN($E$1),FALSE)/(LEN(VLOOKUP($D347,素材!$1:$1016,COLUMN($F$1),FALSE))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BE347">
        <f>IF(ISNUMBER(SEARCH(SUBSTITUTE(BE$1,RIGHT(BE$1,2),""),VLOOKUP($D347,素材!$1:$1016,COLUMN($F$1),FALSE))),VLOOKUP($C347,装備品!$1:$998,COLUMN($O$1),FALSE)*VLOOKUP($D347,素材!$1:$1016,COLUMN($E$1),FALSE)/(LEN(VLOOKUP($D347,素材!$1:$1016,COLUMN($F$1),FALSE))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CL347">
        <f t="shared" si="47"/>
        <v>0</v>
      </c>
      <c r="CM347" s="22" t="str">
        <f t="shared" si="48"/>
        <v>.webp</v>
      </c>
      <c r="CN347" t="str">
        <f>IFERROR(VLOOKUP($C347,装備品!$1:$998,COLUMN(V$1),FALSE)*VLOOKUP($D347,素材!$1:$1016,COLUMN(N$1),FALSE)+IF(CI347="",0,VLOOKUP($CI347,付与!$1:$1176,COLUMN($CK$1),FALSE)),"")</f>
        <v/>
      </c>
      <c r="CO347" t="e">
        <f>VLOOKUP(D347,素材!$A:$O,COLUMN(素材!O$1),FALSE)</f>
        <v>#N/A</v>
      </c>
      <c r="CP347" t="e">
        <f>VLOOKUP(C347,装備品!$A:$AB,COLUMN(装備品!AB$1),FALSE)</f>
        <v>#N/A</v>
      </c>
      <c r="CR347" t="str">
        <f t="shared" si="49"/>
        <v>e_347</v>
      </c>
      <c r="CS347" t="e">
        <f t="shared" si="50"/>
        <v>#VALUE!</v>
      </c>
    </row>
    <row r="348" spans="1:97" hidden="1" outlineLevel="1" x14ac:dyDescent="0.4">
      <c r="A348" t="str">
        <f t="shared" si="51"/>
        <v>の</v>
      </c>
      <c r="B348" t="str">
        <f>IFERROR(IF(CI348="",VLOOKUP($D348,素材!$1:$1016,COLUMN($B$1),FALSE)&amp;"・"&amp;VLOOKUP($C348,装備品!$1:$998,COLUMN(B$1),FALSE),VLOOKUP($CI348,付与!$1:$1176,COLUMN($B$1),FALSE)&amp;"・"&amp;VLOOKUP($C348,装備品!$1:$998,COLUMN(B$1),FALSE)),"")</f>
        <v/>
      </c>
      <c r="C348" s="24"/>
      <c r="D348" s="24"/>
      <c r="E348" t="str">
        <f>IFERROR(VLOOKUP(C348,装備品!$1:$998,COLUMN(C$1),FALSE),"")</f>
        <v/>
      </c>
      <c r="F348" t="str">
        <f>IFERROR(ROUNDDOWN((VLOOKUP($C348,装備品!$1:$998,COLUMN(D$1),FALSE)+IFERROR(VLOOKUP($CI348,付与!$1:$1167,COLUMN(F$1),FALSE),0))*VLOOKUP($D348,素材!$1:$1016,COLUMN(D$1),FALSE),0),"")</f>
        <v/>
      </c>
      <c r="G348" t="str">
        <f>IFERROR(ROUNDDOWN((VLOOKUP($C348,装備品!$1:$998,COLUMN(E$1),FALSE)+IFERROR(VLOOKUP($CI348,付与!$1:$1167,COLUMN(G$1),FALSE),0))*VLOOKUP($D348,素材!$1:$1016,COLUMN($E$1),FALSE),0),"")</f>
        <v/>
      </c>
      <c r="H348" t="str">
        <f>IFERROR(ROUNDDOWN((VLOOKUP($C348,装備品!$1:$998,COLUMN(F$1),FALSE)+IFERROR(VLOOKUP($CI348,付与!$1:$1167,COLUMN(H$1),FALSE),0))*VLOOKUP($D348,素材!$1:$1016,COLUMN($E$1),FALSE),0),"")</f>
        <v/>
      </c>
      <c r="I348" t="str">
        <f>IFERROR(ROUNDDOWN((VLOOKUP($C348,装備品!$1:$998,COLUMN(G$1),FALSE)+IFERROR(VLOOKUP($CI348,付与!$1:$1167,COLUMN(I$1),FALSE),0))*VLOOKUP($D348,素材!$1:$1016,COLUMN($E$1),FALSE),0),"")</f>
        <v/>
      </c>
      <c r="J348" t="str">
        <f>IFERROR(ROUNDDOWN((VLOOKUP($C348,装備品!$1:$998,COLUMN(H$1),FALSE)+IFERROR(VLOOKUP($CI348,付与!$1:$1167,COLUMN(J$1),FALSE),0))*VLOOKUP($D348,素材!$1:$1016,COLUMN($E$1),FALSE),0),"")</f>
        <v/>
      </c>
      <c r="K348" t="str">
        <f>IFERROR(ROUNDDOWN((VLOOKUP($C348,装備品!$1:$998,COLUMN(I$1),FALSE)+IFERROR(VLOOKUP($CI348,付与!$1:$1167,COLUMN(K$1),FALSE),0))*VLOOKUP($D348,素材!$1:$1016,COLUMN($E$1),FALSE),0),"")</f>
        <v/>
      </c>
      <c r="L348" t="str">
        <f>IFERROR(VLOOKUP($D348,素材!$1:$1016,COLUMN($F$1),FALSE),"")</f>
        <v/>
      </c>
      <c r="M348" t="str">
        <f>IFERROR(VLOOKUP($C348,装備品!$1:$998,COLUMN(AA$1),FALSE)*VLOOKUP($D348,素材!$1:$1016,COLUMN($G$1),FALSE),"")</f>
        <v/>
      </c>
      <c r="N348" t="str">
        <f>IFERROR(VLOOKUP($C348,装備品!$1:$998,COLUMN(I$1),FALSE),"")</f>
        <v/>
      </c>
      <c r="O348" s="23" t="str">
        <f>IFERROR((VLOOKUP($C348,装備品!$1:$998,COLUMN(K$1),FALSE)+VLOOKUP($D348,素材!$1:$1016,COLUMN(H$1),FALSE))*100+IFERROR(VLOOKUP($CI348,付与!$1:$1167,COLUMN(O$1),FALSE),0),"")</f>
        <v/>
      </c>
      <c r="P348" s="23" t="str">
        <f>IFERROR((VLOOKUP($C348,装備品!$1:$998,COLUMN(L$1),FALSE)+VLOOKUP($D348,素材!$1:$1016,COLUMN(I$1),FALSE))*100+IFERROR(VLOOKUP($CI348,付与!$1:$1167,COLUMN(P$1),FALSE),0),"")</f>
        <v/>
      </c>
      <c r="Q348" t="str">
        <f>IFERROR(ROUNDUP(VLOOKUP($C348,装備品!$1:$998,COLUMN(M$1),FALSE)*(VLOOKUP($D348,素材!$1:$1002,COLUMN(D$1),FALSE)/100),1),"")</f>
        <v/>
      </c>
      <c r="R348" t="str">
        <f>IFERROR(ROUNDUP(VLOOKUP($C348,装備品!$1:$998,COLUMN(N$1),FALSE)*(VLOOKUP($D348,素材!$1:$1002,COLUMN(D$1),FALSE)/100),1),"")</f>
        <v/>
      </c>
      <c r="S348" t="str">
        <f>IFERROR(VLOOKUP($C348,装備品!$1:$998,COLUMN(P$1),FALSE),"")</f>
        <v/>
      </c>
      <c r="T348" t="str">
        <f>IFERROR(VLOOKUP($C348,装備品!$1:$998,COLUMN(Q$1),FALSE),"")</f>
        <v/>
      </c>
      <c r="U348" t="str">
        <f>IFERROR(VLOOKUP($C348,装備品!$1:$998,COLUMN(R$1),FALSE),"")</f>
        <v/>
      </c>
      <c r="V348" t="str">
        <f>IFERROR(VLOOKUP($C348,装備品!$1:$998,COLUMN(Q$1),FALSE),"")</f>
        <v/>
      </c>
      <c r="W348" t="str">
        <f>IFERROR(VLOOKUP($C348,装備品!$1:$998,COLUMN(T$1),FALSE),"")</f>
        <v/>
      </c>
      <c r="Y348" t="str">
        <f>IFERROR(VLOOKUP($C348,装備品!$1:$998,COLUMN(U$1),FALSE),"")</f>
        <v/>
      </c>
      <c r="Z348" t="str">
        <f>IFERROR(ROUNDUP(VLOOKUP($C348,装備品!$1:$998,COLUMN(O$1),FALSE)*VLOOKUP($D348,素材!$1:$1016,COLUMN(E$1),FALSE),1),"")</f>
        <v/>
      </c>
      <c r="AA348">
        <f>IF(ISNUMBER(SEARCH(SUBSTITUTE(AA$1,RIGHT(AA$1,2),""),VLOOKUP($D348,素材!$1:$1016,COLUMN($F$1),FALSE))),VLOOKUP($C348,装備品!$1:$998,COLUMN($O$1),FALSE)*VLOOKUP($D348,素材!$1:$1016,COLUMN($E$1),FALSE)/(LEN(VLOOKUP($D348,素材!$1:$1016,COLUMN($F$1),FALSE))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B348">
        <f>IF(ISNUMBER(SEARCH(SUBSTITUTE(AB$1,RIGHT(AB$1,2),""),VLOOKUP($D348,素材!$1:$1016,COLUMN($F$1),FALSE))),VLOOKUP($C348,装備品!$1:$998,COLUMN($O$1),FALSE)*VLOOKUP($D348,素材!$1:$1016,COLUMN($E$1),FALSE)/(LEN(VLOOKUP($D348,素材!$1:$1016,COLUMN($F$1),FALSE))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C348">
        <f>IF(ISNUMBER(SEARCH(SUBSTITUTE(AC$1,RIGHT(AC$1,2),""),VLOOKUP($D348,素材!$1:$1016,COLUMN($F$1),FALSE))),VLOOKUP($C348,装備品!$1:$998,COLUMN($O$1),FALSE)*VLOOKUP($D348,素材!$1:$1016,COLUMN($E$1),FALSE)/(LEN(VLOOKUP($D348,素材!$1:$1016,COLUMN($F$1),FALSE))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D348">
        <f>IF(ISNUMBER(SEARCH(SUBSTITUTE(AD$1,RIGHT(AD$1,2),""),VLOOKUP($D348,素材!$1:$1016,COLUMN($F$1),FALSE))),VLOOKUP($C348,装備品!$1:$998,COLUMN($O$1),FALSE)*VLOOKUP($D348,素材!$1:$1016,COLUMN($E$1),FALSE)/(LEN(VLOOKUP($D348,素材!$1:$1016,COLUMN($F$1),FALSE))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E348">
        <f>IF(ISNUMBER(SEARCH(SUBSTITUTE(AE$1,RIGHT(AE$1,2),""),VLOOKUP($D348,素材!$1:$1016,COLUMN($F$1),FALSE))),VLOOKUP($C348,装備品!$1:$998,COLUMN($O$1),FALSE)*VLOOKUP($D348,素材!$1:$1016,COLUMN($E$1),FALSE)/(LEN(VLOOKUP($D348,素材!$1:$1016,COLUMN($F$1),FALSE))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F348">
        <f>IF(ISNUMBER(SEARCH(SUBSTITUTE(AF$1,RIGHT(AF$1,2),""),VLOOKUP($D348,素材!$1:$1016,COLUMN($F$1),FALSE))),VLOOKUP($C348,装備品!$1:$998,COLUMN($O$1),FALSE)*VLOOKUP($D348,素材!$1:$1016,COLUMN($E$1),FALSE)/(LEN(VLOOKUP($D348,素材!$1:$1016,COLUMN($F$1),FALSE))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G348">
        <f>IF(ISNUMBER(SEARCH(SUBSTITUTE(AG$1,RIGHT(AG$1,2),""),VLOOKUP($D348,素材!$1:$1016,COLUMN($F$1),FALSE))),VLOOKUP($C348,装備品!$1:$998,COLUMN($O$1),FALSE)*VLOOKUP($D348,素材!$1:$1016,COLUMN($E$1),FALSE)/(LEN(VLOOKUP($D348,素材!$1:$1016,COLUMN($F$1),FALSE))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H348">
        <f>IF(ISNUMBER(SEARCH(SUBSTITUTE(AH$1,RIGHT(AH$1,2),""),VLOOKUP($D348,素材!$1:$1016,COLUMN($F$1),FALSE))),VLOOKUP($C348,装備品!$1:$998,COLUMN($O$1),FALSE)*VLOOKUP($D348,素材!$1:$1016,COLUMN($E$1),FALSE)/(LEN(VLOOKUP($D348,素材!$1:$1016,COLUMN($F$1),FALSE))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I348">
        <f>IF(ISNUMBER(SEARCH(SUBSTITUTE(AI$1,RIGHT(AI$1,2),""),VLOOKUP($D348,素材!$1:$1016,COLUMN($F$1),FALSE))),VLOOKUP($C348,装備品!$1:$998,COLUMN($O$1),FALSE)*VLOOKUP($D348,素材!$1:$1016,COLUMN($E$1),FALSE)/(LEN(VLOOKUP($D348,素材!$1:$1016,COLUMN($F$1),FALSE))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J348">
        <f>IF(ISNUMBER(SEARCH(SUBSTITUTE(AJ$1,RIGHT(AJ$1,2),""),VLOOKUP($D348,素材!$1:$1016,COLUMN($F$1),FALSE))),VLOOKUP($C348,装備品!$1:$998,COLUMN($O$1),FALSE)*VLOOKUP($D348,素材!$1:$1016,COLUMN($E$1),FALSE)/(LEN(VLOOKUP($D348,素材!$1:$1016,COLUMN($F$1),FALSE))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K348">
        <f>IF(ISNUMBER(SEARCH(SUBSTITUTE(AK$1,RIGHT(AK$1,2),""),VLOOKUP($D348,素材!$1:$1016,COLUMN($F$1),FALSE))),VLOOKUP($C348,装備品!$1:$998,COLUMN($O$1),FALSE)*VLOOKUP($D348,素材!$1:$1016,COLUMN($E$1),FALSE)/(LEN(VLOOKUP($D348,素材!$1:$1016,COLUMN($F$1),FALSE))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L348">
        <f>IF(ISNUMBER(SEARCH(SUBSTITUTE(AL$1,RIGHT(AL$1,2),""),VLOOKUP($D348,素材!$1:$1016,COLUMN($F$1),FALSE))),VLOOKUP($C348,装備品!$1:$998,COLUMN($O$1),FALSE)*VLOOKUP($D348,素材!$1:$1016,COLUMN($E$1),FALSE)/(LEN(VLOOKUP($D348,素材!$1:$1016,COLUMN($F$1),FALSE))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M348">
        <f>IF(ISNUMBER(SEARCH(SUBSTITUTE(AM$1,RIGHT(AM$1,2),""),VLOOKUP($D348,素材!$1:$1016,COLUMN($F$1),FALSE))),VLOOKUP($C348,装備品!$1:$998,COLUMN($O$1),FALSE)*VLOOKUP($D348,素材!$1:$1016,COLUMN($E$1),FALSE)/(LEN(VLOOKUP($D348,素材!$1:$1016,COLUMN($F$1),FALSE))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N348">
        <f>IF(ISNUMBER(SEARCH(SUBSTITUTE(AN$1,RIGHT(AN$1,2),""),VLOOKUP($D348,素材!$1:$1016,COLUMN($F$1),FALSE))),VLOOKUP($C348,装備品!$1:$998,COLUMN($O$1),FALSE)*VLOOKUP($D348,素材!$1:$1016,COLUMN($E$1),FALSE)/(LEN(VLOOKUP($D348,素材!$1:$1016,COLUMN($F$1),FALSE))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O348">
        <f>IF(ISNUMBER(SEARCH(SUBSTITUTE(AO$1,RIGHT(AO$1,2),""),VLOOKUP($D348,素材!$1:$1016,COLUMN($F$1),FALSE))),VLOOKUP($C348,装備品!$1:$998,COLUMN($O$1),FALSE)*VLOOKUP($D348,素材!$1:$1016,COLUMN($E$1),FALSE)/(LEN(VLOOKUP($D348,素材!$1:$1016,COLUMN($F$1),FALSE))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P348">
        <f>IF(ISNUMBER(SEARCH(SUBSTITUTE(AP$1,RIGHT(AP$1,2),""),VLOOKUP($D348,素材!$1:$1016,COLUMN($F$1),FALSE))),VLOOKUP($C348,装備品!$1:$998,COLUMN($O$1),FALSE)*VLOOKUP($D348,素材!$1:$1016,COLUMN($E$1),FALSE)/(LEN(VLOOKUP($D348,素材!$1:$1016,COLUMN($F$1),FALSE))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Q348">
        <f>IF(ISNUMBER(SEARCH(SUBSTITUTE(AQ$1,RIGHT(AQ$1,2),""),VLOOKUP($D348,素材!$1:$1016,COLUMN($F$1),FALSE))),VLOOKUP($C348,装備品!$1:$998,COLUMN($O$1),FALSE)*VLOOKUP($D348,素材!$1:$1016,COLUMN($E$1),FALSE)/(LEN(VLOOKUP($D348,素材!$1:$1016,COLUMN($F$1),FALSE))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R348">
        <f>IF(ISNUMBER(SEARCH(SUBSTITUTE(AR$1,RIGHT(AR$1,2),""),VLOOKUP($D348,素材!$1:$1016,COLUMN($F$1),FALSE))),VLOOKUP($C348,装備品!$1:$998,COLUMN($O$1),FALSE)*VLOOKUP($D348,素材!$1:$1016,COLUMN($E$1),FALSE)/(LEN(VLOOKUP($D348,素材!$1:$1016,COLUMN($F$1),FALSE))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S348">
        <f>IF(ISNUMBER(SEARCH(SUBSTITUTE(AS$1,RIGHT(AS$1,2),""),VLOOKUP($D348,素材!$1:$1016,COLUMN($F$1),FALSE))),VLOOKUP($C348,装備品!$1:$998,COLUMN($O$1),FALSE)*VLOOKUP($D348,素材!$1:$1016,COLUMN($E$1),FALSE)/(LEN(VLOOKUP($D348,素材!$1:$1016,COLUMN($F$1),FALSE))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T348">
        <f>IF(ISNUMBER(SEARCH(SUBSTITUTE(AT$1,RIGHT(AT$1,2),""),VLOOKUP($D348,素材!$1:$1016,COLUMN($F$1),FALSE))),VLOOKUP($C348,装備品!$1:$998,COLUMN($O$1),FALSE)*VLOOKUP($D348,素材!$1:$1016,COLUMN($E$1),FALSE)/(LEN(VLOOKUP($D348,素材!$1:$1016,COLUMN($F$1),FALSE))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U348">
        <f>IF(ISNUMBER(SEARCH(SUBSTITUTE(AU$1,RIGHT(AU$1,2),""),VLOOKUP($D348,素材!$1:$1016,COLUMN($F$1),FALSE))),VLOOKUP($C348,装備品!$1:$998,COLUMN($O$1),FALSE)*VLOOKUP($D348,素材!$1:$1016,COLUMN($E$1),FALSE)/(LEN(VLOOKUP($D348,素材!$1:$1016,COLUMN($F$1),FALSE))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V348">
        <f>IF(ISNUMBER(SEARCH(SUBSTITUTE(AV$1,RIGHT(AV$1,2),""),VLOOKUP($D348,素材!$1:$1016,COLUMN($F$1),FALSE))),VLOOKUP($C348,装備品!$1:$998,COLUMN($O$1),FALSE)*VLOOKUP($D348,素材!$1:$1016,COLUMN($E$1),FALSE)/(LEN(VLOOKUP($D348,素材!$1:$1016,COLUMN($F$1),FALSE))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W348">
        <f>IF(ISNUMBER(SEARCH(SUBSTITUTE(AW$1,RIGHT(AW$1,2),""),VLOOKUP($D348,素材!$1:$1016,COLUMN($F$1),FALSE))),VLOOKUP($C348,装備品!$1:$998,COLUMN($O$1),FALSE)*VLOOKUP($D348,素材!$1:$1016,COLUMN($E$1),FALSE)/(LEN(VLOOKUP($D348,素材!$1:$1016,COLUMN($F$1),FALSE))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X348">
        <f>IF(ISNUMBER(SEARCH(SUBSTITUTE(AX$1,RIGHT(AX$1,2),""),VLOOKUP($D348,素材!$1:$1016,COLUMN($F$1),FALSE))),VLOOKUP($C348,装備品!$1:$998,COLUMN($O$1),FALSE)*VLOOKUP($D348,素材!$1:$1016,COLUMN($E$1),FALSE)/(LEN(VLOOKUP($D348,素材!$1:$1016,COLUMN($F$1),FALSE))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Y348">
        <f>IF(ISNUMBER(SEARCH(SUBSTITUTE(AY$1,RIGHT(AY$1,2),""),VLOOKUP($D348,素材!$1:$1016,COLUMN($F$1),FALSE))),VLOOKUP($C348,装備品!$1:$998,COLUMN($O$1),FALSE)*VLOOKUP($D348,素材!$1:$1016,COLUMN($E$1),FALSE)/(LEN(VLOOKUP($D348,素材!$1:$1016,COLUMN($F$1),FALSE))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Z348">
        <f>IF(ISNUMBER(SEARCH(SUBSTITUTE(AZ$1,RIGHT(AZ$1,2),""),VLOOKUP($D348,素材!$1:$1016,COLUMN($F$1),FALSE))),VLOOKUP($C348,装備品!$1:$998,COLUMN($O$1),FALSE)*VLOOKUP($D348,素材!$1:$1016,COLUMN($E$1),FALSE)/(LEN(VLOOKUP($D348,素材!$1:$1016,COLUMN($F$1),FALSE))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BA348">
        <f>IF(ISNUMBER(SEARCH(SUBSTITUTE(BA$1,RIGHT(BA$1,2),""),VLOOKUP($D348,素材!$1:$1016,COLUMN($F$1),FALSE))),VLOOKUP($C348,装備品!$1:$998,COLUMN($O$1),FALSE)*VLOOKUP($D348,素材!$1:$1016,COLUMN($E$1),FALSE)/(LEN(VLOOKUP($D348,素材!$1:$1016,COLUMN($F$1),FALSE))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BB348">
        <f>IF(ISNUMBER(SEARCH(SUBSTITUTE(BB$1,RIGHT(BB$1,2),""),VLOOKUP($D348,素材!$1:$1016,COLUMN($F$1),FALSE))),VLOOKUP($C348,装備品!$1:$998,COLUMN($O$1),FALSE)*VLOOKUP($D348,素材!$1:$1016,COLUMN($E$1),FALSE)/(LEN(VLOOKUP($D348,素材!$1:$1016,COLUMN($F$1),FALSE))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BC348">
        <f>IF(ISNUMBER(SEARCH(SUBSTITUTE(BC$1,RIGHT(BC$1,2),""),VLOOKUP($D348,素材!$1:$1016,COLUMN($F$1),FALSE))),VLOOKUP($C348,装備品!$1:$998,COLUMN($O$1),FALSE)*VLOOKUP($D348,素材!$1:$1016,COLUMN($E$1),FALSE)/(LEN(VLOOKUP($D348,素材!$1:$1016,COLUMN($F$1),FALSE))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BD348">
        <f>IF(ISNUMBER(SEARCH(SUBSTITUTE(BD$1,RIGHT(BD$1,2),""),VLOOKUP($D348,素材!$1:$1016,COLUMN($F$1),FALSE))),VLOOKUP($C348,装備品!$1:$998,COLUMN($O$1),FALSE)*VLOOKUP($D348,素材!$1:$1016,COLUMN($E$1),FALSE)/(LEN(VLOOKUP($D348,素材!$1:$1016,COLUMN($F$1),FALSE))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BE348">
        <f>IF(ISNUMBER(SEARCH(SUBSTITUTE(BE$1,RIGHT(BE$1,2),""),VLOOKUP($D348,素材!$1:$1016,COLUMN($F$1),FALSE))),VLOOKUP($C348,装備品!$1:$998,COLUMN($O$1),FALSE)*VLOOKUP($D348,素材!$1:$1016,COLUMN($E$1),FALSE)/(LEN(VLOOKUP($D348,素材!$1:$1016,COLUMN($F$1),FALSE))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CL348">
        <f t="shared" si="47"/>
        <v>0</v>
      </c>
      <c r="CM348" s="22" t="str">
        <f t="shared" si="48"/>
        <v>.webp</v>
      </c>
      <c r="CN348" t="str">
        <f>IFERROR(VLOOKUP($C348,装備品!$1:$998,COLUMN(V$1),FALSE)*VLOOKUP($D348,素材!$1:$1016,COLUMN(N$1),FALSE)+IF(CI348="",0,VLOOKUP($CI348,付与!$1:$1176,COLUMN($CK$1),FALSE)),"")</f>
        <v/>
      </c>
      <c r="CO348" t="e">
        <f>VLOOKUP(D348,素材!$A:$O,COLUMN(素材!O$1),FALSE)</f>
        <v>#N/A</v>
      </c>
      <c r="CP348" t="e">
        <f>VLOOKUP(C348,装備品!$A:$AB,COLUMN(装備品!AB$1),FALSE)</f>
        <v>#N/A</v>
      </c>
      <c r="CR348" t="str">
        <f t="shared" si="49"/>
        <v>e_348</v>
      </c>
      <c r="CS348" t="e">
        <f t="shared" si="50"/>
        <v>#VALUE!</v>
      </c>
    </row>
    <row r="349" spans="1:97" collapsed="1" x14ac:dyDescent="0.4">
      <c r="D349" s="24"/>
      <c r="E349" t="str">
        <f>IFERROR(VLOOKUP(C349,装備品!$1:$998,COLUMN(C$1),FALSE),"")</f>
        <v/>
      </c>
      <c r="F349" t="str">
        <f>IFERROR(ROUNDDOWN((VLOOKUP($C349,装備品!$1:$998,COLUMN(D$1),FALSE)+IFERROR(VLOOKUP($CI349,付与!$1:$1167,COLUMN(F$1),FALSE),0))*VLOOKUP($D349,素材!$1:$1016,COLUMN(D$1),FALSE),0),"")</f>
        <v/>
      </c>
      <c r="G349" t="str">
        <f>IFERROR(ROUNDDOWN((VLOOKUP($C349,装備品!$1:$998,COLUMN(E$1),FALSE)+IFERROR(VLOOKUP($CI349,付与!$1:$1167,COLUMN(G$1),FALSE),0))*VLOOKUP($D349,素材!$1:$1016,COLUMN($E$1),FALSE),0),"")</f>
        <v/>
      </c>
      <c r="H349" t="str">
        <f>IFERROR(ROUNDDOWN((VLOOKUP($C349,装備品!$1:$998,COLUMN(F$1),FALSE)+IFERROR(VLOOKUP($CI349,付与!$1:$1167,COLUMN(H$1),FALSE),0))*VLOOKUP($D349,素材!$1:$1016,COLUMN($E$1),FALSE),0),"")</f>
        <v/>
      </c>
      <c r="I349" t="str">
        <f>IFERROR(ROUNDDOWN((VLOOKUP($C349,装備品!$1:$998,COLUMN(G$1),FALSE)+IFERROR(VLOOKUP($CI349,付与!$1:$1167,COLUMN(I$1),FALSE),0))*VLOOKUP($D349,素材!$1:$1016,COLUMN($E$1),FALSE),0),"")</f>
        <v/>
      </c>
      <c r="J349" t="str">
        <f>IFERROR(ROUNDDOWN((VLOOKUP($C349,装備品!$1:$998,COLUMN(H$1),FALSE)+IFERROR(VLOOKUP($CI349,付与!$1:$1167,COLUMN(J$1),FALSE),0))*VLOOKUP($D349,素材!$1:$1016,COLUMN($E$1),FALSE),0),"")</f>
        <v/>
      </c>
      <c r="K349" t="str">
        <f>IFERROR(ROUNDDOWN((VLOOKUP($C349,装備品!$1:$998,COLUMN(I$1),FALSE)+IFERROR(VLOOKUP($CI349,付与!$1:$1167,COLUMN(K$1),FALSE),0))*VLOOKUP($D349,素材!$1:$1016,COLUMN($E$1),FALSE),0),"")</f>
        <v/>
      </c>
      <c r="L349" t="str">
        <f>IFERROR(VLOOKUP($D349,素材!$1:$1016,COLUMN($F$1),FALSE),"")</f>
        <v/>
      </c>
      <c r="M349" t="str">
        <f>IFERROR(VLOOKUP($C349,装備品!$1:$998,COLUMN(AA$1),FALSE)*VLOOKUP($D349,素材!$1:$1016,COLUMN($G$1),FALSE),"")</f>
        <v/>
      </c>
      <c r="N349" t="str">
        <f>IFERROR(VLOOKUP($C349,装備品!$1:$998,COLUMN(I$1),FALSE),"")</f>
        <v/>
      </c>
      <c r="O349" s="23" t="str">
        <f>IFERROR((VLOOKUP($C349,装備品!$1:$998,COLUMN(K$1),FALSE)+VLOOKUP($D349,素材!$1:$1016,COLUMN(H$1),FALSE))*100+IFERROR(VLOOKUP($CI349,付与!$1:$1167,COLUMN(O$1),FALSE),0),"")</f>
        <v/>
      </c>
      <c r="P349" s="23" t="str">
        <f>IFERROR((VLOOKUP($C349,装備品!$1:$998,COLUMN(L$1),FALSE)+VLOOKUP($D349,素材!$1:$1016,COLUMN(I$1),FALSE))*100+IFERROR(VLOOKUP($CI349,付与!$1:$1167,COLUMN(P$1),FALSE),0),"")</f>
        <v/>
      </c>
      <c r="Q349" t="str">
        <f>IFERROR(ROUNDUP(VLOOKUP($C349,装備品!$1:$998,COLUMN(M$1),FALSE)*(VLOOKUP($D349,素材!$1:$1002,COLUMN(D$1),FALSE)/100),1),"")</f>
        <v/>
      </c>
      <c r="R349" t="str">
        <f>IFERROR(ROUNDUP(VLOOKUP($C349,装備品!$1:$998,COLUMN(N$1),FALSE)*(VLOOKUP($D349,素材!$1:$1002,COLUMN(D$1),FALSE)/100),1),"")</f>
        <v/>
      </c>
      <c r="S349" t="str">
        <f>IFERROR(VLOOKUP($C349,装備品!$1:$998,COLUMN(P$1),FALSE),"")</f>
        <v/>
      </c>
      <c r="T349" t="str">
        <f>IFERROR(VLOOKUP($C349,装備品!$1:$998,COLUMN(Q$1),FALSE),"")</f>
        <v/>
      </c>
      <c r="U349" t="str">
        <f>IFERROR(VLOOKUP($C349,装備品!$1:$998,COLUMN(R$1),FALSE),"")</f>
        <v/>
      </c>
      <c r="V349" t="str">
        <f>IFERROR(VLOOKUP($C349,装備品!$1:$998,COLUMN(Q$1),FALSE),"")</f>
        <v/>
      </c>
      <c r="W349" t="str">
        <f>IFERROR(VLOOKUP($C349,装備品!$1:$998,COLUMN(T$1),FALSE),"")</f>
        <v/>
      </c>
      <c r="Y349" t="str">
        <f>IFERROR(VLOOKUP($C349,装備品!$1:$998,COLUMN(U$1),FALSE),"")</f>
        <v/>
      </c>
      <c r="Z349" t="str">
        <f>IFERROR(ROUNDUP(VLOOKUP($C349,装備品!$1:$998,COLUMN(O$1),FALSE)*VLOOKUP($D349,素材!$1:$1016,COLUMN(E$1),FALSE),1),"")</f>
        <v/>
      </c>
      <c r="AA349">
        <f>IF(ISNUMBER(SEARCH(SUBSTITUTE(AA$1,RIGHT(AA$1,2),""),VLOOKUP($D349,素材!$1:$1016,COLUMN($F$1),FALSE))),VLOOKUP($C349,装備品!$1:$998,COLUMN($O$1),FALSE)*VLOOKUP($D349,素材!$1:$1016,COLUMN($E$1),FALSE)/(LEN(VLOOKUP($D349,素材!$1:$1016,COLUMN($F$1),FALSE))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B349">
        <f>IF(ISNUMBER(SEARCH(SUBSTITUTE(AB$1,RIGHT(AB$1,2),""),VLOOKUP($D349,素材!$1:$1016,COLUMN($F$1),FALSE))),VLOOKUP($C349,装備品!$1:$998,COLUMN($O$1),FALSE)*VLOOKUP($D349,素材!$1:$1016,COLUMN($E$1),FALSE)/(LEN(VLOOKUP($D349,素材!$1:$1016,COLUMN($F$1),FALSE))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C349">
        <f>IF(ISNUMBER(SEARCH(SUBSTITUTE(AC$1,RIGHT(AC$1,2),""),VLOOKUP($D349,素材!$1:$1016,COLUMN($F$1),FALSE))),VLOOKUP($C349,装備品!$1:$998,COLUMN($O$1),FALSE)*VLOOKUP($D349,素材!$1:$1016,COLUMN($E$1),FALSE)/(LEN(VLOOKUP($D349,素材!$1:$1016,COLUMN($F$1),FALSE))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D349">
        <f>IF(ISNUMBER(SEARCH(SUBSTITUTE(AD$1,RIGHT(AD$1,2),""),VLOOKUP($D349,素材!$1:$1016,COLUMN($F$1),FALSE))),VLOOKUP($C349,装備品!$1:$998,COLUMN($O$1),FALSE)*VLOOKUP($D349,素材!$1:$1016,COLUMN($E$1),FALSE)/(LEN(VLOOKUP($D349,素材!$1:$1016,COLUMN($F$1),FALSE))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E349">
        <f>IF(ISNUMBER(SEARCH(SUBSTITUTE(AE$1,RIGHT(AE$1,2),""),VLOOKUP($D349,素材!$1:$1016,COLUMN($F$1),FALSE))),VLOOKUP($C349,装備品!$1:$998,COLUMN($O$1),FALSE)*VLOOKUP($D349,素材!$1:$1016,COLUMN($E$1),FALSE)/(LEN(VLOOKUP($D349,素材!$1:$1016,COLUMN($F$1),FALSE))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F349">
        <f>IF(ISNUMBER(SEARCH(SUBSTITUTE(AF$1,RIGHT(AF$1,2),""),VLOOKUP($D349,素材!$1:$1016,COLUMN($F$1),FALSE))),VLOOKUP($C349,装備品!$1:$998,COLUMN($O$1),FALSE)*VLOOKUP($D349,素材!$1:$1016,COLUMN($E$1),FALSE)/(LEN(VLOOKUP($D349,素材!$1:$1016,COLUMN($F$1),FALSE))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G349">
        <f>IF(ISNUMBER(SEARCH(SUBSTITUTE(AG$1,RIGHT(AG$1,2),""),VLOOKUP($D349,素材!$1:$1016,COLUMN($F$1),FALSE))),VLOOKUP($C349,装備品!$1:$998,COLUMN($O$1),FALSE)*VLOOKUP($D349,素材!$1:$1016,COLUMN($E$1),FALSE)/(LEN(VLOOKUP($D349,素材!$1:$1016,COLUMN($F$1),FALSE))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H349">
        <f>IF(ISNUMBER(SEARCH(SUBSTITUTE(AH$1,RIGHT(AH$1,2),""),VLOOKUP($D349,素材!$1:$1016,COLUMN($F$1),FALSE))),VLOOKUP($C349,装備品!$1:$998,COLUMN($O$1),FALSE)*VLOOKUP($D349,素材!$1:$1016,COLUMN($E$1),FALSE)/(LEN(VLOOKUP($D349,素材!$1:$1016,COLUMN($F$1),FALSE))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I349">
        <f>IF(ISNUMBER(SEARCH(SUBSTITUTE(AI$1,RIGHT(AI$1,2),""),VLOOKUP($D349,素材!$1:$1016,COLUMN($F$1),FALSE))),VLOOKUP($C349,装備品!$1:$998,COLUMN($O$1),FALSE)*VLOOKUP($D349,素材!$1:$1016,COLUMN($E$1),FALSE)/(LEN(VLOOKUP($D349,素材!$1:$1016,COLUMN($F$1),FALSE))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J349">
        <f>IF(ISNUMBER(SEARCH(SUBSTITUTE(AJ$1,RIGHT(AJ$1,2),""),VLOOKUP($D349,素材!$1:$1016,COLUMN($F$1),FALSE))),VLOOKUP($C349,装備品!$1:$998,COLUMN($O$1),FALSE)*VLOOKUP($D349,素材!$1:$1016,COLUMN($E$1),FALSE)/(LEN(VLOOKUP($D349,素材!$1:$1016,COLUMN($F$1),FALSE))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K349">
        <f>IF(ISNUMBER(SEARCH(SUBSTITUTE(AK$1,RIGHT(AK$1,2),""),VLOOKUP($D349,素材!$1:$1016,COLUMN($F$1),FALSE))),VLOOKUP($C349,装備品!$1:$998,COLUMN($O$1),FALSE)*VLOOKUP($D349,素材!$1:$1016,COLUMN($E$1),FALSE)/(LEN(VLOOKUP($D349,素材!$1:$1016,COLUMN($F$1),FALSE))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L349">
        <f>IF(ISNUMBER(SEARCH(SUBSTITUTE(AL$1,RIGHT(AL$1,2),""),VLOOKUP($D349,素材!$1:$1016,COLUMN($F$1),FALSE))),VLOOKUP($C349,装備品!$1:$998,COLUMN($O$1),FALSE)*VLOOKUP($D349,素材!$1:$1016,COLUMN($E$1),FALSE)/(LEN(VLOOKUP($D349,素材!$1:$1016,COLUMN($F$1),FALSE))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M349">
        <f>IF(ISNUMBER(SEARCH(SUBSTITUTE(AM$1,RIGHT(AM$1,2),""),VLOOKUP($D349,素材!$1:$1016,COLUMN($F$1),FALSE))),VLOOKUP($C349,装備品!$1:$998,COLUMN($O$1),FALSE)*VLOOKUP($D349,素材!$1:$1016,COLUMN($E$1),FALSE)/(LEN(VLOOKUP($D349,素材!$1:$1016,COLUMN($F$1),FALSE))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N349">
        <f>IF(ISNUMBER(SEARCH(SUBSTITUTE(AN$1,RIGHT(AN$1,2),""),VLOOKUP($D349,素材!$1:$1016,COLUMN($F$1),FALSE))),VLOOKUP($C349,装備品!$1:$998,COLUMN($O$1),FALSE)*VLOOKUP($D349,素材!$1:$1016,COLUMN($E$1),FALSE)/(LEN(VLOOKUP($D349,素材!$1:$1016,COLUMN($F$1),FALSE))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O349">
        <f>IF(ISNUMBER(SEARCH(SUBSTITUTE(AO$1,RIGHT(AO$1,2),""),VLOOKUP($D349,素材!$1:$1016,COLUMN($F$1),FALSE))),VLOOKUP($C349,装備品!$1:$998,COLUMN($O$1),FALSE)*VLOOKUP($D349,素材!$1:$1016,COLUMN($E$1),FALSE)/(LEN(VLOOKUP($D349,素材!$1:$1016,COLUMN($F$1),FALSE))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P349">
        <f>IF(ISNUMBER(SEARCH(SUBSTITUTE(AP$1,RIGHT(AP$1,2),""),VLOOKUP($D349,素材!$1:$1016,COLUMN($F$1),FALSE))),VLOOKUP($C349,装備品!$1:$998,COLUMN($O$1),FALSE)*VLOOKUP($D349,素材!$1:$1016,COLUMN($E$1),FALSE)/(LEN(VLOOKUP($D349,素材!$1:$1016,COLUMN($F$1),FALSE))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Q349">
        <f>IF(ISNUMBER(SEARCH(SUBSTITUTE(AQ$1,RIGHT(AQ$1,2),""),VLOOKUP($D349,素材!$1:$1016,COLUMN($F$1),FALSE))),VLOOKUP($C349,装備品!$1:$998,COLUMN($O$1),FALSE)*VLOOKUP($D349,素材!$1:$1016,COLUMN($E$1),FALSE)/(LEN(VLOOKUP($D349,素材!$1:$1016,COLUMN($F$1),FALSE))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R349">
        <f>IF(ISNUMBER(SEARCH(SUBSTITUTE(AR$1,RIGHT(AR$1,2),""),VLOOKUP($D349,素材!$1:$1016,COLUMN($F$1),FALSE))),VLOOKUP($C349,装備品!$1:$998,COLUMN($O$1),FALSE)*VLOOKUP($D349,素材!$1:$1016,COLUMN($E$1),FALSE)/(LEN(VLOOKUP($D349,素材!$1:$1016,COLUMN($F$1),FALSE))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S349">
        <f>IF(ISNUMBER(SEARCH(SUBSTITUTE(AS$1,RIGHT(AS$1,2),""),VLOOKUP($D349,素材!$1:$1016,COLUMN($F$1),FALSE))),VLOOKUP($C349,装備品!$1:$998,COLUMN($O$1),FALSE)*VLOOKUP($D349,素材!$1:$1016,COLUMN($E$1),FALSE)/(LEN(VLOOKUP($D349,素材!$1:$1016,COLUMN($F$1),FALSE))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T349">
        <f>IF(ISNUMBER(SEARCH(SUBSTITUTE(AT$1,RIGHT(AT$1,2),""),VLOOKUP($D349,素材!$1:$1016,COLUMN($F$1),FALSE))),VLOOKUP($C349,装備品!$1:$998,COLUMN($O$1),FALSE)*VLOOKUP($D349,素材!$1:$1016,COLUMN($E$1),FALSE)/(LEN(VLOOKUP($D349,素材!$1:$1016,COLUMN($F$1),FALSE))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U349">
        <f>IF(ISNUMBER(SEARCH(SUBSTITUTE(AU$1,RIGHT(AU$1,2),""),VLOOKUP($D349,素材!$1:$1016,COLUMN($F$1),FALSE))),VLOOKUP($C349,装備品!$1:$998,COLUMN($O$1),FALSE)*VLOOKUP($D349,素材!$1:$1016,COLUMN($E$1),FALSE)/(LEN(VLOOKUP($D349,素材!$1:$1016,COLUMN($F$1),FALSE))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V349">
        <f>IF(ISNUMBER(SEARCH(SUBSTITUTE(AV$1,RIGHT(AV$1,2),""),VLOOKUP($D349,素材!$1:$1016,COLUMN($F$1),FALSE))),VLOOKUP($C349,装備品!$1:$998,COLUMN($O$1),FALSE)*VLOOKUP($D349,素材!$1:$1016,COLUMN($E$1),FALSE)/(LEN(VLOOKUP($D349,素材!$1:$1016,COLUMN($F$1),FALSE))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W349">
        <f>IF(ISNUMBER(SEARCH(SUBSTITUTE(AW$1,RIGHT(AW$1,2),""),VLOOKUP($D349,素材!$1:$1016,COLUMN($F$1),FALSE))),VLOOKUP($C349,装備品!$1:$998,COLUMN($O$1),FALSE)*VLOOKUP($D349,素材!$1:$1016,COLUMN($E$1),FALSE)/(LEN(VLOOKUP($D349,素材!$1:$1016,COLUMN($F$1),FALSE))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X349">
        <f>IF(ISNUMBER(SEARCH(SUBSTITUTE(AX$1,RIGHT(AX$1,2),""),VLOOKUP($D349,素材!$1:$1016,COLUMN($F$1),FALSE))),VLOOKUP($C349,装備品!$1:$998,COLUMN($O$1),FALSE)*VLOOKUP($D349,素材!$1:$1016,COLUMN($E$1),FALSE)/(LEN(VLOOKUP($D349,素材!$1:$1016,COLUMN($F$1),FALSE))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Y349">
        <f>IF(ISNUMBER(SEARCH(SUBSTITUTE(AY$1,RIGHT(AY$1,2),""),VLOOKUP($D349,素材!$1:$1016,COLUMN($F$1),FALSE))),VLOOKUP($C349,装備品!$1:$998,COLUMN($O$1),FALSE)*VLOOKUP($D349,素材!$1:$1016,COLUMN($E$1),FALSE)/(LEN(VLOOKUP($D349,素材!$1:$1016,COLUMN($F$1),FALSE))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Z349">
        <f>IF(ISNUMBER(SEARCH(SUBSTITUTE(AZ$1,RIGHT(AZ$1,2),""),VLOOKUP($D349,素材!$1:$1016,COLUMN($F$1),FALSE))),VLOOKUP($C349,装備品!$1:$998,COLUMN($O$1),FALSE)*VLOOKUP($D349,素材!$1:$1016,COLUMN($E$1),FALSE)/(LEN(VLOOKUP($D349,素材!$1:$1016,COLUMN($F$1),FALSE))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BA349">
        <f>IF(ISNUMBER(SEARCH(SUBSTITUTE(BA$1,RIGHT(BA$1,2),""),VLOOKUP($D349,素材!$1:$1016,COLUMN($F$1),FALSE))),VLOOKUP($C349,装備品!$1:$998,COLUMN($O$1),FALSE)*VLOOKUP($D349,素材!$1:$1016,COLUMN($E$1),FALSE)/(LEN(VLOOKUP($D349,素材!$1:$1016,COLUMN($F$1),FALSE))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BB349">
        <f>IF(ISNUMBER(SEARCH(SUBSTITUTE(BB$1,RIGHT(BB$1,2),""),VLOOKUP($D349,素材!$1:$1016,COLUMN($F$1),FALSE))),VLOOKUP($C349,装備品!$1:$998,COLUMN($O$1),FALSE)*VLOOKUP($D349,素材!$1:$1016,COLUMN($E$1),FALSE)/(LEN(VLOOKUP($D349,素材!$1:$1016,COLUMN($F$1),FALSE))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BC349">
        <f>IF(ISNUMBER(SEARCH(SUBSTITUTE(BC$1,RIGHT(BC$1,2),""),VLOOKUP($D349,素材!$1:$1016,COLUMN($F$1),FALSE))),VLOOKUP($C349,装備品!$1:$998,COLUMN($O$1),FALSE)*VLOOKUP($D349,素材!$1:$1016,COLUMN($E$1),FALSE)/(LEN(VLOOKUP($D349,素材!$1:$1016,COLUMN($F$1),FALSE))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BD349">
        <f>IF(ISNUMBER(SEARCH(SUBSTITUTE(BD$1,RIGHT(BD$1,2),""),VLOOKUP($D349,素材!$1:$1016,COLUMN($F$1),FALSE))),VLOOKUP($C349,装備品!$1:$998,COLUMN($O$1),FALSE)*VLOOKUP($D349,素材!$1:$1016,COLUMN($E$1),FALSE)/(LEN(VLOOKUP($D349,素材!$1:$1016,COLUMN($F$1),FALSE))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BE349">
        <f>IF(ISNUMBER(SEARCH(SUBSTITUTE(BE$1,RIGHT(BE$1,2),""),VLOOKUP($D349,素材!$1:$1016,COLUMN($F$1),FALSE))),VLOOKUP($C349,装備品!$1:$998,COLUMN($O$1),FALSE)*VLOOKUP($D349,素材!$1:$1016,COLUMN($E$1),FALSE)/(LEN(VLOOKUP($D349,素材!$1:$1016,COLUMN($F$1),FALSE))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CL349">
        <f t="shared" si="47"/>
        <v>0</v>
      </c>
      <c r="CM349" s="22" t="str">
        <f t="shared" si="48"/>
        <v>.webp</v>
      </c>
      <c r="CN349" t="str">
        <f>IFERROR(VLOOKUP($C349,装備品!$1:$998,COLUMN(V$1),FALSE)*VLOOKUP($D349,素材!$1:$1016,COLUMN(N$1),FALSE)+IF(CI349="",0,VLOOKUP($CI349,付与!$1:$1176,COLUMN($CK$1),FALSE)),"")</f>
        <v/>
      </c>
      <c r="CO349" t="e">
        <f>VLOOKUP(D349,素材!$A:$O,COLUMN(素材!O$1),FALSE)</f>
        <v>#N/A</v>
      </c>
      <c r="CR349" t="str">
        <f t="shared" si="49"/>
        <v>e_349</v>
      </c>
      <c r="CS349" t="e">
        <f t="shared" si="50"/>
        <v>#VALUE!</v>
      </c>
    </row>
    <row r="350" spans="1:97" x14ac:dyDescent="0.4">
      <c r="D350" s="24"/>
      <c r="E350" t="str">
        <f>IFERROR(VLOOKUP(C350,装備品!$1:$998,COLUMN(C$1),FALSE),"")</f>
        <v/>
      </c>
      <c r="F350" t="str">
        <f>IFERROR(ROUNDDOWN((VLOOKUP($C350,装備品!$1:$998,COLUMN(D$1),FALSE)+IFERROR(VLOOKUP($CI350,付与!$1:$1167,COLUMN(F$1),FALSE),0))*VLOOKUP($D350,素材!$1:$1016,COLUMN(D$1),FALSE),0),"")</f>
        <v/>
      </c>
      <c r="G350" t="str">
        <f>IFERROR(ROUNDDOWN((VLOOKUP($C350,装備品!$1:$998,COLUMN(E$1),FALSE)+IFERROR(VLOOKUP($CI350,付与!$1:$1167,COLUMN(G$1),FALSE),0))*VLOOKUP($D350,素材!$1:$1016,COLUMN($E$1),FALSE),0),"")</f>
        <v/>
      </c>
      <c r="H350" t="str">
        <f>IFERROR(ROUNDDOWN((VLOOKUP($C350,装備品!$1:$998,COLUMN(F$1),FALSE)+IFERROR(VLOOKUP($CI350,付与!$1:$1167,COLUMN(H$1),FALSE),0))*VLOOKUP($D350,素材!$1:$1016,COLUMN($E$1),FALSE),0),"")</f>
        <v/>
      </c>
      <c r="I350" t="str">
        <f>IFERROR(ROUNDDOWN((VLOOKUP($C350,装備品!$1:$998,COLUMN(G$1),FALSE)+IFERROR(VLOOKUP($CI350,付与!$1:$1167,COLUMN(I$1),FALSE),0))*VLOOKUP($D350,素材!$1:$1016,COLUMN($E$1),FALSE),0),"")</f>
        <v/>
      </c>
      <c r="J350" t="str">
        <f>IFERROR(ROUNDDOWN((VLOOKUP($C350,装備品!$1:$998,COLUMN(H$1),FALSE)+IFERROR(VLOOKUP($CI350,付与!$1:$1167,COLUMN(J$1),FALSE),0))*VLOOKUP($D350,素材!$1:$1016,COLUMN($E$1),FALSE),0),"")</f>
        <v/>
      </c>
      <c r="K350" t="str">
        <f>IFERROR(ROUNDDOWN((VLOOKUP($C350,装備品!$1:$998,COLUMN(I$1),FALSE)+IFERROR(VLOOKUP($CI350,付与!$1:$1167,COLUMN(K$1),FALSE),0))*VLOOKUP($D350,素材!$1:$1016,COLUMN($E$1),FALSE),0),"")</f>
        <v/>
      </c>
      <c r="L350" t="str">
        <f>IFERROR(VLOOKUP($D350,素材!$1:$1016,COLUMN($F$1),FALSE),"")</f>
        <v/>
      </c>
      <c r="M350" t="str">
        <f>IFERROR(VLOOKUP($C350,装備品!$1:$998,COLUMN(AA$1),FALSE)*VLOOKUP($D350,素材!$1:$1016,COLUMN($G$1),FALSE),"")</f>
        <v/>
      </c>
      <c r="N350" t="str">
        <f>IFERROR(VLOOKUP($C350,装備品!$1:$998,COLUMN(I$1),FALSE),"")</f>
        <v/>
      </c>
      <c r="O350" s="23" t="str">
        <f>IFERROR((VLOOKUP($C350,装備品!$1:$998,COLUMN(K$1),FALSE)+VLOOKUP($D350,素材!$1:$1016,COLUMN(H$1),FALSE))*100+IFERROR(VLOOKUP($CI350,付与!$1:$1167,COLUMN(O$1),FALSE),0),"")</f>
        <v/>
      </c>
      <c r="P350" s="23" t="str">
        <f>IFERROR((VLOOKUP($C350,装備品!$1:$998,COLUMN(L$1),FALSE)+VLOOKUP($D350,素材!$1:$1016,COLUMN(I$1),FALSE))*100+IFERROR(VLOOKUP($CI350,付与!$1:$1167,COLUMN(P$1),FALSE),0),"")</f>
        <v/>
      </c>
      <c r="Q350" t="str">
        <f>IFERROR(ROUNDUP(VLOOKUP($C350,装備品!$1:$998,COLUMN(M$1),FALSE)*(VLOOKUP($D350,素材!$1:$1002,COLUMN(D$1),FALSE)/100),1),"")</f>
        <v/>
      </c>
      <c r="R350" t="str">
        <f>IFERROR(ROUNDUP(VLOOKUP($C350,装備品!$1:$998,COLUMN(N$1),FALSE)*(VLOOKUP($D350,素材!$1:$1002,COLUMN(D$1),FALSE)/100),1),"")</f>
        <v/>
      </c>
      <c r="S350" t="str">
        <f>IFERROR(VLOOKUP($C350,装備品!$1:$998,COLUMN(P$1),FALSE),"")</f>
        <v/>
      </c>
      <c r="T350" t="str">
        <f>IFERROR(VLOOKUP($C350,装備品!$1:$998,COLUMN(Q$1),FALSE),"")</f>
        <v/>
      </c>
      <c r="U350" t="str">
        <f>IFERROR(VLOOKUP($C350,装備品!$1:$998,COLUMN(R$1),FALSE),"")</f>
        <v/>
      </c>
      <c r="V350" t="str">
        <f>IFERROR(VLOOKUP($C350,装備品!$1:$998,COLUMN(Q$1),FALSE),"")</f>
        <v/>
      </c>
      <c r="W350" t="str">
        <f>IFERROR(VLOOKUP($C350,装備品!$1:$998,COLUMN(T$1),FALSE),"")</f>
        <v/>
      </c>
      <c r="Y350" t="str">
        <f>IFERROR(VLOOKUP($C350,装備品!$1:$998,COLUMN(U$1),FALSE),"")</f>
        <v/>
      </c>
      <c r="Z350" t="str">
        <f>IFERROR(ROUNDUP(VLOOKUP($C350,装備品!$1:$998,COLUMN(O$1),FALSE)*VLOOKUP($D350,素材!$1:$1016,COLUMN(E$1),FALSE),1),"")</f>
        <v/>
      </c>
      <c r="AA350">
        <f>IF(ISNUMBER(SEARCH(SUBSTITUTE(AA$1,RIGHT(AA$1,2),""),VLOOKUP($D350,素材!$1:$1016,COLUMN($F$1),FALSE))),VLOOKUP($C350,装備品!$1:$998,COLUMN($O$1),FALSE)*VLOOKUP($D350,素材!$1:$1016,COLUMN($E$1),FALSE)/(LEN(VLOOKUP($D350,素材!$1:$1016,COLUMN($F$1),FALSE))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B350">
        <f>IF(ISNUMBER(SEARCH(SUBSTITUTE(AB$1,RIGHT(AB$1,2),""),VLOOKUP($D350,素材!$1:$1016,COLUMN($F$1),FALSE))),VLOOKUP($C350,装備品!$1:$998,COLUMN($O$1),FALSE)*VLOOKUP($D350,素材!$1:$1016,COLUMN($E$1),FALSE)/(LEN(VLOOKUP($D350,素材!$1:$1016,COLUMN($F$1),FALSE))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C350">
        <f>IF(ISNUMBER(SEARCH(SUBSTITUTE(AC$1,RIGHT(AC$1,2),""),VLOOKUP($D350,素材!$1:$1016,COLUMN($F$1),FALSE))),VLOOKUP($C350,装備品!$1:$998,COLUMN($O$1),FALSE)*VLOOKUP($D350,素材!$1:$1016,COLUMN($E$1),FALSE)/(LEN(VLOOKUP($D350,素材!$1:$1016,COLUMN($F$1),FALSE))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D350">
        <f>IF(ISNUMBER(SEARCH(SUBSTITUTE(AD$1,RIGHT(AD$1,2),""),VLOOKUP($D350,素材!$1:$1016,COLUMN($F$1),FALSE))),VLOOKUP($C350,装備品!$1:$998,COLUMN($O$1),FALSE)*VLOOKUP($D350,素材!$1:$1016,COLUMN($E$1),FALSE)/(LEN(VLOOKUP($D350,素材!$1:$1016,COLUMN($F$1),FALSE))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E350">
        <f>IF(ISNUMBER(SEARCH(SUBSTITUTE(AE$1,RIGHT(AE$1,2),""),VLOOKUP($D350,素材!$1:$1016,COLUMN($F$1),FALSE))),VLOOKUP($C350,装備品!$1:$998,COLUMN($O$1),FALSE)*VLOOKUP($D350,素材!$1:$1016,COLUMN($E$1),FALSE)/(LEN(VLOOKUP($D350,素材!$1:$1016,COLUMN($F$1),FALSE))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F350">
        <f>IF(ISNUMBER(SEARCH(SUBSTITUTE(AF$1,RIGHT(AF$1,2),""),VLOOKUP($D350,素材!$1:$1016,COLUMN($F$1),FALSE))),VLOOKUP($C350,装備品!$1:$998,COLUMN($O$1),FALSE)*VLOOKUP($D350,素材!$1:$1016,COLUMN($E$1),FALSE)/(LEN(VLOOKUP($D350,素材!$1:$1016,COLUMN($F$1),FALSE))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G350">
        <f>IF(ISNUMBER(SEARCH(SUBSTITUTE(AG$1,RIGHT(AG$1,2),""),VLOOKUP($D350,素材!$1:$1016,COLUMN($F$1),FALSE))),VLOOKUP($C350,装備品!$1:$998,COLUMN($O$1),FALSE)*VLOOKUP($D350,素材!$1:$1016,COLUMN($E$1),FALSE)/(LEN(VLOOKUP($D350,素材!$1:$1016,COLUMN($F$1),FALSE))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H350">
        <f>IF(ISNUMBER(SEARCH(SUBSTITUTE(AH$1,RIGHT(AH$1,2),""),VLOOKUP($D350,素材!$1:$1016,COLUMN($F$1),FALSE))),VLOOKUP($C350,装備品!$1:$998,COLUMN($O$1),FALSE)*VLOOKUP($D350,素材!$1:$1016,COLUMN($E$1),FALSE)/(LEN(VLOOKUP($D350,素材!$1:$1016,COLUMN($F$1),FALSE))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I350">
        <f>IF(ISNUMBER(SEARCH(SUBSTITUTE(AI$1,RIGHT(AI$1,2),""),VLOOKUP($D350,素材!$1:$1016,COLUMN($F$1),FALSE))),VLOOKUP($C350,装備品!$1:$998,COLUMN($O$1),FALSE)*VLOOKUP($D350,素材!$1:$1016,COLUMN($E$1),FALSE)/(LEN(VLOOKUP($D350,素材!$1:$1016,COLUMN($F$1),FALSE))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J350">
        <f>IF(ISNUMBER(SEARCH(SUBSTITUTE(AJ$1,RIGHT(AJ$1,2),""),VLOOKUP($D350,素材!$1:$1016,COLUMN($F$1),FALSE))),VLOOKUP($C350,装備品!$1:$998,COLUMN($O$1),FALSE)*VLOOKUP($D350,素材!$1:$1016,COLUMN($E$1),FALSE)/(LEN(VLOOKUP($D350,素材!$1:$1016,COLUMN($F$1),FALSE))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K350">
        <f>IF(ISNUMBER(SEARCH(SUBSTITUTE(AK$1,RIGHT(AK$1,2),""),VLOOKUP($D350,素材!$1:$1016,COLUMN($F$1),FALSE))),VLOOKUP($C350,装備品!$1:$998,COLUMN($O$1),FALSE)*VLOOKUP($D350,素材!$1:$1016,COLUMN($E$1),FALSE)/(LEN(VLOOKUP($D350,素材!$1:$1016,COLUMN($F$1),FALSE))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L350">
        <f>IF(ISNUMBER(SEARCH(SUBSTITUTE(AL$1,RIGHT(AL$1,2),""),VLOOKUP($D350,素材!$1:$1016,COLUMN($F$1),FALSE))),VLOOKUP($C350,装備品!$1:$998,COLUMN($O$1),FALSE)*VLOOKUP($D350,素材!$1:$1016,COLUMN($E$1),FALSE)/(LEN(VLOOKUP($D350,素材!$1:$1016,COLUMN($F$1),FALSE))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M350">
        <f>IF(ISNUMBER(SEARCH(SUBSTITUTE(AM$1,RIGHT(AM$1,2),""),VLOOKUP($D350,素材!$1:$1016,COLUMN($F$1),FALSE))),VLOOKUP($C350,装備品!$1:$998,COLUMN($O$1),FALSE)*VLOOKUP($D350,素材!$1:$1016,COLUMN($E$1),FALSE)/(LEN(VLOOKUP($D350,素材!$1:$1016,COLUMN($F$1),FALSE))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N350">
        <f>IF(ISNUMBER(SEARCH(SUBSTITUTE(AN$1,RIGHT(AN$1,2),""),VLOOKUP($D350,素材!$1:$1016,COLUMN($F$1),FALSE))),VLOOKUP($C350,装備品!$1:$998,COLUMN($O$1),FALSE)*VLOOKUP($D350,素材!$1:$1016,COLUMN($E$1),FALSE)/(LEN(VLOOKUP($D350,素材!$1:$1016,COLUMN($F$1),FALSE))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O350">
        <f>IF(ISNUMBER(SEARCH(SUBSTITUTE(AO$1,RIGHT(AO$1,2),""),VLOOKUP($D350,素材!$1:$1016,COLUMN($F$1),FALSE))),VLOOKUP($C350,装備品!$1:$998,COLUMN($O$1),FALSE)*VLOOKUP($D350,素材!$1:$1016,COLUMN($E$1),FALSE)/(LEN(VLOOKUP($D350,素材!$1:$1016,COLUMN($F$1),FALSE))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P350">
        <f>IF(ISNUMBER(SEARCH(SUBSTITUTE(AP$1,RIGHT(AP$1,2),""),VLOOKUP($D350,素材!$1:$1016,COLUMN($F$1),FALSE))),VLOOKUP($C350,装備品!$1:$998,COLUMN($O$1),FALSE)*VLOOKUP($D350,素材!$1:$1016,COLUMN($E$1),FALSE)/(LEN(VLOOKUP($D350,素材!$1:$1016,COLUMN($F$1),FALSE))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Q350">
        <f>IF(ISNUMBER(SEARCH(SUBSTITUTE(AQ$1,RIGHT(AQ$1,2),""),VLOOKUP($D350,素材!$1:$1016,COLUMN($F$1),FALSE))),VLOOKUP($C350,装備品!$1:$998,COLUMN($O$1),FALSE)*VLOOKUP($D350,素材!$1:$1016,COLUMN($E$1),FALSE)/(LEN(VLOOKUP($D350,素材!$1:$1016,COLUMN($F$1),FALSE))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R350">
        <f>IF(ISNUMBER(SEARCH(SUBSTITUTE(AR$1,RIGHT(AR$1,2),""),VLOOKUP($D350,素材!$1:$1016,COLUMN($F$1),FALSE))),VLOOKUP($C350,装備品!$1:$998,COLUMN($O$1),FALSE)*VLOOKUP($D350,素材!$1:$1016,COLUMN($E$1),FALSE)/(LEN(VLOOKUP($D350,素材!$1:$1016,COLUMN($F$1),FALSE))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S350">
        <f>IF(ISNUMBER(SEARCH(SUBSTITUTE(AS$1,RIGHT(AS$1,2),""),VLOOKUP($D350,素材!$1:$1016,COLUMN($F$1),FALSE))),VLOOKUP($C350,装備品!$1:$998,COLUMN($O$1),FALSE)*VLOOKUP($D350,素材!$1:$1016,COLUMN($E$1),FALSE)/(LEN(VLOOKUP($D350,素材!$1:$1016,COLUMN($F$1),FALSE))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T350">
        <f>IF(ISNUMBER(SEARCH(SUBSTITUTE(AT$1,RIGHT(AT$1,2),""),VLOOKUP($D350,素材!$1:$1016,COLUMN($F$1),FALSE))),VLOOKUP($C350,装備品!$1:$998,COLUMN($O$1),FALSE)*VLOOKUP($D350,素材!$1:$1016,COLUMN($E$1),FALSE)/(LEN(VLOOKUP($D350,素材!$1:$1016,COLUMN($F$1),FALSE))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U350">
        <f>IF(ISNUMBER(SEARCH(SUBSTITUTE(AU$1,RIGHT(AU$1,2),""),VLOOKUP($D350,素材!$1:$1016,COLUMN($F$1),FALSE))),VLOOKUP($C350,装備品!$1:$998,COLUMN($O$1),FALSE)*VLOOKUP($D350,素材!$1:$1016,COLUMN($E$1),FALSE)/(LEN(VLOOKUP($D350,素材!$1:$1016,COLUMN($F$1),FALSE))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V350">
        <f>IF(ISNUMBER(SEARCH(SUBSTITUTE(AV$1,RIGHT(AV$1,2),""),VLOOKUP($D350,素材!$1:$1016,COLUMN($F$1),FALSE))),VLOOKUP($C350,装備品!$1:$998,COLUMN($O$1),FALSE)*VLOOKUP($D350,素材!$1:$1016,COLUMN($E$1),FALSE)/(LEN(VLOOKUP($D350,素材!$1:$1016,COLUMN($F$1),FALSE))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W350">
        <f>IF(ISNUMBER(SEARCH(SUBSTITUTE(AW$1,RIGHT(AW$1,2),""),VLOOKUP($D350,素材!$1:$1016,COLUMN($F$1),FALSE))),VLOOKUP($C350,装備品!$1:$998,COLUMN($O$1),FALSE)*VLOOKUP($D350,素材!$1:$1016,COLUMN($E$1),FALSE)/(LEN(VLOOKUP($D350,素材!$1:$1016,COLUMN($F$1),FALSE))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X350">
        <f>IF(ISNUMBER(SEARCH(SUBSTITUTE(AX$1,RIGHT(AX$1,2),""),VLOOKUP($D350,素材!$1:$1016,COLUMN($F$1),FALSE))),VLOOKUP($C350,装備品!$1:$998,COLUMN($O$1),FALSE)*VLOOKUP($D350,素材!$1:$1016,COLUMN($E$1),FALSE)/(LEN(VLOOKUP($D350,素材!$1:$1016,COLUMN($F$1),FALSE))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Y350">
        <f>IF(ISNUMBER(SEARCH(SUBSTITUTE(AY$1,RIGHT(AY$1,2),""),VLOOKUP($D350,素材!$1:$1016,COLUMN($F$1),FALSE))),VLOOKUP($C350,装備品!$1:$998,COLUMN($O$1),FALSE)*VLOOKUP($D350,素材!$1:$1016,COLUMN($E$1),FALSE)/(LEN(VLOOKUP($D350,素材!$1:$1016,COLUMN($F$1),FALSE))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Z350">
        <f>IF(ISNUMBER(SEARCH(SUBSTITUTE(AZ$1,RIGHT(AZ$1,2),""),VLOOKUP($D350,素材!$1:$1016,COLUMN($F$1),FALSE))),VLOOKUP($C350,装備品!$1:$998,COLUMN($O$1),FALSE)*VLOOKUP($D350,素材!$1:$1016,COLUMN($E$1),FALSE)/(LEN(VLOOKUP($D350,素材!$1:$1016,COLUMN($F$1),FALSE))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BA350">
        <f>IF(ISNUMBER(SEARCH(SUBSTITUTE(BA$1,RIGHT(BA$1,2),""),VLOOKUP($D350,素材!$1:$1016,COLUMN($F$1),FALSE))),VLOOKUP($C350,装備品!$1:$998,COLUMN($O$1),FALSE)*VLOOKUP($D350,素材!$1:$1016,COLUMN($E$1),FALSE)/(LEN(VLOOKUP($D350,素材!$1:$1016,COLUMN($F$1),FALSE))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BB350">
        <f>IF(ISNUMBER(SEARCH(SUBSTITUTE(BB$1,RIGHT(BB$1,2),""),VLOOKUP($D350,素材!$1:$1016,COLUMN($F$1),FALSE))),VLOOKUP($C350,装備品!$1:$998,COLUMN($O$1),FALSE)*VLOOKUP($D350,素材!$1:$1016,COLUMN($E$1),FALSE)/(LEN(VLOOKUP($D350,素材!$1:$1016,COLUMN($F$1),FALSE))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BC350">
        <f>IF(ISNUMBER(SEARCH(SUBSTITUTE(BC$1,RIGHT(BC$1,2),""),VLOOKUP($D350,素材!$1:$1016,COLUMN($F$1),FALSE))),VLOOKUP($C350,装備品!$1:$998,COLUMN($O$1),FALSE)*VLOOKUP($D350,素材!$1:$1016,COLUMN($E$1),FALSE)/(LEN(VLOOKUP($D350,素材!$1:$1016,COLUMN($F$1),FALSE))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BD350">
        <f>IF(ISNUMBER(SEARCH(SUBSTITUTE(BD$1,RIGHT(BD$1,2),""),VLOOKUP($D350,素材!$1:$1016,COLUMN($F$1),FALSE))),VLOOKUP($C350,装備品!$1:$998,COLUMN($O$1),FALSE)*VLOOKUP($D350,素材!$1:$1016,COLUMN($E$1),FALSE)/(LEN(VLOOKUP($D350,素材!$1:$1016,COLUMN($F$1),FALSE))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BE350">
        <f>IF(ISNUMBER(SEARCH(SUBSTITUTE(BE$1,RIGHT(BE$1,2),""),VLOOKUP($D350,素材!$1:$1016,COLUMN($F$1),FALSE))),VLOOKUP($C350,装備品!$1:$998,COLUMN($O$1),FALSE)*VLOOKUP($D350,素材!$1:$1016,COLUMN($E$1),FALSE)/(LEN(VLOOKUP($D350,素材!$1:$1016,COLUMN($F$1),FALSE))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CL350">
        <f t="shared" si="47"/>
        <v>0</v>
      </c>
      <c r="CM350" s="22" t="str">
        <f t="shared" si="48"/>
        <v>.webp</v>
      </c>
      <c r="CN350" t="str">
        <f>IFERROR(VLOOKUP($C350,装備品!$1:$998,COLUMN(V$1),FALSE)*VLOOKUP($D350,素材!$1:$1016,COLUMN(N$1),FALSE)+IF(CI350="",0,VLOOKUP($CI350,付与!$1:$1176,COLUMN($CK$1),FALSE)),"")</f>
        <v/>
      </c>
      <c r="CO350" t="e">
        <f>VLOOKUP(D350,素材!$A:$O,COLUMN(素材!O$1),FALSE)</f>
        <v>#N/A</v>
      </c>
      <c r="CR350" t="str">
        <f t="shared" si="49"/>
        <v>e_350</v>
      </c>
      <c r="CS350" t="e">
        <f t="shared" si="50"/>
        <v>#VALUE!</v>
      </c>
    </row>
    <row r="351" spans="1:97" x14ac:dyDescent="0.4">
      <c r="A351" t="str">
        <f t="shared" ref="A351:A362" si="52">D351&amp;"の"&amp;C351</f>
        <v>銀鉄の鎧</v>
      </c>
      <c r="B351" t="str">
        <f>IFERROR(VLOOKUP($D351,素材!$1:$1016,COLUMN($B$1),FALSE)&amp;"・"&amp;VLOOKUP($C351,装備品!$1:$998,COLUMN(B$1),FALSE),"")</f>
        <v>ミスリル・アーマー</v>
      </c>
      <c r="C351" t="s">
        <v>197</v>
      </c>
      <c r="D351" s="24" t="s">
        <v>200</v>
      </c>
      <c r="E351" t="str">
        <f>IFERROR(VLOOKUP(C351,装備品!$1:$998,COLUMN(C$1),FALSE),"")</f>
        <v>体</v>
      </c>
      <c r="F351">
        <f>IFERROR(ROUNDDOWN((VLOOKUP($C351,装備品!$1:$998,COLUMN(D$1),FALSE)+IFERROR(VLOOKUP($CI351,付与!$1:$1167,COLUMN(F$1),FALSE),0))*VLOOKUP($D351,素材!$1:$1016,COLUMN(D$1),FALSE),0),"")</f>
        <v>0</v>
      </c>
      <c r="G351">
        <f>IFERROR(ROUNDDOWN((VLOOKUP($C351,装備品!$1:$998,COLUMN(E$1),FALSE)+IFERROR(VLOOKUP($CI351,付与!$1:$1167,COLUMN(G$1),FALSE),0))*VLOOKUP($D351,素材!$1:$1016,COLUMN($E$1),FALSE),0),"")</f>
        <v>0</v>
      </c>
      <c r="H351">
        <f>IFERROR(ROUNDDOWN((VLOOKUP($C351,装備品!$1:$998,COLUMN(F$1),FALSE)+IFERROR(VLOOKUP($CI351,付与!$1:$1167,COLUMN(H$1),FALSE),0))*VLOOKUP($D351,素材!$1:$1016,COLUMN($E$1),FALSE),0),"")</f>
        <v>0</v>
      </c>
      <c r="I351">
        <f>IFERROR(ROUNDDOWN((VLOOKUP($C351,装備品!$1:$998,COLUMN(G$1),FALSE)+IFERROR(VLOOKUP($CI351,付与!$1:$1167,COLUMN(I$1),FALSE),0))*VLOOKUP($D351,素材!$1:$1016,COLUMN($E$1),FALSE),0),"")</f>
        <v>0</v>
      </c>
      <c r="J351">
        <f>IFERROR(ROUNDDOWN((VLOOKUP($C351,装備品!$1:$998,COLUMN(H$1),FALSE)+IFERROR(VLOOKUP($CI351,付与!$1:$1167,COLUMN(J$1),FALSE),0))*VLOOKUP($D351,素材!$1:$1016,COLUMN($E$1),FALSE),0),"")</f>
        <v>0</v>
      </c>
      <c r="K351">
        <f>IFERROR(ROUNDDOWN((VLOOKUP($C351,装備品!$1:$998,COLUMN(I$1),FALSE)+IFERROR(VLOOKUP($CI351,付与!$1:$1167,COLUMN(K$1),FALSE),0))*VLOOKUP($D351,素材!$1:$1016,COLUMN($E$1),FALSE),0),"")</f>
        <v>0</v>
      </c>
      <c r="L351">
        <f>IFERROR(VLOOKUP($D351,素材!$1:$1016,COLUMN($F$1),FALSE),"")</f>
        <v>0</v>
      </c>
      <c r="M351">
        <f>IFERROR(VLOOKUP($C351,装備品!$1:$998,COLUMN(AA$1),FALSE)*VLOOKUP($D351,素材!$1:$1016,COLUMN($G$1),FALSE),"")</f>
        <v>0</v>
      </c>
      <c r="N351">
        <f>IFERROR(VLOOKUP($C351,装備品!$1:$998,COLUMN(I$1),FALSE),"")</f>
        <v>0</v>
      </c>
      <c r="O351" s="23">
        <f>IFERROR((VLOOKUP($C351,装備品!$1:$998,COLUMN(K$1),FALSE)+VLOOKUP($D351,素材!$1:$1016,COLUMN(H$1),FALSE))*100+IFERROR(VLOOKUP($CI351,付与!$1:$1167,COLUMN(O$1),FALSE),0),"")</f>
        <v>2</v>
      </c>
      <c r="P351" s="23">
        <f>IFERROR((VLOOKUP($C351,装備品!$1:$998,COLUMN(L$1),FALSE)+VLOOKUP($D351,素材!$1:$1016,COLUMN(I$1),FALSE))*100+IFERROR(VLOOKUP($CI351,付与!$1:$1167,COLUMN(P$1),FALSE),0),"")</f>
        <v>5</v>
      </c>
      <c r="Q351">
        <f>IFERROR(ROUNDUP(VLOOKUP($C351,装備品!$1:$998,COLUMN(M$1),FALSE)*(VLOOKUP($D351,素材!$1:$1002,COLUMN(D$1),FALSE)/100),1),"")</f>
        <v>-9.7999999999999989</v>
      </c>
      <c r="R351">
        <f>IFERROR(ROUNDUP(VLOOKUP($C351,装備品!$1:$998,COLUMN(N$1),FALSE)*(VLOOKUP($D351,素材!$1:$1002,COLUMN(D$1),FALSE)/100),1),"")</f>
        <v>0</v>
      </c>
      <c r="S351">
        <f>IFERROR(VLOOKUP($C351,装備品!$1:$998,COLUMN(P$1),FALSE),"")</f>
        <v>-35</v>
      </c>
      <c r="T351">
        <f>IFERROR(VLOOKUP($C351,装備品!$1:$998,COLUMN(Q$1),FALSE),"")</f>
        <v>0</v>
      </c>
      <c r="U351">
        <f>IFERROR(VLOOKUP($C351,装備品!$1:$998,COLUMN(R$1),FALSE),"")</f>
        <v>0</v>
      </c>
      <c r="V351">
        <f>IFERROR(VLOOKUP($C351,装備品!$1:$998,COLUMN(Q$1),FALSE),"")</f>
        <v>0</v>
      </c>
      <c r="W351">
        <f>IFERROR(VLOOKUP($C351,装備品!$1:$998,COLUMN(T$1),FALSE),"")</f>
        <v>0.7</v>
      </c>
      <c r="Y351">
        <f>IFERROR(VLOOKUP($C351,装備品!$1:$998,COLUMN(U$1),FALSE),"")</f>
        <v>0</v>
      </c>
      <c r="Z351">
        <f>IFERROR(ROUNDUP(VLOOKUP($C351,装備品!$1:$998,COLUMN(O$1),FALSE)*VLOOKUP($D351,素材!$1:$1016,COLUMN(E$1),FALSE),1),"")</f>
        <v>0</v>
      </c>
      <c r="AA351">
        <f>IF(ISNUMBER(SEARCH(SUBSTITUTE(AA$1,RIGHT(AA$1,2),""),VLOOKUP($D351,素材!$1:$1016,COLUMN($F$1),FALSE))),VLOOKUP($C351,装備品!$1:$998,COLUMN($O$1),FALSE)*VLOOKUP($D351,素材!$1:$1016,COLUMN($E$1),FALSE)/(LEN(VLOOKUP($D351,素材!$1:$1016,COLUMN($F$1),FALSE))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B351">
        <f>IF(ISNUMBER(SEARCH(SUBSTITUTE(AB$1,RIGHT(AB$1,2),""),VLOOKUP($D351,素材!$1:$1016,COLUMN($F$1),FALSE))),VLOOKUP($C351,装備品!$1:$998,COLUMN($O$1),FALSE)*VLOOKUP($D351,素材!$1:$1016,COLUMN($E$1),FALSE)/(LEN(VLOOKUP($D351,素材!$1:$1016,COLUMN($F$1),FALSE))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C351">
        <f>IF(ISNUMBER(SEARCH(SUBSTITUTE(AC$1,RIGHT(AC$1,2),""),VLOOKUP($D351,素材!$1:$1016,COLUMN($F$1),FALSE))),VLOOKUP($C351,装備品!$1:$998,COLUMN($O$1),FALSE)*VLOOKUP($D351,素材!$1:$1016,COLUMN($E$1),FALSE)/(LEN(VLOOKUP($D351,素材!$1:$1016,COLUMN($F$1),FALSE))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D351">
        <f>IF(ISNUMBER(SEARCH(SUBSTITUTE(AD$1,RIGHT(AD$1,2),""),VLOOKUP($D351,素材!$1:$1016,COLUMN($F$1),FALSE))),VLOOKUP($C351,装備品!$1:$998,COLUMN($O$1),FALSE)*VLOOKUP($D351,素材!$1:$1016,COLUMN($E$1),FALSE)/(LEN(VLOOKUP($D351,素材!$1:$1016,COLUMN($F$1),FALSE))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E351">
        <f>IF(ISNUMBER(SEARCH(SUBSTITUTE(AE$1,RIGHT(AE$1,2),""),VLOOKUP($D351,素材!$1:$1016,COLUMN($F$1),FALSE))),VLOOKUP($C351,装備品!$1:$998,COLUMN($O$1),FALSE)*VLOOKUP($D351,素材!$1:$1016,COLUMN($E$1),FALSE)/(LEN(VLOOKUP($D351,素材!$1:$1016,COLUMN($F$1),FALSE))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F351">
        <f>IF(ISNUMBER(SEARCH(SUBSTITUTE(AF$1,RIGHT(AF$1,2),""),VLOOKUP($D351,素材!$1:$1016,COLUMN($F$1),FALSE))),VLOOKUP($C351,装備品!$1:$998,COLUMN($O$1),FALSE)*VLOOKUP($D351,素材!$1:$1016,COLUMN($E$1),FALSE)/(LEN(VLOOKUP($D351,素材!$1:$1016,COLUMN($F$1),FALSE))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G351">
        <f>IF(ISNUMBER(SEARCH(SUBSTITUTE(AG$1,RIGHT(AG$1,2),""),VLOOKUP($D351,素材!$1:$1016,COLUMN($F$1),FALSE))),VLOOKUP($C351,装備品!$1:$998,COLUMN($O$1),FALSE)*VLOOKUP($D351,素材!$1:$1016,COLUMN($E$1),FALSE)/(LEN(VLOOKUP($D351,素材!$1:$1016,COLUMN($F$1),FALSE))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H351">
        <f>IF(ISNUMBER(SEARCH(SUBSTITUTE(AH$1,RIGHT(AH$1,2),""),VLOOKUP($D351,素材!$1:$1016,COLUMN($F$1),FALSE))),VLOOKUP($C351,装備品!$1:$998,COLUMN($O$1),FALSE)*VLOOKUP($D351,素材!$1:$1016,COLUMN($E$1),FALSE)/(LEN(VLOOKUP($D351,素材!$1:$1016,COLUMN($F$1),FALSE))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I351">
        <f>IF(ISNUMBER(SEARCH(SUBSTITUTE(AI$1,RIGHT(AI$1,2),""),VLOOKUP($D351,素材!$1:$1016,COLUMN($F$1),FALSE))),VLOOKUP($C351,装備品!$1:$998,COLUMN($O$1),FALSE)*VLOOKUP($D351,素材!$1:$1016,COLUMN($E$1),FALSE)/(LEN(VLOOKUP($D351,素材!$1:$1016,COLUMN($F$1),FALSE))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J351">
        <f>IF(ISNUMBER(SEARCH(SUBSTITUTE(AJ$1,RIGHT(AJ$1,2),""),VLOOKUP($D351,素材!$1:$1016,COLUMN($F$1),FALSE))),VLOOKUP($C351,装備品!$1:$998,COLUMN($O$1),FALSE)*VLOOKUP($D351,素材!$1:$1016,COLUMN($E$1),FALSE)/(LEN(VLOOKUP($D351,素材!$1:$1016,COLUMN($F$1),FALSE))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K351">
        <f>IF(ISNUMBER(SEARCH(SUBSTITUTE(AK$1,RIGHT(AK$1,2),""),VLOOKUP($D351,素材!$1:$1016,COLUMN($F$1),FALSE))),VLOOKUP($C351,装備品!$1:$998,COLUMN($O$1),FALSE)*VLOOKUP($D351,素材!$1:$1016,COLUMN($E$1),FALSE)/(LEN(VLOOKUP($D351,素材!$1:$1016,COLUMN($F$1),FALSE))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L351">
        <f>IF(ISNUMBER(SEARCH(SUBSTITUTE(AL$1,RIGHT(AL$1,2),""),VLOOKUP($D351,素材!$1:$1016,COLUMN($F$1),FALSE))),VLOOKUP($C351,装備品!$1:$998,COLUMN($O$1),FALSE)*VLOOKUP($D351,素材!$1:$1016,COLUMN($E$1),FALSE)/(LEN(VLOOKUP($D351,素材!$1:$1016,COLUMN($F$1),FALSE))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M351">
        <f>IF(ISNUMBER(SEARCH(SUBSTITUTE(AM$1,RIGHT(AM$1,2),""),VLOOKUP($D351,素材!$1:$1016,COLUMN($F$1),FALSE))),VLOOKUP($C351,装備品!$1:$998,COLUMN($O$1),FALSE)*VLOOKUP($D351,素材!$1:$1016,COLUMN($E$1),FALSE)/(LEN(VLOOKUP($D351,素材!$1:$1016,COLUMN($F$1),FALSE))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N351">
        <f>IF(ISNUMBER(SEARCH(SUBSTITUTE(AN$1,RIGHT(AN$1,2),""),VLOOKUP($D351,素材!$1:$1016,COLUMN($F$1),FALSE))),VLOOKUP($C351,装備品!$1:$998,COLUMN($O$1),FALSE)*VLOOKUP($D351,素材!$1:$1016,COLUMN($E$1),FALSE)/(LEN(VLOOKUP($D351,素材!$1:$1016,COLUMN($F$1),FALSE))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O351">
        <f>IF(ISNUMBER(SEARCH(SUBSTITUTE(AO$1,RIGHT(AO$1,2),""),VLOOKUP($D351,素材!$1:$1016,COLUMN($F$1),FALSE))),VLOOKUP($C351,装備品!$1:$998,COLUMN($O$1),FALSE)*VLOOKUP($D351,素材!$1:$1016,COLUMN($E$1),FALSE)/(LEN(VLOOKUP($D351,素材!$1:$1016,COLUMN($F$1),FALSE))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P351">
        <f>IF(ISNUMBER(SEARCH(SUBSTITUTE(AP$1,RIGHT(AP$1,2),""),VLOOKUP($D351,素材!$1:$1016,COLUMN($F$1),FALSE))),VLOOKUP($C351,装備品!$1:$998,COLUMN($O$1),FALSE)*VLOOKUP($D351,素材!$1:$1016,COLUMN($E$1),FALSE)/(LEN(VLOOKUP($D351,素材!$1:$1016,COLUMN($F$1),FALSE))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Q351">
        <f>IF(ISNUMBER(SEARCH(SUBSTITUTE(AQ$1,RIGHT(AQ$1,2),""),VLOOKUP($D351,素材!$1:$1016,COLUMN($F$1),FALSE))),VLOOKUP($C351,装備品!$1:$998,COLUMN($O$1),FALSE)*VLOOKUP($D351,素材!$1:$1016,COLUMN($E$1),FALSE)/(LEN(VLOOKUP($D351,素材!$1:$1016,COLUMN($F$1),FALSE))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R351">
        <f>IF(ISNUMBER(SEARCH(SUBSTITUTE(AR$1,RIGHT(AR$1,2),""),VLOOKUP($D351,素材!$1:$1016,COLUMN($F$1),FALSE))),VLOOKUP($C351,装備品!$1:$998,COLUMN($O$1),FALSE)*VLOOKUP($D351,素材!$1:$1016,COLUMN($E$1),FALSE)/(LEN(VLOOKUP($D351,素材!$1:$1016,COLUMN($F$1),FALSE))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S351">
        <f>IF(ISNUMBER(SEARCH(SUBSTITUTE(AS$1,RIGHT(AS$1,2),""),VLOOKUP($D351,素材!$1:$1016,COLUMN($F$1),FALSE))),VLOOKUP($C351,装備品!$1:$998,COLUMN($O$1),FALSE)*VLOOKUP($D351,素材!$1:$1016,COLUMN($E$1),FALSE)/(LEN(VLOOKUP($D351,素材!$1:$1016,COLUMN($F$1),FALSE))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T351">
        <f>IF(ISNUMBER(SEARCH(SUBSTITUTE(AT$1,RIGHT(AT$1,2),""),VLOOKUP($D351,素材!$1:$1016,COLUMN($F$1),FALSE))),VLOOKUP($C351,装備品!$1:$998,COLUMN($O$1),FALSE)*VLOOKUP($D351,素材!$1:$1016,COLUMN($E$1),FALSE)/(LEN(VLOOKUP($D351,素材!$1:$1016,COLUMN($F$1),FALSE))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U351">
        <f>IF(ISNUMBER(SEARCH(SUBSTITUTE(AU$1,RIGHT(AU$1,2),""),VLOOKUP($D351,素材!$1:$1016,COLUMN($F$1),FALSE))),VLOOKUP($C351,装備品!$1:$998,COLUMN($O$1),FALSE)*VLOOKUP($D351,素材!$1:$1016,COLUMN($E$1),FALSE)/(LEN(VLOOKUP($D351,素材!$1:$1016,COLUMN($F$1),FALSE))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V351">
        <f>IF(ISNUMBER(SEARCH(SUBSTITUTE(AV$1,RIGHT(AV$1,2),""),VLOOKUP($D351,素材!$1:$1016,COLUMN($F$1),FALSE))),VLOOKUP($C351,装備品!$1:$998,COLUMN($O$1),FALSE)*VLOOKUP($D351,素材!$1:$1016,COLUMN($E$1),FALSE)/(LEN(VLOOKUP($D351,素材!$1:$1016,COLUMN($F$1),FALSE))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W351">
        <f>IF(ISNUMBER(SEARCH(SUBSTITUTE(AW$1,RIGHT(AW$1,2),""),VLOOKUP($D351,素材!$1:$1016,COLUMN($F$1),FALSE))),VLOOKUP($C351,装備品!$1:$998,COLUMN($O$1),FALSE)*VLOOKUP($D351,素材!$1:$1016,COLUMN($E$1),FALSE)/(LEN(VLOOKUP($D351,素材!$1:$1016,COLUMN($F$1),FALSE))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X351">
        <f>IF(ISNUMBER(SEARCH(SUBSTITUTE(AX$1,RIGHT(AX$1,2),""),VLOOKUP($D351,素材!$1:$1016,COLUMN($F$1),FALSE))),VLOOKUP($C351,装備品!$1:$998,COLUMN($O$1),FALSE)*VLOOKUP($D351,素材!$1:$1016,COLUMN($E$1),FALSE)/(LEN(VLOOKUP($D351,素材!$1:$1016,COLUMN($F$1),FALSE))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Y351">
        <f>IF(ISNUMBER(SEARCH(SUBSTITUTE(AY$1,RIGHT(AY$1,2),""),VLOOKUP($D351,素材!$1:$1016,COLUMN($F$1),FALSE))),VLOOKUP($C351,装備品!$1:$998,COLUMN($O$1),FALSE)*VLOOKUP($D351,素材!$1:$1016,COLUMN($E$1),FALSE)/(LEN(VLOOKUP($D351,素材!$1:$1016,COLUMN($F$1),FALSE))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Z351">
        <f>IF(ISNUMBER(SEARCH(SUBSTITUTE(AZ$1,RIGHT(AZ$1,2),""),VLOOKUP($D351,素材!$1:$1016,COLUMN($F$1),FALSE))),VLOOKUP($C351,装備品!$1:$998,COLUMN($O$1),FALSE)*VLOOKUP($D351,素材!$1:$1016,COLUMN($E$1),FALSE)/(LEN(VLOOKUP($D351,素材!$1:$1016,COLUMN($F$1),FALSE))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BA351">
        <f>IF(ISNUMBER(SEARCH(SUBSTITUTE(BA$1,RIGHT(BA$1,2),""),VLOOKUP($D351,素材!$1:$1016,COLUMN($F$1),FALSE))),VLOOKUP($C351,装備品!$1:$998,COLUMN($O$1),FALSE)*VLOOKUP($D351,素材!$1:$1016,COLUMN($E$1),FALSE)/(LEN(VLOOKUP($D351,素材!$1:$1016,COLUMN($F$1),FALSE))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BB351">
        <f>IF(ISNUMBER(SEARCH(SUBSTITUTE(BB$1,RIGHT(BB$1,2),""),VLOOKUP($D351,素材!$1:$1016,COLUMN($F$1),FALSE))),VLOOKUP($C351,装備品!$1:$998,COLUMN($O$1),FALSE)*VLOOKUP($D351,素材!$1:$1016,COLUMN($E$1),FALSE)/(LEN(VLOOKUP($D351,素材!$1:$1016,COLUMN($F$1),FALSE))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BC351">
        <f>IF(ISNUMBER(SEARCH(SUBSTITUTE(BC$1,RIGHT(BC$1,2),""),VLOOKUP($D351,素材!$1:$1016,COLUMN($F$1),FALSE))),VLOOKUP($C351,装備品!$1:$998,COLUMN($O$1),FALSE)*VLOOKUP($D351,素材!$1:$1016,COLUMN($E$1),FALSE)/(LEN(VLOOKUP($D351,素材!$1:$1016,COLUMN($F$1),FALSE))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BD351">
        <f>IF(ISNUMBER(SEARCH(SUBSTITUTE(BD$1,RIGHT(BD$1,2),""),VLOOKUP($D351,素材!$1:$1016,COLUMN($F$1),FALSE))),VLOOKUP($C351,装備品!$1:$998,COLUMN($O$1),FALSE)*VLOOKUP($D351,素材!$1:$1016,COLUMN($E$1),FALSE)/(LEN(VLOOKUP($D351,素材!$1:$1016,COLUMN($F$1),FALSE))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BE351">
        <f>IF(ISNUMBER(SEARCH(SUBSTITUTE(BE$1,RIGHT(BE$1,2),""),VLOOKUP($D351,素材!$1:$1016,COLUMN($F$1),FALSE))),VLOOKUP($C351,装備品!$1:$998,COLUMN($O$1),FALSE)*VLOOKUP($D351,素材!$1:$1016,COLUMN($E$1),FALSE)/(LEN(VLOOKUP($D351,素材!$1:$1016,COLUMN($F$1),FALSE))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CL351">
        <f t="shared" si="47"/>
        <v>0</v>
      </c>
      <c r="CM351" s="22" t="str">
        <f t="shared" si="48"/>
        <v>体.webp</v>
      </c>
      <c r="CN351">
        <f>IFERROR(VLOOKUP($C351,装備品!$1:$998,COLUMN(V$1),FALSE)*VLOOKUP($D351,素材!$1:$1016,COLUMN(N$1),FALSE)+IF(CI351="",0,VLOOKUP($CI351,付与!$1:$1176,COLUMN($CK$1),FALSE)),"")</f>
        <v>0</v>
      </c>
      <c r="CO351">
        <f>VLOOKUP(D351,素材!$A:$O,COLUMN(素材!O$1),FALSE)</f>
        <v>0</v>
      </c>
      <c r="CP351" t="str">
        <f>VLOOKUP(C351,装備品!$A:$AB,COLUMN(装備品!AB$1),FALSE)</f>
        <v>HP 物理 魔法 体幹 出血 疲労 Cr</v>
      </c>
      <c r="CR351" t="str">
        <f t="shared" si="49"/>
        <v>e_351</v>
      </c>
      <c r="CS351">
        <f t="shared" si="50"/>
        <v>0</v>
      </c>
    </row>
    <row r="352" spans="1:97" outlineLevel="1" x14ac:dyDescent="0.4">
      <c r="A352" t="str">
        <f t="shared" si="52"/>
        <v>金鉄の鎧</v>
      </c>
      <c r="B352" t="str">
        <f>IFERROR(VLOOKUP($D352,素材!$1:$1016,COLUMN($B$1),FALSE)&amp;"・"&amp;VLOOKUP($C352,装備品!$1:$998,COLUMN(B$1),FALSE),"")</f>
        <v>オリハルコン・アーマー</v>
      </c>
      <c r="C352" t="s">
        <v>197</v>
      </c>
      <c r="D352" s="24" t="s">
        <v>199</v>
      </c>
      <c r="E352" t="str">
        <f>IFERROR(VLOOKUP(C352,装備品!$1:$998,COLUMN(C$1),FALSE),"")</f>
        <v>体</v>
      </c>
      <c r="F352">
        <f>IFERROR(ROUNDDOWN((VLOOKUP($C352,装備品!$1:$998,COLUMN(D$1),FALSE)+IFERROR(VLOOKUP($CI352,付与!$1:$1167,COLUMN(F$1),FALSE),0))*VLOOKUP($D352,素材!$1:$1016,COLUMN(D$1),FALSE),0),"")</f>
        <v>0</v>
      </c>
      <c r="G352">
        <f>IFERROR(ROUNDDOWN((VLOOKUP($C352,装備品!$1:$998,COLUMN(E$1),FALSE)+IFERROR(VLOOKUP($CI352,付与!$1:$1167,COLUMN(G$1),FALSE),0))*VLOOKUP($D352,素材!$1:$1016,COLUMN($E$1),FALSE),0),"")</f>
        <v>0</v>
      </c>
      <c r="H352">
        <f>IFERROR(ROUNDDOWN((VLOOKUP($C352,装備品!$1:$998,COLUMN(F$1),FALSE)+IFERROR(VLOOKUP($CI352,付与!$1:$1167,COLUMN(H$1),FALSE),0))*VLOOKUP($D352,素材!$1:$1016,COLUMN($E$1),FALSE),0),"")</f>
        <v>0</v>
      </c>
      <c r="I352">
        <f>IFERROR(ROUNDDOWN((VLOOKUP($C352,装備品!$1:$998,COLUMN(G$1),FALSE)+IFERROR(VLOOKUP($CI352,付与!$1:$1167,COLUMN(I$1),FALSE),0))*VLOOKUP($D352,素材!$1:$1016,COLUMN($E$1),FALSE),0),"")</f>
        <v>0</v>
      </c>
      <c r="J352">
        <f>IFERROR(ROUNDDOWN((VLOOKUP($C352,装備品!$1:$998,COLUMN(H$1),FALSE)+IFERROR(VLOOKUP($CI352,付与!$1:$1167,COLUMN(J$1),FALSE),0))*VLOOKUP($D352,素材!$1:$1016,COLUMN($E$1),FALSE),0),"")</f>
        <v>0</v>
      </c>
      <c r="K352">
        <f>IFERROR(ROUNDDOWN((VLOOKUP($C352,装備品!$1:$998,COLUMN(I$1),FALSE)+IFERROR(VLOOKUP($CI352,付与!$1:$1167,COLUMN(K$1),FALSE),0))*VLOOKUP($D352,素材!$1:$1016,COLUMN($E$1),FALSE),0),"")</f>
        <v>0</v>
      </c>
      <c r="L352" t="str">
        <f>IFERROR(VLOOKUP($D352,素材!$1:$1016,COLUMN($F$1),FALSE),"")</f>
        <v>魔法</v>
      </c>
      <c r="M352">
        <f>IFERROR(VLOOKUP($C352,装備品!$1:$998,COLUMN(AA$1),FALSE)*VLOOKUP($D352,素材!$1:$1016,COLUMN($G$1),FALSE),"")</f>
        <v>90</v>
      </c>
      <c r="N352">
        <f>IFERROR(VLOOKUP($C352,装備品!$1:$998,COLUMN(I$1),FALSE),"")</f>
        <v>0</v>
      </c>
      <c r="O352" s="23">
        <f>IFERROR((VLOOKUP($C352,装備品!$1:$998,COLUMN(K$1),FALSE)+VLOOKUP($D352,素材!$1:$1016,COLUMN(H$1),FALSE))*100+IFERROR(VLOOKUP($CI352,付与!$1:$1167,COLUMN(O$1),FALSE),0),"")</f>
        <v>2</v>
      </c>
      <c r="P352" s="23">
        <f>IFERROR((VLOOKUP($C352,装備品!$1:$998,COLUMN(L$1),FALSE)+VLOOKUP($D352,素材!$1:$1016,COLUMN(I$1),FALSE))*100+IFERROR(VLOOKUP($CI352,付与!$1:$1167,COLUMN(P$1),FALSE),0),"")</f>
        <v>5</v>
      </c>
      <c r="Q352">
        <f>IFERROR(ROUNDUP(VLOOKUP($C352,装備品!$1:$998,COLUMN(M$1),FALSE)*(VLOOKUP($D352,素材!$1:$1002,COLUMN(D$1),FALSE)/100),1),"")</f>
        <v>-15</v>
      </c>
      <c r="R352">
        <f>IFERROR(ROUNDUP(VLOOKUP($C352,装備品!$1:$998,COLUMN(N$1),FALSE)*(VLOOKUP($D352,素材!$1:$1002,COLUMN(D$1),FALSE)/100),1),"")</f>
        <v>0</v>
      </c>
      <c r="S352">
        <f>IFERROR(VLOOKUP($C352,装備品!$1:$998,COLUMN(P$1),FALSE),"")</f>
        <v>-35</v>
      </c>
      <c r="T352">
        <f>IFERROR(VLOOKUP($C352,装備品!$1:$998,COLUMN(Q$1),FALSE),"")</f>
        <v>0</v>
      </c>
      <c r="U352">
        <f>IFERROR(VLOOKUP($C352,装備品!$1:$998,COLUMN(R$1),FALSE),"")</f>
        <v>0</v>
      </c>
      <c r="V352">
        <f>IFERROR(VLOOKUP($C352,装備品!$1:$998,COLUMN(Q$1),FALSE),"")</f>
        <v>0</v>
      </c>
      <c r="W352">
        <f>IFERROR(VLOOKUP($C352,装備品!$1:$998,COLUMN(T$1),FALSE),"")</f>
        <v>0.7</v>
      </c>
      <c r="Y352">
        <f>IFERROR(VLOOKUP($C352,装備品!$1:$998,COLUMN(U$1),FALSE),"")</f>
        <v>0</v>
      </c>
      <c r="Z352">
        <f>IFERROR(ROUNDUP(VLOOKUP($C352,装備品!$1:$998,COLUMN(O$1),FALSE)*VLOOKUP($D352,素材!$1:$1016,COLUMN(E$1),FALSE),1),"")</f>
        <v>0</v>
      </c>
      <c r="AA352">
        <f>IF(ISNUMBER(SEARCH(SUBSTITUTE(AA$1,RIGHT(AA$1,2),""),VLOOKUP($D352,素材!$1:$1016,COLUMN($F$1),FALSE))),VLOOKUP($C352,装備品!$1:$998,COLUMN($O$1),FALSE)*VLOOKUP($D352,素材!$1:$1016,COLUMN($E$1),FALSE)/(LEN(VLOOKUP($D352,素材!$1:$1016,COLUMN($F$1),FALSE))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B352">
        <f>IF(ISNUMBER(SEARCH(SUBSTITUTE(AB$1,RIGHT(AB$1,2),""),VLOOKUP($D352,素材!$1:$1016,COLUMN($F$1),FALSE))),VLOOKUP($C352,装備品!$1:$998,COLUMN($O$1),FALSE)*VLOOKUP($D352,素材!$1:$1016,COLUMN($E$1),FALSE)/(LEN(VLOOKUP($D352,素材!$1:$1016,COLUMN($F$1),FALSE))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C352">
        <f>IF(ISNUMBER(SEARCH(SUBSTITUTE(AC$1,RIGHT(AC$1,2),""),VLOOKUP($D352,素材!$1:$1016,COLUMN($F$1),FALSE))),VLOOKUP($C352,装備品!$1:$998,COLUMN($O$1),FALSE)*VLOOKUP($D352,素材!$1:$1016,COLUMN($E$1),FALSE)/(LEN(VLOOKUP($D352,素材!$1:$1016,COLUMN($F$1),FALSE))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D352">
        <f>IF(ISNUMBER(SEARCH(SUBSTITUTE(AD$1,RIGHT(AD$1,2),""),VLOOKUP($D352,素材!$1:$1016,COLUMN($F$1),FALSE))),VLOOKUP($C352,装備品!$1:$998,COLUMN($O$1),FALSE)*VLOOKUP($D352,素材!$1:$1016,COLUMN($E$1),FALSE)/(LEN(VLOOKUP($D352,素材!$1:$1016,COLUMN($F$1),FALSE))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E352">
        <f>IF(ISNUMBER(SEARCH(SUBSTITUTE(AE$1,RIGHT(AE$1,2),""),VLOOKUP($D352,素材!$1:$1016,COLUMN($F$1),FALSE))),VLOOKUP($C352,装備品!$1:$998,COLUMN($O$1),FALSE)*VLOOKUP($D352,素材!$1:$1016,COLUMN($E$1),FALSE)/(LEN(VLOOKUP($D352,素材!$1:$1016,COLUMN($F$1),FALSE))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F352">
        <f>IF(ISNUMBER(SEARCH(SUBSTITUTE(AF$1,RIGHT(AF$1,2),""),VLOOKUP($D352,素材!$1:$1016,COLUMN($F$1),FALSE))),VLOOKUP($C352,装備品!$1:$998,COLUMN($O$1),FALSE)*VLOOKUP($D352,素材!$1:$1016,COLUMN($E$1),FALSE)/(LEN(VLOOKUP($D352,素材!$1:$1016,COLUMN($F$1),FALSE))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G352">
        <f>IF(ISNUMBER(SEARCH(SUBSTITUTE(AG$1,RIGHT(AG$1,2),""),VLOOKUP($D352,素材!$1:$1016,COLUMN($F$1),FALSE))),VLOOKUP($C352,装備品!$1:$998,COLUMN($O$1),FALSE)*VLOOKUP($D352,素材!$1:$1016,COLUMN($E$1),FALSE)/(LEN(VLOOKUP($D352,素材!$1:$1016,COLUMN($F$1),FALSE))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H352">
        <f>IF(ISNUMBER(SEARCH(SUBSTITUTE(AH$1,RIGHT(AH$1,2),""),VLOOKUP($D352,素材!$1:$1016,COLUMN($F$1),FALSE))),VLOOKUP($C352,装備品!$1:$998,COLUMN($O$1),FALSE)*VLOOKUP($D352,素材!$1:$1016,COLUMN($E$1),FALSE)/(LEN(VLOOKUP($D352,素材!$1:$1016,COLUMN($F$1),FALSE))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I352">
        <f>IF(ISNUMBER(SEARCH(SUBSTITUTE(AI$1,RIGHT(AI$1,2),""),VLOOKUP($D352,素材!$1:$1016,COLUMN($F$1),FALSE))),VLOOKUP($C352,装備品!$1:$998,COLUMN($O$1),FALSE)*VLOOKUP($D352,素材!$1:$1016,COLUMN($E$1),FALSE)/(LEN(VLOOKUP($D352,素材!$1:$1016,COLUMN($F$1),FALSE))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J352">
        <f>IF(ISNUMBER(SEARCH(SUBSTITUTE(AJ$1,RIGHT(AJ$1,2),""),VLOOKUP($D352,素材!$1:$1016,COLUMN($F$1),FALSE))),VLOOKUP($C352,装備品!$1:$998,COLUMN($O$1),FALSE)*VLOOKUP($D352,素材!$1:$1016,COLUMN($E$1),FALSE)/(LEN(VLOOKUP($D352,素材!$1:$1016,COLUMN($F$1),FALSE))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K352">
        <f>IF(ISNUMBER(SEARCH(SUBSTITUTE(AK$1,RIGHT(AK$1,2),""),VLOOKUP($D352,素材!$1:$1016,COLUMN($F$1),FALSE))),VLOOKUP($C352,装備品!$1:$998,COLUMN($O$1),FALSE)*VLOOKUP($D352,素材!$1:$1016,COLUMN($E$1),FALSE)/(LEN(VLOOKUP($D352,素材!$1:$1016,COLUMN($F$1),FALSE))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L352">
        <f>IF(ISNUMBER(SEARCH(SUBSTITUTE(AL$1,RIGHT(AL$1,2),""),VLOOKUP($D352,素材!$1:$1016,COLUMN($F$1),FALSE))),VLOOKUP($C352,装備品!$1:$998,COLUMN($O$1),FALSE)*VLOOKUP($D352,素材!$1:$1016,COLUMN($E$1),FALSE)/(LEN(VLOOKUP($D352,素材!$1:$1016,COLUMN($F$1),FALSE))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M352">
        <f>IF(ISNUMBER(SEARCH(SUBSTITUTE(AM$1,RIGHT(AM$1,2),""),VLOOKUP($D352,素材!$1:$1016,COLUMN($F$1),FALSE))),VLOOKUP($C352,装備品!$1:$998,COLUMN($O$1),FALSE)*VLOOKUP($D352,素材!$1:$1016,COLUMN($E$1),FALSE)/(LEN(VLOOKUP($D352,素材!$1:$1016,COLUMN($F$1),FALSE))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N352">
        <f>IF(ISNUMBER(SEARCH(SUBSTITUTE(AN$1,RIGHT(AN$1,2),""),VLOOKUP($D352,素材!$1:$1016,COLUMN($F$1),FALSE))),VLOOKUP($C352,装備品!$1:$998,COLUMN($O$1),FALSE)*VLOOKUP($D352,素材!$1:$1016,COLUMN($E$1),FALSE)/(LEN(VLOOKUP($D352,素材!$1:$1016,COLUMN($F$1),FALSE))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O352">
        <f>IF(ISNUMBER(SEARCH(SUBSTITUTE(AO$1,RIGHT(AO$1,2),""),VLOOKUP($D352,素材!$1:$1016,COLUMN($F$1),FALSE))),VLOOKUP($C352,装備品!$1:$998,COLUMN($O$1),FALSE)*VLOOKUP($D352,素材!$1:$1016,COLUMN($E$1),FALSE)/(LEN(VLOOKUP($D352,素材!$1:$1016,COLUMN($F$1),FALSE))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P352">
        <f>IF(ISNUMBER(SEARCH(SUBSTITUTE(AP$1,RIGHT(AP$1,2),""),VLOOKUP($D352,素材!$1:$1016,COLUMN($F$1),FALSE))),VLOOKUP($C352,装備品!$1:$998,COLUMN($O$1),FALSE)*VLOOKUP($D352,素材!$1:$1016,COLUMN($E$1),FALSE)/(LEN(VLOOKUP($D352,素材!$1:$1016,COLUMN($F$1),FALSE))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Q352">
        <f>IF(ISNUMBER(SEARCH(SUBSTITUTE(AQ$1,RIGHT(AQ$1,2),""),VLOOKUP($D352,素材!$1:$1016,COLUMN($F$1),FALSE))),VLOOKUP($C352,装備品!$1:$998,COLUMN($O$1),FALSE)*VLOOKUP($D352,素材!$1:$1016,COLUMN($E$1),FALSE)/(LEN(VLOOKUP($D352,素材!$1:$1016,COLUMN($F$1),FALSE))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R352">
        <f>IF(ISNUMBER(SEARCH(SUBSTITUTE(AR$1,RIGHT(AR$1,2),""),VLOOKUP($D352,素材!$1:$1016,COLUMN($F$1),FALSE))),VLOOKUP($C352,装備品!$1:$998,COLUMN($O$1),FALSE)*VLOOKUP($D352,素材!$1:$1016,COLUMN($E$1),FALSE)/(LEN(VLOOKUP($D352,素材!$1:$1016,COLUMN($F$1),FALSE))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S352">
        <f>IF(ISNUMBER(SEARCH(SUBSTITUTE(AS$1,RIGHT(AS$1,2),""),VLOOKUP($D352,素材!$1:$1016,COLUMN($F$1),FALSE))),VLOOKUP($C352,装備品!$1:$998,COLUMN($O$1),FALSE)*VLOOKUP($D352,素材!$1:$1016,COLUMN($E$1),FALSE)/(LEN(VLOOKUP($D352,素材!$1:$1016,COLUMN($F$1),FALSE))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T352">
        <f>IF(ISNUMBER(SEARCH(SUBSTITUTE(AT$1,RIGHT(AT$1,2),""),VLOOKUP($D352,素材!$1:$1016,COLUMN($F$1),FALSE))),VLOOKUP($C352,装備品!$1:$998,COLUMN($O$1),FALSE)*VLOOKUP($D352,素材!$1:$1016,COLUMN($E$1),FALSE)/(LEN(VLOOKUP($D352,素材!$1:$1016,COLUMN($F$1),FALSE))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U352">
        <f>IF(ISNUMBER(SEARCH(SUBSTITUTE(AU$1,RIGHT(AU$1,2),""),VLOOKUP($D352,素材!$1:$1016,COLUMN($F$1),FALSE))),VLOOKUP($C352,装備品!$1:$998,COLUMN($O$1),FALSE)*VLOOKUP($D352,素材!$1:$1016,COLUMN($E$1),FALSE)/(LEN(VLOOKUP($D352,素材!$1:$1016,COLUMN($F$1),FALSE))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V352">
        <f>IF(ISNUMBER(SEARCH(SUBSTITUTE(AV$1,RIGHT(AV$1,2),""),VLOOKUP($D352,素材!$1:$1016,COLUMN($F$1),FALSE))),VLOOKUP($C352,装備品!$1:$998,COLUMN($O$1),FALSE)*VLOOKUP($D352,素材!$1:$1016,COLUMN($E$1),FALSE)/(LEN(VLOOKUP($D352,素材!$1:$1016,COLUMN($F$1),FALSE))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W352">
        <f>IF(ISNUMBER(SEARCH(SUBSTITUTE(AW$1,RIGHT(AW$1,2),""),VLOOKUP($D352,素材!$1:$1016,COLUMN($F$1),FALSE))),VLOOKUP($C352,装備品!$1:$998,COLUMN($O$1),FALSE)*VLOOKUP($D352,素材!$1:$1016,COLUMN($E$1),FALSE)/(LEN(VLOOKUP($D352,素材!$1:$1016,COLUMN($F$1),FALSE))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X352">
        <f>IF(ISNUMBER(SEARCH(SUBSTITUTE(AX$1,RIGHT(AX$1,2),""),VLOOKUP($D352,素材!$1:$1016,COLUMN($F$1),FALSE))),VLOOKUP($C352,装備品!$1:$998,COLUMN($O$1),FALSE)*VLOOKUP($D352,素材!$1:$1016,COLUMN($E$1),FALSE)/(LEN(VLOOKUP($D352,素材!$1:$1016,COLUMN($F$1),FALSE))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Y352">
        <f>IF(ISNUMBER(SEARCH(SUBSTITUTE(AY$1,RIGHT(AY$1,2),""),VLOOKUP($D352,素材!$1:$1016,COLUMN($F$1),FALSE))),VLOOKUP($C352,装備品!$1:$998,COLUMN($O$1),FALSE)*VLOOKUP($D352,素材!$1:$1016,COLUMN($E$1),FALSE)/(LEN(VLOOKUP($D352,素材!$1:$1016,COLUMN($F$1),FALSE))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Z352">
        <f>IF(ISNUMBER(SEARCH(SUBSTITUTE(AZ$1,RIGHT(AZ$1,2),""),VLOOKUP($D352,素材!$1:$1016,COLUMN($F$1),FALSE))),VLOOKUP($C352,装備品!$1:$998,COLUMN($O$1),FALSE)*VLOOKUP($D352,素材!$1:$1016,COLUMN($E$1),FALSE)/(LEN(VLOOKUP($D352,素材!$1:$1016,COLUMN($F$1),FALSE))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BA352">
        <f>IF(ISNUMBER(SEARCH(SUBSTITUTE(BA$1,RIGHT(BA$1,2),""),VLOOKUP($D352,素材!$1:$1016,COLUMN($F$1),FALSE))),VLOOKUP($C352,装備品!$1:$998,COLUMN($O$1),FALSE)*VLOOKUP($D352,素材!$1:$1016,COLUMN($E$1),FALSE)/(LEN(VLOOKUP($D352,素材!$1:$1016,COLUMN($F$1),FALSE))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BB352">
        <f>IF(ISNUMBER(SEARCH(SUBSTITUTE(BB$1,RIGHT(BB$1,2),""),VLOOKUP($D352,素材!$1:$1016,COLUMN($F$1),FALSE))),VLOOKUP($C352,装備品!$1:$998,COLUMN($O$1),FALSE)*VLOOKUP($D352,素材!$1:$1016,COLUMN($E$1),FALSE)/(LEN(VLOOKUP($D352,素材!$1:$1016,COLUMN($F$1),FALSE))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BC352">
        <f>IF(ISNUMBER(SEARCH(SUBSTITUTE(BC$1,RIGHT(BC$1,2),""),VLOOKUP($D352,素材!$1:$1016,COLUMN($F$1),FALSE))),VLOOKUP($C352,装備品!$1:$998,COLUMN($O$1),FALSE)*VLOOKUP($D352,素材!$1:$1016,COLUMN($E$1),FALSE)/(LEN(VLOOKUP($D352,素材!$1:$1016,COLUMN($F$1),FALSE))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BD352">
        <f>IF(ISNUMBER(SEARCH(SUBSTITUTE(BD$1,RIGHT(BD$1,2),""),VLOOKUP($D352,素材!$1:$1016,COLUMN($F$1),FALSE))),VLOOKUP($C352,装備品!$1:$998,COLUMN($O$1),FALSE)*VLOOKUP($D352,素材!$1:$1016,COLUMN($E$1),FALSE)/(LEN(VLOOKUP($D352,素材!$1:$1016,COLUMN($F$1),FALSE))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BE352">
        <f>IF(ISNUMBER(SEARCH(SUBSTITUTE(BE$1,RIGHT(BE$1,2),""),VLOOKUP($D352,素材!$1:$1016,COLUMN($F$1),FALSE))),VLOOKUP($C352,装備品!$1:$998,COLUMN($O$1),FALSE)*VLOOKUP($D352,素材!$1:$1016,COLUMN($E$1),FALSE)/(LEN(VLOOKUP($D352,素材!$1:$1016,COLUMN($F$1),FALSE))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CL352">
        <f t="shared" si="47"/>
        <v>0</v>
      </c>
      <c r="CM352" s="22" t="str">
        <f t="shared" si="48"/>
        <v>体.webp</v>
      </c>
      <c r="CN352">
        <f>IFERROR(VLOOKUP($C352,装備品!$1:$998,COLUMN(V$1),FALSE)*VLOOKUP($D352,素材!$1:$1016,COLUMN(N$1),FALSE)+IF(CI352="",0,VLOOKUP($CI352,付与!$1:$1176,COLUMN($CK$1),FALSE)),"")</f>
        <v>0</v>
      </c>
      <c r="CO352">
        <f>VLOOKUP(D352,素材!$A:$O,COLUMN(素材!O$1),FALSE)</f>
        <v>0</v>
      </c>
      <c r="CP352" t="str">
        <f>VLOOKUP(C352,装備品!$A:$AB,COLUMN(装備品!AB$1),FALSE)</f>
        <v>HP 物理 魔法 体幹 出血 疲労 Cr</v>
      </c>
      <c r="CR352" t="str">
        <f t="shared" si="49"/>
        <v>e_352</v>
      </c>
      <c r="CS352">
        <f t="shared" si="50"/>
        <v>0</v>
      </c>
    </row>
    <row r="353" spans="1:97" outlineLevel="1" x14ac:dyDescent="0.4">
      <c r="A353" t="str">
        <f t="shared" si="52"/>
        <v>黒鉄の鎧</v>
      </c>
      <c r="B353" t="str">
        <f>IFERROR(VLOOKUP($D353,素材!$1:$1016,COLUMN($B$1),FALSE)&amp;"・"&amp;VLOOKUP($C353,装備品!$1:$998,COLUMN(B$1),FALSE),"")</f>
        <v>アダマンタイト・アーマー</v>
      </c>
      <c r="C353" t="s">
        <v>197</v>
      </c>
      <c r="D353" s="24" t="s">
        <v>198</v>
      </c>
      <c r="E353" t="str">
        <f>IFERROR(VLOOKUP(C353,装備品!$1:$998,COLUMN(C$1),FALSE),"")</f>
        <v>体</v>
      </c>
      <c r="F353">
        <f>IFERROR(ROUNDDOWN((VLOOKUP($C353,装備品!$1:$998,COLUMN(D$1),FALSE)+IFERROR(VLOOKUP($CI353,付与!$1:$1167,COLUMN(F$1),FALSE),0))*VLOOKUP($D353,素材!$1:$1016,COLUMN(D$1),FALSE),0),"")</f>
        <v>0</v>
      </c>
      <c r="G353">
        <f>IFERROR(ROUNDDOWN((VLOOKUP($C353,装備品!$1:$998,COLUMN(E$1),FALSE)+IFERROR(VLOOKUP($CI353,付与!$1:$1167,COLUMN(G$1),FALSE),0))*VLOOKUP($D353,素材!$1:$1016,COLUMN($E$1),FALSE),0),"")</f>
        <v>0</v>
      </c>
      <c r="H353">
        <f>IFERROR(ROUNDDOWN((VLOOKUP($C353,装備品!$1:$998,COLUMN(F$1),FALSE)+IFERROR(VLOOKUP($CI353,付与!$1:$1167,COLUMN(H$1),FALSE),0))*VLOOKUP($D353,素材!$1:$1016,COLUMN($E$1),FALSE),0),"")</f>
        <v>0</v>
      </c>
      <c r="I353">
        <f>IFERROR(ROUNDDOWN((VLOOKUP($C353,装備品!$1:$998,COLUMN(G$1),FALSE)+IFERROR(VLOOKUP($CI353,付与!$1:$1167,COLUMN(I$1),FALSE),0))*VLOOKUP($D353,素材!$1:$1016,COLUMN($E$1),FALSE),0),"")</f>
        <v>0</v>
      </c>
      <c r="J353">
        <f>IFERROR(ROUNDDOWN((VLOOKUP($C353,装備品!$1:$998,COLUMN(H$1),FALSE)+IFERROR(VLOOKUP($CI353,付与!$1:$1167,COLUMN(J$1),FALSE),0))*VLOOKUP($D353,素材!$1:$1016,COLUMN($E$1),FALSE),0),"")</f>
        <v>0</v>
      </c>
      <c r="K353">
        <f>IFERROR(ROUNDDOWN((VLOOKUP($C353,装備品!$1:$998,COLUMN(I$1),FALSE)+IFERROR(VLOOKUP($CI353,付与!$1:$1167,COLUMN(K$1),FALSE),0))*VLOOKUP($D353,素材!$1:$1016,COLUMN($E$1),FALSE),0),"")</f>
        <v>0</v>
      </c>
      <c r="L353" t="str">
        <f>IFERROR(VLOOKUP($D353,素材!$1:$1016,COLUMN($F$1),FALSE),"")</f>
        <v>物理</v>
      </c>
      <c r="M353">
        <f>IFERROR(VLOOKUP($C353,装備品!$1:$998,COLUMN(AA$1),FALSE)*VLOOKUP($D353,素材!$1:$1016,COLUMN($G$1),FALSE),"")</f>
        <v>30</v>
      </c>
      <c r="N353">
        <f>IFERROR(VLOOKUP($C353,装備品!$1:$998,COLUMN(I$1),FALSE),"")</f>
        <v>0</v>
      </c>
      <c r="O353" s="23">
        <f>IFERROR((VLOOKUP($C353,装備品!$1:$998,COLUMN(K$1),FALSE)+VLOOKUP($D353,素材!$1:$1016,COLUMN(H$1),FALSE))*100+IFERROR(VLOOKUP($CI353,付与!$1:$1167,COLUMN(O$1),FALSE),0),"")</f>
        <v>2</v>
      </c>
      <c r="P353" s="23">
        <f>IFERROR((VLOOKUP($C353,装備品!$1:$998,COLUMN(L$1),FALSE)+VLOOKUP($D353,素材!$1:$1016,COLUMN(I$1),FALSE))*100+IFERROR(VLOOKUP($CI353,付与!$1:$1167,COLUMN(P$1),FALSE),0),"")</f>
        <v>5</v>
      </c>
      <c r="Q353">
        <f>IFERROR(ROUNDUP(VLOOKUP($C353,装備品!$1:$998,COLUMN(M$1),FALSE)*(VLOOKUP($D353,素材!$1:$1002,COLUMN(D$1),FALSE)/100),1),"")</f>
        <v>-17.3</v>
      </c>
      <c r="R353">
        <f>IFERROR(ROUNDUP(VLOOKUP($C353,装備品!$1:$998,COLUMN(N$1),FALSE)*(VLOOKUP($D353,素材!$1:$1002,COLUMN(D$1),FALSE)/100),1),"")</f>
        <v>0</v>
      </c>
      <c r="S353">
        <f>IFERROR(VLOOKUP($C353,装備品!$1:$998,COLUMN(P$1),FALSE),"")</f>
        <v>-35</v>
      </c>
      <c r="T353">
        <f>IFERROR(VLOOKUP($C353,装備品!$1:$998,COLUMN(Q$1),FALSE),"")</f>
        <v>0</v>
      </c>
      <c r="U353">
        <f>IFERROR(VLOOKUP($C353,装備品!$1:$998,COLUMN(R$1),FALSE),"")</f>
        <v>0</v>
      </c>
      <c r="V353">
        <f>IFERROR(VLOOKUP($C353,装備品!$1:$998,COLUMN(Q$1),FALSE),"")</f>
        <v>0</v>
      </c>
      <c r="W353">
        <f>IFERROR(VLOOKUP($C353,装備品!$1:$998,COLUMN(T$1),FALSE),"")</f>
        <v>0.7</v>
      </c>
      <c r="Y353">
        <f>IFERROR(VLOOKUP($C353,装備品!$1:$998,COLUMN(U$1),FALSE),"")</f>
        <v>0</v>
      </c>
      <c r="Z353">
        <f>IFERROR(ROUNDUP(VLOOKUP($C353,装備品!$1:$998,COLUMN(O$1),FALSE)*VLOOKUP($D353,素材!$1:$1016,COLUMN(E$1),FALSE),1),"")</f>
        <v>0</v>
      </c>
      <c r="AA353">
        <f>IF(ISNUMBER(SEARCH(SUBSTITUTE(AA$1,RIGHT(AA$1,2),""),VLOOKUP($D353,素材!$1:$1016,COLUMN($F$1),FALSE))),VLOOKUP($C353,装備品!$1:$998,COLUMN($O$1),FALSE)*VLOOKUP($D353,素材!$1:$1016,COLUMN($E$1),FALSE)/(LEN(VLOOKUP($D353,素材!$1:$1016,COLUMN($F$1),FALSE))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B353">
        <f>IF(ISNUMBER(SEARCH(SUBSTITUTE(AB$1,RIGHT(AB$1,2),""),VLOOKUP($D353,素材!$1:$1016,COLUMN($F$1),FALSE))),VLOOKUP($C353,装備品!$1:$998,COLUMN($O$1),FALSE)*VLOOKUP($D353,素材!$1:$1016,COLUMN($E$1),FALSE)/(LEN(VLOOKUP($D353,素材!$1:$1016,COLUMN($F$1),FALSE))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C353">
        <f>IF(ISNUMBER(SEARCH(SUBSTITUTE(AC$1,RIGHT(AC$1,2),""),VLOOKUP($D353,素材!$1:$1016,COLUMN($F$1),FALSE))),VLOOKUP($C353,装備品!$1:$998,COLUMN($O$1),FALSE)*VLOOKUP($D353,素材!$1:$1016,COLUMN($E$1),FALSE)/(LEN(VLOOKUP($D353,素材!$1:$1016,COLUMN($F$1),FALSE))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D353">
        <f>IF(ISNUMBER(SEARCH(SUBSTITUTE(AD$1,RIGHT(AD$1,2),""),VLOOKUP($D353,素材!$1:$1016,COLUMN($F$1),FALSE))),VLOOKUP($C353,装備品!$1:$998,COLUMN($O$1),FALSE)*VLOOKUP($D353,素材!$1:$1016,COLUMN($E$1),FALSE)/(LEN(VLOOKUP($D353,素材!$1:$1016,COLUMN($F$1),FALSE))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E353">
        <f>IF(ISNUMBER(SEARCH(SUBSTITUTE(AE$1,RIGHT(AE$1,2),""),VLOOKUP($D353,素材!$1:$1016,COLUMN($F$1),FALSE))),VLOOKUP($C353,装備品!$1:$998,COLUMN($O$1),FALSE)*VLOOKUP($D353,素材!$1:$1016,COLUMN($E$1),FALSE)/(LEN(VLOOKUP($D353,素材!$1:$1016,COLUMN($F$1),FALSE))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F353">
        <f>IF(ISNUMBER(SEARCH(SUBSTITUTE(AF$1,RIGHT(AF$1,2),""),VLOOKUP($D353,素材!$1:$1016,COLUMN($F$1),FALSE))),VLOOKUP($C353,装備品!$1:$998,COLUMN($O$1),FALSE)*VLOOKUP($D353,素材!$1:$1016,COLUMN($E$1),FALSE)/(LEN(VLOOKUP($D353,素材!$1:$1016,COLUMN($F$1),FALSE))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G353">
        <f>IF(ISNUMBER(SEARCH(SUBSTITUTE(AG$1,RIGHT(AG$1,2),""),VLOOKUP($D353,素材!$1:$1016,COLUMN($F$1),FALSE))),VLOOKUP($C353,装備品!$1:$998,COLUMN($O$1),FALSE)*VLOOKUP($D353,素材!$1:$1016,COLUMN($E$1),FALSE)/(LEN(VLOOKUP($D353,素材!$1:$1016,COLUMN($F$1),FALSE))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H353">
        <f>IF(ISNUMBER(SEARCH(SUBSTITUTE(AH$1,RIGHT(AH$1,2),""),VLOOKUP($D353,素材!$1:$1016,COLUMN($F$1),FALSE))),VLOOKUP($C353,装備品!$1:$998,COLUMN($O$1),FALSE)*VLOOKUP($D353,素材!$1:$1016,COLUMN($E$1),FALSE)/(LEN(VLOOKUP($D353,素材!$1:$1016,COLUMN($F$1),FALSE))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I353">
        <f>IF(ISNUMBER(SEARCH(SUBSTITUTE(AI$1,RIGHT(AI$1,2),""),VLOOKUP($D353,素材!$1:$1016,COLUMN($F$1),FALSE))),VLOOKUP($C353,装備品!$1:$998,COLUMN($O$1),FALSE)*VLOOKUP($D353,素材!$1:$1016,COLUMN($E$1),FALSE)/(LEN(VLOOKUP($D353,素材!$1:$1016,COLUMN($F$1),FALSE))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J353">
        <f>IF(ISNUMBER(SEARCH(SUBSTITUTE(AJ$1,RIGHT(AJ$1,2),""),VLOOKUP($D353,素材!$1:$1016,COLUMN($F$1),FALSE))),VLOOKUP($C353,装備品!$1:$998,COLUMN($O$1),FALSE)*VLOOKUP($D353,素材!$1:$1016,COLUMN($E$1),FALSE)/(LEN(VLOOKUP($D353,素材!$1:$1016,COLUMN($F$1),FALSE))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K353">
        <f>IF(ISNUMBER(SEARCH(SUBSTITUTE(AK$1,RIGHT(AK$1,2),""),VLOOKUP($D353,素材!$1:$1016,COLUMN($F$1),FALSE))),VLOOKUP($C353,装備品!$1:$998,COLUMN($O$1),FALSE)*VLOOKUP($D353,素材!$1:$1016,COLUMN($E$1),FALSE)/(LEN(VLOOKUP($D353,素材!$1:$1016,COLUMN($F$1),FALSE))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L353">
        <f>IF(ISNUMBER(SEARCH(SUBSTITUTE(AL$1,RIGHT(AL$1,2),""),VLOOKUP($D353,素材!$1:$1016,COLUMN($F$1),FALSE))),VLOOKUP($C353,装備品!$1:$998,COLUMN($O$1),FALSE)*VLOOKUP($D353,素材!$1:$1016,COLUMN($E$1),FALSE)/(LEN(VLOOKUP($D353,素材!$1:$1016,COLUMN($F$1),FALSE))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M353">
        <f>IF(ISNUMBER(SEARCH(SUBSTITUTE(AM$1,RIGHT(AM$1,2),""),VLOOKUP($D353,素材!$1:$1016,COLUMN($F$1),FALSE))),VLOOKUP($C353,装備品!$1:$998,COLUMN($O$1),FALSE)*VLOOKUP($D353,素材!$1:$1016,COLUMN($E$1),FALSE)/(LEN(VLOOKUP($D353,素材!$1:$1016,COLUMN($F$1),FALSE))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N353">
        <f>IF(ISNUMBER(SEARCH(SUBSTITUTE(AN$1,RIGHT(AN$1,2),""),VLOOKUP($D353,素材!$1:$1016,COLUMN($F$1),FALSE))),VLOOKUP($C353,装備品!$1:$998,COLUMN($O$1),FALSE)*VLOOKUP($D353,素材!$1:$1016,COLUMN($E$1),FALSE)/(LEN(VLOOKUP($D353,素材!$1:$1016,COLUMN($F$1),FALSE))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O353">
        <f>IF(ISNUMBER(SEARCH(SUBSTITUTE(AO$1,RIGHT(AO$1,2),""),VLOOKUP($D353,素材!$1:$1016,COLUMN($F$1),FALSE))),VLOOKUP($C353,装備品!$1:$998,COLUMN($O$1),FALSE)*VLOOKUP($D353,素材!$1:$1016,COLUMN($E$1),FALSE)/(LEN(VLOOKUP($D353,素材!$1:$1016,COLUMN($F$1),FALSE))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P353">
        <f>IF(ISNUMBER(SEARCH(SUBSTITUTE(AP$1,RIGHT(AP$1,2),""),VLOOKUP($D353,素材!$1:$1016,COLUMN($F$1),FALSE))),VLOOKUP($C353,装備品!$1:$998,COLUMN($O$1),FALSE)*VLOOKUP($D353,素材!$1:$1016,COLUMN($E$1),FALSE)/(LEN(VLOOKUP($D353,素材!$1:$1016,COLUMN($F$1),FALSE))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Q353">
        <f>IF(ISNUMBER(SEARCH(SUBSTITUTE(AQ$1,RIGHT(AQ$1,2),""),VLOOKUP($D353,素材!$1:$1016,COLUMN($F$1),FALSE))),VLOOKUP($C353,装備品!$1:$998,COLUMN($O$1),FALSE)*VLOOKUP($D353,素材!$1:$1016,COLUMN($E$1),FALSE)/(LEN(VLOOKUP($D353,素材!$1:$1016,COLUMN($F$1),FALSE))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R353">
        <f>IF(ISNUMBER(SEARCH(SUBSTITUTE(AR$1,RIGHT(AR$1,2),""),VLOOKUP($D353,素材!$1:$1016,COLUMN($F$1),FALSE))),VLOOKUP($C353,装備品!$1:$998,COLUMN($O$1),FALSE)*VLOOKUP($D353,素材!$1:$1016,COLUMN($E$1),FALSE)/(LEN(VLOOKUP($D353,素材!$1:$1016,COLUMN($F$1),FALSE))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S353">
        <f>IF(ISNUMBER(SEARCH(SUBSTITUTE(AS$1,RIGHT(AS$1,2),""),VLOOKUP($D353,素材!$1:$1016,COLUMN($F$1),FALSE))),VLOOKUP($C353,装備品!$1:$998,COLUMN($O$1),FALSE)*VLOOKUP($D353,素材!$1:$1016,COLUMN($E$1),FALSE)/(LEN(VLOOKUP($D353,素材!$1:$1016,COLUMN($F$1),FALSE))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T353">
        <f>IF(ISNUMBER(SEARCH(SUBSTITUTE(AT$1,RIGHT(AT$1,2),""),VLOOKUP($D353,素材!$1:$1016,COLUMN($F$1),FALSE))),VLOOKUP($C353,装備品!$1:$998,COLUMN($O$1),FALSE)*VLOOKUP($D353,素材!$1:$1016,COLUMN($E$1),FALSE)/(LEN(VLOOKUP($D353,素材!$1:$1016,COLUMN($F$1),FALSE))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U353">
        <f>IF(ISNUMBER(SEARCH(SUBSTITUTE(AU$1,RIGHT(AU$1,2),""),VLOOKUP($D353,素材!$1:$1016,COLUMN($F$1),FALSE))),VLOOKUP($C353,装備品!$1:$998,COLUMN($O$1),FALSE)*VLOOKUP($D353,素材!$1:$1016,COLUMN($E$1),FALSE)/(LEN(VLOOKUP($D353,素材!$1:$1016,COLUMN($F$1),FALSE))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V353">
        <f>IF(ISNUMBER(SEARCH(SUBSTITUTE(AV$1,RIGHT(AV$1,2),""),VLOOKUP($D353,素材!$1:$1016,COLUMN($F$1),FALSE))),VLOOKUP($C353,装備品!$1:$998,COLUMN($O$1),FALSE)*VLOOKUP($D353,素材!$1:$1016,COLUMN($E$1),FALSE)/(LEN(VLOOKUP($D353,素材!$1:$1016,COLUMN($F$1),FALSE))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W353">
        <f>IF(ISNUMBER(SEARCH(SUBSTITUTE(AW$1,RIGHT(AW$1,2),""),VLOOKUP($D353,素材!$1:$1016,COLUMN($F$1),FALSE))),VLOOKUP($C353,装備品!$1:$998,COLUMN($O$1),FALSE)*VLOOKUP($D353,素材!$1:$1016,COLUMN($E$1),FALSE)/(LEN(VLOOKUP($D353,素材!$1:$1016,COLUMN($F$1),FALSE))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X353">
        <f>IF(ISNUMBER(SEARCH(SUBSTITUTE(AX$1,RIGHT(AX$1,2),""),VLOOKUP($D353,素材!$1:$1016,COLUMN($F$1),FALSE))),VLOOKUP($C353,装備品!$1:$998,COLUMN($O$1),FALSE)*VLOOKUP($D353,素材!$1:$1016,COLUMN($E$1),FALSE)/(LEN(VLOOKUP($D353,素材!$1:$1016,COLUMN($F$1),FALSE))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Y353">
        <f>IF(ISNUMBER(SEARCH(SUBSTITUTE(AY$1,RIGHT(AY$1,2),""),VLOOKUP($D353,素材!$1:$1016,COLUMN($F$1),FALSE))),VLOOKUP($C353,装備品!$1:$998,COLUMN($O$1),FALSE)*VLOOKUP($D353,素材!$1:$1016,COLUMN($E$1),FALSE)/(LEN(VLOOKUP($D353,素材!$1:$1016,COLUMN($F$1),FALSE))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Z353">
        <f>IF(ISNUMBER(SEARCH(SUBSTITUTE(AZ$1,RIGHT(AZ$1,2),""),VLOOKUP($D353,素材!$1:$1016,COLUMN($F$1),FALSE))),VLOOKUP($C353,装備品!$1:$998,COLUMN($O$1),FALSE)*VLOOKUP($D353,素材!$1:$1016,COLUMN($E$1),FALSE)/(LEN(VLOOKUP($D353,素材!$1:$1016,COLUMN($F$1),FALSE))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BA353">
        <f>IF(ISNUMBER(SEARCH(SUBSTITUTE(BA$1,RIGHT(BA$1,2),""),VLOOKUP($D353,素材!$1:$1016,COLUMN($F$1),FALSE))),VLOOKUP($C353,装備品!$1:$998,COLUMN($O$1),FALSE)*VLOOKUP($D353,素材!$1:$1016,COLUMN($E$1),FALSE)/(LEN(VLOOKUP($D353,素材!$1:$1016,COLUMN($F$1),FALSE))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BB353">
        <f>IF(ISNUMBER(SEARCH(SUBSTITUTE(BB$1,RIGHT(BB$1,2),""),VLOOKUP($D353,素材!$1:$1016,COLUMN($F$1),FALSE))),VLOOKUP($C353,装備品!$1:$998,COLUMN($O$1),FALSE)*VLOOKUP($D353,素材!$1:$1016,COLUMN($E$1),FALSE)/(LEN(VLOOKUP($D353,素材!$1:$1016,COLUMN($F$1),FALSE))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BC353">
        <f>IF(ISNUMBER(SEARCH(SUBSTITUTE(BC$1,RIGHT(BC$1,2),""),VLOOKUP($D353,素材!$1:$1016,COLUMN($F$1),FALSE))),VLOOKUP($C353,装備品!$1:$998,COLUMN($O$1),FALSE)*VLOOKUP($D353,素材!$1:$1016,COLUMN($E$1),FALSE)/(LEN(VLOOKUP($D353,素材!$1:$1016,COLUMN($F$1),FALSE))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BD353">
        <f>IF(ISNUMBER(SEARCH(SUBSTITUTE(BD$1,RIGHT(BD$1,2),""),VLOOKUP($D353,素材!$1:$1016,COLUMN($F$1),FALSE))),VLOOKUP($C353,装備品!$1:$998,COLUMN($O$1),FALSE)*VLOOKUP($D353,素材!$1:$1016,COLUMN($E$1),FALSE)/(LEN(VLOOKUP($D353,素材!$1:$1016,COLUMN($F$1),FALSE))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BE353">
        <f>IF(ISNUMBER(SEARCH(SUBSTITUTE(BE$1,RIGHT(BE$1,2),""),VLOOKUP($D353,素材!$1:$1016,COLUMN($F$1),FALSE))),VLOOKUP($C353,装備品!$1:$998,COLUMN($O$1),FALSE)*VLOOKUP($D353,素材!$1:$1016,COLUMN($E$1),FALSE)/(LEN(VLOOKUP($D353,素材!$1:$1016,COLUMN($F$1),FALSE))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CL353">
        <f t="shared" si="47"/>
        <v>0</v>
      </c>
      <c r="CM353" s="22" t="str">
        <f t="shared" si="48"/>
        <v>体.webp</v>
      </c>
      <c r="CN353">
        <f>IFERROR(VLOOKUP($C353,装備品!$1:$998,COLUMN(V$1),FALSE)*VLOOKUP($D353,素材!$1:$1016,COLUMN(N$1),FALSE)+IF(CI353="",0,VLOOKUP($CI353,付与!$1:$1176,COLUMN($CK$1),FALSE)),"")</f>
        <v>0</v>
      </c>
      <c r="CO353">
        <f>VLOOKUP(D353,素材!$A:$O,COLUMN(素材!O$1),FALSE)</f>
        <v>0</v>
      </c>
      <c r="CP353" t="str">
        <f>VLOOKUP(C353,装備品!$A:$AB,COLUMN(装備品!AB$1),FALSE)</f>
        <v>HP 物理 魔法 体幹 出血 疲労 Cr</v>
      </c>
      <c r="CR353" t="str">
        <f t="shared" si="49"/>
        <v>e_353</v>
      </c>
      <c r="CS353">
        <f t="shared" si="50"/>
        <v>0</v>
      </c>
    </row>
    <row r="354" spans="1:97" outlineLevel="1" x14ac:dyDescent="0.4">
      <c r="A354" t="str">
        <f t="shared" si="52"/>
        <v>銀鉄の長剣</v>
      </c>
      <c r="B354" t="str">
        <f>IFERROR(VLOOKUP($D354,素材!$1:$1016,COLUMN($B$1),FALSE)&amp;"・"&amp;VLOOKUP($C354,装備品!$1:$998,COLUMN(B$1),FALSE),"")</f>
        <v>ミスリル・ロングソード</v>
      </c>
      <c r="C354" t="s">
        <v>194</v>
      </c>
      <c r="D354" s="24" t="s">
        <v>200</v>
      </c>
      <c r="E354" t="str">
        <f>IFERROR(VLOOKUP(C354,装備品!$1:$998,COLUMN(C$1),FALSE),"")</f>
        <v>武器</v>
      </c>
      <c r="F354">
        <f>IFERROR(ROUNDDOWN((VLOOKUP($C354,装備品!$1:$998,COLUMN(D$1),FALSE)+IFERROR(VLOOKUP($CI354,付与!$1:$1167,COLUMN(F$1),FALSE),0))*VLOOKUP($D354,素材!$1:$1016,COLUMN(D$1),FALSE),0),"")</f>
        <v>74</v>
      </c>
      <c r="G354">
        <f>IFERROR(ROUNDDOWN((VLOOKUP($C354,装備品!$1:$998,COLUMN(E$1),FALSE)+IFERROR(VLOOKUP($CI354,付与!$1:$1167,COLUMN(G$1),FALSE),0))*VLOOKUP($D354,素材!$1:$1016,COLUMN($E$1),FALSE),0),"")</f>
        <v>18</v>
      </c>
      <c r="H354">
        <f>IFERROR(ROUNDDOWN((VLOOKUP($C354,装備品!$1:$998,COLUMN(F$1),FALSE)+IFERROR(VLOOKUP($CI354,付与!$1:$1167,COLUMN(H$1),FALSE),0))*VLOOKUP($D354,素材!$1:$1016,COLUMN($E$1),FALSE),0),"")</f>
        <v>11</v>
      </c>
      <c r="I354">
        <f>IFERROR(ROUNDDOWN((VLOOKUP($C354,装備品!$1:$998,COLUMN(G$1),FALSE)+IFERROR(VLOOKUP($CI354,付与!$1:$1167,COLUMN(I$1),FALSE),0))*VLOOKUP($D354,素材!$1:$1016,COLUMN($E$1),FALSE),0),"")</f>
        <v>3</v>
      </c>
      <c r="J354">
        <f>IFERROR(ROUNDDOWN((VLOOKUP($C354,装備品!$1:$998,COLUMN(H$1),FALSE)+IFERROR(VLOOKUP($CI354,付与!$1:$1167,COLUMN(J$1),FALSE),0))*VLOOKUP($D354,素材!$1:$1016,COLUMN($E$1),FALSE),0),"")</f>
        <v>25</v>
      </c>
      <c r="K354">
        <f>IFERROR(ROUNDDOWN((VLOOKUP($C354,装備品!$1:$998,COLUMN(I$1),FALSE)+IFERROR(VLOOKUP($CI354,付与!$1:$1167,COLUMN(K$1),FALSE),0))*VLOOKUP($D354,素材!$1:$1016,COLUMN($E$1),FALSE),0),"")</f>
        <v>0</v>
      </c>
      <c r="L354">
        <f>IFERROR(VLOOKUP($D354,素材!$1:$1016,COLUMN($F$1),FALSE),"")</f>
        <v>0</v>
      </c>
      <c r="M354">
        <f>IFERROR(VLOOKUP($C354,装備品!$1:$998,COLUMN(AA$1),FALSE)*VLOOKUP($D354,素材!$1:$1016,COLUMN($G$1),FALSE),"")</f>
        <v>0</v>
      </c>
      <c r="N354">
        <f>IFERROR(VLOOKUP($C354,装備品!$1:$998,COLUMN(I$1),FALSE),"")</f>
        <v>0</v>
      </c>
      <c r="O354" s="23">
        <f>IFERROR((VLOOKUP($C354,装備品!$1:$998,COLUMN(K$1),FALSE)+VLOOKUP($D354,素材!$1:$1016,COLUMN(H$1),FALSE))*100+IFERROR(VLOOKUP($CI354,付与!$1:$1167,COLUMN(O$1),FALSE),0),"")</f>
        <v>12.000000000000002</v>
      </c>
      <c r="P354" s="23">
        <f>IFERROR((VLOOKUP($C354,装備品!$1:$998,COLUMN(L$1),FALSE)+VLOOKUP($D354,素材!$1:$1016,COLUMN(I$1),FALSE))*100+IFERROR(VLOOKUP($CI354,付与!$1:$1167,COLUMN(P$1),FALSE),0),"")</f>
        <v>155</v>
      </c>
      <c r="Q354">
        <f>IFERROR(ROUNDUP(VLOOKUP($C354,装備品!$1:$998,COLUMN(M$1),FALSE)*(VLOOKUP($D354,素材!$1:$1002,COLUMN(D$1),FALSE)/100),1),"")</f>
        <v>-1.7000000000000002</v>
      </c>
      <c r="R354">
        <f>IFERROR(ROUNDUP(VLOOKUP($C354,装備品!$1:$998,COLUMN(N$1),FALSE)*(VLOOKUP($D354,素材!$1:$1002,COLUMN(D$1),FALSE)/100),1),"")</f>
        <v>-1.7000000000000002</v>
      </c>
      <c r="S354">
        <f>IFERROR(VLOOKUP($C354,装備品!$1:$998,COLUMN(P$1),FALSE),"")</f>
        <v>0</v>
      </c>
      <c r="T354">
        <f>IFERROR(VLOOKUP($C354,装備品!$1:$998,COLUMN(Q$1),FALSE),"")</f>
        <v>0</v>
      </c>
      <c r="U354">
        <f>IFERROR(VLOOKUP($C354,装備品!$1:$998,COLUMN(R$1),FALSE),"")</f>
        <v>0</v>
      </c>
      <c r="V354">
        <f>IFERROR(VLOOKUP($C354,装備品!$1:$998,COLUMN(Q$1),FALSE),"")</f>
        <v>0</v>
      </c>
      <c r="W354">
        <f>IFERROR(VLOOKUP($C354,装備品!$1:$998,COLUMN(T$1),FALSE),"")</f>
        <v>0</v>
      </c>
      <c r="Y354">
        <f>IFERROR(VLOOKUP($C354,装備品!$1:$998,COLUMN(U$1),FALSE),"")</f>
        <v>0</v>
      </c>
      <c r="Z354">
        <f>IFERROR(ROUNDUP(VLOOKUP($C354,装備品!$1:$998,COLUMN(O$1),FALSE)*VLOOKUP($D354,素材!$1:$1016,COLUMN(E$1),FALSE),1),"")</f>
        <v>0</v>
      </c>
      <c r="AA354">
        <f>IF(ISNUMBER(SEARCH(SUBSTITUTE(AA$1,RIGHT(AA$1,2),""),VLOOKUP($D354,素材!$1:$1016,COLUMN($F$1),FALSE))),VLOOKUP($C354,装備品!$1:$998,COLUMN($O$1),FALSE)*VLOOKUP($D354,素材!$1:$1016,COLUMN($E$1),FALSE)/(LEN(VLOOKUP($D354,素材!$1:$1016,COLUMN($F$1),FALSE))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B354">
        <f>IF(ISNUMBER(SEARCH(SUBSTITUTE(AB$1,RIGHT(AB$1,2),""),VLOOKUP($D354,素材!$1:$1016,COLUMN($F$1),FALSE))),VLOOKUP($C354,装備品!$1:$998,COLUMN($O$1),FALSE)*VLOOKUP($D354,素材!$1:$1016,COLUMN($E$1),FALSE)/(LEN(VLOOKUP($D354,素材!$1:$1016,COLUMN($F$1),FALSE))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C354">
        <f>IF(ISNUMBER(SEARCH(SUBSTITUTE(AC$1,RIGHT(AC$1,2),""),VLOOKUP($D354,素材!$1:$1016,COLUMN($F$1),FALSE))),VLOOKUP($C354,装備品!$1:$998,COLUMN($O$1),FALSE)*VLOOKUP($D354,素材!$1:$1016,COLUMN($E$1),FALSE)/(LEN(VLOOKUP($D354,素材!$1:$1016,COLUMN($F$1),FALSE))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D354">
        <f>IF(ISNUMBER(SEARCH(SUBSTITUTE(AD$1,RIGHT(AD$1,2),""),VLOOKUP($D354,素材!$1:$1016,COLUMN($F$1),FALSE))),VLOOKUP($C354,装備品!$1:$998,COLUMN($O$1),FALSE)*VLOOKUP($D354,素材!$1:$1016,COLUMN($E$1),FALSE)/(LEN(VLOOKUP($D354,素材!$1:$1016,COLUMN($F$1),FALSE))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E354">
        <f>IF(ISNUMBER(SEARCH(SUBSTITUTE(AE$1,RIGHT(AE$1,2),""),VLOOKUP($D354,素材!$1:$1016,COLUMN($F$1),FALSE))),VLOOKUP($C354,装備品!$1:$998,COLUMN($O$1),FALSE)*VLOOKUP($D354,素材!$1:$1016,COLUMN($E$1),FALSE)/(LEN(VLOOKUP($D354,素材!$1:$1016,COLUMN($F$1),FALSE))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F354">
        <f>IF(ISNUMBER(SEARCH(SUBSTITUTE(AF$1,RIGHT(AF$1,2),""),VLOOKUP($D354,素材!$1:$1016,COLUMN($F$1),FALSE))),VLOOKUP($C354,装備品!$1:$998,COLUMN($O$1),FALSE)*VLOOKUP($D354,素材!$1:$1016,COLUMN($E$1),FALSE)/(LEN(VLOOKUP($D354,素材!$1:$1016,COLUMN($F$1),FALSE))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G354">
        <f>IF(ISNUMBER(SEARCH(SUBSTITUTE(AG$1,RIGHT(AG$1,2),""),VLOOKUP($D354,素材!$1:$1016,COLUMN($F$1),FALSE))),VLOOKUP($C354,装備品!$1:$998,COLUMN($O$1),FALSE)*VLOOKUP($D354,素材!$1:$1016,COLUMN($E$1),FALSE)/(LEN(VLOOKUP($D354,素材!$1:$1016,COLUMN($F$1),FALSE))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H354">
        <f>IF(ISNUMBER(SEARCH(SUBSTITUTE(AH$1,RIGHT(AH$1,2),""),VLOOKUP($D354,素材!$1:$1016,COLUMN($F$1),FALSE))),VLOOKUP($C354,装備品!$1:$998,COLUMN($O$1),FALSE)*VLOOKUP($D354,素材!$1:$1016,COLUMN($E$1),FALSE)/(LEN(VLOOKUP($D354,素材!$1:$1016,COLUMN($F$1),FALSE))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I354">
        <f>IF(ISNUMBER(SEARCH(SUBSTITUTE(AI$1,RIGHT(AI$1,2),""),VLOOKUP($D354,素材!$1:$1016,COLUMN($F$1),FALSE))),VLOOKUP($C354,装備品!$1:$998,COLUMN($O$1),FALSE)*VLOOKUP($D354,素材!$1:$1016,COLUMN($E$1),FALSE)/(LEN(VLOOKUP($D354,素材!$1:$1016,COLUMN($F$1),FALSE))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J354">
        <f>IF(ISNUMBER(SEARCH(SUBSTITUTE(AJ$1,RIGHT(AJ$1,2),""),VLOOKUP($D354,素材!$1:$1016,COLUMN($F$1),FALSE))),VLOOKUP($C354,装備品!$1:$998,COLUMN($O$1),FALSE)*VLOOKUP($D354,素材!$1:$1016,COLUMN($E$1),FALSE)/(LEN(VLOOKUP($D354,素材!$1:$1016,COLUMN($F$1),FALSE))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K354">
        <f>IF(ISNUMBER(SEARCH(SUBSTITUTE(AK$1,RIGHT(AK$1,2),""),VLOOKUP($D354,素材!$1:$1016,COLUMN($F$1),FALSE))),VLOOKUP($C354,装備品!$1:$998,COLUMN($O$1),FALSE)*VLOOKUP($D354,素材!$1:$1016,COLUMN($E$1),FALSE)/(LEN(VLOOKUP($D354,素材!$1:$1016,COLUMN($F$1),FALSE))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L354">
        <f>IF(ISNUMBER(SEARCH(SUBSTITUTE(AL$1,RIGHT(AL$1,2),""),VLOOKUP($D354,素材!$1:$1016,COLUMN($F$1),FALSE))),VLOOKUP($C354,装備品!$1:$998,COLUMN($O$1),FALSE)*VLOOKUP($D354,素材!$1:$1016,COLUMN($E$1),FALSE)/(LEN(VLOOKUP($D354,素材!$1:$1016,COLUMN($F$1),FALSE))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M354">
        <f>IF(ISNUMBER(SEARCH(SUBSTITUTE(AM$1,RIGHT(AM$1,2),""),VLOOKUP($D354,素材!$1:$1016,COLUMN($F$1),FALSE))),VLOOKUP($C354,装備品!$1:$998,COLUMN($O$1),FALSE)*VLOOKUP($D354,素材!$1:$1016,COLUMN($E$1),FALSE)/(LEN(VLOOKUP($D354,素材!$1:$1016,COLUMN($F$1),FALSE))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N354">
        <f>IF(ISNUMBER(SEARCH(SUBSTITUTE(AN$1,RIGHT(AN$1,2),""),VLOOKUP($D354,素材!$1:$1016,COLUMN($F$1),FALSE))),VLOOKUP($C354,装備品!$1:$998,COLUMN($O$1),FALSE)*VLOOKUP($D354,素材!$1:$1016,COLUMN($E$1),FALSE)/(LEN(VLOOKUP($D354,素材!$1:$1016,COLUMN($F$1),FALSE))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O354">
        <f>IF(ISNUMBER(SEARCH(SUBSTITUTE(AO$1,RIGHT(AO$1,2),""),VLOOKUP($D354,素材!$1:$1016,COLUMN($F$1),FALSE))),VLOOKUP($C354,装備品!$1:$998,COLUMN($O$1),FALSE)*VLOOKUP($D354,素材!$1:$1016,COLUMN($E$1),FALSE)/(LEN(VLOOKUP($D354,素材!$1:$1016,COLUMN($F$1),FALSE))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P354">
        <f>IF(ISNUMBER(SEARCH(SUBSTITUTE(AP$1,RIGHT(AP$1,2),""),VLOOKUP($D354,素材!$1:$1016,COLUMN($F$1),FALSE))),VLOOKUP($C354,装備品!$1:$998,COLUMN($O$1),FALSE)*VLOOKUP($D354,素材!$1:$1016,COLUMN($E$1),FALSE)/(LEN(VLOOKUP($D354,素材!$1:$1016,COLUMN($F$1),FALSE))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Q354">
        <f>IF(ISNUMBER(SEARCH(SUBSTITUTE(AQ$1,RIGHT(AQ$1,2),""),VLOOKUP($D354,素材!$1:$1016,COLUMN($F$1),FALSE))),VLOOKUP($C354,装備品!$1:$998,COLUMN($O$1),FALSE)*VLOOKUP($D354,素材!$1:$1016,COLUMN($E$1),FALSE)/(LEN(VLOOKUP($D354,素材!$1:$1016,COLUMN($F$1),FALSE))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R354">
        <f>IF(ISNUMBER(SEARCH(SUBSTITUTE(AR$1,RIGHT(AR$1,2),""),VLOOKUP($D354,素材!$1:$1016,COLUMN($F$1),FALSE))),VLOOKUP($C354,装備品!$1:$998,COLUMN($O$1),FALSE)*VLOOKUP($D354,素材!$1:$1016,COLUMN($E$1),FALSE)/(LEN(VLOOKUP($D354,素材!$1:$1016,COLUMN($F$1),FALSE))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S354">
        <f>IF(ISNUMBER(SEARCH(SUBSTITUTE(AS$1,RIGHT(AS$1,2),""),VLOOKUP($D354,素材!$1:$1016,COLUMN($F$1),FALSE))),VLOOKUP($C354,装備品!$1:$998,COLUMN($O$1),FALSE)*VLOOKUP($D354,素材!$1:$1016,COLUMN($E$1),FALSE)/(LEN(VLOOKUP($D354,素材!$1:$1016,COLUMN($F$1),FALSE))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T354">
        <f>IF(ISNUMBER(SEARCH(SUBSTITUTE(AT$1,RIGHT(AT$1,2),""),VLOOKUP($D354,素材!$1:$1016,COLUMN($F$1),FALSE))),VLOOKUP($C354,装備品!$1:$998,COLUMN($O$1),FALSE)*VLOOKUP($D354,素材!$1:$1016,COLUMN($E$1),FALSE)/(LEN(VLOOKUP($D354,素材!$1:$1016,COLUMN($F$1),FALSE))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U354">
        <f>IF(ISNUMBER(SEARCH(SUBSTITUTE(AU$1,RIGHT(AU$1,2),""),VLOOKUP($D354,素材!$1:$1016,COLUMN($F$1),FALSE))),VLOOKUP($C354,装備品!$1:$998,COLUMN($O$1),FALSE)*VLOOKUP($D354,素材!$1:$1016,COLUMN($E$1),FALSE)/(LEN(VLOOKUP($D354,素材!$1:$1016,COLUMN($F$1),FALSE))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V354">
        <f>IF(ISNUMBER(SEARCH(SUBSTITUTE(AV$1,RIGHT(AV$1,2),""),VLOOKUP($D354,素材!$1:$1016,COLUMN($F$1),FALSE))),VLOOKUP($C354,装備品!$1:$998,COLUMN($O$1),FALSE)*VLOOKUP($D354,素材!$1:$1016,COLUMN($E$1),FALSE)/(LEN(VLOOKUP($D354,素材!$1:$1016,COLUMN($F$1),FALSE))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W354">
        <f>IF(ISNUMBER(SEARCH(SUBSTITUTE(AW$1,RIGHT(AW$1,2),""),VLOOKUP($D354,素材!$1:$1016,COLUMN($F$1),FALSE))),VLOOKUP($C354,装備品!$1:$998,COLUMN($O$1),FALSE)*VLOOKUP($D354,素材!$1:$1016,COLUMN($E$1),FALSE)/(LEN(VLOOKUP($D354,素材!$1:$1016,COLUMN($F$1),FALSE))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X354">
        <f>IF(ISNUMBER(SEARCH(SUBSTITUTE(AX$1,RIGHT(AX$1,2),""),VLOOKUP($D354,素材!$1:$1016,COLUMN($F$1),FALSE))),VLOOKUP($C354,装備品!$1:$998,COLUMN($O$1),FALSE)*VLOOKUP($D354,素材!$1:$1016,COLUMN($E$1),FALSE)/(LEN(VLOOKUP($D354,素材!$1:$1016,COLUMN($F$1),FALSE))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Y354">
        <f>IF(ISNUMBER(SEARCH(SUBSTITUTE(AY$1,RIGHT(AY$1,2),""),VLOOKUP($D354,素材!$1:$1016,COLUMN($F$1),FALSE))),VLOOKUP($C354,装備品!$1:$998,COLUMN($O$1),FALSE)*VLOOKUP($D354,素材!$1:$1016,COLUMN($E$1),FALSE)/(LEN(VLOOKUP($D354,素材!$1:$1016,COLUMN($F$1),FALSE))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Z354">
        <f>IF(ISNUMBER(SEARCH(SUBSTITUTE(AZ$1,RIGHT(AZ$1,2),""),VLOOKUP($D354,素材!$1:$1016,COLUMN($F$1),FALSE))),VLOOKUP($C354,装備品!$1:$998,COLUMN($O$1),FALSE)*VLOOKUP($D354,素材!$1:$1016,COLUMN($E$1),FALSE)/(LEN(VLOOKUP($D354,素材!$1:$1016,COLUMN($F$1),FALSE))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BA354">
        <f>IF(ISNUMBER(SEARCH(SUBSTITUTE(BA$1,RIGHT(BA$1,2),""),VLOOKUP($D354,素材!$1:$1016,COLUMN($F$1),FALSE))),VLOOKUP($C354,装備品!$1:$998,COLUMN($O$1),FALSE)*VLOOKUP($D354,素材!$1:$1016,COLUMN($E$1),FALSE)/(LEN(VLOOKUP($D354,素材!$1:$1016,COLUMN($F$1),FALSE))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BB354">
        <f>IF(ISNUMBER(SEARCH(SUBSTITUTE(BB$1,RIGHT(BB$1,2),""),VLOOKUP($D354,素材!$1:$1016,COLUMN($F$1),FALSE))),VLOOKUP($C354,装備品!$1:$998,COLUMN($O$1),FALSE)*VLOOKUP($D354,素材!$1:$1016,COLUMN($E$1),FALSE)/(LEN(VLOOKUP($D354,素材!$1:$1016,COLUMN($F$1),FALSE))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BC354">
        <f>IF(ISNUMBER(SEARCH(SUBSTITUTE(BC$1,RIGHT(BC$1,2),""),VLOOKUP($D354,素材!$1:$1016,COLUMN($F$1),FALSE))),VLOOKUP($C354,装備品!$1:$998,COLUMN($O$1),FALSE)*VLOOKUP($D354,素材!$1:$1016,COLUMN($E$1),FALSE)/(LEN(VLOOKUP($D354,素材!$1:$1016,COLUMN($F$1),FALSE))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BD354">
        <f>IF(ISNUMBER(SEARCH(SUBSTITUTE(BD$1,RIGHT(BD$1,2),""),VLOOKUP($D354,素材!$1:$1016,COLUMN($F$1),FALSE))),VLOOKUP($C354,装備品!$1:$998,COLUMN($O$1),FALSE)*VLOOKUP($D354,素材!$1:$1016,COLUMN($E$1),FALSE)/(LEN(VLOOKUP($D354,素材!$1:$1016,COLUMN($F$1),FALSE))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BE354">
        <f>IF(ISNUMBER(SEARCH(SUBSTITUTE(BE$1,RIGHT(BE$1,2),""),VLOOKUP($D354,素材!$1:$1016,COLUMN($F$1),FALSE))),VLOOKUP($C354,装備品!$1:$998,COLUMN($O$1),FALSE)*VLOOKUP($D354,素材!$1:$1016,COLUMN($E$1),FALSE)/(LEN(VLOOKUP($D354,素材!$1:$1016,COLUMN($F$1),FALSE))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CL354">
        <f t="shared" si="47"/>
        <v>32</v>
      </c>
      <c r="CM354" s="22" t="str">
        <f t="shared" si="48"/>
        <v>切断.webp</v>
      </c>
      <c r="CN354">
        <f>IFERROR(VLOOKUP($C354,装備品!$1:$998,COLUMN(V$1),FALSE)*VLOOKUP($D354,素材!$1:$1016,COLUMN(N$1),FALSE)+IF(CI354="",0,VLOOKUP($CI354,付与!$1:$1176,COLUMN($CK$1),FALSE)),"")</f>
        <v>0</v>
      </c>
      <c r="CO354">
        <f>VLOOKUP(D354,素材!$A:$O,COLUMN(素材!O$1),FALSE)</f>
        <v>0</v>
      </c>
      <c r="CP354" t="str">
        <f>VLOOKUP(C354,装備品!$A:$AB,COLUMN(装備品!AB$1),FALSE)</f>
        <v>長剣。長く重い分扱いにくいが威力が高い。</v>
      </c>
      <c r="CR354" t="str">
        <f t="shared" si="49"/>
        <v>e_354</v>
      </c>
      <c r="CS354">
        <f t="shared" si="50"/>
        <v>0</v>
      </c>
    </row>
    <row r="355" spans="1:97" outlineLevel="1" x14ac:dyDescent="0.4">
      <c r="A355" t="str">
        <f t="shared" si="52"/>
        <v>金鉄の長剣</v>
      </c>
      <c r="B355" t="str">
        <f>IFERROR(VLOOKUP($D355,素材!$1:$1016,COLUMN($B$1),FALSE)&amp;"・"&amp;VLOOKUP($C355,装備品!$1:$998,COLUMN(B$1),FALSE),"")</f>
        <v>オリハルコン・ロングソード</v>
      </c>
      <c r="C355" t="s">
        <v>194</v>
      </c>
      <c r="D355" s="24" t="s">
        <v>199</v>
      </c>
      <c r="E355" t="str">
        <f>IFERROR(VLOOKUP(C355,装備品!$1:$998,COLUMN(C$1),FALSE),"")</f>
        <v>武器</v>
      </c>
      <c r="F355">
        <f>IFERROR(ROUNDDOWN((VLOOKUP($C355,装備品!$1:$998,COLUMN(D$1),FALSE)+IFERROR(VLOOKUP($CI355,付与!$1:$1167,COLUMN(F$1),FALSE),0))*VLOOKUP($D355,素材!$1:$1016,COLUMN(D$1),FALSE),0),"")</f>
        <v>115</v>
      </c>
      <c r="G355">
        <f>IFERROR(ROUNDDOWN((VLOOKUP($C355,装備品!$1:$998,COLUMN(E$1),FALSE)+IFERROR(VLOOKUP($CI355,付与!$1:$1167,COLUMN(G$1),FALSE),0))*VLOOKUP($D355,素材!$1:$1016,COLUMN($E$1),FALSE),0),"")</f>
        <v>22</v>
      </c>
      <c r="H355">
        <f>IFERROR(ROUNDDOWN((VLOOKUP($C355,装備品!$1:$998,COLUMN(F$1),FALSE)+IFERROR(VLOOKUP($CI355,付与!$1:$1167,COLUMN(H$1),FALSE),0))*VLOOKUP($D355,素材!$1:$1016,COLUMN($E$1),FALSE),0),"")</f>
        <v>13</v>
      </c>
      <c r="I355">
        <f>IFERROR(ROUNDDOWN((VLOOKUP($C355,装備品!$1:$998,COLUMN(G$1),FALSE)+IFERROR(VLOOKUP($CI355,付与!$1:$1167,COLUMN(I$1),FALSE),0))*VLOOKUP($D355,素材!$1:$1016,COLUMN($E$1),FALSE),0),"")</f>
        <v>4</v>
      </c>
      <c r="J355">
        <f>IFERROR(ROUNDDOWN((VLOOKUP($C355,装備品!$1:$998,COLUMN(H$1),FALSE)+IFERROR(VLOOKUP($CI355,付与!$1:$1167,COLUMN(J$1),FALSE),0))*VLOOKUP($D355,素材!$1:$1016,COLUMN($E$1),FALSE),0),"")</f>
        <v>30</v>
      </c>
      <c r="K355">
        <f>IFERROR(ROUNDDOWN((VLOOKUP($C355,装備品!$1:$998,COLUMN(I$1),FALSE)+IFERROR(VLOOKUP($CI355,付与!$1:$1167,COLUMN(K$1),FALSE),0))*VLOOKUP($D355,素材!$1:$1016,COLUMN($E$1),FALSE),0),"")</f>
        <v>0</v>
      </c>
      <c r="L355" t="str">
        <f>IFERROR(VLOOKUP($D355,素材!$1:$1016,COLUMN($F$1),FALSE),"")</f>
        <v>魔法</v>
      </c>
      <c r="M355">
        <f>IFERROR(VLOOKUP($C355,装備品!$1:$998,COLUMN(AA$1),FALSE)*VLOOKUP($D355,素材!$1:$1016,COLUMN($G$1),FALSE),"")</f>
        <v>60</v>
      </c>
      <c r="N355">
        <f>IFERROR(VLOOKUP($C355,装備品!$1:$998,COLUMN(I$1),FALSE),"")</f>
        <v>0</v>
      </c>
      <c r="O355" s="23">
        <f>IFERROR((VLOOKUP($C355,装備品!$1:$998,COLUMN(K$1),FALSE)+VLOOKUP($D355,素材!$1:$1016,COLUMN(H$1),FALSE))*100+IFERROR(VLOOKUP($CI355,付与!$1:$1167,COLUMN(O$1),FALSE),0),"")</f>
        <v>12.000000000000002</v>
      </c>
      <c r="P355" s="23">
        <f>IFERROR((VLOOKUP($C355,装備品!$1:$998,COLUMN(L$1),FALSE)+VLOOKUP($D355,素材!$1:$1016,COLUMN(I$1),FALSE))*100+IFERROR(VLOOKUP($CI355,付与!$1:$1167,COLUMN(P$1),FALSE),0),"")</f>
        <v>155</v>
      </c>
      <c r="Q355">
        <f>IFERROR(ROUNDUP(VLOOKUP($C355,装備品!$1:$998,COLUMN(M$1),FALSE)*(VLOOKUP($D355,素材!$1:$1002,COLUMN(D$1),FALSE)/100),1),"")</f>
        <v>-2.5</v>
      </c>
      <c r="R355">
        <f>IFERROR(ROUNDUP(VLOOKUP($C355,装備品!$1:$998,COLUMN(N$1),FALSE)*(VLOOKUP($D355,素材!$1:$1002,COLUMN(D$1),FALSE)/100),1),"")</f>
        <v>-2.5</v>
      </c>
      <c r="S355">
        <f>IFERROR(VLOOKUP($C355,装備品!$1:$998,COLUMN(P$1),FALSE),"")</f>
        <v>0</v>
      </c>
      <c r="T355">
        <f>IFERROR(VLOOKUP($C355,装備品!$1:$998,COLUMN(Q$1),FALSE),"")</f>
        <v>0</v>
      </c>
      <c r="U355">
        <f>IFERROR(VLOOKUP($C355,装備品!$1:$998,COLUMN(R$1),FALSE),"")</f>
        <v>0</v>
      </c>
      <c r="V355">
        <f>IFERROR(VLOOKUP($C355,装備品!$1:$998,COLUMN(Q$1),FALSE),"")</f>
        <v>0</v>
      </c>
      <c r="W355">
        <f>IFERROR(VLOOKUP($C355,装備品!$1:$998,COLUMN(T$1),FALSE),"")</f>
        <v>0</v>
      </c>
      <c r="Y355">
        <f>IFERROR(VLOOKUP($C355,装備品!$1:$998,COLUMN(U$1),FALSE),"")</f>
        <v>0</v>
      </c>
      <c r="Z355">
        <f>IFERROR(ROUNDUP(VLOOKUP($C355,装備品!$1:$998,COLUMN(O$1),FALSE)*VLOOKUP($D355,素材!$1:$1016,COLUMN(E$1),FALSE),1),"")</f>
        <v>0</v>
      </c>
      <c r="AA355">
        <f>IF(ISNUMBER(SEARCH(SUBSTITUTE(AA$1,RIGHT(AA$1,2),""),VLOOKUP($D355,素材!$1:$1016,COLUMN($F$1),FALSE))),VLOOKUP($C355,装備品!$1:$998,COLUMN($O$1),FALSE)*VLOOKUP($D355,素材!$1:$1016,COLUMN($E$1),FALSE)/(LEN(VLOOKUP($D355,素材!$1:$1016,COLUMN($F$1),FALSE))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B355">
        <f>IF(ISNUMBER(SEARCH(SUBSTITUTE(AB$1,RIGHT(AB$1,2),""),VLOOKUP($D355,素材!$1:$1016,COLUMN($F$1),FALSE))),VLOOKUP($C355,装備品!$1:$998,COLUMN($O$1),FALSE)*VLOOKUP($D355,素材!$1:$1016,COLUMN($E$1),FALSE)/(LEN(VLOOKUP($D355,素材!$1:$1016,COLUMN($F$1),FALSE))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C355">
        <f>IF(ISNUMBER(SEARCH(SUBSTITUTE(AC$1,RIGHT(AC$1,2),""),VLOOKUP($D355,素材!$1:$1016,COLUMN($F$1),FALSE))),VLOOKUP($C355,装備品!$1:$998,COLUMN($O$1),FALSE)*VLOOKUP($D355,素材!$1:$1016,COLUMN($E$1),FALSE)/(LEN(VLOOKUP($D355,素材!$1:$1016,COLUMN($F$1),FALSE))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D355">
        <f>IF(ISNUMBER(SEARCH(SUBSTITUTE(AD$1,RIGHT(AD$1,2),""),VLOOKUP($D355,素材!$1:$1016,COLUMN($F$1),FALSE))),VLOOKUP($C355,装備品!$1:$998,COLUMN($O$1),FALSE)*VLOOKUP($D355,素材!$1:$1016,COLUMN($E$1),FALSE)/(LEN(VLOOKUP($D355,素材!$1:$1016,COLUMN($F$1),FALSE))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E355">
        <f>IF(ISNUMBER(SEARCH(SUBSTITUTE(AE$1,RIGHT(AE$1,2),""),VLOOKUP($D355,素材!$1:$1016,COLUMN($F$1),FALSE))),VLOOKUP($C355,装備品!$1:$998,COLUMN($O$1),FALSE)*VLOOKUP($D355,素材!$1:$1016,COLUMN($E$1),FALSE)/(LEN(VLOOKUP($D355,素材!$1:$1016,COLUMN($F$1),FALSE))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F355">
        <f>IF(ISNUMBER(SEARCH(SUBSTITUTE(AF$1,RIGHT(AF$1,2),""),VLOOKUP($D355,素材!$1:$1016,COLUMN($F$1),FALSE))),VLOOKUP($C355,装備品!$1:$998,COLUMN($O$1),FALSE)*VLOOKUP($D355,素材!$1:$1016,COLUMN($E$1),FALSE)/(LEN(VLOOKUP($D355,素材!$1:$1016,COLUMN($F$1),FALSE))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G355">
        <f>IF(ISNUMBER(SEARCH(SUBSTITUTE(AG$1,RIGHT(AG$1,2),""),VLOOKUP($D355,素材!$1:$1016,COLUMN($F$1),FALSE))),VLOOKUP($C355,装備品!$1:$998,COLUMN($O$1),FALSE)*VLOOKUP($D355,素材!$1:$1016,COLUMN($E$1),FALSE)/(LEN(VLOOKUP($D355,素材!$1:$1016,COLUMN($F$1),FALSE))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H355">
        <f>IF(ISNUMBER(SEARCH(SUBSTITUTE(AH$1,RIGHT(AH$1,2),""),VLOOKUP($D355,素材!$1:$1016,COLUMN($F$1),FALSE))),VLOOKUP($C355,装備品!$1:$998,COLUMN($O$1),FALSE)*VLOOKUP($D355,素材!$1:$1016,COLUMN($E$1),FALSE)/(LEN(VLOOKUP($D355,素材!$1:$1016,COLUMN($F$1),FALSE))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I355">
        <f>IF(ISNUMBER(SEARCH(SUBSTITUTE(AI$1,RIGHT(AI$1,2),""),VLOOKUP($D355,素材!$1:$1016,COLUMN($F$1),FALSE))),VLOOKUP($C355,装備品!$1:$998,COLUMN($O$1),FALSE)*VLOOKUP($D355,素材!$1:$1016,COLUMN($E$1),FALSE)/(LEN(VLOOKUP($D355,素材!$1:$1016,COLUMN($F$1),FALSE))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J355">
        <f>IF(ISNUMBER(SEARCH(SUBSTITUTE(AJ$1,RIGHT(AJ$1,2),""),VLOOKUP($D355,素材!$1:$1016,COLUMN($F$1),FALSE))),VLOOKUP($C355,装備品!$1:$998,COLUMN($O$1),FALSE)*VLOOKUP($D355,素材!$1:$1016,COLUMN($E$1),FALSE)/(LEN(VLOOKUP($D355,素材!$1:$1016,COLUMN($F$1),FALSE))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K355">
        <f>IF(ISNUMBER(SEARCH(SUBSTITUTE(AK$1,RIGHT(AK$1,2),""),VLOOKUP($D355,素材!$1:$1016,COLUMN($F$1),FALSE))),VLOOKUP($C355,装備品!$1:$998,COLUMN($O$1),FALSE)*VLOOKUP($D355,素材!$1:$1016,COLUMN($E$1),FALSE)/(LEN(VLOOKUP($D355,素材!$1:$1016,COLUMN($F$1),FALSE))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L355">
        <f>IF(ISNUMBER(SEARCH(SUBSTITUTE(AL$1,RIGHT(AL$1,2),""),VLOOKUP($D355,素材!$1:$1016,COLUMN($F$1),FALSE))),VLOOKUP($C355,装備品!$1:$998,COLUMN($O$1),FALSE)*VLOOKUP($D355,素材!$1:$1016,COLUMN($E$1),FALSE)/(LEN(VLOOKUP($D355,素材!$1:$1016,COLUMN($F$1),FALSE))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M355">
        <f>IF(ISNUMBER(SEARCH(SUBSTITUTE(AM$1,RIGHT(AM$1,2),""),VLOOKUP($D355,素材!$1:$1016,COLUMN($F$1),FALSE))),VLOOKUP($C355,装備品!$1:$998,COLUMN($O$1),FALSE)*VLOOKUP($D355,素材!$1:$1016,COLUMN($E$1),FALSE)/(LEN(VLOOKUP($D355,素材!$1:$1016,COLUMN($F$1),FALSE))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N355">
        <f>IF(ISNUMBER(SEARCH(SUBSTITUTE(AN$1,RIGHT(AN$1,2),""),VLOOKUP($D355,素材!$1:$1016,COLUMN($F$1),FALSE))),VLOOKUP($C355,装備品!$1:$998,COLUMN($O$1),FALSE)*VLOOKUP($D355,素材!$1:$1016,COLUMN($E$1),FALSE)/(LEN(VLOOKUP($D355,素材!$1:$1016,COLUMN($F$1),FALSE))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O355">
        <f>IF(ISNUMBER(SEARCH(SUBSTITUTE(AO$1,RIGHT(AO$1,2),""),VLOOKUP($D355,素材!$1:$1016,COLUMN($F$1),FALSE))),VLOOKUP($C355,装備品!$1:$998,COLUMN($O$1),FALSE)*VLOOKUP($D355,素材!$1:$1016,COLUMN($E$1),FALSE)/(LEN(VLOOKUP($D355,素材!$1:$1016,COLUMN($F$1),FALSE))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P355">
        <f>IF(ISNUMBER(SEARCH(SUBSTITUTE(AP$1,RIGHT(AP$1,2),""),VLOOKUP($D355,素材!$1:$1016,COLUMN($F$1),FALSE))),VLOOKUP($C355,装備品!$1:$998,COLUMN($O$1),FALSE)*VLOOKUP($D355,素材!$1:$1016,COLUMN($E$1),FALSE)/(LEN(VLOOKUP($D355,素材!$1:$1016,COLUMN($F$1),FALSE))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Q355">
        <f>IF(ISNUMBER(SEARCH(SUBSTITUTE(AQ$1,RIGHT(AQ$1,2),""),VLOOKUP($D355,素材!$1:$1016,COLUMN($F$1),FALSE))),VLOOKUP($C355,装備品!$1:$998,COLUMN($O$1),FALSE)*VLOOKUP($D355,素材!$1:$1016,COLUMN($E$1),FALSE)/(LEN(VLOOKUP($D355,素材!$1:$1016,COLUMN($F$1),FALSE))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R355">
        <f>IF(ISNUMBER(SEARCH(SUBSTITUTE(AR$1,RIGHT(AR$1,2),""),VLOOKUP($D355,素材!$1:$1016,COLUMN($F$1),FALSE))),VLOOKUP($C355,装備品!$1:$998,COLUMN($O$1),FALSE)*VLOOKUP($D355,素材!$1:$1016,COLUMN($E$1),FALSE)/(LEN(VLOOKUP($D355,素材!$1:$1016,COLUMN($F$1),FALSE))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S355">
        <f>IF(ISNUMBER(SEARCH(SUBSTITUTE(AS$1,RIGHT(AS$1,2),""),VLOOKUP($D355,素材!$1:$1016,COLUMN($F$1),FALSE))),VLOOKUP($C355,装備品!$1:$998,COLUMN($O$1),FALSE)*VLOOKUP($D355,素材!$1:$1016,COLUMN($E$1),FALSE)/(LEN(VLOOKUP($D355,素材!$1:$1016,COLUMN($F$1),FALSE))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T355">
        <f>IF(ISNUMBER(SEARCH(SUBSTITUTE(AT$1,RIGHT(AT$1,2),""),VLOOKUP($D355,素材!$1:$1016,COLUMN($F$1),FALSE))),VLOOKUP($C355,装備品!$1:$998,COLUMN($O$1),FALSE)*VLOOKUP($D355,素材!$1:$1016,COLUMN($E$1),FALSE)/(LEN(VLOOKUP($D355,素材!$1:$1016,COLUMN($F$1),FALSE))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U355">
        <f>IF(ISNUMBER(SEARCH(SUBSTITUTE(AU$1,RIGHT(AU$1,2),""),VLOOKUP($D355,素材!$1:$1016,COLUMN($F$1),FALSE))),VLOOKUP($C355,装備品!$1:$998,COLUMN($O$1),FALSE)*VLOOKUP($D355,素材!$1:$1016,COLUMN($E$1),FALSE)/(LEN(VLOOKUP($D355,素材!$1:$1016,COLUMN($F$1),FALSE))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V355">
        <f>IF(ISNUMBER(SEARCH(SUBSTITUTE(AV$1,RIGHT(AV$1,2),""),VLOOKUP($D355,素材!$1:$1016,COLUMN($F$1),FALSE))),VLOOKUP($C355,装備品!$1:$998,COLUMN($O$1),FALSE)*VLOOKUP($D355,素材!$1:$1016,COLUMN($E$1),FALSE)/(LEN(VLOOKUP($D355,素材!$1:$1016,COLUMN($F$1),FALSE))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W355">
        <f>IF(ISNUMBER(SEARCH(SUBSTITUTE(AW$1,RIGHT(AW$1,2),""),VLOOKUP($D355,素材!$1:$1016,COLUMN($F$1),FALSE))),VLOOKUP($C355,装備品!$1:$998,COLUMN($O$1),FALSE)*VLOOKUP($D355,素材!$1:$1016,COLUMN($E$1),FALSE)/(LEN(VLOOKUP($D355,素材!$1:$1016,COLUMN($F$1),FALSE))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X355">
        <f>IF(ISNUMBER(SEARCH(SUBSTITUTE(AX$1,RIGHT(AX$1,2),""),VLOOKUP($D355,素材!$1:$1016,COLUMN($F$1),FALSE))),VLOOKUP($C355,装備品!$1:$998,COLUMN($O$1),FALSE)*VLOOKUP($D355,素材!$1:$1016,COLUMN($E$1),FALSE)/(LEN(VLOOKUP($D355,素材!$1:$1016,COLUMN($F$1),FALSE))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Y355">
        <f>IF(ISNUMBER(SEARCH(SUBSTITUTE(AY$1,RIGHT(AY$1,2),""),VLOOKUP($D355,素材!$1:$1016,COLUMN($F$1),FALSE))),VLOOKUP($C355,装備品!$1:$998,COLUMN($O$1),FALSE)*VLOOKUP($D355,素材!$1:$1016,COLUMN($E$1),FALSE)/(LEN(VLOOKUP($D355,素材!$1:$1016,COLUMN($F$1),FALSE))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Z355">
        <f>IF(ISNUMBER(SEARCH(SUBSTITUTE(AZ$1,RIGHT(AZ$1,2),""),VLOOKUP($D355,素材!$1:$1016,COLUMN($F$1),FALSE))),VLOOKUP($C355,装備品!$1:$998,COLUMN($O$1),FALSE)*VLOOKUP($D355,素材!$1:$1016,COLUMN($E$1),FALSE)/(LEN(VLOOKUP($D355,素材!$1:$1016,COLUMN($F$1),FALSE))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BA355">
        <f>IF(ISNUMBER(SEARCH(SUBSTITUTE(BA$1,RIGHT(BA$1,2),""),VLOOKUP($D355,素材!$1:$1016,COLUMN($F$1),FALSE))),VLOOKUP($C355,装備品!$1:$998,COLUMN($O$1),FALSE)*VLOOKUP($D355,素材!$1:$1016,COLUMN($E$1),FALSE)/(LEN(VLOOKUP($D355,素材!$1:$1016,COLUMN($F$1),FALSE))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BB355">
        <f>IF(ISNUMBER(SEARCH(SUBSTITUTE(BB$1,RIGHT(BB$1,2),""),VLOOKUP($D355,素材!$1:$1016,COLUMN($F$1),FALSE))),VLOOKUP($C355,装備品!$1:$998,COLUMN($O$1),FALSE)*VLOOKUP($D355,素材!$1:$1016,COLUMN($E$1),FALSE)/(LEN(VLOOKUP($D355,素材!$1:$1016,COLUMN($F$1),FALSE))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BC355">
        <f>IF(ISNUMBER(SEARCH(SUBSTITUTE(BC$1,RIGHT(BC$1,2),""),VLOOKUP($D355,素材!$1:$1016,COLUMN($F$1),FALSE))),VLOOKUP($C355,装備品!$1:$998,COLUMN($O$1),FALSE)*VLOOKUP($D355,素材!$1:$1016,COLUMN($E$1),FALSE)/(LEN(VLOOKUP($D355,素材!$1:$1016,COLUMN($F$1),FALSE))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BD355">
        <f>IF(ISNUMBER(SEARCH(SUBSTITUTE(BD$1,RIGHT(BD$1,2),""),VLOOKUP($D355,素材!$1:$1016,COLUMN($F$1),FALSE))),VLOOKUP($C355,装備品!$1:$998,COLUMN($O$1),FALSE)*VLOOKUP($D355,素材!$1:$1016,COLUMN($E$1),FALSE)/(LEN(VLOOKUP($D355,素材!$1:$1016,COLUMN($F$1),FALSE))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BE355">
        <f>IF(ISNUMBER(SEARCH(SUBSTITUTE(BE$1,RIGHT(BE$1,2),""),VLOOKUP($D355,素材!$1:$1016,COLUMN($F$1),FALSE))),VLOOKUP($C355,装備品!$1:$998,COLUMN($O$1),FALSE)*VLOOKUP($D355,素材!$1:$1016,COLUMN($E$1),FALSE)/(LEN(VLOOKUP($D355,素材!$1:$1016,COLUMN($F$1),FALSE))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CL355">
        <f t="shared" si="47"/>
        <v>39</v>
      </c>
      <c r="CM355" s="22" t="str">
        <f t="shared" si="48"/>
        <v>切断.webp</v>
      </c>
      <c r="CN355">
        <f>IFERROR(VLOOKUP($C355,装備品!$1:$998,COLUMN(V$1),FALSE)*VLOOKUP($D355,素材!$1:$1016,COLUMN(N$1),FALSE)+IF(CI355="",0,VLOOKUP($CI355,付与!$1:$1176,COLUMN($CK$1),FALSE)),"")</f>
        <v>0</v>
      </c>
      <c r="CO355">
        <f>VLOOKUP(D355,素材!$A:$O,COLUMN(素材!O$1),FALSE)</f>
        <v>0</v>
      </c>
      <c r="CP355" t="str">
        <f>VLOOKUP(C355,装備品!$A:$AB,COLUMN(装備品!AB$1),FALSE)</f>
        <v>長剣。長く重い分扱いにくいが威力が高い。</v>
      </c>
      <c r="CR355" t="str">
        <f t="shared" si="49"/>
        <v>e_355</v>
      </c>
      <c r="CS355">
        <f t="shared" si="50"/>
        <v>0</v>
      </c>
    </row>
    <row r="356" spans="1:97" outlineLevel="1" x14ac:dyDescent="0.4">
      <c r="A356" t="str">
        <f t="shared" si="52"/>
        <v>黒鉄の長剣</v>
      </c>
      <c r="B356" t="str">
        <f>IFERROR(VLOOKUP($D356,素材!$1:$1016,COLUMN($B$1),FALSE)&amp;"・"&amp;VLOOKUP($C356,装備品!$1:$998,COLUMN(B$1),FALSE),"")</f>
        <v>アダマンタイト・ロングソード</v>
      </c>
      <c r="C356" t="s">
        <v>194</v>
      </c>
      <c r="D356" s="24" t="s">
        <v>198</v>
      </c>
      <c r="E356" t="str">
        <f>IFERROR(VLOOKUP(C356,装備品!$1:$998,COLUMN(C$1),FALSE),"")</f>
        <v>武器</v>
      </c>
      <c r="F356">
        <f>IFERROR(ROUNDDOWN((VLOOKUP($C356,装備品!$1:$998,COLUMN(D$1),FALSE)+IFERROR(VLOOKUP($CI356,付与!$1:$1167,COLUMN(F$1),FALSE),0))*VLOOKUP($D356,素材!$1:$1016,COLUMN(D$1),FALSE),0),"")</f>
        <v>132</v>
      </c>
      <c r="G356">
        <f>IFERROR(ROUNDDOWN((VLOOKUP($C356,装備品!$1:$998,COLUMN(E$1),FALSE)+IFERROR(VLOOKUP($CI356,付与!$1:$1167,COLUMN(G$1),FALSE),0))*VLOOKUP($D356,素材!$1:$1016,COLUMN($E$1),FALSE),0),"")</f>
        <v>30</v>
      </c>
      <c r="H356">
        <f>IFERROR(ROUNDDOWN((VLOOKUP($C356,装備品!$1:$998,COLUMN(F$1),FALSE)+IFERROR(VLOOKUP($CI356,付与!$1:$1167,COLUMN(H$1),FALSE),0))*VLOOKUP($D356,素材!$1:$1016,COLUMN($E$1),FALSE),0),"")</f>
        <v>18</v>
      </c>
      <c r="I356">
        <f>IFERROR(ROUNDDOWN((VLOOKUP($C356,装備品!$1:$998,COLUMN(G$1),FALSE)+IFERROR(VLOOKUP($CI356,付与!$1:$1167,COLUMN(I$1),FALSE),0))*VLOOKUP($D356,素材!$1:$1016,COLUMN($E$1),FALSE),0),"")</f>
        <v>6</v>
      </c>
      <c r="J356">
        <f>IFERROR(ROUNDDOWN((VLOOKUP($C356,装備品!$1:$998,COLUMN(H$1),FALSE)+IFERROR(VLOOKUP($CI356,付与!$1:$1167,COLUMN(J$1),FALSE),0))*VLOOKUP($D356,素材!$1:$1016,COLUMN($E$1),FALSE),0),"")</f>
        <v>40</v>
      </c>
      <c r="K356">
        <f>IFERROR(ROUNDDOWN((VLOOKUP($C356,装備品!$1:$998,COLUMN(I$1),FALSE)+IFERROR(VLOOKUP($CI356,付与!$1:$1167,COLUMN(K$1),FALSE),0))*VLOOKUP($D356,素材!$1:$1016,COLUMN($E$1),FALSE),0),"")</f>
        <v>0</v>
      </c>
      <c r="L356" t="str">
        <f>IFERROR(VLOOKUP($D356,素材!$1:$1016,COLUMN($F$1),FALSE),"")</f>
        <v>物理</v>
      </c>
      <c r="M356">
        <f>IFERROR(VLOOKUP($C356,装備品!$1:$998,COLUMN(AA$1),FALSE)*VLOOKUP($D356,素材!$1:$1016,COLUMN($G$1),FALSE),"")</f>
        <v>20</v>
      </c>
      <c r="N356">
        <f>IFERROR(VLOOKUP($C356,装備品!$1:$998,COLUMN(I$1),FALSE),"")</f>
        <v>0</v>
      </c>
      <c r="O356" s="23">
        <f>IFERROR((VLOOKUP($C356,装備品!$1:$998,COLUMN(K$1),FALSE)+VLOOKUP($D356,素材!$1:$1016,COLUMN(H$1),FALSE))*100+IFERROR(VLOOKUP($CI356,付与!$1:$1167,COLUMN(O$1),FALSE),0),"")</f>
        <v>12.000000000000002</v>
      </c>
      <c r="P356" s="23">
        <f>IFERROR((VLOOKUP($C356,装備品!$1:$998,COLUMN(L$1),FALSE)+VLOOKUP($D356,素材!$1:$1016,COLUMN(I$1),FALSE))*100+IFERROR(VLOOKUP($CI356,付与!$1:$1167,COLUMN(P$1),FALSE),0),"")</f>
        <v>155</v>
      </c>
      <c r="Q356">
        <f>IFERROR(ROUNDUP(VLOOKUP($C356,装備品!$1:$998,COLUMN(M$1),FALSE)*(VLOOKUP($D356,素材!$1:$1002,COLUMN(D$1),FALSE)/100),1),"")</f>
        <v>-2.9</v>
      </c>
      <c r="R356">
        <f>IFERROR(ROUNDUP(VLOOKUP($C356,装備品!$1:$998,COLUMN(N$1),FALSE)*(VLOOKUP($D356,素材!$1:$1002,COLUMN(D$1),FALSE)/100),1),"")</f>
        <v>-2.9</v>
      </c>
      <c r="S356">
        <f>IFERROR(VLOOKUP($C356,装備品!$1:$998,COLUMN(P$1),FALSE),"")</f>
        <v>0</v>
      </c>
      <c r="T356">
        <f>IFERROR(VLOOKUP($C356,装備品!$1:$998,COLUMN(Q$1),FALSE),"")</f>
        <v>0</v>
      </c>
      <c r="U356">
        <f>IFERROR(VLOOKUP($C356,装備品!$1:$998,COLUMN(R$1),FALSE),"")</f>
        <v>0</v>
      </c>
      <c r="V356">
        <f>IFERROR(VLOOKUP($C356,装備品!$1:$998,COLUMN(Q$1),FALSE),"")</f>
        <v>0</v>
      </c>
      <c r="W356">
        <f>IFERROR(VLOOKUP($C356,装備品!$1:$998,COLUMN(T$1),FALSE),"")</f>
        <v>0</v>
      </c>
      <c r="Y356">
        <f>IFERROR(VLOOKUP($C356,装備品!$1:$998,COLUMN(U$1),FALSE),"")</f>
        <v>0</v>
      </c>
      <c r="Z356">
        <f>IFERROR(ROUNDUP(VLOOKUP($C356,装備品!$1:$998,COLUMN(O$1),FALSE)*VLOOKUP($D356,素材!$1:$1016,COLUMN(E$1),FALSE),1),"")</f>
        <v>0</v>
      </c>
      <c r="AA356">
        <f>IF(ISNUMBER(SEARCH(SUBSTITUTE(AA$1,RIGHT(AA$1,2),""),VLOOKUP($D356,素材!$1:$1016,COLUMN($F$1),FALSE))),VLOOKUP($C356,装備品!$1:$998,COLUMN($O$1),FALSE)*VLOOKUP($D356,素材!$1:$1016,COLUMN($E$1),FALSE)/(LEN(VLOOKUP($D356,素材!$1:$1016,COLUMN($F$1),FALSE))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B356">
        <f>IF(ISNUMBER(SEARCH(SUBSTITUTE(AB$1,RIGHT(AB$1,2),""),VLOOKUP($D356,素材!$1:$1016,COLUMN($F$1),FALSE))),VLOOKUP($C356,装備品!$1:$998,COLUMN($O$1),FALSE)*VLOOKUP($D356,素材!$1:$1016,COLUMN($E$1),FALSE)/(LEN(VLOOKUP($D356,素材!$1:$1016,COLUMN($F$1),FALSE))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C356">
        <f>IF(ISNUMBER(SEARCH(SUBSTITUTE(AC$1,RIGHT(AC$1,2),""),VLOOKUP($D356,素材!$1:$1016,COLUMN($F$1),FALSE))),VLOOKUP($C356,装備品!$1:$998,COLUMN($O$1),FALSE)*VLOOKUP($D356,素材!$1:$1016,COLUMN($E$1),FALSE)/(LEN(VLOOKUP($D356,素材!$1:$1016,COLUMN($F$1),FALSE))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D356">
        <f>IF(ISNUMBER(SEARCH(SUBSTITUTE(AD$1,RIGHT(AD$1,2),""),VLOOKUP($D356,素材!$1:$1016,COLUMN($F$1),FALSE))),VLOOKUP($C356,装備品!$1:$998,COLUMN($O$1),FALSE)*VLOOKUP($D356,素材!$1:$1016,COLUMN($E$1),FALSE)/(LEN(VLOOKUP($D356,素材!$1:$1016,COLUMN($F$1),FALSE))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E356">
        <f>IF(ISNUMBER(SEARCH(SUBSTITUTE(AE$1,RIGHT(AE$1,2),""),VLOOKUP($D356,素材!$1:$1016,COLUMN($F$1),FALSE))),VLOOKUP($C356,装備品!$1:$998,COLUMN($O$1),FALSE)*VLOOKUP($D356,素材!$1:$1016,COLUMN($E$1),FALSE)/(LEN(VLOOKUP($D356,素材!$1:$1016,COLUMN($F$1),FALSE))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F356">
        <f>IF(ISNUMBER(SEARCH(SUBSTITUTE(AF$1,RIGHT(AF$1,2),""),VLOOKUP($D356,素材!$1:$1016,COLUMN($F$1),FALSE))),VLOOKUP($C356,装備品!$1:$998,COLUMN($O$1),FALSE)*VLOOKUP($D356,素材!$1:$1016,COLUMN($E$1),FALSE)/(LEN(VLOOKUP($D356,素材!$1:$1016,COLUMN($F$1),FALSE))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G356">
        <f>IF(ISNUMBER(SEARCH(SUBSTITUTE(AG$1,RIGHT(AG$1,2),""),VLOOKUP($D356,素材!$1:$1016,COLUMN($F$1),FALSE))),VLOOKUP($C356,装備品!$1:$998,COLUMN($O$1),FALSE)*VLOOKUP($D356,素材!$1:$1016,COLUMN($E$1),FALSE)/(LEN(VLOOKUP($D356,素材!$1:$1016,COLUMN($F$1),FALSE))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H356">
        <f>IF(ISNUMBER(SEARCH(SUBSTITUTE(AH$1,RIGHT(AH$1,2),""),VLOOKUP($D356,素材!$1:$1016,COLUMN($F$1),FALSE))),VLOOKUP($C356,装備品!$1:$998,COLUMN($O$1),FALSE)*VLOOKUP($D356,素材!$1:$1016,COLUMN($E$1),FALSE)/(LEN(VLOOKUP($D356,素材!$1:$1016,COLUMN($F$1),FALSE))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I356">
        <f>IF(ISNUMBER(SEARCH(SUBSTITUTE(AI$1,RIGHT(AI$1,2),""),VLOOKUP($D356,素材!$1:$1016,COLUMN($F$1),FALSE))),VLOOKUP($C356,装備品!$1:$998,COLUMN($O$1),FALSE)*VLOOKUP($D356,素材!$1:$1016,COLUMN($E$1),FALSE)/(LEN(VLOOKUP($D356,素材!$1:$1016,COLUMN($F$1),FALSE))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J356">
        <f>IF(ISNUMBER(SEARCH(SUBSTITUTE(AJ$1,RIGHT(AJ$1,2),""),VLOOKUP($D356,素材!$1:$1016,COLUMN($F$1),FALSE))),VLOOKUP($C356,装備品!$1:$998,COLUMN($O$1),FALSE)*VLOOKUP($D356,素材!$1:$1016,COLUMN($E$1),FALSE)/(LEN(VLOOKUP($D356,素材!$1:$1016,COLUMN($F$1),FALSE))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K356">
        <f>IF(ISNUMBER(SEARCH(SUBSTITUTE(AK$1,RIGHT(AK$1,2),""),VLOOKUP($D356,素材!$1:$1016,COLUMN($F$1),FALSE))),VLOOKUP($C356,装備品!$1:$998,COLUMN($O$1),FALSE)*VLOOKUP($D356,素材!$1:$1016,COLUMN($E$1),FALSE)/(LEN(VLOOKUP($D356,素材!$1:$1016,COLUMN($F$1),FALSE))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L356">
        <f>IF(ISNUMBER(SEARCH(SUBSTITUTE(AL$1,RIGHT(AL$1,2),""),VLOOKUP($D356,素材!$1:$1016,COLUMN($F$1),FALSE))),VLOOKUP($C356,装備品!$1:$998,COLUMN($O$1),FALSE)*VLOOKUP($D356,素材!$1:$1016,COLUMN($E$1),FALSE)/(LEN(VLOOKUP($D356,素材!$1:$1016,COLUMN($F$1),FALSE))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M356">
        <f>IF(ISNUMBER(SEARCH(SUBSTITUTE(AM$1,RIGHT(AM$1,2),""),VLOOKUP($D356,素材!$1:$1016,COLUMN($F$1),FALSE))),VLOOKUP($C356,装備品!$1:$998,COLUMN($O$1),FALSE)*VLOOKUP($D356,素材!$1:$1016,COLUMN($E$1),FALSE)/(LEN(VLOOKUP($D356,素材!$1:$1016,COLUMN($F$1),FALSE))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N356">
        <f>IF(ISNUMBER(SEARCH(SUBSTITUTE(AN$1,RIGHT(AN$1,2),""),VLOOKUP($D356,素材!$1:$1016,COLUMN($F$1),FALSE))),VLOOKUP($C356,装備品!$1:$998,COLUMN($O$1),FALSE)*VLOOKUP($D356,素材!$1:$1016,COLUMN($E$1),FALSE)/(LEN(VLOOKUP($D356,素材!$1:$1016,COLUMN($F$1),FALSE))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O356">
        <f>IF(ISNUMBER(SEARCH(SUBSTITUTE(AO$1,RIGHT(AO$1,2),""),VLOOKUP($D356,素材!$1:$1016,COLUMN($F$1),FALSE))),VLOOKUP($C356,装備品!$1:$998,COLUMN($O$1),FALSE)*VLOOKUP($D356,素材!$1:$1016,COLUMN($E$1),FALSE)/(LEN(VLOOKUP($D356,素材!$1:$1016,COLUMN($F$1),FALSE))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P356">
        <f>IF(ISNUMBER(SEARCH(SUBSTITUTE(AP$1,RIGHT(AP$1,2),""),VLOOKUP($D356,素材!$1:$1016,COLUMN($F$1),FALSE))),VLOOKUP($C356,装備品!$1:$998,COLUMN($O$1),FALSE)*VLOOKUP($D356,素材!$1:$1016,COLUMN($E$1),FALSE)/(LEN(VLOOKUP($D356,素材!$1:$1016,COLUMN($F$1),FALSE))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Q356">
        <f>IF(ISNUMBER(SEARCH(SUBSTITUTE(AQ$1,RIGHT(AQ$1,2),""),VLOOKUP($D356,素材!$1:$1016,COLUMN($F$1),FALSE))),VLOOKUP($C356,装備品!$1:$998,COLUMN($O$1),FALSE)*VLOOKUP($D356,素材!$1:$1016,COLUMN($E$1),FALSE)/(LEN(VLOOKUP($D356,素材!$1:$1016,COLUMN($F$1),FALSE))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R356">
        <f>IF(ISNUMBER(SEARCH(SUBSTITUTE(AR$1,RIGHT(AR$1,2),""),VLOOKUP($D356,素材!$1:$1016,COLUMN($F$1),FALSE))),VLOOKUP($C356,装備品!$1:$998,COLUMN($O$1),FALSE)*VLOOKUP($D356,素材!$1:$1016,COLUMN($E$1),FALSE)/(LEN(VLOOKUP($D356,素材!$1:$1016,COLUMN($F$1),FALSE))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S356">
        <f>IF(ISNUMBER(SEARCH(SUBSTITUTE(AS$1,RIGHT(AS$1,2),""),VLOOKUP($D356,素材!$1:$1016,COLUMN($F$1),FALSE))),VLOOKUP($C356,装備品!$1:$998,COLUMN($O$1),FALSE)*VLOOKUP($D356,素材!$1:$1016,COLUMN($E$1),FALSE)/(LEN(VLOOKUP($D356,素材!$1:$1016,COLUMN($F$1),FALSE))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T356">
        <f>IF(ISNUMBER(SEARCH(SUBSTITUTE(AT$1,RIGHT(AT$1,2),""),VLOOKUP($D356,素材!$1:$1016,COLUMN($F$1),FALSE))),VLOOKUP($C356,装備品!$1:$998,COLUMN($O$1),FALSE)*VLOOKUP($D356,素材!$1:$1016,COLUMN($E$1),FALSE)/(LEN(VLOOKUP($D356,素材!$1:$1016,COLUMN($F$1),FALSE))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U356">
        <f>IF(ISNUMBER(SEARCH(SUBSTITUTE(AU$1,RIGHT(AU$1,2),""),VLOOKUP($D356,素材!$1:$1016,COLUMN($F$1),FALSE))),VLOOKUP($C356,装備品!$1:$998,COLUMN($O$1),FALSE)*VLOOKUP($D356,素材!$1:$1016,COLUMN($E$1),FALSE)/(LEN(VLOOKUP($D356,素材!$1:$1016,COLUMN($F$1),FALSE))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V356">
        <f>IF(ISNUMBER(SEARCH(SUBSTITUTE(AV$1,RIGHT(AV$1,2),""),VLOOKUP($D356,素材!$1:$1016,COLUMN($F$1),FALSE))),VLOOKUP($C356,装備品!$1:$998,COLUMN($O$1),FALSE)*VLOOKUP($D356,素材!$1:$1016,COLUMN($E$1),FALSE)/(LEN(VLOOKUP($D356,素材!$1:$1016,COLUMN($F$1),FALSE))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W356">
        <f>IF(ISNUMBER(SEARCH(SUBSTITUTE(AW$1,RIGHT(AW$1,2),""),VLOOKUP($D356,素材!$1:$1016,COLUMN($F$1),FALSE))),VLOOKUP($C356,装備品!$1:$998,COLUMN($O$1),FALSE)*VLOOKUP($D356,素材!$1:$1016,COLUMN($E$1),FALSE)/(LEN(VLOOKUP($D356,素材!$1:$1016,COLUMN($F$1),FALSE))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X356">
        <f>IF(ISNUMBER(SEARCH(SUBSTITUTE(AX$1,RIGHT(AX$1,2),""),VLOOKUP($D356,素材!$1:$1016,COLUMN($F$1),FALSE))),VLOOKUP($C356,装備品!$1:$998,COLUMN($O$1),FALSE)*VLOOKUP($D356,素材!$1:$1016,COLUMN($E$1),FALSE)/(LEN(VLOOKUP($D356,素材!$1:$1016,COLUMN($F$1),FALSE))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Y356">
        <f>IF(ISNUMBER(SEARCH(SUBSTITUTE(AY$1,RIGHT(AY$1,2),""),VLOOKUP($D356,素材!$1:$1016,COLUMN($F$1),FALSE))),VLOOKUP($C356,装備品!$1:$998,COLUMN($O$1),FALSE)*VLOOKUP($D356,素材!$1:$1016,COLUMN($E$1),FALSE)/(LEN(VLOOKUP($D356,素材!$1:$1016,COLUMN($F$1),FALSE))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Z356">
        <f>IF(ISNUMBER(SEARCH(SUBSTITUTE(AZ$1,RIGHT(AZ$1,2),""),VLOOKUP($D356,素材!$1:$1016,COLUMN($F$1),FALSE))),VLOOKUP($C356,装備品!$1:$998,COLUMN($O$1),FALSE)*VLOOKUP($D356,素材!$1:$1016,COLUMN($E$1),FALSE)/(LEN(VLOOKUP($D356,素材!$1:$1016,COLUMN($F$1),FALSE))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BA356">
        <f>IF(ISNUMBER(SEARCH(SUBSTITUTE(BA$1,RIGHT(BA$1,2),""),VLOOKUP($D356,素材!$1:$1016,COLUMN($F$1),FALSE))),VLOOKUP($C356,装備品!$1:$998,COLUMN($O$1),FALSE)*VLOOKUP($D356,素材!$1:$1016,COLUMN($E$1),FALSE)/(LEN(VLOOKUP($D356,素材!$1:$1016,COLUMN($F$1),FALSE))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BB356">
        <f>IF(ISNUMBER(SEARCH(SUBSTITUTE(BB$1,RIGHT(BB$1,2),""),VLOOKUP($D356,素材!$1:$1016,COLUMN($F$1),FALSE))),VLOOKUP($C356,装備品!$1:$998,COLUMN($O$1),FALSE)*VLOOKUP($D356,素材!$1:$1016,COLUMN($E$1),FALSE)/(LEN(VLOOKUP($D356,素材!$1:$1016,COLUMN($F$1),FALSE))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BC356">
        <f>IF(ISNUMBER(SEARCH(SUBSTITUTE(BC$1,RIGHT(BC$1,2),""),VLOOKUP($D356,素材!$1:$1016,COLUMN($F$1),FALSE))),VLOOKUP($C356,装備品!$1:$998,COLUMN($O$1),FALSE)*VLOOKUP($D356,素材!$1:$1016,COLUMN($E$1),FALSE)/(LEN(VLOOKUP($D356,素材!$1:$1016,COLUMN($F$1),FALSE))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BD356">
        <f>IF(ISNUMBER(SEARCH(SUBSTITUTE(BD$1,RIGHT(BD$1,2),""),VLOOKUP($D356,素材!$1:$1016,COLUMN($F$1),FALSE))),VLOOKUP($C356,装備品!$1:$998,COLUMN($O$1),FALSE)*VLOOKUP($D356,素材!$1:$1016,COLUMN($E$1),FALSE)/(LEN(VLOOKUP($D356,素材!$1:$1016,COLUMN($F$1),FALSE))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BE356">
        <f>IF(ISNUMBER(SEARCH(SUBSTITUTE(BE$1,RIGHT(BE$1,2),""),VLOOKUP($D356,素材!$1:$1016,COLUMN($F$1),FALSE))),VLOOKUP($C356,装備品!$1:$998,COLUMN($O$1),FALSE)*VLOOKUP($D356,素材!$1:$1016,COLUMN($E$1),FALSE)/(LEN(VLOOKUP($D356,素材!$1:$1016,COLUMN($F$1),FALSE))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CL356">
        <f t="shared" si="47"/>
        <v>54</v>
      </c>
      <c r="CM356" s="22" t="str">
        <f t="shared" si="48"/>
        <v>切断.webp</v>
      </c>
      <c r="CN356">
        <f>IFERROR(VLOOKUP($C356,装備品!$1:$998,COLUMN(V$1),FALSE)*VLOOKUP($D356,素材!$1:$1016,COLUMN(N$1),FALSE)+IF(CI356="",0,VLOOKUP($CI356,付与!$1:$1176,COLUMN($CK$1),FALSE)),"")</f>
        <v>0</v>
      </c>
      <c r="CO356">
        <f>VLOOKUP(D356,素材!$A:$O,COLUMN(素材!O$1),FALSE)</f>
        <v>0</v>
      </c>
      <c r="CP356" t="str">
        <f>VLOOKUP(C356,装備品!$A:$AB,COLUMN(装備品!AB$1),FALSE)</f>
        <v>長剣。長く重い分扱いにくいが威力が高い。</v>
      </c>
      <c r="CR356" t="str">
        <f t="shared" si="49"/>
        <v>e_356</v>
      </c>
      <c r="CS356">
        <f t="shared" si="50"/>
        <v>0</v>
      </c>
    </row>
    <row r="357" spans="1:97" outlineLevel="1" x14ac:dyDescent="0.4">
      <c r="A357" t="str">
        <f t="shared" si="52"/>
        <v>銀鋼の鎧</v>
      </c>
      <c r="B357" t="str">
        <f>IFERROR(VLOOKUP($D357,素材!$1:$1016,COLUMN($B$1),FALSE)&amp;"・"&amp;VLOOKUP($C357,装備品!$1:$998,COLUMN(B$1),FALSE),"")</f>
        <v>シルバーメタル・アーマー</v>
      </c>
      <c r="C357" t="s">
        <v>197</v>
      </c>
      <c r="D357" s="24" t="s">
        <v>196</v>
      </c>
      <c r="E357" t="str">
        <f>IFERROR(VLOOKUP(C357,装備品!$1:$998,COLUMN(C$1),FALSE),"")</f>
        <v>体</v>
      </c>
      <c r="F357">
        <f>IFERROR(ROUNDDOWN((VLOOKUP($C357,装備品!$1:$998,COLUMN(D$1),FALSE)+IFERROR(VLOOKUP($CI357,付与!$1:$1167,COLUMN(F$1),FALSE),0))*VLOOKUP($D357,素材!$1:$1016,COLUMN(D$1),FALSE),0),"")</f>
        <v>0</v>
      </c>
      <c r="G357">
        <f>IFERROR(ROUNDDOWN((VLOOKUP($C357,装備品!$1:$998,COLUMN(E$1),FALSE)+IFERROR(VLOOKUP($CI357,付与!$1:$1167,COLUMN(G$1),FALSE),0))*VLOOKUP($D357,素材!$1:$1016,COLUMN($E$1),FALSE),0),"")</f>
        <v>0</v>
      </c>
      <c r="H357">
        <f>IFERROR(ROUNDDOWN((VLOOKUP($C357,装備品!$1:$998,COLUMN(F$1),FALSE)+IFERROR(VLOOKUP($CI357,付与!$1:$1167,COLUMN(H$1),FALSE),0))*VLOOKUP($D357,素材!$1:$1016,COLUMN($E$1),FALSE),0),"")</f>
        <v>0</v>
      </c>
      <c r="I357">
        <f>IFERROR(ROUNDDOWN((VLOOKUP($C357,装備品!$1:$998,COLUMN(G$1),FALSE)+IFERROR(VLOOKUP($CI357,付与!$1:$1167,COLUMN(I$1),FALSE),0))*VLOOKUP($D357,素材!$1:$1016,COLUMN($E$1),FALSE),0),"")</f>
        <v>0</v>
      </c>
      <c r="J357">
        <f>IFERROR(ROUNDDOWN((VLOOKUP($C357,装備品!$1:$998,COLUMN(H$1),FALSE)+IFERROR(VLOOKUP($CI357,付与!$1:$1167,COLUMN(J$1),FALSE),0))*VLOOKUP($D357,素材!$1:$1016,COLUMN($E$1),FALSE),0),"")</f>
        <v>0</v>
      </c>
      <c r="K357">
        <f>IFERROR(ROUNDDOWN((VLOOKUP($C357,装備品!$1:$998,COLUMN(I$1),FALSE)+IFERROR(VLOOKUP($CI357,付与!$1:$1167,COLUMN(K$1),FALSE),0))*VLOOKUP($D357,素材!$1:$1016,COLUMN($E$1),FALSE),0),"")</f>
        <v>0</v>
      </c>
      <c r="L357">
        <f>IFERROR(VLOOKUP($D357,素材!$1:$1016,COLUMN($F$1),FALSE),"")</f>
        <v>0</v>
      </c>
      <c r="M357">
        <f>IFERROR(VLOOKUP($C357,装備品!$1:$998,COLUMN(AA$1),FALSE)*VLOOKUP($D357,素材!$1:$1016,COLUMN($G$1),FALSE),"")</f>
        <v>0</v>
      </c>
      <c r="N357">
        <f>IFERROR(VLOOKUP($C357,装備品!$1:$998,COLUMN(I$1),FALSE),"")</f>
        <v>0</v>
      </c>
      <c r="O357" s="23">
        <f>IFERROR((VLOOKUP($C357,装備品!$1:$998,COLUMN(K$1),FALSE)+VLOOKUP($D357,素材!$1:$1016,COLUMN(H$1),FALSE))*100+IFERROR(VLOOKUP($CI357,付与!$1:$1167,COLUMN(O$1),FALSE),0),"")</f>
        <v>5</v>
      </c>
      <c r="P357" s="23">
        <f>IFERROR((VLOOKUP($C357,装備品!$1:$998,COLUMN(L$1),FALSE)+VLOOKUP($D357,素材!$1:$1016,COLUMN(I$1),FALSE))*100+IFERROR(VLOOKUP($CI357,付与!$1:$1167,COLUMN(P$1),FALSE),0),"")</f>
        <v>10</v>
      </c>
      <c r="Q357">
        <f>IFERROR(ROUNDUP(VLOOKUP($C357,装備品!$1:$998,COLUMN(M$1),FALSE)*(VLOOKUP($D357,素材!$1:$1002,COLUMN(D$1),FALSE)/100),1),"")</f>
        <v>-7.5</v>
      </c>
      <c r="R357">
        <f>IFERROR(ROUNDUP(VLOOKUP($C357,装備品!$1:$998,COLUMN(N$1),FALSE)*(VLOOKUP($D357,素材!$1:$1002,COLUMN(D$1),FALSE)/100),1),"")</f>
        <v>0</v>
      </c>
      <c r="S357">
        <f>IFERROR(VLOOKUP($C357,装備品!$1:$998,COLUMN(P$1),FALSE),"")</f>
        <v>-35</v>
      </c>
      <c r="T357">
        <f>IFERROR(VLOOKUP($C357,装備品!$1:$998,COLUMN(Q$1),FALSE),"")</f>
        <v>0</v>
      </c>
      <c r="U357">
        <f>IFERROR(VLOOKUP($C357,装備品!$1:$998,COLUMN(R$1),FALSE),"")</f>
        <v>0</v>
      </c>
      <c r="V357">
        <f>IFERROR(VLOOKUP($C357,装備品!$1:$998,COLUMN(Q$1),FALSE),"")</f>
        <v>0</v>
      </c>
      <c r="W357">
        <f>IFERROR(VLOOKUP($C357,装備品!$1:$998,COLUMN(T$1),FALSE),"")</f>
        <v>0.7</v>
      </c>
      <c r="Y357">
        <f>IFERROR(VLOOKUP($C357,装備品!$1:$998,COLUMN(U$1),FALSE),"")</f>
        <v>0</v>
      </c>
      <c r="Z357">
        <f>IFERROR(ROUNDUP(VLOOKUP($C357,装備品!$1:$998,COLUMN(O$1),FALSE)*VLOOKUP($D357,素材!$1:$1016,COLUMN(E$1),FALSE),1),"")</f>
        <v>0</v>
      </c>
      <c r="AA357">
        <f>IF(ISNUMBER(SEARCH(SUBSTITUTE(AA$1,RIGHT(AA$1,2),""),VLOOKUP($D357,素材!$1:$1016,COLUMN($F$1),FALSE))),VLOOKUP($C357,装備品!$1:$998,COLUMN($O$1),FALSE)*VLOOKUP($D357,素材!$1:$1016,COLUMN($E$1),FALSE)/(LEN(VLOOKUP($D357,素材!$1:$1016,COLUMN($F$1),FALSE))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B357">
        <f>IF(ISNUMBER(SEARCH(SUBSTITUTE(AB$1,RIGHT(AB$1,2),""),VLOOKUP($D357,素材!$1:$1016,COLUMN($F$1),FALSE))),VLOOKUP($C357,装備品!$1:$998,COLUMN($O$1),FALSE)*VLOOKUP($D357,素材!$1:$1016,COLUMN($E$1),FALSE)/(LEN(VLOOKUP($D357,素材!$1:$1016,COLUMN($F$1),FALSE))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C357">
        <f>IF(ISNUMBER(SEARCH(SUBSTITUTE(AC$1,RIGHT(AC$1,2),""),VLOOKUP($D357,素材!$1:$1016,COLUMN($F$1),FALSE))),VLOOKUP($C357,装備品!$1:$998,COLUMN($O$1),FALSE)*VLOOKUP($D357,素材!$1:$1016,COLUMN($E$1),FALSE)/(LEN(VLOOKUP($D357,素材!$1:$1016,COLUMN($F$1),FALSE))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D357">
        <f>IF(ISNUMBER(SEARCH(SUBSTITUTE(AD$1,RIGHT(AD$1,2),""),VLOOKUP($D357,素材!$1:$1016,COLUMN($F$1),FALSE))),VLOOKUP($C357,装備品!$1:$998,COLUMN($O$1),FALSE)*VLOOKUP($D357,素材!$1:$1016,COLUMN($E$1),FALSE)/(LEN(VLOOKUP($D357,素材!$1:$1016,COLUMN($F$1),FALSE))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E357">
        <f>IF(ISNUMBER(SEARCH(SUBSTITUTE(AE$1,RIGHT(AE$1,2),""),VLOOKUP($D357,素材!$1:$1016,COLUMN($F$1),FALSE))),VLOOKUP($C357,装備品!$1:$998,COLUMN($O$1),FALSE)*VLOOKUP($D357,素材!$1:$1016,COLUMN($E$1),FALSE)/(LEN(VLOOKUP($D357,素材!$1:$1016,COLUMN($F$1),FALSE))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F357">
        <f>IF(ISNUMBER(SEARCH(SUBSTITUTE(AF$1,RIGHT(AF$1,2),""),VLOOKUP($D357,素材!$1:$1016,COLUMN($F$1),FALSE))),VLOOKUP($C357,装備品!$1:$998,COLUMN($O$1),FALSE)*VLOOKUP($D357,素材!$1:$1016,COLUMN($E$1),FALSE)/(LEN(VLOOKUP($D357,素材!$1:$1016,COLUMN($F$1),FALSE))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G357">
        <f>IF(ISNUMBER(SEARCH(SUBSTITUTE(AG$1,RIGHT(AG$1,2),""),VLOOKUP($D357,素材!$1:$1016,COLUMN($F$1),FALSE))),VLOOKUP($C357,装備品!$1:$998,COLUMN($O$1),FALSE)*VLOOKUP($D357,素材!$1:$1016,COLUMN($E$1),FALSE)/(LEN(VLOOKUP($D357,素材!$1:$1016,COLUMN($F$1),FALSE))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H357">
        <f>IF(ISNUMBER(SEARCH(SUBSTITUTE(AH$1,RIGHT(AH$1,2),""),VLOOKUP($D357,素材!$1:$1016,COLUMN($F$1),FALSE))),VLOOKUP($C357,装備品!$1:$998,COLUMN($O$1),FALSE)*VLOOKUP($D357,素材!$1:$1016,COLUMN($E$1),FALSE)/(LEN(VLOOKUP($D357,素材!$1:$1016,COLUMN($F$1),FALSE))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I357">
        <f>IF(ISNUMBER(SEARCH(SUBSTITUTE(AI$1,RIGHT(AI$1,2),""),VLOOKUP($D357,素材!$1:$1016,COLUMN($F$1),FALSE))),VLOOKUP($C357,装備品!$1:$998,COLUMN($O$1),FALSE)*VLOOKUP($D357,素材!$1:$1016,COLUMN($E$1),FALSE)/(LEN(VLOOKUP($D357,素材!$1:$1016,COLUMN($F$1),FALSE))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J357">
        <f>IF(ISNUMBER(SEARCH(SUBSTITUTE(AJ$1,RIGHT(AJ$1,2),""),VLOOKUP($D357,素材!$1:$1016,COLUMN($F$1),FALSE))),VLOOKUP($C357,装備品!$1:$998,COLUMN($O$1),FALSE)*VLOOKUP($D357,素材!$1:$1016,COLUMN($E$1),FALSE)/(LEN(VLOOKUP($D357,素材!$1:$1016,COLUMN($F$1),FALSE))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K357">
        <f>IF(ISNUMBER(SEARCH(SUBSTITUTE(AK$1,RIGHT(AK$1,2),""),VLOOKUP($D357,素材!$1:$1016,COLUMN($F$1),FALSE))),VLOOKUP($C357,装備品!$1:$998,COLUMN($O$1),FALSE)*VLOOKUP($D357,素材!$1:$1016,COLUMN($E$1),FALSE)/(LEN(VLOOKUP($D357,素材!$1:$1016,COLUMN($F$1),FALSE))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L357">
        <f>IF(ISNUMBER(SEARCH(SUBSTITUTE(AL$1,RIGHT(AL$1,2),""),VLOOKUP($D357,素材!$1:$1016,COLUMN($F$1),FALSE))),VLOOKUP($C357,装備品!$1:$998,COLUMN($O$1),FALSE)*VLOOKUP($D357,素材!$1:$1016,COLUMN($E$1),FALSE)/(LEN(VLOOKUP($D357,素材!$1:$1016,COLUMN($F$1),FALSE))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M357">
        <f>IF(ISNUMBER(SEARCH(SUBSTITUTE(AM$1,RIGHT(AM$1,2),""),VLOOKUP($D357,素材!$1:$1016,COLUMN($F$1),FALSE))),VLOOKUP($C357,装備品!$1:$998,COLUMN($O$1),FALSE)*VLOOKUP($D357,素材!$1:$1016,COLUMN($E$1),FALSE)/(LEN(VLOOKUP($D357,素材!$1:$1016,COLUMN($F$1),FALSE))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N357">
        <f>IF(ISNUMBER(SEARCH(SUBSTITUTE(AN$1,RIGHT(AN$1,2),""),VLOOKUP($D357,素材!$1:$1016,COLUMN($F$1),FALSE))),VLOOKUP($C357,装備品!$1:$998,COLUMN($O$1),FALSE)*VLOOKUP($D357,素材!$1:$1016,COLUMN($E$1),FALSE)/(LEN(VLOOKUP($D357,素材!$1:$1016,COLUMN($F$1),FALSE))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O357">
        <f>IF(ISNUMBER(SEARCH(SUBSTITUTE(AO$1,RIGHT(AO$1,2),""),VLOOKUP($D357,素材!$1:$1016,COLUMN($F$1),FALSE))),VLOOKUP($C357,装備品!$1:$998,COLUMN($O$1),FALSE)*VLOOKUP($D357,素材!$1:$1016,COLUMN($E$1),FALSE)/(LEN(VLOOKUP($D357,素材!$1:$1016,COLUMN($F$1),FALSE))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P357">
        <f>IF(ISNUMBER(SEARCH(SUBSTITUTE(AP$1,RIGHT(AP$1,2),""),VLOOKUP($D357,素材!$1:$1016,COLUMN($F$1),FALSE))),VLOOKUP($C357,装備品!$1:$998,COLUMN($O$1),FALSE)*VLOOKUP($D357,素材!$1:$1016,COLUMN($E$1),FALSE)/(LEN(VLOOKUP($D357,素材!$1:$1016,COLUMN($F$1),FALSE))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Q357">
        <f>IF(ISNUMBER(SEARCH(SUBSTITUTE(AQ$1,RIGHT(AQ$1,2),""),VLOOKUP($D357,素材!$1:$1016,COLUMN($F$1),FALSE))),VLOOKUP($C357,装備品!$1:$998,COLUMN($O$1),FALSE)*VLOOKUP($D357,素材!$1:$1016,COLUMN($E$1),FALSE)/(LEN(VLOOKUP($D357,素材!$1:$1016,COLUMN($F$1),FALSE))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R357">
        <f>IF(ISNUMBER(SEARCH(SUBSTITUTE(AR$1,RIGHT(AR$1,2),""),VLOOKUP($D357,素材!$1:$1016,COLUMN($F$1),FALSE))),VLOOKUP($C357,装備品!$1:$998,COLUMN($O$1),FALSE)*VLOOKUP($D357,素材!$1:$1016,COLUMN($E$1),FALSE)/(LEN(VLOOKUP($D357,素材!$1:$1016,COLUMN($F$1),FALSE))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S357">
        <f>IF(ISNUMBER(SEARCH(SUBSTITUTE(AS$1,RIGHT(AS$1,2),""),VLOOKUP($D357,素材!$1:$1016,COLUMN($F$1),FALSE))),VLOOKUP($C357,装備品!$1:$998,COLUMN($O$1),FALSE)*VLOOKUP($D357,素材!$1:$1016,COLUMN($E$1),FALSE)/(LEN(VLOOKUP($D357,素材!$1:$1016,COLUMN($F$1),FALSE))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T357">
        <f>IF(ISNUMBER(SEARCH(SUBSTITUTE(AT$1,RIGHT(AT$1,2),""),VLOOKUP($D357,素材!$1:$1016,COLUMN($F$1),FALSE))),VLOOKUP($C357,装備品!$1:$998,COLUMN($O$1),FALSE)*VLOOKUP($D357,素材!$1:$1016,COLUMN($E$1),FALSE)/(LEN(VLOOKUP($D357,素材!$1:$1016,COLUMN($F$1),FALSE))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U357">
        <f>IF(ISNUMBER(SEARCH(SUBSTITUTE(AU$1,RIGHT(AU$1,2),""),VLOOKUP($D357,素材!$1:$1016,COLUMN($F$1),FALSE))),VLOOKUP($C357,装備品!$1:$998,COLUMN($O$1),FALSE)*VLOOKUP($D357,素材!$1:$1016,COLUMN($E$1),FALSE)/(LEN(VLOOKUP($D357,素材!$1:$1016,COLUMN($F$1),FALSE))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V357">
        <f>IF(ISNUMBER(SEARCH(SUBSTITUTE(AV$1,RIGHT(AV$1,2),""),VLOOKUP($D357,素材!$1:$1016,COLUMN($F$1),FALSE))),VLOOKUP($C357,装備品!$1:$998,COLUMN($O$1),FALSE)*VLOOKUP($D357,素材!$1:$1016,COLUMN($E$1),FALSE)/(LEN(VLOOKUP($D357,素材!$1:$1016,COLUMN($F$1),FALSE))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W357">
        <f>IF(ISNUMBER(SEARCH(SUBSTITUTE(AW$1,RIGHT(AW$1,2),""),VLOOKUP($D357,素材!$1:$1016,COLUMN($F$1),FALSE))),VLOOKUP($C357,装備品!$1:$998,COLUMN($O$1),FALSE)*VLOOKUP($D357,素材!$1:$1016,COLUMN($E$1),FALSE)/(LEN(VLOOKUP($D357,素材!$1:$1016,COLUMN($F$1),FALSE))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X357">
        <f>IF(ISNUMBER(SEARCH(SUBSTITUTE(AX$1,RIGHT(AX$1,2),""),VLOOKUP($D357,素材!$1:$1016,COLUMN($F$1),FALSE))),VLOOKUP($C357,装備品!$1:$998,COLUMN($O$1),FALSE)*VLOOKUP($D357,素材!$1:$1016,COLUMN($E$1),FALSE)/(LEN(VLOOKUP($D357,素材!$1:$1016,COLUMN($F$1),FALSE))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Y357">
        <f>IF(ISNUMBER(SEARCH(SUBSTITUTE(AY$1,RIGHT(AY$1,2),""),VLOOKUP($D357,素材!$1:$1016,COLUMN($F$1),FALSE))),VLOOKUP($C357,装備品!$1:$998,COLUMN($O$1),FALSE)*VLOOKUP($D357,素材!$1:$1016,COLUMN($E$1),FALSE)/(LEN(VLOOKUP($D357,素材!$1:$1016,COLUMN($F$1),FALSE))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Z357">
        <f>IF(ISNUMBER(SEARCH(SUBSTITUTE(AZ$1,RIGHT(AZ$1,2),""),VLOOKUP($D357,素材!$1:$1016,COLUMN($F$1),FALSE))),VLOOKUP($C357,装備品!$1:$998,COLUMN($O$1),FALSE)*VLOOKUP($D357,素材!$1:$1016,COLUMN($E$1),FALSE)/(LEN(VLOOKUP($D357,素材!$1:$1016,COLUMN($F$1),FALSE))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BA357">
        <f>IF(ISNUMBER(SEARCH(SUBSTITUTE(BA$1,RIGHT(BA$1,2),""),VLOOKUP($D357,素材!$1:$1016,COLUMN($F$1),FALSE))),VLOOKUP($C357,装備品!$1:$998,COLUMN($O$1),FALSE)*VLOOKUP($D357,素材!$1:$1016,COLUMN($E$1),FALSE)/(LEN(VLOOKUP($D357,素材!$1:$1016,COLUMN($F$1),FALSE))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BB357">
        <f>IF(ISNUMBER(SEARCH(SUBSTITUTE(BB$1,RIGHT(BB$1,2),""),VLOOKUP($D357,素材!$1:$1016,COLUMN($F$1),FALSE))),VLOOKUP($C357,装備品!$1:$998,COLUMN($O$1),FALSE)*VLOOKUP($D357,素材!$1:$1016,COLUMN($E$1),FALSE)/(LEN(VLOOKUP($D357,素材!$1:$1016,COLUMN($F$1),FALSE))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BC357">
        <f>IF(ISNUMBER(SEARCH(SUBSTITUTE(BC$1,RIGHT(BC$1,2),""),VLOOKUP($D357,素材!$1:$1016,COLUMN($F$1),FALSE))),VLOOKUP($C357,装備品!$1:$998,COLUMN($O$1),FALSE)*VLOOKUP($D357,素材!$1:$1016,COLUMN($E$1),FALSE)/(LEN(VLOOKUP($D357,素材!$1:$1016,COLUMN($F$1),FALSE))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BD357">
        <f>IF(ISNUMBER(SEARCH(SUBSTITUTE(BD$1,RIGHT(BD$1,2),""),VLOOKUP($D357,素材!$1:$1016,COLUMN($F$1),FALSE))),VLOOKUP($C357,装備品!$1:$998,COLUMN($O$1),FALSE)*VLOOKUP($D357,素材!$1:$1016,COLUMN($E$1),FALSE)/(LEN(VLOOKUP($D357,素材!$1:$1016,COLUMN($F$1),FALSE))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BE357">
        <f>IF(ISNUMBER(SEARCH(SUBSTITUTE(BE$1,RIGHT(BE$1,2),""),VLOOKUP($D357,素材!$1:$1016,COLUMN($F$1),FALSE))),VLOOKUP($C357,装備品!$1:$998,COLUMN($O$1),FALSE)*VLOOKUP($D357,素材!$1:$1016,COLUMN($E$1),FALSE)/(LEN(VLOOKUP($D357,素材!$1:$1016,COLUMN($F$1),FALSE))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CL357">
        <f t="shared" si="47"/>
        <v>0</v>
      </c>
      <c r="CM357" s="22" t="str">
        <f t="shared" si="48"/>
        <v>体.webp</v>
      </c>
      <c r="CN357">
        <f>IFERROR(VLOOKUP($C357,装備品!$1:$998,COLUMN(V$1),FALSE)*VLOOKUP($D357,素材!$1:$1016,COLUMN(N$1),FALSE)+IF(CI357="",0,VLOOKUP($CI357,付与!$1:$1176,COLUMN($CK$1),FALSE)),"")</f>
        <v>0</v>
      </c>
      <c r="CO357">
        <f>VLOOKUP(D357,素材!$A:$O,COLUMN(素材!O$1),FALSE)</f>
        <v>0</v>
      </c>
      <c r="CP357" t="str">
        <f>VLOOKUP(C357,装備品!$A:$AB,COLUMN(装備品!AB$1),FALSE)</f>
        <v>HP 物理 魔法 体幹 出血 疲労 Cr</v>
      </c>
      <c r="CR357" t="str">
        <f t="shared" si="49"/>
        <v>e_357</v>
      </c>
      <c r="CS357">
        <f t="shared" si="50"/>
        <v>0</v>
      </c>
    </row>
    <row r="358" spans="1:97" outlineLevel="1" x14ac:dyDescent="0.4">
      <c r="A358" t="str">
        <f t="shared" si="52"/>
        <v>金鋼の鎧</v>
      </c>
      <c r="B358" t="str">
        <f>IFERROR(VLOOKUP($D358,素材!$1:$1016,COLUMN($B$1),FALSE)&amp;"・"&amp;VLOOKUP($C358,装備品!$1:$998,COLUMN(B$1),FALSE),"")</f>
        <v>ゴールドメタル・アーマー</v>
      </c>
      <c r="C358" t="s">
        <v>197</v>
      </c>
      <c r="D358" s="24" t="s">
        <v>195</v>
      </c>
      <c r="E358" t="str">
        <f>IFERROR(VLOOKUP(C358,装備品!$1:$998,COLUMN(C$1),FALSE),"")</f>
        <v>体</v>
      </c>
      <c r="F358">
        <f>IFERROR(ROUNDDOWN((VLOOKUP($C358,装備品!$1:$998,COLUMN(D$1),FALSE)+IFERROR(VLOOKUP($CI358,付与!$1:$1167,COLUMN(F$1),FALSE),0))*VLOOKUP($D358,素材!$1:$1016,COLUMN(D$1),FALSE),0),"")</f>
        <v>0</v>
      </c>
      <c r="G358">
        <f>IFERROR(ROUNDDOWN((VLOOKUP($C358,装備品!$1:$998,COLUMN(E$1),FALSE)+IFERROR(VLOOKUP($CI358,付与!$1:$1167,COLUMN(G$1),FALSE),0))*VLOOKUP($D358,素材!$1:$1016,COLUMN($E$1),FALSE),0),"")</f>
        <v>0</v>
      </c>
      <c r="H358">
        <f>IFERROR(ROUNDDOWN((VLOOKUP($C358,装備品!$1:$998,COLUMN(F$1),FALSE)+IFERROR(VLOOKUP($CI358,付与!$1:$1167,COLUMN(H$1),FALSE),0))*VLOOKUP($D358,素材!$1:$1016,COLUMN($E$1),FALSE),0),"")</f>
        <v>0</v>
      </c>
      <c r="I358">
        <f>IFERROR(ROUNDDOWN((VLOOKUP($C358,装備品!$1:$998,COLUMN(G$1),FALSE)+IFERROR(VLOOKUP($CI358,付与!$1:$1167,COLUMN(I$1),FALSE),0))*VLOOKUP($D358,素材!$1:$1016,COLUMN($E$1),FALSE),0),"")</f>
        <v>0</v>
      </c>
      <c r="J358">
        <f>IFERROR(ROUNDDOWN((VLOOKUP($C358,装備品!$1:$998,COLUMN(H$1),FALSE)+IFERROR(VLOOKUP($CI358,付与!$1:$1167,COLUMN(J$1),FALSE),0))*VLOOKUP($D358,素材!$1:$1016,COLUMN($E$1),FALSE),0),"")</f>
        <v>0</v>
      </c>
      <c r="K358">
        <f>IFERROR(ROUNDDOWN((VLOOKUP($C358,装備品!$1:$998,COLUMN(I$1),FALSE)+IFERROR(VLOOKUP($CI358,付与!$1:$1167,COLUMN(K$1),FALSE),0))*VLOOKUP($D358,素材!$1:$1016,COLUMN($E$1),FALSE),0),"")</f>
        <v>0</v>
      </c>
      <c r="L358" t="str">
        <f>IFERROR(VLOOKUP($D358,素材!$1:$1016,COLUMN($F$1),FALSE),"")</f>
        <v>魔法</v>
      </c>
      <c r="M358">
        <f>IFERROR(VLOOKUP($C358,装備品!$1:$998,COLUMN(AA$1),FALSE)*VLOOKUP($D358,素材!$1:$1016,COLUMN($G$1),FALSE),"")</f>
        <v>120</v>
      </c>
      <c r="N358">
        <f>IFERROR(VLOOKUP($C358,装備品!$1:$998,COLUMN(I$1),FALSE),"")</f>
        <v>0</v>
      </c>
      <c r="O358" s="23">
        <f>IFERROR((VLOOKUP($C358,装備品!$1:$998,COLUMN(K$1),FALSE)+VLOOKUP($D358,素材!$1:$1016,COLUMN(H$1),FALSE))*100+IFERROR(VLOOKUP($CI358,付与!$1:$1167,COLUMN(O$1),FALSE),0),"")</f>
        <v>5</v>
      </c>
      <c r="P358" s="23">
        <f>IFERROR((VLOOKUP($C358,装備品!$1:$998,COLUMN(L$1),FALSE)+VLOOKUP($D358,素材!$1:$1016,COLUMN(I$1),FALSE))*100+IFERROR(VLOOKUP($CI358,付与!$1:$1167,COLUMN(P$1),FALSE),0),"")</f>
        <v>10</v>
      </c>
      <c r="Q358">
        <f>IFERROR(ROUNDUP(VLOOKUP($C358,装備品!$1:$998,COLUMN(M$1),FALSE)*(VLOOKUP($D358,素材!$1:$1002,COLUMN(D$1),FALSE)/100),1),"")</f>
        <v>-15</v>
      </c>
      <c r="R358">
        <f>IFERROR(ROUNDUP(VLOOKUP($C358,装備品!$1:$998,COLUMN(N$1),FALSE)*(VLOOKUP($D358,素材!$1:$1002,COLUMN(D$1),FALSE)/100),1),"")</f>
        <v>0</v>
      </c>
      <c r="S358">
        <f>IFERROR(VLOOKUP($C358,装備品!$1:$998,COLUMN(P$1),FALSE),"")</f>
        <v>-35</v>
      </c>
      <c r="T358">
        <f>IFERROR(VLOOKUP($C358,装備品!$1:$998,COLUMN(Q$1),FALSE),"")</f>
        <v>0</v>
      </c>
      <c r="U358">
        <f>IFERROR(VLOOKUP($C358,装備品!$1:$998,COLUMN(R$1),FALSE),"")</f>
        <v>0</v>
      </c>
      <c r="V358">
        <f>IFERROR(VLOOKUP($C358,装備品!$1:$998,COLUMN(Q$1),FALSE),"")</f>
        <v>0</v>
      </c>
      <c r="W358">
        <f>IFERROR(VLOOKUP($C358,装備品!$1:$998,COLUMN(T$1),FALSE),"")</f>
        <v>0.7</v>
      </c>
      <c r="Y358">
        <f>IFERROR(VLOOKUP($C358,装備品!$1:$998,COLUMN(U$1),FALSE),"")</f>
        <v>0</v>
      </c>
      <c r="Z358">
        <f>IFERROR(ROUNDUP(VLOOKUP($C358,装備品!$1:$998,COLUMN(O$1),FALSE)*VLOOKUP($D358,素材!$1:$1016,COLUMN(E$1),FALSE),1),"")</f>
        <v>0</v>
      </c>
      <c r="AA358">
        <f>IF(ISNUMBER(SEARCH(SUBSTITUTE(AA$1,RIGHT(AA$1,2),""),VLOOKUP($D358,素材!$1:$1016,COLUMN($F$1),FALSE))),VLOOKUP($C358,装備品!$1:$998,COLUMN($O$1),FALSE)*VLOOKUP($D358,素材!$1:$1016,COLUMN($E$1),FALSE)/(LEN(VLOOKUP($D358,素材!$1:$1016,COLUMN($F$1),FALSE))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B358">
        <f>IF(ISNUMBER(SEARCH(SUBSTITUTE(AB$1,RIGHT(AB$1,2),""),VLOOKUP($D358,素材!$1:$1016,COLUMN($F$1),FALSE))),VLOOKUP($C358,装備品!$1:$998,COLUMN($O$1),FALSE)*VLOOKUP($D358,素材!$1:$1016,COLUMN($E$1),FALSE)/(LEN(VLOOKUP($D358,素材!$1:$1016,COLUMN($F$1),FALSE))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C358">
        <f>IF(ISNUMBER(SEARCH(SUBSTITUTE(AC$1,RIGHT(AC$1,2),""),VLOOKUP($D358,素材!$1:$1016,COLUMN($F$1),FALSE))),VLOOKUP($C358,装備品!$1:$998,COLUMN($O$1),FALSE)*VLOOKUP($D358,素材!$1:$1016,COLUMN($E$1),FALSE)/(LEN(VLOOKUP($D358,素材!$1:$1016,COLUMN($F$1),FALSE))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D358">
        <f>IF(ISNUMBER(SEARCH(SUBSTITUTE(AD$1,RIGHT(AD$1,2),""),VLOOKUP($D358,素材!$1:$1016,COLUMN($F$1),FALSE))),VLOOKUP($C358,装備品!$1:$998,COLUMN($O$1),FALSE)*VLOOKUP($D358,素材!$1:$1016,COLUMN($E$1),FALSE)/(LEN(VLOOKUP($D358,素材!$1:$1016,COLUMN($F$1),FALSE))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E358">
        <f>IF(ISNUMBER(SEARCH(SUBSTITUTE(AE$1,RIGHT(AE$1,2),""),VLOOKUP($D358,素材!$1:$1016,COLUMN($F$1),FALSE))),VLOOKUP($C358,装備品!$1:$998,COLUMN($O$1),FALSE)*VLOOKUP($D358,素材!$1:$1016,COLUMN($E$1),FALSE)/(LEN(VLOOKUP($D358,素材!$1:$1016,COLUMN($F$1),FALSE))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F358">
        <f>IF(ISNUMBER(SEARCH(SUBSTITUTE(AF$1,RIGHT(AF$1,2),""),VLOOKUP($D358,素材!$1:$1016,COLUMN($F$1),FALSE))),VLOOKUP($C358,装備品!$1:$998,COLUMN($O$1),FALSE)*VLOOKUP($D358,素材!$1:$1016,COLUMN($E$1),FALSE)/(LEN(VLOOKUP($D358,素材!$1:$1016,COLUMN($F$1),FALSE))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G358">
        <f>IF(ISNUMBER(SEARCH(SUBSTITUTE(AG$1,RIGHT(AG$1,2),""),VLOOKUP($D358,素材!$1:$1016,COLUMN($F$1),FALSE))),VLOOKUP($C358,装備品!$1:$998,COLUMN($O$1),FALSE)*VLOOKUP($D358,素材!$1:$1016,COLUMN($E$1),FALSE)/(LEN(VLOOKUP($D358,素材!$1:$1016,COLUMN($F$1),FALSE))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H358">
        <f>IF(ISNUMBER(SEARCH(SUBSTITUTE(AH$1,RIGHT(AH$1,2),""),VLOOKUP($D358,素材!$1:$1016,COLUMN($F$1),FALSE))),VLOOKUP($C358,装備品!$1:$998,COLUMN($O$1),FALSE)*VLOOKUP($D358,素材!$1:$1016,COLUMN($E$1),FALSE)/(LEN(VLOOKUP($D358,素材!$1:$1016,COLUMN($F$1),FALSE))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I358">
        <f>IF(ISNUMBER(SEARCH(SUBSTITUTE(AI$1,RIGHT(AI$1,2),""),VLOOKUP($D358,素材!$1:$1016,COLUMN($F$1),FALSE))),VLOOKUP($C358,装備品!$1:$998,COLUMN($O$1),FALSE)*VLOOKUP($D358,素材!$1:$1016,COLUMN($E$1),FALSE)/(LEN(VLOOKUP($D358,素材!$1:$1016,COLUMN($F$1),FALSE))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J358">
        <f>IF(ISNUMBER(SEARCH(SUBSTITUTE(AJ$1,RIGHT(AJ$1,2),""),VLOOKUP($D358,素材!$1:$1016,COLUMN($F$1),FALSE))),VLOOKUP($C358,装備品!$1:$998,COLUMN($O$1),FALSE)*VLOOKUP($D358,素材!$1:$1016,COLUMN($E$1),FALSE)/(LEN(VLOOKUP($D358,素材!$1:$1016,COLUMN($F$1),FALSE))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K358">
        <f>IF(ISNUMBER(SEARCH(SUBSTITUTE(AK$1,RIGHT(AK$1,2),""),VLOOKUP($D358,素材!$1:$1016,COLUMN($F$1),FALSE))),VLOOKUP($C358,装備品!$1:$998,COLUMN($O$1),FALSE)*VLOOKUP($D358,素材!$1:$1016,COLUMN($E$1),FALSE)/(LEN(VLOOKUP($D358,素材!$1:$1016,COLUMN($F$1),FALSE))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L358">
        <f>IF(ISNUMBER(SEARCH(SUBSTITUTE(AL$1,RIGHT(AL$1,2),""),VLOOKUP($D358,素材!$1:$1016,COLUMN($F$1),FALSE))),VLOOKUP($C358,装備品!$1:$998,COLUMN($O$1),FALSE)*VLOOKUP($D358,素材!$1:$1016,COLUMN($E$1),FALSE)/(LEN(VLOOKUP($D358,素材!$1:$1016,COLUMN($F$1),FALSE))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M358">
        <f>IF(ISNUMBER(SEARCH(SUBSTITUTE(AM$1,RIGHT(AM$1,2),""),VLOOKUP($D358,素材!$1:$1016,COLUMN($F$1),FALSE))),VLOOKUP($C358,装備品!$1:$998,COLUMN($O$1),FALSE)*VLOOKUP($D358,素材!$1:$1016,COLUMN($E$1),FALSE)/(LEN(VLOOKUP($D358,素材!$1:$1016,COLUMN($F$1),FALSE))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N358">
        <f>IF(ISNUMBER(SEARCH(SUBSTITUTE(AN$1,RIGHT(AN$1,2),""),VLOOKUP($D358,素材!$1:$1016,COLUMN($F$1),FALSE))),VLOOKUP($C358,装備品!$1:$998,COLUMN($O$1),FALSE)*VLOOKUP($D358,素材!$1:$1016,COLUMN($E$1),FALSE)/(LEN(VLOOKUP($D358,素材!$1:$1016,COLUMN($F$1),FALSE))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O358">
        <f>IF(ISNUMBER(SEARCH(SUBSTITUTE(AO$1,RIGHT(AO$1,2),""),VLOOKUP($D358,素材!$1:$1016,COLUMN($F$1),FALSE))),VLOOKUP($C358,装備品!$1:$998,COLUMN($O$1),FALSE)*VLOOKUP($D358,素材!$1:$1016,COLUMN($E$1),FALSE)/(LEN(VLOOKUP($D358,素材!$1:$1016,COLUMN($F$1),FALSE))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P358">
        <f>IF(ISNUMBER(SEARCH(SUBSTITUTE(AP$1,RIGHT(AP$1,2),""),VLOOKUP($D358,素材!$1:$1016,COLUMN($F$1),FALSE))),VLOOKUP($C358,装備品!$1:$998,COLUMN($O$1),FALSE)*VLOOKUP($D358,素材!$1:$1016,COLUMN($E$1),FALSE)/(LEN(VLOOKUP($D358,素材!$1:$1016,COLUMN($F$1),FALSE))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Q358">
        <f>IF(ISNUMBER(SEARCH(SUBSTITUTE(AQ$1,RIGHT(AQ$1,2),""),VLOOKUP($D358,素材!$1:$1016,COLUMN($F$1),FALSE))),VLOOKUP($C358,装備品!$1:$998,COLUMN($O$1),FALSE)*VLOOKUP($D358,素材!$1:$1016,COLUMN($E$1),FALSE)/(LEN(VLOOKUP($D358,素材!$1:$1016,COLUMN($F$1),FALSE))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R358">
        <f>IF(ISNUMBER(SEARCH(SUBSTITUTE(AR$1,RIGHT(AR$1,2),""),VLOOKUP($D358,素材!$1:$1016,COLUMN($F$1),FALSE))),VLOOKUP($C358,装備品!$1:$998,COLUMN($O$1),FALSE)*VLOOKUP($D358,素材!$1:$1016,COLUMN($E$1),FALSE)/(LEN(VLOOKUP($D358,素材!$1:$1016,COLUMN($F$1),FALSE))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S358">
        <f>IF(ISNUMBER(SEARCH(SUBSTITUTE(AS$1,RIGHT(AS$1,2),""),VLOOKUP($D358,素材!$1:$1016,COLUMN($F$1),FALSE))),VLOOKUP($C358,装備品!$1:$998,COLUMN($O$1),FALSE)*VLOOKUP($D358,素材!$1:$1016,COLUMN($E$1),FALSE)/(LEN(VLOOKUP($D358,素材!$1:$1016,COLUMN($F$1),FALSE))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T358">
        <f>IF(ISNUMBER(SEARCH(SUBSTITUTE(AT$1,RIGHT(AT$1,2),""),VLOOKUP($D358,素材!$1:$1016,COLUMN($F$1),FALSE))),VLOOKUP($C358,装備品!$1:$998,COLUMN($O$1),FALSE)*VLOOKUP($D358,素材!$1:$1016,COLUMN($E$1),FALSE)/(LEN(VLOOKUP($D358,素材!$1:$1016,COLUMN($F$1),FALSE))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U358">
        <f>IF(ISNUMBER(SEARCH(SUBSTITUTE(AU$1,RIGHT(AU$1,2),""),VLOOKUP($D358,素材!$1:$1016,COLUMN($F$1),FALSE))),VLOOKUP($C358,装備品!$1:$998,COLUMN($O$1),FALSE)*VLOOKUP($D358,素材!$1:$1016,COLUMN($E$1),FALSE)/(LEN(VLOOKUP($D358,素材!$1:$1016,COLUMN($F$1),FALSE))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V358">
        <f>IF(ISNUMBER(SEARCH(SUBSTITUTE(AV$1,RIGHT(AV$1,2),""),VLOOKUP($D358,素材!$1:$1016,COLUMN($F$1),FALSE))),VLOOKUP($C358,装備品!$1:$998,COLUMN($O$1),FALSE)*VLOOKUP($D358,素材!$1:$1016,COLUMN($E$1),FALSE)/(LEN(VLOOKUP($D358,素材!$1:$1016,COLUMN($F$1),FALSE))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W358">
        <f>IF(ISNUMBER(SEARCH(SUBSTITUTE(AW$1,RIGHT(AW$1,2),""),VLOOKUP($D358,素材!$1:$1016,COLUMN($F$1),FALSE))),VLOOKUP($C358,装備品!$1:$998,COLUMN($O$1),FALSE)*VLOOKUP($D358,素材!$1:$1016,COLUMN($E$1),FALSE)/(LEN(VLOOKUP($D358,素材!$1:$1016,COLUMN($F$1),FALSE))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X358">
        <f>IF(ISNUMBER(SEARCH(SUBSTITUTE(AX$1,RIGHT(AX$1,2),""),VLOOKUP($D358,素材!$1:$1016,COLUMN($F$1),FALSE))),VLOOKUP($C358,装備品!$1:$998,COLUMN($O$1),FALSE)*VLOOKUP($D358,素材!$1:$1016,COLUMN($E$1),FALSE)/(LEN(VLOOKUP($D358,素材!$1:$1016,COLUMN($F$1),FALSE))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Y358">
        <f>IF(ISNUMBER(SEARCH(SUBSTITUTE(AY$1,RIGHT(AY$1,2),""),VLOOKUP($D358,素材!$1:$1016,COLUMN($F$1),FALSE))),VLOOKUP($C358,装備品!$1:$998,COLUMN($O$1),FALSE)*VLOOKUP($D358,素材!$1:$1016,COLUMN($E$1),FALSE)/(LEN(VLOOKUP($D358,素材!$1:$1016,COLUMN($F$1),FALSE))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Z358">
        <f>IF(ISNUMBER(SEARCH(SUBSTITUTE(AZ$1,RIGHT(AZ$1,2),""),VLOOKUP($D358,素材!$1:$1016,COLUMN($F$1),FALSE))),VLOOKUP($C358,装備品!$1:$998,COLUMN($O$1),FALSE)*VLOOKUP($D358,素材!$1:$1016,COLUMN($E$1),FALSE)/(LEN(VLOOKUP($D358,素材!$1:$1016,COLUMN($F$1),FALSE))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BA358">
        <f>IF(ISNUMBER(SEARCH(SUBSTITUTE(BA$1,RIGHT(BA$1,2),""),VLOOKUP($D358,素材!$1:$1016,COLUMN($F$1),FALSE))),VLOOKUP($C358,装備品!$1:$998,COLUMN($O$1),FALSE)*VLOOKUP($D358,素材!$1:$1016,COLUMN($E$1),FALSE)/(LEN(VLOOKUP($D358,素材!$1:$1016,COLUMN($F$1),FALSE))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BB358">
        <f>IF(ISNUMBER(SEARCH(SUBSTITUTE(BB$1,RIGHT(BB$1,2),""),VLOOKUP($D358,素材!$1:$1016,COLUMN($F$1),FALSE))),VLOOKUP($C358,装備品!$1:$998,COLUMN($O$1),FALSE)*VLOOKUP($D358,素材!$1:$1016,COLUMN($E$1),FALSE)/(LEN(VLOOKUP($D358,素材!$1:$1016,COLUMN($F$1),FALSE))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BC358">
        <f>IF(ISNUMBER(SEARCH(SUBSTITUTE(BC$1,RIGHT(BC$1,2),""),VLOOKUP($D358,素材!$1:$1016,COLUMN($F$1),FALSE))),VLOOKUP($C358,装備品!$1:$998,COLUMN($O$1),FALSE)*VLOOKUP($D358,素材!$1:$1016,COLUMN($E$1),FALSE)/(LEN(VLOOKUP($D358,素材!$1:$1016,COLUMN($F$1),FALSE))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BD358">
        <f>IF(ISNUMBER(SEARCH(SUBSTITUTE(BD$1,RIGHT(BD$1,2),""),VLOOKUP($D358,素材!$1:$1016,COLUMN($F$1),FALSE))),VLOOKUP($C358,装備品!$1:$998,COLUMN($O$1),FALSE)*VLOOKUP($D358,素材!$1:$1016,COLUMN($E$1),FALSE)/(LEN(VLOOKUP($D358,素材!$1:$1016,COLUMN($F$1),FALSE))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BE358">
        <f>IF(ISNUMBER(SEARCH(SUBSTITUTE(BE$1,RIGHT(BE$1,2),""),VLOOKUP($D358,素材!$1:$1016,COLUMN($F$1),FALSE))),VLOOKUP($C358,装備品!$1:$998,COLUMN($O$1),FALSE)*VLOOKUP($D358,素材!$1:$1016,COLUMN($E$1),FALSE)/(LEN(VLOOKUP($D358,素材!$1:$1016,COLUMN($F$1),FALSE))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CL358">
        <f t="shared" si="47"/>
        <v>0</v>
      </c>
      <c r="CM358" s="22" t="str">
        <f t="shared" si="48"/>
        <v>体.webp</v>
      </c>
      <c r="CN358">
        <f>IFERROR(VLOOKUP($C358,装備品!$1:$998,COLUMN(V$1),FALSE)*VLOOKUP($D358,素材!$1:$1016,COLUMN(N$1),FALSE)+IF(CI358="",0,VLOOKUP($CI358,付与!$1:$1176,COLUMN($CK$1),FALSE)),"")</f>
        <v>0</v>
      </c>
      <c r="CO358">
        <f>VLOOKUP(D358,素材!$A:$O,COLUMN(素材!O$1),FALSE)</f>
        <v>0</v>
      </c>
      <c r="CP358" t="str">
        <f>VLOOKUP(C358,装備品!$A:$AB,COLUMN(装備品!AB$1),FALSE)</f>
        <v>HP 物理 魔法 体幹 出血 疲労 Cr</v>
      </c>
      <c r="CR358" t="str">
        <f t="shared" si="49"/>
        <v>e_358</v>
      </c>
      <c r="CS358">
        <f t="shared" si="50"/>
        <v>0</v>
      </c>
    </row>
    <row r="359" spans="1:97" outlineLevel="1" x14ac:dyDescent="0.4">
      <c r="A359" t="str">
        <f t="shared" si="52"/>
        <v>黒鋼の鎧</v>
      </c>
      <c r="B359" t="str">
        <f>IFERROR(VLOOKUP($D359,素材!$1:$1016,COLUMN($B$1),FALSE)&amp;"・"&amp;VLOOKUP($C359,装備品!$1:$998,COLUMN(B$1),FALSE),"")</f>
        <v>ブラックメタル・アーマー</v>
      </c>
      <c r="C359" t="s">
        <v>197</v>
      </c>
      <c r="D359" s="24" t="s">
        <v>193</v>
      </c>
      <c r="E359" t="str">
        <f>IFERROR(VLOOKUP(C359,装備品!$1:$998,COLUMN(C$1),FALSE),"")</f>
        <v>体</v>
      </c>
      <c r="F359">
        <f>IFERROR(ROUNDDOWN((VLOOKUP($C359,装備品!$1:$998,COLUMN(D$1),FALSE)+IFERROR(VLOOKUP($CI359,付与!$1:$1167,COLUMN(F$1),FALSE),0))*VLOOKUP($D359,素材!$1:$1016,COLUMN(D$1),FALSE),0),"")</f>
        <v>0</v>
      </c>
      <c r="G359">
        <f>IFERROR(ROUNDDOWN((VLOOKUP($C359,装備品!$1:$998,COLUMN(E$1),FALSE)+IFERROR(VLOOKUP($CI359,付与!$1:$1167,COLUMN(G$1),FALSE),0))*VLOOKUP($D359,素材!$1:$1016,COLUMN($E$1),FALSE),0),"")</f>
        <v>0</v>
      </c>
      <c r="H359">
        <f>IFERROR(ROUNDDOWN((VLOOKUP($C359,装備品!$1:$998,COLUMN(F$1),FALSE)+IFERROR(VLOOKUP($CI359,付与!$1:$1167,COLUMN(H$1),FALSE),0))*VLOOKUP($D359,素材!$1:$1016,COLUMN($E$1),FALSE),0),"")</f>
        <v>0</v>
      </c>
      <c r="I359">
        <f>IFERROR(ROUNDDOWN((VLOOKUP($C359,装備品!$1:$998,COLUMN(G$1),FALSE)+IFERROR(VLOOKUP($CI359,付与!$1:$1167,COLUMN(I$1),FALSE),0))*VLOOKUP($D359,素材!$1:$1016,COLUMN($E$1),FALSE),0),"")</f>
        <v>0</v>
      </c>
      <c r="J359">
        <f>IFERROR(ROUNDDOWN((VLOOKUP($C359,装備品!$1:$998,COLUMN(H$1),FALSE)+IFERROR(VLOOKUP($CI359,付与!$1:$1167,COLUMN(J$1),FALSE),0))*VLOOKUP($D359,素材!$1:$1016,COLUMN($E$1),FALSE),0),"")</f>
        <v>0</v>
      </c>
      <c r="K359">
        <f>IFERROR(ROUNDDOWN((VLOOKUP($C359,装備品!$1:$998,COLUMN(I$1),FALSE)+IFERROR(VLOOKUP($CI359,付与!$1:$1167,COLUMN(K$1),FALSE),0))*VLOOKUP($D359,素材!$1:$1016,COLUMN($E$1),FALSE),0),"")</f>
        <v>0</v>
      </c>
      <c r="L359" t="str">
        <f>IFERROR(VLOOKUP($D359,素材!$1:$1016,COLUMN($F$1),FALSE),"")</f>
        <v>物理</v>
      </c>
      <c r="M359">
        <f>IFERROR(VLOOKUP($C359,装備品!$1:$998,COLUMN(AA$1),FALSE)*VLOOKUP($D359,素材!$1:$1016,COLUMN($G$1),FALSE),"")</f>
        <v>60</v>
      </c>
      <c r="N359">
        <f>IFERROR(VLOOKUP($C359,装備品!$1:$998,COLUMN(I$1),FALSE),"")</f>
        <v>0</v>
      </c>
      <c r="O359" s="23">
        <f>IFERROR((VLOOKUP($C359,装備品!$1:$998,COLUMN(K$1),FALSE)+VLOOKUP($D359,素材!$1:$1016,COLUMN(H$1),FALSE))*100+IFERROR(VLOOKUP($CI359,付与!$1:$1167,COLUMN(O$1),FALSE),0),"")</f>
        <v>5</v>
      </c>
      <c r="P359" s="23">
        <f>IFERROR((VLOOKUP($C359,装備品!$1:$998,COLUMN(L$1),FALSE)+VLOOKUP($D359,素材!$1:$1016,COLUMN(I$1),FALSE))*100+IFERROR(VLOOKUP($CI359,付与!$1:$1167,COLUMN(P$1),FALSE),0),"")</f>
        <v>10</v>
      </c>
      <c r="Q359">
        <f>IFERROR(ROUNDUP(VLOOKUP($C359,装備品!$1:$998,COLUMN(M$1),FALSE)*(VLOOKUP($D359,素材!$1:$1002,COLUMN(D$1),FALSE)/100),1),"")</f>
        <v>-19.5</v>
      </c>
      <c r="R359">
        <f>IFERROR(ROUNDUP(VLOOKUP($C359,装備品!$1:$998,COLUMN(N$1),FALSE)*(VLOOKUP($D359,素材!$1:$1002,COLUMN(D$1),FALSE)/100),1),"")</f>
        <v>0</v>
      </c>
      <c r="S359">
        <f>IFERROR(VLOOKUP($C359,装備品!$1:$998,COLUMN(P$1),FALSE),"")</f>
        <v>-35</v>
      </c>
      <c r="T359">
        <f>IFERROR(VLOOKUP($C359,装備品!$1:$998,COLUMN(Q$1),FALSE),"")</f>
        <v>0</v>
      </c>
      <c r="U359">
        <f>IFERROR(VLOOKUP($C359,装備品!$1:$998,COLUMN(R$1),FALSE),"")</f>
        <v>0</v>
      </c>
      <c r="V359">
        <f>IFERROR(VLOOKUP($C359,装備品!$1:$998,COLUMN(Q$1),FALSE),"")</f>
        <v>0</v>
      </c>
      <c r="W359">
        <f>IFERROR(VLOOKUP($C359,装備品!$1:$998,COLUMN(T$1),FALSE),"")</f>
        <v>0.7</v>
      </c>
      <c r="Y359">
        <f>IFERROR(VLOOKUP($C359,装備品!$1:$998,COLUMN(U$1),FALSE),"")</f>
        <v>0</v>
      </c>
      <c r="Z359">
        <f>IFERROR(ROUNDUP(VLOOKUP($C359,装備品!$1:$998,COLUMN(O$1),FALSE)*VLOOKUP($D359,素材!$1:$1016,COLUMN(E$1),FALSE),1),"")</f>
        <v>0</v>
      </c>
      <c r="AA359">
        <f>IF(ISNUMBER(SEARCH(SUBSTITUTE(AA$1,RIGHT(AA$1,2),""),VLOOKUP($D359,素材!$1:$1016,COLUMN($F$1),FALSE))),VLOOKUP($C359,装備品!$1:$998,COLUMN($O$1),FALSE)*VLOOKUP($D359,素材!$1:$1016,COLUMN($E$1),FALSE)/(LEN(VLOOKUP($D359,素材!$1:$1016,COLUMN($F$1),FALSE))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B359">
        <f>IF(ISNUMBER(SEARCH(SUBSTITUTE(AB$1,RIGHT(AB$1,2),""),VLOOKUP($D359,素材!$1:$1016,COLUMN($F$1),FALSE))),VLOOKUP($C359,装備品!$1:$998,COLUMN($O$1),FALSE)*VLOOKUP($D359,素材!$1:$1016,COLUMN($E$1),FALSE)/(LEN(VLOOKUP($D359,素材!$1:$1016,COLUMN($F$1),FALSE))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C359">
        <f>IF(ISNUMBER(SEARCH(SUBSTITUTE(AC$1,RIGHT(AC$1,2),""),VLOOKUP($D359,素材!$1:$1016,COLUMN($F$1),FALSE))),VLOOKUP($C359,装備品!$1:$998,COLUMN($O$1),FALSE)*VLOOKUP($D359,素材!$1:$1016,COLUMN($E$1),FALSE)/(LEN(VLOOKUP($D359,素材!$1:$1016,COLUMN($F$1),FALSE))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D359">
        <f>IF(ISNUMBER(SEARCH(SUBSTITUTE(AD$1,RIGHT(AD$1,2),""),VLOOKUP($D359,素材!$1:$1016,COLUMN($F$1),FALSE))),VLOOKUP($C359,装備品!$1:$998,COLUMN($O$1),FALSE)*VLOOKUP($D359,素材!$1:$1016,COLUMN($E$1),FALSE)/(LEN(VLOOKUP($D359,素材!$1:$1016,COLUMN($F$1),FALSE))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E359">
        <f>IF(ISNUMBER(SEARCH(SUBSTITUTE(AE$1,RIGHT(AE$1,2),""),VLOOKUP($D359,素材!$1:$1016,COLUMN($F$1),FALSE))),VLOOKUP($C359,装備品!$1:$998,COLUMN($O$1),FALSE)*VLOOKUP($D359,素材!$1:$1016,COLUMN($E$1),FALSE)/(LEN(VLOOKUP($D359,素材!$1:$1016,COLUMN($F$1),FALSE))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F359">
        <f>IF(ISNUMBER(SEARCH(SUBSTITUTE(AF$1,RIGHT(AF$1,2),""),VLOOKUP($D359,素材!$1:$1016,COLUMN($F$1),FALSE))),VLOOKUP($C359,装備品!$1:$998,COLUMN($O$1),FALSE)*VLOOKUP($D359,素材!$1:$1016,COLUMN($E$1),FALSE)/(LEN(VLOOKUP($D359,素材!$1:$1016,COLUMN($F$1),FALSE))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G359">
        <f>IF(ISNUMBER(SEARCH(SUBSTITUTE(AG$1,RIGHT(AG$1,2),""),VLOOKUP($D359,素材!$1:$1016,COLUMN($F$1),FALSE))),VLOOKUP($C359,装備品!$1:$998,COLUMN($O$1),FALSE)*VLOOKUP($D359,素材!$1:$1016,COLUMN($E$1),FALSE)/(LEN(VLOOKUP($D359,素材!$1:$1016,COLUMN($F$1),FALSE))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H359">
        <f>IF(ISNUMBER(SEARCH(SUBSTITUTE(AH$1,RIGHT(AH$1,2),""),VLOOKUP($D359,素材!$1:$1016,COLUMN($F$1),FALSE))),VLOOKUP($C359,装備品!$1:$998,COLUMN($O$1),FALSE)*VLOOKUP($D359,素材!$1:$1016,COLUMN($E$1),FALSE)/(LEN(VLOOKUP($D359,素材!$1:$1016,COLUMN($F$1),FALSE))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I359">
        <f>IF(ISNUMBER(SEARCH(SUBSTITUTE(AI$1,RIGHT(AI$1,2),""),VLOOKUP($D359,素材!$1:$1016,COLUMN($F$1),FALSE))),VLOOKUP($C359,装備品!$1:$998,COLUMN($O$1),FALSE)*VLOOKUP($D359,素材!$1:$1016,COLUMN($E$1),FALSE)/(LEN(VLOOKUP($D359,素材!$1:$1016,COLUMN($F$1),FALSE))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J359">
        <f>IF(ISNUMBER(SEARCH(SUBSTITUTE(AJ$1,RIGHT(AJ$1,2),""),VLOOKUP($D359,素材!$1:$1016,COLUMN($F$1),FALSE))),VLOOKUP($C359,装備品!$1:$998,COLUMN($O$1),FALSE)*VLOOKUP($D359,素材!$1:$1016,COLUMN($E$1),FALSE)/(LEN(VLOOKUP($D359,素材!$1:$1016,COLUMN($F$1),FALSE))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K359">
        <f>IF(ISNUMBER(SEARCH(SUBSTITUTE(AK$1,RIGHT(AK$1,2),""),VLOOKUP($D359,素材!$1:$1016,COLUMN($F$1),FALSE))),VLOOKUP($C359,装備品!$1:$998,COLUMN($O$1),FALSE)*VLOOKUP($D359,素材!$1:$1016,COLUMN($E$1),FALSE)/(LEN(VLOOKUP($D359,素材!$1:$1016,COLUMN($F$1),FALSE))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L359">
        <f>IF(ISNUMBER(SEARCH(SUBSTITUTE(AL$1,RIGHT(AL$1,2),""),VLOOKUP($D359,素材!$1:$1016,COLUMN($F$1),FALSE))),VLOOKUP($C359,装備品!$1:$998,COLUMN($O$1),FALSE)*VLOOKUP($D359,素材!$1:$1016,COLUMN($E$1),FALSE)/(LEN(VLOOKUP($D359,素材!$1:$1016,COLUMN($F$1),FALSE))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M359">
        <f>IF(ISNUMBER(SEARCH(SUBSTITUTE(AM$1,RIGHT(AM$1,2),""),VLOOKUP($D359,素材!$1:$1016,COLUMN($F$1),FALSE))),VLOOKUP($C359,装備品!$1:$998,COLUMN($O$1),FALSE)*VLOOKUP($D359,素材!$1:$1016,COLUMN($E$1),FALSE)/(LEN(VLOOKUP($D359,素材!$1:$1016,COLUMN($F$1),FALSE))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N359">
        <f>IF(ISNUMBER(SEARCH(SUBSTITUTE(AN$1,RIGHT(AN$1,2),""),VLOOKUP($D359,素材!$1:$1016,COLUMN($F$1),FALSE))),VLOOKUP($C359,装備品!$1:$998,COLUMN($O$1),FALSE)*VLOOKUP($D359,素材!$1:$1016,COLUMN($E$1),FALSE)/(LEN(VLOOKUP($D359,素材!$1:$1016,COLUMN($F$1),FALSE))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O359">
        <f>IF(ISNUMBER(SEARCH(SUBSTITUTE(AO$1,RIGHT(AO$1,2),""),VLOOKUP($D359,素材!$1:$1016,COLUMN($F$1),FALSE))),VLOOKUP($C359,装備品!$1:$998,COLUMN($O$1),FALSE)*VLOOKUP($D359,素材!$1:$1016,COLUMN($E$1),FALSE)/(LEN(VLOOKUP($D359,素材!$1:$1016,COLUMN($F$1),FALSE))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P359">
        <f>IF(ISNUMBER(SEARCH(SUBSTITUTE(AP$1,RIGHT(AP$1,2),""),VLOOKUP($D359,素材!$1:$1016,COLUMN($F$1),FALSE))),VLOOKUP($C359,装備品!$1:$998,COLUMN($O$1),FALSE)*VLOOKUP($D359,素材!$1:$1016,COLUMN($E$1),FALSE)/(LEN(VLOOKUP($D359,素材!$1:$1016,COLUMN($F$1),FALSE))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Q359">
        <f>IF(ISNUMBER(SEARCH(SUBSTITUTE(AQ$1,RIGHT(AQ$1,2),""),VLOOKUP($D359,素材!$1:$1016,COLUMN($F$1),FALSE))),VLOOKUP($C359,装備品!$1:$998,COLUMN($O$1),FALSE)*VLOOKUP($D359,素材!$1:$1016,COLUMN($E$1),FALSE)/(LEN(VLOOKUP($D359,素材!$1:$1016,COLUMN($F$1),FALSE))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R359">
        <f>IF(ISNUMBER(SEARCH(SUBSTITUTE(AR$1,RIGHT(AR$1,2),""),VLOOKUP($D359,素材!$1:$1016,COLUMN($F$1),FALSE))),VLOOKUP($C359,装備品!$1:$998,COLUMN($O$1),FALSE)*VLOOKUP($D359,素材!$1:$1016,COLUMN($E$1),FALSE)/(LEN(VLOOKUP($D359,素材!$1:$1016,COLUMN($F$1),FALSE))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S359">
        <f>IF(ISNUMBER(SEARCH(SUBSTITUTE(AS$1,RIGHT(AS$1,2),""),VLOOKUP($D359,素材!$1:$1016,COLUMN($F$1),FALSE))),VLOOKUP($C359,装備品!$1:$998,COLUMN($O$1),FALSE)*VLOOKUP($D359,素材!$1:$1016,COLUMN($E$1),FALSE)/(LEN(VLOOKUP($D359,素材!$1:$1016,COLUMN($F$1),FALSE))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T359">
        <f>IF(ISNUMBER(SEARCH(SUBSTITUTE(AT$1,RIGHT(AT$1,2),""),VLOOKUP($D359,素材!$1:$1016,COLUMN($F$1),FALSE))),VLOOKUP($C359,装備品!$1:$998,COLUMN($O$1),FALSE)*VLOOKUP($D359,素材!$1:$1016,COLUMN($E$1),FALSE)/(LEN(VLOOKUP($D359,素材!$1:$1016,COLUMN($F$1),FALSE))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U359">
        <f>IF(ISNUMBER(SEARCH(SUBSTITUTE(AU$1,RIGHT(AU$1,2),""),VLOOKUP($D359,素材!$1:$1016,COLUMN($F$1),FALSE))),VLOOKUP($C359,装備品!$1:$998,COLUMN($O$1),FALSE)*VLOOKUP($D359,素材!$1:$1016,COLUMN($E$1),FALSE)/(LEN(VLOOKUP($D359,素材!$1:$1016,COLUMN($F$1),FALSE))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V359">
        <f>IF(ISNUMBER(SEARCH(SUBSTITUTE(AV$1,RIGHT(AV$1,2),""),VLOOKUP($D359,素材!$1:$1016,COLUMN($F$1),FALSE))),VLOOKUP($C359,装備品!$1:$998,COLUMN($O$1),FALSE)*VLOOKUP($D359,素材!$1:$1016,COLUMN($E$1),FALSE)/(LEN(VLOOKUP($D359,素材!$1:$1016,COLUMN($F$1),FALSE))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W359">
        <f>IF(ISNUMBER(SEARCH(SUBSTITUTE(AW$1,RIGHT(AW$1,2),""),VLOOKUP($D359,素材!$1:$1016,COLUMN($F$1),FALSE))),VLOOKUP($C359,装備品!$1:$998,COLUMN($O$1),FALSE)*VLOOKUP($D359,素材!$1:$1016,COLUMN($E$1),FALSE)/(LEN(VLOOKUP($D359,素材!$1:$1016,COLUMN($F$1),FALSE))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X359">
        <f>IF(ISNUMBER(SEARCH(SUBSTITUTE(AX$1,RIGHT(AX$1,2),""),VLOOKUP($D359,素材!$1:$1016,COLUMN($F$1),FALSE))),VLOOKUP($C359,装備品!$1:$998,COLUMN($O$1),FALSE)*VLOOKUP($D359,素材!$1:$1016,COLUMN($E$1),FALSE)/(LEN(VLOOKUP($D359,素材!$1:$1016,COLUMN($F$1),FALSE))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Y359">
        <f>IF(ISNUMBER(SEARCH(SUBSTITUTE(AY$1,RIGHT(AY$1,2),""),VLOOKUP($D359,素材!$1:$1016,COLUMN($F$1),FALSE))),VLOOKUP($C359,装備品!$1:$998,COLUMN($O$1),FALSE)*VLOOKUP($D359,素材!$1:$1016,COLUMN($E$1),FALSE)/(LEN(VLOOKUP($D359,素材!$1:$1016,COLUMN($F$1),FALSE))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Z359">
        <f>IF(ISNUMBER(SEARCH(SUBSTITUTE(AZ$1,RIGHT(AZ$1,2),""),VLOOKUP($D359,素材!$1:$1016,COLUMN($F$1),FALSE))),VLOOKUP($C359,装備品!$1:$998,COLUMN($O$1),FALSE)*VLOOKUP($D359,素材!$1:$1016,COLUMN($E$1),FALSE)/(LEN(VLOOKUP($D359,素材!$1:$1016,COLUMN($F$1),FALSE))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BA359">
        <f>IF(ISNUMBER(SEARCH(SUBSTITUTE(BA$1,RIGHT(BA$1,2),""),VLOOKUP($D359,素材!$1:$1016,COLUMN($F$1),FALSE))),VLOOKUP($C359,装備品!$1:$998,COLUMN($O$1),FALSE)*VLOOKUP($D359,素材!$1:$1016,COLUMN($E$1),FALSE)/(LEN(VLOOKUP($D359,素材!$1:$1016,COLUMN($F$1),FALSE))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BB359">
        <f>IF(ISNUMBER(SEARCH(SUBSTITUTE(BB$1,RIGHT(BB$1,2),""),VLOOKUP($D359,素材!$1:$1016,COLUMN($F$1),FALSE))),VLOOKUP($C359,装備品!$1:$998,COLUMN($O$1),FALSE)*VLOOKUP($D359,素材!$1:$1016,COLUMN($E$1),FALSE)/(LEN(VLOOKUP($D359,素材!$1:$1016,COLUMN($F$1),FALSE))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BC359">
        <f>IF(ISNUMBER(SEARCH(SUBSTITUTE(BC$1,RIGHT(BC$1,2),""),VLOOKUP($D359,素材!$1:$1016,COLUMN($F$1),FALSE))),VLOOKUP($C359,装備品!$1:$998,COLUMN($O$1),FALSE)*VLOOKUP($D359,素材!$1:$1016,COLUMN($E$1),FALSE)/(LEN(VLOOKUP($D359,素材!$1:$1016,COLUMN($F$1),FALSE))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BD359">
        <f>IF(ISNUMBER(SEARCH(SUBSTITUTE(BD$1,RIGHT(BD$1,2),""),VLOOKUP($D359,素材!$1:$1016,COLUMN($F$1),FALSE))),VLOOKUP($C359,装備品!$1:$998,COLUMN($O$1),FALSE)*VLOOKUP($D359,素材!$1:$1016,COLUMN($E$1),FALSE)/(LEN(VLOOKUP($D359,素材!$1:$1016,COLUMN($F$1),FALSE))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BE359">
        <f>IF(ISNUMBER(SEARCH(SUBSTITUTE(BE$1,RIGHT(BE$1,2),""),VLOOKUP($D359,素材!$1:$1016,COLUMN($F$1),FALSE))),VLOOKUP($C359,装備品!$1:$998,COLUMN($O$1),FALSE)*VLOOKUP($D359,素材!$1:$1016,COLUMN($E$1),FALSE)/(LEN(VLOOKUP($D359,素材!$1:$1016,COLUMN($F$1),FALSE))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CL359">
        <f t="shared" si="47"/>
        <v>0</v>
      </c>
      <c r="CM359" s="22" t="str">
        <f t="shared" si="48"/>
        <v>体.webp</v>
      </c>
      <c r="CN359">
        <f>IFERROR(VLOOKUP($C359,装備品!$1:$998,COLUMN(V$1),FALSE)*VLOOKUP($D359,素材!$1:$1016,COLUMN(N$1),FALSE)+IF(CI359="",0,VLOOKUP($CI359,付与!$1:$1176,COLUMN($CK$1),FALSE)),"")</f>
        <v>0</v>
      </c>
      <c r="CO359">
        <f>VLOOKUP(D359,素材!$A:$O,COLUMN(素材!O$1),FALSE)</f>
        <v>0</v>
      </c>
      <c r="CP359" t="str">
        <f>VLOOKUP(C359,装備品!$A:$AB,COLUMN(装備品!AB$1),FALSE)</f>
        <v>HP 物理 魔法 体幹 出血 疲労 Cr</v>
      </c>
      <c r="CR359" t="str">
        <f t="shared" si="49"/>
        <v>e_359</v>
      </c>
      <c r="CS359">
        <f t="shared" si="50"/>
        <v>0</v>
      </c>
    </row>
    <row r="360" spans="1:97" outlineLevel="1" x14ac:dyDescent="0.4">
      <c r="A360" t="str">
        <f t="shared" si="52"/>
        <v>銀鋼の長剣</v>
      </c>
      <c r="B360" t="str">
        <f>IFERROR(VLOOKUP($D360,素材!$1:$1016,COLUMN($B$1),FALSE)&amp;"・"&amp;VLOOKUP($C360,装備品!$1:$998,COLUMN(B$1),FALSE),"")</f>
        <v>シルバーメタル・ロングソード</v>
      </c>
      <c r="C360" t="s">
        <v>194</v>
      </c>
      <c r="D360" s="24" t="s">
        <v>196</v>
      </c>
      <c r="E360" t="str">
        <f>IFERROR(VLOOKUP(C360,装備品!$1:$998,COLUMN(C$1),FALSE),"")</f>
        <v>武器</v>
      </c>
      <c r="F360">
        <f>IFERROR(ROUNDDOWN((VLOOKUP($C360,装備品!$1:$998,COLUMN(D$1),FALSE)+IFERROR(VLOOKUP($CI360,付与!$1:$1167,COLUMN(F$1),FALSE),0))*VLOOKUP($D360,素材!$1:$1016,COLUMN(D$1),FALSE),0),"")</f>
        <v>57</v>
      </c>
      <c r="G360">
        <f>IFERROR(ROUNDDOWN((VLOOKUP($C360,装備品!$1:$998,COLUMN(E$1),FALSE)+IFERROR(VLOOKUP($CI360,付与!$1:$1167,COLUMN(G$1),FALSE),0))*VLOOKUP($D360,素材!$1:$1016,COLUMN($E$1),FALSE),0),"")</f>
        <v>26</v>
      </c>
      <c r="H360">
        <f>IFERROR(ROUNDDOWN((VLOOKUP($C360,装備品!$1:$998,COLUMN(F$1),FALSE)+IFERROR(VLOOKUP($CI360,付与!$1:$1167,COLUMN(H$1),FALSE),0))*VLOOKUP($D360,素材!$1:$1016,COLUMN($E$1),FALSE),0),"")</f>
        <v>15</v>
      </c>
      <c r="I360">
        <f>IFERROR(ROUNDDOWN((VLOOKUP($C360,装備品!$1:$998,COLUMN(G$1),FALSE)+IFERROR(VLOOKUP($CI360,付与!$1:$1167,COLUMN(I$1),FALSE),0))*VLOOKUP($D360,素材!$1:$1016,COLUMN($E$1),FALSE),0),"")</f>
        <v>5</v>
      </c>
      <c r="J360">
        <f>IFERROR(ROUNDDOWN((VLOOKUP($C360,装備品!$1:$998,COLUMN(H$1),FALSE)+IFERROR(VLOOKUP($CI360,付与!$1:$1167,COLUMN(J$1),FALSE),0))*VLOOKUP($D360,素材!$1:$1016,COLUMN($E$1),FALSE),0),"")</f>
        <v>35</v>
      </c>
      <c r="K360">
        <f>IFERROR(ROUNDDOWN((VLOOKUP($C360,装備品!$1:$998,COLUMN(I$1),FALSE)+IFERROR(VLOOKUP($CI360,付与!$1:$1167,COLUMN(K$1),FALSE),0))*VLOOKUP($D360,素材!$1:$1016,COLUMN($E$1),FALSE),0),"")</f>
        <v>0</v>
      </c>
      <c r="L360">
        <f>IFERROR(VLOOKUP($D360,素材!$1:$1016,COLUMN($F$1),FALSE),"")</f>
        <v>0</v>
      </c>
      <c r="M360">
        <f>IFERROR(VLOOKUP($C360,装備品!$1:$998,COLUMN(AA$1),FALSE)*VLOOKUP($D360,素材!$1:$1016,COLUMN($G$1),FALSE),"")</f>
        <v>0</v>
      </c>
      <c r="N360">
        <f>IFERROR(VLOOKUP($C360,装備品!$1:$998,COLUMN(I$1),FALSE),"")</f>
        <v>0</v>
      </c>
      <c r="O360" s="23">
        <f>IFERROR((VLOOKUP($C360,装備品!$1:$998,COLUMN(K$1),FALSE)+VLOOKUP($D360,素材!$1:$1016,COLUMN(H$1),FALSE))*100+IFERROR(VLOOKUP($CI360,付与!$1:$1167,COLUMN(O$1),FALSE),0),"")</f>
        <v>15.000000000000002</v>
      </c>
      <c r="P360" s="23">
        <f>IFERROR((VLOOKUP($C360,装備品!$1:$998,COLUMN(L$1),FALSE)+VLOOKUP($D360,素材!$1:$1016,COLUMN(I$1),FALSE))*100+IFERROR(VLOOKUP($CI360,付与!$1:$1167,COLUMN(P$1),FALSE),0),"")</f>
        <v>160</v>
      </c>
      <c r="Q360">
        <f>IFERROR(ROUNDUP(VLOOKUP($C360,装備品!$1:$998,COLUMN(M$1),FALSE)*(VLOOKUP($D360,素材!$1:$1002,COLUMN(D$1),FALSE)/100),1),"")</f>
        <v>-1.3</v>
      </c>
      <c r="R360">
        <f>IFERROR(ROUNDUP(VLOOKUP($C360,装備品!$1:$998,COLUMN(N$1),FALSE)*(VLOOKUP($D360,素材!$1:$1002,COLUMN(D$1),FALSE)/100),1),"")</f>
        <v>-1.3</v>
      </c>
      <c r="S360">
        <f>IFERROR(VLOOKUP($C360,装備品!$1:$998,COLUMN(P$1),FALSE),"")</f>
        <v>0</v>
      </c>
      <c r="T360">
        <f>IFERROR(VLOOKUP($C360,装備品!$1:$998,COLUMN(Q$1),FALSE),"")</f>
        <v>0</v>
      </c>
      <c r="U360">
        <f>IFERROR(VLOOKUP($C360,装備品!$1:$998,COLUMN(R$1),FALSE),"")</f>
        <v>0</v>
      </c>
      <c r="V360">
        <f>IFERROR(VLOOKUP($C360,装備品!$1:$998,COLUMN(Q$1),FALSE),"")</f>
        <v>0</v>
      </c>
      <c r="W360">
        <f>IFERROR(VLOOKUP($C360,装備品!$1:$998,COLUMN(T$1),FALSE),"")</f>
        <v>0</v>
      </c>
      <c r="Y360">
        <f>IFERROR(VLOOKUP($C360,装備品!$1:$998,COLUMN(U$1),FALSE),"")</f>
        <v>0</v>
      </c>
      <c r="Z360">
        <f>IFERROR(ROUNDUP(VLOOKUP($C360,装備品!$1:$998,COLUMN(O$1),FALSE)*VLOOKUP($D360,素材!$1:$1016,COLUMN(E$1),FALSE),1),"")</f>
        <v>0</v>
      </c>
      <c r="AA360">
        <f>IF(ISNUMBER(SEARCH(SUBSTITUTE(AA$1,RIGHT(AA$1,2),""),VLOOKUP($D360,素材!$1:$1016,COLUMN($F$1),FALSE))),VLOOKUP($C360,装備品!$1:$998,COLUMN($O$1),FALSE)*VLOOKUP($D360,素材!$1:$1016,COLUMN($E$1),FALSE)/(LEN(VLOOKUP($D360,素材!$1:$1016,COLUMN($F$1),FALSE))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B360">
        <f>IF(ISNUMBER(SEARCH(SUBSTITUTE(AB$1,RIGHT(AB$1,2),""),VLOOKUP($D360,素材!$1:$1016,COLUMN($F$1),FALSE))),VLOOKUP($C360,装備品!$1:$998,COLUMN($O$1),FALSE)*VLOOKUP($D360,素材!$1:$1016,COLUMN($E$1),FALSE)/(LEN(VLOOKUP($D360,素材!$1:$1016,COLUMN($F$1),FALSE))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C360">
        <f>IF(ISNUMBER(SEARCH(SUBSTITUTE(AC$1,RIGHT(AC$1,2),""),VLOOKUP($D360,素材!$1:$1016,COLUMN($F$1),FALSE))),VLOOKUP($C360,装備品!$1:$998,COLUMN($O$1),FALSE)*VLOOKUP($D360,素材!$1:$1016,COLUMN($E$1),FALSE)/(LEN(VLOOKUP($D360,素材!$1:$1016,COLUMN($F$1),FALSE))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D360">
        <f>IF(ISNUMBER(SEARCH(SUBSTITUTE(AD$1,RIGHT(AD$1,2),""),VLOOKUP($D360,素材!$1:$1016,COLUMN($F$1),FALSE))),VLOOKUP($C360,装備品!$1:$998,COLUMN($O$1),FALSE)*VLOOKUP($D360,素材!$1:$1016,COLUMN($E$1),FALSE)/(LEN(VLOOKUP($D360,素材!$1:$1016,COLUMN($F$1),FALSE))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E360">
        <f>IF(ISNUMBER(SEARCH(SUBSTITUTE(AE$1,RIGHT(AE$1,2),""),VLOOKUP($D360,素材!$1:$1016,COLUMN($F$1),FALSE))),VLOOKUP($C360,装備品!$1:$998,COLUMN($O$1),FALSE)*VLOOKUP($D360,素材!$1:$1016,COLUMN($E$1),FALSE)/(LEN(VLOOKUP($D360,素材!$1:$1016,COLUMN($F$1),FALSE))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F360">
        <f>IF(ISNUMBER(SEARCH(SUBSTITUTE(AF$1,RIGHT(AF$1,2),""),VLOOKUP($D360,素材!$1:$1016,COLUMN($F$1),FALSE))),VLOOKUP($C360,装備品!$1:$998,COLUMN($O$1),FALSE)*VLOOKUP($D360,素材!$1:$1016,COLUMN($E$1),FALSE)/(LEN(VLOOKUP($D360,素材!$1:$1016,COLUMN($F$1),FALSE))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G360">
        <f>IF(ISNUMBER(SEARCH(SUBSTITUTE(AG$1,RIGHT(AG$1,2),""),VLOOKUP($D360,素材!$1:$1016,COLUMN($F$1),FALSE))),VLOOKUP($C360,装備品!$1:$998,COLUMN($O$1),FALSE)*VLOOKUP($D360,素材!$1:$1016,COLUMN($E$1),FALSE)/(LEN(VLOOKUP($D360,素材!$1:$1016,COLUMN($F$1),FALSE))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H360">
        <f>IF(ISNUMBER(SEARCH(SUBSTITUTE(AH$1,RIGHT(AH$1,2),""),VLOOKUP($D360,素材!$1:$1016,COLUMN($F$1),FALSE))),VLOOKUP($C360,装備品!$1:$998,COLUMN($O$1),FALSE)*VLOOKUP($D360,素材!$1:$1016,COLUMN($E$1),FALSE)/(LEN(VLOOKUP($D360,素材!$1:$1016,COLUMN($F$1),FALSE))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I360">
        <f>IF(ISNUMBER(SEARCH(SUBSTITUTE(AI$1,RIGHT(AI$1,2),""),VLOOKUP($D360,素材!$1:$1016,COLUMN($F$1),FALSE))),VLOOKUP($C360,装備品!$1:$998,COLUMN($O$1),FALSE)*VLOOKUP($D360,素材!$1:$1016,COLUMN($E$1),FALSE)/(LEN(VLOOKUP($D360,素材!$1:$1016,COLUMN($F$1),FALSE))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J360">
        <f>IF(ISNUMBER(SEARCH(SUBSTITUTE(AJ$1,RIGHT(AJ$1,2),""),VLOOKUP($D360,素材!$1:$1016,COLUMN($F$1),FALSE))),VLOOKUP($C360,装備品!$1:$998,COLUMN($O$1),FALSE)*VLOOKUP($D360,素材!$1:$1016,COLUMN($E$1),FALSE)/(LEN(VLOOKUP($D360,素材!$1:$1016,COLUMN($F$1),FALSE))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K360">
        <f>IF(ISNUMBER(SEARCH(SUBSTITUTE(AK$1,RIGHT(AK$1,2),""),VLOOKUP($D360,素材!$1:$1016,COLUMN($F$1),FALSE))),VLOOKUP($C360,装備品!$1:$998,COLUMN($O$1),FALSE)*VLOOKUP($D360,素材!$1:$1016,COLUMN($E$1),FALSE)/(LEN(VLOOKUP($D360,素材!$1:$1016,COLUMN($F$1),FALSE))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L360">
        <f>IF(ISNUMBER(SEARCH(SUBSTITUTE(AL$1,RIGHT(AL$1,2),""),VLOOKUP($D360,素材!$1:$1016,COLUMN($F$1),FALSE))),VLOOKUP($C360,装備品!$1:$998,COLUMN($O$1),FALSE)*VLOOKUP($D360,素材!$1:$1016,COLUMN($E$1),FALSE)/(LEN(VLOOKUP($D360,素材!$1:$1016,COLUMN($F$1),FALSE))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M360">
        <f>IF(ISNUMBER(SEARCH(SUBSTITUTE(AM$1,RIGHT(AM$1,2),""),VLOOKUP($D360,素材!$1:$1016,COLUMN($F$1),FALSE))),VLOOKUP($C360,装備品!$1:$998,COLUMN($O$1),FALSE)*VLOOKUP($D360,素材!$1:$1016,COLUMN($E$1),FALSE)/(LEN(VLOOKUP($D360,素材!$1:$1016,COLUMN($F$1),FALSE))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N360">
        <f>IF(ISNUMBER(SEARCH(SUBSTITUTE(AN$1,RIGHT(AN$1,2),""),VLOOKUP($D360,素材!$1:$1016,COLUMN($F$1),FALSE))),VLOOKUP($C360,装備品!$1:$998,COLUMN($O$1),FALSE)*VLOOKUP($D360,素材!$1:$1016,COLUMN($E$1),FALSE)/(LEN(VLOOKUP($D360,素材!$1:$1016,COLUMN($F$1),FALSE))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O360">
        <f>IF(ISNUMBER(SEARCH(SUBSTITUTE(AO$1,RIGHT(AO$1,2),""),VLOOKUP($D360,素材!$1:$1016,COLUMN($F$1),FALSE))),VLOOKUP($C360,装備品!$1:$998,COLUMN($O$1),FALSE)*VLOOKUP($D360,素材!$1:$1016,COLUMN($E$1),FALSE)/(LEN(VLOOKUP($D360,素材!$1:$1016,COLUMN($F$1),FALSE))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P360">
        <f>IF(ISNUMBER(SEARCH(SUBSTITUTE(AP$1,RIGHT(AP$1,2),""),VLOOKUP($D360,素材!$1:$1016,COLUMN($F$1),FALSE))),VLOOKUP($C360,装備品!$1:$998,COLUMN($O$1),FALSE)*VLOOKUP($D360,素材!$1:$1016,COLUMN($E$1),FALSE)/(LEN(VLOOKUP($D360,素材!$1:$1016,COLUMN($F$1),FALSE))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Q360">
        <f>IF(ISNUMBER(SEARCH(SUBSTITUTE(AQ$1,RIGHT(AQ$1,2),""),VLOOKUP($D360,素材!$1:$1016,COLUMN($F$1),FALSE))),VLOOKUP($C360,装備品!$1:$998,COLUMN($O$1),FALSE)*VLOOKUP($D360,素材!$1:$1016,COLUMN($E$1),FALSE)/(LEN(VLOOKUP($D360,素材!$1:$1016,COLUMN($F$1),FALSE))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R360">
        <f>IF(ISNUMBER(SEARCH(SUBSTITUTE(AR$1,RIGHT(AR$1,2),""),VLOOKUP($D360,素材!$1:$1016,COLUMN($F$1),FALSE))),VLOOKUP($C360,装備品!$1:$998,COLUMN($O$1),FALSE)*VLOOKUP($D360,素材!$1:$1016,COLUMN($E$1),FALSE)/(LEN(VLOOKUP($D360,素材!$1:$1016,COLUMN($F$1),FALSE))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S360">
        <f>IF(ISNUMBER(SEARCH(SUBSTITUTE(AS$1,RIGHT(AS$1,2),""),VLOOKUP($D360,素材!$1:$1016,COLUMN($F$1),FALSE))),VLOOKUP($C360,装備品!$1:$998,COLUMN($O$1),FALSE)*VLOOKUP($D360,素材!$1:$1016,COLUMN($E$1),FALSE)/(LEN(VLOOKUP($D360,素材!$1:$1016,COLUMN($F$1),FALSE))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T360">
        <f>IF(ISNUMBER(SEARCH(SUBSTITUTE(AT$1,RIGHT(AT$1,2),""),VLOOKUP($D360,素材!$1:$1016,COLUMN($F$1),FALSE))),VLOOKUP($C360,装備品!$1:$998,COLUMN($O$1),FALSE)*VLOOKUP($D360,素材!$1:$1016,COLUMN($E$1),FALSE)/(LEN(VLOOKUP($D360,素材!$1:$1016,COLUMN($F$1),FALSE))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U360">
        <f>IF(ISNUMBER(SEARCH(SUBSTITUTE(AU$1,RIGHT(AU$1,2),""),VLOOKUP($D360,素材!$1:$1016,COLUMN($F$1),FALSE))),VLOOKUP($C360,装備品!$1:$998,COLUMN($O$1),FALSE)*VLOOKUP($D360,素材!$1:$1016,COLUMN($E$1),FALSE)/(LEN(VLOOKUP($D360,素材!$1:$1016,COLUMN($F$1),FALSE))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V360">
        <f>IF(ISNUMBER(SEARCH(SUBSTITUTE(AV$1,RIGHT(AV$1,2),""),VLOOKUP($D360,素材!$1:$1016,COLUMN($F$1),FALSE))),VLOOKUP($C360,装備品!$1:$998,COLUMN($O$1),FALSE)*VLOOKUP($D360,素材!$1:$1016,COLUMN($E$1),FALSE)/(LEN(VLOOKUP($D360,素材!$1:$1016,COLUMN($F$1),FALSE))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W360">
        <f>IF(ISNUMBER(SEARCH(SUBSTITUTE(AW$1,RIGHT(AW$1,2),""),VLOOKUP($D360,素材!$1:$1016,COLUMN($F$1),FALSE))),VLOOKUP($C360,装備品!$1:$998,COLUMN($O$1),FALSE)*VLOOKUP($D360,素材!$1:$1016,COLUMN($E$1),FALSE)/(LEN(VLOOKUP($D360,素材!$1:$1016,COLUMN($F$1),FALSE))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X360">
        <f>IF(ISNUMBER(SEARCH(SUBSTITUTE(AX$1,RIGHT(AX$1,2),""),VLOOKUP($D360,素材!$1:$1016,COLUMN($F$1),FALSE))),VLOOKUP($C360,装備品!$1:$998,COLUMN($O$1),FALSE)*VLOOKUP($D360,素材!$1:$1016,COLUMN($E$1),FALSE)/(LEN(VLOOKUP($D360,素材!$1:$1016,COLUMN($F$1),FALSE))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Y360">
        <f>IF(ISNUMBER(SEARCH(SUBSTITUTE(AY$1,RIGHT(AY$1,2),""),VLOOKUP($D360,素材!$1:$1016,COLUMN($F$1),FALSE))),VLOOKUP($C360,装備品!$1:$998,COLUMN($O$1),FALSE)*VLOOKUP($D360,素材!$1:$1016,COLUMN($E$1),FALSE)/(LEN(VLOOKUP($D360,素材!$1:$1016,COLUMN($F$1),FALSE))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Z360">
        <f>IF(ISNUMBER(SEARCH(SUBSTITUTE(AZ$1,RIGHT(AZ$1,2),""),VLOOKUP($D360,素材!$1:$1016,COLUMN($F$1),FALSE))),VLOOKUP($C360,装備品!$1:$998,COLUMN($O$1),FALSE)*VLOOKUP($D360,素材!$1:$1016,COLUMN($E$1),FALSE)/(LEN(VLOOKUP($D360,素材!$1:$1016,COLUMN($F$1),FALSE))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BA360">
        <f>IF(ISNUMBER(SEARCH(SUBSTITUTE(BA$1,RIGHT(BA$1,2),""),VLOOKUP($D360,素材!$1:$1016,COLUMN($F$1),FALSE))),VLOOKUP($C360,装備品!$1:$998,COLUMN($O$1),FALSE)*VLOOKUP($D360,素材!$1:$1016,COLUMN($E$1),FALSE)/(LEN(VLOOKUP($D360,素材!$1:$1016,COLUMN($F$1),FALSE))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BB360">
        <f>IF(ISNUMBER(SEARCH(SUBSTITUTE(BB$1,RIGHT(BB$1,2),""),VLOOKUP($D360,素材!$1:$1016,COLUMN($F$1),FALSE))),VLOOKUP($C360,装備品!$1:$998,COLUMN($O$1),FALSE)*VLOOKUP($D360,素材!$1:$1016,COLUMN($E$1),FALSE)/(LEN(VLOOKUP($D360,素材!$1:$1016,COLUMN($F$1),FALSE))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BC360">
        <f>IF(ISNUMBER(SEARCH(SUBSTITUTE(BC$1,RIGHT(BC$1,2),""),VLOOKUP($D360,素材!$1:$1016,COLUMN($F$1),FALSE))),VLOOKUP($C360,装備品!$1:$998,COLUMN($O$1),FALSE)*VLOOKUP($D360,素材!$1:$1016,COLUMN($E$1),FALSE)/(LEN(VLOOKUP($D360,素材!$1:$1016,COLUMN($F$1),FALSE))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BD360">
        <f>IF(ISNUMBER(SEARCH(SUBSTITUTE(BD$1,RIGHT(BD$1,2),""),VLOOKUP($D360,素材!$1:$1016,COLUMN($F$1),FALSE))),VLOOKUP($C360,装備品!$1:$998,COLUMN($O$1),FALSE)*VLOOKUP($D360,素材!$1:$1016,COLUMN($E$1),FALSE)/(LEN(VLOOKUP($D360,素材!$1:$1016,COLUMN($F$1),FALSE))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BE360">
        <f>IF(ISNUMBER(SEARCH(SUBSTITUTE(BE$1,RIGHT(BE$1,2),""),VLOOKUP($D360,素材!$1:$1016,COLUMN($F$1),FALSE))),VLOOKUP($C360,装備品!$1:$998,COLUMN($O$1),FALSE)*VLOOKUP($D360,素材!$1:$1016,COLUMN($E$1),FALSE)/(LEN(VLOOKUP($D360,素材!$1:$1016,COLUMN($F$1),FALSE))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CL360">
        <f t="shared" si="47"/>
        <v>46</v>
      </c>
      <c r="CM360" s="22" t="str">
        <f t="shared" si="48"/>
        <v>切断.webp</v>
      </c>
      <c r="CN360">
        <f>IFERROR(VLOOKUP($C360,装備品!$1:$998,COLUMN(V$1),FALSE)*VLOOKUP($D360,素材!$1:$1016,COLUMN(N$1),FALSE)+IF(CI360="",0,VLOOKUP($CI360,付与!$1:$1176,COLUMN($CK$1),FALSE)),"")</f>
        <v>0</v>
      </c>
      <c r="CO360">
        <f>VLOOKUP(D360,素材!$A:$O,COLUMN(素材!O$1),FALSE)</f>
        <v>0</v>
      </c>
      <c r="CP360" t="str">
        <f>VLOOKUP(C360,装備品!$A:$AB,COLUMN(装備品!AB$1),FALSE)</f>
        <v>長剣。長く重い分扱いにくいが威力が高い。</v>
      </c>
      <c r="CR360" t="str">
        <f t="shared" si="49"/>
        <v>e_360</v>
      </c>
      <c r="CS360">
        <f t="shared" si="50"/>
        <v>0</v>
      </c>
    </row>
    <row r="361" spans="1:97" outlineLevel="1" x14ac:dyDescent="0.4">
      <c r="A361" t="str">
        <f t="shared" si="52"/>
        <v>金鋼の長剣</v>
      </c>
      <c r="B361" t="str">
        <f>IFERROR(VLOOKUP($D361,素材!$1:$1016,COLUMN($B$1),FALSE)&amp;"・"&amp;VLOOKUP($C361,装備品!$1:$998,COLUMN(B$1),FALSE),"")</f>
        <v>ゴールドメタル・ロングソード</v>
      </c>
      <c r="C361" t="s">
        <v>194</v>
      </c>
      <c r="D361" s="24" t="s">
        <v>195</v>
      </c>
      <c r="E361" t="str">
        <f>IFERROR(VLOOKUP(C361,装備品!$1:$998,COLUMN(C$1),FALSE),"")</f>
        <v>武器</v>
      </c>
      <c r="F361">
        <f>IFERROR(ROUNDDOWN((VLOOKUP($C361,装備品!$1:$998,COLUMN(D$1),FALSE)+IFERROR(VLOOKUP($CI361,付与!$1:$1167,COLUMN(F$1),FALSE),0))*VLOOKUP($D361,素材!$1:$1016,COLUMN(D$1),FALSE),0),"")</f>
        <v>115</v>
      </c>
      <c r="G361">
        <f>IFERROR(ROUNDDOWN((VLOOKUP($C361,装備品!$1:$998,COLUMN(E$1),FALSE)+IFERROR(VLOOKUP($CI361,付与!$1:$1167,COLUMN(G$1),FALSE),0))*VLOOKUP($D361,素材!$1:$1016,COLUMN($E$1),FALSE),0),"")</f>
        <v>30</v>
      </c>
      <c r="H361">
        <f>IFERROR(ROUNDDOWN((VLOOKUP($C361,装備品!$1:$998,COLUMN(F$1),FALSE)+IFERROR(VLOOKUP($CI361,付与!$1:$1167,COLUMN(H$1),FALSE),0))*VLOOKUP($D361,素材!$1:$1016,COLUMN($E$1),FALSE),0),"")</f>
        <v>18</v>
      </c>
      <c r="I361">
        <f>IFERROR(ROUNDDOWN((VLOOKUP($C361,装備品!$1:$998,COLUMN(G$1),FALSE)+IFERROR(VLOOKUP($CI361,付与!$1:$1167,COLUMN(I$1),FALSE),0))*VLOOKUP($D361,素材!$1:$1016,COLUMN($E$1),FALSE),0),"")</f>
        <v>6</v>
      </c>
      <c r="J361">
        <f>IFERROR(ROUNDDOWN((VLOOKUP($C361,装備品!$1:$998,COLUMN(H$1),FALSE)+IFERROR(VLOOKUP($CI361,付与!$1:$1167,COLUMN(J$1),FALSE),0))*VLOOKUP($D361,素材!$1:$1016,COLUMN($E$1),FALSE),0),"")</f>
        <v>40</v>
      </c>
      <c r="K361">
        <f>IFERROR(ROUNDDOWN((VLOOKUP($C361,装備品!$1:$998,COLUMN(I$1),FALSE)+IFERROR(VLOOKUP($CI361,付与!$1:$1167,COLUMN(K$1),FALSE),0))*VLOOKUP($D361,素材!$1:$1016,COLUMN($E$1),FALSE),0),"")</f>
        <v>0</v>
      </c>
      <c r="L361" t="str">
        <f>IFERROR(VLOOKUP($D361,素材!$1:$1016,COLUMN($F$1),FALSE),"")</f>
        <v>魔法</v>
      </c>
      <c r="M361">
        <f>IFERROR(VLOOKUP($C361,装備品!$1:$998,COLUMN(AA$1),FALSE)*VLOOKUP($D361,素材!$1:$1016,COLUMN($G$1),FALSE),"")</f>
        <v>80</v>
      </c>
      <c r="N361">
        <f>IFERROR(VLOOKUP($C361,装備品!$1:$998,COLUMN(I$1),FALSE),"")</f>
        <v>0</v>
      </c>
      <c r="O361" s="23">
        <f>IFERROR((VLOOKUP($C361,装備品!$1:$998,COLUMN(K$1),FALSE)+VLOOKUP($D361,素材!$1:$1016,COLUMN(H$1),FALSE))*100+IFERROR(VLOOKUP($CI361,付与!$1:$1167,COLUMN(O$1),FALSE),0),"")</f>
        <v>15.000000000000002</v>
      </c>
      <c r="P361" s="23">
        <f>IFERROR((VLOOKUP($C361,装備品!$1:$998,COLUMN(L$1),FALSE)+VLOOKUP($D361,素材!$1:$1016,COLUMN(I$1),FALSE))*100+IFERROR(VLOOKUP($CI361,付与!$1:$1167,COLUMN(P$1),FALSE),0),"")</f>
        <v>160</v>
      </c>
      <c r="Q361">
        <f>IFERROR(ROUNDUP(VLOOKUP($C361,装備品!$1:$998,COLUMN(M$1),FALSE)*(VLOOKUP($D361,素材!$1:$1002,COLUMN(D$1),FALSE)/100),1),"")</f>
        <v>-2.5</v>
      </c>
      <c r="R361">
        <f>IFERROR(ROUNDUP(VLOOKUP($C361,装備品!$1:$998,COLUMN(N$1),FALSE)*(VLOOKUP($D361,素材!$1:$1002,COLUMN(D$1),FALSE)/100),1),"")</f>
        <v>-2.5</v>
      </c>
      <c r="S361">
        <f>IFERROR(VLOOKUP($C361,装備品!$1:$998,COLUMN(P$1),FALSE),"")</f>
        <v>0</v>
      </c>
      <c r="T361">
        <f>IFERROR(VLOOKUP($C361,装備品!$1:$998,COLUMN(Q$1),FALSE),"")</f>
        <v>0</v>
      </c>
      <c r="U361">
        <f>IFERROR(VLOOKUP($C361,装備品!$1:$998,COLUMN(R$1),FALSE),"")</f>
        <v>0</v>
      </c>
      <c r="V361">
        <f>IFERROR(VLOOKUP($C361,装備品!$1:$998,COLUMN(Q$1),FALSE),"")</f>
        <v>0</v>
      </c>
      <c r="W361">
        <f>IFERROR(VLOOKUP($C361,装備品!$1:$998,COLUMN(T$1),FALSE),"")</f>
        <v>0</v>
      </c>
      <c r="Y361">
        <f>IFERROR(VLOOKUP($C361,装備品!$1:$998,COLUMN(U$1),FALSE),"")</f>
        <v>0</v>
      </c>
      <c r="Z361">
        <f>IFERROR(ROUNDUP(VLOOKUP($C361,装備品!$1:$998,COLUMN(O$1),FALSE)*VLOOKUP($D361,素材!$1:$1016,COLUMN(E$1),FALSE),1),"")</f>
        <v>0</v>
      </c>
      <c r="AA361">
        <f>IF(ISNUMBER(SEARCH(SUBSTITUTE(AA$1,RIGHT(AA$1,2),""),VLOOKUP($D361,素材!$1:$1016,COLUMN($F$1),FALSE))),VLOOKUP($C361,装備品!$1:$998,COLUMN($O$1),FALSE)*VLOOKUP($D361,素材!$1:$1016,COLUMN($E$1),FALSE)/(LEN(VLOOKUP($D361,素材!$1:$1016,COLUMN($F$1),FALSE))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B361">
        <f>IF(ISNUMBER(SEARCH(SUBSTITUTE(AB$1,RIGHT(AB$1,2),""),VLOOKUP($D361,素材!$1:$1016,COLUMN($F$1),FALSE))),VLOOKUP($C361,装備品!$1:$998,COLUMN($O$1),FALSE)*VLOOKUP($D361,素材!$1:$1016,COLUMN($E$1),FALSE)/(LEN(VLOOKUP($D361,素材!$1:$1016,COLUMN($F$1),FALSE))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C361">
        <f>IF(ISNUMBER(SEARCH(SUBSTITUTE(AC$1,RIGHT(AC$1,2),""),VLOOKUP($D361,素材!$1:$1016,COLUMN($F$1),FALSE))),VLOOKUP($C361,装備品!$1:$998,COLUMN($O$1),FALSE)*VLOOKUP($D361,素材!$1:$1016,COLUMN($E$1),FALSE)/(LEN(VLOOKUP($D361,素材!$1:$1016,COLUMN($F$1),FALSE))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D361">
        <f>IF(ISNUMBER(SEARCH(SUBSTITUTE(AD$1,RIGHT(AD$1,2),""),VLOOKUP($D361,素材!$1:$1016,COLUMN($F$1),FALSE))),VLOOKUP($C361,装備品!$1:$998,COLUMN($O$1),FALSE)*VLOOKUP($D361,素材!$1:$1016,COLUMN($E$1),FALSE)/(LEN(VLOOKUP($D361,素材!$1:$1016,COLUMN($F$1),FALSE))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E361">
        <f>IF(ISNUMBER(SEARCH(SUBSTITUTE(AE$1,RIGHT(AE$1,2),""),VLOOKUP($D361,素材!$1:$1016,COLUMN($F$1),FALSE))),VLOOKUP($C361,装備品!$1:$998,COLUMN($O$1),FALSE)*VLOOKUP($D361,素材!$1:$1016,COLUMN($E$1),FALSE)/(LEN(VLOOKUP($D361,素材!$1:$1016,COLUMN($F$1),FALSE))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F361">
        <f>IF(ISNUMBER(SEARCH(SUBSTITUTE(AF$1,RIGHT(AF$1,2),""),VLOOKUP($D361,素材!$1:$1016,COLUMN($F$1),FALSE))),VLOOKUP($C361,装備品!$1:$998,COLUMN($O$1),FALSE)*VLOOKUP($D361,素材!$1:$1016,COLUMN($E$1),FALSE)/(LEN(VLOOKUP($D361,素材!$1:$1016,COLUMN($F$1),FALSE))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G361">
        <f>IF(ISNUMBER(SEARCH(SUBSTITUTE(AG$1,RIGHT(AG$1,2),""),VLOOKUP($D361,素材!$1:$1016,COLUMN($F$1),FALSE))),VLOOKUP($C361,装備品!$1:$998,COLUMN($O$1),FALSE)*VLOOKUP($D361,素材!$1:$1016,COLUMN($E$1),FALSE)/(LEN(VLOOKUP($D361,素材!$1:$1016,COLUMN($F$1),FALSE))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H361">
        <f>IF(ISNUMBER(SEARCH(SUBSTITUTE(AH$1,RIGHT(AH$1,2),""),VLOOKUP($D361,素材!$1:$1016,COLUMN($F$1),FALSE))),VLOOKUP($C361,装備品!$1:$998,COLUMN($O$1),FALSE)*VLOOKUP($D361,素材!$1:$1016,COLUMN($E$1),FALSE)/(LEN(VLOOKUP($D361,素材!$1:$1016,COLUMN($F$1),FALSE))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I361">
        <f>IF(ISNUMBER(SEARCH(SUBSTITUTE(AI$1,RIGHT(AI$1,2),""),VLOOKUP($D361,素材!$1:$1016,COLUMN($F$1),FALSE))),VLOOKUP($C361,装備品!$1:$998,COLUMN($O$1),FALSE)*VLOOKUP($D361,素材!$1:$1016,COLUMN($E$1),FALSE)/(LEN(VLOOKUP($D361,素材!$1:$1016,COLUMN($F$1),FALSE))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J361">
        <f>IF(ISNUMBER(SEARCH(SUBSTITUTE(AJ$1,RIGHT(AJ$1,2),""),VLOOKUP($D361,素材!$1:$1016,COLUMN($F$1),FALSE))),VLOOKUP($C361,装備品!$1:$998,COLUMN($O$1),FALSE)*VLOOKUP($D361,素材!$1:$1016,COLUMN($E$1),FALSE)/(LEN(VLOOKUP($D361,素材!$1:$1016,COLUMN($F$1),FALSE))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K361">
        <f>IF(ISNUMBER(SEARCH(SUBSTITUTE(AK$1,RIGHT(AK$1,2),""),VLOOKUP($D361,素材!$1:$1016,COLUMN($F$1),FALSE))),VLOOKUP($C361,装備品!$1:$998,COLUMN($O$1),FALSE)*VLOOKUP($D361,素材!$1:$1016,COLUMN($E$1),FALSE)/(LEN(VLOOKUP($D361,素材!$1:$1016,COLUMN($F$1),FALSE))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L361">
        <f>IF(ISNUMBER(SEARCH(SUBSTITUTE(AL$1,RIGHT(AL$1,2),""),VLOOKUP($D361,素材!$1:$1016,COLUMN($F$1),FALSE))),VLOOKUP($C361,装備品!$1:$998,COLUMN($O$1),FALSE)*VLOOKUP($D361,素材!$1:$1016,COLUMN($E$1),FALSE)/(LEN(VLOOKUP($D361,素材!$1:$1016,COLUMN($F$1),FALSE))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M361">
        <f>IF(ISNUMBER(SEARCH(SUBSTITUTE(AM$1,RIGHT(AM$1,2),""),VLOOKUP($D361,素材!$1:$1016,COLUMN($F$1),FALSE))),VLOOKUP($C361,装備品!$1:$998,COLUMN($O$1),FALSE)*VLOOKUP($D361,素材!$1:$1016,COLUMN($E$1),FALSE)/(LEN(VLOOKUP($D361,素材!$1:$1016,COLUMN($F$1),FALSE))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N361">
        <f>IF(ISNUMBER(SEARCH(SUBSTITUTE(AN$1,RIGHT(AN$1,2),""),VLOOKUP($D361,素材!$1:$1016,COLUMN($F$1),FALSE))),VLOOKUP($C361,装備品!$1:$998,COLUMN($O$1),FALSE)*VLOOKUP($D361,素材!$1:$1016,COLUMN($E$1),FALSE)/(LEN(VLOOKUP($D361,素材!$1:$1016,COLUMN($F$1),FALSE))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O361">
        <f>IF(ISNUMBER(SEARCH(SUBSTITUTE(AO$1,RIGHT(AO$1,2),""),VLOOKUP($D361,素材!$1:$1016,COLUMN($F$1),FALSE))),VLOOKUP($C361,装備品!$1:$998,COLUMN($O$1),FALSE)*VLOOKUP($D361,素材!$1:$1016,COLUMN($E$1),FALSE)/(LEN(VLOOKUP($D361,素材!$1:$1016,COLUMN($F$1),FALSE))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P361">
        <f>IF(ISNUMBER(SEARCH(SUBSTITUTE(AP$1,RIGHT(AP$1,2),""),VLOOKUP($D361,素材!$1:$1016,COLUMN($F$1),FALSE))),VLOOKUP($C361,装備品!$1:$998,COLUMN($O$1),FALSE)*VLOOKUP($D361,素材!$1:$1016,COLUMN($E$1),FALSE)/(LEN(VLOOKUP($D361,素材!$1:$1016,COLUMN($F$1),FALSE))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Q361">
        <f>IF(ISNUMBER(SEARCH(SUBSTITUTE(AQ$1,RIGHT(AQ$1,2),""),VLOOKUP($D361,素材!$1:$1016,COLUMN($F$1),FALSE))),VLOOKUP($C361,装備品!$1:$998,COLUMN($O$1),FALSE)*VLOOKUP($D361,素材!$1:$1016,COLUMN($E$1),FALSE)/(LEN(VLOOKUP($D361,素材!$1:$1016,COLUMN($F$1),FALSE))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R361">
        <f>IF(ISNUMBER(SEARCH(SUBSTITUTE(AR$1,RIGHT(AR$1,2),""),VLOOKUP($D361,素材!$1:$1016,COLUMN($F$1),FALSE))),VLOOKUP($C361,装備品!$1:$998,COLUMN($O$1),FALSE)*VLOOKUP($D361,素材!$1:$1016,COLUMN($E$1),FALSE)/(LEN(VLOOKUP($D361,素材!$1:$1016,COLUMN($F$1),FALSE))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S361">
        <f>IF(ISNUMBER(SEARCH(SUBSTITUTE(AS$1,RIGHT(AS$1,2),""),VLOOKUP($D361,素材!$1:$1016,COLUMN($F$1),FALSE))),VLOOKUP($C361,装備品!$1:$998,COLUMN($O$1),FALSE)*VLOOKUP($D361,素材!$1:$1016,COLUMN($E$1),FALSE)/(LEN(VLOOKUP($D361,素材!$1:$1016,COLUMN($F$1),FALSE))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T361">
        <f>IF(ISNUMBER(SEARCH(SUBSTITUTE(AT$1,RIGHT(AT$1,2),""),VLOOKUP($D361,素材!$1:$1016,COLUMN($F$1),FALSE))),VLOOKUP($C361,装備品!$1:$998,COLUMN($O$1),FALSE)*VLOOKUP($D361,素材!$1:$1016,COLUMN($E$1),FALSE)/(LEN(VLOOKUP($D361,素材!$1:$1016,COLUMN($F$1),FALSE))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U361">
        <f>IF(ISNUMBER(SEARCH(SUBSTITUTE(AU$1,RIGHT(AU$1,2),""),VLOOKUP($D361,素材!$1:$1016,COLUMN($F$1),FALSE))),VLOOKUP($C361,装備品!$1:$998,COLUMN($O$1),FALSE)*VLOOKUP($D361,素材!$1:$1016,COLUMN($E$1),FALSE)/(LEN(VLOOKUP($D361,素材!$1:$1016,COLUMN($F$1),FALSE))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V361">
        <f>IF(ISNUMBER(SEARCH(SUBSTITUTE(AV$1,RIGHT(AV$1,2),""),VLOOKUP($D361,素材!$1:$1016,COLUMN($F$1),FALSE))),VLOOKUP($C361,装備品!$1:$998,COLUMN($O$1),FALSE)*VLOOKUP($D361,素材!$1:$1016,COLUMN($E$1),FALSE)/(LEN(VLOOKUP($D361,素材!$1:$1016,COLUMN($F$1),FALSE))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W361">
        <f>IF(ISNUMBER(SEARCH(SUBSTITUTE(AW$1,RIGHT(AW$1,2),""),VLOOKUP($D361,素材!$1:$1016,COLUMN($F$1),FALSE))),VLOOKUP($C361,装備品!$1:$998,COLUMN($O$1),FALSE)*VLOOKUP($D361,素材!$1:$1016,COLUMN($E$1),FALSE)/(LEN(VLOOKUP($D361,素材!$1:$1016,COLUMN($F$1),FALSE))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X361">
        <f>IF(ISNUMBER(SEARCH(SUBSTITUTE(AX$1,RIGHT(AX$1,2),""),VLOOKUP($D361,素材!$1:$1016,COLUMN($F$1),FALSE))),VLOOKUP($C361,装備品!$1:$998,COLUMN($O$1),FALSE)*VLOOKUP($D361,素材!$1:$1016,COLUMN($E$1),FALSE)/(LEN(VLOOKUP($D361,素材!$1:$1016,COLUMN($F$1),FALSE))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Y361">
        <f>IF(ISNUMBER(SEARCH(SUBSTITUTE(AY$1,RIGHT(AY$1,2),""),VLOOKUP($D361,素材!$1:$1016,COLUMN($F$1),FALSE))),VLOOKUP($C361,装備品!$1:$998,COLUMN($O$1),FALSE)*VLOOKUP($D361,素材!$1:$1016,COLUMN($E$1),FALSE)/(LEN(VLOOKUP($D361,素材!$1:$1016,COLUMN($F$1),FALSE))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Z361">
        <f>IF(ISNUMBER(SEARCH(SUBSTITUTE(AZ$1,RIGHT(AZ$1,2),""),VLOOKUP($D361,素材!$1:$1016,COLUMN($F$1),FALSE))),VLOOKUP($C361,装備品!$1:$998,COLUMN($O$1),FALSE)*VLOOKUP($D361,素材!$1:$1016,COLUMN($E$1),FALSE)/(LEN(VLOOKUP($D361,素材!$1:$1016,COLUMN($F$1),FALSE))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BA361">
        <f>IF(ISNUMBER(SEARCH(SUBSTITUTE(BA$1,RIGHT(BA$1,2),""),VLOOKUP($D361,素材!$1:$1016,COLUMN($F$1),FALSE))),VLOOKUP($C361,装備品!$1:$998,COLUMN($O$1),FALSE)*VLOOKUP($D361,素材!$1:$1016,COLUMN($E$1),FALSE)/(LEN(VLOOKUP($D361,素材!$1:$1016,COLUMN($F$1),FALSE))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BB361">
        <f>IF(ISNUMBER(SEARCH(SUBSTITUTE(BB$1,RIGHT(BB$1,2),""),VLOOKUP($D361,素材!$1:$1016,COLUMN($F$1),FALSE))),VLOOKUP($C361,装備品!$1:$998,COLUMN($O$1),FALSE)*VLOOKUP($D361,素材!$1:$1016,COLUMN($E$1),FALSE)/(LEN(VLOOKUP($D361,素材!$1:$1016,COLUMN($F$1),FALSE))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BC361">
        <f>IF(ISNUMBER(SEARCH(SUBSTITUTE(BC$1,RIGHT(BC$1,2),""),VLOOKUP($D361,素材!$1:$1016,COLUMN($F$1),FALSE))),VLOOKUP($C361,装備品!$1:$998,COLUMN($O$1),FALSE)*VLOOKUP($D361,素材!$1:$1016,COLUMN($E$1),FALSE)/(LEN(VLOOKUP($D361,素材!$1:$1016,COLUMN($F$1),FALSE))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BD361">
        <f>IF(ISNUMBER(SEARCH(SUBSTITUTE(BD$1,RIGHT(BD$1,2),""),VLOOKUP($D361,素材!$1:$1016,COLUMN($F$1),FALSE))),VLOOKUP($C361,装備品!$1:$998,COLUMN($O$1),FALSE)*VLOOKUP($D361,素材!$1:$1016,COLUMN($E$1),FALSE)/(LEN(VLOOKUP($D361,素材!$1:$1016,COLUMN($F$1),FALSE))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BE361">
        <f>IF(ISNUMBER(SEARCH(SUBSTITUTE(BE$1,RIGHT(BE$1,2),""),VLOOKUP($D361,素材!$1:$1016,COLUMN($F$1),FALSE))),VLOOKUP($C361,装備品!$1:$998,COLUMN($O$1),FALSE)*VLOOKUP($D361,素材!$1:$1016,COLUMN($E$1),FALSE)/(LEN(VLOOKUP($D361,素材!$1:$1016,COLUMN($F$1),FALSE))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CL361">
        <f t="shared" si="47"/>
        <v>54</v>
      </c>
      <c r="CM361" s="22" t="str">
        <f t="shared" si="48"/>
        <v>切断.webp</v>
      </c>
      <c r="CN361">
        <f>IFERROR(VLOOKUP($C361,装備品!$1:$998,COLUMN(V$1),FALSE)*VLOOKUP($D361,素材!$1:$1016,COLUMN(N$1),FALSE)+IF(CI361="",0,VLOOKUP($CI361,付与!$1:$1176,COLUMN($CK$1),FALSE)),"")</f>
        <v>0</v>
      </c>
      <c r="CO361">
        <f>VLOOKUP(D361,素材!$A:$O,COLUMN(素材!O$1),FALSE)</f>
        <v>0</v>
      </c>
      <c r="CP361" t="str">
        <f>VLOOKUP(C361,装備品!$A:$AB,COLUMN(装備品!AB$1),FALSE)</f>
        <v>長剣。長く重い分扱いにくいが威力が高い。</v>
      </c>
      <c r="CR361" t="str">
        <f t="shared" si="49"/>
        <v>e_361</v>
      </c>
      <c r="CS361">
        <f t="shared" si="50"/>
        <v>0</v>
      </c>
    </row>
    <row r="362" spans="1:97" outlineLevel="1" x14ac:dyDescent="0.4">
      <c r="A362" t="str">
        <f t="shared" si="52"/>
        <v>黒鋼の長剣</v>
      </c>
      <c r="B362" t="str">
        <f>IFERROR(VLOOKUP($D362,素材!$1:$1016,COLUMN($B$1),FALSE)&amp;"・"&amp;VLOOKUP($C362,装備品!$1:$998,COLUMN(B$1),FALSE),"")</f>
        <v>ブラックメタル・ロングソード</v>
      </c>
      <c r="C362" t="s">
        <v>194</v>
      </c>
      <c r="D362" s="24" t="s">
        <v>193</v>
      </c>
      <c r="E362" t="str">
        <f>IFERROR(VLOOKUP(C362,装備品!$1:$998,COLUMN(C$1),FALSE),"")</f>
        <v>武器</v>
      </c>
      <c r="F362">
        <f>IFERROR(ROUNDDOWN((VLOOKUP($C362,装備品!$1:$998,COLUMN(D$1),FALSE)+IFERROR(VLOOKUP($CI362,付与!$1:$1167,COLUMN(F$1),FALSE),0))*VLOOKUP($D362,素材!$1:$1016,COLUMN(D$1),FALSE),0),"")</f>
        <v>149</v>
      </c>
      <c r="G362">
        <f>IFERROR(ROUNDDOWN((VLOOKUP($C362,装備品!$1:$998,COLUMN(E$1),FALSE)+IFERROR(VLOOKUP($CI362,付与!$1:$1167,COLUMN(G$1),FALSE),0))*VLOOKUP($D362,素材!$1:$1016,COLUMN($E$1),FALSE),0),"")</f>
        <v>37</v>
      </c>
      <c r="H362">
        <f>IFERROR(ROUNDDOWN((VLOOKUP($C362,装備品!$1:$998,COLUMN(F$1),FALSE)+IFERROR(VLOOKUP($CI362,付与!$1:$1167,COLUMN(H$1),FALSE),0))*VLOOKUP($D362,素材!$1:$1016,COLUMN($E$1),FALSE),0),"")</f>
        <v>22</v>
      </c>
      <c r="I362">
        <f>IFERROR(ROUNDDOWN((VLOOKUP($C362,装備品!$1:$998,COLUMN(G$1),FALSE)+IFERROR(VLOOKUP($CI362,付与!$1:$1167,COLUMN(I$1),FALSE),0))*VLOOKUP($D362,素材!$1:$1016,COLUMN($E$1),FALSE),0),"")</f>
        <v>7</v>
      </c>
      <c r="J362">
        <f>IFERROR(ROUNDDOWN((VLOOKUP($C362,装備品!$1:$998,COLUMN(H$1),FALSE)+IFERROR(VLOOKUP($CI362,付与!$1:$1167,COLUMN(J$1),FALSE),0))*VLOOKUP($D362,素材!$1:$1016,COLUMN($E$1),FALSE),0),"")</f>
        <v>50</v>
      </c>
      <c r="K362">
        <f>IFERROR(ROUNDDOWN((VLOOKUP($C362,装備品!$1:$998,COLUMN(I$1),FALSE)+IFERROR(VLOOKUP($CI362,付与!$1:$1167,COLUMN(K$1),FALSE),0))*VLOOKUP($D362,素材!$1:$1016,COLUMN($E$1),FALSE),0),"")</f>
        <v>0</v>
      </c>
      <c r="L362" t="str">
        <f>IFERROR(VLOOKUP($D362,素材!$1:$1016,COLUMN($F$1),FALSE),"")</f>
        <v>物理</v>
      </c>
      <c r="M362">
        <f>IFERROR(VLOOKUP($C362,装備品!$1:$998,COLUMN(AA$1),FALSE)*VLOOKUP($D362,素材!$1:$1016,COLUMN($G$1),FALSE),"")</f>
        <v>40</v>
      </c>
      <c r="N362">
        <f>IFERROR(VLOOKUP($C362,装備品!$1:$998,COLUMN(I$1),FALSE),"")</f>
        <v>0</v>
      </c>
      <c r="O362" s="23">
        <f>IFERROR((VLOOKUP($C362,装備品!$1:$998,COLUMN(K$1),FALSE)+VLOOKUP($D362,素材!$1:$1016,COLUMN(H$1),FALSE))*100+IFERROR(VLOOKUP($CI362,付与!$1:$1167,COLUMN(O$1),FALSE),0),"")</f>
        <v>15.000000000000002</v>
      </c>
      <c r="P362" s="23">
        <f>IFERROR((VLOOKUP($C362,装備品!$1:$998,COLUMN(L$1),FALSE)+VLOOKUP($D362,素材!$1:$1016,COLUMN(I$1),FALSE))*100+IFERROR(VLOOKUP($CI362,付与!$1:$1167,COLUMN(P$1),FALSE),0),"")</f>
        <v>160</v>
      </c>
      <c r="Q362">
        <f>IFERROR(ROUNDUP(VLOOKUP($C362,装備品!$1:$998,COLUMN(M$1),FALSE)*(VLOOKUP($D362,素材!$1:$1002,COLUMN(D$1),FALSE)/100),1),"")</f>
        <v>-3.3000000000000003</v>
      </c>
      <c r="R362">
        <f>IFERROR(ROUNDUP(VLOOKUP($C362,装備品!$1:$998,COLUMN(N$1),FALSE)*(VLOOKUP($D362,素材!$1:$1002,COLUMN(D$1),FALSE)/100),1),"")</f>
        <v>-3.3000000000000003</v>
      </c>
      <c r="S362">
        <f>IFERROR(VLOOKUP($C362,装備品!$1:$998,COLUMN(P$1),FALSE),"")</f>
        <v>0</v>
      </c>
      <c r="T362">
        <f>IFERROR(VLOOKUP($C362,装備品!$1:$998,COLUMN(Q$1),FALSE),"")</f>
        <v>0</v>
      </c>
      <c r="U362">
        <f>IFERROR(VLOOKUP($C362,装備品!$1:$998,COLUMN(R$1),FALSE),"")</f>
        <v>0</v>
      </c>
      <c r="V362">
        <f>IFERROR(VLOOKUP($C362,装備品!$1:$998,COLUMN(Q$1),FALSE),"")</f>
        <v>0</v>
      </c>
      <c r="W362">
        <f>IFERROR(VLOOKUP($C362,装備品!$1:$998,COLUMN(T$1),FALSE),"")</f>
        <v>0</v>
      </c>
      <c r="Y362">
        <f>IFERROR(VLOOKUP($C362,装備品!$1:$998,COLUMN(U$1),FALSE),"")</f>
        <v>0</v>
      </c>
      <c r="Z362">
        <f>IFERROR(ROUNDUP(VLOOKUP($C362,装備品!$1:$998,COLUMN(O$1),FALSE)*VLOOKUP($D362,素材!$1:$1016,COLUMN(E$1),FALSE),1),"")</f>
        <v>0</v>
      </c>
      <c r="AA362">
        <f>IF(ISNUMBER(SEARCH(SUBSTITUTE(AA$1,RIGHT(AA$1,2),""),VLOOKUP($D362,素材!$1:$1016,COLUMN($F$1),FALSE))),VLOOKUP($C362,装備品!$1:$998,COLUMN($O$1),FALSE)*VLOOKUP($D362,素材!$1:$1016,COLUMN($E$1),FALSE)/(LEN(VLOOKUP($D362,素材!$1:$1016,COLUMN($F$1),FALSE))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B362">
        <f>IF(ISNUMBER(SEARCH(SUBSTITUTE(AB$1,RIGHT(AB$1,2),""),VLOOKUP($D362,素材!$1:$1016,COLUMN($F$1),FALSE))),VLOOKUP($C362,装備品!$1:$998,COLUMN($O$1),FALSE)*VLOOKUP($D362,素材!$1:$1016,COLUMN($E$1),FALSE)/(LEN(VLOOKUP($D362,素材!$1:$1016,COLUMN($F$1),FALSE))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C362">
        <f>IF(ISNUMBER(SEARCH(SUBSTITUTE(AC$1,RIGHT(AC$1,2),""),VLOOKUP($D362,素材!$1:$1016,COLUMN($F$1),FALSE))),VLOOKUP($C362,装備品!$1:$998,COLUMN($O$1),FALSE)*VLOOKUP($D362,素材!$1:$1016,COLUMN($E$1),FALSE)/(LEN(VLOOKUP($D362,素材!$1:$1016,COLUMN($F$1),FALSE))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D362">
        <f>IF(ISNUMBER(SEARCH(SUBSTITUTE(AD$1,RIGHT(AD$1,2),""),VLOOKUP($D362,素材!$1:$1016,COLUMN($F$1),FALSE))),VLOOKUP($C362,装備品!$1:$998,COLUMN($O$1),FALSE)*VLOOKUP($D362,素材!$1:$1016,COLUMN($E$1),FALSE)/(LEN(VLOOKUP($D362,素材!$1:$1016,COLUMN($F$1),FALSE))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E362">
        <f>IF(ISNUMBER(SEARCH(SUBSTITUTE(AE$1,RIGHT(AE$1,2),""),VLOOKUP($D362,素材!$1:$1016,COLUMN($F$1),FALSE))),VLOOKUP($C362,装備品!$1:$998,COLUMN($O$1),FALSE)*VLOOKUP($D362,素材!$1:$1016,COLUMN($E$1),FALSE)/(LEN(VLOOKUP($D362,素材!$1:$1016,COLUMN($F$1),FALSE))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F362">
        <f>IF(ISNUMBER(SEARCH(SUBSTITUTE(AF$1,RIGHT(AF$1,2),""),VLOOKUP($D362,素材!$1:$1016,COLUMN($F$1),FALSE))),VLOOKUP($C362,装備品!$1:$998,COLUMN($O$1),FALSE)*VLOOKUP($D362,素材!$1:$1016,COLUMN($E$1),FALSE)/(LEN(VLOOKUP($D362,素材!$1:$1016,COLUMN($F$1),FALSE))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G362">
        <f>IF(ISNUMBER(SEARCH(SUBSTITUTE(AG$1,RIGHT(AG$1,2),""),VLOOKUP($D362,素材!$1:$1016,COLUMN($F$1),FALSE))),VLOOKUP($C362,装備品!$1:$998,COLUMN($O$1),FALSE)*VLOOKUP($D362,素材!$1:$1016,COLUMN($E$1),FALSE)/(LEN(VLOOKUP($D362,素材!$1:$1016,COLUMN($F$1),FALSE))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H362">
        <f>IF(ISNUMBER(SEARCH(SUBSTITUTE(AH$1,RIGHT(AH$1,2),""),VLOOKUP($D362,素材!$1:$1016,COLUMN($F$1),FALSE))),VLOOKUP($C362,装備品!$1:$998,COLUMN($O$1),FALSE)*VLOOKUP($D362,素材!$1:$1016,COLUMN($E$1),FALSE)/(LEN(VLOOKUP($D362,素材!$1:$1016,COLUMN($F$1),FALSE))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I362">
        <f>IF(ISNUMBER(SEARCH(SUBSTITUTE(AI$1,RIGHT(AI$1,2),""),VLOOKUP($D362,素材!$1:$1016,COLUMN($F$1),FALSE))),VLOOKUP($C362,装備品!$1:$998,COLUMN($O$1),FALSE)*VLOOKUP($D362,素材!$1:$1016,COLUMN($E$1),FALSE)/(LEN(VLOOKUP($D362,素材!$1:$1016,COLUMN($F$1),FALSE))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J362">
        <f>IF(ISNUMBER(SEARCH(SUBSTITUTE(AJ$1,RIGHT(AJ$1,2),""),VLOOKUP($D362,素材!$1:$1016,COLUMN($F$1),FALSE))),VLOOKUP($C362,装備品!$1:$998,COLUMN($O$1),FALSE)*VLOOKUP($D362,素材!$1:$1016,COLUMN($E$1),FALSE)/(LEN(VLOOKUP($D362,素材!$1:$1016,COLUMN($F$1),FALSE))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K362">
        <f>IF(ISNUMBER(SEARCH(SUBSTITUTE(AK$1,RIGHT(AK$1,2),""),VLOOKUP($D362,素材!$1:$1016,COLUMN($F$1),FALSE))),VLOOKUP($C362,装備品!$1:$998,COLUMN($O$1),FALSE)*VLOOKUP($D362,素材!$1:$1016,COLUMN($E$1),FALSE)/(LEN(VLOOKUP($D362,素材!$1:$1016,COLUMN($F$1),FALSE))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L362">
        <f>IF(ISNUMBER(SEARCH(SUBSTITUTE(AL$1,RIGHT(AL$1,2),""),VLOOKUP($D362,素材!$1:$1016,COLUMN($F$1),FALSE))),VLOOKUP($C362,装備品!$1:$998,COLUMN($O$1),FALSE)*VLOOKUP($D362,素材!$1:$1016,COLUMN($E$1),FALSE)/(LEN(VLOOKUP($D362,素材!$1:$1016,COLUMN($F$1),FALSE))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M362">
        <f>IF(ISNUMBER(SEARCH(SUBSTITUTE(AM$1,RIGHT(AM$1,2),""),VLOOKUP($D362,素材!$1:$1016,COLUMN($F$1),FALSE))),VLOOKUP($C362,装備品!$1:$998,COLUMN($O$1),FALSE)*VLOOKUP($D362,素材!$1:$1016,COLUMN($E$1),FALSE)/(LEN(VLOOKUP($D362,素材!$1:$1016,COLUMN($F$1),FALSE))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N362">
        <f>IF(ISNUMBER(SEARCH(SUBSTITUTE(AN$1,RIGHT(AN$1,2),""),VLOOKUP($D362,素材!$1:$1016,COLUMN($F$1),FALSE))),VLOOKUP($C362,装備品!$1:$998,COLUMN($O$1),FALSE)*VLOOKUP($D362,素材!$1:$1016,COLUMN($E$1),FALSE)/(LEN(VLOOKUP($D362,素材!$1:$1016,COLUMN($F$1),FALSE))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O362">
        <f>IF(ISNUMBER(SEARCH(SUBSTITUTE(AO$1,RIGHT(AO$1,2),""),VLOOKUP($D362,素材!$1:$1016,COLUMN($F$1),FALSE))),VLOOKUP($C362,装備品!$1:$998,COLUMN($O$1),FALSE)*VLOOKUP($D362,素材!$1:$1016,COLUMN($E$1),FALSE)/(LEN(VLOOKUP($D362,素材!$1:$1016,COLUMN($F$1),FALSE))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P362">
        <f>IF(ISNUMBER(SEARCH(SUBSTITUTE(AP$1,RIGHT(AP$1,2),""),VLOOKUP($D362,素材!$1:$1016,COLUMN($F$1),FALSE))),VLOOKUP($C362,装備品!$1:$998,COLUMN($O$1),FALSE)*VLOOKUP($D362,素材!$1:$1016,COLUMN($E$1),FALSE)/(LEN(VLOOKUP($D362,素材!$1:$1016,COLUMN($F$1),FALSE))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Q362">
        <f>IF(ISNUMBER(SEARCH(SUBSTITUTE(AQ$1,RIGHT(AQ$1,2),""),VLOOKUP($D362,素材!$1:$1016,COLUMN($F$1),FALSE))),VLOOKUP($C362,装備品!$1:$998,COLUMN($O$1),FALSE)*VLOOKUP($D362,素材!$1:$1016,COLUMN($E$1),FALSE)/(LEN(VLOOKUP($D362,素材!$1:$1016,COLUMN($F$1),FALSE))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R362">
        <f>IF(ISNUMBER(SEARCH(SUBSTITUTE(AR$1,RIGHT(AR$1,2),""),VLOOKUP($D362,素材!$1:$1016,COLUMN($F$1),FALSE))),VLOOKUP($C362,装備品!$1:$998,COLUMN($O$1),FALSE)*VLOOKUP($D362,素材!$1:$1016,COLUMN($E$1),FALSE)/(LEN(VLOOKUP($D362,素材!$1:$1016,COLUMN($F$1),FALSE))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S362">
        <f>IF(ISNUMBER(SEARCH(SUBSTITUTE(AS$1,RIGHT(AS$1,2),""),VLOOKUP($D362,素材!$1:$1016,COLUMN($F$1),FALSE))),VLOOKUP($C362,装備品!$1:$998,COLUMN($O$1),FALSE)*VLOOKUP($D362,素材!$1:$1016,COLUMN($E$1),FALSE)/(LEN(VLOOKUP($D362,素材!$1:$1016,COLUMN($F$1),FALSE))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T362">
        <f>IF(ISNUMBER(SEARCH(SUBSTITUTE(AT$1,RIGHT(AT$1,2),""),VLOOKUP($D362,素材!$1:$1016,COLUMN($F$1),FALSE))),VLOOKUP($C362,装備品!$1:$998,COLUMN($O$1),FALSE)*VLOOKUP($D362,素材!$1:$1016,COLUMN($E$1),FALSE)/(LEN(VLOOKUP($D362,素材!$1:$1016,COLUMN($F$1),FALSE))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U362">
        <f>IF(ISNUMBER(SEARCH(SUBSTITUTE(AU$1,RIGHT(AU$1,2),""),VLOOKUP($D362,素材!$1:$1016,COLUMN($F$1),FALSE))),VLOOKUP($C362,装備品!$1:$998,COLUMN($O$1),FALSE)*VLOOKUP($D362,素材!$1:$1016,COLUMN($E$1),FALSE)/(LEN(VLOOKUP($D362,素材!$1:$1016,COLUMN($F$1),FALSE))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V362">
        <f>IF(ISNUMBER(SEARCH(SUBSTITUTE(AV$1,RIGHT(AV$1,2),""),VLOOKUP($D362,素材!$1:$1016,COLUMN($F$1),FALSE))),VLOOKUP($C362,装備品!$1:$998,COLUMN($O$1),FALSE)*VLOOKUP($D362,素材!$1:$1016,COLUMN($E$1),FALSE)/(LEN(VLOOKUP($D362,素材!$1:$1016,COLUMN($F$1),FALSE))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W362">
        <f>IF(ISNUMBER(SEARCH(SUBSTITUTE(AW$1,RIGHT(AW$1,2),""),VLOOKUP($D362,素材!$1:$1016,COLUMN($F$1),FALSE))),VLOOKUP($C362,装備品!$1:$998,COLUMN($O$1),FALSE)*VLOOKUP($D362,素材!$1:$1016,COLUMN($E$1),FALSE)/(LEN(VLOOKUP($D362,素材!$1:$1016,COLUMN($F$1),FALSE))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X362">
        <f>IF(ISNUMBER(SEARCH(SUBSTITUTE(AX$1,RIGHT(AX$1,2),""),VLOOKUP($D362,素材!$1:$1016,COLUMN($F$1),FALSE))),VLOOKUP($C362,装備品!$1:$998,COLUMN($O$1),FALSE)*VLOOKUP($D362,素材!$1:$1016,COLUMN($E$1),FALSE)/(LEN(VLOOKUP($D362,素材!$1:$1016,COLUMN($F$1),FALSE))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Y362">
        <f>IF(ISNUMBER(SEARCH(SUBSTITUTE(AY$1,RIGHT(AY$1,2),""),VLOOKUP($D362,素材!$1:$1016,COLUMN($F$1),FALSE))),VLOOKUP($C362,装備品!$1:$998,COLUMN($O$1),FALSE)*VLOOKUP($D362,素材!$1:$1016,COLUMN($E$1),FALSE)/(LEN(VLOOKUP($D362,素材!$1:$1016,COLUMN($F$1),FALSE))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Z362">
        <f>IF(ISNUMBER(SEARCH(SUBSTITUTE(AZ$1,RIGHT(AZ$1,2),""),VLOOKUP($D362,素材!$1:$1016,COLUMN($F$1),FALSE))),VLOOKUP($C362,装備品!$1:$998,COLUMN($O$1),FALSE)*VLOOKUP($D362,素材!$1:$1016,COLUMN($E$1),FALSE)/(LEN(VLOOKUP($D362,素材!$1:$1016,COLUMN($F$1),FALSE))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BA362">
        <f>IF(ISNUMBER(SEARCH(SUBSTITUTE(BA$1,RIGHT(BA$1,2),""),VLOOKUP($D362,素材!$1:$1016,COLUMN($F$1),FALSE))),VLOOKUP($C362,装備品!$1:$998,COLUMN($O$1),FALSE)*VLOOKUP($D362,素材!$1:$1016,COLUMN($E$1),FALSE)/(LEN(VLOOKUP($D362,素材!$1:$1016,COLUMN($F$1),FALSE))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BB362">
        <f>IF(ISNUMBER(SEARCH(SUBSTITUTE(BB$1,RIGHT(BB$1,2),""),VLOOKUP($D362,素材!$1:$1016,COLUMN($F$1),FALSE))),VLOOKUP($C362,装備品!$1:$998,COLUMN($O$1),FALSE)*VLOOKUP($D362,素材!$1:$1016,COLUMN($E$1),FALSE)/(LEN(VLOOKUP($D362,素材!$1:$1016,COLUMN($F$1),FALSE))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BC362">
        <f>IF(ISNUMBER(SEARCH(SUBSTITUTE(BC$1,RIGHT(BC$1,2),""),VLOOKUP($D362,素材!$1:$1016,COLUMN($F$1),FALSE))),VLOOKUP($C362,装備品!$1:$998,COLUMN($O$1),FALSE)*VLOOKUP($D362,素材!$1:$1016,COLUMN($E$1),FALSE)/(LEN(VLOOKUP($D362,素材!$1:$1016,COLUMN($F$1),FALSE))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BD362">
        <f>IF(ISNUMBER(SEARCH(SUBSTITUTE(BD$1,RIGHT(BD$1,2),""),VLOOKUP($D362,素材!$1:$1016,COLUMN($F$1),FALSE))),VLOOKUP($C362,装備品!$1:$998,COLUMN($O$1),FALSE)*VLOOKUP($D362,素材!$1:$1016,COLUMN($E$1),FALSE)/(LEN(VLOOKUP($D362,素材!$1:$1016,COLUMN($F$1),FALSE))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BE362">
        <f>IF(ISNUMBER(SEARCH(SUBSTITUTE(BE$1,RIGHT(BE$1,2),""),VLOOKUP($D362,素材!$1:$1016,COLUMN($F$1),FALSE))),VLOOKUP($C362,装備品!$1:$998,COLUMN($O$1),FALSE)*VLOOKUP($D362,素材!$1:$1016,COLUMN($E$1),FALSE)/(LEN(VLOOKUP($D362,素材!$1:$1016,COLUMN($F$1),FALSE))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CL362">
        <f t="shared" si="47"/>
        <v>66</v>
      </c>
      <c r="CM362" s="22" t="str">
        <f t="shared" si="48"/>
        <v>切断.webp</v>
      </c>
      <c r="CN362">
        <f>IFERROR(VLOOKUP($C362,装備品!$1:$998,COLUMN(V$1),FALSE)*VLOOKUP($D362,素材!$1:$1016,COLUMN(N$1),FALSE)+IF(CI362="",0,VLOOKUP($CI362,付与!$1:$1176,COLUMN($CK$1),FALSE)),"")</f>
        <v>0</v>
      </c>
      <c r="CO362">
        <f>VLOOKUP(D362,素材!$A:$O,COLUMN(素材!O$1),FALSE)</f>
        <v>0</v>
      </c>
      <c r="CP362" t="str">
        <f>VLOOKUP(C362,装備品!$A:$AB,COLUMN(装備品!AB$1),FALSE)</f>
        <v>長剣。長く重い分扱いにくいが威力が高い。</v>
      </c>
      <c r="CR362" t="str">
        <f t="shared" si="49"/>
        <v>e_362</v>
      </c>
      <c r="CS362">
        <f t="shared" si="50"/>
        <v>0</v>
      </c>
    </row>
    <row r="363" spans="1:97" outlineLevel="1" x14ac:dyDescent="0.4">
      <c r="A363" t="str">
        <f t="shared" ref="A363:A365" si="53">D363&amp;"の"&amp;C363</f>
        <v>虹宝鋼の鎧</v>
      </c>
      <c r="B363" t="str">
        <f>IFERROR(VLOOKUP($D363,素材!$1:$1016,COLUMN($B$1),FALSE)&amp;"・"&amp;VLOOKUP($C363,装備品!$1:$998,COLUMN(B$1),FALSE),"")</f>
        <v>レインボーメタル・アーマー</v>
      </c>
      <c r="C363" t="s">
        <v>197</v>
      </c>
      <c r="D363" s="24" t="s">
        <v>1208</v>
      </c>
      <c r="E363" t="str">
        <f>IFERROR(VLOOKUP(C363,装備品!$1:$998,COLUMN(C$1),FALSE),"")</f>
        <v>体</v>
      </c>
      <c r="F363">
        <f>IFERROR(ROUNDDOWN((VLOOKUP($C363,装備品!$1:$998,COLUMN(D$1),FALSE)+IFERROR(VLOOKUP($CI363,付与!$1:$1167,COLUMN(F$1),FALSE),0))*VLOOKUP($D363,素材!$1:$1016,COLUMN(D$1),FALSE),0),"")</f>
        <v>0</v>
      </c>
      <c r="G363">
        <f>IFERROR(ROUNDDOWN((VLOOKUP($C363,装備品!$1:$998,COLUMN(E$1),FALSE)+IFERROR(VLOOKUP($CI363,付与!$1:$1167,COLUMN(G$1),FALSE),0))*VLOOKUP($D363,素材!$1:$1016,COLUMN($E$1),FALSE),0),"")</f>
        <v>0</v>
      </c>
      <c r="H363">
        <f>IFERROR(ROUNDDOWN((VLOOKUP($C363,装備品!$1:$998,COLUMN(F$1),FALSE)+IFERROR(VLOOKUP($CI363,付与!$1:$1167,COLUMN(H$1),FALSE),0))*VLOOKUP($D363,素材!$1:$1016,COLUMN($E$1),FALSE),0),"")</f>
        <v>0</v>
      </c>
      <c r="I363">
        <f>IFERROR(ROUNDDOWN((VLOOKUP($C363,装備品!$1:$998,COLUMN(G$1),FALSE)+IFERROR(VLOOKUP($CI363,付与!$1:$1167,COLUMN(I$1),FALSE),0))*VLOOKUP($D363,素材!$1:$1016,COLUMN($E$1),FALSE),0),"")</f>
        <v>0</v>
      </c>
      <c r="J363">
        <f>IFERROR(ROUNDDOWN((VLOOKUP($C363,装備品!$1:$998,COLUMN(H$1),FALSE)+IFERROR(VLOOKUP($CI363,付与!$1:$1167,COLUMN(J$1),FALSE),0))*VLOOKUP($D363,素材!$1:$1016,COLUMN($E$1),FALSE),0),"")</f>
        <v>0</v>
      </c>
      <c r="K363">
        <f>IFERROR(ROUNDDOWN((VLOOKUP($C363,装備品!$1:$998,COLUMN(I$1),FALSE)+IFERROR(VLOOKUP($CI363,付与!$1:$1167,COLUMN(K$1),FALSE),0))*VLOOKUP($D363,素材!$1:$1016,COLUMN($E$1),FALSE),0),"")</f>
        <v>0</v>
      </c>
      <c r="L363" t="str">
        <f>IFERROR(VLOOKUP($D363,素材!$1:$1016,COLUMN($F$1),FALSE),"")</f>
        <v>炎・氷・雷・酸・光・闇</v>
      </c>
      <c r="M363">
        <f>IFERROR(VLOOKUP($C363,装備品!$1:$998,COLUMN(AA$1),FALSE)*VLOOKUP($D363,素材!$1:$1016,COLUMN($G$1),FALSE),"")</f>
        <v>540</v>
      </c>
      <c r="N363">
        <f>IFERROR(VLOOKUP($C363,装備品!$1:$998,COLUMN(I$1),FALSE),"")</f>
        <v>0</v>
      </c>
      <c r="O363" s="23">
        <f>IFERROR((VLOOKUP($C363,装備品!$1:$998,COLUMN(K$1),FALSE)+VLOOKUP($D363,素材!$1:$1016,COLUMN(H$1),FALSE))*100+IFERROR(VLOOKUP($CI363,付与!$1:$1167,COLUMN(O$1),FALSE),0),"")</f>
        <v>0</v>
      </c>
      <c r="P363" s="23">
        <f>IFERROR((VLOOKUP($C363,装備品!$1:$998,COLUMN(L$1),FALSE)+VLOOKUP($D363,素材!$1:$1016,COLUMN(I$1),FALSE))*100+IFERROR(VLOOKUP($CI363,付与!$1:$1167,COLUMN(P$1),FALSE),0),"")</f>
        <v>0</v>
      </c>
      <c r="Q363">
        <f>IFERROR(ROUNDUP(VLOOKUP($C363,装備品!$1:$998,COLUMN(M$1),FALSE)*(VLOOKUP($D363,素材!$1:$1002,COLUMN(D$1),FALSE)/100),1),"")</f>
        <v>-15</v>
      </c>
      <c r="R363">
        <f>IFERROR(ROUNDUP(VLOOKUP($C363,装備品!$1:$998,COLUMN(N$1),FALSE)*(VLOOKUP($D363,素材!$1:$1002,COLUMN(D$1),FALSE)/100),1),"")</f>
        <v>0</v>
      </c>
      <c r="S363">
        <f>IFERROR(VLOOKUP($C363,装備品!$1:$998,COLUMN(P$1),FALSE),"")</f>
        <v>-35</v>
      </c>
      <c r="T363">
        <f>IFERROR(VLOOKUP($C363,装備品!$1:$998,COLUMN(Q$1),FALSE),"")</f>
        <v>0</v>
      </c>
      <c r="U363">
        <f>IFERROR(VLOOKUP($C363,装備品!$1:$998,COLUMN(R$1),FALSE),"")</f>
        <v>0</v>
      </c>
      <c r="V363">
        <f>IFERROR(VLOOKUP($C363,装備品!$1:$998,COLUMN(Q$1),FALSE),"")</f>
        <v>0</v>
      </c>
      <c r="W363">
        <f>IFERROR(VLOOKUP($C363,装備品!$1:$998,COLUMN(T$1),FALSE),"")</f>
        <v>0.7</v>
      </c>
      <c r="Y363">
        <f>IFERROR(VLOOKUP($C363,装備品!$1:$998,COLUMN(U$1),FALSE),"")</f>
        <v>0</v>
      </c>
      <c r="Z363">
        <f>IFERROR(ROUNDUP(VLOOKUP($C363,装備品!$1:$998,COLUMN(O$1),FALSE)*VLOOKUP($D363,素材!$1:$1016,COLUMN(E$1),FALSE),1),"")</f>
        <v>0</v>
      </c>
      <c r="AA363">
        <f>IF(ISNUMBER(SEARCH(SUBSTITUTE(AA$1,RIGHT(AA$1,2),""),VLOOKUP($D363,素材!$1:$1016,COLUMN($F$1),FALSE))),VLOOKUP($C363,装備品!$1:$998,COLUMN($O$1),FALSE)*VLOOKUP($D363,素材!$1:$1016,COLUMN($E$1),FALSE)/(LEN(VLOOKUP($D363,素材!$1:$1016,COLUMN($F$1),FALSE))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B363">
        <f>IF(ISNUMBER(SEARCH(SUBSTITUTE(AB$1,RIGHT(AB$1,2),""),VLOOKUP($D363,素材!$1:$1016,COLUMN($F$1),FALSE))),VLOOKUP($C363,装備品!$1:$998,COLUMN($O$1),FALSE)*VLOOKUP($D363,素材!$1:$1016,COLUMN($E$1),FALSE)/(LEN(VLOOKUP($D363,素材!$1:$1016,COLUMN($F$1),FALSE))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C363">
        <f>IF(ISNUMBER(SEARCH(SUBSTITUTE(AC$1,RIGHT(AC$1,2),""),VLOOKUP($D363,素材!$1:$1016,COLUMN($F$1),FALSE))),VLOOKUP($C363,装備品!$1:$998,COLUMN($O$1),FALSE)*VLOOKUP($D363,素材!$1:$1016,COLUMN($E$1),FALSE)/(LEN(VLOOKUP($D363,素材!$1:$1016,COLUMN($F$1),FALSE))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D363">
        <f>IF(ISNUMBER(SEARCH(SUBSTITUTE(AD$1,RIGHT(AD$1,2),""),VLOOKUP($D363,素材!$1:$1016,COLUMN($F$1),FALSE))),VLOOKUP($C363,装備品!$1:$998,COLUMN($O$1),FALSE)*VLOOKUP($D363,素材!$1:$1016,COLUMN($E$1),FALSE)/(LEN(VLOOKUP($D363,素材!$1:$1016,COLUMN($F$1),FALSE))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E363">
        <f>IF(ISNUMBER(SEARCH(SUBSTITUTE(AE$1,RIGHT(AE$1,2),""),VLOOKUP($D363,素材!$1:$1016,COLUMN($F$1),FALSE))),VLOOKUP($C363,装備品!$1:$998,COLUMN($O$1),FALSE)*VLOOKUP($D363,素材!$1:$1016,COLUMN($E$1),FALSE)/(LEN(VLOOKUP($D363,素材!$1:$1016,COLUMN($F$1),FALSE))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F363">
        <f>IF(ISNUMBER(SEARCH(SUBSTITUTE(AF$1,RIGHT(AF$1,2),""),VLOOKUP($D363,素材!$1:$1016,COLUMN($F$1),FALSE))),VLOOKUP($C363,装備品!$1:$998,COLUMN($O$1),FALSE)*VLOOKUP($D363,素材!$1:$1016,COLUMN($E$1),FALSE)/(LEN(VLOOKUP($D363,素材!$1:$1016,COLUMN($F$1),FALSE))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G363">
        <f>IF(ISNUMBER(SEARCH(SUBSTITUTE(AG$1,RIGHT(AG$1,2),""),VLOOKUP($D363,素材!$1:$1016,COLUMN($F$1),FALSE))),VLOOKUP($C363,装備品!$1:$998,COLUMN($O$1),FALSE)*VLOOKUP($D363,素材!$1:$1016,COLUMN($E$1),FALSE)/(LEN(VLOOKUP($D363,素材!$1:$1016,COLUMN($F$1),FALSE))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H363">
        <f>IF(ISNUMBER(SEARCH(SUBSTITUTE(AH$1,RIGHT(AH$1,2),""),VLOOKUP($D363,素材!$1:$1016,COLUMN($F$1),FALSE))),VLOOKUP($C363,装備品!$1:$998,COLUMN($O$1),FALSE)*VLOOKUP($D363,素材!$1:$1016,COLUMN($E$1),FALSE)/(LEN(VLOOKUP($D363,素材!$1:$1016,COLUMN($F$1),FALSE))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I363">
        <f>IF(ISNUMBER(SEARCH(SUBSTITUTE(AI$1,RIGHT(AI$1,2),""),VLOOKUP($D363,素材!$1:$1016,COLUMN($F$1),FALSE))),VLOOKUP($C363,装備品!$1:$998,COLUMN($O$1),FALSE)*VLOOKUP($D363,素材!$1:$1016,COLUMN($E$1),FALSE)/(LEN(VLOOKUP($D363,素材!$1:$1016,COLUMN($F$1),FALSE))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J363">
        <f>IF(ISNUMBER(SEARCH(SUBSTITUTE(AJ$1,RIGHT(AJ$1,2),""),VLOOKUP($D363,素材!$1:$1016,COLUMN($F$1),FALSE))),VLOOKUP($C363,装備品!$1:$998,COLUMN($O$1),FALSE)*VLOOKUP($D363,素材!$1:$1016,COLUMN($E$1),FALSE)/(LEN(VLOOKUP($D363,素材!$1:$1016,COLUMN($F$1),FALSE))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K363">
        <f>IF(ISNUMBER(SEARCH(SUBSTITUTE(AK$1,RIGHT(AK$1,2),""),VLOOKUP($D363,素材!$1:$1016,COLUMN($F$1),FALSE))),VLOOKUP($C363,装備品!$1:$998,COLUMN($O$1),FALSE)*VLOOKUP($D363,素材!$1:$1016,COLUMN($E$1),FALSE)/(LEN(VLOOKUP($D363,素材!$1:$1016,COLUMN($F$1),FALSE))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L363">
        <f>IF(ISNUMBER(SEARCH(SUBSTITUTE(AL$1,RIGHT(AL$1,2),""),VLOOKUP($D363,素材!$1:$1016,COLUMN($F$1),FALSE))),VLOOKUP($C363,装備品!$1:$998,COLUMN($O$1),FALSE)*VLOOKUP($D363,素材!$1:$1016,COLUMN($E$1),FALSE)/(LEN(VLOOKUP($D363,素材!$1:$1016,COLUMN($F$1),FALSE))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M363">
        <f>IF(ISNUMBER(SEARCH(SUBSTITUTE(AM$1,RIGHT(AM$1,2),""),VLOOKUP($D363,素材!$1:$1016,COLUMN($F$1),FALSE))),VLOOKUP($C363,装備品!$1:$998,COLUMN($O$1),FALSE)*VLOOKUP($D363,素材!$1:$1016,COLUMN($E$1),FALSE)/(LEN(VLOOKUP($D363,素材!$1:$1016,COLUMN($F$1),FALSE))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N363">
        <f>IF(ISNUMBER(SEARCH(SUBSTITUTE(AN$1,RIGHT(AN$1,2),""),VLOOKUP($D363,素材!$1:$1016,COLUMN($F$1),FALSE))),VLOOKUP($C363,装備品!$1:$998,COLUMN($O$1),FALSE)*VLOOKUP($D363,素材!$1:$1016,COLUMN($E$1),FALSE)/(LEN(VLOOKUP($D363,素材!$1:$1016,COLUMN($F$1),FALSE))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O363">
        <f>IF(ISNUMBER(SEARCH(SUBSTITUTE(AO$1,RIGHT(AO$1,2),""),VLOOKUP($D363,素材!$1:$1016,COLUMN($F$1),FALSE))),VLOOKUP($C363,装備品!$1:$998,COLUMN($O$1),FALSE)*VLOOKUP($D363,素材!$1:$1016,COLUMN($E$1),FALSE)/(LEN(VLOOKUP($D363,素材!$1:$1016,COLUMN($F$1),FALSE))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P363">
        <f>IF(ISNUMBER(SEARCH(SUBSTITUTE(AP$1,RIGHT(AP$1,2),""),VLOOKUP($D363,素材!$1:$1016,COLUMN($F$1),FALSE))),VLOOKUP($C363,装備品!$1:$998,COLUMN($O$1),FALSE)*VLOOKUP($D363,素材!$1:$1016,COLUMN($E$1),FALSE)/(LEN(VLOOKUP($D363,素材!$1:$1016,COLUMN($F$1),FALSE))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Q363">
        <f>IF(ISNUMBER(SEARCH(SUBSTITUTE(AQ$1,RIGHT(AQ$1,2),""),VLOOKUP($D363,素材!$1:$1016,COLUMN($F$1),FALSE))),VLOOKUP($C363,装備品!$1:$998,COLUMN($O$1),FALSE)*VLOOKUP($D363,素材!$1:$1016,COLUMN($E$1),FALSE)/(LEN(VLOOKUP($D363,素材!$1:$1016,COLUMN($F$1),FALSE))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R363">
        <f>IF(ISNUMBER(SEARCH(SUBSTITUTE(AR$1,RIGHT(AR$1,2),""),VLOOKUP($D363,素材!$1:$1016,COLUMN($F$1),FALSE))),VLOOKUP($C363,装備品!$1:$998,COLUMN($O$1),FALSE)*VLOOKUP($D363,素材!$1:$1016,COLUMN($E$1),FALSE)/(LEN(VLOOKUP($D363,素材!$1:$1016,COLUMN($F$1),FALSE))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S363">
        <f>IF(ISNUMBER(SEARCH(SUBSTITUTE(AS$1,RIGHT(AS$1,2),""),VLOOKUP($D363,素材!$1:$1016,COLUMN($F$1),FALSE))),VLOOKUP($C363,装備品!$1:$998,COLUMN($O$1),FALSE)*VLOOKUP($D363,素材!$1:$1016,COLUMN($E$1),FALSE)/(LEN(VLOOKUP($D363,素材!$1:$1016,COLUMN($F$1),FALSE))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T363">
        <f>IF(ISNUMBER(SEARCH(SUBSTITUTE(AT$1,RIGHT(AT$1,2),""),VLOOKUP($D363,素材!$1:$1016,COLUMN($F$1),FALSE))),VLOOKUP($C363,装備品!$1:$998,COLUMN($O$1),FALSE)*VLOOKUP($D363,素材!$1:$1016,COLUMN($E$1),FALSE)/(LEN(VLOOKUP($D363,素材!$1:$1016,COLUMN($F$1),FALSE))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U363">
        <f>IF(ISNUMBER(SEARCH(SUBSTITUTE(AU$1,RIGHT(AU$1,2),""),VLOOKUP($D363,素材!$1:$1016,COLUMN($F$1),FALSE))),VLOOKUP($C363,装備品!$1:$998,COLUMN($O$1),FALSE)*VLOOKUP($D363,素材!$1:$1016,COLUMN($E$1),FALSE)/(LEN(VLOOKUP($D363,素材!$1:$1016,COLUMN($F$1),FALSE))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V363">
        <f>IF(ISNUMBER(SEARCH(SUBSTITUTE(AV$1,RIGHT(AV$1,2),""),VLOOKUP($D363,素材!$1:$1016,COLUMN($F$1),FALSE))),VLOOKUP($C363,装備品!$1:$998,COLUMN($O$1),FALSE)*VLOOKUP($D363,素材!$1:$1016,COLUMN($E$1),FALSE)/(LEN(VLOOKUP($D363,素材!$1:$1016,COLUMN($F$1),FALSE))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W363">
        <f>IF(ISNUMBER(SEARCH(SUBSTITUTE(AW$1,RIGHT(AW$1,2),""),VLOOKUP($D363,素材!$1:$1016,COLUMN($F$1),FALSE))),VLOOKUP($C363,装備品!$1:$998,COLUMN($O$1),FALSE)*VLOOKUP($D363,素材!$1:$1016,COLUMN($E$1),FALSE)/(LEN(VLOOKUP($D363,素材!$1:$1016,COLUMN($F$1),FALSE))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X363">
        <f>IF(ISNUMBER(SEARCH(SUBSTITUTE(AX$1,RIGHT(AX$1,2),""),VLOOKUP($D363,素材!$1:$1016,COLUMN($F$1),FALSE))),VLOOKUP($C363,装備品!$1:$998,COLUMN($O$1),FALSE)*VLOOKUP($D363,素材!$1:$1016,COLUMN($E$1),FALSE)/(LEN(VLOOKUP($D363,素材!$1:$1016,COLUMN($F$1),FALSE))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Y363">
        <f>IF(ISNUMBER(SEARCH(SUBSTITUTE(AY$1,RIGHT(AY$1,2),""),VLOOKUP($D363,素材!$1:$1016,COLUMN($F$1),FALSE))),VLOOKUP($C363,装備品!$1:$998,COLUMN($O$1),FALSE)*VLOOKUP($D363,素材!$1:$1016,COLUMN($E$1),FALSE)/(LEN(VLOOKUP($D363,素材!$1:$1016,COLUMN($F$1),FALSE))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Z363">
        <f>IF(ISNUMBER(SEARCH(SUBSTITUTE(AZ$1,RIGHT(AZ$1,2),""),VLOOKUP($D363,素材!$1:$1016,COLUMN($F$1),FALSE))),VLOOKUP($C363,装備品!$1:$998,COLUMN($O$1),FALSE)*VLOOKUP($D363,素材!$1:$1016,COLUMN($E$1),FALSE)/(LEN(VLOOKUP($D363,素材!$1:$1016,COLUMN($F$1),FALSE))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BA363">
        <f>IF(ISNUMBER(SEARCH(SUBSTITUTE(BA$1,RIGHT(BA$1,2),""),VLOOKUP($D363,素材!$1:$1016,COLUMN($F$1),FALSE))),VLOOKUP($C363,装備品!$1:$998,COLUMN($O$1),FALSE)*VLOOKUP($D363,素材!$1:$1016,COLUMN($E$1),FALSE)/(LEN(VLOOKUP($D363,素材!$1:$1016,COLUMN($F$1),FALSE))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BB363">
        <f>IF(ISNUMBER(SEARCH(SUBSTITUTE(BB$1,RIGHT(BB$1,2),""),VLOOKUP($D363,素材!$1:$1016,COLUMN($F$1),FALSE))),VLOOKUP($C363,装備品!$1:$998,COLUMN($O$1),FALSE)*VLOOKUP($D363,素材!$1:$1016,COLUMN($E$1),FALSE)/(LEN(VLOOKUP($D363,素材!$1:$1016,COLUMN($F$1),FALSE))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BC363">
        <f>IF(ISNUMBER(SEARCH(SUBSTITUTE(BC$1,RIGHT(BC$1,2),""),VLOOKUP($D363,素材!$1:$1016,COLUMN($F$1),FALSE))),VLOOKUP($C363,装備品!$1:$998,COLUMN($O$1),FALSE)*VLOOKUP($D363,素材!$1:$1016,COLUMN($E$1),FALSE)/(LEN(VLOOKUP($D363,素材!$1:$1016,COLUMN($F$1),FALSE))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BD363">
        <f>IF(ISNUMBER(SEARCH(SUBSTITUTE(BD$1,RIGHT(BD$1,2),""),VLOOKUP($D363,素材!$1:$1016,COLUMN($F$1),FALSE))),VLOOKUP($C363,装備品!$1:$998,COLUMN($O$1),FALSE)*VLOOKUP($D363,素材!$1:$1016,COLUMN($E$1),FALSE)/(LEN(VLOOKUP($D363,素材!$1:$1016,COLUMN($F$1),FALSE))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BE363">
        <f>IF(ISNUMBER(SEARCH(SUBSTITUTE(BE$1,RIGHT(BE$1,2),""),VLOOKUP($D363,素材!$1:$1016,COLUMN($F$1),FALSE))),VLOOKUP($C363,装備品!$1:$998,COLUMN($O$1),FALSE)*VLOOKUP($D363,素材!$1:$1016,COLUMN($E$1),FALSE)/(LEN(VLOOKUP($D363,素材!$1:$1016,COLUMN($F$1),FALSE))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CL363">
        <f t="shared" si="47"/>
        <v>0</v>
      </c>
      <c r="CM363" s="22" t="str">
        <f t="shared" si="48"/>
        <v>体.webp</v>
      </c>
      <c r="CN363">
        <f>IFERROR(VLOOKUP($C363,装備品!$1:$998,COLUMN(V$1),FALSE)*VLOOKUP($D363,素材!$1:$1016,COLUMN(N$1),FALSE)+IF(CI363="",0,VLOOKUP($CI363,付与!$1:$1176,COLUMN($CK$1),FALSE)),"")</f>
        <v>0</v>
      </c>
      <c r="CO363">
        <f>VLOOKUP(D363,素材!$A:$O,COLUMN(素材!O$1),FALSE)</f>
        <v>0</v>
      </c>
      <c r="CP363" t="str">
        <f>VLOOKUP(C363,装備品!$A:$AB,COLUMN(装備品!AB$1),FALSE)</f>
        <v>HP 物理 魔法 体幹 出血 疲労 Cr</v>
      </c>
      <c r="CR363" t="str">
        <f t="shared" si="49"/>
        <v>e_363</v>
      </c>
      <c r="CS363">
        <f t="shared" si="50"/>
        <v>0</v>
      </c>
    </row>
    <row r="364" spans="1:97" outlineLevel="1" x14ac:dyDescent="0.4">
      <c r="A364" t="s">
        <v>1249</v>
      </c>
      <c r="B364" t="s">
        <v>1250</v>
      </c>
      <c r="C364" t="s">
        <v>1248</v>
      </c>
      <c r="D364" s="24" t="s">
        <v>1208</v>
      </c>
      <c r="E364" t="str">
        <f>IFERROR(VLOOKUP(C364,装備品!$1:$998,COLUMN(C$1),FALSE),"")</f>
        <v>武器</v>
      </c>
      <c r="F364">
        <f>IFERROR(ROUNDDOWN((VLOOKUP($C364,装備品!$1:$998,COLUMN(D$1),FALSE)+IFERROR(VLOOKUP($CI364,付与!$1:$1167,COLUMN(F$1),FALSE),0))*VLOOKUP($D364,素材!$1:$1016,COLUMN(D$1),FALSE),0),"")</f>
        <v>105</v>
      </c>
      <c r="G364">
        <f>IFERROR(ROUNDDOWN((VLOOKUP($C364,装備品!$1:$998,COLUMN(E$1),FALSE)+IFERROR(VLOOKUP($CI364,付与!$1:$1167,COLUMN(G$1),FALSE),0))*VLOOKUP($D364,素材!$1:$1016,COLUMN($E$1),FALSE),0),"")</f>
        <v>24</v>
      </c>
      <c r="H364">
        <f>IFERROR(ROUNDDOWN((VLOOKUP($C364,装備品!$1:$998,COLUMN(F$1),FALSE)+IFERROR(VLOOKUP($CI364,付与!$1:$1167,COLUMN(H$1),FALSE),0))*VLOOKUP($D364,素材!$1:$1016,COLUMN($E$1),FALSE),0),"")</f>
        <v>14</v>
      </c>
      <c r="I364">
        <f>IFERROR(ROUNDDOWN((VLOOKUP($C364,装備品!$1:$998,COLUMN(G$1),FALSE)+IFERROR(VLOOKUP($CI364,付与!$1:$1167,COLUMN(I$1),FALSE),0))*VLOOKUP($D364,素材!$1:$1016,COLUMN($E$1),FALSE),0),"")</f>
        <v>3</v>
      </c>
      <c r="J364">
        <f>IFERROR(ROUNDDOWN((VLOOKUP($C364,装備品!$1:$998,COLUMN(H$1),FALSE)+IFERROR(VLOOKUP($CI364,付与!$1:$1167,COLUMN(J$1),FALSE),0))*VLOOKUP($D364,素材!$1:$1016,COLUMN($E$1),FALSE),0),"")</f>
        <v>29</v>
      </c>
      <c r="K364">
        <f>IFERROR(ROUNDDOWN((VLOOKUP($C364,装備品!$1:$998,COLUMN(I$1),FALSE)+IFERROR(VLOOKUP($CI364,付与!$1:$1167,COLUMN(K$1),FALSE),0))*VLOOKUP($D364,素材!$1:$1016,COLUMN($E$1),FALSE),0),"")</f>
        <v>0</v>
      </c>
      <c r="L364" t="str">
        <f>IFERROR(VLOOKUP($D364,素材!$1:$1016,COLUMN($F$1),FALSE),"")</f>
        <v>炎・氷・雷・酸・光・闇</v>
      </c>
      <c r="M364">
        <f>IFERROR(VLOOKUP($C364,装備品!$1:$998,COLUMN(AA$1),FALSE)*VLOOKUP($D364,素材!$1:$1016,COLUMN($G$1),FALSE),"")</f>
        <v>360</v>
      </c>
      <c r="N364">
        <f>IFERROR(VLOOKUP($C364,装備品!$1:$998,COLUMN(I$1),FALSE),"")</f>
        <v>0</v>
      </c>
      <c r="O364" s="23">
        <f>IFERROR((VLOOKUP($C364,装備品!$1:$998,COLUMN(K$1),FALSE)+VLOOKUP($D364,素材!$1:$1016,COLUMN(H$1),FALSE))*100+IFERROR(VLOOKUP($CI364,付与!$1:$1167,COLUMN(O$1),FALSE),0),"")</f>
        <v>10</v>
      </c>
      <c r="P364" s="23">
        <f>IFERROR((VLOOKUP($C364,装備品!$1:$998,COLUMN(L$1),FALSE)+VLOOKUP($D364,素材!$1:$1016,COLUMN(I$1),FALSE))*100+IFERROR(VLOOKUP($CI364,付与!$1:$1167,COLUMN(P$1),FALSE),0),"")</f>
        <v>175</v>
      </c>
      <c r="Q364">
        <f>IFERROR(ROUNDUP(VLOOKUP($C364,装備品!$1:$998,COLUMN(M$1),FALSE)*(VLOOKUP($D364,素材!$1:$1002,COLUMN(D$1),FALSE)/100),1),"")</f>
        <v>0</v>
      </c>
      <c r="R364">
        <f>IFERROR(ROUNDUP(VLOOKUP($C364,装備品!$1:$998,COLUMN(N$1),FALSE)*(VLOOKUP($D364,素材!$1:$1002,COLUMN(D$1),FALSE)/100),1),"")</f>
        <v>0</v>
      </c>
      <c r="S364">
        <f>IFERROR(VLOOKUP($C364,装備品!$1:$998,COLUMN(P$1),FALSE),"")</f>
        <v>0</v>
      </c>
      <c r="T364">
        <f>IFERROR(VLOOKUP($C364,装備品!$1:$998,COLUMN(Q$1),FALSE),"")</f>
        <v>0</v>
      </c>
      <c r="U364">
        <f>IFERROR(VLOOKUP($C364,装備品!$1:$998,COLUMN(R$1),FALSE),"")</f>
        <v>0</v>
      </c>
      <c r="V364">
        <f>IFERROR(VLOOKUP($C364,装備品!$1:$998,COLUMN(Q$1),FALSE),"")</f>
        <v>0</v>
      </c>
      <c r="W364">
        <f>IFERROR(VLOOKUP($C364,装備品!$1:$998,COLUMN(T$1),FALSE),"")</f>
        <v>0</v>
      </c>
      <c r="Y364">
        <f>IFERROR(VLOOKUP($C364,装備品!$1:$998,COLUMN(U$1),FALSE),"")</f>
        <v>0</v>
      </c>
      <c r="Z364">
        <f>IFERROR(ROUNDUP(VLOOKUP($C364,装備品!$1:$998,COLUMN(O$1),FALSE)*VLOOKUP($D364,素材!$1:$1016,COLUMN(E$1),FALSE),1),"")</f>
        <v>0</v>
      </c>
      <c r="AA364">
        <f>IF(ISNUMBER(SEARCH(SUBSTITUTE(AA$1,RIGHT(AA$1,2),""),VLOOKUP($D364,素材!$1:$1016,COLUMN($F$1),FALSE))),VLOOKUP($C364,装備品!$1:$998,COLUMN($O$1),FALSE)*VLOOKUP($D364,素材!$1:$1016,COLUMN($E$1),FALSE)/(LEN(VLOOKUP($D364,素材!$1:$1016,COLUMN($F$1),FALSE))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B364">
        <f>IF(ISNUMBER(SEARCH(SUBSTITUTE(AB$1,RIGHT(AB$1,2),""),VLOOKUP($D364,素材!$1:$1016,COLUMN($F$1),FALSE))),VLOOKUP($C364,装備品!$1:$998,COLUMN($O$1),FALSE)*VLOOKUP($D364,素材!$1:$1016,COLUMN($E$1),FALSE)/(LEN(VLOOKUP($D364,素材!$1:$1016,COLUMN($F$1),FALSE))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C364">
        <f>IF(ISNUMBER(SEARCH(SUBSTITUTE(AC$1,RIGHT(AC$1,2),""),VLOOKUP($D364,素材!$1:$1016,COLUMN($F$1),FALSE))),VLOOKUP($C364,装備品!$1:$998,COLUMN($O$1),FALSE)*VLOOKUP($D364,素材!$1:$1016,COLUMN($E$1),FALSE)/(LEN(VLOOKUP($D364,素材!$1:$1016,COLUMN($F$1),FALSE))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D364">
        <f>IF(ISNUMBER(SEARCH(SUBSTITUTE(AD$1,RIGHT(AD$1,2),""),VLOOKUP($D364,素材!$1:$1016,COLUMN($F$1),FALSE))),VLOOKUP($C364,装備品!$1:$998,COLUMN($O$1),FALSE)*VLOOKUP($D364,素材!$1:$1016,COLUMN($E$1),FALSE)/(LEN(VLOOKUP($D364,素材!$1:$1016,COLUMN($F$1),FALSE))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E364">
        <f>IF(ISNUMBER(SEARCH(SUBSTITUTE(AE$1,RIGHT(AE$1,2),""),VLOOKUP($D364,素材!$1:$1016,COLUMN($F$1),FALSE))),VLOOKUP($C364,装備品!$1:$998,COLUMN($O$1),FALSE)*VLOOKUP($D364,素材!$1:$1016,COLUMN($E$1),FALSE)/(LEN(VLOOKUP($D364,素材!$1:$1016,COLUMN($F$1),FALSE))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F364">
        <f>IF(ISNUMBER(SEARCH(SUBSTITUTE(AF$1,RIGHT(AF$1,2),""),VLOOKUP($D364,素材!$1:$1016,COLUMN($F$1),FALSE))),VLOOKUP($C364,装備品!$1:$998,COLUMN($O$1),FALSE)*VLOOKUP($D364,素材!$1:$1016,COLUMN($E$1),FALSE)/(LEN(VLOOKUP($D364,素材!$1:$1016,COLUMN($F$1),FALSE))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G364">
        <f>IF(ISNUMBER(SEARCH(SUBSTITUTE(AG$1,RIGHT(AG$1,2),""),VLOOKUP($D364,素材!$1:$1016,COLUMN($F$1),FALSE))),VLOOKUP($C364,装備品!$1:$998,COLUMN($O$1),FALSE)*VLOOKUP($D364,素材!$1:$1016,COLUMN($E$1),FALSE)/(LEN(VLOOKUP($D364,素材!$1:$1016,COLUMN($F$1),FALSE))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H364">
        <f>IF(ISNUMBER(SEARCH(SUBSTITUTE(AH$1,RIGHT(AH$1,2),""),VLOOKUP($D364,素材!$1:$1016,COLUMN($F$1),FALSE))),VLOOKUP($C364,装備品!$1:$998,COLUMN($O$1),FALSE)*VLOOKUP($D364,素材!$1:$1016,COLUMN($E$1),FALSE)/(LEN(VLOOKUP($D364,素材!$1:$1016,COLUMN($F$1),FALSE))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I364">
        <f>IF(ISNUMBER(SEARCH(SUBSTITUTE(AI$1,RIGHT(AI$1,2),""),VLOOKUP($D364,素材!$1:$1016,COLUMN($F$1),FALSE))),VLOOKUP($C364,装備品!$1:$998,COLUMN($O$1),FALSE)*VLOOKUP($D364,素材!$1:$1016,COLUMN($E$1),FALSE)/(LEN(VLOOKUP($D364,素材!$1:$1016,COLUMN($F$1),FALSE))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J364">
        <f>IF(ISNUMBER(SEARCH(SUBSTITUTE(AJ$1,RIGHT(AJ$1,2),""),VLOOKUP($D364,素材!$1:$1016,COLUMN($F$1),FALSE))),VLOOKUP($C364,装備品!$1:$998,COLUMN($O$1),FALSE)*VLOOKUP($D364,素材!$1:$1016,COLUMN($E$1),FALSE)/(LEN(VLOOKUP($D364,素材!$1:$1016,COLUMN($F$1),FALSE))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K364">
        <f>IF(ISNUMBER(SEARCH(SUBSTITUTE(AK$1,RIGHT(AK$1,2),""),VLOOKUP($D364,素材!$1:$1016,COLUMN($F$1),FALSE))),VLOOKUP($C364,装備品!$1:$998,COLUMN($O$1),FALSE)*VLOOKUP($D364,素材!$1:$1016,COLUMN($E$1),FALSE)/(LEN(VLOOKUP($D364,素材!$1:$1016,COLUMN($F$1),FALSE))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L364">
        <f>IF(ISNUMBER(SEARCH(SUBSTITUTE(AL$1,RIGHT(AL$1,2),""),VLOOKUP($D364,素材!$1:$1016,COLUMN($F$1),FALSE))),VLOOKUP($C364,装備品!$1:$998,COLUMN($O$1),FALSE)*VLOOKUP($D364,素材!$1:$1016,COLUMN($E$1),FALSE)/(LEN(VLOOKUP($D364,素材!$1:$1016,COLUMN($F$1),FALSE))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M364">
        <f>IF(ISNUMBER(SEARCH(SUBSTITUTE(AM$1,RIGHT(AM$1,2),""),VLOOKUP($D364,素材!$1:$1016,COLUMN($F$1),FALSE))),VLOOKUP($C364,装備品!$1:$998,COLUMN($O$1),FALSE)*VLOOKUP($D364,素材!$1:$1016,COLUMN($E$1),FALSE)/(LEN(VLOOKUP($D364,素材!$1:$1016,COLUMN($F$1),FALSE))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N364">
        <f>IF(ISNUMBER(SEARCH(SUBSTITUTE(AN$1,RIGHT(AN$1,2),""),VLOOKUP($D364,素材!$1:$1016,COLUMN($F$1),FALSE))),VLOOKUP($C364,装備品!$1:$998,COLUMN($O$1),FALSE)*VLOOKUP($D364,素材!$1:$1016,COLUMN($E$1),FALSE)/(LEN(VLOOKUP($D364,素材!$1:$1016,COLUMN($F$1),FALSE))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O364">
        <f>IF(ISNUMBER(SEARCH(SUBSTITUTE(AO$1,RIGHT(AO$1,2),""),VLOOKUP($D364,素材!$1:$1016,COLUMN($F$1),FALSE))),VLOOKUP($C364,装備品!$1:$998,COLUMN($O$1),FALSE)*VLOOKUP($D364,素材!$1:$1016,COLUMN($E$1),FALSE)/(LEN(VLOOKUP($D364,素材!$1:$1016,COLUMN($F$1),FALSE))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P364">
        <f>IF(ISNUMBER(SEARCH(SUBSTITUTE(AP$1,RIGHT(AP$1,2),""),VLOOKUP($D364,素材!$1:$1016,COLUMN($F$1),FALSE))),VLOOKUP($C364,装備品!$1:$998,COLUMN($O$1),FALSE)*VLOOKUP($D364,素材!$1:$1016,COLUMN($E$1),FALSE)/(LEN(VLOOKUP($D364,素材!$1:$1016,COLUMN($F$1),FALSE))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Q364">
        <f>IF(ISNUMBER(SEARCH(SUBSTITUTE(AQ$1,RIGHT(AQ$1,2),""),VLOOKUP($D364,素材!$1:$1016,COLUMN($F$1),FALSE))),VLOOKUP($C364,装備品!$1:$998,COLUMN($O$1),FALSE)*VLOOKUP($D364,素材!$1:$1016,COLUMN($E$1),FALSE)/(LEN(VLOOKUP($D364,素材!$1:$1016,COLUMN($F$1),FALSE))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R364">
        <f>IF(ISNUMBER(SEARCH(SUBSTITUTE(AR$1,RIGHT(AR$1,2),""),VLOOKUP($D364,素材!$1:$1016,COLUMN($F$1),FALSE))),VLOOKUP($C364,装備品!$1:$998,COLUMN($O$1),FALSE)*VLOOKUP($D364,素材!$1:$1016,COLUMN($E$1),FALSE)/(LEN(VLOOKUP($D364,素材!$1:$1016,COLUMN($F$1),FALSE))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S364">
        <f>IF(ISNUMBER(SEARCH(SUBSTITUTE(AS$1,RIGHT(AS$1,2),""),VLOOKUP($D364,素材!$1:$1016,COLUMN($F$1),FALSE))),VLOOKUP($C364,装備品!$1:$998,COLUMN($O$1),FALSE)*VLOOKUP($D364,素材!$1:$1016,COLUMN($E$1),FALSE)/(LEN(VLOOKUP($D364,素材!$1:$1016,COLUMN($F$1),FALSE))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T364">
        <f>IF(ISNUMBER(SEARCH(SUBSTITUTE(AT$1,RIGHT(AT$1,2),""),VLOOKUP($D364,素材!$1:$1016,COLUMN($F$1),FALSE))),VLOOKUP($C364,装備品!$1:$998,COLUMN($O$1),FALSE)*VLOOKUP($D364,素材!$1:$1016,COLUMN($E$1),FALSE)/(LEN(VLOOKUP($D364,素材!$1:$1016,COLUMN($F$1),FALSE))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U364">
        <f>IF(ISNUMBER(SEARCH(SUBSTITUTE(AU$1,RIGHT(AU$1,2),""),VLOOKUP($D364,素材!$1:$1016,COLUMN($F$1),FALSE))),VLOOKUP($C364,装備品!$1:$998,COLUMN($O$1),FALSE)*VLOOKUP($D364,素材!$1:$1016,COLUMN($E$1),FALSE)/(LEN(VLOOKUP($D364,素材!$1:$1016,COLUMN($F$1),FALSE))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V364">
        <f>IF(ISNUMBER(SEARCH(SUBSTITUTE(AV$1,RIGHT(AV$1,2),""),VLOOKUP($D364,素材!$1:$1016,COLUMN($F$1),FALSE))),VLOOKUP($C364,装備品!$1:$998,COLUMN($O$1),FALSE)*VLOOKUP($D364,素材!$1:$1016,COLUMN($E$1),FALSE)/(LEN(VLOOKUP($D364,素材!$1:$1016,COLUMN($F$1),FALSE))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W364">
        <f>IF(ISNUMBER(SEARCH(SUBSTITUTE(AW$1,RIGHT(AW$1,2),""),VLOOKUP($D364,素材!$1:$1016,COLUMN($F$1),FALSE))),VLOOKUP($C364,装備品!$1:$998,COLUMN($O$1),FALSE)*VLOOKUP($D364,素材!$1:$1016,COLUMN($E$1),FALSE)/(LEN(VLOOKUP($D364,素材!$1:$1016,COLUMN($F$1),FALSE))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X364">
        <f>IF(ISNUMBER(SEARCH(SUBSTITUTE(AX$1,RIGHT(AX$1,2),""),VLOOKUP($D364,素材!$1:$1016,COLUMN($F$1),FALSE))),VLOOKUP($C364,装備品!$1:$998,COLUMN($O$1),FALSE)*VLOOKUP($D364,素材!$1:$1016,COLUMN($E$1),FALSE)/(LEN(VLOOKUP($D364,素材!$1:$1016,COLUMN($F$1),FALSE))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Y364">
        <f>IF(ISNUMBER(SEARCH(SUBSTITUTE(AY$1,RIGHT(AY$1,2),""),VLOOKUP($D364,素材!$1:$1016,COLUMN($F$1),FALSE))),VLOOKUP($C364,装備品!$1:$998,COLUMN($O$1),FALSE)*VLOOKUP($D364,素材!$1:$1016,COLUMN($E$1),FALSE)/(LEN(VLOOKUP($D364,素材!$1:$1016,COLUMN($F$1),FALSE))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Z364">
        <f>IF(ISNUMBER(SEARCH(SUBSTITUTE(AZ$1,RIGHT(AZ$1,2),""),VLOOKUP($D364,素材!$1:$1016,COLUMN($F$1),FALSE))),VLOOKUP($C364,装備品!$1:$998,COLUMN($O$1),FALSE)*VLOOKUP($D364,素材!$1:$1016,COLUMN($E$1),FALSE)/(LEN(VLOOKUP($D364,素材!$1:$1016,COLUMN($F$1),FALSE))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BA364">
        <f>IF(ISNUMBER(SEARCH(SUBSTITUTE(BA$1,RIGHT(BA$1,2),""),VLOOKUP($D364,素材!$1:$1016,COLUMN($F$1),FALSE))),VLOOKUP($C364,装備品!$1:$998,COLUMN($O$1),FALSE)*VLOOKUP($D364,素材!$1:$1016,COLUMN($E$1),FALSE)/(LEN(VLOOKUP($D364,素材!$1:$1016,COLUMN($F$1),FALSE))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BB364">
        <f>IF(ISNUMBER(SEARCH(SUBSTITUTE(BB$1,RIGHT(BB$1,2),""),VLOOKUP($D364,素材!$1:$1016,COLUMN($F$1),FALSE))),VLOOKUP($C364,装備品!$1:$998,COLUMN($O$1),FALSE)*VLOOKUP($D364,素材!$1:$1016,COLUMN($E$1),FALSE)/(LEN(VLOOKUP($D364,素材!$1:$1016,COLUMN($F$1),FALSE))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BC364">
        <f>IF(ISNUMBER(SEARCH(SUBSTITUTE(BC$1,RIGHT(BC$1,2),""),VLOOKUP($D364,素材!$1:$1016,COLUMN($F$1),FALSE))),VLOOKUP($C364,装備品!$1:$998,COLUMN($O$1),FALSE)*VLOOKUP($D364,素材!$1:$1016,COLUMN($E$1),FALSE)/(LEN(VLOOKUP($D364,素材!$1:$1016,COLUMN($F$1),FALSE))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BD364">
        <f>IF(ISNUMBER(SEARCH(SUBSTITUTE(BD$1,RIGHT(BD$1,2),""),VLOOKUP($D364,素材!$1:$1016,COLUMN($F$1),FALSE))),VLOOKUP($C364,装備品!$1:$998,COLUMN($O$1),FALSE)*VLOOKUP($D364,素材!$1:$1016,COLUMN($E$1),FALSE)/(LEN(VLOOKUP($D364,素材!$1:$1016,COLUMN($F$1),FALSE))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BE364">
        <f>IF(ISNUMBER(SEARCH(SUBSTITUTE(BE$1,RIGHT(BE$1,2),""),VLOOKUP($D364,素材!$1:$1016,COLUMN($F$1),FALSE))),VLOOKUP($C364,装備品!$1:$998,COLUMN($O$1),FALSE)*VLOOKUP($D364,素材!$1:$1016,COLUMN($E$1),FALSE)/(LEN(VLOOKUP($D364,素材!$1:$1016,COLUMN($F$1),FALSE))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CL364">
        <f t="shared" si="47"/>
        <v>41</v>
      </c>
      <c r="CM364" s="22" t="str">
        <f t="shared" si="48"/>
        <v>切断.webp</v>
      </c>
      <c r="CN364">
        <f>IFERROR(VLOOKUP($C364,装備品!$1:$998,COLUMN(V$1),FALSE)*VLOOKUP($D364,素材!$1:$1016,COLUMN(N$1),FALSE)+IF(CI364="",0,VLOOKUP($CI364,付与!$1:$1176,COLUMN($CK$1),FALSE)),"")</f>
        <v>0</v>
      </c>
      <c r="CO364">
        <f>VLOOKUP(D364,素材!$A:$O,COLUMN(素材!O$1),FALSE)</f>
        <v>0</v>
      </c>
      <c r="CP364" t="str">
        <f>VLOOKUP(C364,装備品!$A:$AB,COLUMN(装備品!AB$1),FALSE)</f>
        <v>刀。切断力に優れた武器で、Cr威力が高い</v>
      </c>
      <c r="CR364" t="str">
        <f t="shared" si="49"/>
        <v>e_364</v>
      </c>
      <c r="CS364">
        <f t="shared" si="50"/>
        <v>0</v>
      </c>
    </row>
    <row r="365" spans="1:97" outlineLevel="1" x14ac:dyDescent="0.4">
      <c r="A365" t="str">
        <f t="shared" si="53"/>
        <v>神玉鋼の刀</v>
      </c>
      <c r="B365" t="str">
        <f>IFERROR(VLOOKUP($D365,素材!$1:$1016,COLUMN($B$1),FALSE)&amp;"・"&amp;VLOOKUP($C365,装備品!$1:$998,COLUMN(B$1),FALSE),"")</f>
        <v>ヘブンズジェルタイト・カタナ</v>
      </c>
      <c r="C365" t="s">
        <v>1248</v>
      </c>
      <c r="D365" s="24" t="s">
        <v>1206</v>
      </c>
      <c r="E365" t="str">
        <f>IFERROR(VLOOKUP(C365,装備品!$1:$998,COLUMN(C$1),FALSE),"")</f>
        <v>武器</v>
      </c>
      <c r="F365">
        <f>IFERROR(ROUNDDOWN((VLOOKUP($C365,装備品!$1:$998,COLUMN(D$1),FALSE)+IFERROR(VLOOKUP($CI365,付与!$1:$1167,COLUMN(F$1),FALSE),0))*VLOOKUP($D365,素材!$1:$1016,COLUMN(D$1),FALSE),0),"")</f>
        <v>105</v>
      </c>
      <c r="G365">
        <f>IFERROR(ROUNDDOWN((VLOOKUP($C365,装備品!$1:$998,COLUMN(E$1),FALSE)+IFERROR(VLOOKUP($CI365,付与!$1:$1167,COLUMN(G$1),FALSE),0))*VLOOKUP($D365,素材!$1:$1016,COLUMN($E$1),FALSE),0),"")</f>
        <v>28</v>
      </c>
      <c r="H365">
        <f>IFERROR(ROUNDDOWN((VLOOKUP($C365,装備品!$1:$998,COLUMN(F$1),FALSE)+IFERROR(VLOOKUP($CI365,付与!$1:$1167,COLUMN(H$1),FALSE),0))*VLOOKUP($D365,素材!$1:$1016,COLUMN($E$1),FALSE),0),"")</f>
        <v>16</v>
      </c>
      <c r="I365">
        <f>IFERROR(ROUNDDOWN((VLOOKUP($C365,装備品!$1:$998,COLUMN(G$1),FALSE)+IFERROR(VLOOKUP($CI365,付与!$1:$1167,COLUMN(I$1),FALSE),0))*VLOOKUP($D365,素材!$1:$1016,COLUMN($E$1),FALSE),0),"")</f>
        <v>4</v>
      </c>
      <c r="J365">
        <f>IFERROR(ROUNDDOWN((VLOOKUP($C365,装備品!$1:$998,COLUMN(H$1),FALSE)+IFERROR(VLOOKUP($CI365,付与!$1:$1167,COLUMN(J$1),FALSE),0))*VLOOKUP($D365,素材!$1:$1016,COLUMN($E$1),FALSE),0),"")</f>
        <v>34</v>
      </c>
      <c r="K365">
        <f>IFERROR(ROUNDDOWN((VLOOKUP($C365,装備品!$1:$998,COLUMN(I$1),FALSE)+IFERROR(VLOOKUP($CI365,付与!$1:$1167,COLUMN(K$1),FALSE),0))*VLOOKUP($D365,素材!$1:$1016,COLUMN($E$1),FALSE),0),"")</f>
        <v>0</v>
      </c>
      <c r="L365">
        <f>IFERROR(VLOOKUP($D365,素材!$1:$1016,COLUMN($F$1),FALSE),"")</f>
        <v>0</v>
      </c>
      <c r="M365">
        <f>IFERROR(VLOOKUP($C365,装備品!$1:$998,COLUMN(AA$1),FALSE)*VLOOKUP($D365,素材!$1:$1016,COLUMN($G$1),FALSE),"")</f>
        <v>0</v>
      </c>
      <c r="N365">
        <f>IFERROR(VLOOKUP($C365,装備品!$1:$998,COLUMN(I$1),FALSE),"")</f>
        <v>0</v>
      </c>
      <c r="O365" s="23">
        <f>IFERROR((VLOOKUP($C365,装備品!$1:$998,COLUMN(K$1),FALSE)+VLOOKUP($D365,素材!$1:$1016,COLUMN(H$1),FALSE))*100+IFERROR(VLOOKUP($CI365,付与!$1:$1167,COLUMN(O$1),FALSE),0),"")</f>
        <v>25</v>
      </c>
      <c r="P365" s="23">
        <f>IFERROR((VLOOKUP($C365,装備品!$1:$998,COLUMN(L$1),FALSE)+VLOOKUP($D365,素材!$1:$1016,COLUMN(I$1),FALSE))*100+IFERROR(VLOOKUP($CI365,付与!$1:$1167,COLUMN(P$1),FALSE),0),"")</f>
        <v>195</v>
      </c>
      <c r="Q365">
        <f>IFERROR(ROUNDUP(VLOOKUP($C365,装備品!$1:$998,COLUMN(M$1),FALSE)*(VLOOKUP($D365,素材!$1:$1002,COLUMN(D$1),FALSE)/100),1),"")</f>
        <v>0</v>
      </c>
      <c r="R365">
        <f>IFERROR(ROUNDUP(VLOOKUP($C365,装備品!$1:$998,COLUMN(N$1),FALSE)*(VLOOKUP($D365,素材!$1:$1002,COLUMN(D$1),FALSE)/100),1),"")</f>
        <v>0</v>
      </c>
      <c r="S365">
        <f>IFERROR(VLOOKUP($C365,装備品!$1:$998,COLUMN(P$1),FALSE),"")</f>
        <v>0</v>
      </c>
      <c r="T365">
        <f>IFERROR(VLOOKUP($C365,装備品!$1:$998,COLUMN(Q$1),FALSE),"")</f>
        <v>0</v>
      </c>
      <c r="U365">
        <f>IFERROR(VLOOKUP($C365,装備品!$1:$998,COLUMN(R$1),FALSE),"")</f>
        <v>0</v>
      </c>
      <c r="V365">
        <f>IFERROR(VLOOKUP($C365,装備品!$1:$998,COLUMN(Q$1),FALSE),"")</f>
        <v>0</v>
      </c>
      <c r="W365">
        <f>IFERROR(VLOOKUP($C365,装備品!$1:$998,COLUMN(T$1),FALSE),"")</f>
        <v>0</v>
      </c>
      <c r="Y365">
        <f>IFERROR(VLOOKUP($C365,装備品!$1:$998,COLUMN(U$1),FALSE),"")</f>
        <v>0</v>
      </c>
      <c r="Z365">
        <f>IFERROR(ROUNDUP(VLOOKUP($C365,装備品!$1:$998,COLUMN(O$1),FALSE)*VLOOKUP($D365,素材!$1:$1016,COLUMN(E$1),FALSE),1),"")</f>
        <v>0</v>
      </c>
      <c r="AA365">
        <f>IF(ISNUMBER(SEARCH(SUBSTITUTE(AA$1,RIGHT(AA$1,2),""),VLOOKUP($D365,素材!$1:$1016,COLUMN($F$1),FALSE))),VLOOKUP($C365,装備品!$1:$998,COLUMN($O$1),FALSE)*VLOOKUP($D365,素材!$1:$1016,COLUMN($E$1),FALSE)/(LEN(VLOOKUP($D365,素材!$1:$1016,COLUMN($F$1),FALSE))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B365">
        <f>IF(ISNUMBER(SEARCH(SUBSTITUTE(AB$1,RIGHT(AB$1,2),""),VLOOKUP($D365,素材!$1:$1016,COLUMN($F$1),FALSE))),VLOOKUP($C365,装備品!$1:$998,COLUMN($O$1),FALSE)*VLOOKUP($D365,素材!$1:$1016,COLUMN($E$1),FALSE)/(LEN(VLOOKUP($D365,素材!$1:$1016,COLUMN($F$1),FALSE))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C365">
        <f>IF(ISNUMBER(SEARCH(SUBSTITUTE(AC$1,RIGHT(AC$1,2),""),VLOOKUP($D365,素材!$1:$1016,COLUMN($F$1),FALSE))),VLOOKUP($C365,装備品!$1:$998,COLUMN($O$1),FALSE)*VLOOKUP($D365,素材!$1:$1016,COLUMN($E$1),FALSE)/(LEN(VLOOKUP($D365,素材!$1:$1016,COLUMN($F$1),FALSE))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D365">
        <f>IF(ISNUMBER(SEARCH(SUBSTITUTE(AD$1,RIGHT(AD$1,2),""),VLOOKUP($D365,素材!$1:$1016,COLUMN($F$1),FALSE))),VLOOKUP($C365,装備品!$1:$998,COLUMN($O$1),FALSE)*VLOOKUP($D365,素材!$1:$1016,COLUMN($E$1),FALSE)/(LEN(VLOOKUP($D365,素材!$1:$1016,COLUMN($F$1),FALSE))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E365">
        <f>IF(ISNUMBER(SEARCH(SUBSTITUTE(AE$1,RIGHT(AE$1,2),""),VLOOKUP($D365,素材!$1:$1016,COLUMN($F$1),FALSE))),VLOOKUP($C365,装備品!$1:$998,COLUMN($O$1),FALSE)*VLOOKUP($D365,素材!$1:$1016,COLUMN($E$1),FALSE)/(LEN(VLOOKUP($D365,素材!$1:$1016,COLUMN($F$1),FALSE))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F365">
        <f>IF(ISNUMBER(SEARCH(SUBSTITUTE(AF$1,RIGHT(AF$1,2),""),VLOOKUP($D365,素材!$1:$1016,COLUMN($F$1),FALSE))),VLOOKUP($C365,装備品!$1:$998,COLUMN($O$1),FALSE)*VLOOKUP($D365,素材!$1:$1016,COLUMN($E$1),FALSE)/(LEN(VLOOKUP($D365,素材!$1:$1016,COLUMN($F$1),FALSE))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G365">
        <f>IF(ISNUMBER(SEARCH(SUBSTITUTE(AG$1,RIGHT(AG$1,2),""),VLOOKUP($D365,素材!$1:$1016,COLUMN($F$1),FALSE))),VLOOKUP($C365,装備品!$1:$998,COLUMN($O$1),FALSE)*VLOOKUP($D365,素材!$1:$1016,COLUMN($E$1),FALSE)/(LEN(VLOOKUP($D365,素材!$1:$1016,COLUMN($F$1),FALSE))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H365">
        <f>IF(ISNUMBER(SEARCH(SUBSTITUTE(AH$1,RIGHT(AH$1,2),""),VLOOKUP($D365,素材!$1:$1016,COLUMN($F$1),FALSE))),VLOOKUP($C365,装備品!$1:$998,COLUMN($O$1),FALSE)*VLOOKUP($D365,素材!$1:$1016,COLUMN($E$1),FALSE)/(LEN(VLOOKUP($D365,素材!$1:$1016,COLUMN($F$1),FALSE))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I365">
        <f>IF(ISNUMBER(SEARCH(SUBSTITUTE(AI$1,RIGHT(AI$1,2),""),VLOOKUP($D365,素材!$1:$1016,COLUMN($F$1),FALSE))),VLOOKUP($C365,装備品!$1:$998,COLUMN($O$1),FALSE)*VLOOKUP($D365,素材!$1:$1016,COLUMN($E$1),FALSE)/(LEN(VLOOKUP($D365,素材!$1:$1016,COLUMN($F$1),FALSE))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J365">
        <f>IF(ISNUMBER(SEARCH(SUBSTITUTE(AJ$1,RIGHT(AJ$1,2),""),VLOOKUP($D365,素材!$1:$1016,COLUMN($F$1),FALSE))),VLOOKUP($C365,装備品!$1:$998,COLUMN($O$1),FALSE)*VLOOKUP($D365,素材!$1:$1016,COLUMN($E$1),FALSE)/(LEN(VLOOKUP($D365,素材!$1:$1016,COLUMN($F$1),FALSE))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K365">
        <f>IF(ISNUMBER(SEARCH(SUBSTITUTE(AK$1,RIGHT(AK$1,2),""),VLOOKUP($D365,素材!$1:$1016,COLUMN($F$1),FALSE))),VLOOKUP($C365,装備品!$1:$998,COLUMN($O$1),FALSE)*VLOOKUP($D365,素材!$1:$1016,COLUMN($E$1),FALSE)/(LEN(VLOOKUP($D365,素材!$1:$1016,COLUMN($F$1),FALSE))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L365">
        <f>IF(ISNUMBER(SEARCH(SUBSTITUTE(AL$1,RIGHT(AL$1,2),""),VLOOKUP($D365,素材!$1:$1016,COLUMN($F$1),FALSE))),VLOOKUP($C365,装備品!$1:$998,COLUMN($O$1),FALSE)*VLOOKUP($D365,素材!$1:$1016,COLUMN($E$1),FALSE)/(LEN(VLOOKUP($D365,素材!$1:$1016,COLUMN($F$1),FALSE))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M365">
        <f>IF(ISNUMBER(SEARCH(SUBSTITUTE(AM$1,RIGHT(AM$1,2),""),VLOOKUP($D365,素材!$1:$1016,COLUMN($F$1),FALSE))),VLOOKUP($C365,装備品!$1:$998,COLUMN($O$1),FALSE)*VLOOKUP($D365,素材!$1:$1016,COLUMN($E$1),FALSE)/(LEN(VLOOKUP($D365,素材!$1:$1016,COLUMN($F$1),FALSE))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N365">
        <f>IF(ISNUMBER(SEARCH(SUBSTITUTE(AN$1,RIGHT(AN$1,2),""),VLOOKUP($D365,素材!$1:$1016,COLUMN($F$1),FALSE))),VLOOKUP($C365,装備品!$1:$998,COLUMN($O$1),FALSE)*VLOOKUP($D365,素材!$1:$1016,COLUMN($E$1),FALSE)/(LEN(VLOOKUP($D365,素材!$1:$1016,COLUMN($F$1),FALSE))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O365">
        <f>IF(ISNUMBER(SEARCH(SUBSTITUTE(AO$1,RIGHT(AO$1,2),""),VLOOKUP($D365,素材!$1:$1016,COLUMN($F$1),FALSE))),VLOOKUP($C365,装備品!$1:$998,COLUMN($O$1),FALSE)*VLOOKUP($D365,素材!$1:$1016,COLUMN($E$1),FALSE)/(LEN(VLOOKUP($D365,素材!$1:$1016,COLUMN($F$1),FALSE))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P365">
        <f>IF(ISNUMBER(SEARCH(SUBSTITUTE(AP$1,RIGHT(AP$1,2),""),VLOOKUP($D365,素材!$1:$1016,COLUMN($F$1),FALSE))),VLOOKUP($C365,装備品!$1:$998,COLUMN($O$1),FALSE)*VLOOKUP($D365,素材!$1:$1016,COLUMN($E$1),FALSE)/(LEN(VLOOKUP($D365,素材!$1:$1016,COLUMN($F$1),FALSE))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Q365">
        <f>IF(ISNUMBER(SEARCH(SUBSTITUTE(AQ$1,RIGHT(AQ$1,2),""),VLOOKUP($D365,素材!$1:$1016,COLUMN($F$1),FALSE))),VLOOKUP($C365,装備品!$1:$998,COLUMN($O$1),FALSE)*VLOOKUP($D365,素材!$1:$1016,COLUMN($E$1),FALSE)/(LEN(VLOOKUP($D365,素材!$1:$1016,COLUMN($F$1),FALSE))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R365">
        <f>IF(ISNUMBER(SEARCH(SUBSTITUTE(AR$1,RIGHT(AR$1,2),""),VLOOKUP($D365,素材!$1:$1016,COLUMN($F$1),FALSE))),VLOOKUP($C365,装備品!$1:$998,COLUMN($O$1),FALSE)*VLOOKUP($D365,素材!$1:$1016,COLUMN($E$1),FALSE)/(LEN(VLOOKUP($D365,素材!$1:$1016,COLUMN($F$1),FALSE))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S365">
        <f>IF(ISNUMBER(SEARCH(SUBSTITUTE(AS$1,RIGHT(AS$1,2),""),VLOOKUP($D365,素材!$1:$1016,COLUMN($F$1),FALSE))),VLOOKUP($C365,装備品!$1:$998,COLUMN($O$1),FALSE)*VLOOKUP($D365,素材!$1:$1016,COLUMN($E$1),FALSE)/(LEN(VLOOKUP($D365,素材!$1:$1016,COLUMN($F$1),FALSE))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T365">
        <f>IF(ISNUMBER(SEARCH(SUBSTITUTE(AT$1,RIGHT(AT$1,2),""),VLOOKUP($D365,素材!$1:$1016,COLUMN($F$1),FALSE))),VLOOKUP($C365,装備品!$1:$998,COLUMN($O$1),FALSE)*VLOOKUP($D365,素材!$1:$1016,COLUMN($E$1),FALSE)/(LEN(VLOOKUP($D365,素材!$1:$1016,COLUMN($F$1),FALSE))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U365">
        <f>IF(ISNUMBER(SEARCH(SUBSTITUTE(AU$1,RIGHT(AU$1,2),""),VLOOKUP($D365,素材!$1:$1016,COLUMN($F$1),FALSE))),VLOOKUP($C365,装備品!$1:$998,COLUMN($O$1),FALSE)*VLOOKUP($D365,素材!$1:$1016,COLUMN($E$1),FALSE)/(LEN(VLOOKUP($D365,素材!$1:$1016,COLUMN($F$1),FALSE))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V365">
        <f>IF(ISNUMBER(SEARCH(SUBSTITUTE(AV$1,RIGHT(AV$1,2),""),VLOOKUP($D365,素材!$1:$1016,COLUMN($F$1),FALSE))),VLOOKUP($C365,装備品!$1:$998,COLUMN($O$1),FALSE)*VLOOKUP($D365,素材!$1:$1016,COLUMN($E$1),FALSE)/(LEN(VLOOKUP($D365,素材!$1:$1016,COLUMN($F$1),FALSE))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W365">
        <f>IF(ISNUMBER(SEARCH(SUBSTITUTE(AW$1,RIGHT(AW$1,2),""),VLOOKUP($D365,素材!$1:$1016,COLUMN($F$1),FALSE))),VLOOKUP($C365,装備品!$1:$998,COLUMN($O$1),FALSE)*VLOOKUP($D365,素材!$1:$1016,COLUMN($E$1),FALSE)/(LEN(VLOOKUP($D365,素材!$1:$1016,COLUMN($F$1),FALSE))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X365">
        <f>IF(ISNUMBER(SEARCH(SUBSTITUTE(AX$1,RIGHT(AX$1,2),""),VLOOKUP($D365,素材!$1:$1016,COLUMN($F$1),FALSE))),VLOOKUP($C365,装備品!$1:$998,COLUMN($O$1),FALSE)*VLOOKUP($D365,素材!$1:$1016,COLUMN($E$1),FALSE)/(LEN(VLOOKUP($D365,素材!$1:$1016,COLUMN($F$1),FALSE))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Y365">
        <f>IF(ISNUMBER(SEARCH(SUBSTITUTE(AY$1,RIGHT(AY$1,2),""),VLOOKUP($D365,素材!$1:$1016,COLUMN($F$1),FALSE))),VLOOKUP($C365,装備品!$1:$998,COLUMN($O$1),FALSE)*VLOOKUP($D365,素材!$1:$1016,COLUMN($E$1),FALSE)/(LEN(VLOOKUP($D365,素材!$1:$1016,COLUMN($F$1),FALSE))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Z365">
        <f>IF(ISNUMBER(SEARCH(SUBSTITUTE(AZ$1,RIGHT(AZ$1,2),""),VLOOKUP($D365,素材!$1:$1016,COLUMN($F$1),FALSE))),VLOOKUP($C365,装備品!$1:$998,COLUMN($O$1),FALSE)*VLOOKUP($D365,素材!$1:$1016,COLUMN($E$1),FALSE)/(LEN(VLOOKUP($D365,素材!$1:$1016,COLUMN($F$1),FALSE))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BA365">
        <f>IF(ISNUMBER(SEARCH(SUBSTITUTE(BA$1,RIGHT(BA$1,2),""),VLOOKUP($D365,素材!$1:$1016,COLUMN($F$1),FALSE))),VLOOKUP($C365,装備品!$1:$998,COLUMN($O$1),FALSE)*VLOOKUP($D365,素材!$1:$1016,COLUMN($E$1),FALSE)/(LEN(VLOOKUP($D365,素材!$1:$1016,COLUMN($F$1),FALSE))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BB365">
        <f>IF(ISNUMBER(SEARCH(SUBSTITUTE(BB$1,RIGHT(BB$1,2),""),VLOOKUP($D365,素材!$1:$1016,COLUMN($F$1),FALSE))),VLOOKUP($C365,装備品!$1:$998,COLUMN($O$1),FALSE)*VLOOKUP($D365,素材!$1:$1016,COLUMN($E$1),FALSE)/(LEN(VLOOKUP($D365,素材!$1:$1016,COLUMN($F$1),FALSE))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BC365">
        <f>IF(ISNUMBER(SEARCH(SUBSTITUTE(BC$1,RIGHT(BC$1,2),""),VLOOKUP($D365,素材!$1:$1016,COLUMN($F$1),FALSE))),VLOOKUP($C365,装備品!$1:$998,COLUMN($O$1),FALSE)*VLOOKUP($D365,素材!$1:$1016,COLUMN($E$1),FALSE)/(LEN(VLOOKUP($D365,素材!$1:$1016,COLUMN($F$1),FALSE))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BD365">
        <f>IF(ISNUMBER(SEARCH(SUBSTITUTE(BD$1,RIGHT(BD$1,2),""),VLOOKUP($D365,素材!$1:$1016,COLUMN($F$1),FALSE))),VLOOKUP($C365,装備品!$1:$998,COLUMN($O$1),FALSE)*VLOOKUP($D365,素材!$1:$1016,COLUMN($E$1),FALSE)/(LEN(VLOOKUP($D365,素材!$1:$1016,COLUMN($F$1),FALSE))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BE365">
        <f>IF(ISNUMBER(SEARCH(SUBSTITUTE(BE$1,RIGHT(BE$1,2),""),VLOOKUP($D365,素材!$1:$1016,COLUMN($F$1),FALSE))),VLOOKUP($C365,装備品!$1:$998,COLUMN($O$1),FALSE)*VLOOKUP($D365,素材!$1:$1016,COLUMN($E$1),FALSE)/(LEN(VLOOKUP($D365,素材!$1:$1016,COLUMN($F$1),FALSE))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CL365">
        <f t="shared" si="47"/>
        <v>48</v>
      </c>
      <c r="CM365" s="22" t="str">
        <f t="shared" si="48"/>
        <v>切断.webp</v>
      </c>
      <c r="CN365">
        <f>IFERROR(VLOOKUP($C365,装備品!$1:$998,COLUMN(V$1),FALSE)*VLOOKUP($D365,素材!$1:$1016,COLUMN(N$1),FALSE)+IF(CI365="",0,VLOOKUP($CI365,付与!$1:$1176,COLUMN($CK$1),FALSE)),"")</f>
        <v>0</v>
      </c>
      <c r="CO365">
        <f>VLOOKUP(D365,素材!$A:$O,COLUMN(素材!O$1),FALSE)</f>
        <v>0</v>
      </c>
      <c r="CP365" t="str">
        <f>VLOOKUP(C365,装備品!$A:$AB,COLUMN(装備品!AB$1),FALSE)</f>
        <v>刀。切断力に優れた武器で、Cr威力が高い</v>
      </c>
      <c r="CR365" t="str">
        <f t="shared" si="49"/>
        <v>e_365</v>
      </c>
      <c r="CS365">
        <f t="shared" si="50"/>
        <v>0</v>
      </c>
    </row>
    <row r="366" spans="1:97" outlineLevel="1" x14ac:dyDescent="0.4">
      <c r="A366" t="s">
        <v>1035</v>
      </c>
      <c r="B366" t="str">
        <f>IFERROR(VLOOKUP($D366,素材!$1:$1016,COLUMN($B$1),FALSE)&amp;"・"&amp;VLOOKUP($C366,装備品!$1:$998,COLUMN(B$1),FALSE),"")</f>
        <v>ブラックメタル・マント</v>
      </c>
      <c r="C366" t="s">
        <v>1251</v>
      </c>
      <c r="D366" s="24" t="s">
        <v>193</v>
      </c>
      <c r="E366" t="str">
        <f>IFERROR(VLOOKUP(C366,装備品!$1:$998,COLUMN(C$1),FALSE),"")</f>
        <v>装飾</v>
      </c>
      <c r="F366">
        <f>IFERROR(ROUNDDOWN((VLOOKUP($C366,装備品!$1:$998,COLUMN(D$1),FALSE)+IFERROR(VLOOKUP($CI366,付与!$1:$1167,COLUMN(F$1),FALSE),0))*VLOOKUP($D366,素材!$1:$1016,COLUMN(D$1),FALSE),0),"")</f>
        <v>0</v>
      </c>
      <c r="G366">
        <f>IFERROR(ROUNDDOWN((VLOOKUP($C366,装備品!$1:$998,COLUMN(E$1),FALSE)+IFERROR(VLOOKUP($CI366,付与!$1:$1167,COLUMN(G$1),FALSE),0))*VLOOKUP($D366,素材!$1:$1016,COLUMN($E$1),FALSE),0),"")</f>
        <v>0</v>
      </c>
      <c r="H366">
        <f>IFERROR(ROUNDDOWN((VLOOKUP($C366,装備品!$1:$998,COLUMN(F$1),FALSE)+IFERROR(VLOOKUP($CI366,付与!$1:$1167,COLUMN(H$1),FALSE),0))*VLOOKUP($D366,素材!$1:$1016,COLUMN($E$1),FALSE),0),"")</f>
        <v>0</v>
      </c>
      <c r="I366">
        <f>IFERROR(ROUNDDOWN((VLOOKUP($C366,装備品!$1:$998,COLUMN(G$1),FALSE)+IFERROR(VLOOKUP($CI366,付与!$1:$1167,COLUMN(I$1),FALSE),0))*VLOOKUP($D366,素材!$1:$1016,COLUMN($E$1),FALSE),0),"")</f>
        <v>0</v>
      </c>
      <c r="J366">
        <f>IFERROR(ROUNDDOWN((VLOOKUP($C366,装備品!$1:$998,COLUMN(H$1),FALSE)+IFERROR(VLOOKUP($CI366,付与!$1:$1167,COLUMN(J$1),FALSE),0))*VLOOKUP($D366,素材!$1:$1016,COLUMN($E$1),FALSE),0),"")</f>
        <v>0</v>
      </c>
      <c r="K366">
        <f>IFERROR(ROUNDDOWN((VLOOKUP($C366,装備品!$1:$998,COLUMN(I$1),FALSE)+IFERROR(VLOOKUP($CI366,付与!$1:$1167,COLUMN(K$1),FALSE),0))*VLOOKUP($D366,素材!$1:$1016,COLUMN($E$1),FALSE),0),"")</f>
        <v>0</v>
      </c>
      <c r="L366" t="str">
        <f>IFERROR(VLOOKUP($D366,素材!$1:$1016,COLUMN($F$1),FALSE),"")</f>
        <v>物理</v>
      </c>
      <c r="M366">
        <f>IFERROR(VLOOKUP($C366,装備品!$1:$998,COLUMN(AA$1),FALSE)*VLOOKUP($D366,素材!$1:$1016,COLUMN($G$1),FALSE),"")</f>
        <v>20</v>
      </c>
      <c r="N366">
        <f>IFERROR(VLOOKUP($C366,装備品!$1:$998,COLUMN(I$1),FALSE),"")</f>
        <v>0</v>
      </c>
      <c r="O366" s="23">
        <f>IFERROR((VLOOKUP($C366,装備品!$1:$998,COLUMN(K$1),FALSE)+VLOOKUP($D366,素材!$1:$1016,COLUMN(H$1),FALSE))*100+IFERROR(VLOOKUP($CI366,付与!$1:$1167,COLUMN(O$1),FALSE),0),"")</f>
        <v>5</v>
      </c>
      <c r="P366" s="23">
        <f>IFERROR((VLOOKUP($C366,装備品!$1:$998,COLUMN(L$1),FALSE)+VLOOKUP($D366,素材!$1:$1016,COLUMN(I$1),FALSE))*100+IFERROR(VLOOKUP($CI366,付与!$1:$1167,COLUMN(P$1),FALSE),0),"")</f>
        <v>10</v>
      </c>
      <c r="Q366">
        <f>IFERROR(ROUNDUP(VLOOKUP($C366,装備品!$1:$998,COLUMN(M$1),FALSE)*(VLOOKUP($D366,素材!$1:$1002,COLUMN(D$1),FALSE)/100),1),"")</f>
        <v>0</v>
      </c>
      <c r="R366">
        <f>IFERROR(ROUNDUP(VLOOKUP($C366,装備品!$1:$998,COLUMN(N$1),FALSE)*(VLOOKUP($D366,素材!$1:$1002,COLUMN(D$1),FALSE)/100),1),"")</f>
        <v>0</v>
      </c>
      <c r="S366">
        <f>IFERROR(VLOOKUP($C366,装備品!$1:$998,COLUMN(P$1),FALSE),"")</f>
        <v>0</v>
      </c>
      <c r="T366">
        <f>IFERROR(VLOOKUP($C366,装備品!$1:$998,COLUMN(Q$1),FALSE),"")</f>
        <v>0</v>
      </c>
      <c r="U366">
        <f>IFERROR(VLOOKUP($C366,装備品!$1:$998,COLUMN(R$1),FALSE),"")</f>
        <v>0</v>
      </c>
      <c r="V366">
        <f>IFERROR(VLOOKUP($C366,装備品!$1:$998,COLUMN(Q$1),FALSE),"")</f>
        <v>0</v>
      </c>
      <c r="W366">
        <f>IFERROR(VLOOKUP($C366,装備品!$1:$998,COLUMN(T$1),FALSE),"")</f>
        <v>0</v>
      </c>
      <c r="Y366">
        <f>IFERROR(VLOOKUP($C366,装備品!$1:$998,COLUMN(U$1),FALSE),"")</f>
        <v>0</v>
      </c>
      <c r="Z366">
        <f>IFERROR(ROUNDUP(VLOOKUP($C366,装備品!$1:$998,COLUMN(O$1),FALSE)*VLOOKUP($D366,素材!$1:$1016,COLUMN(E$1),FALSE),1),"")</f>
        <v>0</v>
      </c>
      <c r="AA366">
        <f>IF(ISNUMBER(SEARCH(SUBSTITUTE(AA$1,RIGHT(AA$1,2),""),VLOOKUP($D366,素材!$1:$1016,COLUMN($F$1),FALSE))),VLOOKUP($C366,装備品!$1:$998,COLUMN($O$1),FALSE)*VLOOKUP($D366,素材!$1:$1016,COLUMN($E$1),FALSE)/(LEN(VLOOKUP($D366,素材!$1:$1016,COLUMN($F$1),FALSE))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AB366">
        <f>IF(ISNUMBER(SEARCH(SUBSTITUTE(AB$1,RIGHT(AB$1,2),""),VLOOKUP($D366,素材!$1:$1016,COLUMN($F$1),FALSE))),VLOOKUP($C366,装備品!$1:$998,COLUMN($O$1),FALSE)*VLOOKUP($D366,素材!$1:$1016,COLUMN($E$1),FALSE)/(LEN(VLOOKUP($D366,素材!$1:$1016,COLUMN($F$1),FALSE))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AC366">
        <f>IF(ISNUMBER(SEARCH(SUBSTITUTE(AC$1,RIGHT(AC$1,2),""),VLOOKUP($D366,素材!$1:$1016,COLUMN($F$1),FALSE))),VLOOKUP($C366,装備品!$1:$998,COLUMN($O$1),FALSE)*VLOOKUP($D366,素材!$1:$1016,COLUMN($E$1),FALSE)/(LEN(VLOOKUP($D366,素材!$1:$1016,COLUMN($F$1),FALSE))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AD366">
        <f>IF(ISNUMBER(SEARCH(SUBSTITUTE(AD$1,RIGHT(AD$1,2),""),VLOOKUP($D366,素材!$1:$1016,COLUMN($F$1),FALSE))),VLOOKUP($C366,装備品!$1:$998,COLUMN($O$1),FALSE)*VLOOKUP($D366,素材!$1:$1016,COLUMN($E$1),FALSE)/(LEN(VLOOKUP($D366,素材!$1:$1016,COLUMN($F$1),FALSE))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AE366">
        <f>IF(ISNUMBER(SEARCH(SUBSTITUTE(AE$1,RIGHT(AE$1,2),""),VLOOKUP($D366,素材!$1:$1016,COLUMN($F$1),FALSE))),VLOOKUP($C366,装備品!$1:$998,COLUMN($O$1),FALSE)*VLOOKUP($D366,素材!$1:$1016,COLUMN($E$1),FALSE)/(LEN(VLOOKUP($D366,素材!$1:$1016,COLUMN($F$1),FALSE))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0)+IF($CI366&lt;&gt;"",VLOOKUP($CI366,付与!$A$1:BB$1173,COLUMN(付与!BB$1),FALSE),0)</f>
        <v>0</v>
      </c>
      <c r="AF366">
        <f>IF(ISNUMBER(SEARCH(SUBSTITUTE(AF$1,RIGHT(AF$1,2),""),VLOOKUP($D366,素材!$1:$1016,COLUMN($F$1),FALSE))),VLOOKUP($C366,装備品!$1:$998,COLUMN($O$1),FALSE)*VLOOKUP($D366,素材!$1:$1016,COLUMN($E$1),FALSE)/(LEN(VLOOKUP($D366,素材!$1:$1016,COLUMN($F$1),FALSE))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0)+IF($CI366&lt;&gt;"",VLOOKUP($CI366,付与!$A$1:BC$1173,COLUMN(付与!BC$1),FALSE),0)</f>
        <v>0</v>
      </c>
      <c r="AG366">
        <f>IF(ISNUMBER(SEARCH(SUBSTITUTE(AG$1,RIGHT(AG$1,2),""),VLOOKUP($D366,素材!$1:$1016,COLUMN($F$1),FALSE))),VLOOKUP($C366,装備品!$1:$998,COLUMN($O$1),FALSE)*VLOOKUP($D366,素材!$1:$1016,COLUMN($E$1),FALSE)/(LEN(VLOOKUP($D366,素材!$1:$1016,COLUMN($F$1),FALSE))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0)+IF($CI366&lt;&gt;"",VLOOKUP($CI366,付与!$A$1:BD$1173,COLUMN(付与!BD$1),FALSE),0)</f>
        <v>0</v>
      </c>
      <c r="AH366">
        <f>IF(ISNUMBER(SEARCH(SUBSTITUTE(AH$1,RIGHT(AH$1,2),""),VLOOKUP($D366,素材!$1:$1016,COLUMN($F$1),FALSE))),VLOOKUP($C366,装備品!$1:$998,COLUMN($O$1),FALSE)*VLOOKUP($D366,素材!$1:$1016,COLUMN($E$1),FALSE)/(LEN(VLOOKUP($D366,素材!$1:$1016,COLUMN($F$1),FALSE))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0)+IF($CI366&lt;&gt;"",VLOOKUP($CI366,付与!$A$1:BE$1173,COLUMN(付与!BE$1),FALSE),0)</f>
        <v>0</v>
      </c>
      <c r="AI366">
        <f>IF(ISNUMBER(SEARCH(SUBSTITUTE(AI$1,RIGHT(AI$1,2),""),VLOOKUP($D366,素材!$1:$1016,COLUMN($F$1),FALSE))),VLOOKUP($C366,装備品!$1:$998,COLUMN($O$1),FALSE)*VLOOKUP($D366,素材!$1:$1016,COLUMN($E$1),FALSE)/(LEN(VLOOKUP($D366,素材!$1:$1016,COLUMN($F$1),FALSE))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0)+IF($CI366&lt;&gt;"",VLOOKUP($CI366,付与!$A$1:BF$1173,COLUMN(付与!BF$1),FALSE),0)</f>
        <v>0</v>
      </c>
      <c r="AJ366">
        <f>IF(ISNUMBER(SEARCH(SUBSTITUTE(AJ$1,RIGHT(AJ$1,2),""),VLOOKUP($D366,素材!$1:$1016,COLUMN($F$1),FALSE))),VLOOKUP($C366,装備品!$1:$998,COLUMN($O$1),FALSE)*VLOOKUP($D366,素材!$1:$1016,COLUMN($E$1),FALSE)/(LEN(VLOOKUP($D366,素材!$1:$1016,COLUMN($F$1),FALSE))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0)+IF($CI366&lt;&gt;"",VLOOKUP($CI366,付与!$A$1:BG$1173,COLUMN(付与!BG$1),FALSE),0)</f>
        <v>0</v>
      </c>
      <c r="AK366">
        <f>IF(ISNUMBER(SEARCH(SUBSTITUTE(AK$1,RIGHT(AK$1,2),""),VLOOKUP($D366,素材!$1:$1016,COLUMN($F$1),FALSE))),VLOOKUP($C366,装備品!$1:$998,COLUMN($O$1),FALSE)*VLOOKUP($D366,素材!$1:$1016,COLUMN($E$1),FALSE)/(LEN(VLOOKUP($D366,素材!$1:$1016,COLUMN($F$1),FALSE))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0)+IF($CI366&lt;&gt;"",VLOOKUP($CI366,付与!$A$1:BH$1173,COLUMN(付与!BH$1),FALSE),0)</f>
        <v>-10</v>
      </c>
      <c r="AL366">
        <f>IF(ISNUMBER(SEARCH(SUBSTITUTE(AL$1,RIGHT(AL$1,2),""),VLOOKUP($D366,素材!$1:$1016,COLUMN($F$1),FALSE))),VLOOKUP($C366,装備品!$1:$998,COLUMN($O$1),FALSE)*VLOOKUP($D366,素材!$1:$1016,COLUMN($E$1),FALSE)/(LEN(VLOOKUP($D366,素材!$1:$1016,COLUMN($F$1),FALSE))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0)+IF($CI366&lt;&gt;"",VLOOKUP($CI366,付与!$A$1:BI$1173,COLUMN(付与!BI$1),FALSE),0)</f>
        <v>0</v>
      </c>
      <c r="AM366">
        <f>IF(ISNUMBER(SEARCH(SUBSTITUTE(AM$1,RIGHT(AM$1,2),""),VLOOKUP($D366,素材!$1:$1016,COLUMN($F$1),FALSE))),VLOOKUP($C366,装備品!$1:$998,COLUMN($O$1),FALSE)*VLOOKUP($D366,素材!$1:$1016,COLUMN($E$1),FALSE)/(LEN(VLOOKUP($D366,素材!$1:$1016,COLUMN($F$1),FALSE))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0)+IF($CI366&lt;&gt;"",VLOOKUP($CI366,付与!$A$1:BJ$1173,COLUMN(付与!BJ$1),FALSE),0)</f>
        <v>0</v>
      </c>
      <c r="AN366">
        <f>IF(ISNUMBER(SEARCH(SUBSTITUTE(AN$1,RIGHT(AN$1,2),""),VLOOKUP($D366,素材!$1:$1016,COLUMN($F$1),FALSE))),VLOOKUP($C366,装備品!$1:$998,COLUMN($O$1),FALSE)*VLOOKUP($D366,素材!$1:$1016,COLUMN($E$1),FALSE)/(LEN(VLOOKUP($D366,素材!$1:$1016,COLUMN($F$1),FALSE))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0)+IF($CI366&lt;&gt;"",VLOOKUP($CI366,付与!$A$1:BK$1173,COLUMN(付与!BK$1),FALSE),0)</f>
        <v>0</v>
      </c>
      <c r="AO366">
        <f>IF(ISNUMBER(SEARCH(SUBSTITUTE(AO$1,RIGHT(AO$1,2),""),VLOOKUP($D366,素材!$1:$1016,COLUMN($F$1),FALSE))),VLOOKUP($C366,装備品!$1:$998,COLUMN($O$1),FALSE)*VLOOKUP($D366,素材!$1:$1016,COLUMN($E$1),FALSE)/(LEN(VLOOKUP($D366,素材!$1:$1016,COLUMN($F$1),FALSE))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0)+IF($CI366&lt;&gt;"",VLOOKUP($CI366,付与!$A$1:BM$1173,COLUMN(付与!BM$1),FALSE),0)</f>
        <v>0</v>
      </c>
      <c r="AP366">
        <f>IF(ISNUMBER(SEARCH(SUBSTITUTE(AP$1,RIGHT(AP$1,2),""),VLOOKUP($D366,素材!$1:$1016,COLUMN($F$1),FALSE))),VLOOKUP($C366,装備品!$1:$998,COLUMN($O$1),FALSE)*VLOOKUP($D366,素材!$1:$1016,COLUMN($E$1),FALSE)/(LEN(VLOOKUP($D366,素材!$1:$1016,COLUMN($F$1),FALSE))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0)+IF($CI366&lt;&gt;"",VLOOKUP($CI366,付与!$A$1:BN$1173,COLUMN(付与!BN$1),FALSE),0)</f>
        <v>0</v>
      </c>
      <c r="AQ366">
        <f>IF(ISNUMBER(SEARCH(SUBSTITUTE(AQ$1,RIGHT(AQ$1,2),""),VLOOKUP($D366,素材!$1:$1016,COLUMN($F$1),FALSE))),VLOOKUP($C366,装備品!$1:$998,COLUMN($O$1),FALSE)*VLOOKUP($D366,素材!$1:$1016,COLUMN($E$1),FALSE)/(LEN(VLOOKUP($D366,素材!$1:$1016,COLUMN($F$1),FALSE))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0)+IF($CI366&lt;&gt;"",VLOOKUP($CI366,付与!$A$1:BP$1173,COLUMN(付与!BP$1),FALSE),0)</f>
        <v>0</v>
      </c>
      <c r="AR366">
        <f>IF(ISNUMBER(SEARCH(SUBSTITUTE(AR$1,RIGHT(AR$1,2),""),VLOOKUP($D366,素材!$1:$1016,COLUMN($F$1),FALSE))),VLOOKUP($C366,装備品!$1:$998,COLUMN($O$1),FALSE)*VLOOKUP($D366,素材!$1:$1016,COLUMN($E$1),FALSE)/(LEN(VLOOKUP($D366,素材!$1:$1016,COLUMN($F$1),FALSE))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0)+IF($CI366&lt;&gt;"",VLOOKUP($CI366,付与!$A$1:BQ$1173,COLUMN(付与!BQ$1),FALSE),0)</f>
        <v>0</v>
      </c>
      <c r="AS366">
        <f>IF(ISNUMBER(SEARCH(SUBSTITUTE(AS$1,RIGHT(AS$1,2),""),VLOOKUP($D366,素材!$1:$1016,COLUMN($F$1),FALSE))),VLOOKUP($C366,装備品!$1:$998,COLUMN($O$1),FALSE)*VLOOKUP($D366,素材!$1:$1016,COLUMN($E$1),FALSE)/(LEN(VLOOKUP($D366,素材!$1:$1016,COLUMN($F$1),FALSE))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0)+IF($CI366&lt;&gt;"",VLOOKUP($CI366,付与!$A$1:BR$1173,COLUMN(付与!BR$1),FALSE),0)</f>
        <v>0</v>
      </c>
      <c r="AT366">
        <f>IF(ISNUMBER(SEARCH(SUBSTITUTE(AT$1,RIGHT(AT$1,2),""),VLOOKUP($D366,素材!$1:$1016,COLUMN($F$1),FALSE))),VLOOKUP($C366,装備品!$1:$998,COLUMN($O$1),FALSE)*VLOOKUP($D366,素材!$1:$1016,COLUMN($E$1),FALSE)/(LEN(VLOOKUP($D366,素材!$1:$1016,COLUMN($F$1),FALSE))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0)+IF($CI366&lt;&gt;"",VLOOKUP($CI366,付与!$A$1:BV$1173,COLUMN(付与!BV$1),FALSE),0)</f>
        <v>0</v>
      </c>
      <c r="AU366">
        <f>IF(ISNUMBER(SEARCH(SUBSTITUTE(AU$1,RIGHT(AU$1,2),""),VLOOKUP($D366,素材!$1:$1016,COLUMN($F$1),FALSE))),VLOOKUP($C366,装備品!$1:$998,COLUMN($O$1),FALSE)*VLOOKUP($D366,素材!$1:$1016,COLUMN($E$1),FALSE)/(LEN(VLOOKUP($D366,素材!$1:$1016,COLUMN($F$1),FALSE))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0)+IF($CI366&lt;&gt;"",VLOOKUP($CI366,付与!$A$1:BW$1173,COLUMN(付与!BW$1),FALSE),0)</f>
        <v>0</v>
      </c>
      <c r="AV366">
        <f>IF(ISNUMBER(SEARCH(SUBSTITUTE(AV$1,RIGHT(AV$1,2),""),VLOOKUP($D366,素材!$1:$1016,COLUMN($F$1),FALSE))),VLOOKUP($C366,装備品!$1:$998,COLUMN($O$1),FALSE)*VLOOKUP($D366,素材!$1:$1016,COLUMN($E$1),FALSE)/(LEN(VLOOKUP($D366,素材!$1:$1016,COLUMN($F$1),FALSE))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0)+IF($CI366&lt;&gt;"",VLOOKUP($CI366,付与!$A$1:BS$1173,COLUMN(付与!BS$1),FALSE),0)</f>
        <v>0</v>
      </c>
      <c r="AW366">
        <f>IF(ISNUMBER(SEARCH(SUBSTITUTE(AW$1,RIGHT(AW$1,2),""),VLOOKUP($D366,素材!$1:$1016,COLUMN($F$1),FALSE))),VLOOKUP($C366,装備品!$1:$998,COLUMN($O$1),FALSE)*VLOOKUP($D366,素材!$1:$1016,COLUMN($E$1),FALSE)/(LEN(VLOOKUP($D366,素材!$1:$1016,COLUMN($F$1),FALSE))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0)+IF($CI366&lt;&gt;"",VLOOKUP($CI366,付与!$A$1:BT$1173,COLUMN(付与!BT$1),FALSE),0)</f>
        <v>0</v>
      </c>
      <c r="AX366">
        <f>IF(ISNUMBER(SEARCH(SUBSTITUTE(AX$1,RIGHT(AX$1,2),""),VLOOKUP($D366,素材!$1:$1016,COLUMN($F$1),FALSE))),VLOOKUP($C366,装備品!$1:$998,COLUMN($O$1),FALSE)*VLOOKUP($D366,素材!$1:$1016,COLUMN($E$1),FALSE)/(LEN(VLOOKUP($D366,素材!$1:$1016,COLUMN($F$1),FALSE))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0)+IF($CI366&lt;&gt;"",VLOOKUP($CI366,付与!$A$1:BU$1173,COLUMN(付与!BU$1),FALSE),0)</f>
        <v>0</v>
      </c>
      <c r="AY366">
        <f>IF(ISNUMBER(SEARCH(SUBSTITUTE(AY$1,RIGHT(AY$1,2),""),VLOOKUP($D366,素材!$1:$1016,COLUMN($F$1),FALSE))),VLOOKUP($C366,装備品!$1:$998,COLUMN($O$1),FALSE)*VLOOKUP($D366,素材!$1:$1016,COLUMN($E$1),FALSE)/(LEN(VLOOKUP($D366,素材!$1:$1016,COLUMN($F$1),FALSE))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0)+IF($CI366&lt;&gt;"",VLOOKUP($CI366,付与!$A$1:BU$1173,COLUMN(付与!BO$1),FALSE),0)</f>
        <v>0</v>
      </c>
      <c r="AZ366">
        <f>IF(ISNUMBER(SEARCH(SUBSTITUTE(AZ$1,RIGHT(AZ$1,2),""),VLOOKUP($D366,素材!$1:$1016,COLUMN($F$1),FALSE))),VLOOKUP($C366,装備品!$1:$998,COLUMN($O$1),FALSE)*VLOOKUP($D366,素材!$1:$1016,COLUMN($E$1),FALSE)/(LEN(VLOOKUP($D366,素材!$1:$1016,COLUMN($F$1),FALSE))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0)+IF($CI366&lt;&gt;"",VLOOKUP($CI366,付与!$A$1:BX$1173,COLUMN(付与!BX$1),FALSE),0)</f>
        <v>0</v>
      </c>
      <c r="BA366">
        <f>IF(ISNUMBER(SEARCH(SUBSTITUTE(BA$1,RIGHT(BA$1,2),""),VLOOKUP($D366,素材!$1:$1016,COLUMN($F$1),FALSE))),VLOOKUP($C366,装備品!$1:$998,COLUMN($O$1),FALSE)*VLOOKUP($D366,素材!$1:$1016,COLUMN($E$1),FALSE)/(LEN(VLOOKUP($D366,素材!$1:$1016,COLUMN($F$1),FALSE))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BB366">
        <f>IF(ISNUMBER(SEARCH(SUBSTITUTE(BB$1,RIGHT(BB$1,2),""),VLOOKUP($D366,素材!$1:$1016,COLUMN($F$1),FALSE))),VLOOKUP($C366,装備品!$1:$998,COLUMN($O$1),FALSE)*VLOOKUP($D366,素材!$1:$1016,COLUMN($E$1),FALSE)/(LEN(VLOOKUP($D366,素材!$1:$1016,COLUMN($F$1),FALSE))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BC366">
        <f>IF(ISNUMBER(SEARCH(SUBSTITUTE(BC$1,RIGHT(BC$1,2),""),VLOOKUP($D366,素材!$1:$1016,COLUMN($F$1),FALSE))),VLOOKUP($C366,装備品!$1:$998,COLUMN($O$1),FALSE)*VLOOKUP($D366,素材!$1:$1016,COLUMN($E$1),FALSE)/(LEN(VLOOKUP($D366,素材!$1:$1016,COLUMN($F$1),FALSE))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BD366">
        <f>IF(ISNUMBER(SEARCH(SUBSTITUTE(BD$1,RIGHT(BD$1,2),""),VLOOKUP($D366,素材!$1:$1016,COLUMN($F$1),FALSE))),VLOOKUP($C366,装備品!$1:$998,COLUMN($O$1),FALSE)*VLOOKUP($D366,素材!$1:$1016,COLUMN($E$1),FALSE)/(LEN(VLOOKUP($D366,素材!$1:$1016,COLUMN($F$1),FALSE))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BE366">
        <f>IF(ISNUMBER(SEARCH(SUBSTITUTE(BE$1,RIGHT(BE$1,2),""),VLOOKUP($D366,素材!$1:$1016,COLUMN($F$1),FALSE))),VLOOKUP($C366,装備品!$1:$998,COLUMN($O$1),FALSE)*VLOOKUP($D366,素材!$1:$1016,COLUMN($E$1),FALSE)/(LEN(VLOOKUP($D366,素材!$1:$1016,COLUMN($F$1),FALSE))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CI366" t="s">
        <v>16</v>
      </c>
      <c r="CL366">
        <f t="shared" si="47"/>
        <v>0</v>
      </c>
      <c r="CM366" s="22" t="str">
        <f t="shared" si="48"/>
        <v>装飾.webp</v>
      </c>
      <c r="CN366">
        <f>IFERROR(VLOOKUP($C366,装備品!$1:$998,COLUMN(V$1),FALSE)*VLOOKUP($D366,素材!$1:$1016,COLUMN(N$1),FALSE)+IF(CI366="",0,VLOOKUP($CI366,付与!$1:$1176,COLUMN($CK$1),FALSE)),"")</f>
        <v>0</v>
      </c>
      <c r="CO366">
        <f>VLOOKUP(D366,素材!$A:$O,COLUMN(素材!O$1),FALSE)</f>
        <v>0</v>
      </c>
      <c r="CP366" t="str">
        <f>VLOOKUP(C366,装備品!$A:$AB,COLUMN(装備品!AB$1),FALSE)</f>
        <v xml:space="preserve">防御 隠密 </v>
      </c>
      <c r="CR366" t="str">
        <f t="shared" ref="CR366:CR392" si="54">"e_"&amp;ROW(CR366)</f>
        <v>e_366</v>
      </c>
      <c r="CS366">
        <f t="shared" si="50"/>
        <v>0</v>
      </c>
    </row>
    <row r="367" spans="1:97" outlineLevel="1" x14ac:dyDescent="0.4">
      <c r="A367" t="s">
        <v>1252</v>
      </c>
      <c r="B367" t="str">
        <f>IFERROR(VLOOKUP($D367,素材!$1:$1016,COLUMN($B$1),FALSE)&amp;"・"&amp;VLOOKUP($C367,装備品!$1:$998,COLUMN(B$1),FALSE),"")</f>
        <v>ファイアドレイクスケール・マント</v>
      </c>
      <c r="C367" t="s">
        <v>1251</v>
      </c>
      <c r="D367" s="24" t="s">
        <v>244</v>
      </c>
      <c r="E367" t="str">
        <f>IFERROR(VLOOKUP(C367,装備品!$1:$998,COLUMN(C$1),FALSE),"")</f>
        <v>装飾</v>
      </c>
      <c r="F367">
        <f>IFERROR(ROUNDDOWN((VLOOKUP($C367,装備品!$1:$998,COLUMN(D$1),FALSE)+IFERROR(VLOOKUP($CI367,付与!$1:$1167,COLUMN(F$1),FALSE),0))*VLOOKUP($D367,素材!$1:$1016,COLUMN(D$1),FALSE),0),"")</f>
        <v>0</v>
      </c>
      <c r="G367">
        <f>IFERROR(ROUNDDOWN((VLOOKUP($C367,装備品!$1:$998,COLUMN(E$1),FALSE)+IFERROR(VLOOKUP($CI367,付与!$1:$1167,COLUMN(G$1),FALSE),0))*VLOOKUP($D367,素材!$1:$1016,COLUMN($E$1),FALSE),0),"")</f>
        <v>0</v>
      </c>
      <c r="H367">
        <f>IFERROR(ROUNDDOWN((VLOOKUP($C367,装備品!$1:$998,COLUMN(F$1),FALSE)+IFERROR(VLOOKUP($CI367,付与!$1:$1167,COLUMN(H$1),FALSE),0))*VLOOKUP($D367,素材!$1:$1016,COLUMN($E$1),FALSE),0),"")</f>
        <v>0</v>
      </c>
      <c r="I367">
        <f>IFERROR(ROUNDDOWN((VLOOKUP($C367,装備品!$1:$998,COLUMN(G$1),FALSE)+IFERROR(VLOOKUP($CI367,付与!$1:$1167,COLUMN(I$1),FALSE),0))*VLOOKUP($D367,素材!$1:$1016,COLUMN($E$1),FALSE),0),"")</f>
        <v>0</v>
      </c>
      <c r="J367">
        <f>IFERROR(ROUNDDOWN((VLOOKUP($C367,装備品!$1:$998,COLUMN(H$1),FALSE)+IFERROR(VLOOKUP($CI367,付与!$1:$1167,COLUMN(J$1),FALSE),0))*VLOOKUP($D367,素材!$1:$1016,COLUMN($E$1),FALSE),0),"")</f>
        <v>0</v>
      </c>
      <c r="K367">
        <f>IFERROR(ROUNDDOWN((VLOOKUP($C367,装備品!$1:$998,COLUMN(I$1),FALSE)+IFERROR(VLOOKUP($CI367,付与!$1:$1167,COLUMN(K$1),FALSE),0))*VLOOKUP($D367,素材!$1:$1016,COLUMN($E$1),FALSE),0),"")</f>
        <v>0</v>
      </c>
      <c r="L367" t="str">
        <f>IFERROR(VLOOKUP($D367,素材!$1:$1016,COLUMN($F$1),FALSE),"")</f>
        <v>炎</v>
      </c>
      <c r="M367">
        <f>IFERROR(VLOOKUP($C367,装備品!$1:$998,COLUMN(AA$1),FALSE)*VLOOKUP($D367,素材!$1:$1016,COLUMN($G$1),FALSE),"")</f>
        <v>25</v>
      </c>
      <c r="N367">
        <f>IFERROR(VLOOKUP($C367,装備品!$1:$998,COLUMN(I$1),FALSE),"")</f>
        <v>0</v>
      </c>
      <c r="O367" s="23" t="str">
        <f>IFERROR((VLOOKUP($C367,装備品!$1:$998,COLUMN(K$1),FALSE)+VLOOKUP($D367,素材!$1:$1016,COLUMN(H$1),FALSE))*100+IFERROR(VLOOKUP($CI367,付与!$1:$1167,COLUMN(O$1),FALSE),0),"")</f>
        <v/>
      </c>
      <c r="P367" s="23" t="str">
        <f>IFERROR((VLOOKUP($C367,装備品!$1:$998,COLUMN(L$1),FALSE)+VLOOKUP($D367,素材!$1:$1016,COLUMN(I$1),FALSE))*100+IFERROR(VLOOKUP($CI367,付与!$1:$1167,COLUMN(P$1),FALSE),0),"")</f>
        <v/>
      </c>
      <c r="Q367">
        <f>IFERROR(ROUNDUP(VLOOKUP($C367,装備品!$1:$998,COLUMN(M$1),FALSE)*(VLOOKUP($D367,素材!$1:$1002,COLUMN(D$1),FALSE)/100),1),"")</f>
        <v>0</v>
      </c>
      <c r="R367">
        <f>IFERROR(ROUNDUP(VLOOKUP($C367,装備品!$1:$998,COLUMN(N$1),FALSE)*(VLOOKUP($D367,素材!$1:$1002,COLUMN(D$1),FALSE)/100),1),"")</f>
        <v>0</v>
      </c>
      <c r="S367">
        <f>IFERROR(VLOOKUP($C367,装備品!$1:$998,COLUMN(P$1),FALSE),"")</f>
        <v>0</v>
      </c>
      <c r="T367">
        <f>IFERROR(VLOOKUP($C367,装備品!$1:$998,COLUMN(Q$1),FALSE),"")</f>
        <v>0</v>
      </c>
      <c r="U367">
        <f>IFERROR(VLOOKUP($C367,装備品!$1:$998,COLUMN(R$1),FALSE),"")</f>
        <v>0</v>
      </c>
      <c r="V367">
        <f>IFERROR(VLOOKUP($C367,装備品!$1:$998,COLUMN(Q$1),FALSE),"")</f>
        <v>0</v>
      </c>
      <c r="W367">
        <f>IFERROR(VLOOKUP($C367,装備品!$1:$998,COLUMN(T$1),FALSE),"")</f>
        <v>0</v>
      </c>
      <c r="Y367">
        <f>IFERROR(VLOOKUP($C367,装備品!$1:$998,COLUMN(U$1),FALSE),"")</f>
        <v>0</v>
      </c>
      <c r="Z367">
        <f>IFERROR(ROUNDUP(VLOOKUP($C367,装備品!$1:$998,COLUMN(O$1),FALSE)*VLOOKUP($D367,素材!$1:$1016,COLUMN(E$1),FALSE),1),"")</f>
        <v>0</v>
      </c>
      <c r="AA367">
        <f>IF(ISNUMBER(SEARCH(SUBSTITUTE(AA$1,RIGHT(AA$1,2),""),VLOOKUP($D367,素材!$1:$1016,COLUMN($F$1),FALSE))),VLOOKUP($C367,装備品!$1:$998,COLUMN($O$1),FALSE)*VLOOKUP($D367,素材!$1:$1016,COLUMN($E$1),FALSE)/(LEN(VLOOKUP($D367,素材!$1:$1016,COLUMN($F$1),FALSE))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</f>
        <v>0</v>
      </c>
      <c r="AB367">
        <f>IF(ISNUMBER(SEARCH(SUBSTITUTE(AB$1,RIGHT(AB$1,2),""),VLOOKUP($D367,素材!$1:$1016,COLUMN($F$1),FALSE))),VLOOKUP($C367,装備品!$1:$998,COLUMN($O$1),FALSE)*VLOOKUP($D367,素材!$1:$1016,COLUMN($E$1),FALSE)/(LEN(VLOOKUP($D367,素材!$1:$1016,COLUMN($F$1),FALSE))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</f>
        <v>0</v>
      </c>
      <c r="AC367">
        <f>IF(ISNUMBER(SEARCH(SUBSTITUTE(AC$1,RIGHT(AC$1,2),""),VLOOKUP($D367,素材!$1:$1016,COLUMN($F$1),FALSE))),VLOOKUP($C367,装備品!$1:$998,COLUMN($O$1),FALSE)*VLOOKUP($D367,素材!$1:$1016,COLUMN($E$1),FALSE)/(LEN(VLOOKUP($D367,素材!$1:$1016,COLUMN($F$1),FALSE))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</f>
        <v>0</v>
      </c>
      <c r="AD367">
        <f>IF(ISNUMBER(SEARCH(SUBSTITUTE(AD$1,RIGHT(AD$1,2),""),VLOOKUP($D367,素材!$1:$1016,COLUMN($F$1),FALSE))),VLOOKUP($C367,装備品!$1:$998,COLUMN($O$1),FALSE)*VLOOKUP($D367,素材!$1:$1016,COLUMN($E$1),FALSE)/(LEN(VLOOKUP($D367,素材!$1:$1016,COLUMN($F$1),FALSE))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</f>
        <v>0</v>
      </c>
      <c r="AE367">
        <f>IF(ISNUMBER(SEARCH(SUBSTITUTE(AE$1,RIGHT(AE$1,2),""),VLOOKUP($D367,素材!$1:$1016,COLUMN($F$1),FALSE))),VLOOKUP($C367,装備品!$1:$998,COLUMN($O$1),FALSE)*VLOOKUP($D367,素材!$1:$1016,COLUMN($E$1),FALSE)/(LEN(VLOOKUP($D367,素材!$1:$1016,COLUMN($F$1),FALSE))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0)+IF($CI367&lt;&gt;"",VLOOKUP($CI367,付与!$A$1:BB$1173,COLUMN(付与!BB$1),FALSE),0)</f>
        <v>5</v>
      </c>
      <c r="AF367">
        <f>IF(ISNUMBER(SEARCH(SUBSTITUTE(AF$1,RIGHT(AF$1,2),""),VLOOKUP($D367,素材!$1:$1016,COLUMN($F$1),FALSE))),VLOOKUP($C367,装備品!$1:$998,COLUMN($O$1),FALSE)*VLOOKUP($D367,素材!$1:$1016,COLUMN($E$1),FALSE)/(LEN(VLOOKUP($D367,素材!$1:$1016,COLUMN($F$1),FALSE))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0)+IF($CI367&lt;&gt;"",VLOOKUP($CI367,付与!$A$1:BC$1173,COLUMN(付与!BC$1),FALSE),0)</f>
        <v>0</v>
      </c>
      <c r="AG367">
        <f>IF(ISNUMBER(SEARCH(SUBSTITUTE(AG$1,RIGHT(AG$1,2),""),VLOOKUP($D367,素材!$1:$1016,COLUMN($F$1),FALSE))),VLOOKUP($C367,装備品!$1:$998,COLUMN($O$1),FALSE)*VLOOKUP($D367,素材!$1:$1016,COLUMN($E$1),FALSE)/(LEN(VLOOKUP($D367,素材!$1:$1016,COLUMN($F$1),FALSE))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0)+IF($CI367&lt;&gt;"",VLOOKUP($CI367,付与!$A$1:BD$1173,COLUMN(付与!BD$1),FALSE),0)</f>
        <v>0</v>
      </c>
      <c r="AH367">
        <f>IF(ISNUMBER(SEARCH(SUBSTITUTE(AH$1,RIGHT(AH$1,2),""),VLOOKUP($D367,素材!$1:$1016,COLUMN($F$1),FALSE))),VLOOKUP($C367,装備品!$1:$998,COLUMN($O$1),FALSE)*VLOOKUP($D367,素材!$1:$1016,COLUMN($E$1),FALSE)/(LEN(VLOOKUP($D367,素材!$1:$1016,COLUMN($F$1),FALSE))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0)+IF($CI367&lt;&gt;"",VLOOKUP($CI367,付与!$A$1:BE$1173,COLUMN(付与!BE$1),FALSE),0)</f>
        <v>0</v>
      </c>
      <c r="AI367">
        <f>IF(ISNUMBER(SEARCH(SUBSTITUTE(AI$1,RIGHT(AI$1,2),""),VLOOKUP($D367,素材!$1:$1016,COLUMN($F$1),FALSE))),VLOOKUP($C367,装備品!$1:$998,COLUMN($O$1),FALSE)*VLOOKUP($D367,素材!$1:$1016,COLUMN($E$1),FALSE)/(LEN(VLOOKUP($D367,素材!$1:$1016,COLUMN($F$1),FALSE))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0)+IF($CI367&lt;&gt;"",VLOOKUP($CI367,付与!$A$1:BF$1173,COLUMN(付与!BF$1),FALSE),0)</f>
        <v>0</v>
      </c>
      <c r="AJ367">
        <f>IF(ISNUMBER(SEARCH(SUBSTITUTE(AJ$1,RIGHT(AJ$1,2),""),VLOOKUP($D367,素材!$1:$1016,COLUMN($F$1),FALSE))),VLOOKUP($C367,装備品!$1:$998,COLUMN($O$1),FALSE)*VLOOKUP($D367,素材!$1:$1016,COLUMN($E$1),FALSE)/(LEN(VLOOKUP($D367,素材!$1:$1016,COLUMN($F$1),FALSE))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0)+IF($CI367&lt;&gt;"",VLOOKUP($CI367,付与!$A$1:BG$1173,COLUMN(付与!BG$1),FALSE),0)</f>
        <v>0</v>
      </c>
      <c r="AK367">
        <f>IF(ISNUMBER(SEARCH(SUBSTITUTE(AK$1,RIGHT(AK$1,2),""),VLOOKUP($D367,素材!$1:$1016,COLUMN($F$1),FALSE))),VLOOKUP($C367,装備品!$1:$998,COLUMN($O$1),FALSE)*VLOOKUP($D367,素材!$1:$1016,COLUMN($E$1),FALSE)/(LEN(VLOOKUP($D367,素材!$1:$1016,COLUMN($F$1),FALSE))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0)+IF($CI367&lt;&gt;"",VLOOKUP($CI367,付与!$A$1:BH$1173,COLUMN(付与!BH$1),FALSE),0)</f>
        <v>0</v>
      </c>
      <c r="AL367">
        <f>IF(ISNUMBER(SEARCH(SUBSTITUTE(AL$1,RIGHT(AL$1,2),""),VLOOKUP($D367,素材!$1:$1016,COLUMN($F$1),FALSE))),VLOOKUP($C367,装備品!$1:$998,COLUMN($O$1),FALSE)*VLOOKUP($D367,素材!$1:$1016,COLUMN($E$1),FALSE)/(LEN(VLOOKUP($D367,素材!$1:$1016,COLUMN($F$1),FALSE))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0)+IF($CI367&lt;&gt;"",VLOOKUP($CI367,付与!$A$1:BI$1173,COLUMN(付与!BI$1),FALSE),0)</f>
        <v>0</v>
      </c>
      <c r="AM367">
        <f>IF(ISNUMBER(SEARCH(SUBSTITUTE(AM$1,RIGHT(AM$1,2),""),VLOOKUP($D367,素材!$1:$1016,COLUMN($F$1),FALSE))),VLOOKUP($C367,装備品!$1:$998,COLUMN($O$1),FALSE)*VLOOKUP($D367,素材!$1:$1016,COLUMN($E$1),FALSE)/(LEN(VLOOKUP($D367,素材!$1:$1016,COLUMN($F$1),FALSE))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0)+IF($CI367&lt;&gt;"",VLOOKUP($CI367,付与!$A$1:BJ$1173,COLUMN(付与!BJ$1),FALSE),0)</f>
        <v>0</v>
      </c>
      <c r="AN367">
        <f>IF(ISNUMBER(SEARCH(SUBSTITUTE(AN$1,RIGHT(AN$1,2),""),VLOOKUP($D367,素材!$1:$1016,COLUMN($F$1),FALSE))),VLOOKUP($C367,装備品!$1:$998,COLUMN($O$1),FALSE)*VLOOKUP($D367,素材!$1:$1016,COLUMN($E$1),FALSE)/(LEN(VLOOKUP($D367,素材!$1:$1016,COLUMN($F$1),FALSE))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0)+IF($CI367&lt;&gt;"",VLOOKUP($CI367,付与!$A$1:BK$1173,COLUMN(付与!BK$1),FALSE),0)</f>
        <v>0</v>
      </c>
      <c r="AO367">
        <f>IF(ISNUMBER(SEARCH(SUBSTITUTE(AO$1,RIGHT(AO$1,2),""),VLOOKUP($D367,素材!$1:$1016,COLUMN($F$1),FALSE))),VLOOKUP($C367,装備品!$1:$998,COLUMN($O$1),FALSE)*VLOOKUP($D367,素材!$1:$1016,COLUMN($E$1),FALSE)/(LEN(VLOOKUP($D367,素材!$1:$1016,COLUMN($F$1),FALSE))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0)+IF($CI367&lt;&gt;"",VLOOKUP($CI367,付与!$A$1:BM$1173,COLUMN(付与!BM$1),FALSE),0)</f>
        <v>0</v>
      </c>
      <c r="AP367">
        <f>IF(ISNUMBER(SEARCH(SUBSTITUTE(AP$1,RIGHT(AP$1,2),""),VLOOKUP($D367,素材!$1:$1016,COLUMN($F$1),FALSE))),VLOOKUP($C367,装備品!$1:$998,COLUMN($O$1),FALSE)*VLOOKUP($D367,素材!$1:$1016,COLUMN($E$1),FALSE)/(LEN(VLOOKUP($D367,素材!$1:$1016,COLUMN($F$1),FALSE))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0)+IF($CI367&lt;&gt;"",VLOOKUP($CI367,付与!$A$1:BN$1173,COLUMN(付与!BN$1),FALSE),0)</f>
        <v>0</v>
      </c>
      <c r="AQ367">
        <f>IF(ISNUMBER(SEARCH(SUBSTITUTE(AQ$1,RIGHT(AQ$1,2),""),VLOOKUP($D367,素材!$1:$1016,COLUMN($F$1),FALSE))),VLOOKUP($C367,装備品!$1:$998,COLUMN($O$1),FALSE)*VLOOKUP($D367,素材!$1:$1016,COLUMN($E$1),FALSE)/(LEN(VLOOKUP($D367,素材!$1:$1016,COLUMN($F$1),FALSE))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0)+IF($CI367&lt;&gt;"",VLOOKUP($CI367,付与!$A$1:BP$1173,COLUMN(付与!BP$1),FALSE),0)</f>
        <v>0</v>
      </c>
      <c r="AR367">
        <f>IF(ISNUMBER(SEARCH(SUBSTITUTE(AR$1,RIGHT(AR$1,2),""),VLOOKUP($D367,素材!$1:$1016,COLUMN($F$1),FALSE))),VLOOKUP($C367,装備品!$1:$998,COLUMN($O$1),FALSE)*VLOOKUP($D367,素材!$1:$1016,COLUMN($E$1),FALSE)/(LEN(VLOOKUP($D367,素材!$1:$1016,COLUMN($F$1),FALSE))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0)+IF($CI367&lt;&gt;"",VLOOKUP($CI367,付与!$A$1:BQ$1173,COLUMN(付与!BQ$1),FALSE),0)</f>
        <v>0</v>
      </c>
      <c r="AS367">
        <f>IF(ISNUMBER(SEARCH(SUBSTITUTE(AS$1,RIGHT(AS$1,2),""),VLOOKUP($D367,素材!$1:$1016,COLUMN($F$1),FALSE))),VLOOKUP($C367,装備品!$1:$998,COLUMN($O$1),FALSE)*VLOOKUP($D367,素材!$1:$1016,COLUMN($E$1),FALSE)/(LEN(VLOOKUP($D367,素材!$1:$1016,COLUMN($F$1),FALSE))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0)+IF($CI367&lt;&gt;"",VLOOKUP($CI367,付与!$A$1:BR$1173,COLUMN(付与!BR$1),FALSE),0)</f>
        <v>0</v>
      </c>
      <c r="AT367">
        <f>IF(ISNUMBER(SEARCH(SUBSTITUTE(AT$1,RIGHT(AT$1,2),""),VLOOKUP($D367,素材!$1:$1016,COLUMN($F$1),FALSE))),VLOOKUP($C367,装備品!$1:$998,COLUMN($O$1),FALSE)*VLOOKUP($D367,素材!$1:$1016,COLUMN($E$1),FALSE)/(LEN(VLOOKUP($D367,素材!$1:$1016,COLUMN($F$1),FALSE))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0)+IF($CI367&lt;&gt;"",VLOOKUP($CI367,付与!$A$1:BV$1173,COLUMN(付与!BV$1),FALSE),0)</f>
        <v>0</v>
      </c>
      <c r="AU367">
        <f>IF(ISNUMBER(SEARCH(SUBSTITUTE(AU$1,RIGHT(AU$1,2),""),VLOOKUP($D367,素材!$1:$1016,COLUMN($F$1),FALSE))),VLOOKUP($C367,装備品!$1:$998,COLUMN($O$1),FALSE)*VLOOKUP($D367,素材!$1:$1016,COLUMN($E$1),FALSE)/(LEN(VLOOKUP($D367,素材!$1:$1016,COLUMN($F$1),FALSE))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0)+IF($CI367&lt;&gt;"",VLOOKUP($CI367,付与!$A$1:BW$1173,COLUMN(付与!BW$1),FALSE),0)</f>
        <v>0</v>
      </c>
      <c r="AV367">
        <f>IF(ISNUMBER(SEARCH(SUBSTITUTE(AV$1,RIGHT(AV$1,2),""),VLOOKUP($D367,素材!$1:$1016,COLUMN($F$1),FALSE))),VLOOKUP($C367,装備品!$1:$998,COLUMN($O$1),FALSE)*VLOOKUP($D367,素材!$1:$1016,COLUMN($E$1),FALSE)/(LEN(VLOOKUP($D367,素材!$1:$1016,COLUMN($F$1),FALSE))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0)+IF($CI367&lt;&gt;"",VLOOKUP($CI367,付与!$A$1:BS$1173,COLUMN(付与!BS$1),FALSE),0)</f>
        <v>0</v>
      </c>
      <c r="AW367">
        <f>IF(ISNUMBER(SEARCH(SUBSTITUTE(AW$1,RIGHT(AW$1,2),""),VLOOKUP($D367,素材!$1:$1016,COLUMN($F$1),FALSE))),VLOOKUP($C367,装備品!$1:$998,COLUMN($O$1),FALSE)*VLOOKUP($D367,素材!$1:$1016,COLUMN($E$1),FALSE)/(LEN(VLOOKUP($D367,素材!$1:$1016,COLUMN($F$1),FALSE))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0)+IF($CI367&lt;&gt;"",VLOOKUP($CI367,付与!$A$1:BT$1173,COLUMN(付与!BT$1),FALSE),0)</f>
        <v>0</v>
      </c>
      <c r="AX367">
        <f>IF(ISNUMBER(SEARCH(SUBSTITUTE(AX$1,RIGHT(AX$1,2),""),VLOOKUP($D367,素材!$1:$1016,COLUMN($F$1),FALSE))),VLOOKUP($C367,装備品!$1:$998,COLUMN($O$1),FALSE)*VLOOKUP($D367,素材!$1:$1016,COLUMN($E$1),FALSE)/(LEN(VLOOKUP($D367,素材!$1:$1016,COLUMN($F$1),FALSE))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0)+IF($CI367&lt;&gt;"",VLOOKUP($CI367,付与!$A$1:BU$1173,COLUMN(付与!BU$1),FALSE),0)</f>
        <v>0</v>
      </c>
      <c r="AY367">
        <f>IF(ISNUMBER(SEARCH(SUBSTITUTE(AY$1,RIGHT(AY$1,2),""),VLOOKUP($D367,素材!$1:$1016,COLUMN($F$1),FALSE))),VLOOKUP($C367,装備品!$1:$998,COLUMN($O$1),FALSE)*VLOOKUP($D367,素材!$1:$1016,COLUMN($E$1),FALSE)/(LEN(VLOOKUP($D367,素材!$1:$1016,COLUMN($F$1),FALSE))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0)+IF($CI367&lt;&gt;"",VLOOKUP($CI367,付与!$A$1:BU$1173,COLUMN(付与!BO$1),FALSE),0)</f>
        <v>0</v>
      </c>
      <c r="AZ367">
        <f>IF(ISNUMBER(SEARCH(SUBSTITUTE(AZ$1,RIGHT(AZ$1,2),""),VLOOKUP($D367,素材!$1:$1016,COLUMN($F$1),FALSE))),VLOOKUP($C367,装備品!$1:$998,COLUMN($O$1),FALSE)*VLOOKUP($D367,素材!$1:$1016,COLUMN($E$1),FALSE)/(LEN(VLOOKUP($D367,素材!$1:$1016,COLUMN($F$1),FALSE))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0)+IF($CI367&lt;&gt;"",VLOOKUP($CI367,付与!$A$1:BX$1173,COLUMN(付与!BX$1),FALSE),0)</f>
        <v>0</v>
      </c>
      <c r="BA367">
        <f>IF(ISNUMBER(SEARCH(SUBSTITUTE(BA$1,RIGHT(BA$1,2),""),VLOOKUP($D367,素材!$1:$1016,COLUMN($F$1),FALSE))),VLOOKUP($C367,装備品!$1:$998,COLUMN($O$1),FALSE)*VLOOKUP($D367,素材!$1:$1016,COLUMN($E$1),FALSE)/(LEN(VLOOKUP($D367,素材!$1:$1016,COLUMN($F$1),FALSE))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0)+IF($CI367&lt;&gt;"",VLOOKUP($CI367,付与!$A$1:BY$1173,COLUMN(付与!BY$1),FALSE),0)</f>
        <v>0</v>
      </c>
      <c r="BB367">
        <f>IF(ISNUMBER(SEARCH(SUBSTITUTE(BB$1,RIGHT(BB$1,2),""),VLOOKUP($D367,素材!$1:$1016,COLUMN($F$1),FALSE))),VLOOKUP($C367,装備品!$1:$998,COLUMN($O$1),FALSE)*VLOOKUP($D367,素材!$1:$1016,COLUMN($E$1),FALSE)/(LEN(VLOOKUP($D367,素材!$1:$1016,COLUMN($F$1),FALSE))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0)+IF($CI367&lt;&gt;"",VLOOKUP($CI367,付与!$A$1:BZ$1173,COLUMN(付与!BZ$1),FALSE),0)</f>
        <v>0</v>
      </c>
      <c r="BC367">
        <f>IF(ISNUMBER(SEARCH(SUBSTITUTE(BC$1,RIGHT(BC$1,2),""),VLOOKUP($D367,素材!$1:$1016,COLUMN($F$1),FALSE))),VLOOKUP($C367,装備品!$1:$998,COLUMN($O$1),FALSE)*VLOOKUP($D367,素材!$1:$1016,COLUMN($E$1),FALSE)/(LEN(VLOOKUP($D367,素材!$1:$1016,COLUMN($F$1),FALSE))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0)+IF($CI367&lt;&gt;"",VLOOKUP($CI367,付与!$A$1:CA$1173,COLUMN(付与!CA$1),FALSE),0)</f>
        <v>0</v>
      </c>
      <c r="BD367">
        <f>IF(ISNUMBER(SEARCH(SUBSTITUTE(BD$1,RIGHT(BD$1,2),""),VLOOKUP($D367,素材!$1:$1016,COLUMN($F$1),FALSE))),VLOOKUP($C367,装備品!$1:$998,COLUMN($O$1),FALSE)*VLOOKUP($D367,素材!$1:$1016,COLUMN($E$1),FALSE)/(LEN(VLOOKUP($D367,素材!$1:$1016,COLUMN($F$1),FALSE))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0)+IF($CI367&lt;&gt;"",VLOOKUP($CI367,付与!$A$1:CB$1173,COLUMN(付与!CB$1),FALSE),0)</f>
        <v>0</v>
      </c>
      <c r="BE367">
        <f>IF(ISNUMBER(SEARCH(SUBSTITUTE(BE$1,RIGHT(BE$1,2),""),VLOOKUP($D367,素材!$1:$1016,COLUMN($F$1),FALSE))),VLOOKUP($C367,装備品!$1:$998,COLUMN($O$1),FALSE)*VLOOKUP($D367,素材!$1:$1016,COLUMN($E$1),FALSE)/(LEN(VLOOKUP($D367,素材!$1:$1016,COLUMN($F$1),FALSE))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0)+IF($CI367&lt;&gt;"",VLOOKUP($CI367,付与!$A$1:CC$1173,COLUMN(付与!CC$1),FALSE),0)</f>
        <v>0</v>
      </c>
      <c r="CI367" t="s">
        <v>14</v>
      </c>
      <c r="CL367">
        <f t="shared" si="47"/>
        <v>0</v>
      </c>
      <c r="CM367" s="22" t="str">
        <f t="shared" si="48"/>
        <v>装飾.webp</v>
      </c>
      <c r="CN367">
        <f>IFERROR(VLOOKUP($C367,装備品!$1:$998,COLUMN(V$1),FALSE)*VLOOKUP($D367,素材!$1:$1016,COLUMN(N$1),FALSE)+IF(CI367="",0,VLOOKUP($CI367,付与!$1:$1176,COLUMN($CK$1),FALSE)),"")</f>
        <v>0</v>
      </c>
      <c r="CO367" t="str">
        <f>VLOOKUP(D367,素材!$A:$O,COLUMN(素材!O$1),FALSE)</f>
        <v>炎属性を持つドラゴン型生物から採取される鱗素材。強力な炎属性防御を備えており、耐熱性が求められる場面で特に有用です。</v>
      </c>
      <c r="CP367" t="str">
        <f>VLOOKUP(C367,装備品!$A:$AB,COLUMN(装備品!AB$1),FALSE)</f>
        <v xml:space="preserve">防御 隠密 </v>
      </c>
      <c r="CR367" t="str">
        <f t="shared" si="54"/>
        <v>e_367</v>
      </c>
      <c r="CS367">
        <f t="shared" ref="CS367:CS370" si="55">CN367*100</f>
        <v>0</v>
      </c>
    </row>
    <row r="368" spans="1:97" ht="37.5" outlineLevel="1" x14ac:dyDescent="0.4">
      <c r="A368" s="1" t="s">
        <v>1253</v>
      </c>
      <c r="B368" t="str">
        <f>IFERROR(VLOOKUP($D368,素材!$1:$1016,COLUMN($B$1),FALSE)&amp;"・"&amp;VLOOKUP($C368,装備品!$1:$998,COLUMN(B$1),FALSE),"")</f>
        <v>アイスドレイクスケール・マント</v>
      </c>
      <c r="C368" t="s">
        <v>1251</v>
      </c>
      <c r="D368" s="24" t="s">
        <v>247</v>
      </c>
      <c r="E368" t="str">
        <f>IFERROR(VLOOKUP(C368,装備品!$1:$998,COLUMN(C$1),FALSE),"")</f>
        <v>装飾</v>
      </c>
      <c r="F368">
        <f>IFERROR(ROUNDDOWN((VLOOKUP($C368,装備品!$1:$998,COLUMN(D$1),FALSE)+IFERROR(VLOOKUP($CI368,付与!$1:$1167,COLUMN(F$1),FALSE),0))*VLOOKUP($D368,素材!$1:$1016,COLUMN(D$1),FALSE),0),"")</f>
        <v>0</v>
      </c>
      <c r="G368">
        <f>IFERROR(ROUNDDOWN((VLOOKUP($C368,装備品!$1:$998,COLUMN(E$1),FALSE)+IFERROR(VLOOKUP($CI368,付与!$1:$1167,COLUMN(G$1),FALSE),0))*VLOOKUP($D368,素材!$1:$1016,COLUMN($E$1),FALSE),0),"")</f>
        <v>0</v>
      </c>
      <c r="H368">
        <f>IFERROR(ROUNDDOWN((VLOOKUP($C368,装備品!$1:$998,COLUMN(F$1),FALSE)+IFERROR(VLOOKUP($CI368,付与!$1:$1167,COLUMN(H$1),FALSE),0))*VLOOKUP($D368,素材!$1:$1016,COLUMN($E$1),FALSE),0),"")</f>
        <v>0</v>
      </c>
      <c r="I368">
        <f>IFERROR(ROUNDDOWN((VLOOKUP($C368,装備品!$1:$998,COLUMN(G$1),FALSE)+IFERROR(VLOOKUP($CI368,付与!$1:$1167,COLUMN(I$1),FALSE),0))*VLOOKUP($D368,素材!$1:$1016,COLUMN($E$1),FALSE),0),"")</f>
        <v>0</v>
      </c>
      <c r="J368">
        <f>IFERROR(ROUNDDOWN((VLOOKUP($C368,装備品!$1:$998,COLUMN(H$1),FALSE)+IFERROR(VLOOKUP($CI368,付与!$1:$1167,COLUMN(J$1),FALSE),0))*VLOOKUP($D368,素材!$1:$1016,COLUMN($E$1),FALSE),0),"")</f>
        <v>0</v>
      </c>
      <c r="K368">
        <f>IFERROR(ROUNDDOWN((VLOOKUP($C368,装備品!$1:$998,COLUMN(I$1),FALSE)+IFERROR(VLOOKUP($CI368,付与!$1:$1167,COLUMN(K$1),FALSE),0))*VLOOKUP($D368,素材!$1:$1016,COLUMN($E$1),FALSE),0),"")</f>
        <v>0</v>
      </c>
      <c r="L368" t="str">
        <f>IFERROR(VLOOKUP($D368,素材!$1:$1016,COLUMN($F$1),FALSE),"")</f>
        <v>氷</v>
      </c>
      <c r="M368">
        <f>IFERROR(VLOOKUP($C368,装備品!$1:$998,COLUMN(AA$1),FALSE)*VLOOKUP($D368,素材!$1:$1016,COLUMN($G$1),FALSE),"")</f>
        <v>25</v>
      </c>
      <c r="N368">
        <f>IFERROR(VLOOKUP($C368,装備品!$1:$998,COLUMN(I$1),FALSE),"")</f>
        <v>0</v>
      </c>
      <c r="O368" s="23" t="str">
        <f>IFERROR((VLOOKUP($C368,装備品!$1:$998,COLUMN(K$1),FALSE)+VLOOKUP($D368,素材!$1:$1016,COLUMN(H$1),FALSE))*100+IFERROR(VLOOKUP($CI368,付与!$1:$1167,COLUMN(O$1),FALSE),0),"")</f>
        <v/>
      </c>
      <c r="P368" s="23" t="str">
        <f>IFERROR((VLOOKUP($C368,装備品!$1:$998,COLUMN(L$1),FALSE)+VLOOKUP($D368,素材!$1:$1016,COLUMN(I$1),FALSE))*100+IFERROR(VLOOKUP($CI368,付与!$1:$1167,COLUMN(P$1),FALSE),0),"")</f>
        <v/>
      </c>
      <c r="Q368">
        <f>IFERROR(ROUNDUP(VLOOKUP($C368,装備品!$1:$998,COLUMN(M$1),FALSE)*(VLOOKUP($D368,素材!$1:$1002,COLUMN(D$1),FALSE)/100),1),"")</f>
        <v>0</v>
      </c>
      <c r="R368">
        <f>IFERROR(ROUNDUP(VLOOKUP($C368,装備品!$1:$998,COLUMN(N$1),FALSE)*(VLOOKUP($D368,素材!$1:$1002,COLUMN(D$1),FALSE)/100),1),"")</f>
        <v>0</v>
      </c>
      <c r="S368">
        <f>IFERROR(VLOOKUP($C368,装備品!$1:$998,COLUMN(P$1),FALSE),"")</f>
        <v>0</v>
      </c>
      <c r="T368">
        <f>IFERROR(VLOOKUP($C368,装備品!$1:$998,COLUMN(Q$1),FALSE),"")</f>
        <v>0</v>
      </c>
      <c r="U368">
        <f>IFERROR(VLOOKUP($C368,装備品!$1:$998,COLUMN(R$1),FALSE),"")</f>
        <v>0</v>
      </c>
      <c r="V368">
        <f>IFERROR(VLOOKUP($C368,装備品!$1:$998,COLUMN(Q$1),FALSE),"")</f>
        <v>0</v>
      </c>
      <c r="W368">
        <f>IFERROR(VLOOKUP($C368,装備品!$1:$998,COLUMN(T$1),FALSE),"")</f>
        <v>0</v>
      </c>
      <c r="Y368">
        <f>IFERROR(VLOOKUP($C368,装備品!$1:$998,COLUMN(U$1),FALSE),"")</f>
        <v>0</v>
      </c>
      <c r="Z368">
        <f>IFERROR(ROUNDUP(VLOOKUP($C368,装備品!$1:$998,COLUMN(O$1),FALSE)*VLOOKUP($D368,素材!$1:$1016,COLUMN(E$1),FALSE),1),"")</f>
        <v>0</v>
      </c>
      <c r="AA368">
        <f>IF(ISNUMBER(SEARCH(SUBSTITUTE(AA$1,RIGHT(AA$1,2),""),VLOOKUP($D368,素材!$1:$1016,COLUMN($F$1),FALSE))),VLOOKUP($C368,装備品!$1:$998,COLUMN($O$1),FALSE)*VLOOKUP($D368,素材!$1:$1016,COLUMN($E$1),FALSE)/(LEN(VLOOKUP($D368,素材!$1:$1016,COLUMN($F$1),FALSE))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</f>
        <v>0</v>
      </c>
      <c r="AB368">
        <f>IF(ISNUMBER(SEARCH(SUBSTITUTE(AB$1,RIGHT(AB$1,2),""),VLOOKUP($D368,素材!$1:$1016,COLUMN($F$1),FALSE))),VLOOKUP($C368,装備品!$1:$998,COLUMN($O$1),FALSE)*VLOOKUP($D368,素材!$1:$1016,COLUMN($E$1),FALSE)/(LEN(VLOOKUP($D368,素材!$1:$1016,COLUMN($F$1),FALSE))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</f>
        <v>0</v>
      </c>
      <c r="AC368">
        <f>IF(ISNUMBER(SEARCH(SUBSTITUTE(AC$1,RIGHT(AC$1,2),""),VLOOKUP($D368,素材!$1:$1016,COLUMN($F$1),FALSE))),VLOOKUP($C368,装備品!$1:$998,COLUMN($O$1),FALSE)*VLOOKUP($D368,素材!$1:$1016,COLUMN($E$1),FALSE)/(LEN(VLOOKUP($D368,素材!$1:$1016,COLUMN($F$1),FALSE))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</f>
        <v>0</v>
      </c>
      <c r="AD368">
        <f>IF(ISNUMBER(SEARCH(SUBSTITUTE(AD$1,RIGHT(AD$1,2),""),VLOOKUP($D368,素材!$1:$1016,COLUMN($F$1),FALSE))),VLOOKUP($C368,装備品!$1:$998,COLUMN($O$1),FALSE)*VLOOKUP($D368,素材!$1:$1016,COLUMN($E$1),FALSE)/(LEN(VLOOKUP($D368,素材!$1:$1016,COLUMN($F$1),FALSE))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</f>
        <v>0</v>
      </c>
      <c r="AE368">
        <f>IF(ISNUMBER(SEARCH(SUBSTITUTE(AE$1,RIGHT(AE$1,2),""),VLOOKUP($D368,素材!$1:$1016,COLUMN($F$1),FALSE))),VLOOKUP($C368,装備品!$1:$998,COLUMN($O$1),FALSE)*VLOOKUP($D368,素材!$1:$1016,COLUMN($E$1),FALSE)/(LEN(VLOOKUP($D368,素材!$1:$1016,COLUMN($F$1),FALSE))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0)+IF($CI368&lt;&gt;"",VLOOKUP($CI368,付与!$A$1:BB$1173,COLUMN(付与!BB$1),FALSE),0)</f>
        <v>0</v>
      </c>
      <c r="AF368">
        <f>IF(ISNUMBER(SEARCH(SUBSTITUTE(AF$1,RIGHT(AF$1,2),""),VLOOKUP($D368,素材!$1:$1016,COLUMN($F$1),FALSE))),VLOOKUP($C368,装備品!$1:$998,COLUMN($O$1),FALSE)*VLOOKUP($D368,素材!$1:$1016,COLUMN($E$1),FALSE)/(LEN(VLOOKUP($D368,素材!$1:$1016,COLUMN($F$1),FALSE))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0)+IF($CI368&lt;&gt;"",VLOOKUP($CI368,付与!$A$1:BC$1173,COLUMN(付与!BC$1),FALSE),0)</f>
        <v>5</v>
      </c>
      <c r="AG368">
        <f>IF(ISNUMBER(SEARCH(SUBSTITUTE(AG$1,RIGHT(AG$1,2),""),VLOOKUP($D368,素材!$1:$1016,COLUMN($F$1),FALSE))),VLOOKUP($C368,装備品!$1:$998,COLUMN($O$1),FALSE)*VLOOKUP($D368,素材!$1:$1016,COLUMN($E$1),FALSE)/(LEN(VLOOKUP($D368,素材!$1:$1016,COLUMN($F$1),FALSE))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0)+IF($CI368&lt;&gt;"",VLOOKUP($CI368,付与!$A$1:BD$1173,COLUMN(付与!BD$1),FALSE),0)</f>
        <v>0</v>
      </c>
      <c r="AH368">
        <f>IF(ISNUMBER(SEARCH(SUBSTITUTE(AH$1,RIGHT(AH$1,2),""),VLOOKUP($D368,素材!$1:$1016,COLUMN($F$1),FALSE))),VLOOKUP($C368,装備品!$1:$998,COLUMN($O$1),FALSE)*VLOOKUP($D368,素材!$1:$1016,COLUMN($E$1),FALSE)/(LEN(VLOOKUP($D368,素材!$1:$1016,COLUMN($F$1),FALSE))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0)+IF($CI368&lt;&gt;"",VLOOKUP($CI368,付与!$A$1:BE$1173,COLUMN(付与!BE$1),FALSE),0)</f>
        <v>0</v>
      </c>
      <c r="AI368">
        <f>IF(ISNUMBER(SEARCH(SUBSTITUTE(AI$1,RIGHT(AI$1,2),""),VLOOKUP($D368,素材!$1:$1016,COLUMN($F$1),FALSE))),VLOOKUP($C368,装備品!$1:$998,COLUMN($O$1),FALSE)*VLOOKUP($D368,素材!$1:$1016,COLUMN($E$1),FALSE)/(LEN(VLOOKUP($D368,素材!$1:$1016,COLUMN($F$1),FALSE))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0)+IF($CI368&lt;&gt;"",VLOOKUP($CI368,付与!$A$1:BF$1173,COLUMN(付与!BF$1),FALSE),0)</f>
        <v>0</v>
      </c>
      <c r="AJ368">
        <f>IF(ISNUMBER(SEARCH(SUBSTITUTE(AJ$1,RIGHT(AJ$1,2),""),VLOOKUP($D368,素材!$1:$1016,COLUMN($F$1),FALSE))),VLOOKUP($C368,装備品!$1:$998,COLUMN($O$1),FALSE)*VLOOKUP($D368,素材!$1:$1016,COLUMN($E$1),FALSE)/(LEN(VLOOKUP($D368,素材!$1:$1016,COLUMN($F$1),FALSE))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0)+IF($CI368&lt;&gt;"",VLOOKUP($CI368,付与!$A$1:BG$1173,COLUMN(付与!BG$1),FALSE),0)</f>
        <v>0</v>
      </c>
      <c r="AK368">
        <f>IF(ISNUMBER(SEARCH(SUBSTITUTE(AK$1,RIGHT(AK$1,2),""),VLOOKUP($D368,素材!$1:$1016,COLUMN($F$1),FALSE))),VLOOKUP($C368,装備品!$1:$998,COLUMN($O$1),FALSE)*VLOOKUP($D368,素材!$1:$1016,COLUMN($E$1),FALSE)/(LEN(VLOOKUP($D368,素材!$1:$1016,COLUMN($F$1),FALSE))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0)+IF($CI368&lt;&gt;"",VLOOKUP($CI368,付与!$A$1:BH$1173,COLUMN(付与!BH$1),FALSE),0)</f>
        <v>0</v>
      </c>
      <c r="AL368">
        <f>IF(ISNUMBER(SEARCH(SUBSTITUTE(AL$1,RIGHT(AL$1,2),""),VLOOKUP($D368,素材!$1:$1016,COLUMN($F$1),FALSE))),VLOOKUP($C368,装備品!$1:$998,COLUMN($O$1),FALSE)*VLOOKUP($D368,素材!$1:$1016,COLUMN($E$1),FALSE)/(LEN(VLOOKUP($D368,素材!$1:$1016,COLUMN($F$1),FALSE))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0)+IF($CI368&lt;&gt;"",VLOOKUP($CI368,付与!$A$1:BI$1173,COLUMN(付与!BI$1),FALSE),0)</f>
        <v>0</v>
      </c>
      <c r="AM368">
        <f>IF(ISNUMBER(SEARCH(SUBSTITUTE(AM$1,RIGHT(AM$1,2),""),VLOOKUP($D368,素材!$1:$1016,COLUMN($F$1),FALSE))),VLOOKUP($C368,装備品!$1:$998,COLUMN($O$1),FALSE)*VLOOKUP($D368,素材!$1:$1016,COLUMN($E$1),FALSE)/(LEN(VLOOKUP($D368,素材!$1:$1016,COLUMN($F$1),FALSE))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0)+IF($CI368&lt;&gt;"",VLOOKUP($CI368,付与!$A$1:BJ$1173,COLUMN(付与!BJ$1),FALSE),0)</f>
        <v>0</v>
      </c>
      <c r="AN368">
        <f>IF(ISNUMBER(SEARCH(SUBSTITUTE(AN$1,RIGHT(AN$1,2),""),VLOOKUP($D368,素材!$1:$1016,COLUMN($F$1),FALSE))),VLOOKUP($C368,装備品!$1:$998,COLUMN($O$1),FALSE)*VLOOKUP($D368,素材!$1:$1016,COLUMN($E$1),FALSE)/(LEN(VLOOKUP($D368,素材!$1:$1016,COLUMN($F$1),FALSE))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0)+IF($CI368&lt;&gt;"",VLOOKUP($CI368,付与!$A$1:BK$1173,COLUMN(付与!BK$1),FALSE),0)</f>
        <v>0</v>
      </c>
      <c r="AO368">
        <f>IF(ISNUMBER(SEARCH(SUBSTITUTE(AO$1,RIGHT(AO$1,2),""),VLOOKUP($D368,素材!$1:$1016,COLUMN($F$1),FALSE))),VLOOKUP($C368,装備品!$1:$998,COLUMN($O$1),FALSE)*VLOOKUP($D368,素材!$1:$1016,COLUMN($E$1),FALSE)/(LEN(VLOOKUP($D368,素材!$1:$1016,COLUMN($F$1),FALSE))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0)+IF($CI368&lt;&gt;"",VLOOKUP($CI368,付与!$A$1:BM$1173,COLUMN(付与!BM$1),FALSE),0)</f>
        <v>0</v>
      </c>
      <c r="AP368">
        <f>IF(ISNUMBER(SEARCH(SUBSTITUTE(AP$1,RIGHT(AP$1,2),""),VLOOKUP($D368,素材!$1:$1016,COLUMN($F$1),FALSE))),VLOOKUP($C368,装備品!$1:$998,COLUMN($O$1),FALSE)*VLOOKUP($D368,素材!$1:$1016,COLUMN($E$1),FALSE)/(LEN(VLOOKUP($D368,素材!$1:$1016,COLUMN($F$1),FALSE))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0)+IF($CI368&lt;&gt;"",VLOOKUP($CI368,付与!$A$1:BN$1173,COLUMN(付与!BN$1),FALSE),0)</f>
        <v>0</v>
      </c>
      <c r="AQ368">
        <f>IF(ISNUMBER(SEARCH(SUBSTITUTE(AQ$1,RIGHT(AQ$1,2),""),VLOOKUP($D368,素材!$1:$1016,COLUMN($F$1),FALSE))),VLOOKUP($C368,装備品!$1:$998,COLUMN($O$1),FALSE)*VLOOKUP($D368,素材!$1:$1016,COLUMN($E$1),FALSE)/(LEN(VLOOKUP($D368,素材!$1:$1016,COLUMN($F$1),FALSE))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0)+IF($CI368&lt;&gt;"",VLOOKUP($CI368,付与!$A$1:BP$1173,COLUMN(付与!BP$1),FALSE),0)</f>
        <v>0</v>
      </c>
      <c r="AR368">
        <f>IF(ISNUMBER(SEARCH(SUBSTITUTE(AR$1,RIGHT(AR$1,2),""),VLOOKUP($D368,素材!$1:$1016,COLUMN($F$1),FALSE))),VLOOKUP($C368,装備品!$1:$998,COLUMN($O$1),FALSE)*VLOOKUP($D368,素材!$1:$1016,COLUMN($E$1),FALSE)/(LEN(VLOOKUP($D368,素材!$1:$1016,COLUMN($F$1),FALSE))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0)+IF($CI368&lt;&gt;"",VLOOKUP($CI368,付与!$A$1:BQ$1173,COLUMN(付与!BQ$1),FALSE),0)</f>
        <v>0</v>
      </c>
      <c r="AS368">
        <f>IF(ISNUMBER(SEARCH(SUBSTITUTE(AS$1,RIGHT(AS$1,2),""),VLOOKUP($D368,素材!$1:$1016,COLUMN($F$1),FALSE))),VLOOKUP($C368,装備品!$1:$998,COLUMN($O$1),FALSE)*VLOOKUP($D368,素材!$1:$1016,COLUMN($E$1),FALSE)/(LEN(VLOOKUP($D368,素材!$1:$1016,COLUMN($F$1),FALSE))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0)+IF($CI368&lt;&gt;"",VLOOKUP($CI368,付与!$A$1:BR$1173,COLUMN(付与!BR$1),FALSE),0)</f>
        <v>0</v>
      </c>
      <c r="AT368">
        <f>IF(ISNUMBER(SEARCH(SUBSTITUTE(AT$1,RIGHT(AT$1,2),""),VLOOKUP($D368,素材!$1:$1016,COLUMN($F$1),FALSE))),VLOOKUP($C368,装備品!$1:$998,COLUMN($O$1),FALSE)*VLOOKUP($D368,素材!$1:$1016,COLUMN($E$1),FALSE)/(LEN(VLOOKUP($D368,素材!$1:$1016,COLUMN($F$1),FALSE))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0)+IF($CI368&lt;&gt;"",VLOOKUP($CI368,付与!$A$1:BV$1173,COLUMN(付与!BV$1),FALSE),0)</f>
        <v>0</v>
      </c>
      <c r="AU368">
        <f>IF(ISNUMBER(SEARCH(SUBSTITUTE(AU$1,RIGHT(AU$1,2),""),VLOOKUP($D368,素材!$1:$1016,COLUMN($F$1),FALSE))),VLOOKUP($C368,装備品!$1:$998,COLUMN($O$1),FALSE)*VLOOKUP($D368,素材!$1:$1016,COLUMN($E$1),FALSE)/(LEN(VLOOKUP($D368,素材!$1:$1016,COLUMN($F$1),FALSE))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0)+IF($CI368&lt;&gt;"",VLOOKUP($CI368,付与!$A$1:BW$1173,COLUMN(付与!BW$1),FALSE),0)</f>
        <v>0</v>
      </c>
      <c r="AV368">
        <f>IF(ISNUMBER(SEARCH(SUBSTITUTE(AV$1,RIGHT(AV$1,2),""),VLOOKUP($D368,素材!$1:$1016,COLUMN($F$1),FALSE))),VLOOKUP($C368,装備品!$1:$998,COLUMN($O$1),FALSE)*VLOOKUP($D368,素材!$1:$1016,COLUMN($E$1),FALSE)/(LEN(VLOOKUP($D368,素材!$1:$1016,COLUMN($F$1),FALSE))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0)+IF($CI368&lt;&gt;"",VLOOKUP($CI368,付与!$A$1:BS$1173,COLUMN(付与!BS$1),FALSE),0)</f>
        <v>0</v>
      </c>
      <c r="AW368">
        <f>IF(ISNUMBER(SEARCH(SUBSTITUTE(AW$1,RIGHT(AW$1,2),""),VLOOKUP($D368,素材!$1:$1016,COLUMN($F$1),FALSE))),VLOOKUP($C368,装備品!$1:$998,COLUMN($O$1),FALSE)*VLOOKUP($D368,素材!$1:$1016,COLUMN($E$1),FALSE)/(LEN(VLOOKUP($D368,素材!$1:$1016,COLUMN($F$1),FALSE))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0)+IF($CI368&lt;&gt;"",VLOOKUP($CI368,付与!$A$1:BT$1173,COLUMN(付与!BT$1),FALSE),0)</f>
        <v>0</v>
      </c>
      <c r="AX368">
        <f>IF(ISNUMBER(SEARCH(SUBSTITUTE(AX$1,RIGHT(AX$1,2),""),VLOOKUP($D368,素材!$1:$1016,COLUMN($F$1),FALSE))),VLOOKUP($C368,装備品!$1:$998,COLUMN($O$1),FALSE)*VLOOKUP($D368,素材!$1:$1016,COLUMN($E$1),FALSE)/(LEN(VLOOKUP($D368,素材!$1:$1016,COLUMN($F$1),FALSE))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0)+IF($CI368&lt;&gt;"",VLOOKUP($CI368,付与!$A$1:BU$1173,COLUMN(付与!BU$1),FALSE),0)</f>
        <v>0</v>
      </c>
      <c r="AY368">
        <f>IF(ISNUMBER(SEARCH(SUBSTITUTE(AY$1,RIGHT(AY$1,2),""),VLOOKUP($D368,素材!$1:$1016,COLUMN($F$1),FALSE))),VLOOKUP($C368,装備品!$1:$998,COLUMN($O$1),FALSE)*VLOOKUP($D368,素材!$1:$1016,COLUMN($E$1),FALSE)/(LEN(VLOOKUP($D368,素材!$1:$1016,COLUMN($F$1),FALSE))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0)+IF($CI368&lt;&gt;"",VLOOKUP($CI368,付与!$A$1:BU$1173,COLUMN(付与!BO$1),FALSE),0)</f>
        <v>0</v>
      </c>
      <c r="AZ368">
        <f>IF(ISNUMBER(SEARCH(SUBSTITUTE(AZ$1,RIGHT(AZ$1,2),""),VLOOKUP($D368,素材!$1:$1016,COLUMN($F$1),FALSE))),VLOOKUP($C368,装備品!$1:$998,COLUMN($O$1),FALSE)*VLOOKUP($D368,素材!$1:$1016,COLUMN($E$1),FALSE)/(LEN(VLOOKUP($D368,素材!$1:$1016,COLUMN($F$1),FALSE))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0)+IF($CI368&lt;&gt;"",VLOOKUP($CI368,付与!$A$1:BX$1173,COLUMN(付与!BX$1),FALSE),0)</f>
        <v>0</v>
      </c>
      <c r="BA368">
        <f>IF(ISNUMBER(SEARCH(SUBSTITUTE(BA$1,RIGHT(BA$1,2),""),VLOOKUP($D368,素材!$1:$1016,COLUMN($F$1),FALSE))),VLOOKUP($C368,装備品!$1:$998,COLUMN($O$1),FALSE)*VLOOKUP($D368,素材!$1:$1016,COLUMN($E$1),FALSE)/(LEN(VLOOKUP($D368,素材!$1:$1016,COLUMN($F$1),FALSE))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0)+IF($CI368&lt;&gt;"",VLOOKUP($CI368,付与!$A$1:BY$1173,COLUMN(付与!BY$1),FALSE),0)</f>
        <v>0</v>
      </c>
      <c r="BB368">
        <f>IF(ISNUMBER(SEARCH(SUBSTITUTE(BB$1,RIGHT(BB$1,2),""),VLOOKUP($D368,素材!$1:$1016,COLUMN($F$1),FALSE))),VLOOKUP($C368,装備品!$1:$998,COLUMN($O$1),FALSE)*VLOOKUP($D368,素材!$1:$1016,COLUMN($E$1),FALSE)/(LEN(VLOOKUP($D368,素材!$1:$1016,COLUMN($F$1),FALSE))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0)+IF($CI368&lt;&gt;"",VLOOKUP($CI368,付与!$A$1:BZ$1173,COLUMN(付与!BZ$1),FALSE),0)</f>
        <v>0</v>
      </c>
      <c r="BC368">
        <f>IF(ISNUMBER(SEARCH(SUBSTITUTE(BC$1,RIGHT(BC$1,2),""),VLOOKUP($D368,素材!$1:$1016,COLUMN($F$1),FALSE))),VLOOKUP($C368,装備品!$1:$998,COLUMN($O$1),FALSE)*VLOOKUP($D368,素材!$1:$1016,COLUMN($E$1),FALSE)/(LEN(VLOOKUP($D368,素材!$1:$1016,COLUMN($F$1),FALSE))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0)+IF($CI368&lt;&gt;"",VLOOKUP($CI368,付与!$A$1:CA$1173,COLUMN(付与!CA$1),FALSE),0)</f>
        <v>0</v>
      </c>
      <c r="BD368">
        <f>IF(ISNUMBER(SEARCH(SUBSTITUTE(BD$1,RIGHT(BD$1,2),""),VLOOKUP($D368,素材!$1:$1016,COLUMN($F$1),FALSE))),VLOOKUP($C368,装備品!$1:$998,COLUMN($O$1),FALSE)*VLOOKUP($D368,素材!$1:$1016,COLUMN($E$1),FALSE)/(LEN(VLOOKUP($D368,素材!$1:$1016,COLUMN($F$1),FALSE))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0)+IF($CI368&lt;&gt;"",VLOOKUP($CI368,付与!$A$1:CB$1173,COLUMN(付与!CB$1),FALSE),0)</f>
        <v>0</v>
      </c>
      <c r="BE368">
        <f>IF(ISNUMBER(SEARCH(SUBSTITUTE(BE$1,RIGHT(BE$1,2),""),VLOOKUP($D368,素材!$1:$1016,COLUMN($F$1),FALSE))),VLOOKUP($C368,装備品!$1:$998,COLUMN($O$1),FALSE)*VLOOKUP($D368,素材!$1:$1016,COLUMN($E$1),FALSE)/(LEN(VLOOKUP($D368,素材!$1:$1016,COLUMN($F$1),FALSE))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0)+IF($CI368&lt;&gt;"",VLOOKUP($CI368,付与!$A$1:CC$1173,COLUMN(付与!CC$1),FALSE),0)</f>
        <v>0</v>
      </c>
      <c r="CI368" t="s">
        <v>12</v>
      </c>
      <c r="CL368">
        <f t="shared" si="47"/>
        <v>0</v>
      </c>
      <c r="CM368" s="22" t="str">
        <f t="shared" si="48"/>
        <v>装飾.webp</v>
      </c>
      <c r="CN368">
        <f>IFERROR(VLOOKUP($C368,装備品!$1:$998,COLUMN(V$1),FALSE)*VLOOKUP($D368,素材!$1:$1016,COLUMN(N$1),FALSE)+IF(CI368="",0,VLOOKUP($CI368,付与!$1:$1176,COLUMN($CK$1),FALSE)),"")</f>
        <v>0</v>
      </c>
      <c r="CO368" t="str">
        <f>VLOOKUP(D368,素材!$A:$O,COLUMN(素材!O$1),FALSE)</f>
        <v>氷属性を持つドラゴン型生物から採取される鱗素材。極寒の環境や冷気攻撃への対策として優れた性能を発揮します。</v>
      </c>
      <c r="CP368" t="str">
        <f>VLOOKUP(C368,装備品!$A:$AB,COLUMN(装備品!AB$1),FALSE)</f>
        <v xml:space="preserve">防御 隠密 </v>
      </c>
      <c r="CR368" t="str">
        <f t="shared" si="54"/>
        <v>e_368</v>
      </c>
      <c r="CS368">
        <f t="shared" si="55"/>
        <v>0</v>
      </c>
    </row>
    <row r="369" spans="1:97" ht="37.5" outlineLevel="1" x14ac:dyDescent="0.4">
      <c r="A369" s="1" t="s">
        <v>1032</v>
      </c>
      <c r="B369" t="str">
        <f>IFERROR(VLOOKUP($D369,素材!$1:$1016,COLUMN($B$1),FALSE)&amp;"・"&amp;VLOOKUP($C369,装備品!$1:$998,COLUMN(B$1),FALSE),"")</f>
        <v>サンダードレイクスケール・マント</v>
      </c>
      <c r="C369" t="s">
        <v>1251</v>
      </c>
      <c r="D369" s="24" t="s">
        <v>248</v>
      </c>
      <c r="E369" t="str">
        <f>IFERROR(VLOOKUP(C369,装備品!$1:$998,COLUMN(C$1),FALSE),"")</f>
        <v>装飾</v>
      </c>
      <c r="F369">
        <f>IFERROR(ROUNDDOWN((VLOOKUP($C369,装備品!$1:$998,COLUMN(D$1),FALSE)+IFERROR(VLOOKUP($CI369,付与!$1:$1167,COLUMN(F$1),FALSE),0))*VLOOKUP($D369,素材!$1:$1016,COLUMN(D$1),FALSE),0),"")</f>
        <v>0</v>
      </c>
      <c r="G369">
        <f>IFERROR(ROUNDDOWN((VLOOKUP($C369,装備品!$1:$998,COLUMN(E$1),FALSE)+IFERROR(VLOOKUP($CI369,付与!$1:$1167,COLUMN(G$1),FALSE),0))*VLOOKUP($D369,素材!$1:$1016,COLUMN($E$1),FALSE),0),"")</f>
        <v>0</v>
      </c>
      <c r="H369">
        <f>IFERROR(ROUNDDOWN((VLOOKUP($C369,装備品!$1:$998,COLUMN(F$1),FALSE)+IFERROR(VLOOKUP($CI369,付与!$1:$1167,COLUMN(H$1),FALSE),0))*VLOOKUP($D369,素材!$1:$1016,COLUMN($E$1),FALSE),0),"")</f>
        <v>0</v>
      </c>
      <c r="I369">
        <f>IFERROR(ROUNDDOWN((VLOOKUP($C369,装備品!$1:$998,COLUMN(G$1),FALSE)+IFERROR(VLOOKUP($CI369,付与!$1:$1167,COLUMN(I$1),FALSE),0))*VLOOKUP($D369,素材!$1:$1016,COLUMN($E$1),FALSE),0),"")</f>
        <v>0</v>
      </c>
      <c r="J369">
        <f>IFERROR(ROUNDDOWN((VLOOKUP($C369,装備品!$1:$998,COLUMN(H$1),FALSE)+IFERROR(VLOOKUP($CI369,付与!$1:$1167,COLUMN(J$1),FALSE),0))*VLOOKUP($D369,素材!$1:$1016,COLUMN($E$1),FALSE),0),"")</f>
        <v>0</v>
      </c>
      <c r="K369">
        <f>IFERROR(ROUNDDOWN((VLOOKUP($C369,装備品!$1:$998,COLUMN(I$1),FALSE)+IFERROR(VLOOKUP($CI369,付与!$1:$1167,COLUMN(K$1),FALSE),0))*VLOOKUP($D369,素材!$1:$1016,COLUMN($E$1),FALSE),0),"")</f>
        <v>0</v>
      </c>
      <c r="L369" t="str">
        <f>IFERROR(VLOOKUP($D369,素材!$1:$1016,COLUMN($F$1),FALSE),"")</f>
        <v>雷</v>
      </c>
      <c r="M369">
        <f>IFERROR(VLOOKUP($C369,装備品!$1:$998,COLUMN(AA$1),FALSE)*VLOOKUP($D369,素材!$1:$1016,COLUMN($G$1),FALSE),"")</f>
        <v>25</v>
      </c>
      <c r="N369">
        <f>IFERROR(VLOOKUP($C369,装備品!$1:$998,COLUMN(I$1),FALSE),"")</f>
        <v>0</v>
      </c>
      <c r="O369" s="23" t="str">
        <f>IFERROR((VLOOKUP($C369,装備品!$1:$998,COLUMN(K$1),FALSE)+VLOOKUP($D369,素材!$1:$1016,COLUMN(H$1),FALSE))*100+IFERROR(VLOOKUP($CI369,付与!$1:$1167,COLUMN(O$1),FALSE),0),"")</f>
        <v/>
      </c>
      <c r="P369" s="23" t="str">
        <f>IFERROR((VLOOKUP($C369,装備品!$1:$998,COLUMN(L$1),FALSE)+VLOOKUP($D369,素材!$1:$1016,COLUMN(I$1),FALSE))*100+IFERROR(VLOOKUP($CI369,付与!$1:$1167,COLUMN(P$1),FALSE),0),"")</f>
        <v/>
      </c>
      <c r="Q369">
        <f>IFERROR(ROUNDUP(VLOOKUP($C369,装備品!$1:$998,COLUMN(M$1),FALSE)*(VLOOKUP($D369,素材!$1:$1002,COLUMN(D$1),FALSE)/100),1),"")</f>
        <v>0</v>
      </c>
      <c r="R369">
        <f>IFERROR(ROUNDUP(VLOOKUP($C369,装備品!$1:$998,COLUMN(N$1),FALSE)*(VLOOKUP($D369,素材!$1:$1002,COLUMN(D$1),FALSE)/100),1),"")</f>
        <v>0</v>
      </c>
      <c r="S369">
        <f>IFERROR(VLOOKUP($C369,装備品!$1:$998,COLUMN(P$1),FALSE),"")</f>
        <v>0</v>
      </c>
      <c r="T369">
        <f>IFERROR(VLOOKUP($C369,装備品!$1:$998,COLUMN(Q$1),FALSE),"")</f>
        <v>0</v>
      </c>
      <c r="U369">
        <f>IFERROR(VLOOKUP($C369,装備品!$1:$998,COLUMN(R$1),FALSE),"")</f>
        <v>0</v>
      </c>
      <c r="V369">
        <f>IFERROR(VLOOKUP($C369,装備品!$1:$998,COLUMN(Q$1),FALSE),"")</f>
        <v>0</v>
      </c>
      <c r="W369">
        <f>IFERROR(VLOOKUP($C369,装備品!$1:$998,COLUMN(T$1),FALSE),"")</f>
        <v>0</v>
      </c>
      <c r="Y369">
        <f>IFERROR(VLOOKUP($C369,装備品!$1:$998,COLUMN(U$1),FALSE),"")</f>
        <v>0</v>
      </c>
      <c r="Z369">
        <f>IFERROR(ROUNDUP(VLOOKUP($C369,装備品!$1:$998,COLUMN(O$1),FALSE)*VLOOKUP($D369,素材!$1:$1016,COLUMN(E$1),FALSE),1),"")</f>
        <v>0</v>
      </c>
      <c r="AA369">
        <f>IF(ISNUMBER(SEARCH(SUBSTITUTE(AA$1,RIGHT(AA$1,2),""),VLOOKUP($D369,素材!$1:$1016,COLUMN($F$1),FALSE))),VLOOKUP($C369,装備品!$1:$998,COLUMN($O$1),FALSE)*VLOOKUP($D369,素材!$1:$1016,COLUMN($E$1),FALSE)/(LEN(VLOOKUP($D369,素材!$1:$1016,COLUMN($F$1),FALSE))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</f>
        <v>0</v>
      </c>
      <c r="AB369">
        <f>IF(ISNUMBER(SEARCH(SUBSTITUTE(AB$1,RIGHT(AB$1,2),""),VLOOKUP($D369,素材!$1:$1016,COLUMN($F$1),FALSE))),VLOOKUP($C369,装備品!$1:$998,COLUMN($O$1),FALSE)*VLOOKUP($D369,素材!$1:$1016,COLUMN($E$1),FALSE)/(LEN(VLOOKUP($D369,素材!$1:$1016,COLUMN($F$1),FALSE))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</f>
        <v>0</v>
      </c>
      <c r="AC369">
        <f>IF(ISNUMBER(SEARCH(SUBSTITUTE(AC$1,RIGHT(AC$1,2),""),VLOOKUP($D369,素材!$1:$1016,COLUMN($F$1),FALSE))),VLOOKUP($C369,装備品!$1:$998,COLUMN($O$1),FALSE)*VLOOKUP($D369,素材!$1:$1016,COLUMN($E$1),FALSE)/(LEN(VLOOKUP($D369,素材!$1:$1016,COLUMN($F$1),FALSE))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</f>
        <v>0</v>
      </c>
      <c r="AD369">
        <f>IF(ISNUMBER(SEARCH(SUBSTITUTE(AD$1,RIGHT(AD$1,2),""),VLOOKUP($D369,素材!$1:$1016,COLUMN($F$1),FALSE))),VLOOKUP($C369,装備品!$1:$998,COLUMN($O$1),FALSE)*VLOOKUP($D369,素材!$1:$1016,COLUMN($E$1),FALSE)/(LEN(VLOOKUP($D369,素材!$1:$1016,COLUMN($F$1),FALSE))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</f>
        <v>0</v>
      </c>
      <c r="AE369">
        <f>IF(ISNUMBER(SEARCH(SUBSTITUTE(AE$1,RIGHT(AE$1,2),""),VLOOKUP($D369,素材!$1:$1016,COLUMN($F$1),FALSE))),VLOOKUP($C369,装備品!$1:$998,COLUMN($O$1),FALSE)*VLOOKUP($D369,素材!$1:$1016,COLUMN($E$1),FALSE)/(LEN(VLOOKUP($D369,素材!$1:$1016,COLUMN($F$1),FALSE))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0)+IF($CI369&lt;&gt;"",VLOOKUP($CI369,付与!$A$1:BB$1173,COLUMN(付与!BB$1),FALSE),0)</f>
        <v>0</v>
      </c>
      <c r="AF369">
        <f>IF(ISNUMBER(SEARCH(SUBSTITUTE(AF$1,RIGHT(AF$1,2),""),VLOOKUP($D369,素材!$1:$1016,COLUMN($F$1),FALSE))),VLOOKUP($C369,装備品!$1:$998,COLUMN($O$1),FALSE)*VLOOKUP($D369,素材!$1:$1016,COLUMN($E$1),FALSE)/(LEN(VLOOKUP($D369,素材!$1:$1016,COLUMN($F$1),FALSE))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0)+IF($CI369&lt;&gt;"",VLOOKUP($CI369,付与!$A$1:BC$1173,COLUMN(付与!BC$1),FALSE),0)</f>
        <v>0</v>
      </c>
      <c r="AG369">
        <f>IF(ISNUMBER(SEARCH(SUBSTITUTE(AG$1,RIGHT(AG$1,2),""),VLOOKUP($D369,素材!$1:$1016,COLUMN($F$1),FALSE))),VLOOKUP($C369,装備品!$1:$998,COLUMN($O$1),FALSE)*VLOOKUP($D369,素材!$1:$1016,COLUMN($E$1),FALSE)/(LEN(VLOOKUP($D369,素材!$1:$1016,COLUMN($F$1),FALSE))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0)+IF($CI369&lt;&gt;"",VLOOKUP($CI369,付与!$A$1:BD$1173,COLUMN(付与!BD$1),FALSE),0)</f>
        <v>5</v>
      </c>
      <c r="AH369">
        <f>IF(ISNUMBER(SEARCH(SUBSTITUTE(AH$1,RIGHT(AH$1,2),""),VLOOKUP($D369,素材!$1:$1016,COLUMN($F$1),FALSE))),VLOOKUP($C369,装備品!$1:$998,COLUMN($O$1),FALSE)*VLOOKUP($D369,素材!$1:$1016,COLUMN($E$1),FALSE)/(LEN(VLOOKUP($D369,素材!$1:$1016,COLUMN($F$1),FALSE))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0)+IF($CI369&lt;&gt;"",VLOOKUP($CI369,付与!$A$1:BE$1173,COLUMN(付与!BE$1),FALSE),0)</f>
        <v>0</v>
      </c>
      <c r="AI369">
        <f>IF(ISNUMBER(SEARCH(SUBSTITUTE(AI$1,RIGHT(AI$1,2),""),VLOOKUP($D369,素材!$1:$1016,COLUMN($F$1),FALSE))),VLOOKUP($C369,装備品!$1:$998,COLUMN($O$1),FALSE)*VLOOKUP($D369,素材!$1:$1016,COLUMN($E$1),FALSE)/(LEN(VLOOKUP($D369,素材!$1:$1016,COLUMN($F$1),FALSE))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0)+IF($CI369&lt;&gt;"",VLOOKUP($CI369,付与!$A$1:BF$1173,COLUMN(付与!BF$1),FALSE),0)</f>
        <v>0</v>
      </c>
      <c r="AJ369">
        <f>IF(ISNUMBER(SEARCH(SUBSTITUTE(AJ$1,RIGHT(AJ$1,2),""),VLOOKUP($D369,素材!$1:$1016,COLUMN($F$1),FALSE))),VLOOKUP($C369,装備品!$1:$998,COLUMN($O$1),FALSE)*VLOOKUP($D369,素材!$1:$1016,COLUMN($E$1),FALSE)/(LEN(VLOOKUP($D369,素材!$1:$1016,COLUMN($F$1),FALSE))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0)+IF($CI369&lt;&gt;"",VLOOKUP($CI369,付与!$A$1:BG$1173,COLUMN(付与!BG$1),FALSE),0)</f>
        <v>0</v>
      </c>
      <c r="AK369">
        <f>IF(ISNUMBER(SEARCH(SUBSTITUTE(AK$1,RIGHT(AK$1,2),""),VLOOKUP($D369,素材!$1:$1016,COLUMN($F$1),FALSE))),VLOOKUP($C369,装備品!$1:$998,COLUMN($O$1),FALSE)*VLOOKUP($D369,素材!$1:$1016,COLUMN($E$1),FALSE)/(LEN(VLOOKUP($D369,素材!$1:$1016,COLUMN($F$1),FALSE))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0)+IF($CI369&lt;&gt;"",VLOOKUP($CI369,付与!$A$1:BH$1173,COLUMN(付与!BH$1),FALSE),0)</f>
        <v>0</v>
      </c>
      <c r="AL369">
        <f>IF(ISNUMBER(SEARCH(SUBSTITUTE(AL$1,RIGHT(AL$1,2),""),VLOOKUP($D369,素材!$1:$1016,COLUMN($F$1),FALSE))),VLOOKUP($C369,装備品!$1:$998,COLUMN($O$1),FALSE)*VLOOKUP($D369,素材!$1:$1016,COLUMN($E$1),FALSE)/(LEN(VLOOKUP($D369,素材!$1:$1016,COLUMN($F$1),FALSE))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0)+IF($CI369&lt;&gt;"",VLOOKUP($CI369,付与!$A$1:BI$1173,COLUMN(付与!BI$1),FALSE),0)</f>
        <v>0</v>
      </c>
      <c r="AM369">
        <f>IF(ISNUMBER(SEARCH(SUBSTITUTE(AM$1,RIGHT(AM$1,2),""),VLOOKUP($D369,素材!$1:$1016,COLUMN($F$1),FALSE))),VLOOKUP($C369,装備品!$1:$998,COLUMN($O$1),FALSE)*VLOOKUP($D369,素材!$1:$1016,COLUMN($E$1),FALSE)/(LEN(VLOOKUP($D369,素材!$1:$1016,COLUMN($F$1),FALSE))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0)+IF($CI369&lt;&gt;"",VLOOKUP($CI369,付与!$A$1:BJ$1173,COLUMN(付与!BJ$1),FALSE),0)</f>
        <v>0</v>
      </c>
      <c r="AN369">
        <f>IF(ISNUMBER(SEARCH(SUBSTITUTE(AN$1,RIGHT(AN$1,2),""),VLOOKUP($D369,素材!$1:$1016,COLUMN($F$1),FALSE))),VLOOKUP($C369,装備品!$1:$998,COLUMN($O$1),FALSE)*VLOOKUP($D369,素材!$1:$1016,COLUMN($E$1),FALSE)/(LEN(VLOOKUP($D369,素材!$1:$1016,COLUMN($F$1),FALSE))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0)+IF($CI369&lt;&gt;"",VLOOKUP($CI369,付与!$A$1:BK$1173,COLUMN(付与!BK$1),FALSE),0)</f>
        <v>0</v>
      </c>
      <c r="AO369">
        <f>IF(ISNUMBER(SEARCH(SUBSTITUTE(AO$1,RIGHT(AO$1,2),""),VLOOKUP($D369,素材!$1:$1016,COLUMN($F$1),FALSE))),VLOOKUP($C369,装備品!$1:$998,COLUMN($O$1),FALSE)*VLOOKUP($D369,素材!$1:$1016,COLUMN($E$1),FALSE)/(LEN(VLOOKUP($D369,素材!$1:$1016,COLUMN($F$1),FALSE))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0)+IF($CI369&lt;&gt;"",VLOOKUP($CI369,付与!$A$1:BM$1173,COLUMN(付与!BM$1),FALSE),0)</f>
        <v>0</v>
      </c>
      <c r="AP369">
        <f>IF(ISNUMBER(SEARCH(SUBSTITUTE(AP$1,RIGHT(AP$1,2),""),VLOOKUP($D369,素材!$1:$1016,COLUMN($F$1),FALSE))),VLOOKUP($C369,装備品!$1:$998,COLUMN($O$1),FALSE)*VLOOKUP($D369,素材!$1:$1016,COLUMN($E$1),FALSE)/(LEN(VLOOKUP($D369,素材!$1:$1016,COLUMN($F$1),FALSE))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0)+IF($CI369&lt;&gt;"",VLOOKUP($CI369,付与!$A$1:BN$1173,COLUMN(付与!BN$1),FALSE),0)</f>
        <v>0</v>
      </c>
      <c r="AQ369">
        <f>IF(ISNUMBER(SEARCH(SUBSTITUTE(AQ$1,RIGHT(AQ$1,2),""),VLOOKUP($D369,素材!$1:$1016,COLUMN($F$1),FALSE))),VLOOKUP($C369,装備品!$1:$998,COLUMN($O$1),FALSE)*VLOOKUP($D369,素材!$1:$1016,COLUMN($E$1),FALSE)/(LEN(VLOOKUP($D369,素材!$1:$1016,COLUMN($F$1),FALSE))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0)+IF($CI369&lt;&gt;"",VLOOKUP($CI369,付与!$A$1:BP$1173,COLUMN(付与!BP$1),FALSE),0)</f>
        <v>0</v>
      </c>
      <c r="AR369">
        <f>IF(ISNUMBER(SEARCH(SUBSTITUTE(AR$1,RIGHT(AR$1,2),""),VLOOKUP($D369,素材!$1:$1016,COLUMN($F$1),FALSE))),VLOOKUP($C369,装備品!$1:$998,COLUMN($O$1),FALSE)*VLOOKUP($D369,素材!$1:$1016,COLUMN($E$1),FALSE)/(LEN(VLOOKUP($D369,素材!$1:$1016,COLUMN($F$1),FALSE))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0)+IF($CI369&lt;&gt;"",VLOOKUP($CI369,付与!$A$1:BQ$1173,COLUMN(付与!BQ$1),FALSE),0)</f>
        <v>0</v>
      </c>
      <c r="AS369">
        <f>IF(ISNUMBER(SEARCH(SUBSTITUTE(AS$1,RIGHT(AS$1,2),""),VLOOKUP($D369,素材!$1:$1016,COLUMN($F$1),FALSE))),VLOOKUP($C369,装備品!$1:$998,COLUMN($O$1),FALSE)*VLOOKUP($D369,素材!$1:$1016,COLUMN($E$1),FALSE)/(LEN(VLOOKUP($D369,素材!$1:$1016,COLUMN($F$1),FALSE))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0)+IF($CI369&lt;&gt;"",VLOOKUP($CI369,付与!$A$1:BR$1173,COLUMN(付与!BR$1),FALSE),0)</f>
        <v>0</v>
      </c>
      <c r="AT369">
        <f>IF(ISNUMBER(SEARCH(SUBSTITUTE(AT$1,RIGHT(AT$1,2),""),VLOOKUP($D369,素材!$1:$1016,COLUMN($F$1),FALSE))),VLOOKUP($C369,装備品!$1:$998,COLUMN($O$1),FALSE)*VLOOKUP($D369,素材!$1:$1016,COLUMN($E$1),FALSE)/(LEN(VLOOKUP($D369,素材!$1:$1016,COLUMN($F$1),FALSE))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0)+IF($CI369&lt;&gt;"",VLOOKUP($CI369,付与!$A$1:BV$1173,COLUMN(付与!BV$1),FALSE),0)</f>
        <v>0</v>
      </c>
      <c r="AU369">
        <f>IF(ISNUMBER(SEARCH(SUBSTITUTE(AU$1,RIGHT(AU$1,2),""),VLOOKUP($D369,素材!$1:$1016,COLUMN($F$1),FALSE))),VLOOKUP($C369,装備品!$1:$998,COLUMN($O$1),FALSE)*VLOOKUP($D369,素材!$1:$1016,COLUMN($E$1),FALSE)/(LEN(VLOOKUP($D369,素材!$1:$1016,COLUMN($F$1),FALSE))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0)+IF($CI369&lt;&gt;"",VLOOKUP($CI369,付与!$A$1:BW$1173,COLUMN(付与!BW$1),FALSE),0)</f>
        <v>0</v>
      </c>
      <c r="AV369">
        <f>IF(ISNUMBER(SEARCH(SUBSTITUTE(AV$1,RIGHT(AV$1,2),""),VLOOKUP($D369,素材!$1:$1016,COLUMN($F$1),FALSE))),VLOOKUP($C369,装備品!$1:$998,COLUMN($O$1),FALSE)*VLOOKUP($D369,素材!$1:$1016,COLUMN($E$1),FALSE)/(LEN(VLOOKUP($D369,素材!$1:$1016,COLUMN($F$1),FALSE))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0)+IF($CI369&lt;&gt;"",VLOOKUP($CI369,付与!$A$1:BS$1173,COLUMN(付与!BS$1),FALSE),0)</f>
        <v>0</v>
      </c>
      <c r="AW369">
        <f>IF(ISNUMBER(SEARCH(SUBSTITUTE(AW$1,RIGHT(AW$1,2),""),VLOOKUP($D369,素材!$1:$1016,COLUMN($F$1),FALSE))),VLOOKUP($C369,装備品!$1:$998,COLUMN($O$1),FALSE)*VLOOKUP($D369,素材!$1:$1016,COLUMN($E$1),FALSE)/(LEN(VLOOKUP($D369,素材!$1:$1016,COLUMN($F$1),FALSE))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0)+IF($CI369&lt;&gt;"",VLOOKUP($CI369,付与!$A$1:BT$1173,COLUMN(付与!BT$1),FALSE),0)</f>
        <v>0</v>
      </c>
      <c r="AX369">
        <f>IF(ISNUMBER(SEARCH(SUBSTITUTE(AX$1,RIGHT(AX$1,2),""),VLOOKUP($D369,素材!$1:$1016,COLUMN($F$1),FALSE))),VLOOKUP($C369,装備品!$1:$998,COLUMN($O$1),FALSE)*VLOOKUP($D369,素材!$1:$1016,COLUMN($E$1),FALSE)/(LEN(VLOOKUP($D369,素材!$1:$1016,COLUMN($F$1),FALSE))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0)+IF($CI369&lt;&gt;"",VLOOKUP($CI369,付与!$A$1:BU$1173,COLUMN(付与!BU$1),FALSE),0)</f>
        <v>0</v>
      </c>
      <c r="AY369">
        <f>IF(ISNUMBER(SEARCH(SUBSTITUTE(AY$1,RIGHT(AY$1,2),""),VLOOKUP($D369,素材!$1:$1016,COLUMN($F$1),FALSE))),VLOOKUP($C369,装備品!$1:$998,COLUMN($O$1),FALSE)*VLOOKUP($D369,素材!$1:$1016,COLUMN($E$1),FALSE)/(LEN(VLOOKUP($D369,素材!$1:$1016,COLUMN($F$1),FALSE))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0)+IF($CI369&lt;&gt;"",VLOOKUP($CI369,付与!$A$1:BU$1173,COLUMN(付与!BO$1),FALSE),0)</f>
        <v>0</v>
      </c>
      <c r="AZ369">
        <f>IF(ISNUMBER(SEARCH(SUBSTITUTE(AZ$1,RIGHT(AZ$1,2),""),VLOOKUP($D369,素材!$1:$1016,COLUMN($F$1),FALSE))),VLOOKUP($C369,装備品!$1:$998,COLUMN($O$1),FALSE)*VLOOKUP($D369,素材!$1:$1016,COLUMN($E$1),FALSE)/(LEN(VLOOKUP($D369,素材!$1:$1016,COLUMN($F$1),FALSE))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0)+IF($CI369&lt;&gt;"",VLOOKUP($CI369,付与!$A$1:BX$1173,COLUMN(付与!BX$1),FALSE),0)</f>
        <v>0</v>
      </c>
      <c r="BA369">
        <f>IF(ISNUMBER(SEARCH(SUBSTITUTE(BA$1,RIGHT(BA$1,2),""),VLOOKUP($D369,素材!$1:$1016,COLUMN($F$1),FALSE))),VLOOKUP($C369,装備品!$1:$998,COLUMN($O$1),FALSE)*VLOOKUP($D369,素材!$1:$1016,COLUMN($E$1),FALSE)/(LEN(VLOOKUP($D369,素材!$1:$1016,COLUMN($F$1),FALSE))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0)+IF($CI369&lt;&gt;"",VLOOKUP($CI369,付与!$A$1:BY$1173,COLUMN(付与!BY$1),FALSE),0)</f>
        <v>0</v>
      </c>
      <c r="BB369">
        <f>IF(ISNUMBER(SEARCH(SUBSTITUTE(BB$1,RIGHT(BB$1,2),""),VLOOKUP($D369,素材!$1:$1016,COLUMN($F$1),FALSE))),VLOOKUP($C369,装備品!$1:$998,COLUMN($O$1),FALSE)*VLOOKUP($D369,素材!$1:$1016,COLUMN($E$1),FALSE)/(LEN(VLOOKUP($D369,素材!$1:$1016,COLUMN($F$1),FALSE))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0)+IF($CI369&lt;&gt;"",VLOOKUP($CI369,付与!$A$1:BZ$1173,COLUMN(付与!BZ$1),FALSE),0)</f>
        <v>0</v>
      </c>
      <c r="BC369">
        <f>IF(ISNUMBER(SEARCH(SUBSTITUTE(BC$1,RIGHT(BC$1,2),""),VLOOKUP($D369,素材!$1:$1016,COLUMN($F$1),FALSE))),VLOOKUP($C369,装備品!$1:$998,COLUMN($O$1),FALSE)*VLOOKUP($D369,素材!$1:$1016,COLUMN($E$1),FALSE)/(LEN(VLOOKUP($D369,素材!$1:$1016,COLUMN($F$1),FALSE))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0)+IF($CI369&lt;&gt;"",VLOOKUP($CI369,付与!$A$1:CA$1173,COLUMN(付与!CA$1),FALSE),0)</f>
        <v>0</v>
      </c>
      <c r="BD369">
        <f>IF(ISNUMBER(SEARCH(SUBSTITUTE(BD$1,RIGHT(BD$1,2),""),VLOOKUP($D369,素材!$1:$1016,COLUMN($F$1),FALSE))),VLOOKUP($C369,装備品!$1:$998,COLUMN($O$1),FALSE)*VLOOKUP($D369,素材!$1:$1016,COLUMN($E$1),FALSE)/(LEN(VLOOKUP($D369,素材!$1:$1016,COLUMN($F$1),FALSE))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0)+IF($CI369&lt;&gt;"",VLOOKUP($CI369,付与!$A$1:CB$1173,COLUMN(付与!CB$1),FALSE),0)</f>
        <v>0</v>
      </c>
      <c r="BE369">
        <f>IF(ISNUMBER(SEARCH(SUBSTITUTE(BE$1,RIGHT(BE$1,2),""),VLOOKUP($D369,素材!$1:$1016,COLUMN($F$1),FALSE))),VLOOKUP($C369,装備品!$1:$998,COLUMN($O$1),FALSE)*VLOOKUP($D369,素材!$1:$1016,COLUMN($E$1),FALSE)/(LEN(VLOOKUP($D369,素材!$1:$1016,COLUMN($F$1),FALSE))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0)+IF($CI369&lt;&gt;"",VLOOKUP($CI369,付与!$A$1:CC$1173,COLUMN(付与!CC$1),FALSE),0)</f>
        <v>0</v>
      </c>
      <c r="CI369" t="s">
        <v>10</v>
      </c>
      <c r="CL369">
        <f t="shared" si="47"/>
        <v>0</v>
      </c>
      <c r="CM369" s="22" t="str">
        <f t="shared" si="48"/>
        <v>装飾.webp</v>
      </c>
      <c r="CN369">
        <f>IFERROR(VLOOKUP($C369,装備品!$1:$998,COLUMN(V$1),FALSE)*VLOOKUP($D369,素材!$1:$1016,COLUMN(N$1),FALSE)+IF(CI369="",0,VLOOKUP($CI369,付与!$1:$1176,COLUMN($CK$1),FALSE)),"")</f>
        <v>0</v>
      </c>
      <c r="CO369" t="str">
        <f>VLOOKUP(D369,素材!$A:$O,COLUMN(素材!O$1),FALSE)</f>
        <v>雷属性を持つドラゴン型生物から採取される鱗素材。雷属性攻撃への耐性を強化し、武器の電撃効果を高めることも可能です。</v>
      </c>
      <c r="CP369" t="str">
        <f>VLOOKUP(C369,装備品!$A:$AB,COLUMN(装備品!AB$1),FALSE)</f>
        <v xml:space="preserve">防御 隠密 </v>
      </c>
      <c r="CR369" t="str">
        <f t="shared" si="54"/>
        <v>e_369</v>
      </c>
      <c r="CS369">
        <f t="shared" si="55"/>
        <v>0</v>
      </c>
    </row>
    <row r="370" spans="1:97" ht="37.5" outlineLevel="1" x14ac:dyDescent="0.4">
      <c r="A370" s="1" t="s">
        <v>1031</v>
      </c>
      <c r="B370" t="str">
        <f>IFERROR(VLOOKUP($D370,素材!$1:$1016,COLUMN($B$1),FALSE)&amp;"・"&amp;VLOOKUP($C370,装備品!$1:$998,COLUMN(B$1),FALSE),"")</f>
        <v>アシッドドレイクスケール・マント</v>
      </c>
      <c r="C370" t="s">
        <v>1251</v>
      </c>
      <c r="D370" s="24" t="s">
        <v>948</v>
      </c>
      <c r="E370" t="str">
        <f>IFERROR(VLOOKUP(C370,装備品!$1:$998,COLUMN(C$1),FALSE),"")</f>
        <v>装飾</v>
      </c>
      <c r="F370">
        <f>IFERROR(ROUNDDOWN((VLOOKUP($C370,装備品!$1:$998,COLUMN(D$1),FALSE)+IFERROR(VLOOKUP($CI370,付与!$1:$1167,COLUMN(F$1),FALSE),0))*VLOOKUP($D370,素材!$1:$1016,COLUMN(D$1),FALSE),0),"")</f>
        <v>0</v>
      </c>
      <c r="G370">
        <f>IFERROR(ROUNDDOWN((VLOOKUP($C370,装備品!$1:$998,COLUMN(E$1),FALSE)+IFERROR(VLOOKUP($CI370,付与!$1:$1167,COLUMN(G$1),FALSE),0))*VLOOKUP($D370,素材!$1:$1016,COLUMN($E$1),FALSE),0),"")</f>
        <v>0</v>
      </c>
      <c r="H370">
        <f>IFERROR(ROUNDDOWN((VLOOKUP($C370,装備品!$1:$998,COLUMN(F$1),FALSE)+IFERROR(VLOOKUP($CI370,付与!$1:$1167,COLUMN(H$1),FALSE),0))*VLOOKUP($D370,素材!$1:$1016,COLUMN($E$1),FALSE),0),"")</f>
        <v>0</v>
      </c>
      <c r="I370">
        <f>IFERROR(ROUNDDOWN((VLOOKUP($C370,装備品!$1:$998,COLUMN(G$1),FALSE)+IFERROR(VLOOKUP($CI370,付与!$1:$1167,COLUMN(I$1),FALSE),0))*VLOOKUP($D370,素材!$1:$1016,COLUMN($E$1),FALSE),0),"")</f>
        <v>0</v>
      </c>
      <c r="J370">
        <f>IFERROR(ROUNDDOWN((VLOOKUP($C370,装備品!$1:$998,COLUMN(H$1),FALSE)+IFERROR(VLOOKUP($CI370,付与!$1:$1167,COLUMN(J$1),FALSE),0))*VLOOKUP($D370,素材!$1:$1016,COLUMN($E$1),FALSE),0),"")</f>
        <v>0</v>
      </c>
      <c r="K370">
        <f>IFERROR(ROUNDDOWN((VLOOKUP($C370,装備品!$1:$998,COLUMN(I$1),FALSE)+IFERROR(VLOOKUP($CI370,付与!$1:$1167,COLUMN(K$1),FALSE),0))*VLOOKUP($D370,素材!$1:$1016,COLUMN($E$1),FALSE),0),"")</f>
        <v>0</v>
      </c>
      <c r="L370" t="str">
        <f>IFERROR(VLOOKUP($D370,素材!$1:$1016,COLUMN($F$1),FALSE),"")</f>
        <v>雷</v>
      </c>
      <c r="M370">
        <f>IFERROR(VLOOKUP($C370,装備品!$1:$998,COLUMN(AA$1),FALSE)*VLOOKUP($D370,素材!$1:$1016,COLUMN($G$1),FALSE),"")</f>
        <v>25</v>
      </c>
      <c r="N370">
        <f>IFERROR(VLOOKUP($C370,装備品!$1:$998,COLUMN(I$1),FALSE),"")</f>
        <v>0</v>
      </c>
      <c r="O370" s="23" t="str">
        <f>IFERROR((VLOOKUP($C370,装備品!$1:$998,COLUMN(K$1),FALSE)+VLOOKUP($D370,素材!$1:$1016,COLUMN(H$1),FALSE))*100+IFERROR(VLOOKUP($CI370,付与!$1:$1167,COLUMN(O$1),FALSE),0),"")</f>
        <v/>
      </c>
      <c r="P370" s="23" t="str">
        <f>IFERROR((VLOOKUP($C370,装備品!$1:$998,COLUMN(L$1),FALSE)+VLOOKUP($D370,素材!$1:$1016,COLUMN(I$1),FALSE))*100+IFERROR(VLOOKUP($CI370,付与!$1:$1167,COLUMN(P$1),FALSE),0),"")</f>
        <v/>
      </c>
      <c r="Q370">
        <f>IFERROR(ROUNDUP(VLOOKUP($C370,装備品!$1:$998,COLUMN(M$1),FALSE)*(VLOOKUP($D370,素材!$1:$1002,COLUMN(D$1),FALSE)/100),1),"")</f>
        <v>0</v>
      </c>
      <c r="R370">
        <f>IFERROR(ROUNDUP(VLOOKUP($C370,装備品!$1:$998,COLUMN(N$1),FALSE)*(VLOOKUP($D370,素材!$1:$1002,COLUMN(D$1),FALSE)/100),1),"")</f>
        <v>0</v>
      </c>
      <c r="S370">
        <f>IFERROR(VLOOKUP($C370,装備品!$1:$998,COLUMN(P$1),FALSE),"")</f>
        <v>0</v>
      </c>
      <c r="T370">
        <f>IFERROR(VLOOKUP($C370,装備品!$1:$998,COLUMN(Q$1),FALSE),"")</f>
        <v>0</v>
      </c>
      <c r="U370">
        <f>IFERROR(VLOOKUP($C370,装備品!$1:$998,COLUMN(R$1),FALSE),"")</f>
        <v>0</v>
      </c>
      <c r="V370">
        <f>IFERROR(VLOOKUP($C370,装備品!$1:$998,COLUMN(Q$1),FALSE),"")</f>
        <v>0</v>
      </c>
      <c r="W370">
        <f>IFERROR(VLOOKUP($C370,装備品!$1:$998,COLUMN(T$1),FALSE),"")</f>
        <v>0</v>
      </c>
      <c r="Y370">
        <f>IFERROR(VLOOKUP($C370,装備品!$1:$998,COLUMN(U$1),FALSE),"")</f>
        <v>0</v>
      </c>
      <c r="Z370">
        <f>IFERROR(ROUNDUP(VLOOKUP($C370,装備品!$1:$998,COLUMN(O$1),FALSE)*VLOOKUP($D370,素材!$1:$1016,COLUMN(E$1),FALSE),1),"")</f>
        <v>0</v>
      </c>
      <c r="AA370">
        <f>IF(ISNUMBER(SEARCH(SUBSTITUTE(AA$1,RIGHT(AA$1,2),""),VLOOKUP($D370,素材!$1:$1016,COLUMN($F$1),FALSE))),VLOOKUP($C370,装備品!$1:$998,COLUMN($O$1),FALSE)*VLOOKUP($D370,素材!$1:$1016,COLUMN($E$1),FALSE)/(LEN(VLOOKUP($D370,素材!$1:$1016,COLUMN($F$1),FALSE))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</f>
        <v>0</v>
      </c>
      <c r="AB370">
        <f>IF(ISNUMBER(SEARCH(SUBSTITUTE(AB$1,RIGHT(AB$1,2),""),VLOOKUP($D370,素材!$1:$1016,COLUMN($F$1),FALSE))),VLOOKUP($C370,装備品!$1:$998,COLUMN($O$1),FALSE)*VLOOKUP($D370,素材!$1:$1016,COLUMN($E$1),FALSE)/(LEN(VLOOKUP($D370,素材!$1:$1016,COLUMN($F$1),FALSE))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</f>
        <v>0</v>
      </c>
      <c r="AC370">
        <f>IF(ISNUMBER(SEARCH(SUBSTITUTE(AC$1,RIGHT(AC$1,2),""),VLOOKUP($D370,素材!$1:$1016,COLUMN($F$1),FALSE))),VLOOKUP($C370,装備品!$1:$998,COLUMN($O$1),FALSE)*VLOOKUP($D370,素材!$1:$1016,COLUMN($E$1),FALSE)/(LEN(VLOOKUP($D370,素材!$1:$1016,COLUMN($F$1),FALSE))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</f>
        <v>0</v>
      </c>
      <c r="AD370">
        <f>IF(ISNUMBER(SEARCH(SUBSTITUTE(AD$1,RIGHT(AD$1,2),""),VLOOKUP($D370,素材!$1:$1016,COLUMN($F$1),FALSE))),VLOOKUP($C370,装備品!$1:$998,COLUMN($O$1),FALSE)*VLOOKUP($D370,素材!$1:$1016,COLUMN($E$1),FALSE)/(LEN(VLOOKUP($D370,素材!$1:$1016,COLUMN($F$1),FALSE))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</f>
        <v>0</v>
      </c>
      <c r="AE370">
        <f>IF(ISNUMBER(SEARCH(SUBSTITUTE(AE$1,RIGHT(AE$1,2),""),VLOOKUP($D370,素材!$1:$1016,COLUMN($F$1),FALSE))),VLOOKUP($C370,装備品!$1:$998,COLUMN($O$1),FALSE)*VLOOKUP($D370,素材!$1:$1016,COLUMN($E$1),FALSE)/(LEN(VLOOKUP($D370,素材!$1:$1016,COLUMN($F$1),FALSE))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0)+IF($CI370&lt;&gt;"",VLOOKUP($CI370,付与!$A$1:BB$1173,COLUMN(付与!BB$1),FALSE),0)</f>
        <v>0</v>
      </c>
      <c r="AF370">
        <f>IF(ISNUMBER(SEARCH(SUBSTITUTE(AF$1,RIGHT(AF$1,2),""),VLOOKUP($D370,素材!$1:$1016,COLUMN($F$1),FALSE))),VLOOKUP($C370,装備品!$1:$998,COLUMN($O$1),FALSE)*VLOOKUP($D370,素材!$1:$1016,COLUMN($E$1),FALSE)/(LEN(VLOOKUP($D370,素材!$1:$1016,COLUMN($F$1),FALSE))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0)+IF($CI370&lt;&gt;"",VLOOKUP($CI370,付与!$A$1:BC$1173,COLUMN(付与!BC$1),FALSE),0)</f>
        <v>0</v>
      </c>
      <c r="AG370">
        <f>IF(ISNUMBER(SEARCH(SUBSTITUTE(AG$1,RIGHT(AG$1,2),""),VLOOKUP($D370,素材!$1:$1016,COLUMN($F$1),FALSE))),VLOOKUP($C370,装備品!$1:$998,COLUMN($O$1),FALSE)*VLOOKUP($D370,素材!$1:$1016,COLUMN($E$1),FALSE)/(LEN(VLOOKUP($D370,素材!$1:$1016,COLUMN($F$1),FALSE))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0)+IF($CI370&lt;&gt;"",VLOOKUP($CI370,付与!$A$1:BD$1173,COLUMN(付与!BD$1),FALSE),0)</f>
        <v>0</v>
      </c>
      <c r="AH370">
        <f>IF(ISNUMBER(SEARCH(SUBSTITUTE(AH$1,RIGHT(AH$1,2),""),VLOOKUP($D370,素材!$1:$1016,COLUMN($F$1),FALSE))),VLOOKUP($C370,装備品!$1:$998,COLUMN($O$1),FALSE)*VLOOKUP($D370,素材!$1:$1016,COLUMN($E$1),FALSE)/(LEN(VLOOKUP($D370,素材!$1:$1016,COLUMN($F$1),FALSE))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0)+IF($CI370&lt;&gt;"",VLOOKUP($CI370,付与!$A$1:BE$1173,COLUMN(付与!BE$1),FALSE),0)</f>
        <v>5</v>
      </c>
      <c r="AI370">
        <f>IF(ISNUMBER(SEARCH(SUBSTITUTE(AI$1,RIGHT(AI$1,2),""),VLOOKUP($D370,素材!$1:$1016,COLUMN($F$1),FALSE))),VLOOKUP($C370,装備品!$1:$998,COLUMN($O$1),FALSE)*VLOOKUP($D370,素材!$1:$1016,COLUMN($E$1),FALSE)/(LEN(VLOOKUP($D370,素材!$1:$1016,COLUMN($F$1),FALSE))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0)+IF($CI370&lt;&gt;"",VLOOKUP($CI370,付与!$A$1:BF$1173,COLUMN(付与!BF$1),FALSE),0)</f>
        <v>0</v>
      </c>
      <c r="AJ370">
        <f>IF(ISNUMBER(SEARCH(SUBSTITUTE(AJ$1,RIGHT(AJ$1,2),""),VLOOKUP($D370,素材!$1:$1016,COLUMN($F$1),FALSE))),VLOOKUP($C370,装備品!$1:$998,COLUMN($O$1),FALSE)*VLOOKUP($D370,素材!$1:$1016,COLUMN($E$1),FALSE)/(LEN(VLOOKUP($D370,素材!$1:$1016,COLUMN($F$1),FALSE))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0)+IF($CI370&lt;&gt;"",VLOOKUP($CI370,付与!$A$1:BG$1173,COLUMN(付与!BG$1),FALSE),0)</f>
        <v>0</v>
      </c>
      <c r="AK370">
        <f>IF(ISNUMBER(SEARCH(SUBSTITUTE(AK$1,RIGHT(AK$1,2),""),VLOOKUP($D370,素材!$1:$1016,COLUMN($F$1),FALSE))),VLOOKUP($C370,装備品!$1:$998,COLUMN($O$1),FALSE)*VLOOKUP($D370,素材!$1:$1016,COLUMN($E$1),FALSE)/(LEN(VLOOKUP($D370,素材!$1:$1016,COLUMN($F$1),FALSE))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0)+IF($CI370&lt;&gt;"",VLOOKUP($CI370,付与!$A$1:BH$1173,COLUMN(付与!BH$1),FALSE),0)</f>
        <v>0</v>
      </c>
      <c r="AL370">
        <f>IF(ISNUMBER(SEARCH(SUBSTITUTE(AL$1,RIGHT(AL$1,2),""),VLOOKUP($D370,素材!$1:$1016,COLUMN($F$1),FALSE))),VLOOKUP($C370,装備品!$1:$998,COLUMN($O$1),FALSE)*VLOOKUP($D370,素材!$1:$1016,COLUMN($E$1),FALSE)/(LEN(VLOOKUP($D370,素材!$1:$1016,COLUMN($F$1),FALSE))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0)+IF($CI370&lt;&gt;"",VLOOKUP($CI370,付与!$A$1:BI$1173,COLUMN(付与!BI$1),FALSE),0)</f>
        <v>0</v>
      </c>
      <c r="AM370">
        <f>IF(ISNUMBER(SEARCH(SUBSTITUTE(AM$1,RIGHT(AM$1,2),""),VLOOKUP($D370,素材!$1:$1016,COLUMN($F$1),FALSE))),VLOOKUP($C370,装備品!$1:$998,COLUMN($O$1),FALSE)*VLOOKUP($D370,素材!$1:$1016,COLUMN($E$1),FALSE)/(LEN(VLOOKUP($D370,素材!$1:$1016,COLUMN($F$1),FALSE))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0)+IF($CI370&lt;&gt;"",VLOOKUP($CI370,付与!$A$1:BJ$1173,COLUMN(付与!BJ$1),FALSE),0)</f>
        <v>0</v>
      </c>
      <c r="AN370">
        <f>IF(ISNUMBER(SEARCH(SUBSTITUTE(AN$1,RIGHT(AN$1,2),""),VLOOKUP($D370,素材!$1:$1016,COLUMN($F$1),FALSE))),VLOOKUP($C370,装備品!$1:$998,COLUMN($O$1),FALSE)*VLOOKUP($D370,素材!$1:$1016,COLUMN($E$1),FALSE)/(LEN(VLOOKUP($D370,素材!$1:$1016,COLUMN($F$1),FALSE))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0)+IF($CI370&lt;&gt;"",VLOOKUP($CI370,付与!$A$1:BK$1173,COLUMN(付与!BK$1),FALSE),0)</f>
        <v>0</v>
      </c>
      <c r="AO370">
        <f>IF(ISNUMBER(SEARCH(SUBSTITUTE(AO$1,RIGHT(AO$1,2),""),VLOOKUP($D370,素材!$1:$1016,COLUMN($F$1),FALSE))),VLOOKUP($C370,装備品!$1:$998,COLUMN($O$1),FALSE)*VLOOKUP($D370,素材!$1:$1016,COLUMN($E$1),FALSE)/(LEN(VLOOKUP($D370,素材!$1:$1016,COLUMN($F$1),FALSE))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0)+IF($CI370&lt;&gt;"",VLOOKUP($CI370,付与!$A$1:BM$1173,COLUMN(付与!BM$1),FALSE),0)</f>
        <v>0</v>
      </c>
      <c r="AP370">
        <f>IF(ISNUMBER(SEARCH(SUBSTITUTE(AP$1,RIGHT(AP$1,2),""),VLOOKUP($D370,素材!$1:$1016,COLUMN($F$1),FALSE))),VLOOKUP($C370,装備品!$1:$998,COLUMN($O$1),FALSE)*VLOOKUP($D370,素材!$1:$1016,COLUMN($E$1),FALSE)/(LEN(VLOOKUP($D370,素材!$1:$1016,COLUMN($F$1),FALSE))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0)+IF($CI370&lt;&gt;"",VLOOKUP($CI370,付与!$A$1:BN$1173,COLUMN(付与!BN$1),FALSE),0)</f>
        <v>0</v>
      </c>
      <c r="AQ370">
        <f>IF(ISNUMBER(SEARCH(SUBSTITUTE(AQ$1,RIGHT(AQ$1,2),""),VLOOKUP($D370,素材!$1:$1016,COLUMN($F$1),FALSE))),VLOOKUP($C370,装備品!$1:$998,COLUMN($O$1),FALSE)*VLOOKUP($D370,素材!$1:$1016,COLUMN($E$1),FALSE)/(LEN(VLOOKUP($D370,素材!$1:$1016,COLUMN($F$1),FALSE))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0)+IF($CI370&lt;&gt;"",VLOOKUP($CI370,付与!$A$1:BP$1173,COLUMN(付与!BP$1),FALSE),0)</f>
        <v>0</v>
      </c>
      <c r="AR370">
        <f>IF(ISNUMBER(SEARCH(SUBSTITUTE(AR$1,RIGHT(AR$1,2),""),VLOOKUP($D370,素材!$1:$1016,COLUMN($F$1),FALSE))),VLOOKUP($C370,装備品!$1:$998,COLUMN($O$1),FALSE)*VLOOKUP($D370,素材!$1:$1016,COLUMN($E$1),FALSE)/(LEN(VLOOKUP($D370,素材!$1:$1016,COLUMN($F$1),FALSE))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0)+IF($CI370&lt;&gt;"",VLOOKUP($CI370,付与!$A$1:BQ$1173,COLUMN(付与!BQ$1),FALSE),0)</f>
        <v>0</v>
      </c>
      <c r="AS370">
        <f>IF(ISNUMBER(SEARCH(SUBSTITUTE(AS$1,RIGHT(AS$1,2),""),VLOOKUP($D370,素材!$1:$1016,COLUMN($F$1),FALSE))),VLOOKUP($C370,装備品!$1:$998,COLUMN($O$1),FALSE)*VLOOKUP($D370,素材!$1:$1016,COLUMN($E$1),FALSE)/(LEN(VLOOKUP($D370,素材!$1:$1016,COLUMN($F$1),FALSE))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0)+IF($CI370&lt;&gt;"",VLOOKUP($CI370,付与!$A$1:BR$1173,COLUMN(付与!BR$1),FALSE),0)</f>
        <v>0</v>
      </c>
      <c r="AT370">
        <f>IF(ISNUMBER(SEARCH(SUBSTITUTE(AT$1,RIGHT(AT$1,2),""),VLOOKUP($D370,素材!$1:$1016,COLUMN($F$1),FALSE))),VLOOKUP($C370,装備品!$1:$998,COLUMN($O$1),FALSE)*VLOOKUP($D370,素材!$1:$1016,COLUMN($E$1),FALSE)/(LEN(VLOOKUP($D370,素材!$1:$1016,COLUMN($F$1),FALSE))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0)+IF($CI370&lt;&gt;"",VLOOKUP($CI370,付与!$A$1:BV$1173,COLUMN(付与!BV$1),FALSE),0)</f>
        <v>0</v>
      </c>
      <c r="AU370">
        <f>IF(ISNUMBER(SEARCH(SUBSTITUTE(AU$1,RIGHT(AU$1,2),""),VLOOKUP($D370,素材!$1:$1016,COLUMN($F$1),FALSE))),VLOOKUP($C370,装備品!$1:$998,COLUMN($O$1),FALSE)*VLOOKUP($D370,素材!$1:$1016,COLUMN($E$1),FALSE)/(LEN(VLOOKUP($D370,素材!$1:$1016,COLUMN($F$1),FALSE))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0)+IF($CI370&lt;&gt;"",VLOOKUP($CI370,付与!$A$1:BW$1173,COLUMN(付与!BW$1),FALSE),0)</f>
        <v>0</v>
      </c>
      <c r="AV370">
        <f>IF(ISNUMBER(SEARCH(SUBSTITUTE(AV$1,RIGHT(AV$1,2),""),VLOOKUP($D370,素材!$1:$1016,COLUMN($F$1),FALSE))),VLOOKUP($C370,装備品!$1:$998,COLUMN($O$1),FALSE)*VLOOKUP($D370,素材!$1:$1016,COLUMN($E$1),FALSE)/(LEN(VLOOKUP($D370,素材!$1:$1016,COLUMN($F$1),FALSE))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0)+IF($CI370&lt;&gt;"",VLOOKUP($CI370,付与!$A$1:BS$1173,COLUMN(付与!BS$1),FALSE),0)</f>
        <v>0</v>
      </c>
      <c r="AW370">
        <f>IF(ISNUMBER(SEARCH(SUBSTITUTE(AW$1,RIGHT(AW$1,2),""),VLOOKUP($D370,素材!$1:$1016,COLUMN($F$1),FALSE))),VLOOKUP($C370,装備品!$1:$998,COLUMN($O$1),FALSE)*VLOOKUP($D370,素材!$1:$1016,COLUMN($E$1),FALSE)/(LEN(VLOOKUP($D370,素材!$1:$1016,COLUMN($F$1),FALSE))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0)+IF($CI370&lt;&gt;"",VLOOKUP($CI370,付与!$A$1:BT$1173,COLUMN(付与!BT$1),FALSE),0)</f>
        <v>0</v>
      </c>
      <c r="AX370">
        <f>IF(ISNUMBER(SEARCH(SUBSTITUTE(AX$1,RIGHT(AX$1,2),""),VLOOKUP($D370,素材!$1:$1016,COLUMN($F$1),FALSE))),VLOOKUP($C370,装備品!$1:$998,COLUMN($O$1),FALSE)*VLOOKUP($D370,素材!$1:$1016,COLUMN($E$1),FALSE)/(LEN(VLOOKUP($D370,素材!$1:$1016,COLUMN($F$1),FALSE))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0)+IF($CI370&lt;&gt;"",VLOOKUP($CI370,付与!$A$1:BU$1173,COLUMN(付与!BU$1),FALSE),0)</f>
        <v>0</v>
      </c>
      <c r="AY370">
        <f>IF(ISNUMBER(SEARCH(SUBSTITUTE(AY$1,RIGHT(AY$1,2),""),VLOOKUP($D370,素材!$1:$1016,COLUMN($F$1),FALSE))),VLOOKUP($C370,装備品!$1:$998,COLUMN($O$1),FALSE)*VLOOKUP($D370,素材!$1:$1016,COLUMN($E$1),FALSE)/(LEN(VLOOKUP($D370,素材!$1:$1016,COLUMN($F$1),FALSE))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0)+IF($CI370&lt;&gt;"",VLOOKUP($CI370,付与!$A$1:BU$1173,COLUMN(付与!BO$1),FALSE),0)</f>
        <v>0</v>
      </c>
      <c r="AZ370">
        <f>IF(ISNUMBER(SEARCH(SUBSTITUTE(AZ$1,RIGHT(AZ$1,2),""),VLOOKUP($D370,素材!$1:$1016,COLUMN($F$1),FALSE))),VLOOKUP($C370,装備品!$1:$998,COLUMN($O$1),FALSE)*VLOOKUP($D370,素材!$1:$1016,COLUMN($E$1),FALSE)/(LEN(VLOOKUP($D370,素材!$1:$1016,COLUMN($F$1),FALSE))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0)+IF($CI370&lt;&gt;"",VLOOKUP($CI370,付与!$A$1:BX$1173,COLUMN(付与!BX$1),FALSE),0)</f>
        <v>0</v>
      </c>
      <c r="BA370">
        <f>IF(ISNUMBER(SEARCH(SUBSTITUTE(BA$1,RIGHT(BA$1,2),""),VLOOKUP($D370,素材!$1:$1016,COLUMN($F$1),FALSE))),VLOOKUP($C370,装備品!$1:$998,COLUMN($O$1),FALSE)*VLOOKUP($D370,素材!$1:$1016,COLUMN($E$1),FALSE)/(LEN(VLOOKUP($D370,素材!$1:$1016,COLUMN($F$1),FALSE))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0)+IF($CI370&lt;&gt;"",VLOOKUP($CI370,付与!$A$1:BY$1173,COLUMN(付与!BY$1),FALSE),0)</f>
        <v>0</v>
      </c>
      <c r="BB370">
        <f>IF(ISNUMBER(SEARCH(SUBSTITUTE(BB$1,RIGHT(BB$1,2),""),VLOOKUP($D370,素材!$1:$1016,COLUMN($F$1),FALSE))),VLOOKUP($C370,装備品!$1:$998,COLUMN($O$1),FALSE)*VLOOKUP($D370,素材!$1:$1016,COLUMN($E$1),FALSE)/(LEN(VLOOKUP($D370,素材!$1:$1016,COLUMN($F$1),FALSE))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0)+IF($CI370&lt;&gt;"",VLOOKUP($CI370,付与!$A$1:BZ$1173,COLUMN(付与!BZ$1),FALSE),0)</f>
        <v>0</v>
      </c>
      <c r="BC370">
        <f>IF(ISNUMBER(SEARCH(SUBSTITUTE(BC$1,RIGHT(BC$1,2),""),VLOOKUP($D370,素材!$1:$1016,COLUMN($F$1),FALSE))),VLOOKUP($C370,装備品!$1:$998,COLUMN($O$1),FALSE)*VLOOKUP($D370,素材!$1:$1016,COLUMN($E$1),FALSE)/(LEN(VLOOKUP($D370,素材!$1:$1016,COLUMN($F$1),FALSE))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0)+IF($CI370&lt;&gt;"",VLOOKUP($CI370,付与!$A$1:CA$1173,COLUMN(付与!CA$1),FALSE),0)</f>
        <v>0</v>
      </c>
      <c r="BD370">
        <f>IF(ISNUMBER(SEARCH(SUBSTITUTE(BD$1,RIGHT(BD$1,2),""),VLOOKUP($D370,素材!$1:$1016,COLUMN($F$1),FALSE))),VLOOKUP($C370,装備品!$1:$998,COLUMN($O$1),FALSE)*VLOOKUP($D370,素材!$1:$1016,COLUMN($E$1),FALSE)/(LEN(VLOOKUP($D370,素材!$1:$1016,COLUMN($F$1),FALSE))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0)+IF($CI370&lt;&gt;"",VLOOKUP($CI370,付与!$A$1:CB$1173,COLUMN(付与!CB$1),FALSE),0)</f>
        <v>0</v>
      </c>
      <c r="BE370">
        <f>IF(ISNUMBER(SEARCH(SUBSTITUTE(BE$1,RIGHT(BE$1,2),""),VLOOKUP($D370,素材!$1:$1016,COLUMN($F$1),FALSE))),VLOOKUP($C370,装備品!$1:$998,COLUMN($O$1),FALSE)*VLOOKUP($D370,素材!$1:$1016,COLUMN($E$1),FALSE)/(LEN(VLOOKUP($D370,素材!$1:$1016,COLUMN($F$1),FALSE))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0)+IF($CI370&lt;&gt;"",VLOOKUP($CI370,付与!$A$1:CC$1173,COLUMN(付与!CC$1),FALSE),0)</f>
        <v>0</v>
      </c>
      <c r="CI370" t="s">
        <v>8</v>
      </c>
      <c r="CL370">
        <f t="shared" si="47"/>
        <v>0</v>
      </c>
      <c r="CM370" s="22" t="str">
        <f t="shared" si="48"/>
        <v>装飾.webp</v>
      </c>
      <c r="CN370">
        <f>IFERROR(VLOOKUP($C370,装備品!$1:$998,COLUMN(V$1),FALSE)*VLOOKUP($D370,素材!$1:$1016,COLUMN(N$1),FALSE)+IF(CI370="",0,VLOOKUP($CI370,付与!$1:$1176,COLUMN($CK$1),FALSE)),"")</f>
        <v>0</v>
      </c>
      <c r="CO370" t="str">
        <f>VLOOKUP(D370,素材!$A:$O,COLUMN(素材!O$1),FALSE)</f>
        <v>酸性の体液を持つドラゴン型生物から採取される鱗素材。特殊な酸属性耐性を提供し、毒性や腐食性のある環境に適した防具の製作に適しています。</v>
      </c>
      <c r="CP370" t="str">
        <f>VLOOKUP(C370,装備品!$A:$AB,COLUMN(装備品!AB$1),FALSE)</f>
        <v xml:space="preserve">防御 隠密 </v>
      </c>
      <c r="CR370" t="str">
        <f t="shared" si="54"/>
        <v>e_370</v>
      </c>
      <c r="CS370">
        <f t="shared" si="55"/>
        <v>0</v>
      </c>
    </row>
    <row r="371" spans="1:97" outlineLevel="1" x14ac:dyDescent="0.4">
      <c r="A371" t="s">
        <v>1273</v>
      </c>
      <c r="B371" t="s">
        <v>1274</v>
      </c>
      <c r="C371" t="s">
        <v>203</v>
      </c>
      <c r="D371" s="24" t="s">
        <v>1214</v>
      </c>
      <c r="E371" t="str">
        <f>IFERROR(VLOOKUP(C371,装備品!$1:$998,COLUMN(C$1),FALSE),"")</f>
        <v>装飾</v>
      </c>
      <c r="F371">
        <f>IFERROR(ROUNDDOWN((VLOOKUP($C371,装備品!$1:$998,COLUMN(D$1),FALSE)+IFERROR(VLOOKUP($CI371,付与!$1:$1167,COLUMN(F$1),FALSE),0))*VLOOKUP($D371,素材!$1:$1016,COLUMN(D$1),FALSE),0),"")</f>
        <v>0</v>
      </c>
      <c r="G371">
        <f>IFERROR(ROUNDDOWN((VLOOKUP($C371,装備品!$1:$998,COLUMN(E$1),FALSE)+IFERROR(VLOOKUP($CI371,付与!$1:$1167,COLUMN(G$1),FALSE),0))*VLOOKUP($D371,素材!$1:$1016,COLUMN($E$1),FALSE),0),"")</f>
        <v>0</v>
      </c>
      <c r="H371">
        <f>IFERROR(ROUNDDOWN((VLOOKUP($C371,装備品!$1:$998,COLUMN(F$1),FALSE)+IFERROR(VLOOKUP($CI371,付与!$1:$1167,COLUMN(H$1),FALSE),0))*VLOOKUP($D371,素材!$1:$1016,COLUMN($E$1),FALSE),0),"")</f>
        <v>0</v>
      </c>
      <c r="I371">
        <f>IFERROR(ROUNDDOWN((VLOOKUP($C371,装備品!$1:$998,COLUMN(G$1),FALSE)+IFERROR(VLOOKUP($CI371,付与!$1:$1167,COLUMN(I$1),FALSE),0))*VLOOKUP($D371,素材!$1:$1016,COLUMN($E$1),FALSE),0),"")</f>
        <v>0</v>
      </c>
      <c r="J371">
        <f>IFERROR(ROUNDDOWN((VLOOKUP($C371,装備品!$1:$998,COLUMN(H$1),FALSE)+IFERROR(VLOOKUP($CI371,付与!$1:$1167,COLUMN(J$1),FALSE),0))*VLOOKUP($D371,素材!$1:$1016,COLUMN($E$1),FALSE),0),"")</f>
        <v>0</v>
      </c>
      <c r="K371">
        <f>IFERROR(ROUNDDOWN((VLOOKUP($C371,装備品!$1:$998,COLUMN(I$1),FALSE)+IFERROR(VLOOKUP($CI371,付与!$1:$1167,COLUMN(K$1),FALSE),0))*VLOOKUP($D371,素材!$1:$1016,COLUMN($E$1),FALSE),0),"")</f>
        <v>0</v>
      </c>
      <c r="L371" t="str">
        <f>IFERROR(VLOOKUP($D371,素材!$1:$1016,COLUMN($F$1),FALSE),"")</f>
        <v>悪</v>
      </c>
      <c r="M371">
        <f>IFERROR(VLOOKUP($C371,装備品!$1:$998,COLUMN(AA$1),FALSE)*VLOOKUP($D371,素材!$1:$1016,COLUMN($G$1),FALSE),"")</f>
        <v>50</v>
      </c>
      <c r="N371">
        <f>IFERROR(VLOOKUP($C371,装備品!$1:$998,COLUMN(I$1),FALSE),"")</f>
        <v>0</v>
      </c>
      <c r="O371" s="23">
        <f>IFERROR((VLOOKUP($C371,装備品!$1:$998,COLUMN(K$1),FALSE)+VLOOKUP($D371,素材!$1:$1016,COLUMN(H$1),FALSE))*100+IFERROR(VLOOKUP($CI371,付与!$1:$1167,COLUMN(O$1),FALSE),0),"")</f>
        <v>0</v>
      </c>
      <c r="P371" s="23">
        <f>IFERROR((VLOOKUP($C371,装備品!$1:$998,COLUMN(L$1),FALSE)+VLOOKUP($D371,素材!$1:$1016,COLUMN(I$1),FALSE))*100+IFERROR(VLOOKUP($CI371,付与!$1:$1167,COLUMN(P$1),FALSE),0),"")</f>
        <v>0</v>
      </c>
      <c r="Q371">
        <f>IFERROR(ROUNDUP(VLOOKUP($C371,装備品!$1:$998,COLUMN(M$1),FALSE)*(VLOOKUP($D371,素材!$1:$1002,COLUMN(D$1),FALSE)/100),1),"")</f>
        <v>0</v>
      </c>
      <c r="R371">
        <f>IFERROR(ROUNDUP(VLOOKUP($C371,装備品!$1:$998,COLUMN(N$1),FALSE)*(VLOOKUP($D371,素材!$1:$1002,COLUMN(D$1),FALSE)/100),1),"")</f>
        <v>0</v>
      </c>
      <c r="S371">
        <f>IFERROR(VLOOKUP($C371,装備品!$1:$998,COLUMN(P$1),FALSE),"")</f>
        <v>0</v>
      </c>
      <c r="T371">
        <f>IFERROR(VLOOKUP($C371,装備品!$1:$998,COLUMN(Q$1),FALSE),"")</f>
        <v>0</v>
      </c>
      <c r="U371">
        <f>IFERROR(VLOOKUP($C371,装備品!$1:$998,COLUMN(R$1),FALSE),"")</f>
        <v>0</v>
      </c>
      <c r="V371">
        <f>IFERROR(VLOOKUP($C371,装備品!$1:$998,COLUMN(Q$1),FALSE),"")</f>
        <v>0</v>
      </c>
      <c r="W371">
        <f>IFERROR(VLOOKUP($C371,装備品!$1:$998,COLUMN(T$1),FALSE),"")</f>
        <v>0</v>
      </c>
      <c r="Y371">
        <f>IFERROR(VLOOKUP($C371,装備品!$1:$998,COLUMN(U$1),FALSE),"")</f>
        <v>0</v>
      </c>
      <c r="Z371">
        <f>IFERROR(ROUNDUP(VLOOKUP($C371,装備品!$1:$998,COLUMN(O$1),FALSE)*VLOOKUP($D371,素材!$1:$1016,COLUMN(E$1),FALSE),1),"")</f>
        <v>0</v>
      </c>
      <c r="AA371">
        <f>IF(ISNUMBER(SEARCH(SUBSTITUTE(AA$1,RIGHT(AA$1,2),""),VLOOKUP($D371,素材!$1:$1016,COLUMN($F$1),FALSE))),VLOOKUP($C371,装備品!$1:$998,COLUMN($O$1),FALSE)*VLOOKUP($D371,素材!$1:$1016,COLUMN($E$1),FALSE)/(LEN(VLOOKUP($D371,素材!$1:$1016,COLUMN($F$1),FALSE))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</f>
        <v>0</v>
      </c>
      <c r="AB371">
        <f>IF(ISNUMBER(SEARCH(SUBSTITUTE(AB$1,RIGHT(AB$1,2),""),VLOOKUP($D371,素材!$1:$1016,COLUMN($F$1),FALSE))),VLOOKUP($C371,装備品!$1:$998,COLUMN($O$1),FALSE)*VLOOKUP($D371,素材!$1:$1016,COLUMN($E$1),FALSE)/(LEN(VLOOKUP($D371,素材!$1:$1016,COLUMN($F$1),FALSE))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</f>
        <v>0</v>
      </c>
      <c r="AC371">
        <f>IF(ISNUMBER(SEARCH(SUBSTITUTE(AC$1,RIGHT(AC$1,2),""),VLOOKUP($D371,素材!$1:$1016,COLUMN($F$1),FALSE))),VLOOKUP($C371,装備品!$1:$998,COLUMN($O$1),FALSE)*VLOOKUP($D371,素材!$1:$1016,COLUMN($E$1),FALSE)/(LEN(VLOOKUP($D371,素材!$1:$1016,COLUMN($F$1),FALSE))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</f>
        <v>0</v>
      </c>
      <c r="AD371">
        <f>IF(ISNUMBER(SEARCH(SUBSTITUTE(AD$1,RIGHT(AD$1,2),""),VLOOKUP($D371,素材!$1:$1016,COLUMN($F$1),FALSE))),VLOOKUP($C371,装備品!$1:$998,COLUMN($O$1),FALSE)*VLOOKUP($D371,素材!$1:$1016,COLUMN($E$1),FALSE)/(LEN(VLOOKUP($D371,素材!$1:$1016,COLUMN($F$1),FALSE))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</f>
        <v>0</v>
      </c>
      <c r="AE371">
        <f>IF(ISNUMBER(SEARCH(SUBSTITUTE(AE$1,RIGHT(AE$1,2),""),VLOOKUP($D371,素材!$1:$1016,COLUMN($F$1),FALSE))),VLOOKUP($C371,装備品!$1:$998,COLUMN($O$1),FALSE)*VLOOKUP($D371,素材!$1:$1016,COLUMN($E$1),FALSE)/(LEN(VLOOKUP($D371,素材!$1:$1016,COLUMN($F$1),FALSE))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0)+IF($CI371&lt;&gt;"",VLOOKUP($CI371,付与!$A$1:BB$1173,COLUMN(付与!BB$1),FALSE),0)</f>
        <v>0</v>
      </c>
      <c r="AF371">
        <f>IF(ISNUMBER(SEARCH(SUBSTITUTE(AF$1,RIGHT(AF$1,2),""),VLOOKUP($D371,素材!$1:$1016,COLUMN($F$1),FALSE))),VLOOKUP($C371,装備品!$1:$998,COLUMN($O$1),FALSE)*VLOOKUP($D371,素材!$1:$1016,COLUMN($E$1),FALSE)/(LEN(VLOOKUP($D371,素材!$1:$1016,COLUMN($F$1),FALSE))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0)+IF($CI371&lt;&gt;"",VLOOKUP($CI371,付与!$A$1:BC$1173,COLUMN(付与!BC$1),FALSE),0)</f>
        <v>0</v>
      </c>
      <c r="AG371">
        <f>IF(ISNUMBER(SEARCH(SUBSTITUTE(AG$1,RIGHT(AG$1,2),""),VLOOKUP($D371,素材!$1:$1016,COLUMN($F$1),FALSE))),VLOOKUP($C371,装備品!$1:$998,COLUMN($O$1),FALSE)*VLOOKUP($D371,素材!$1:$1016,COLUMN($E$1),FALSE)/(LEN(VLOOKUP($D371,素材!$1:$1016,COLUMN($F$1),FALSE))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0)+IF($CI371&lt;&gt;"",VLOOKUP($CI371,付与!$A$1:BD$1173,COLUMN(付与!BD$1),FALSE),0)</f>
        <v>0</v>
      </c>
      <c r="AH371">
        <f>IF(ISNUMBER(SEARCH(SUBSTITUTE(AH$1,RIGHT(AH$1,2),""),VLOOKUP($D371,素材!$1:$1016,COLUMN($F$1),FALSE))),VLOOKUP($C371,装備品!$1:$998,COLUMN($O$1),FALSE)*VLOOKUP($D371,素材!$1:$1016,COLUMN($E$1),FALSE)/(LEN(VLOOKUP($D371,素材!$1:$1016,COLUMN($F$1),FALSE))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0)+IF($CI371&lt;&gt;"",VLOOKUP($CI371,付与!$A$1:BE$1173,COLUMN(付与!BE$1),FALSE),0)</f>
        <v>0</v>
      </c>
      <c r="AI371">
        <f>IF(ISNUMBER(SEARCH(SUBSTITUTE(AI$1,RIGHT(AI$1,2),""),VLOOKUP($D371,素材!$1:$1016,COLUMN($F$1),FALSE))),VLOOKUP($C371,装備品!$1:$998,COLUMN($O$1),FALSE)*VLOOKUP($D371,素材!$1:$1016,COLUMN($E$1),FALSE)/(LEN(VLOOKUP($D371,素材!$1:$1016,COLUMN($F$1),FALSE))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0)+IF($CI371&lt;&gt;"",VLOOKUP($CI371,付与!$A$1:BF$1173,COLUMN(付与!BF$1),FALSE),0)</f>
        <v>0</v>
      </c>
      <c r="AJ371">
        <f>IF(ISNUMBER(SEARCH(SUBSTITUTE(AJ$1,RIGHT(AJ$1,2),""),VLOOKUP($D371,素材!$1:$1016,COLUMN($F$1),FALSE))),VLOOKUP($C371,装備品!$1:$998,COLUMN($O$1),FALSE)*VLOOKUP($D371,素材!$1:$1016,COLUMN($E$1),FALSE)/(LEN(VLOOKUP($D371,素材!$1:$1016,COLUMN($F$1),FALSE))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0)+IF($CI371&lt;&gt;"",VLOOKUP($CI371,付与!$A$1:BG$1173,COLUMN(付与!BG$1),FALSE),0)</f>
        <v>0</v>
      </c>
      <c r="AK371">
        <f>IF(ISNUMBER(SEARCH(SUBSTITUTE(AK$1,RIGHT(AK$1,2),""),VLOOKUP($D371,素材!$1:$1016,COLUMN($F$1),FALSE))),VLOOKUP($C371,装備品!$1:$998,COLUMN($O$1),FALSE)*VLOOKUP($D371,素材!$1:$1016,COLUMN($E$1),FALSE)/(LEN(VLOOKUP($D371,素材!$1:$1016,COLUMN($F$1),FALSE))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0)+IF($CI371&lt;&gt;"",VLOOKUP($CI371,付与!$A$1:BH$1173,COLUMN(付与!BH$1),FALSE),0)</f>
        <v>0</v>
      </c>
      <c r="AL371">
        <f>IF(ISNUMBER(SEARCH(SUBSTITUTE(AL$1,RIGHT(AL$1,2),""),VLOOKUP($D371,素材!$1:$1016,COLUMN($F$1),FALSE))),VLOOKUP($C371,装備品!$1:$998,COLUMN($O$1),FALSE)*VLOOKUP($D371,素材!$1:$1016,COLUMN($E$1),FALSE)/(LEN(VLOOKUP($D371,素材!$1:$1016,COLUMN($F$1),FALSE))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0)+IF($CI371&lt;&gt;"",VLOOKUP($CI371,付与!$A$1:BI$1173,COLUMN(付与!BI$1),FALSE),0)</f>
        <v>0</v>
      </c>
      <c r="AM371">
        <f>IF(ISNUMBER(SEARCH(SUBSTITUTE(AM$1,RIGHT(AM$1,2),""),VLOOKUP($D371,素材!$1:$1016,COLUMN($F$1),FALSE))),VLOOKUP($C371,装備品!$1:$998,COLUMN($O$1),FALSE)*VLOOKUP($D371,素材!$1:$1016,COLUMN($E$1),FALSE)/(LEN(VLOOKUP($D371,素材!$1:$1016,COLUMN($F$1),FALSE))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0)+IF($CI371&lt;&gt;"",VLOOKUP($CI371,付与!$A$1:BJ$1173,COLUMN(付与!BJ$1),FALSE),0)</f>
        <v>0</v>
      </c>
      <c r="AN371">
        <f>IF(ISNUMBER(SEARCH(SUBSTITUTE(AN$1,RIGHT(AN$1,2),""),VLOOKUP($D371,素材!$1:$1016,COLUMN($F$1),FALSE))),VLOOKUP($C371,装備品!$1:$998,COLUMN($O$1),FALSE)*VLOOKUP($D371,素材!$1:$1016,COLUMN($E$1),FALSE)/(LEN(VLOOKUP($D371,素材!$1:$1016,COLUMN($F$1),FALSE))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0)+IF($CI371&lt;&gt;"",VLOOKUP($CI371,付与!$A$1:BK$1173,COLUMN(付与!BK$1),FALSE),0)</f>
        <v>0</v>
      </c>
      <c r="AO371">
        <f>IF(ISNUMBER(SEARCH(SUBSTITUTE(AO$1,RIGHT(AO$1,2),""),VLOOKUP($D371,素材!$1:$1016,COLUMN($F$1),FALSE))),VLOOKUP($C371,装備品!$1:$998,COLUMN($O$1),FALSE)*VLOOKUP($D371,素材!$1:$1016,COLUMN($E$1),FALSE)/(LEN(VLOOKUP($D371,素材!$1:$1016,COLUMN($F$1),FALSE))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0)+IF($CI371&lt;&gt;"",VLOOKUP($CI371,付与!$A$1:BM$1173,COLUMN(付与!BM$1),FALSE),0)</f>
        <v>0</v>
      </c>
      <c r="AP371">
        <f>IF(ISNUMBER(SEARCH(SUBSTITUTE(AP$1,RIGHT(AP$1,2),""),VLOOKUP($D371,素材!$1:$1016,COLUMN($F$1),FALSE))),VLOOKUP($C371,装備品!$1:$998,COLUMN($O$1),FALSE)*VLOOKUP($D371,素材!$1:$1016,COLUMN($E$1),FALSE)/(LEN(VLOOKUP($D371,素材!$1:$1016,COLUMN($F$1),FALSE))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0)+IF($CI371&lt;&gt;"",VLOOKUP($CI371,付与!$A$1:BN$1173,COLUMN(付与!BN$1),FALSE),0)</f>
        <v>0</v>
      </c>
      <c r="AQ371">
        <f>IF(ISNUMBER(SEARCH(SUBSTITUTE(AQ$1,RIGHT(AQ$1,2),""),VLOOKUP($D371,素材!$1:$1016,COLUMN($F$1),FALSE))),VLOOKUP($C371,装備品!$1:$998,COLUMN($O$1),FALSE)*VLOOKUP($D371,素材!$1:$1016,COLUMN($E$1),FALSE)/(LEN(VLOOKUP($D371,素材!$1:$1016,COLUMN($F$1),FALSE))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0)+IF($CI371&lt;&gt;"",VLOOKUP($CI371,付与!$A$1:BP$1173,COLUMN(付与!BP$1),FALSE),0)</f>
        <v>0</v>
      </c>
      <c r="AR371">
        <f>IF(ISNUMBER(SEARCH(SUBSTITUTE(AR$1,RIGHT(AR$1,2),""),VLOOKUP($D371,素材!$1:$1016,COLUMN($F$1),FALSE))),VLOOKUP($C371,装備品!$1:$998,COLUMN($O$1),FALSE)*VLOOKUP($D371,素材!$1:$1016,COLUMN($E$1),FALSE)/(LEN(VLOOKUP($D371,素材!$1:$1016,COLUMN($F$1),FALSE))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0)+IF($CI371&lt;&gt;"",VLOOKUP($CI371,付与!$A$1:BQ$1173,COLUMN(付与!BQ$1),FALSE),0)</f>
        <v>0</v>
      </c>
      <c r="AS371">
        <f>IF(ISNUMBER(SEARCH(SUBSTITUTE(AS$1,RIGHT(AS$1,2),""),VLOOKUP($D371,素材!$1:$1016,COLUMN($F$1),FALSE))),VLOOKUP($C371,装備品!$1:$998,COLUMN($O$1),FALSE)*VLOOKUP($D371,素材!$1:$1016,COLUMN($E$1),FALSE)/(LEN(VLOOKUP($D371,素材!$1:$1016,COLUMN($F$1),FALSE))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0)+IF($CI371&lt;&gt;"",VLOOKUP($CI371,付与!$A$1:BR$1173,COLUMN(付与!BR$1),FALSE),0)</f>
        <v>0</v>
      </c>
      <c r="AT371">
        <f>IF(ISNUMBER(SEARCH(SUBSTITUTE(AT$1,RIGHT(AT$1,2),""),VLOOKUP($D371,素材!$1:$1016,COLUMN($F$1),FALSE))),VLOOKUP($C371,装備品!$1:$998,COLUMN($O$1),FALSE)*VLOOKUP($D371,素材!$1:$1016,COLUMN($E$1),FALSE)/(LEN(VLOOKUP($D371,素材!$1:$1016,COLUMN($F$1),FALSE))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0)+IF($CI371&lt;&gt;"",VLOOKUP($CI371,付与!$A$1:BV$1173,COLUMN(付与!BV$1),FALSE),0)</f>
        <v>0</v>
      </c>
      <c r="AU371">
        <f>IF(ISNUMBER(SEARCH(SUBSTITUTE(AU$1,RIGHT(AU$1,2),""),VLOOKUP($D371,素材!$1:$1016,COLUMN($F$1),FALSE))),VLOOKUP($C371,装備品!$1:$998,COLUMN($O$1),FALSE)*VLOOKUP($D371,素材!$1:$1016,COLUMN($E$1),FALSE)/(LEN(VLOOKUP($D371,素材!$1:$1016,COLUMN($F$1),FALSE))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0)+IF($CI371&lt;&gt;"",VLOOKUP($CI371,付与!$A$1:BW$1173,COLUMN(付与!BW$1),FALSE),0)</f>
        <v>0</v>
      </c>
      <c r="AV371">
        <f>IF(ISNUMBER(SEARCH(SUBSTITUTE(AV$1,RIGHT(AV$1,2),""),VLOOKUP($D371,素材!$1:$1016,COLUMN($F$1),FALSE))),VLOOKUP($C371,装備品!$1:$998,COLUMN($O$1),FALSE)*VLOOKUP($D371,素材!$1:$1016,COLUMN($E$1),FALSE)/(LEN(VLOOKUP($D371,素材!$1:$1016,COLUMN($F$1),FALSE))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0)+IF($CI371&lt;&gt;"",VLOOKUP($CI371,付与!$A$1:BS$1173,COLUMN(付与!BS$1),FALSE),0)</f>
        <v>0</v>
      </c>
      <c r="AW371">
        <f>IF(ISNUMBER(SEARCH(SUBSTITUTE(AW$1,RIGHT(AW$1,2),""),VLOOKUP($D371,素材!$1:$1016,COLUMN($F$1),FALSE))),VLOOKUP($C371,装備品!$1:$998,COLUMN($O$1),FALSE)*VLOOKUP($D371,素材!$1:$1016,COLUMN($E$1),FALSE)/(LEN(VLOOKUP($D371,素材!$1:$1016,COLUMN($F$1),FALSE))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0)+IF($CI371&lt;&gt;"",VLOOKUP($CI371,付与!$A$1:BT$1173,COLUMN(付与!BT$1),FALSE),0)</f>
        <v>0</v>
      </c>
      <c r="AX371">
        <f>IF(ISNUMBER(SEARCH(SUBSTITUTE(AX$1,RIGHT(AX$1,2),""),VLOOKUP($D371,素材!$1:$1016,COLUMN($F$1),FALSE))),VLOOKUP($C371,装備品!$1:$998,COLUMN($O$1),FALSE)*VLOOKUP($D371,素材!$1:$1016,COLUMN($E$1),FALSE)/(LEN(VLOOKUP($D371,素材!$1:$1016,COLUMN($F$1),FALSE))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0)+IF($CI371&lt;&gt;"",VLOOKUP($CI371,付与!$A$1:BU$1173,COLUMN(付与!BU$1),FALSE),0)</f>
        <v>0</v>
      </c>
      <c r="AY371">
        <f>IF(ISNUMBER(SEARCH(SUBSTITUTE(AY$1,RIGHT(AY$1,2),""),VLOOKUP($D371,素材!$1:$1016,COLUMN($F$1),FALSE))),VLOOKUP($C371,装備品!$1:$998,COLUMN($O$1),FALSE)*VLOOKUP($D371,素材!$1:$1016,COLUMN($E$1),FALSE)/(LEN(VLOOKUP($D371,素材!$1:$1016,COLUMN($F$1),FALSE))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0)+IF($CI371&lt;&gt;"",VLOOKUP($CI371,付与!$A$1:BU$1173,COLUMN(付与!BO$1),FALSE),0)</f>
        <v>0</v>
      </c>
      <c r="AZ371">
        <f>IF(ISNUMBER(SEARCH(SUBSTITUTE(AZ$1,RIGHT(AZ$1,2),""),VLOOKUP($D371,素材!$1:$1016,COLUMN($F$1),FALSE))),VLOOKUP($C371,装備品!$1:$998,COLUMN($O$1),FALSE)*VLOOKUP($D371,素材!$1:$1016,COLUMN($E$1),FALSE)/(LEN(VLOOKUP($D371,素材!$1:$1016,COLUMN($F$1),FALSE))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0)+IF($CI371&lt;&gt;"",VLOOKUP($CI371,付与!$A$1:BX$1173,COLUMN(付与!BX$1),FALSE),0)</f>
        <v>0</v>
      </c>
      <c r="BA371">
        <f>IF(ISNUMBER(SEARCH(SUBSTITUTE(BA$1,RIGHT(BA$1,2),""),VLOOKUP($D371,素材!$1:$1016,COLUMN($F$1),FALSE))),VLOOKUP($C371,装備品!$1:$998,COLUMN($O$1),FALSE)*VLOOKUP($D371,素材!$1:$1016,COLUMN($E$1),FALSE)/(LEN(VLOOKUP($D371,素材!$1:$1016,COLUMN($F$1),FALSE))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0)+IF($CI371&lt;&gt;"",VLOOKUP($CI371,付与!$A$1:BY$1173,COLUMN(付与!BY$1),FALSE),0)</f>
        <v>0</v>
      </c>
      <c r="BB371">
        <f>IF(ISNUMBER(SEARCH(SUBSTITUTE(BB$1,RIGHT(BB$1,2),""),VLOOKUP($D371,素材!$1:$1016,COLUMN($F$1),FALSE))),VLOOKUP($C371,装備品!$1:$998,COLUMN($O$1),FALSE)*VLOOKUP($D371,素材!$1:$1016,COLUMN($E$1),FALSE)/(LEN(VLOOKUP($D371,素材!$1:$1016,COLUMN($F$1),FALSE))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0)+IF($CI371&lt;&gt;"",VLOOKUP($CI371,付与!$A$1:BZ$1173,COLUMN(付与!BZ$1),FALSE),0)</f>
        <v>0</v>
      </c>
      <c r="BC371">
        <f>IF(ISNUMBER(SEARCH(SUBSTITUTE(BC$1,RIGHT(BC$1,2),""),VLOOKUP($D371,素材!$1:$1016,COLUMN($F$1),FALSE))),VLOOKUP($C371,装備品!$1:$998,COLUMN($O$1),FALSE)*VLOOKUP($D371,素材!$1:$1016,COLUMN($E$1),FALSE)/(LEN(VLOOKUP($D371,素材!$1:$1016,COLUMN($F$1),FALSE))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0)+IF($CI371&lt;&gt;"",VLOOKUP($CI371,付与!$A$1:CA$1173,COLUMN(付与!CA$1),FALSE),0)</f>
        <v>0</v>
      </c>
      <c r="BD371">
        <f>IF(ISNUMBER(SEARCH(SUBSTITUTE(BD$1,RIGHT(BD$1,2),""),VLOOKUP($D371,素材!$1:$1016,COLUMN($F$1),FALSE))),VLOOKUP($C371,装備品!$1:$998,COLUMN($O$1),FALSE)*VLOOKUP($D371,素材!$1:$1016,COLUMN($E$1),FALSE)/(LEN(VLOOKUP($D371,素材!$1:$1016,COLUMN($F$1),FALSE))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0)+IF($CI371&lt;&gt;"",VLOOKUP($CI371,付与!$A$1:CB$1173,COLUMN(付与!CB$1),FALSE),0)</f>
        <v>0</v>
      </c>
      <c r="BE371">
        <f>IF(ISNUMBER(SEARCH(SUBSTITUTE(BE$1,RIGHT(BE$1,2),""),VLOOKUP($D371,素材!$1:$1016,COLUMN($F$1),FALSE))),VLOOKUP($C371,装備品!$1:$998,COLUMN($O$1),FALSE)*VLOOKUP($D371,素材!$1:$1016,COLUMN($E$1),FALSE)/(LEN(VLOOKUP($D371,素材!$1:$1016,COLUMN($F$1),FALSE))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0)+IF($CI371&lt;&gt;"",VLOOKUP($CI371,付与!$A$1:CC$1173,COLUMN(付与!CC$1),FALSE),0)</f>
        <v>0</v>
      </c>
      <c r="CI371" t="s">
        <v>41</v>
      </c>
      <c r="CL371">
        <f t="shared" si="47"/>
        <v>0</v>
      </c>
      <c r="CM371" s="22" t="str">
        <f t="shared" si="48"/>
        <v>装飾.webp</v>
      </c>
      <c r="CN371">
        <f>IFERROR(VLOOKUP($C371,装備品!$1:$998,COLUMN(V$1),FALSE)*VLOOKUP($D371,素材!$1:$1016,COLUMN(N$1),FALSE)+IF(CI371="",0,VLOOKUP($CI371,付与!$1:$1176,COLUMN($CK$1),FALSE)),"")</f>
        <v>0</v>
      </c>
      <c r="CO371" t="str">
        <f>VLOOKUP(D371,素材!$A:$O,COLUMN(素材!O$1),FALSE)</f>
        <v>神聖な力を持つ木材。武器として使用すると善属性が付加され、防具に使用すると呪いへの耐性が強化される。</v>
      </c>
      <c r="CP371" t="str">
        <f>VLOOKUP(C371,装備品!$A:$AB,COLUMN(装備品!AB$1),FALSE)</f>
        <v xml:space="preserve">HP ST 攻撃 防御 体幹 怯み 疲労 </v>
      </c>
      <c r="CR371" t="str">
        <f t="shared" si="54"/>
        <v>e_371</v>
      </c>
      <c r="CS371">
        <f t="shared" ref="CS371:CS392" si="56">CN371*100</f>
        <v>0</v>
      </c>
    </row>
    <row r="372" spans="1:97" outlineLevel="1" x14ac:dyDescent="0.4">
      <c r="A372" t="s">
        <v>1254</v>
      </c>
      <c r="B372" t="str">
        <f>IFERROR(VLOOKUP($D372,素材!$1:$1016,COLUMN($B$1),FALSE)&amp;"・"&amp;VLOOKUP($C372,装備品!$1:$998,COLUMN(B$1),FALSE),"")</f>
        <v>ホロウウッド・ローブ</v>
      </c>
      <c r="C372" t="s">
        <v>1255</v>
      </c>
      <c r="D372" s="24" t="s">
        <v>1214</v>
      </c>
      <c r="E372" t="str">
        <f>IFERROR(VLOOKUP(C372,装備品!$1:$998,COLUMN(C$1),FALSE),"")</f>
        <v>体</v>
      </c>
      <c r="F372">
        <f>IFERROR(ROUNDDOWN((VLOOKUP($C372,装備品!$1:$998,COLUMN(D$1),FALSE)+IFERROR(VLOOKUP($CI372,付与!$1:$1167,COLUMN(F$1),FALSE),0))*VLOOKUP($D372,素材!$1:$1016,COLUMN(D$1),FALSE),0),"")</f>
        <v>0</v>
      </c>
      <c r="G372">
        <f>IFERROR(ROUNDDOWN((VLOOKUP($C372,装備品!$1:$998,COLUMN(E$1),FALSE)+IFERROR(VLOOKUP($CI372,付与!$1:$1167,COLUMN(G$1),FALSE),0))*VLOOKUP($D372,素材!$1:$1016,COLUMN($E$1),FALSE),0),"")</f>
        <v>0</v>
      </c>
      <c r="H372">
        <f>IFERROR(ROUNDDOWN((VLOOKUP($C372,装備品!$1:$998,COLUMN(F$1),FALSE)+IFERROR(VLOOKUP($CI372,付与!$1:$1167,COLUMN(H$1),FALSE),0))*VLOOKUP($D372,素材!$1:$1016,COLUMN($E$1),FALSE),0),"")</f>
        <v>0</v>
      </c>
      <c r="I372">
        <f>IFERROR(ROUNDDOWN((VLOOKUP($C372,装備品!$1:$998,COLUMN(G$1),FALSE)+IFERROR(VLOOKUP($CI372,付与!$1:$1167,COLUMN(I$1),FALSE),0))*VLOOKUP($D372,素材!$1:$1016,COLUMN($E$1),FALSE),0),"")</f>
        <v>0</v>
      </c>
      <c r="J372">
        <f>IFERROR(ROUNDDOWN((VLOOKUP($C372,装備品!$1:$998,COLUMN(H$1),FALSE)+IFERROR(VLOOKUP($CI372,付与!$1:$1167,COLUMN(J$1),FALSE),0))*VLOOKUP($D372,素材!$1:$1016,COLUMN($E$1),FALSE),0),"")</f>
        <v>0</v>
      </c>
      <c r="K372">
        <f>IFERROR(ROUNDDOWN((VLOOKUP($C372,装備品!$1:$998,COLUMN(I$1),FALSE)+IFERROR(VLOOKUP($CI372,付与!$1:$1167,COLUMN(K$1),FALSE),0))*VLOOKUP($D372,素材!$1:$1016,COLUMN($E$1),FALSE),0),"")</f>
        <v>0</v>
      </c>
      <c r="L372" t="str">
        <f>IFERROR(VLOOKUP($D372,素材!$1:$1016,COLUMN($F$1),FALSE),"")</f>
        <v>悪</v>
      </c>
      <c r="M372">
        <f>IFERROR(VLOOKUP($C372,装備品!$1:$998,COLUMN(AA$1),FALSE)*VLOOKUP($D372,素材!$1:$1016,COLUMN($G$1),FALSE),"")</f>
        <v>100</v>
      </c>
      <c r="N372">
        <f>IFERROR(VLOOKUP($C372,装備品!$1:$998,COLUMN(I$1),FALSE),"")</f>
        <v>0</v>
      </c>
      <c r="O372" s="23">
        <f>IFERROR((VLOOKUP($C372,装備品!$1:$998,COLUMN(K$1),FALSE)+VLOOKUP($D372,素材!$1:$1016,COLUMN(H$1),FALSE))*100+IFERROR(VLOOKUP($CI372,付与!$1:$1167,COLUMN(O$1),FALSE),0),"")</f>
        <v>0</v>
      </c>
      <c r="P372" s="23">
        <f>IFERROR((VLOOKUP($C372,装備品!$1:$998,COLUMN(L$1),FALSE)+VLOOKUP($D372,素材!$1:$1016,COLUMN(I$1),FALSE))*100+IFERROR(VLOOKUP($CI372,付与!$1:$1167,COLUMN(P$1),FALSE),0),"")</f>
        <v>0</v>
      </c>
      <c r="Q372">
        <f>IFERROR(ROUNDUP(VLOOKUP($C372,装備品!$1:$998,COLUMN(M$1),FALSE)*(VLOOKUP($D372,素材!$1:$1002,COLUMN(D$1),FALSE)/100),1),"")</f>
        <v>0</v>
      </c>
      <c r="R372">
        <f>IFERROR(ROUNDUP(VLOOKUP($C372,装備品!$1:$998,COLUMN(N$1),FALSE)*(VLOOKUP($D372,素材!$1:$1002,COLUMN(D$1),FALSE)/100),1),"")</f>
        <v>0</v>
      </c>
      <c r="S372">
        <f>IFERROR(VLOOKUP($C372,装備品!$1:$998,COLUMN(P$1),FALSE),"")</f>
        <v>0</v>
      </c>
      <c r="T372">
        <f>IFERROR(VLOOKUP($C372,装備品!$1:$998,COLUMN(Q$1),FALSE),"")</f>
        <v>0</v>
      </c>
      <c r="U372">
        <f>IFERROR(VLOOKUP($C372,装備品!$1:$998,COLUMN(R$1),FALSE),"")</f>
        <v>0</v>
      </c>
      <c r="V372">
        <f>IFERROR(VLOOKUP($C372,装備品!$1:$998,COLUMN(Q$1),FALSE),"")</f>
        <v>0</v>
      </c>
      <c r="W372">
        <f>IFERROR(VLOOKUP($C372,装備品!$1:$998,COLUMN(T$1),FALSE),"")</f>
        <v>0.2</v>
      </c>
      <c r="Y372">
        <f>IFERROR(VLOOKUP($C372,装備品!$1:$998,COLUMN(U$1),FALSE),"")</f>
        <v>0</v>
      </c>
      <c r="Z372">
        <f>IFERROR(ROUNDUP(VLOOKUP($C372,装備品!$1:$998,COLUMN(O$1),FALSE)*VLOOKUP($D372,素材!$1:$1016,COLUMN(E$1),FALSE),1),"")</f>
        <v>0</v>
      </c>
      <c r="AA372">
        <f>IF(ISNUMBER(SEARCH(SUBSTITUTE(AA$1,RIGHT(AA$1,2),""),VLOOKUP($D372,素材!$1:$1016,COLUMN($F$1),FALSE))),VLOOKUP($C372,装備品!$1:$998,COLUMN($O$1),FALSE)*VLOOKUP($D372,素材!$1:$1016,COLUMN($E$1),FALSE)/(LEN(VLOOKUP($D372,素材!$1:$1016,COLUMN($F$1),FALSE))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</f>
        <v>0</v>
      </c>
      <c r="AB372">
        <f>IF(ISNUMBER(SEARCH(SUBSTITUTE(AB$1,RIGHT(AB$1,2),""),VLOOKUP($D372,素材!$1:$1016,COLUMN($F$1),FALSE))),VLOOKUP($C372,装備品!$1:$998,COLUMN($O$1),FALSE)*VLOOKUP($D372,素材!$1:$1016,COLUMN($E$1),FALSE)/(LEN(VLOOKUP($D372,素材!$1:$1016,COLUMN($F$1),FALSE))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</f>
        <v>0</v>
      </c>
      <c r="AC372">
        <f>IF(ISNUMBER(SEARCH(SUBSTITUTE(AC$1,RIGHT(AC$1,2),""),VLOOKUP($D372,素材!$1:$1016,COLUMN($F$1),FALSE))),VLOOKUP($C372,装備品!$1:$998,COLUMN($O$1),FALSE)*VLOOKUP($D372,素材!$1:$1016,COLUMN($E$1),FALSE)/(LEN(VLOOKUP($D372,素材!$1:$1016,COLUMN($F$1),FALSE))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</f>
        <v>0</v>
      </c>
      <c r="AD372">
        <f>IF(ISNUMBER(SEARCH(SUBSTITUTE(AD$1,RIGHT(AD$1,2),""),VLOOKUP($D372,素材!$1:$1016,COLUMN($F$1),FALSE))),VLOOKUP($C372,装備品!$1:$998,COLUMN($O$1),FALSE)*VLOOKUP($D372,素材!$1:$1016,COLUMN($E$1),FALSE)/(LEN(VLOOKUP($D372,素材!$1:$1016,COLUMN($F$1),FALSE))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</f>
        <v>0</v>
      </c>
      <c r="AE372">
        <f>IF(ISNUMBER(SEARCH(SUBSTITUTE(AE$1,RIGHT(AE$1,2),""),VLOOKUP($D372,素材!$1:$1016,COLUMN($F$1),FALSE))),VLOOKUP($C372,装備品!$1:$998,COLUMN($O$1),FALSE)*VLOOKUP($D372,素材!$1:$1016,COLUMN($E$1),FALSE)/(LEN(VLOOKUP($D372,素材!$1:$1016,COLUMN($F$1),FALSE))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0)+IF($CI372&lt;&gt;"",VLOOKUP($CI372,付与!$A$1:BB$1173,COLUMN(付与!BB$1),FALSE),0)</f>
        <v>0</v>
      </c>
      <c r="AF372">
        <f>IF(ISNUMBER(SEARCH(SUBSTITUTE(AF$1,RIGHT(AF$1,2),""),VLOOKUP($D372,素材!$1:$1016,COLUMN($F$1),FALSE))),VLOOKUP($C372,装備品!$1:$998,COLUMN($O$1),FALSE)*VLOOKUP($D372,素材!$1:$1016,COLUMN($E$1),FALSE)/(LEN(VLOOKUP($D372,素材!$1:$1016,COLUMN($F$1),FALSE))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0)+IF($CI372&lt;&gt;"",VLOOKUP($CI372,付与!$A$1:BC$1173,COLUMN(付与!BC$1),FALSE),0)</f>
        <v>0</v>
      </c>
      <c r="AG372">
        <f>IF(ISNUMBER(SEARCH(SUBSTITUTE(AG$1,RIGHT(AG$1,2),""),VLOOKUP($D372,素材!$1:$1016,COLUMN($F$1),FALSE))),VLOOKUP($C372,装備品!$1:$998,COLUMN($O$1),FALSE)*VLOOKUP($D372,素材!$1:$1016,COLUMN($E$1),FALSE)/(LEN(VLOOKUP($D372,素材!$1:$1016,COLUMN($F$1),FALSE))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0)+IF($CI372&lt;&gt;"",VLOOKUP($CI372,付与!$A$1:BD$1173,COLUMN(付与!BD$1),FALSE),0)</f>
        <v>0</v>
      </c>
      <c r="AH372">
        <f>IF(ISNUMBER(SEARCH(SUBSTITUTE(AH$1,RIGHT(AH$1,2),""),VLOOKUP($D372,素材!$1:$1016,COLUMN($F$1),FALSE))),VLOOKUP($C372,装備品!$1:$998,COLUMN($O$1),FALSE)*VLOOKUP($D372,素材!$1:$1016,COLUMN($E$1),FALSE)/(LEN(VLOOKUP($D372,素材!$1:$1016,COLUMN($F$1),FALSE))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0)+IF($CI372&lt;&gt;"",VLOOKUP($CI372,付与!$A$1:BE$1173,COLUMN(付与!BE$1),FALSE),0)</f>
        <v>0</v>
      </c>
      <c r="AI372">
        <f>IF(ISNUMBER(SEARCH(SUBSTITUTE(AI$1,RIGHT(AI$1,2),""),VLOOKUP($D372,素材!$1:$1016,COLUMN($F$1),FALSE))),VLOOKUP($C372,装備品!$1:$998,COLUMN($O$1),FALSE)*VLOOKUP($D372,素材!$1:$1016,COLUMN($E$1),FALSE)/(LEN(VLOOKUP($D372,素材!$1:$1016,COLUMN($F$1),FALSE))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0)+IF($CI372&lt;&gt;"",VLOOKUP($CI372,付与!$A$1:BF$1173,COLUMN(付与!BF$1),FALSE),0)</f>
        <v>0</v>
      </c>
      <c r="AJ372">
        <f>IF(ISNUMBER(SEARCH(SUBSTITUTE(AJ$1,RIGHT(AJ$1,2),""),VLOOKUP($D372,素材!$1:$1016,COLUMN($F$1),FALSE))),VLOOKUP($C372,装備品!$1:$998,COLUMN($O$1),FALSE)*VLOOKUP($D372,素材!$1:$1016,COLUMN($E$1),FALSE)/(LEN(VLOOKUP($D372,素材!$1:$1016,COLUMN($F$1),FALSE))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0)+IF($CI372&lt;&gt;"",VLOOKUP($CI372,付与!$A$1:BG$1173,COLUMN(付与!BG$1),FALSE),0)</f>
        <v>0</v>
      </c>
      <c r="AK372">
        <f>IF(ISNUMBER(SEARCH(SUBSTITUTE(AK$1,RIGHT(AK$1,2),""),VLOOKUP($D372,素材!$1:$1016,COLUMN($F$1),FALSE))),VLOOKUP($C372,装備品!$1:$998,COLUMN($O$1),FALSE)*VLOOKUP($D372,素材!$1:$1016,COLUMN($E$1),FALSE)/(LEN(VLOOKUP($D372,素材!$1:$1016,COLUMN($F$1),FALSE))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0)+IF($CI372&lt;&gt;"",VLOOKUP($CI372,付与!$A$1:BH$1173,COLUMN(付与!BH$1),FALSE),0)</f>
        <v>0</v>
      </c>
      <c r="AL372">
        <f>IF(ISNUMBER(SEARCH(SUBSTITUTE(AL$1,RIGHT(AL$1,2),""),VLOOKUP($D372,素材!$1:$1016,COLUMN($F$1),FALSE))),VLOOKUP($C372,装備品!$1:$998,COLUMN($O$1),FALSE)*VLOOKUP($D372,素材!$1:$1016,COLUMN($E$1),FALSE)/(LEN(VLOOKUP($D372,素材!$1:$1016,COLUMN($F$1),FALSE))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0)+IF($CI372&lt;&gt;"",VLOOKUP($CI372,付与!$A$1:BI$1173,COLUMN(付与!BI$1),FALSE),0)</f>
        <v>0</v>
      </c>
      <c r="AM372">
        <f>IF(ISNUMBER(SEARCH(SUBSTITUTE(AM$1,RIGHT(AM$1,2),""),VLOOKUP($D372,素材!$1:$1016,COLUMN($F$1),FALSE))),VLOOKUP($C372,装備品!$1:$998,COLUMN($O$1),FALSE)*VLOOKUP($D372,素材!$1:$1016,COLUMN($E$1),FALSE)/(LEN(VLOOKUP($D372,素材!$1:$1016,COLUMN($F$1),FALSE))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0)+IF($CI372&lt;&gt;"",VLOOKUP($CI372,付与!$A$1:BJ$1173,COLUMN(付与!BJ$1),FALSE),0)</f>
        <v>0</v>
      </c>
      <c r="AN372">
        <f>IF(ISNUMBER(SEARCH(SUBSTITUTE(AN$1,RIGHT(AN$1,2),""),VLOOKUP($D372,素材!$1:$1016,COLUMN($F$1),FALSE))),VLOOKUP($C372,装備品!$1:$998,COLUMN($O$1),FALSE)*VLOOKUP($D372,素材!$1:$1016,COLUMN($E$1),FALSE)/(LEN(VLOOKUP($D372,素材!$1:$1016,COLUMN($F$1),FALSE))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0)+IF($CI372&lt;&gt;"",VLOOKUP($CI372,付与!$A$1:BK$1173,COLUMN(付与!BK$1),FALSE),0)</f>
        <v>0</v>
      </c>
      <c r="AO372">
        <f>IF(ISNUMBER(SEARCH(SUBSTITUTE(AO$1,RIGHT(AO$1,2),""),VLOOKUP($D372,素材!$1:$1016,COLUMN($F$1),FALSE))),VLOOKUP($C372,装備品!$1:$998,COLUMN($O$1),FALSE)*VLOOKUP($D372,素材!$1:$1016,COLUMN($E$1),FALSE)/(LEN(VLOOKUP($D372,素材!$1:$1016,COLUMN($F$1),FALSE))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0)+IF($CI372&lt;&gt;"",VLOOKUP($CI372,付与!$A$1:BM$1173,COLUMN(付与!BM$1),FALSE),0)</f>
        <v>0</v>
      </c>
      <c r="AP372">
        <f>IF(ISNUMBER(SEARCH(SUBSTITUTE(AP$1,RIGHT(AP$1,2),""),VLOOKUP($D372,素材!$1:$1016,COLUMN($F$1),FALSE))),VLOOKUP($C372,装備品!$1:$998,COLUMN($O$1),FALSE)*VLOOKUP($D372,素材!$1:$1016,COLUMN($E$1),FALSE)/(LEN(VLOOKUP($D372,素材!$1:$1016,COLUMN($F$1),FALSE))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0)+IF($CI372&lt;&gt;"",VLOOKUP($CI372,付与!$A$1:BN$1173,COLUMN(付与!BN$1),FALSE),0)</f>
        <v>0</v>
      </c>
      <c r="AQ372">
        <f>IF(ISNUMBER(SEARCH(SUBSTITUTE(AQ$1,RIGHT(AQ$1,2),""),VLOOKUP($D372,素材!$1:$1016,COLUMN($F$1),FALSE))),VLOOKUP($C372,装備品!$1:$998,COLUMN($O$1),FALSE)*VLOOKUP($D372,素材!$1:$1016,COLUMN($E$1),FALSE)/(LEN(VLOOKUP($D372,素材!$1:$1016,COLUMN($F$1),FALSE))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0)+IF($CI372&lt;&gt;"",VLOOKUP($CI372,付与!$A$1:BP$1173,COLUMN(付与!BP$1),FALSE),0)</f>
        <v>0</v>
      </c>
      <c r="AR372">
        <f>IF(ISNUMBER(SEARCH(SUBSTITUTE(AR$1,RIGHT(AR$1,2),""),VLOOKUP($D372,素材!$1:$1016,COLUMN($F$1),FALSE))),VLOOKUP($C372,装備品!$1:$998,COLUMN($O$1),FALSE)*VLOOKUP($D372,素材!$1:$1016,COLUMN($E$1),FALSE)/(LEN(VLOOKUP($D372,素材!$1:$1016,COLUMN($F$1),FALSE))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0)+IF($CI372&lt;&gt;"",VLOOKUP($CI372,付与!$A$1:BQ$1173,COLUMN(付与!BQ$1),FALSE),0)</f>
        <v>0</v>
      </c>
      <c r="AS372">
        <f>IF(ISNUMBER(SEARCH(SUBSTITUTE(AS$1,RIGHT(AS$1,2),""),VLOOKUP($D372,素材!$1:$1016,COLUMN($F$1),FALSE))),VLOOKUP($C372,装備品!$1:$998,COLUMN($O$1),FALSE)*VLOOKUP($D372,素材!$1:$1016,COLUMN($E$1),FALSE)/(LEN(VLOOKUP($D372,素材!$1:$1016,COLUMN($F$1),FALSE))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0)+IF($CI372&lt;&gt;"",VLOOKUP($CI372,付与!$A$1:BR$1173,COLUMN(付与!BR$1),FALSE),0)</f>
        <v>0</v>
      </c>
      <c r="AT372">
        <f>IF(ISNUMBER(SEARCH(SUBSTITUTE(AT$1,RIGHT(AT$1,2),""),VLOOKUP($D372,素材!$1:$1016,COLUMN($F$1),FALSE))),VLOOKUP($C372,装備品!$1:$998,COLUMN($O$1),FALSE)*VLOOKUP($D372,素材!$1:$1016,COLUMN($E$1),FALSE)/(LEN(VLOOKUP($D372,素材!$1:$1016,COLUMN($F$1),FALSE))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0)+IF($CI372&lt;&gt;"",VLOOKUP($CI372,付与!$A$1:BV$1173,COLUMN(付与!BV$1),FALSE),0)</f>
        <v>0</v>
      </c>
      <c r="AU372">
        <f>IF(ISNUMBER(SEARCH(SUBSTITUTE(AU$1,RIGHT(AU$1,2),""),VLOOKUP($D372,素材!$1:$1016,COLUMN($F$1),FALSE))),VLOOKUP($C372,装備品!$1:$998,COLUMN($O$1),FALSE)*VLOOKUP($D372,素材!$1:$1016,COLUMN($E$1),FALSE)/(LEN(VLOOKUP($D372,素材!$1:$1016,COLUMN($F$1),FALSE))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0)+IF($CI372&lt;&gt;"",VLOOKUP($CI372,付与!$A$1:BW$1173,COLUMN(付与!BW$1),FALSE),0)</f>
        <v>0</v>
      </c>
      <c r="AV372">
        <f>IF(ISNUMBER(SEARCH(SUBSTITUTE(AV$1,RIGHT(AV$1,2),""),VLOOKUP($D372,素材!$1:$1016,COLUMN($F$1),FALSE))),VLOOKUP($C372,装備品!$1:$998,COLUMN($O$1),FALSE)*VLOOKUP($D372,素材!$1:$1016,COLUMN($E$1),FALSE)/(LEN(VLOOKUP($D372,素材!$1:$1016,COLUMN($F$1),FALSE))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0)+IF($CI372&lt;&gt;"",VLOOKUP($CI372,付与!$A$1:BS$1173,COLUMN(付与!BS$1),FALSE),0)</f>
        <v>0</v>
      </c>
      <c r="AW372">
        <f>IF(ISNUMBER(SEARCH(SUBSTITUTE(AW$1,RIGHT(AW$1,2),""),VLOOKUP($D372,素材!$1:$1016,COLUMN($F$1),FALSE))),VLOOKUP($C372,装備品!$1:$998,COLUMN($O$1),FALSE)*VLOOKUP($D372,素材!$1:$1016,COLUMN($E$1),FALSE)/(LEN(VLOOKUP($D372,素材!$1:$1016,COLUMN($F$1),FALSE))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0)+IF($CI372&lt;&gt;"",VLOOKUP($CI372,付与!$A$1:BT$1173,COLUMN(付与!BT$1),FALSE),0)</f>
        <v>0</v>
      </c>
      <c r="AX372">
        <f>IF(ISNUMBER(SEARCH(SUBSTITUTE(AX$1,RIGHT(AX$1,2),""),VLOOKUP($D372,素材!$1:$1016,COLUMN($F$1),FALSE))),VLOOKUP($C372,装備品!$1:$998,COLUMN($O$1),FALSE)*VLOOKUP($D372,素材!$1:$1016,COLUMN($E$1),FALSE)/(LEN(VLOOKUP($D372,素材!$1:$1016,COLUMN($F$1),FALSE))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0)+IF($CI372&lt;&gt;"",VLOOKUP($CI372,付与!$A$1:BU$1173,COLUMN(付与!BU$1),FALSE),0)</f>
        <v>0</v>
      </c>
      <c r="AY372">
        <f>IF(ISNUMBER(SEARCH(SUBSTITUTE(AY$1,RIGHT(AY$1,2),""),VLOOKUP($D372,素材!$1:$1016,COLUMN($F$1),FALSE))),VLOOKUP($C372,装備品!$1:$998,COLUMN($O$1),FALSE)*VLOOKUP($D372,素材!$1:$1016,COLUMN($E$1),FALSE)/(LEN(VLOOKUP($D372,素材!$1:$1016,COLUMN($F$1),FALSE))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0)+IF($CI372&lt;&gt;"",VLOOKUP($CI372,付与!$A$1:BU$1173,COLUMN(付与!BO$1),FALSE),0)</f>
        <v>0</v>
      </c>
      <c r="AZ372">
        <f>IF(ISNUMBER(SEARCH(SUBSTITUTE(AZ$1,RIGHT(AZ$1,2),""),VLOOKUP($D372,素材!$1:$1016,COLUMN($F$1),FALSE))),VLOOKUP($C372,装備品!$1:$998,COLUMN($O$1),FALSE)*VLOOKUP($D372,素材!$1:$1016,COLUMN($E$1),FALSE)/(LEN(VLOOKUP($D372,素材!$1:$1016,COLUMN($F$1),FALSE))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0)+IF($CI372&lt;&gt;"",VLOOKUP($CI372,付与!$A$1:BX$1173,COLUMN(付与!BX$1),FALSE),0)</f>
        <v>0</v>
      </c>
      <c r="BA372">
        <f>IF(ISNUMBER(SEARCH(SUBSTITUTE(BA$1,RIGHT(BA$1,2),""),VLOOKUP($D372,素材!$1:$1016,COLUMN($F$1),FALSE))),VLOOKUP($C372,装備品!$1:$998,COLUMN($O$1),FALSE)*VLOOKUP($D372,素材!$1:$1016,COLUMN($E$1),FALSE)/(LEN(VLOOKUP($D372,素材!$1:$1016,COLUMN($F$1),FALSE))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0)+IF($CI372&lt;&gt;"",VLOOKUP($CI372,付与!$A$1:BY$1173,COLUMN(付与!BY$1),FALSE),0)</f>
        <v>0</v>
      </c>
      <c r="BB372">
        <f>IF(ISNUMBER(SEARCH(SUBSTITUTE(BB$1,RIGHT(BB$1,2),""),VLOOKUP($D372,素材!$1:$1016,COLUMN($F$1),FALSE))),VLOOKUP($C372,装備品!$1:$998,COLUMN($O$1),FALSE)*VLOOKUP($D372,素材!$1:$1016,COLUMN($E$1),FALSE)/(LEN(VLOOKUP($D372,素材!$1:$1016,COLUMN($F$1),FALSE))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0)+IF($CI372&lt;&gt;"",VLOOKUP($CI372,付与!$A$1:BZ$1173,COLUMN(付与!BZ$1),FALSE),0)</f>
        <v>0</v>
      </c>
      <c r="BC372">
        <f>IF(ISNUMBER(SEARCH(SUBSTITUTE(BC$1,RIGHT(BC$1,2),""),VLOOKUP($D372,素材!$1:$1016,COLUMN($F$1),FALSE))),VLOOKUP($C372,装備品!$1:$998,COLUMN($O$1),FALSE)*VLOOKUP($D372,素材!$1:$1016,COLUMN($E$1),FALSE)/(LEN(VLOOKUP($D372,素材!$1:$1016,COLUMN($F$1),FALSE))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0)+IF($CI372&lt;&gt;"",VLOOKUP($CI372,付与!$A$1:CA$1173,COLUMN(付与!CA$1),FALSE),0)</f>
        <v>0</v>
      </c>
      <c r="BD372">
        <f>IF(ISNUMBER(SEARCH(SUBSTITUTE(BD$1,RIGHT(BD$1,2),""),VLOOKUP($D372,素材!$1:$1016,COLUMN($F$1),FALSE))),VLOOKUP($C372,装備品!$1:$998,COLUMN($O$1),FALSE)*VLOOKUP($D372,素材!$1:$1016,COLUMN($E$1),FALSE)/(LEN(VLOOKUP($D372,素材!$1:$1016,COLUMN($F$1),FALSE))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0)+IF($CI372&lt;&gt;"",VLOOKUP($CI372,付与!$A$1:CB$1173,COLUMN(付与!CB$1),FALSE),0)</f>
        <v>0</v>
      </c>
      <c r="BE372">
        <f>IF(ISNUMBER(SEARCH(SUBSTITUTE(BE$1,RIGHT(BE$1,2),""),VLOOKUP($D372,素材!$1:$1016,COLUMN($F$1),FALSE))),VLOOKUP($C372,装備品!$1:$998,COLUMN($O$1),FALSE)*VLOOKUP($D372,素材!$1:$1016,COLUMN($E$1),FALSE)/(LEN(VLOOKUP($D372,素材!$1:$1016,COLUMN($F$1),FALSE))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0)+IF($CI372&lt;&gt;"",VLOOKUP($CI372,付与!$A$1:CC$1173,COLUMN(付与!CC$1),FALSE),0)</f>
        <v>0</v>
      </c>
      <c r="CI372" t="s">
        <v>39</v>
      </c>
      <c r="CL372">
        <f t="shared" si="47"/>
        <v>0</v>
      </c>
      <c r="CM372" s="22" t="str">
        <f t="shared" si="48"/>
        <v>体.webp</v>
      </c>
      <c r="CN372">
        <f>IFERROR(VLOOKUP($C372,装備品!$1:$998,COLUMN(V$1),FALSE)*VLOOKUP($D372,素材!$1:$1016,COLUMN(N$1),FALSE)+IF(CI372="",0,VLOOKUP($CI372,付与!$1:$1176,COLUMN($CK$1),FALSE)),"")</f>
        <v>0</v>
      </c>
      <c r="CO372" t="str">
        <f>VLOOKUP(D372,素材!$A:$O,COLUMN(素材!O$1),FALSE)</f>
        <v>神聖な力を持つ木材。武器として使用すると善属性が付加され、防具に使用すると呪いへの耐性が強化される。</v>
      </c>
      <c r="CP372" t="str">
        <f>VLOOKUP(C372,装備品!$A:$AB,COLUMN(装備品!AB$1),FALSE)</f>
        <v>HP 物理 魔法 体幹 出血 疲労 Cr</v>
      </c>
      <c r="CR372" t="str">
        <f t="shared" si="54"/>
        <v>e_372</v>
      </c>
      <c r="CS372">
        <f t="shared" ref="CS372" si="57">CN372*100</f>
        <v>0</v>
      </c>
    </row>
    <row r="373" spans="1:97" ht="37.5" outlineLevel="1" x14ac:dyDescent="0.4">
      <c r="A373" s="1" t="s">
        <v>1267</v>
      </c>
      <c r="B373" t="s">
        <v>1268</v>
      </c>
      <c r="C373" t="s">
        <v>1258</v>
      </c>
      <c r="D373" s="24" t="s">
        <v>1214</v>
      </c>
      <c r="E373" t="str">
        <f>IFERROR(VLOOKUP(C373,装備品!$1:$998,COLUMN(C$1),FALSE),"")</f>
        <v>足</v>
      </c>
      <c r="F373">
        <f>IFERROR(ROUNDDOWN((VLOOKUP($C373,装備品!$1:$998,COLUMN(D$1),FALSE)+IFERROR(VLOOKUP($CI373,付与!$1:$1167,COLUMN(F$1),FALSE),0))*VLOOKUP($D373,素材!$1:$1016,COLUMN(D$1),FALSE),0),"")</f>
        <v>0</v>
      </c>
      <c r="G373">
        <f>IFERROR(ROUNDDOWN((VLOOKUP($C373,装備品!$1:$998,COLUMN(E$1),FALSE)+IFERROR(VLOOKUP($CI373,付与!$1:$1167,COLUMN(G$1),FALSE),0))*VLOOKUP($D373,素材!$1:$1016,COLUMN($E$1),FALSE),0),"")</f>
        <v>0</v>
      </c>
      <c r="H373">
        <f>IFERROR(ROUNDDOWN((VLOOKUP($C373,装備品!$1:$998,COLUMN(F$1),FALSE)+IFERROR(VLOOKUP($CI373,付与!$1:$1167,COLUMN(H$1),FALSE),0))*VLOOKUP($D373,素材!$1:$1016,COLUMN($E$1),FALSE),0),"")</f>
        <v>0</v>
      </c>
      <c r="I373">
        <f>IFERROR(ROUNDDOWN((VLOOKUP($C373,装備品!$1:$998,COLUMN(G$1),FALSE)+IFERROR(VLOOKUP($CI373,付与!$1:$1167,COLUMN(I$1),FALSE),0))*VLOOKUP($D373,素材!$1:$1016,COLUMN($E$1),FALSE),0),"")</f>
        <v>35</v>
      </c>
      <c r="J373">
        <f>IFERROR(ROUNDDOWN((VLOOKUP($C373,装備品!$1:$998,COLUMN(H$1),FALSE)+IFERROR(VLOOKUP($CI373,付与!$1:$1167,COLUMN(J$1),FALSE),0))*VLOOKUP($D373,素材!$1:$1016,COLUMN($E$1),FALSE),0),"")</f>
        <v>0</v>
      </c>
      <c r="K373">
        <f>IFERROR(ROUNDDOWN((VLOOKUP($C373,装備品!$1:$998,COLUMN(I$1),FALSE)+IFERROR(VLOOKUP($CI373,付与!$1:$1167,COLUMN(K$1),FALSE),0))*VLOOKUP($D373,素材!$1:$1016,COLUMN($E$1),FALSE),0),"")</f>
        <v>0</v>
      </c>
      <c r="L373" t="str">
        <f>IFERROR(VLOOKUP($D373,素材!$1:$1016,COLUMN($F$1),FALSE),"")</f>
        <v>悪</v>
      </c>
      <c r="M373">
        <f>IFERROR(VLOOKUP($C373,装備品!$1:$998,COLUMN(AA$1),FALSE)*VLOOKUP($D373,素材!$1:$1016,COLUMN($G$1),FALSE),"")</f>
        <v>50</v>
      </c>
      <c r="N373">
        <f>IFERROR(VLOOKUP($C373,装備品!$1:$998,COLUMN(I$1),FALSE),"")</f>
        <v>0</v>
      </c>
      <c r="O373" s="23">
        <f>IFERROR((VLOOKUP($C373,装備品!$1:$998,COLUMN(K$1),FALSE)+VLOOKUP($D373,素材!$1:$1016,COLUMN(H$1),FALSE))*100+IFERROR(VLOOKUP($CI373,付与!$1:$1167,COLUMN(O$1),FALSE),0),"")</f>
        <v>10</v>
      </c>
      <c r="P373" s="23">
        <f>IFERROR((VLOOKUP($C373,装備品!$1:$998,COLUMN(L$1),FALSE)+VLOOKUP($D373,素材!$1:$1016,COLUMN(I$1),FALSE))*100+IFERROR(VLOOKUP($CI373,付与!$1:$1167,COLUMN(P$1),FALSE),0),"")</f>
        <v>150</v>
      </c>
      <c r="Q373">
        <f>IFERROR(ROUNDUP(VLOOKUP($C373,装備品!$1:$998,COLUMN(M$1),FALSE)*(VLOOKUP($D373,素材!$1:$1002,COLUMN(D$1),FALSE)/100),1),"")</f>
        <v>0</v>
      </c>
      <c r="R373">
        <f>IFERROR(ROUNDUP(VLOOKUP($C373,装備品!$1:$998,COLUMN(N$1),FALSE)*(VLOOKUP($D373,素材!$1:$1002,COLUMN(D$1),FALSE)/100),1),"")</f>
        <v>0</v>
      </c>
      <c r="S373">
        <f>IFERROR(VLOOKUP($C373,装備品!$1:$998,COLUMN(P$1),FALSE),"")</f>
        <v>0</v>
      </c>
      <c r="T373">
        <f>IFERROR(VLOOKUP($C373,装備品!$1:$998,COLUMN(Q$1),FALSE),"")</f>
        <v>0</v>
      </c>
      <c r="U373">
        <f>IFERROR(VLOOKUP($C373,装備品!$1:$998,COLUMN(R$1),FALSE),"")</f>
        <v>0</v>
      </c>
      <c r="V373">
        <f>IFERROR(VLOOKUP($C373,装備品!$1:$998,COLUMN(Q$1),FALSE),"")</f>
        <v>0</v>
      </c>
      <c r="W373">
        <f>IFERROR(VLOOKUP($C373,装備品!$1:$998,COLUMN(T$1),FALSE),"")</f>
        <v>0.15</v>
      </c>
      <c r="Y373">
        <f>IFERROR(VLOOKUP($C373,装備品!$1:$998,COLUMN(U$1),FALSE),"")</f>
        <v>0</v>
      </c>
      <c r="Z373">
        <f>IFERROR(ROUNDUP(VLOOKUP($C373,装備品!$1:$998,COLUMN(O$1),FALSE)*VLOOKUP($D373,素材!$1:$1016,COLUMN(E$1),FALSE),1),"")</f>
        <v>0</v>
      </c>
      <c r="AA373">
        <f>IF(ISNUMBER(SEARCH(SUBSTITUTE(AA$1,RIGHT(AA$1,2),""),VLOOKUP($D373,素材!$1:$1016,COLUMN($F$1),FALSE))),VLOOKUP($C373,装備品!$1:$998,COLUMN($O$1),FALSE)*VLOOKUP($D373,素材!$1:$1016,COLUMN($E$1),FALSE)/(LEN(VLOOKUP($D373,素材!$1:$1016,COLUMN($F$1),FALSE))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</f>
        <v>0</v>
      </c>
      <c r="AB373">
        <f>IF(ISNUMBER(SEARCH(SUBSTITUTE(AB$1,RIGHT(AB$1,2),""),VLOOKUP($D373,素材!$1:$1016,COLUMN($F$1),FALSE))),VLOOKUP($C373,装備品!$1:$998,COLUMN($O$1),FALSE)*VLOOKUP($D373,素材!$1:$1016,COLUMN($E$1),FALSE)/(LEN(VLOOKUP($D373,素材!$1:$1016,COLUMN($F$1),FALSE))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</f>
        <v>0</v>
      </c>
      <c r="AC373">
        <f>IF(ISNUMBER(SEARCH(SUBSTITUTE(AC$1,RIGHT(AC$1,2),""),VLOOKUP($D373,素材!$1:$1016,COLUMN($F$1),FALSE))),VLOOKUP($C373,装備品!$1:$998,COLUMN($O$1),FALSE)*VLOOKUP($D373,素材!$1:$1016,COLUMN($E$1),FALSE)/(LEN(VLOOKUP($D373,素材!$1:$1016,COLUMN($F$1),FALSE))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</f>
        <v>0</v>
      </c>
      <c r="AD373">
        <f>IF(ISNUMBER(SEARCH(SUBSTITUTE(AD$1,RIGHT(AD$1,2),""),VLOOKUP($D373,素材!$1:$1016,COLUMN($F$1),FALSE))),VLOOKUP($C373,装備品!$1:$998,COLUMN($O$1),FALSE)*VLOOKUP($D373,素材!$1:$1016,COLUMN($E$1),FALSE)/(LEN(VLOOKUP($D373,素材!$1:$1016,COLUMN($F$1),FALSE))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</f>
        <v>0</v>
      </c>
      <c r="AE373">
        <f>IF(ISNUMBER(SEARCH(SUBSTITUTE(AE$1,RIGHT(AE$1,2),""),VLOOKUP($D373,素材!$1:$1016,COLUMN($F$1),FALSE))),VLOOKUP($C373,装備品!$1:$998,COLUMN($O$1),FALSE)*VLOOKUP($D373,素材!$1:$1016,COLUMN($E$1),FALSE)/(LEN(VLOOKUP($D373,素材!$1:$1016,COLUMN($F$1),FALSE))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0)+IF($CI373&lt;&gt;"",VLOOKUP($CI373,付与!$A$1:BB$1173,COLUMN(付与!BB$1),FALSE),0)</f>
        <v>0</v>
      </c>
      <c r="AF373">
        <f>IF(ISNUMBER(SEARCH(SUBSTITUTE(AF$1,RIGHT(AF$1,2),""),VLOOKUP($D373,素材!$1:$1016,COLUMN($F$1),FALSE))),VLOOKUP($C373,装備品!$1:$998,COLUMN($O$1),FALSE)*VLOOKUP($D373,素材!$1:$1016,COLUMN($E$1),FALSE)/(LEN(VLOOKUP($D373,素材!$1:$1016,COLUMN($F$1),FALSE))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0)+IF($CI373&lt;&gt;"",VLOOKUP($CI373,付与!$A$1:BC$1173,COLUMN(付与!BC$1),FALSE),0)</f>
        <v>0</v>
      </c>
      <c r="AG373">
        <f>IF(ISNUMBER(SEARCH(SUBSTITUTE(AG$1,RIGHT(AG$1,2),""),VLOOKUP($D373,素材!$1:$1016,COLUMN($F$1),FALSE))),VLOOKUP($C373,装備品!$1:$998,COLUMN($O$1),FALSE)*VLOOKUP($D373,素材!$1:$1016,COLUMN($E$1),FALSE)/(LEN(VLOOKUP($D373,素材!$1:$1016,COLUMN($F$1),FALSE))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0)+IF($CI373&lt;&gt;"",VLOOKUP($CI373,付与!$A$1:BD$1173,COLUMN(付与!BD$1),FALSE),0)</f>
        <v>0</v>
      </c>
      <c r="AH373">
        <f>IF(ISNUMBER(SEARCH(SUBSTITUTE(AH$1,RIGHT(AH$1,2),""),VLOOKUP($D373,素材!$1:$1016,COLUMN($F$1),FALSE))),VLOOKUP($C373,装備品!$1:$998,COLUMN($O$1),FALSE)*VLOOKUP($D373,素材!$1:$1016,COLUMN($E$1),FALSE)/(LEN(VLOOKUP($D373,素材!$1:$1016,COLUMN($F$1),FALSE))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0)+IF($CI373&lt;&gt;"",VLOOKUP($CI373,付与!$A$1:BE$1173,COLUMN(付与!BE$1),FALSE),0)</f>
        <v>0</v>
      </c>
      <c r="AI373">
        <f>IF(ISNUMBER(SEARCH(SUBSTITUTE(AI$1,RIGHT(AI$1,2),""),VLOOKUP($D373,素材!$1:$1016,COLUMN($F$1),FALSE))),VLOOKUP($C373,装備品!$1:$998,COLUMN($O$1),FALSE)*VLOOKUP($D373,素材!$1:$1016,COLUMN($E$1),FALSE)/(LEN(VLOOKUP($D373,素材!$1:$1016,COLUMN($F$1),FALSE))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0)+IF($CI373&lt;&gt;"",VLOOKUP($CI373,付与!$A$1:BF$1173,COLUMN(付与!BF$1),FALSE),0)</f>
        <v>0</v>
      </c>
      <c r="AJ373">
        <f>IF(ISNUMBER(SEARCH(SUBSTITUTE(AJ$1,RIGHT(AJ$1,2),""),VLOOKUP($D373,素材!$1:$1016,COLUMN($F$1),FALSE))),VLOOKUP($C373,装備品!$1:$998,COLUMN($O$1),FALSE)*VLOOKUP($D373,素材!$1:$1016,COLUMN($E$1),FALSE)/(LEN(VLOOKUP($D373,素材!$1:$1016,COLUMN($F$1),FALSE))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0)+IF($CI373&lt;&gt;"",VLOOKUP($CI373,付与!$A$1:BG$1173,COLUMN(付与!BG$1),FALSE),0)</f>
        <v>0</v>
      </c>
      <c r="AK373">
        <f>IF(ISNUMBER(SEARCH(SUBSTITUTE(AK$1,RIGHT(AK$1,2),""),VLOOKUP($D373,素材!$1:$1016,COLUMN($F$1),FALSE))),VLOOKUP($C373,装備品!$1:$998,COLUMN($O$1),FALSE)*VLOOKUP($D373,素材!$1:$1016,COLUMN($E$1),FALSE)/(LEN(VLOOKUP($D373,素材!$1:$1016,COLUMN($F$1),FALSE))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0)+IF($CI373&lt;&gt;"",VLOOKUP($CI373,付与!$A$1:BH$1173,COLUMN(付与!BH$1),FALSE),0)</f>
        <v>0</v>
      </c>
      <c r="AL373">
        <f>IF(ISNUMBER(SEARCH(SUBSTITUTE(AL$1,RIGHT(AL$1,2),""),VLOOKUP($D373,素材!$1:$1016,COLUMN($F$1),FALSE))),VLOOKUP($C373,装備品!$1:$998,COLUMN($O$1),FALSE)*VLOOKUP($D373,素材!$1:$1016,COLUMN($E$1),FALSE)/(LEN(VLOOKUP($D373,素材!$1:$1016,COLUMN($F$1),FALSE))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0)+IF($CI373&lt;&gt;"",VLOOKUP($CI373,付与!$A$1:BI$1173,COLUMN(付与!BI$1),FALSE),0)</f>
        <v>0</v>
      </c>
      <c r="AM373">
        <f>IF(ISNUMBER(SEARCH(SUBSTITUTE(AM$1,RIGHT(AM$1,2),""),VLOOKUP($D373,素材!$1:$1016,COLUMN($F$1),FALSE))),VLOOKUP($C373,装備品!$1:$998,COLUMN($O$1),FALSE)*VLOOKUP($D373,素材!$1:$1016,COLUMN($E$1),FALSE)/(LEN(VLOOKUP($D373,素材!$1:$1016,COLUMN($F$1),FALSE))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0)+IF($CI373&lt;&gt;"",VLOOKUP($CI373,付与!$A$1:BJ$1173,COLUMN(付与!BJ$1),FALSE),0)</f>
        <v>0</v>
      </c>
      <c r="AN373">
        <f>IF(ISNUMBER(SEARCH(SUBSTITUTE(AN$1,RIGHT(AN$1,2),""),VLOOKUP($D373,素材!$1:$1016,COLUMN($F$1),FALSE))),VLOOKUP($C373,装備品!$1:$998,COLUMN($O$1),FALSE)*VLOOKUP($D373,素材!$1:$1016,COLUMN($E$1),FALSE)/(LEN(VLOOKUP($D373,素材!$1:$1016,COLUMN($F$1),FALSE))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0)+IF($CI373&lt;&gt;"",VLOOKUP($CI373,付与!$A$1:BK$1173,COLUMN(付与!BK$1),FALSE),0)</f>
        <v>0</v>
      </c>
      <c r="AO373">
        <f>IF(ISNUMBER(SEARCH(SUBSTITUTE(AO$1,RIGHT(AO$1,2),""),VLOOKUP($D373,素材!$1:$1016,COLUMN($F$1),FALSE))),VLOOKUP($C373,装備品!$1:$998,COLUMN($O$1),FALSE)*VLOOKUP($D373,素材!$1:$1016,COLUMN($E$1),FALSE)/(LEN(VLOOKUP($D373,素材!$1:$1016,COLUMN($F$1),FALSE))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0)+IF($CI373&lt;&gt;"",VLOOKUP($CI373,付与!$A$1:BM$1173,COLUMN(付与!BM$1),FALSE),0)</f>
        <v>0</v>
      </c>
      <c r="AP373">
        <f>IF(ISNUMBER(SEARCH(SUBSTITUTE(AP$1,RIGHT(AP$1,2),""),VLOOKUP($D373,素材!$1:$1016,COLUMN($F$1),FALSE))),VLOOKUP($C373,装備品!$1:$998,COLUMN($O$1),FALSE)*VLOOKUP($D373,素材!$1:$1016,COLUMN($E$1),FALSE)/(LEN(VLOOKUP($D373,素材!$1:$1016,COLUMN($F$1),FALSE))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0)+IF($CI373&lt;&gt;"",VLOOKUP($CI373,付与!$A$1:BN$1173,COLUMN(付与!BN$1),FALSE),0)</f>
        <v>0</v>
      </c>
      <c r="AQ373">
        <f>IF(ISNUMBER(SEARCH(SUBSTITUTE(AQ$1,RIGHT(AQ$1,2),""),VLOOKUP($D373,素材!$1:$1016,COLUMN($F$1),FALSE))),VLOOKUP($C373,装備品!$1:$998,COLUMN($O$1),FALSE)*VLOOKUP($D373,素材!$1:$1016,COLUMN($E$1),FALSE)/(LEN(VLOOKUP($D373,素材!$1:$1016,COLUMN($F$1),FALSE))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0)+IF($CI373&lt;&gt;"",VLOOKUP($CI373,付与!$A$1:BP$1173,COLUMN(付与!BP$1),FALSE),0)</f>
        <v>0</v>
      </c>
      <c r="AR373">
        <f>IF(ISNUMBER(SEARCH(SUBSTITUTE(AR$1,RIGHT(AR$1,2),""),VLOOKUP($D373,素材!$1:$1016,COLUMN($F$1),FALSE))),VLOOKUP($C373,装備品!$1:$998,COLUMN($O$1),FALSE)*VLOOKUP($D373,素材!$1:$1016,COLUMN($E$1),FALSE)/(LEN(VLOOKUP($D373,素材!$1:$1016,COLUMN($F$1),FALSE))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0)+IF($CI373&lt;&gt;"",VLOOKUP($CI373,付与!$A$1:BQ$1173,COLUMN(付与!BQ$1),FALSE),0)</f>
        <v>0</v>
      </c>
      <c r="AS373">
        <f>IF(ISNUMBER(SEARCH(SUBSTITUTE(AS$1,RIGHT(AS$1,2),""),VLOOKUP($D373,素材!$1:$1016,COLUMN($F$1),FALSE))),VLOOKUP($C373,装備品!$1:$998,COLUMN($O$1),FALSE)*VLOOKUP($D373,素材!$1:$1016,COLUMN($E$1),FALSE)/(LEN(VLOOKUP($D373,素材!$1:$1016,COLUMN($F$1),FALSE))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0)+IF($CI373&lt;&gt;"",VLOOKUP($CI373,付与!$A$1:BR$1173,COLUMN(付与!BR$1),FALSE),0)</f>
        <v>0</v>
      </c>
      <c r="AT373">
        <f>IF(ISNUMBER(SEARCH(SUBSTITUTE(AT$1,RIGHT(AT$1,2),""),VLOOKUP($D373,素材!$1:$1016,COLUMN($F$1),FALSE))),VLOOKUP($C373,装備品!$1:$998,COLUMN($O$1),FALSE)*VLOOKUP($D373,素材!$1:$1016,COLUMN($E$1),FALSE)/(LEN(VLOOKUP($D373,素材!$1:$1016,COLUMN($F$1),FALSE))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0)+IF($CI373&lt;&gt;"",VLOOKUP($CI373,付与!$A$1:BV$1173,COLUMN(付与!BV$1),FALSE),0)</f>
        <v>0</v>
      </c>
      <c r="AU373">
        <f>IF(ISNUMBER(SEARCH(SUBSTITUTE(AU$1,RIGHT(AU$1,2),""),VLOOKUP($D373,素材!$1:$1016,COLUMN($F$1),FALSE))),VLOOKUP($C373,装備品!$1:$998,COLUMN($O$1),FALSE)*VLOOKUP($D373,素材!$1:$1016,COLUMN($E$1),FALSE)/(LEN(VLOOKUP($D373,素材!$1:$1016,COLUMN($F$1),FALSE))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0)+IF($CI373&lt;&gt;"",VLOOKUP($CI373,付与!$A$1:BW$1173,COLUMN(付与!BW$1),FALSE),0)</f>
        <v>0</v>
      </c>
      <c r="AV373">
        <f>IF(ISNUMBER(SEARCH(SUBSTITUTE(AV$1,RIGHT(AV$1,2),""),VLOOKUP($D373,素材!$1:$1016,COLUMN($F$1),FALSE))),VLOOKUP($C373,装備品!$1:$998,COLUMN($O$1),FALSE)*VLOOKUP($D373,素材!$1:$1016,COLUMN($E$1),FALSE)/(LEN(VLOOKUP($D373,素材!$1:$1016,COLUMN($F$1),FALSE))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0)+IF($CI373&lt;&gt;"",VLOOKUP($CI373,付与!$A$1:BS$1173,COLUMN(付与!BS$1),FALSE),0)</f>
        <v>0</v>
      </c>
      <c r="AW373">
        <f>IF(ISNUMBER(SEARCH(SUBSTITUTE(AW$1,RIGHT(AW$1,2),""),VLOOKUP($D373,素材!$1:$1016,COLUMN($F$1),FALSE))),VLOOKUP($C373,装備品!$1:$998,COLUMN($O$1),FALSE)*VLOOKUP($D373,素材!$1:$1016,COLUMN($E$1),FALSE)/(LEN(VLOOKUP($D373,素材!$1:$1016,COLUMN($F$1),FALSE))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0)+IF($CI373&lt;&gt;"",VLOOKUP($CI373,付与!$A$1:BT$1173,COLUMN(付与!BT$1),FALSE),0)</f>
        <v>0</v>
      </c>
      <c r="AX373">
        <f>IF(ISNUMBER(SEARCH(SUBSTITUTE(AX$1,RIGHT(AX$1,2),""),VLOOKUP($D373,素材!$1:$1016,COLUMN($F$1),FALSE))),VLOOKUP($C373,装備品!$1:$998,COLUMN($O$1),FALSE)*VLOOKUP($D373,素材!$1:$1016,COLUMN($E$1),FALSE)/(LEN(VLOOKUP($D373,素材!$1:$1016,COLUMN($F$1),FALSE))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0)+IF($CI373&lt;&gt;"",VLOOKUP($CI373,付与!$A$1:BU$1173,COLUMN(付与!BU$1),FALSE),0)</f>
        <v>0</v>
      </c>
      <c r="AY373">
        <f>IF(ISNUMBER(SEARCH(SUBSTITUTE(AY$1,RIGHT(AY$1,2),""),VLOOKUP($D373,素材!$1:$1016,COLUMN($F$1),FALSE))),VLOOKUP($C373,装備品!$1:$998,COLUMN($O$1),FALSE)*VLOOKUP($D373,素材!$1:$1016,COLUMN($E$1),FALSE)/(LEN(VLOOKUP($D373,素材!$1:$1016,COLUMN($F$1),FALSE))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0)+IF($CI373&lt;&gt;"",VLOOKUP($CI373,付与!$A$1:BU$1173,COLUMN(付与!BO$1),FALSE),0)</f>
        <v>0</v>
      </c>
      <c r="AZ373">
        <f>IF(ISNUMBER(SEARCH(SUBSTITUTE(AZ$1,RIGHT(AZ$1,2),""),VLOOKUP($D373,素材!$1:$1016,COLUMN($F$1),FALSE))),VLOOKUP($C373,装備品!$1:$998,COLUMN($O$1),FALSE)*VLOOKUP($D373,素材!$1:$1016,COLUMN($E$1),FALSE)/(LEN(VLOOKUP($D373,素材!$1:$1016,COLUMN($F$1),FALSE))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0)+IF($CI373&lt;&gt;"",VLOOKUP($CI373,付与!$A$1:BX$1173,COLUMN(付与!BX$1),FALSE),0)</f>
        <v>0</v>
      </c>
      <c r="BA373">
        <f>IF(ISNUMBER(SEARCH(SUBSTITUTE(BA$1,RIGHT(BA$1,2),""),VLOOKUP($D373,素材!$1:$1016,COLUMN($F$1),FALSE))),VLOOKUP($C373,装備品!$1:$998,COLUMN($O$1),FALSE)*VLOOKUP($D373,素材!$1:$1016,COLUMN($E$1),FALSE)/(LEN(VLOOKUP($D373,素材!$1:$1016,COLUMN($F$1),FALSE))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0)+IF($CI373&lt;&gt;"",VLOOKUP($CI373,付与!$A$1:BY$1173,COLUMN(付与!BY$1),FALSE),0)</f>
        <v>0</v>
      </c>
      <c r="BB373">
        <f>IF(ISNUMBER(SEARCH(SUBSTITUTE(BB$1,RIGHT(BB$1,2),""),VLOOKUP($D373,素材!$1:$1016,COLUMN($F$1),FALSE))),VLOOKUP($C373,装備品!$1:$998,COLUMN($O$1),FALSE)*VLOOKUP($D373,素材!$1:$1016,COLUMN($E$1),FALSE)/(LEN(VLOOKUP($D373,素材!$1:$1016,COLUMN($F$1),FALSE))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0)+IF($CI373&lt;&gt;"",VLOOKUP($CI373,付与!$A$1:BZ$1173,COLUMN(付与!BZ$1),FALSE),0)</f>
        <v>0</v>
      </c>
      <c r="BC373">
        <f>IF(ISNUMBER(SEARCH(SUBSTITUTE(BC$1,RIGHT(BC$1,2),""),VLOOKUP($D373,素材!$1:$1016,COLUMN($F$1),FALSE))),VLOOKUP($C373,装備品!$1:$998,COLUMN($O$1),FALSE)*VLOOKUP($D373,素材!$1:$1016,COLUMN($E$1),FALSE)/(LEN(VLOOKUP($D373,素材!$1:$1016,COLUMN($F$1),FALSE))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0)+IF($CI373&lt;&gt;"",VLOOKUP($CI373,付与!$A$1:CA$1173,COLUMN(付与!CA$1),FALSE),0)</f>
        <v>0</v>
      </c>
      <c r="BD373">
        <f>IF(ISNUMBER(SEARCH(SUBSTITUTE(BD$1,RIGHT(BD$1,2),""),VLOOKUP($D373,素材!$1:$1016,COLUMN($F$1),FALSE))),VLOOKUP($C373,装備品!$1:$998,COLUMN($O$1),FALSE)*VLOOKUP($D373,素材!$1:$1016,COLUMN($E$1),FALSE)/(LEN(VLOOKUP($D373,素材!$1:$1016,COLUMN($F$1),FALSE))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0)+IF($CI373&lt;&gt;"",VLOOKUP($CI373,付与!$A$1:CB$1173,COLUMN(付与!CB$1),FALSE),0)</f>
        <v>0</v>
      </c>
      <c r="BE373">
        <f>IF(ISNUMBER(SEARCH(SUBSTITUTE(BE$1,RIGHT(BE$1,2),""),VLOOKUP($D373,素材!$1:$1016,COLUMN($F$1),FALSE))),VLOOKUP($C373,装備品!$1:$998,COLUMN($O$1),FALSE)*VLOOKUP($D373,素材!$1:$1016,COLUMN($E$1),FALSE)/(LEN(VLOOKUP($D373,素材!$1:$1016,COLUMN($F$1),FALSE))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0)+IF($CI373&lt;&gt;"",VLOOKUP($CI373,付与!$A$1:CC$1173,COLUMN(付与!CC$1),FALSE),0)</f>
        <v>0</v>
      </c>
      <c r="CI373" t="s">
        <v>20</v>
      </c>
      <c r="CL373">
        <f t="shared" si="47"/>
        <v>35</v>
      </c>
      <c r="CM373" s="22" t="str">
        <f t="shared" si="48"/>
        <v>足.webp</v>
      </c>
      <c r="CN373">
        <f>IFERROR(VLOOKUP($C373,装備品!$1:$998,COLUMN(V$1),FALSE)*VLOOKUP($D373,素材!$1:$1016,COLUMN(N$1),FALSE)+IF(CI373="",0,VLOOKUP($CI373,付与!$1:$1176,COLUMN($CK$1),FALSE)),"")</f>
        <v>0</v>
      </c>
      <c r="CO373" t="str">
        <f>VLOOKUP(D373,素材!$A:$O,COLUMN(素材!O$1),FALSE)</f>
        <v>神聖な力を持つ木材。武器として使用すると善属性が付加され、防具に使用すると呪いへの耐性が強化される。</v>
      </c>
      <c r="CP373" t="str">
        <f>VLOOKUP(C373,装備品!$A:$AB,COLUMN(装備品!AB$1),FALSE)</f>
        <v>速度 隠密 軽業 体幹</v>
      </c>
      <c r="CR373" t="str">
        <f t="shared" si="54"/>
        <v>e_373</v>
      </c>
      <c r="CS373">
        <f t="shared" si="56"/>
        <v>0</v>
      </c>
    </row>
    <row r="374" spans="1:97" outlineLevel="1" x14ac:dyDescent="0.4">
      <c r="A374" s="1" t="s">
        <v>1272</v>
      </c>
      <c r="B374" t="str">
        <f>IFERROR(VLOOKUP($D374,素材!$1:$1016,COLUMN($B$1),FALSE)&amp;"・"&amp;VLOOKUP($C374,装備品!$1:$998,COLUMN(B$1),FALSE),"")</f>
        <v>ホロウウッド・サークレット</v>
      </c>
      <c r="C374" t="s">
        <v>1259</v>
      </c>
      <c r="D374" s="24" t="s">
        <v>1214</v>
      </c>
      <c r="E374" t="str">
        <f>IFERROR(VLOOKUP(C374,装備品!$1:$998,COLUMN(C$1),FALSE),"")</f>
        <v>頭</v>
      </c>
      <c r="F374">
        <f>IFERROR(ROUNDDOWN((VLOOKUP($C374,装備品!$1:$998,COLUMN(D$1),FALSE)+IFERROR(VLOOKUP($CI374,付与!$1:$1167,COLUMN(F$1),FALSE),0))*VLOOKUP($D374,素材!$1:$1016,COLUMN(D$1),FALSE),0),"")</f>
        <v>0</v>
      </c>
      <c r="G374">
        <f>IFERROR(ROUNDDOWN((VLOOKUP($C374,装備品!$1:$998,COLUMN(E$1),FALSE)+IFERROR(VLOOKUP($CI374,付与!$1:$1167,COLUMN(G$1),FALSE),0))*VLOOKUP($D374,素材!$1:$1016,COLUMN($E$1),FALSE),0),"")</f>
        <v>0</v>
      </c>
      <c r="H374">
        <f>IFERROR(ROUNDDOWN((VLOOKUP($C374,装備品!$1:$998,COLUMN(F$1),FALSE)+IFERROR(VLOOKUP($CI374,付与!$1:$1167,COLUMN(H$1),FALSE),0))*VLOOKUP($D374,素材!$1:$1016,COLUMN($E$1),FALSE),0),"")</f>
        <v>0</v>
      </c>
      <c r="I374">
        <f>IFERROR(ROUNDDOWN((VLOOKUP($C374,装備品!$1:$998,COLUMN(G$1),FALSE)+IFERROR(VLOOKUP($CI374,付与!$1:$1167,COLUMN(I$1),FALSE),0))*VLOOKUP($D374,素材!$1:$1016,COLUMN($E$1),FALSE),0),"")</f>
        <v>0</v>
      </c>
      <c r="J374">
        <f>IFERROR(ROUNDDOWN((VLOOKUP($C374,装備品!$1:$998,COLUMN(H$1),FALSE)+IFERROR(VLOOKUP($CI374,付与!$1:$1167,COLUMN(J$1),FALSE),0))*VLOOKUP($D374,素材!$1:$1016,COLUMN($E$1),FALSE),0),"")</f>
        <v>0</v>
      </c>
      <c r="K374">
        <f>IFERROR(ROUNDDOWN((VLOOKUP($C374,装備品!$1:$998,COLUMN(I$1),FALSE)+IFERROR(VLOOKUP($CI374,付与!$1:$1167,COLUMN(K$1),FALSE),0))*VLOOKUP($D374,素材!$1:$1016,COLUMN($E$1),FALSE),0),"")</f>
        <v>0</v>
      </c>
      <c r="L374" t="str">
        <f>IFERROR(VLOOKUP($D374,素材!$1:$1016,COLUMN($F$1),FALSE),"")</f>
        <v>悪</v>
      </c>
      <c r="M374">
        <f>IFERROR(VLOOKUP($C374,装備品!$1:$998,COLUMN(AA$1),FALSE)*VLOOKUP($D374,素材!$1:$1016,COLUMN($G$1),FALSE),"")</f>
        <v>50</v>
      </c>
      <c r="N374">
        <f>IFERROR(VLOOKUP($C374,装備品!$1:$998,COLUMN(I$1),FALSE),"")</f>
        <v>0</v>
      </c>
      <c r="O374" s="23">
        <f>IFERROR((VLOOKUP($C374,装備品!$1:$998,COLUMN(K$1),FALSE)+VLOOKUP($D374,素材!$1:$1016,COLUMN(H$1),FALSE))*100+IFERROR(VLOOKUP($CI374,付与!$1:$1167,COLUMN(O$1),FALSE),0),"")</f>
        <v>0</v>
      </c>
      <c r="P374" s="23">
        <f>IFERROR((VLOOKUP($C374,装備品!$1:$998,COLUMN(L$1),FALSE)+VLOOKUP($D374,素材!$1:$1016,COLUMN(I$1),FALSE))*100+IFERROR(VLOOKUP($CI374,付与!$1:$1167,COLUMN(P$1),FALSE),0),"")</f>
        <v>0</v>
      </c>
      <c r="Q374">
        <f>IFERROR(ROUNDUP(VLOOKUP($C374,装備品!$1:$998,COLUMN(M$1),FALSE)*(VLOOKUP($D374,素材!$1:$1002,COLUMN(D$1),FALSE)/100),1),"")</f>
        <v>0</v>
      </c>
      <c r="R374">
        <f>IFERROR(ROUNDUP(VLOOKUP($C374,装備品!$1:$998,COLUMN(N$1),FALSE)*(VLOOKUP($D374,素材!$1:$1002,COLUMN(D$1),FALSE)/100),1),"")</f>
        <v>0</v>
      </c>
      <c r="S374">
        <f>IFERROR(VLOOKUP($C374,装備品!$1:$998,COLUMN(P$1),FALSE),"")</f>
        <v>0</v>
      </c>
      <c r="T374">
        <f>IFERROR(VLOOKUP($C374,装備品!$1:$998,COLUMN(Q$1),FALSE),"")</f>
        <v>0</v>
      </c>
      <c r="U374">
        <f>IFERROR(VLOOKUP($C374,装備品!$1:$998,COLUMN(R$1),FALSE),"")</f>
        <v>0</v>
      </c>
      <c r="V374">
        <f>IFERROR(VLOOKUP($C374,装備品!$1:$998,COLUMN(Q$1),FALSE),"")</f>
        <v>0</v>
      </c>
      <c r="W374">
        <f>IFERROR(VLOOKUP($C374,装備品!$1:$998,COLUMN(T$1),FALSE),"")</f>
        <v>7.0000000000000007E-2</v>
      </c>
      <c r="Y374">
        <f>IFERROR(VLOOKUP($C374,装備品!$1:$998,COLUMN(U$1),FALSE),"")</f>
        <v>0</v>
      </c>
      <c r="Z374">
        <f>IFERROR(ROUNDUP(VLOOKUP($C374,装備品!$1:$998,COLUMN(O$1),FALSE)*VLOOKUP($D374,素材!$1:$1016,COLUMN(E$1),FALSE),1),"")</f>
        <v>0</v>
      </c>
      <c r="AA374">
        <f>IF(ISNUMBER(SEARCH(SUBSTITUTE(AA$1,RIGHT(AA$1,2),""),VLOOKUP($D374,素材!$1:$1016,COLUMN($F$1),FALSE))),VLOOKUP($C374,装備品!$1:$998,COLUMN($O$1),FALSE)*VLOOKUP($D374,素材!$1:$1016,COLUMN($E$1),FALSE)/(LEN(VLOOKUP($D374,素材!$1:$1016,COLUMN($F$1),FALSE))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</f>
        <v>0</v>
      </c>
      <c r="AB374">
        <f>IF(ISNUMBER(SEARCH(SUBSTITUTE(AB$1,RIGHT(AB$1,2),""),VLOOKUP($D374,素材!$1:$1016,COLUMN($F$1),FALSE))),VLOOKUP($C374,装備品!$1:$998,COLUMN($O$1),FALSE)*VLOOKUP($D374,素材!$1:$1016,COLUMN($E$1),FALSE)/(LEN(VLOOKUP($D374,素材!$1:$1016,COLUMN($F$1),FALSE))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</f>
        <v>0</v>
      </c>
      <c r="AC374">
        <f>IF(ISNUMBER(SEARCH(SUBSTITUTE(AC$1,RIGHT(AC$1,2),""),VLOOKUP($D374,素材!$1:$1016,COLUMN($F$1),FALSE))),VLOOKUP($C374,装備品!$1:$998,COLUMN($O$1),FALSE)*VLOOKUP($D374,素材!$1:$1016,COLUMN($E$1),FALSE)/(LEN(VLOOKUP($D374,素材!$1:$1016,COLUMN($F$1),FALSE))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</f>
        <v>0</v>
      </c>
      <c r="AD374">
        <f>IF(ISNUMBER(SEARCH(SUBSTITUTE(AD$1,RIGHT(AD$1,2),""),VLOOKUP($D374,素材!$1:$1016,COLUMN($F$1),FALSE))),VLOOKUP($C374,装備品!$1:$998,COLUMN($O$1),FALSE)*VLOOKUP($D374,素材!$1:$1016,COLUMN($E$1),FALSE)/(LEN(VLOOKUP($D374,素材!$1:$1016,COLUMN($F$1),FALSE))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</f>
        <v>0</v>
      </c>
      <c r="AE374">
        <f>IF(ISNUMBER(SEARCH(SUBSTITUTE(AE$1,RIGHT(AE$1,2),""),VLOOKUP($D374,素材!$1:$1016,COLUMN($F$1),FALSE))),VLOOKUP($C374,装備品!$1:$998,COLUMN($O$1),FALSE)*VLOOKUP($D374,素材!$1:$1016,COLUMN($E$1),FALSE)/(LEN(VLOOKUP($D374,素材!$1:$1016,COLUMN($F$1),FALSE))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0)+IF($CI374&lt;&gt;"",VLOOKUP($CI374,付与!$A$1:BB$1173,COLUMN(付与!BB$1),FALSE),0)</f>
        <v>0</v>
      </c>
      <c r="AF374">
        <f>IF(ISNUMBER(SEARCH(SUBSTITUTE(AF$1,RIGHT(AF$1,2),""),VLOOKUP($D374,素材!$1:$1016,COLUMN($F$1),FALSE))),VLOOKUP($C374,装備品!$1:$998,COLUMN($O$1),FALSE)*VLOOKUP($D374,素材!$1:$1016,COLUMN($E$1),FALSE)/(LEN(VLOOKUP($D374,素材!$1:$1016,COLUMN($F$1),FALSE))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0)+IF($CI374&lt;&gt;"",VLOOKUP($CI374,付与!$A$1:BC$1173,COLUMN(付与!BC$1),FALSE),0)</f>
        <v>0</v>
      </c>
      <c r="AG374">
        <f>IF(ISNUMBER(SEARCH(SUBSTITUTE(AG$1,RIGHT(AG$1,2),""),VLOOKUP($D374,素材!$1:$1016,COLUMN($F$1),FALSE))),VLOOKUP($C374,装備品!$1:$998,COLUMN($O$1),FALSE)*VLOOKUP($D374,素材!$1:$1016,COLUMN($E$1),FALSE)/(LEN(VLOOKUP($D374,素材!$1:$1016,COLUMN($F$1),FALSE))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0)+IF($CI374&lt;&gt;"",VLOOKUP($CI374,付与!$A$1:BD$1173,COLUMN(付与!BD$1),FALSE),0)</f>
        <v>0</v>
      </c>
      <c r="AH374">
        <f>IF(ISNUMBER(SEARCH(SUBSTITUTE(AH$1,RIGHT(AH$1,2),""),VLOOKUP($D374,素材!$1:$1016,COLUMN($F$1),FALSE))),VLOOKUP($C374,装備品!$1:$998,COLUMN($O$1),FALSE)*VLOOKUP($D374,素材!$1:$1016,COLUMN($E$1),FALSE)/(LEN(VLOOKUP($D374,素材!$1:$1016,COLUMN($F$1),FALSE))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0)+IF($CI374&lt;&gt;"",VLOOKUP($CI374,付与!$A$1:BE$1173,COLUMN(付与!BE$1),FALSE),0)</f>
        <v>0</v>
      </c>
      <c r="AI374">
        <f>IF(ISNUMBER(SEARCH(SUBSTITUTE(AI$1,RIGHT(AI$1,2),""),VLOOKUP($D374,素材!$1:$1016,COLUMN($F$1),FALSE))),VLOOKUP($C374,装備品!$1:$998,COLUMN($O$1),FALSE)*VLOOKUP($D374,素材!$1:$1016,COLUMN($E$1),FALSE)/(LEN(VLOOKUP($D374,素材!$1:$1016,COLUMN($F$1),FALSE))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0)+IF($CI374&lt;&gt;"",VLOOKUP($CI374,付与!$A$1:BF$1173,COLUMN(付与!BF$1),FALSE),0)</f>
        <v>0</v>
      </c>
      <c r="AJ374">
        <f>IF(ISNUMBER(SEARCH(SUBSTITUTE(AJ$1,RIGHT(AJ$1,2),""),VLOOKUP($D374,素材!$1:$1016,COLUMN($F$1),FALSE))),VLOOKUP($C374,装備品!$1:$998,COLUMN($O$1),FALSE)*VLOOKUP($D374,素材!$1:$1016,COLUMN($E$1),FALSE)/(LEN(VLOOKUP($D374,素材!$1:$1016,COLUMN($F$1),FALSE))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0)+IF($CI374&lt;&gt;"",VLOOKUP($CI374,付与!$A$1:BG$1173,COLUMN(付与!BG$1),FALSE),0)</f>
        <v>0</v>
      </c>
      <c r="AK374">
        <f>IF(ISNUMBER(SEARCH(SUBSTITUTE(AK$1,RIGHT(AK$1,2),""),VLOOKUP($D374,素材!$1:$1016,COLUMN($F$1),FALSE))),VLOOKUP($C374,装備品!$1:$998,COLUMN($O$1),FALSE)*VLOOKUP($D374,素材!$1:$1016,COLUMN($E$1),FALSE)/(LEN(VLOOKUP($D374,素材!$1:$1016,COLUMN($F$1),FALSE))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0)+IF($CI374&lt;&gt;"",VLOOKUP($CI374,付与!$A$1:BH$1173,COLUMN(付与!BH$1),FALSE),0)</f>
        <v>0</v>
      </c>
      <c r="AL374">
        <f>IF(ISNUMBER(SEARCH(SUBSTITUTE(AL$1,RIGHT(AL$1,2),""),VLOOKUP($D374,素材!$1:$1016,COLUMN($F$1),FALSE))),VLOOKUP($C374,装備品!$1:$998,COLUMN($O$1),FALSE)*VLOOKUP($D374,素材!$1:$1016,COLUMN($E$1),FALSE)/(LEN(VLOOKUP($D374,素材!$1:$1016,COLUMN($F$1),FALSE))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0)+IF($CI374&lt;&gt;"",VLOOKUP($CI374,付与!$A$1:BI$1173,COLUMN(付与!BI$1),FALSE),0)</f>
        <v>0</v>
      </c>
      <c r="AM374">
        <f>IF(ISNUMBER(SEARCH(SUBSTITUTE(AM$1,RIGHT(AM$1,2),""),VLOOKUP($D374,素材!$1:$1016,COLUMN($F$1),FALSE))),VLOOKUP($C374,装備品!$1:$998,COLUMN($O$1),FALSE)*VLOOKUP($D374,素材!$1:$1016,COLUMN($E$1),FALSE)/(LEN(VLOOKUP($D374,素材!$1:$1016,COLUMN($F$1),FALSE))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0)+IF($CI374&lt;&gt;"",VLOOKUP($CI374,付与!$A$1:BJ$1173,COLUMN(付与!BJ$1),FALSE),0)</f>
        <v>0</v>
      </c>
      <c r="AN374">
        <f>IF(ISNUMBER(SEARCH(SUBSTITUTE(AN$1,RIGHT(AN$1,2),""),VLOOKUP($D374,素材!$1:$1016,COLUMN($F$1),FALSE))),VLOOKUP($C374,装備品!$1:$998,COLUMN($O$1),FALSE)*VLOOKUP($D374,素材!$1:$1016,COLUMN($E$1),FALSE)/(LEN(VLOOKUP($D374,素材!$1:$1016,COLUMN($F$1),FALSE))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0)+IF($CI374&lt;&gt;"",VLOOKUP($CI374,付与!$A$1:BK$1173,COLUMN(付与!BK$1),FALSE),0)</f>
        <v>0</v>
      </c>
      <c r="AO374">
        <f>IF(ISNUMBER(SEARCH(SUBSTITUTE(AO$1,RIGHT(AO$1,2),""),VLOOKUP($D374,素材!$1:$1016,COLUMN($F$1),FALSE))),VLOOKUP($C374,装備品!$1:$998,COLUMN($O$1),FALSE)*VLOOKUP($D374,素材!$1:$1016,COLUMN($E$1),FALSE)/(LEN(VLOOKUP($D374,素材!$1:$1016,COLUMN($F$1),FALSE))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0)+IF($CI374&lt;&gt;"",VLOOKUP($CI374,付与!$A$1:BM$1173,COLUMN(付与!BM$1),FALSE),0)</f>
        <v>0</v>
      </c>
      <c r="AP374">
        <f>IF(ISNUMBER(SEARCH(SUBSTITUTE(AP$1,RIGHT(AP$1,2),""),VLOOKUP($D374,素材!$1:$1016,COLUMN($F$1),FALSE))),VLOOKUP($C374,装備品!$1:$998,COLUMN($O$1),FALSE)*VLOOKUP($D374,素材!$1:$1016,COLUMN($E$1),FALSE)/(LEN(VLOOKUP($D374,素材!$1:$1016,COLUMN($F$1),FALSE))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0)+IF($CI374&lt;&gt;"",VLOOKUP($CI374,付与!$A$1:BN$1173,COLUMN(付与!BN$1),FALSE),0)</f>
        <v>0</v>
      </c>
      <c r="AQ374">
        <f>IF(ISNUMBER(SEARCH(SUBSTITUTE(AQ$1,RIGHT(AQ$1,2),""),VLOOKUP($D374,素材!$1:$1016,COLUMN($F$1),FALSE))),VLOOKUP($C374,装備品!$1:$998,COLUMN($O$1),FALSE)*VLOOKUP($D374,素材!$1:$1016,COLUMN($E$1),FALSE)/(LEN(VLOOKUP($D374,素材!$1:$1016,COLUMN($F$1),FALSE))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0)+IF($CI374&lt;&gt;"",VLOOKUP($CI374,付与!$A$1:BP$1173,COLUMN(付与!BP$1),FALSE),0)</f>
        <v>0</v>
      </c>
      <c r="AR374">
        <f>IF(ISNUMBER(SEARCH(SUBSTITUTE(AR$1,RIGHT(AR$1,2),""),VLOOKUP($D374,素材!$1:$1016,COLUMN($F$1),FALSE))),VLOOKUP($C374,装備品!$1:$998,COLUMN($O$1),FALSE)*VLOOKUP($D374,素材!$1:$1016,COLUMN($E$1),FALSE)/(LEN(VLOOKUP($D374,素材!$1:$1016,COLUMN($F$1),FALSE))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0)+IF($CI374&lt;&gt;"",VLOOKUP($CI374,付与!$A$1:BQ$1173,COLUMN(付与!BQ$1),FALSE),0)</f>
        <v>0</v>
      </c>
      <c r="AS374">
        <f>IF(ISNUMBER(SEARCH(SUBSTITUTE(AS$1,RIGHT(AS$1,2),""),VLOOKUP($D374,素材!$1:$1016,COLUMN($F$1),FALSE))),VLOOKUP($C374,装備品!$1:$998,COLUMN($O$1),FALSE)*VLOOKUP($D374,素材!$1:$1016,COLUMN($E$1),FALSE)/(LEN(VLOOKUP($D374,素材!$1:$1016,COLUMN($F$1),FALSE))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0)+IF($CI374&lt;&gt;"",VLOOKUP($CI374,付与!$A$1:BR$1173,COLUMN(付与!BR$1),FALSE),0)</f>
        <v>0</v>
      </c>
      <c r="AT374">
        <f>IF(ISNUMBER(SEARCH(SUBSTITUTE(AT$1,RIGHT(AT$1,2),""),VLOOKUP($D374,素材!$1:$1016,COLUMN($F$1),FALSE))),VLOOKUP($C374,装備品!$1:$998,COLUMN($O$1),FALSE)*VLOOKUP($D374,素材!$1:$1016,COLUMN($E$1),FALSE)/(LEN(VLOOKUP($D374,素材!$1:$1016,COLUMN($F$1),FALSE))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0)+IF($CI374&lt;&gt;"",VLOOKUP($CI374,付与!$A$1:BV$1173,COLUMN(付与!BV$1),FALSE),0)</f>
        <v>0</v>
      </c>
      <c r="AU374">
        <f>IF(ISNUMBER(SEARCH(SUBSTITUTE(AU$1,RIGHT(AU$1,2),""),VLOOKUP($D374,素材!$1:$1016,COLUMN($F$1),FALSE))),VLOOKUP($C374,装備品!$1:$998,COLUMN($O$1),FALSE)*VLOOKUP($D374,素材!$1:$1016,COLUMN($E$1),FALSE)/(LEN(VLOOKUP($D374,素材!$1:$1016,COLUMN($F$1),FALSE))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0)+IF($CI374&lt;&gt;"",VLOOKUP($CI374,付与!$A$1:BW$1173,COLUMN(付与!BW$1),FALSE),0)</f>
        <v>0</v>
      </c>
      <c r="AV374">
        <f>IF(ISNUMBER(SEARCH(SUBSTITUTE(AV$1,RIGHT(AV$1,2),""),VLOOKUP($D374,素材!$1:$1016,COLUMN($F$1),FALSE))),VLOOKUP($C374,装備品!$1:$998,COLUMN($O$1),FALSE)*VLOOKUP($D374,素材!$1:$1016,COLUMN($E$1),FALSE)/(LEN(VLOOKUP($D374,素材!$1:$1016,COLUMN($F$1),FALSE))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0)+IF($CI374&lt;&gt;"",VLOOKUP($CI374,付与!$A$1:BS$1173,COLUMN(付与!BS$1),FALSE),0)</f>
        <v>0</v>
      </c>
      <c r="AW374">
        <f>IF(ISNUMBER(SEARCH(SUBSTITUTE(AW$1,RIGHT(AW$1,2),""),VLOOKUP($D374,素材!$1:$1016,COLUMN($F$1),FALSE))),VLOOKUP($C374,装備品!$1:$998,COLUMN($O$1),FALSE)*VLOOKUP($D374,素材!$1:$1016,COLUMN($E$1),FALSE)/(LEN(VLOOKUP($D374,素材!$1:$1016,COLUMN($F$1),FALSE))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0)+IF($CI374&lt;&gt;"",VLOOKUP($CI374,付与!$A$1:BT$1173,COLUMN(付与!BT$1),FALSE),0)</f>
        <v>0</v>
      </c>
      <c r="AX374">
        <f>IF(ISNUMBER(SEARCH(SUBSTITUTE(AX$1,RIGHT(AX$1,2),""),VLOOKUP($D374,素材!$1:$1016,COLUMN($F$1),FALSE))),VLOOKUP($C374,装備品!$1:$998,COLUMN($O$1),FALSE)*VLOOKUP($D374,素材!$1:$1016,COLUMN($E$1),FALSE)/(LEN(VLOOKUP($D374,素材!$1:$1016,COLUMN($F$1),FALSE))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0)+IF($CI374&lt;&gt;"",VLOOKUP($CI374,付与!$A$1:BU$1173,COLUMN(付与!BU$1),FALSE),0)</f>
        <v>0</v>
      </c>
      <c r="AY374">
        <f>IF(ISNUMBER(SEARCH(SUBSTITUTE(AY$1,RIGHT(AY$1,2),""),VLOOKUP($D374,素材!$1:$1016,COLUMN($F$1),FALSE))),VLOOKUP($C374,装備品!$1:$998,COLUMN($O$1),FALSE)*VLOOKUP($D374,素材!$1:$1016,COLUMN($E$1),FALSE)/(LEN(VLOOKUP($D374,素材!$1:$1016,COLUMN($F$1),FALSE))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0)+IF($CI374&lt;&gt;"",VLOOKUP($CI374,付与!$A$1:BU$1173,COLUMN(付与!BO$1),FALSE),0)</f>
        <v>0</v>
      </c>
      <c r="AZ374">
        <f>IF(ISNUMBER(SEARCH(SUBSTITUTE(AZ$1,RIGHT(AZ$1,2),""),VLOOKUP($D374,素材!$1:$1016,COLUMN($F$1),FALSE))),VLOOKUP($C374,装備品!$1:$998,COLUMN($O$1),FALSE)*VLOOKUP($D374,素材!$1:$1016,COLUMN($E$1),FALSE)/(LEN(VLOOKUP($D374,素材!$1:$1016,COLUMN($F$1),FALSE))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0)+IF($CI374&lt;&gt;"",VLOOKUP($CI374,付与!$A$1:BX$1173,COLUMN(付与!BX$1),FALSE),0)</f>
        <v>0</v>
      </c>
      <c r="BA374">
        <f>IF(ISNUMBER(SEARCH(SUBSTITUTE(BA$1,RIGHT(BA$1,2),""),VLOOKUP($D374,素材!$1:$1016,COLUMN($F$1),FALSE))),VLOOKUP($C374,装備品!$1:$998,COLUMN($O$1),FALSE)*VLOOKUP($D374,素材!$1:$1016,COLUMN($E$1),FALSE)/(LEN(VLOOKUP($D374,素材!$1:$1016,COLUMN($F$1),FALSE))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0)+IF($CI374&lt;&gt;"",VLOOKUP($CI374,付与!$A$1:BY$1173,COLUMN(付与!BY$1),FALSE),0)</f>
        <v>0</v>
      </c>
      <c r="BB374">
        <f>IF(ISNUMBER(SEARCH(SUBSTITUTE(BB$1,RIGHT(BB$1,2),""),VLOOKUP($D374,素材!$1:$1016,COLUMN($F$1),FALSE))),VLOOKUP($C374,装備品!$1:$998,COLUMN($O$1),FALSE)*VLOOKUP($D374,素材!$1:$1016,COLUMN($E$1),FALSE)/(LEN(VLOOKUP($D374,素材!$1:$1016,COLUMN($F$1),FALSE))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0)+IF($CI374&lt;&gt;"",VLOOKUP($CI374,付与!$A$1:BZ$1173,COLUMN(付与!BZ$1),FALSE),0)</f>
        <v>0</v>
      </c>
      <c r="BC374">
        <f>IF(ISNUMBER(SEARCH(SUBSTITUTE(BC$1,RIGHT(BC$1,2),""),VLOOKUP($D374,素材!$1:$1016,COLUMN($F$1),FALSE))),VLOOKUP($C374,装備品!$1:$998,COLUMN($O$1),FALSE)*VLOOKUP($D374,素材!$1:$1016,COLUMN($E$1),FALSE)/(LEN(VLOOKUP($D374,素材!$1:$1016,COLUMN($F$1),FALSE))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0)+IF($CI374&lt;&gt;"",VLOOKUP($CI374,付与!$A$1:CA$1173,COLUMN(付与!CA$1),FALSE),0)</f>
        <v>0</v>
      </c>
      <c r="BD374">
        <f>IF(ISNUMBER(SEARCH(SUBSTITUTE(BD$1,RIGHT(BD$1,2),""),VLOOKUP($D374,素材!$1:$1016,COLUMN($F$1),FALSE))),VLOOKUP($C374,装備品!$1:$998,COLUMN($O$1),FALSE)*VLOOKUP($D374,素材!$1:$1016,COLUMN($E$1),FALSE)/(LEN(VLOOKUP($D374,素材!$1:$1016,COLUMN($F$1),FALSE))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0)+IF($CI374&lt;&gt;"",VLOOKUP($CI374,付与!$A$1:CB$1173,COLUMN(付与!CB$1),FALSE),0)</f>
        <v>7.5</v>
      </c>
      <c r="BE374">
        <f>IF(ISNUMBER(SEARCH(SUBSTITUTE(BE$1,RIGHT(BE$1,2),""),VLOOKUP($D374,素材!$1:$1016,COLUMN($F$1),FALSE))),VLOOKUP($C374,装備品!$1:$998,COLUMN($O$1),FALSE)*VLOOKUP($D374,素材!$1:$1016,COLUMN($E$1),FALSE)/(LEN(VLOOKUP($D374,素材!$1:$1016,COLUMN($F$1),FALSE))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0)+IF($CI374&lt;&gt;"",VLOOKUP($CI374,付与!$A$1:CC$1173,COLUMN(付与!CC$1),FALSE),0)</f>
        <v>30</v>
      </c>
      <c r="CI374" t="s">
        <v>1264</v>
      </c>
      <c r="CL374">
        <f t="shared" si="47"/>
        <v>0</v>
      </c>
      <c r="CM374" s="22" t="str">
        <f t="shared" si="48"/>
        <v>頭.webp</v>
      </c>
      <c r="CN374">
        <f>IFERROR(VLOOKUP($C374,装備品!$1:$998,COLUMN(V$1),FALSE)*VLOOKUP($D374,素材!$1:$1016,COLUMN(N$1),FALSE)+IF(CI374="",0,VLOOKUP($CI374,付与!$1:$1176,COLUMN($CK$1),FALSE)),"")</f>
        <v>0</v>
      </c>
      <c r="CO374" t="str">
        <f>VLOOKUP(D374,素材!$A:$O,COLUMN(素材!O$1),FALSE)</f>
        <v>神聖な力を持つ木材。武器として使用すると善属性が付加され、防具に使用すると呪いへの耐性が強化される。</v>
      </c>
      <c r="CP374" t="str">
        <f>VLOOKUP(C374,装備品!$A:$AB,COLUMN(装備品!AB$1),FALSE)</f>
        <v>命中 魔力 魔防 Cr</v>
      </c>
      <c r="CR374" t="str">
        <f t="shared" si="54"/>
        <v>e_374</v>
      </c>
      <c r="CS374">
        <f t="shared" si="56"/>
        <v>0</v>
      </c>
    </row>
    <row r="375" spans="1:97" ht="37.5" outlineLevel="1" x14ac:dyDescent="0.4">
      <c r="A375" s="1" t="s">
        <v>1275</v>
      </c>
      <c r="B375" t="s">
        <v>1276</v>
      </c>
      <c r="C375" t="s">
        <v>1248</v>
      </c>
      <c r="D375" s="24" t="s">
        <v>193</v>
      </c>
      <c r="E375" t="str">
        <f>IFERROR(VLOOKUP(C375,装備品!$1:$998,COLUMN(C$1),FALSE),"")</f>
        <v>武器</v>
      </c>
      <c r="F375">
        <f>IFERROR(ROUNDDOWN((VLOOKUP($C375,装備品!$1:$998,COLUMN(D$1),FALSE)+IFERROR(VLOOKUP($CI375,付与!$1:$1167,COLUMN(F$1),FALSE),0))*VLOOKUP($D375,素材!$1:$1016,COLUMN(D$1),FALSE),0),"")</f>
        <v>136</v>
      </c>
      <c r="G375">
        <f>IFERROR(ROUNDDOWN((VLOOKUP($C375,装備品!$1:$998,COLUMN(E$1),FALSE)+IFERROR(VLOOKUP($CI375,付与!$1:$1167,COLUMN(G$1),FALSE),0))*VLOOKUP($D375,素材!$1:$1016,COLUMN($E$1),FALSE),0),"")</f>
        <v>35</v>
      </c>
      <c r="H375">
        <f>IFERROR(ROUNDDOWN((VLOOKUP($C375,装備品!$1:$998,COLUMN(F$1),FALSE)+IFERROR(VLOOKUP($CI375,付与!$1:$1167,COLUMN(H$1),FALSE),0))*VLOOKUP($D375,素材!$1:$1016,COLUMN($E$1),FALSE),0),"")</f>
        <v>20</v>
      </c>
      <c r="I375">
        <f>IFERROR(ROUNDDOWN((VLOOKUP($C375,装備品!$1:$998,COLUMN(G$1),FALSE)+IFERROR(VLOOKUP($CI375,付与!$1:$1167,COLUMN(I$1),FALSE),0))*VLOOKUP($D375,素材!$1:$1016,COLUMN($E$1),FALSE),0),"")</f>
        <v>5</v>
      </c>
      <c r="J375">
        <f>IFERROR(ROUNDDOWN((VLOOKUP($C375,装備品!$1:$998,COLUMN(H$1),FALSE)+IFERROR(VLOOKUP($CI375,付与!$1:$1167,COLUMN(J$1),FALSE),0))*VLOOKUP($D375,素材!$1:$1016,COLUMN($E$1),FALSE),0),"")</f>
        <v>42</v>
      </c>
      <c r="K375">
        <f>IFERROR(ROUNDDOWN((VLOOKUP($C375,装備品!$1:$998,COLUMN(I$1),FALSE)+IFERROR(VLOOKUP($CI375,付与!$1:$1167,COLUMN(K$1),FALSE),0))*VLOOKUP($D375,素材!$1:$1016,COLUMN($E$1),FALSE),0),"")</f>
        <v>0</v>
      </c>
      <c r="L375" t="str">
        <f>IFERROR(VLOOKUP($D375,素材!$1:$1016,COLUMN($F$1),FALSE),"")</f>
        <v>物理</v>
      </c>
      <c r="M375">
        <f>IFERROR(VLOOKUP($C375,装備品!$1:$998,COLUMN(AA$1),FALSE)*VLOOKUP($D375,素材!$1:$1016,COLUMN($G$1),FALSE),"")</f>
        <v>40</v>
      </c>
      <c r="N375">
        <f>IFERROR(VLOOKUP($C375,装備品!$1:$998,COLUMN(I$1),FALSE),"")</f>
        <v>0</v>
      </c>
      <c r="O375" s="23">
        <f>IFERROR((VLOOKUP($C375,装備品!$1:$998,COLUMN(K$1),FALSE)+VLOOKUP($D375,素材!$1:$1016,COLUMN(H$1),FALSE))*100+IFERROR(VLOOKUP($CI375,付与!$1:$1167,COLUMN(O$1),FALSE),0),"")</f>
        <v>15.000000000000002</v>
      </c>
      <c r="P375" s="23">
        <f>IFERROR((VLOOKUP($C375,装備品!$1:$998,COLUMN(L$1),FALSE)+VLOOKUP($D375,素材!$1:$1016,COLUMN(I$1),FALSE))*100+IFERROR(VLOOKUP($CI375,付与!$1:$1167,COLUMN(P$1),FALSE),0),"")</f>
        <v>185</v>
      </c>
      <c r="Q375">
        <f>IFERROR(ROUNDUP(VLOOKUP($C375,装備品!$1:$998,COLUMN(M$1),FALSE)*(VLOOKUP($D375,素材!$1:$1002,COLUMN(D$1),FALSE)/100),1),"")</f>
        <v>0</v>
      </c>
      <c r="R375">
        <f>IFERROR(ROUNDUP(VLOOKUP($C375,装備品!$1:$998,COLUMN(N$1),FALSE)*(VLOOKUP($D375,素材!$1:$1002,COLUMN(D$1),FALSE)/100),1),"")</f>
        <v>0</v>
      </c>
      <c r="S375">
        <f>IFERROR(VLOOKUP($C375,装備品!$1:$998,COLUMN(P$1),FALSE),"")</f>
        <v>0</v>
      </c>
      <c r="T375">
        <f>IFERROR(VLOOKUP($C375,装備品!$1:$998,COLUMN(Q$1),FALSE),"")</f>
        <v>0</v>
      </c>
      <c r="U375">
        <f>IFERROR(VLOOKUP($C375,装備品!$1:$998,COLUMN(R$1),FALSE),"")</f>
        <v>0</v>
      </c>
      <c r="V375">
        <f>IFERROR(VLOOKUP($C375,装備品!$1:$998,COLUMN(Q$1),FALSE),"")</f>
        <v>0</v>
      </c>
      <c r="W375">
        <f>IFERROR(VLOOKUP($C375,装備品!$1:$998,COLUMN(T$1),FALSE),"")</f>
        <v>0</v>
      </c>
      <c r="Y375">
        <f>IFERROR(VLOOKUP($C375,装備品!$1:$998,COLUMN(U$1),FALSE),"")</f>
        <v>0</v>
      </c>
      <c r="Z375">
        <f>IFERROR(ROUNDUP(VLOOKUP($C375,装備品!$1:$998,COLUMN(O$1),FALSE)*VLOOKUP($D375,素材!$1:$1016,COLUMN(E$1),FALSE),1),"")</f>
        <v>0</v>
      </c>
      <c r="AA375">
        <f>IF(ISNUMBER(SEARCH(SUBSTITUTE(AA$1,RIGHT(AA$1,2),""),VLOOKUP($D375,素材!$1:$1016,COLUMN($F$1),FALSE))),VLOOKUP($C375,装備品!$1:$998,COLUMN($O$1),FALSE)*VLOOKUP($D375,素材!$1:$1016,COLUMN($E$1),FALSE)/(LEN(VLOOKUP($D375,素材!$1:$1016,COLUMN($F$1),FALSE))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</f>
        <v>0</v>
      </c>
      <c r="AB375">
        <f>IF(ISNUMBER(SEARCH(SUBSTITUTE(AB$1,RIGHT(AB$1,2),""),VLOOKUP($D375,素材!$1:$1016,COLUMN($F$1),FALSE))),VLOOKUP($C375,装備品!$1:$998,COLUMN($O$1),FALSE)*VLOOKUP($D375,素材!$1:$1016,COLUMN($E$1),FALSE)/(LEN(VLOOKUP($D375,素材!$1:$1016,COLUMN($F$1),FALSE))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</f>
        <v>0</v>
      </c>
      <c r="AC375">
        <f>IF(ISNUMBER(SEARCH(SUBSTITUTE(AC$1,RIGHT(AC$1,2),""),VLOOKUP($D375,素材!$1:$1016,COLUMN($F$1),FALSE))),VLOOKUP($C375,装備品!$1:$998,COLUMN($O$1),FALSE)*VLOOKUP($D375,素材!$1:$1016,COLUMN($E$1),FALSE)/(LEN(VLOOKUP($D375,素材!$1:$1016,COLUMN($F$1),FALSE))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</f>
        <v>0</v>
      </c>
      <c r="AD375">
        <f>IF(ISNUMBER(SEARCH(SUBSTITUTE(AD$1,RIGHT(AD$1,2),""),VLOOKUP($D375,素材!$1:$1016,COLUMN($F$1),FALSE))),VLOOKUP($C375,装備品!$1:$998,COLUMN($O$1),FALSE)*VLOOKUP($D375,素材!$1:$1016,COLUMN($E$1),FALSE)/(LEN(VLOOKUP($D375,素材!$1:$1016,COLUMN($F$1),FALSE))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</f>
        <v>0</v>
      </c>
      <c r="AE375">
        <f>IF(ISNUMBER(SEARCH(SUBSTITUTE(AE$1,RIGHT(AE$1,2),""),VLOOKUP($D375,素材!$1:$1016,COLUMN($F$1),FALSE))),VLOOKUP($C375,装備品!$1:$998,COLUMN($O$1),FALSE)*VLOOKUP($D375,素材!$1:$1016,COLUMN($E$1),FALSE)/(LEN(VLOOKUP($D375,素材!$1:$1016,COLUMN($F$1),FALSE))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0)+IF($CI375&lt;&gt;"",VLOOKUP($CI375,付与!$A$1:BB$1173,COLUMN(付与!BB$1),FALSE),0)</f>
        <v>0</v>
      </c>
      <c r="AF375">
        <f>IF(ISNUMBER(SEARCH(SUBSTITUTE(AF$1,RIGHT(AF$1,2),""),VLOOKUP($D375,素材!$1:$1016,COLUMN($F$1),FALSE))),VLOOKUP($C375,装備品!$1:$998,COLUMN($O$1),FALSE)*VLOOKUP($D375,素材!$1:$1016,COLUMN($E$1),FALSE)/(LEN(VLOOKUP($D375,素材!$1:$1016,COLUMN($F$1),FALSE))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0)+IF($CI375&lt;&gt;"",VLOOKUP($CI375,付与!$A$1:BC$1173,COLUMN(付与!BC$1),FALSE),0)</f>
        <v>0</v>
      </c>
      <c r="AG375">
        <f>IF(ISNUMBER(SEARCH(SUBSTITUTE(AG$1,RIGHT(AG$1,2),""),VLOOKUP($D375,素材!$1:$1016,COLUMN($F$1),FALSE))),VLOOKUP($C375,装備品!$1:$998,COLUMN($O$1),FALSE)*VLOOKUP($D375,素材!$1:$1016,COLUMN($E$1),FALSE)/(LEN(VLOOKUP($D375,素材!$1:$1016,COLUMN($F$1),FALSE))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0)+IF($CI375&lt;&gt;"",VLOOKUP($CI375,付与!$A$1:BD$1173,COLUMN(付与!BD$1),FALSE),0)</f>
        <v>0</v>
      </c>
      <c r="AH375">
        <f>IF(ISNUMBER(SEARCH(SUBSTITUTE(AH$1,RIGHT(AH$1,2),""),VLOOKUP($D375,素材!$1:$1016,COLUMN($F$1),FALSE))),VLOOKUP($C375,装備品!$1:$998,COLUMN($O$1),FALSE)*VLOOKUP($D375,素材!$1:$1016,COLUMN($E$1),FALSE)/(LEN(VLOOKUP($D375,素材!$1:$1016,COLUMN($F$1),FALSE))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0)+IF($CI375&lt;&gt;"",VLOOKUP($CI375,付与!$A$1:BE$1173,COLUMN(付与!BE$1),FALSE),0)</f>
        <v>0</v>
      </c>
      <c r="AI375">
        <f>IF(ISNUMBER(SEARCH(SUBSTITUTE(AI$1,RIGHT(AI$1,2),""),VLOOKUP($D375,素材!$1:$1016,COLUMN($F$1),FALSE))),VLOOKUP($C375,装備品!$1:$998,COLUMN($O$1),FALSE)*VLOOKUP($D375,素材!$1:$1016,COLUMN($E$1),FALSE)/(LEN(VLOOKUP($D375,素材!$1:$1016,COLUMN($F$1),FALSE))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0)+IF($CI375&lt;&gt;"",VLOOKUP($CI375,付与!$A$1:BF$1173,COLUMN(付与!BF$1),FALSE),0)</f>
        <v>0</v>
      </c>
      <c r="AJ375">
        <f>IF(ISNUMBER(SEARCH(SUBSTITUTE(AJ$1,RIGHT(AJ$1,2),""),VLOOKUP($D375,素材!$1:$1016,COLUMN($F$1),FALSE))),VLOOKUP($C375,装備品!$1:$998,COLUMN($O$1),FALSE)*VLOOKUP($D375,素材!$1:$1016,COLUMN($E$1),FALSE)/(LEN(VLOOKUP($D375,素材!$1:$1016,COLUMN($F$1),FALSE))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0)+IF($CI375&lt;&gt;"",VLOOKUP($CI375,付与!$A$1:BG$1173,COLUMN(付与!BG$1),FALSE),0)</f>
        <v>0</v>
      </c>
      <c r="AK375">
        <f>IF(ISNUMBER(SEARCH(SUBSTITUTE(AK$1,RIGHT(AK$1,2),""),VLOOKUP($D375,素材!$1:$1016,COLUMN($F$1),FALSE))),VLOOKUP($C375,装備品!$1:$998,COLUMN($O$1),FALSE)*VLOOKUP($D375,素材!$1:$1016,COLUMN($E$1),FALSE)/(LEN(VLOOKUP($D375,素材!$1:$1016,COLUMN($F$1),FALSE))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0)+IF($CI375&lt;&gt;"",VLOOKUP($CI375,付与!$A$1:BH$1173,COLUMN(付与!BH$1),FALSE),0)</f>
        <v>0</v>
      </c>
      <c r="AL375">
        <f>IF(ISNUMBER(SEARCH(SUBSTITUTE(AL$1,RIGHT(AL$1,2),""),VLOOKUP($D375,素材!$1:$1016,COLUMN($F$1),FALSE))),VLOOKUP($C375,装備品!$1:$998,COLUMN($O$1),FALSE)*VLOOKUP($D375,素材!$1:$1016,COLUMN($E$1),FALSE)/(LEN(VLOOKUP($D375,素材!$1:$1016,COLUMN($F$1),FALSE))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0)+IF($CI375&lt;&gt;"",VLOOKUP($CI375,付与!$A$1:BI$1173,COLUMN(付与!BI$1),FALSE),0)</f>
        <v>0</v>
      </c>
      <c r="AM375">
        <f>IF(ISNUMBER(SEARCH(SUBSTITUTE(AM$1,RIGHT(AM$1,2),""),VLOOKUP($D375,素材!$1:$1016,COLUMN($F$1),FALSE))),VLOOKUP($C375,装備品!$1:$998,COLUMN($O$1),FALSE)*VLOOKUP($D375,素材!$1:$1016,COLUMN($E$1),FALSE)/(LEN(VLOOKUP($D375,素材!$1:$1016,COLUMN($F$1),FALSE))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0)+IF($CI375&lt;&gt;"",VLOOKUP($CI375,付与!$A$1:BJ$1173,COLUMN(付与!BJ$1),FALSE),0)</f>
        <v>0</v>
      </c>
      <c r="AN375">
        <f>IF(ISNUMBER(SEARCH(SUBSTITUTE(AN$1,RIGHT(AN$1,2),""),VLOOKUP($D375,素材!$1:$1016,COLUMN($F$1),FALSE))),VLOOKUP($C375,装備品!$1:$998,COLUMN($O$1),FALSE)*VLOOKUP($D375,素材!$1:$1016,COLUMN($E$1),FALSE)/(LEN(VLOOKUP($D375,素材!$1:$1016,COLUMN($F$1),FALSE))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0)+IF($CI375&lt;&gt;"",VLOOKUP($CI375,付与!$A$1:BK$1173,COLUMN(付与!BK$1),FALSE),0)</f>
        <v>0</v>
      </c>
      <c r="AO375">
        <f>IF(ISNUMBER(SEARCH(SUBSTITUTE(AO$1,RIGHT(AO$1,2),""),VLOOKUP($D375,素材!$1:$1016,COLUMN($F$1),FALSE))),VLOOKUP($C375,装備品!$1:$998,COLUMN($O$1),FALSE)*VLOOKUP($D375,素材!$1:$1016,COLUMN($E$1),FALSE)/(LEN(VLOOKUP($D375,素材!$1:$1016,COLUMN($F$1),FALSE))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0)+IF($CI375&lt;&gt;"",VLOOKUP($CI375,付与!$A$1:BM$1173,COLUMN(付与!BM$1),FALSE),0)</f>
        <v>0</v>
      </c>
      <c r="AP375">
        <f>IF(ISNUMBER(SEARCH(SUBSTITUTE(AP$1,RIGHT(AP$1,2),""),VLOOKUP($D375,素材!$1:$1016,COLUMN($F$1),FALSE))),VLOOKUP($C375,装備品!$1:$998,COLUMN($O$1),FALSE)*VLOOKUP($D375,素材!$1:$1016,COLUMN($E$1),FALSE)/(LEN(VLOOKUP($D375,素材!$1:$1016,COLUMN($F$1),FALSE))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0)+IF($CI375&lt;&gt;"",VLOOKUP($CI375,付与!$A$1:BN$1173,COLUMN(付与!BN$1),FALSE),0)</f>
        <v>0</v>
      </c>
      <c r="AQ375">
        <f>IF(ISNUMBER(SEARCH(SUBSTITUTE(AQ$1,RIGHT(AQ$1,2),""),VLOOKUP($D375,素材!$1:$1016,COLUMN($F$1),FALSE))),VLOOKUP($C375,装備品!$1:$998,COLUMN($O$1),FALSE)*VLOOKUP($D375,素材!$1:$1016,COLUMN($E$1),FALSE)/(LEN(VLOOKUP($D375,素材!$1:$1016,COLUMN($F$1),FALSE))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0)+IF($CI375&lt;&gt;"",VLOOKUP($CI375,付与!$A$1:BP$1173,COLUMN(付与!BP$1),FALSE),0)</f>
        <v>0</v>
      </c>
      <c r="AR375">
        <f>IF(ISNUMBER(SEARCH(SUBSTITUTE(AR$1,RIGHT(AR$1,2),""),VLOOKUP($D375,素材!$1:$1016,COLUMN($F$1),FALSE))),VLOOKUP($C375,装備品!$1:$998,COLUMN($O$1),FALSE)*VLOOKUP($D375,素材!$1:$1016,COLUMN($E$1),FALSE)/(LEN(VLOOKUP($D375,素材!$1:$1016,COLUMN($F$1),FALSE))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0)+IF($CI375&lt;&gt;"",VLOOKUP($CI375,付与!$A$1:BQ$1173,COLUMN(付与!BQ$1),FALSE),0)</f>
        <v>0</v>
      </c>
      <c r="AS375">
        <f>IF(ISNUMBER(SEARCH(SUBSTITUTE(AS$1,RIGHT(AS$1,2),""),VLOOKUP($D375,素材!$1:$1016,COLUMN($F$1),FALSE))),VLOOKUP($C375,装備品!$1:$998,COLUMN($O$1),FALSE)*VLOOKUP($D375,素材!$1:$1016,COLUMN($E$1),FALSE)/(LEN(VLOOKUP($D375,素材!$1:$1016,COLUMN($F$1),FALSE))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0)+IF($CI375&lt;&gt;"",VLOOKUP($CI375,付与!$A$1:BR$1173,COLUMN(付与!BR$1),FALSE),0)</f>
        <v>0</v>
      </c>
      <c r="AT375">
        <f>IF(ISNUMBER(SEARCH(SUBSTITUTE(AT$1,RIGHT(AT$1,2),""),VLOOKUP($D375,素材!$1:$1016,COLUMN($F$1),FALSE))),VLOOKUP($C375,装備品!$1:$998,COLUMN($O$1),FALSE)*VLOOKUP($D375,素材!$1:$1016,COLUMN($E$1),FALSE)/(LEN(VLOOKUP($D375,素材!$1:$1016,COLUMN($F$1),FALSE))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0)+IF($CI375&lt;&gt;"",VLOOKUP($CI375,付与!$A$1:BV$1173,COLUMN(付与!BV$1),FALSE),0)</f>
        <v>0</v>
      </c>
      <c r="AU375">
        <f>IF(ISNUMBER(SEARCH(SUBSTITUTE(AU$1,RIGHT(AU$1,2),""),VLOOKUP($D375,素材!$1:$1016,COLUMN($F$1),FALSE))),VLOOKUP($C375,装備品!$1:$998,COLUMN($O$1),FALSE)*VLOOKUP($D375,素材!$1:$1016,COLUMN($E$1),FALSE)/(LEN(VLOOKUP($D375,素材!$1:$1016,COLUMN($F$1),FALSE))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0)+IF($CI375&lt;&gt;"",VLOOKUP($CI375,付与!$A$1:BW$1173,COLUMN(付与!BW$1),FALSE),0)</f>
        <v>0</v>
      </c>
      <c r="AV375">
        <f>IF(ISNUMBER(SEARCH(SUBSTITUTE(AV$1,RIGHT(AV$1,2),""),VLOOKUP($D375,素材!$1:$1016,COLUMN($F$1),FALSE))),VLOOKUP($C375,装備品!$1:$998,COLUMN($O$1),FALSE)*VLOOKUP($D375,素材!$1:$1016,COLUMN($E$1),FALSE)/(LEN(VLOOKUP($D375,素材!$1:$1016,COLUMN($F$1),FALSE))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0)+IF($CI375&lt;&gt;"",VLOOKUP($CI375,付与!$A$1:BS$1173,COLUMN(付与!BS$1),FALSE),0)</f>
        <v>0</v>
      </c>
      <c r="AW375">
        <f>IF(ISNUMBER(SEARCH(SUBSTITUTE(AW$1,RIGHT(AW$1,2),""),VLOOKUP($D375,素材!$1:$1016,COLUMN($F$1),FALSE))),VLOOKUP($C375,装備品!$1:$998,COLUMN($O$1),FALSE)*VLOOKUP($D375,素材!$1:$1016,COLUMN($E$1),FALSE)/(LEN(VLOOKUP($D375,素材!$1:$1016,COLUMN($F$1),FALSE))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0)+IF($CI375&lt;&gt;"",VLOOKUP($CI375,付与!$A$1:BT$1173,COLUMN(付与!BT$1),FALSE),0)</f>
        <v>0</v>
      </c>
      <c r="AX375">
        <f>IF(ISNUMBER(SEARCH(SUBSTITUTE(AX$1,RIGHT(AX$1,2),""),VLOOKUP($D375,素材!$1:$1016,COLUMN($F$1),FALSE))),VLOOKUP($C375,装備品!$1:$998,COLUMN($O$1),FALSE)*VLOOKUP($D375,素材!$1:$1016,COLUMN($E$1),FALSE)/(LEN(VLOOKUP($D375,素材!$1:$1016,COLUMN($F$1),FALSE))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0)+IF($CI375&lt;&gt;"",VLOOKUP($CI375,付与!$A$1:BU$1173,COLUMN(付与!BU$1),FALSE),0)</f>
        <v>0</v>
      </c>
      <c r="AY375">
        <f>IF(ISNUMBER(SEARCH(SUBSTITUTE(AY$1,RIGHT(AY$1,2),""),VLOOKUP($D375,素材!$1:$1016,COLUMN($F$1),FALSE))),VLOOKUP($C375,装備品!$1:$998,COLUMN($O$1),FALSE)*VLOOKUP($D375,素材!$1:$1016,COLUMN($E$1),FALSE)/(LEN(VLOOKUP($D375,素材!$1:$1016,COLUMN($F$1),FALSE))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0)+IF($CI375&lt;&gt;"",VLOOKUP($CI375,付与!$A$1:BU$1173,COLUMN(付与!BO$1),FALSE),0)</f>
        <v>0</v>
      </c>
      <c r="AZ375">
        <f>IF(ISNUMBER(SEARCH(SUBSTITUTE(AZ$1,RIGHT(AZ$1,2),""),VLOOKUP($D375,素材!$1:$1016,COLUMN($F$1),FALSE))),VLOOKUP($C375,装備品!$1:$998,COLUMN($O$1),FALSE)*VLOOKUP($D375,素材!$1:$1016,COLUMN($E$1),FALSE)/(LEN(VLOOKUP($D375,素材!$1:$1016,COLUMN($F$1),FALSE))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0)+IF($CI375&lt;&gt;"",VLOOKUP($CI375,付与!$A$1:BX$1173,COLUMN(付与!BX$1),FALSE),0)</f>
        <v>0</v>
      </c>
      <c r="BA375">
        <f>IF(ISNUMBER(SEARCH(SUBSTITUTE(BA$1,RIGHT(BA$1,2),""),VLOOKUP($D375,素材!$1:$1016,COLUMN($F$1),FALSE))),VLOOKUP($C375,装備品!$1:$998,COLUMN($O$1),FALSE)*VLOOKUP($D375,素材!$1:$1016,COLUMN($E$1),FALSE)/(LEN(VLOOKUP($D375,素材!$1:$1016,COLUMN($F$1),FALSE))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0)+IF($CI375&lt;&gt;"",VLOOKUP($CI375,付与!$A$1:BY$1173,COLUMN(付与!BY$1),FALSE),0)</f>
        <v>0</v>
      </c>
      <c r="BB375">
        <f>IF(ISNUMBER(SEARCH(SUBSTITUTE(BB$1,RIGHT(BB$1,2),""),VLOOKUP($D375,素材!$1:$1016,COLUMN($F$1),FALSE))),VLOOKUP($C375,装備品!$1:$998,COLUMN($O$1),FALSE)*VLOOKUP($D375,素材!$1:$1016,COLUMN($E$1),FALSE)/(LEN(VLOOKUP($D375,素材!$1:$1016,COLUMN($F$1),FALSE))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0)+IF($CI375&lt;&gt;"",VLOOKUP($CI375,付与!$A$1:BZ$1173,COLUMN(付与!BZ$1),FALSE),0)</f>
        <v>0</v>
      </c>
      <c r="BC375">
        <f>IF(ISNUMBER(SEARCH(SUBSTITUTE(BC$1,RIGHT(BC$1,2),""),VLOOKUP($D375,素材!$1:$1016,COLUMN($F$1),FALSE))),VLOOKUP($C375,装備品!$1:$998,COLUMN($O$1),FALSE)*VLOOKUP($D375,素材!$1:$1016,COLUMN($E$1),FALSE)/(LEN(VLOOKUP($D375,素材!$1:$1016,COLUMN($F$1),FALSE))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0)+IF($CI375&lt;&gt;"",VLOOKUP($CI375,付与!$A$1:CA$1173,COLUMN(付与!CA$1),FALSE),0)</f>
        <v>0</v>
      </c>
      <c r="BD375">
        <f>IF(ISNUMBER(SEARCH(SUBSTITUTE(BD$1,RIGHT(BD$1,2),""),VLOOKUP($D375,素材!$1:$1016,COLUMN($F$1),FALSE))),VLOOKUP($C375,装備品!$1:$998,COLUMN($O$1),FALSE)*VLOOKUP($D375,素材!$1:$1016,COLUMN($E$1),FALSE)/(LEN(VLOOKUP($D375,素材!$1:$1016,COLUMN($F$1),FALSE))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0)+IF($CI375&lt;&gt;"",VLOOKUP($CI375,付与!$A$1:CB$1173,COLUMN(付与!CB$1),FALSE),0)</f>
        <v>0</v>
      </c>
      <c r="BE375">
        <f>IF(ISNUMBER(SEARCH(SUBSTITUTE(BE$1,RIGHT(BE$1,2),""),VLOOKUP($D375,素材!$1:$1016,COLUMN($F$1),FALSE))),VLOOKUP($C375,装備品!$1:$998,COLUMN($O$1),FALSE)*VLOOKUP($D375,素材!$1:$1016,COLUMN($E$1),FALSE)/(LEN(VLOOKUP($D375,素材!$1:$1016,COLUMN($F$1),FALSE))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0)+IF($CI375&lt;&gt;"",VLOOKUP($CI375,付与!$A$1:CC$1173,COLUMN(付与!CC$1),FALSE),0)</f>
        <v>0</v>
      </c>
      <c r="CL375">
        <f t="shared" si="47"/>
        <v>60</v>
      </c>
      <c r="CM375" s="22" t="str">
        <f t="shared" si="48"/>
        <v>切断.webp</v>
      </c>
      <c r="CN375">
        <f>IFERROR(VLOOKUP($C375,装備品!$1:$998,COLUMN(V$1),FALSE)*VLOOKUP($D375,素材!$1:$1016,COLUMN(N$1),FALSE)+IF(CI375="",0,VLOOKUP($CI375,付与!$1:$1176,COLUMN($CK$1),FALSE)),"")</f>
        <v>0</v>
      </c>
      <c r="CO375">
        <f>VLOOKUP(D375,素材!$A:$O,COLUMN(素材!O$1),FALSE)</f>
        <v>0</v>
      </c>
      <c r="CP375" t="str">
        <f>VLOOKUP(C375,装備品!$A:$AB,COLUMN(装備品!AB$1),FALSE)</f>
        <v>刀。切断力に優れた武器で、Cr威力が高い</v>
      </c>
      <c r="CR375" t="str">
        <f t="shared" si="54"/>
        <v>e_375</v>
      </c>
      <c r="CS375">
        <f t="shared" si="56"/>
        <v>0</v>
      </c>
    </row>
    <row r="376" spans="1:97" outlineLevel="1" x14ac:dyDescent="0.4">
      <c r="A376" s="1" t="s">
        <v>1278</v>
      </c>
      <c r="B376" t="s">
        <v>1279</v>
      </c>
      <c r="C376" t="s">
        <v>1248</v>
      </c>
      <c r="D376" s="24" t="s">
        <v>1277</v>
      </c>
      <c r="E376" t="str">
        <f>IFERROR(VLOOKUP(C376,装備品!$1:$998,COLUMN(C$1),FALSE),"")</f>
        <v>武器</v>
      </c>
      <c r="F376">
        <f>IFERROR(ROUNDDOWN((VLOOKUP($C376,装備品!$1:$998,COLUMN(D$1),FALSE)+IFERROR(VLOOKUP($CI376,付与!$1:$1167,COLUMN(F$1),FALSE),0))*VLOOKUP($D376,素材!$1:$1016,COLUMN(D$1),FALSE),0),"")</f>
        <v>105</v>
      </c>
      <c r="G376">
        <f>IFERROR(ROUNDDOWN((VLOOKUP($C376,装備品!$1:$998,COLUMN(E$1),FALSE)+IFERROR(VLOOKUP($CI376,付与!$1:$1167,COLUMN(G$1),FALSE),0))*VLOOKUP($D376,素材!$1:$1016,COLUMN($E$1),FALSE),0),"")</f>
        <v>17</v>
      </c>
      <c r="H376">
        <f>IFERROR(ROUNDDOWN((VLOOKUP($C376,装備品!$1:$998,COLUMN(F$1),FALSE)+IFERROR(VLOOKUP($CI376,付与!$1:$1167,COLUMN(H$1),FALSE),0))*VLOOKUP($D376,素材!$1:$1016,COLUMN($E$1),FALSE),0),"")</f>
        <v>10</v>
      </c>
      <c r="I376">
        <f>IFERROR(ROUNDDOWN((VLOOKUP($C376,装備品!$1:$998,COLUMN(G$1),FALSE)+IFERROR(VLOOKUP($CI376,付与!$1:$1167,COLUMN(I$1),FALSE),0))*VLOOKUP($D376,素材!$1:$1016,COLUMN($E$1),FALSE),0),"")</f>
        <v>2</v>
      </c>
      <c r="J376">
        <f>IFERROR(ROUNDDOWN((VLOOKUP($C376,装備品!$1:$998,COLUMN(H$1),FALSE)+IFERROR(VLOOKUP($CI376,付与!$1:$1167,COLUMN(J$1),FALSE),0))*VLOOKUP($D376,素材!$1:$1016,COLUMN($E$1),FALSE),0),"")</f>
        <v>21</v>
      </c>
      <c r="K376">
        <f>IFERROR(ROUNDDOWN((VLOOKUP($C376,装備品!$1:$998,COLUMN(I$1),FALSE)+IFERROR(VLOOKUP($CI376,付与!$1:$1167,COLUMN(K$1),FALSE),0))*VLOOKUP($D376,素材!$1:$1016,COLUMN($E$1),FALSE),0),"")</f>
        <v>0</v>
      </c>
      <c r="L376" t="str">
        <f>IFERROR(VLOOKUP($D376,素材!$1:$1016,COLUMN($F$1),FALSE),"")</f>
        <v>闇</v>
      </c>
      <c r="M376">
        <f>IFERROR(VLOOKUP($C376,装備品!$1:$998,COLUMN(AA$1),FALSE)*VLOOKUP($D376,素材!$1:$1016,COLUMN($G$1),FALSE),"")</f>
        <v>80</v>
      </c>
      <c r="N376">
        <f>IFERROR(VLOOKUP($C376,装備品!$1:$998,COLUMN(I$1),FALSE),"")</f>
        <v>0</v>
      </c>
      <c r="O376" s="23">
        <f>IFERROR((VLOOKUP($C376,装備品!$1:$998,COLUMN(K$1),FALSE)+VLOOKUP($D376,素材!$1:$1016,COLUMN(H$1),FALSE))*100+IFERROR(VLOOKUP($CI376,付与!$1:$1167,COLUMN(O$1),FALSE),0),"")</f>
        <v>12.000000000000002</v>
      </c>
      <c r="P376" s="23">
        <f>IFERROR((VLOOKUP($C376,装備品!$1:$998,COLUMN(L$1),FALSE)+VLOOKUP($D376,素材!$1:$1016,COLUMN(I$1),FALSE))*100+IFERROR(VLOOKUP($CI376,付与!$1:$1167,COLUMN(P$1),FALSE),0),"")</f>
        <v>180</v>
      </c>
      <c r="Q376">
        <f>IFERROR(ROUNDUP(VLOOKUP($C376,装備品!$1:$998,COLUMN(M$1),FALSE)*(VLOOKUP($D376,素材!$1:$1002,COLUMN(D$1),FALSE)/100),1),"")</f>
        <v>0</v>
      </c>
      <c r="R376">
        <f>IFERROR(ROUNDUP(VLOOKUP($C376,装備品!$1:$998,COLUMN(N$1),FALSE)*(VLOOKUP($D376,素材!$1:$1002,COLUMN(D$1),FALSE)/100),1),"")</f>
        <v>0</v>
      </c>
      <c r="S376">
        <f>IFERROR(VLOOKUP($C376,装備品!$1:$998,COLUMN(P$1),FALSE),"")</f>
        <v>0</v>
      </c>
      <c r="T376">
        <f>IFERROR(VLOOKUP($C376,装備品!$1:$998,COLUMN(Q$1),FALSE),"")</f>
        <v>0</v>
      </c>
      <c r="U376">
        <f>IFERROR(VLOOKUP($C376,装備品!$1:$998,COLUMN(R$1),FALSE),"")</f>
        <v>0</v>
      </c>
      <c r="V376">
        <f>IFERROR(VLOOKUP($C376,装備品!$1:$998,COLUMN(Q$1),FALSE),"")</f>
        <v>0</v>
      </c>
      <c r="W376">
        <f>IFERROR(VLOOKUP($C376,装備品!$1:$998,COLUMN(T$1),FALSE),"")</f>
        <v>0</v>
      </c>
      <c r="Y376">
        <f>IFERROR(VLOOKUP($C376,装備品!$1:$998,COLUMN(U$1),FALSE),"")</f>
        <v>0</v>
      </c>
      <c r="Z376">
        <f>IFERROR(ROUNDUP(VLOOKUP($C376,装備品!$1:$998,COLUMN(O$1),FALSE)*VLOOKUP($D376,素材!$1:$1016,COLUMN(E$1),FALSE),1),"")</f>
        <v>0</v>
      </c>
      <c r="AA376">
        <f>IF(ISNUMBER(SEARCH(SUBSTITUTE(AA$1,RIGHT(AA$1,2),""),VLOOKUP($D376,素材!$1:$1016,COLUMN($F$1),FALSE))),VLOOKUP($C376,装備品!$1:$998,COLUMN($O$1),FALSE)*VLOOKUP($D376,素材!$1:$1016,COLUMN($E$1),FALSE)/(LEN(VLOOKUP($D376,素材!$1:$1016,COLUMN($F$1),FALSE))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</f>
        <v>0</v>
      </c>
      <c r="AB376">
        <f>IF(ISNUMBER(SEARCH(SUBSTITUTE(AB$1,RIGHT(AB$1,2),""),VLOOKUP($D376,素材!$1:$1016,COLUMN($F$1),FALSE))),VLOOKUP($C376,装備品!$1:$998,COLUMN($O$1),FALSE)*VLOOKUP($D376,素材!$1:$1016,COLUMN($E$1),FALSE)/(LEN(VLOOKUP($D376,素材!$1:$1016,COLUMN($F$1),FALSE))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</f>
        <v>0</v>
      </c>
      <c r="AC376">
        <f>IF(ISNUMBER(SEARCH(SUBSTITUTE(AC$1,RIGHT(AC$1,2),""),VLOOKUP($D376,素材!$1:$1016,COLUMN($F$1),FALSE))),VLOOKUP($C376,装備品!$1:$998,COLUMN($O$1),FALSE)*VLOOKUP($D376,素材!$1:$1016,COLUMN($E$1),FALSE)/(LEN(VLOOKUP($D376,素材!$1:$1016,COLUMN($F$1),FALSE))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</f>
        <v>0</v>
      </c>
      <c r="AD376">
        <f>IF(ISNUMBER(SEARCH(SUBSTITUTE(AD$1,RIGHT(AD$1,2),""),VLOOKUP($D376,素材!$1:$1016,COLUMN($F$1),FALSE))),VLOOKUP($C376,装備品!$1:$998,COLUMN($O$1),FALSE)*VLOOKUP($D376,素材!$1:$1016,COLUMN($E$1),FALSE)/(LEN(VLOOKUP($D376,素材!$1:$1016,COLUMN($F$1),FALSE))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</f>
        <v>0</v>
      </c>
      <c r="AE376">
        <f>IF(ISNUMBER(SEARCH(SUBSTITUTE(AE$1,RIGHT(AE$1,2),""),VLOOKUP($D376,素材!$1:$1016,COLUMN($F$1),FALSE))),VLOOKUP($C376,装備品!$1:$998,COLUMN($O$1),FALSE)*VLOOKUP($D376,素材!$1:$1016,COLUMN($E$1),FALSE)/(LEN(VLOOKUP($D376,素材!$1:$1016,COLUMN($F$1),FALSE))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0)+IF($CI376&lt;&gt;"",VLOOKUP($CI376,付与!$A$1:BB$1173,COLUMN(付与!BB$1),FALSE),0)</f>
        <v>0</v>
      </c>
      <c r="AF376">
        <f>IF(ISNUMBER(SEARCH(SUBSTITUTE(AF$1,RIGHT(AF$1,2),""),VLOOKUP($D376,素材!$1:$1016,COLUMN($F$1),FALSE))),VLOOKUP($C376,装備品!$1:$998,COLUMN($O$1),FALSE)*VLOOKUP($D376,素材!$1:$1016,COLUMN($E$1),FALSE)/(LEN(VLOOKUP($D376,素材!$1:$1016,COLUMN($F$1),FALSE))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0)+IF($CI376&lt;&gt;"",VLOOKUP($CI376,付与!$A$1:BC$1173,COLUMN(付与!BC$1),FALSE),0)</f>
        <v>0</v>
      </c>
      <c r="AG376">
        <f>IF(ISNUMBER(SEARCH(SUBSTITUTE(AG$1,RIGHT(AG$1,2),""),VLOOKUP($D376,素材!$1:$1016,COLUMN($F$1),FALSE))),VLOOKUP($C376,装備品!$1:$998,COLUMN($O$1),FALSE)*VLOOKUP($D376,素材!$1:$1016,COLUMN($E$1),FALSE)/(LEN(VLOOKUP($D376,素材!$1:$1016,COLUMN($F$1),FALSE))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0)+IF($CI376&lt;&gt;"",VLOOKUP($CI376,付与!$A$1:BD$1173,COLUMN(付与!BD$1),FALSE),0)</f>
        <v>0</v>
      </c>
      <c r="AH376">
        <f>IF(ISNUMBER(SEARCH(SUBSTITUTE(AH$1,RIGHT(AH$1,2),""),VLOOKUP($D376,素材!$1:$1016,COLUMN($F$1),FALSE))),VLOOKUP($C376,装備品!$1:$998,COLUMN($O$1),FALSE)*VLOOKUP($D376,素材!$1:$1016,COLUMN($E$1),FALSE)/(LEN(VLOOKUP($D376,素材!$1:$1016,COLUMN($F$1),FALSE))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0)+IF($CI376&lt;&gt;"",VLOOKUP($CI376,付与!$A$1:BE$1173,COLUMN(付与!BE$1),FALSE),0)</f>
        <v>0</v>
      </c>
      <c r="AI376">
        <f>IF(ISNUMBER(SEARCH(SUBSTITUTE(AI$1,RIGHT(AI$1,2),""),VLOOKUP($D376,素材!$1:$1016,COLUMN($F$1),FALSE))),VLOOKUP($C376,装備品!$1:$998,COLUMN($O$1),FALSE)*VLOOKUP($D376,素材!$1:$1016,COLUMN($E$1),FALSE)/(LEN(VLOOKUP($D376,素材!$1:$1016,COLUMN($F$1),FALSE))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0)+IF($CI376&lt;&gt;"",VLOOKUP($CI376,付与!$A$1:BF$1173,COLUMN(付与!BF$1),FALSE),0)</f>
        <v>0</v>
      </c>
      <c r="AJ376">
        <f>IF(ISNUMBER(SEARCH(SUBSTITUTE(AJ$1,RIGHT(AJ$1,2),""),VLOOKUP($D376,素材!$1:$1016,COLUMN($F$1),FALSE))),VLOOKUP($C376,装備品!$1:$998,COLUMN($O$1),FALSE)*VLOOKUP($D376,素材!$1:$1016,COLUMN($E$1),FALSE)/(LEN(VLOOKUP($D376,素材!$1:$1016,COLUMN($F$1),FALSE))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0)+IF($CI376&lt;&gt;"",VLOOKUP($CI376,付与!$A$1:BG$1173,COLUMN(付与!BG$1),FALSE),0)</f>
        <v>0</v>
      </c>
      <c r="AK376">
        <f>IF(ISNUMBER(SEARCH(SUBSTITUTE(AK$1,RIGHT(AK$1,2),""),VLOOKUP($D376,素材!$1:$1016,COLUMN($F$1),FALSE))),VLOOKUP($C376,装備品!$1:$998,COLUMN($O$1),FALSE)*VLOOKUP($D376,素材!$1:$1016,COLUMN($E$1),FALSE)/(LEN(VLOOKUP($D376,素材!$1:$1016,COLUMN($F$1),FALSE))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0)+IF($CI376&lt;&gt;"",VLOOKUP($CI376,付与!$A$1:BH$1173,COLUMN(付与!BH$1),FALSE),0)</f>
        <v>0</v>
      </c>
      <c r="AL376">
        <f>IF(ISNUMBER(SEARCH(SUBSTITUTE(AL$1,RIGHT(AL$1,2),""),VLOOKUP($D376,素材!$1:$1016,COLUMN($F$1),FALSE))),VLOOKUP($C376,装備品!$1:$998,COLUMN($O$1),FALSE)*VLOOKUP($D376,素材!$1:$1016,COLUMN($E$1),FALSE)/(LEN(VLOOKUP($D376,素材!$1:$1016,COLUMN($F$1),FALSE))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0)+IF($CI376&lt;&gt;"",VLOOKUP($CI376,付与!$A$1:BI$1173,COLUMN(付与!BI$1),FALSE),0)</f>
        <v>0</v>
      </c>
      <c r="AM376">
        <f>IF(ISNUMBER(SEARCH(SUBSTITUTE(AM$1,RIGHT(AM$1,2),""),VLOOKUP($D376,素材!$1:$1016,COLUMN($F$1),FALSE))),VLOOKUP($C376,装備品!$1:$998,COLUMN($O$1),FALSE)*VLOOKUP($D376,素材!$1:$1016,COLUMN($E$1),FALSE)/(LEN(VLOOKUP($D376,素材!$1:$1016,COLUMN($F$1),FALSE))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0)+IF($CI376&lt;&gt;"",VLOOKUP($CI376,付与!$A$1:BJ$1173,COLUMN(付与!BJ$1),FALSE),0)</f>
        <v>0</v>
      </c>
      <c r="AN376">
        <f>IF(ISNUMBER(SEARCH(SUBSTITUTE(AN$1,RIGHT(AN$1,2),""),VLOOKUP($D376,素材!$1:$1016,COLUMN($F$1),FALSE))),VLOOKUP($C376,装備品!$1:$998,COLUMN($O$1),FALSE)*VLOOKUP($D376,素材!$1:$1016,COLUMN($E$1),FALSE)/(LEN(VLOOKUP($D376,素材!$1:$1016,COLUMN($F$1),FALSE))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0)+IF($CI376&lt;&gt;"",VLOOKUP($CI376,付与!$A$1:BK$1173,COLUMN(付与!BK$1),FALSE),0)</f>
        <v>0</v>
      </c>
      <c r="AO376">
        <f>IF(ISNUMBER(SEARCH(SUBSTITUTE(AO$1,RIGHT(AO$1,2),""),VLOOKUP($D376,素材!$1:$1016,COLUMN($F$1),FALSE))),VLOOKUP($C376,装備品!$1:$998,COLUMN($O$1),FALSE)*VLOOKUP($D376,素材!$1:$1016,COLUMN($E$1),FALSE)/(LEN(VLOOKUP($D376,素材!$1:$1016,COLUMN($F$1),FALSE))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0)+IF($CI376&lt;&gt;"",VLOOKUP($CI376,付与!$A$1:BM$1173,COLUMN(付与!BM$1),FALSE),0)</f>
        <v>0</v>
      </c>
      <c r="AP376">
        <f>IF(ISNUMBER(SEARCH(SUBSTITUTE(AP$1,RIGHT(AP$1,2),""),VLOOKUP($D376,素材!$1:$1016,COLUMN($F$1),FALSE))),VLOOKUP($C376,装備品!$1:$998,COLUMN($O$1),FALSE)*VLOOKUP($D376,素材!$1:$1016,COLUMN($E$1),FALSE)/(LEN(VLOOKUP($D376,素材!$1:$1016,COLUMN($F$1),FALSE))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0)+IF($CI376&lt;&gt;"",VLOOKUP($CI376,付与!$A$1:BN$1173,COLUMN(付与!BN$1),FALSE),0)</f>
        <v>0</v>
      </c>
      <c r="AQ376">
        <f>IF(ISNUMBER(SEARCH(SUBSTITUTE(AQ$1,RIGHT(AQ$1,2),""),VLOOKUP($D376,素材!$1:$1016,COLUMN($F$1),FALSE))),VLOOKUP($C376,装備品!$1:$998,COLUMN($O$1),FALSE)*VLOOKUP($D376,素材!$1:$1016,COLUMN($E$1),FALSE)/(LEN(VLOOKUP($D376,素材!$1:$1016,COLUMN($F$1),FALSE))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0)+IF($CI376&lt;&gt;"",VLOOKUP($CI376,付与!$A$1:BP$1173,COLUMN(付与!BP$1),FALSE),0)</f>
        <v>0</v>
      </c>
      <c r="AR376">
        <f>IF(ISNUMBER(SEARCH(SUBSTITUTE(AR$1,RIGHT(AR$1,2),""),VLOOKUP($D376,素材!$1:$1016,COLUMN($F$1),FALSE))),VLOOKUP($C376,装備品!$1:$998,COLUMN($O$1),FALSE)*VLOOKUP($D376,素材!$1:$1016,COLUMN($E$1),FALSE)/(LEN(VLOOKUP($D376,素材!$1:$1016,COLUMN($F$1),FALSE))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0)+IF($CI376&lt;&gt;"",VLOOKUP($CI376,付与!$A$1:BQ$1173,COLUMN(付与!BQ$1),FALSE),0)</f>
        <v>0</v>
      </c>
      <c r="AS376">
        <f>IF(ISNUMBER(SEARCH(SUBSTITUTE(AS$1,RIGHT(AS$1,2),""),VLOOKUP($D376,素材!$1:$1016,COLUMN($F$1),FALSE))),VLOOKUP($C376,装備品!$1:$998,COLUMN($O$1),FALSE)*VLOOKUP($D376,素材!$1:$1016,COLUMN($E$1),FALSE)/(LEN(VLOOKUP($D376,素材!$1:$1016,COLUMN($F$1),FALSE))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0)+IF($CI376&lt;&gt;"",VLOOKUP($CI376,付与!$A$1:BR$1173,COLUMN(付与!BR$1),FALSE),0)</f>
        <v>0</v>
      </c>
      <c r="AT376">
        <f>IF(ISNUMBER(SEARCH(SUBSTITUTE(AT$1,RIGHT(AT$1,2),""),VLOOKUP($D376,素材!$1:$1016,COLUMN($F$1),FALSE))),VLOOKUP($C376,装備品!$1:$998,COLUMN($O$1),FALSE)*VLOOKUP($D376,素材!$1:$1016,COLUMN($E$1),FALSE)/(LEN(VLOOKUP($D376,素材!$1:$1016,COLUMN($F$1),FALSE))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0)+IF($CI376&lt;&gt;"",VLOOKUP($CI376,付与!$A$1:BV$1173,COLUMN(付与!BV$1),FALSE),0)</f>
        <v>0</v>
      </c>
      <c r="AU376">
        <f>IF(ISNUMBER(SEARCH(SUBSTITUTE(AU$1,RIGHT(AU$1,2),""),VLOOKUP($D376,素材!$1:$1016,COLUMN($F$1),FALSE))),VLOOKUP($C376,装備品!$1:$998,COLUMN($O$1),FALSE)*VLOOKUP($D376,素材!$1:$1016,COLUMN($E$1),FALSE)/(LEN(VLOOKUP($D376,素材!$1:$1016,COLUMN($F$1),FALSE))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0)+IF($CI376&lt;&gt;"",VLOOKUP($CI376,付与!$A$1:BW$1173,COLUMN(付与!BW$1),FALSE),0)</f>
        <v>0</v>
      </c>
      <c r="AV376">
        <f>IF(ISNUMBER(SEARCH(SUBSTITUTE(AV$1,RIGHT(AV$1,2),""),VLOOKUP($D376,素材!$1:$1016,COLUMN($F$1),FALSE))),VLOOKUP($C376,装備品!$1:$998,COLUMN($O$1),FALSE)*VLOOKUP($D376,素材!$1:$1016,COLUMN($E$1),FALSE)/(LEN(VLOOKUP($D376,素材!$1:$1016,COLUMN($F$1),FALSE))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0)+IF($CI376&lt;&gt;"",VLOOKUP($CI376,付与!$A$1:BS$1173,COLUMN(付与!BS$1),FALSE),0)</f>
        <v>0</v>
      </c>
      <c r="AW376">
        <f>IF(ISNUMBER(SEARCH(SUBSTITUTE(AW$1,RIGHT(AW$1,2),""),VLOOKUP($D376,素材!$1:$1016,COLUMN($F$1),FALSE))),VLOOKUP($C376,装備品!$1:$998,COLUMN($O$1),FALSE)*VLOOKUP($D376,素材!$1:$1016,COLUMN($E$1),FALSE)/(LEN(VLOOKUP($D376,素材!$1:$1016,COLUMN($F$1),FALSE))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0)+IF($CI376&lt;&gt;"",VLOOKUP($CI376,付与!$A$1:BT$1173,COLUMN(付与!BT$1),FALSE),0)</f>
        <v>0</v>
      </c>
      <c r="AX376">
        <f>IF(ISNUMBER(SEARCH(SUBSTITUTE(AX$1,RIGHT(AX$1,2),""),VLOOKUP($D376,素材!$1:$1016,COLUMN($F$1),FALSE))),VLOOKUP($C376,装備品!$1:$998,COLUMN($O$1),FALSE)*VLOOKUP($D376,素材!$1:$1016,COLUMN($E$1),FALSE)/(LEN(VLOOKUP($D376,素材!$1:$1016,COLUMN($F$1),FALSE))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0)+IF($CI376&lt;&gt;"",VLOOKUP($CI376,付与!$A$1:BU$1173,COLUMN(付与!BU$1),FALSE),0)</f>
        <v>0</v>
      </c>
      <c r="AY376">
        <f>IF(ISNUMBER(SEARCH(SUBSTITUTE(AY$1,RIGHT(AY$1,2),""),VLOOKUP($D376,素材!$1:$1016,COLUMN($F$1),FALSE))),VLOOKUP($C376,装備品!$1:$998,COLUMN($O$1),FALSE)*VLOOKUP($D376,素材!$1:$1016,COLUMN($E$1),FALSE)/(LEN(VLOOKUP($D376,素材!$1:$1016,COLUMN($F$1),FALSE))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0)+IF($CI376&lt;&gt;"",VLOOKUP($CI376,付与!$A$1:BU$1173,COLUMN(付与!BO$1),FALSE),0)</f>
        <v>0</v>
      </c>
      <c r="AZ376">
        <f>IF(ISNUMBER(SEARCH(SUBSTITUTE(AZ$1,RIGHT(AZ$1,2),""),VLOOKUP($D376,素材!$1:$1016,COLUMN($F$1),FALSE))),VLOOKUP($C376,装備品!$1:$998,COLUMN($O$1),FALSE)*VLOOKUP($D376,素材!$1:$1016,COLUMN($E$1),FALSE)/(LEN(VLOOKUP($D376,素材!$1:$1016,COLUMN($F$1),FALSE))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0)+IF($CI376&lt;&gt;"",VLOOKUP($CI376,付与!$A$1:BX$1173,COLUMN(付与!BX$1),FALSE),0)</f>
        <v>0</v>
      </c>
      <c r="BA376">
        <f>IF(ISNUMBER(SEARCH(SUBSTITUTE(BA$1,RIGHT(BA$1,2),""),VLOOKUP($D376,素材!$1:$1016,COLUMN($F$1),FALSE))),VLOOKUP($C376,装備品!$1:$998,COLUMN($O$1),FALSE)*VLOOKUP($D376,素材!$1:$1016,COLUMN($E$1),FALSE)/(LEN(VLOOKUP($D376,素材!$1:$1016,COLUMN($F$1),FALSE))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0)+IF($CI376&lt;&gt;"",VLOOKUP($CI376,付与!$A$1:BY$1173,COLUMN(付与!BY$1),FALSE),0)</f>
        <v>0</v>
      </c>
      <c r="BB376">
        <f>IF(ISNUMBER(SEARCH(SUBSTITUTE(BB$1,RIGHT(BB$1,2),""),VLOOKUP($D376,素材!$1:$1016,COLUMN($F$1),FALSE))),VLOOKUP($C376,装備品!$1:$998,COLUMN($O$1),FALSE)*VLOOKUP($D376,素材!$1:$1016,COLUMN($E$1),FALSE)/(LEN(VLOOKUP($D376,素材!$1:$1016,COLUMN($F$1),FALSE))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0)+IF($CI376&lt;&gt;"",VLOOKUP($CI376,付与!$A$1:BZ$1173,COLUMN(付与!BZ$1),FALSE),0)</f>
        <v>0</v>
      </c>
      <c r="BC376">
        <f>IF(ISNUMBER(SEARCH(SUBSTITUTE(BC$1,RIGHT(BC$1,2),""),VLOOKUP($D376,素材!$1:$1016,COLUMN($F$1),FALSE))),VLOOKUP($C376,装備品!$1:$998,COLUMN($O$1),FALSE)*VLOOKUP($D376,素材!$1:$1016,COLUMN($E$1),FALSE)/(LEN(VLOOKUP($D376,素材!$1:$1016,COLUMN($F$1),FALSE))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0)+IF($CI376&lt;&gt;"",VLOOKUP($CI376,付与!$A$1:CA$1173,COLUMN(付与!CA$1),FALSE),0)</f>
        <v>0</v>
      </c>
      <c r="BD376">
        <f>IF(ISNUMBER(SEARCH(SUBSTITUTE(BD$1,RIGHT(BD$1,2),""),VLOOKUP($D376,素材!$1:$1016,COLUMN($F$1),FALSE))),VLOOKUP($C376,装備品!$1:$998,COLUMN($O$1),FALSE)*VLOOKUP($D376,素材!$1:$1016,COLUMN($E$1),FALSE)/(LEN(VLOOKUP($D376,素材!$1:$1016,COLUMN($F$1),FALSE))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0)+IF($CI376&lt;&gt;"",VLOOKUP($CI376,付与!$A$1:CB$1173,COLUMN(付与!CB$1),FALSE),0)</f>
        <v>0</v>
      </c>
      <c r="BE376">
        <f>IF(ISNUMBER(SEARCH(SUBSTITUTE(BE$1,RIGHT(BE$1,2),""),VLOOKUP($D376,素材!$1:$1016,COLUMN($F$1),FALSE))),VLOOKUP($C376,装備品!$1:$998,COLUMN($O$1),FALSE)*VLOOKUP($D376,素材!$1:$1016,COLUMN($E$1),FALSE)/(LEN(VLOOKUP($D376,素材!$1:$1016,COLUMN($F$1),FALSE))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0)+IF($CI376&lt;&gt;"",VLOOKUP($CI376,付与!$A$1:CC$1173,COLUMN(付与!CC$1),FALSE),0)</f>
        <v>0</v>
      </c>
      <c r="CL376">
        <f t="shared" si="47"/>
        <v>29</v>
      </c>
      <c r="CM376" s="22" t="str">
        <f t="shared" si="48"/>
        <v>切断.webp</v>
      </c>
      <c r="CN376">
        <f>IFERROR(VLOOKUP($C376,装備品!$1:$998,COLUMN(V$1),FALSE)*VLOOKUP($D376,素材!$1:$1016,COLUMN(N$1),FALSE)+IF(CI376="",0,VLOOKUP($CI376,付与!$1:$1176,COLUMN($CK$1),FALSE)),"")</f>
        <v>0</v>
      </c>
      <c r="CO376">
        <f>VLOOKUP(D376,素材!$A:$O,COLUMN(素材!O$1),FALSE)</f>
        <v>0</v>
      </c>
      <c r="CP376" t="str">
        <f>VLOOKUP(C376,装備品!$A:$AB,COLUMN(装備品!AB$1),FALSE)</f>
        <v>刀。切断力に優れた武器で、Cr威力が高い</v>
      </c>
      <c r="CR376" t="str">
        <f t="shared" si="54"/>
        <v>e_376</v>
      </c>
      <c r="CS376">
        <f t="shared" ref="CS376" si="58">CN376*100</f>
        <v>0</v>
      </c>
    </row>
    <row r="377" spans="1:97" outlineLevel="1" x14ac:dyDescent="0.4">
      <c r="B377" t="str">
        <f>IFERROR(VLOOKUP($D377,素材!$1:$1016,COLUMN($B$1),FALSE)&amp;"・"&amp;VLOOKUP($C377,装備品!$1:$998,COLUMN(B$1),FALSE),"")</f>
        <v/>
      </c>
      <c r="D377" s="24"/>
      <c r="E377" t="str">
        <f>IFERROR(VLOOKUP(C377,装備品!$1:$998,COLUMN(C$1),FALSE),"")</f>
        <v/>
      </c>
      <c r="F377" t="str">
        <f>IFERROR(ROUNDDOWN((VLOOKUP($C377,装備品!$1:$998,COLUMN(D$1),FALSE)+IFERROR(VLOOKUP($CI377,付与!$1:$1167,COLUMN(F$1),FALSE),0))*VLOOKUP($D377,素材!$1:$1016,COLUMN(D$1),FALSE),0),"")</f>
        <v/>
      </c>
      <c r="G377" t="str">
        <f>IFERROR(ROUNDDOWN((VLOOKUP($C377,装備品!$1:$998,COLUMN(E$1),FALSE)+IFERROR(VLOOKUP($CI377,付与!$1:$1167,COLUMN(G$1),FALSE),0))*VLOOKUP($D377,素材!$1:$1016,COLUMN($E$1),FALSE),0),"")</f>
        <v/>
      </c>
      <c r="H377" t="str">
        <f>IFERROR(ROUNDDOWN((VLOOKUP($C377,装備品!$1:$998,COLUMN(F$1),FALSE)+IFERROR(VLOOKUP($CI377,付与!$1:$1167,COLUMN(H$1),FALSE),0))*VLOOKUP($D377,素材!$1:$1016,COLUMN($E$1),FALSE),0),"")</f>
        <v/>
      </c>
      <c r="I377" t="str">
        <f>IFERROR(ROUNDDOWN((VLOOKUP($C377,装備品!$1:$998,COLUMN(G$1),FALSE)+IFERROR(VLOOKUP($CI377,付与!$1:$1167,COLUMN(I$1),FALSE),0))*VLOOKUP($D377,素材!$1:$1016,COLUMN($E$1),FALSE),0),"")</f>
        <v/>
      </c>
      <c r="J377" t="str">
        <f>IFERROR(ROUNDDOWN((VLOOKUP($C377,装備品!$1:$998,COLUMN(H$1),FALSE)+IFERROR(VLOOKUP($CI377,付与!$1:$1167,COLUMN(J$1),FALSE),0))*VLOOKUP($D377,素材!$1:$1016,COLUMN($E$1),FALSE),0),"")</f>
        <v/>
      </c>
      <c r="K377" t="str">
        <f>IFERROR(ROUNDDOWN((VLOOKUP($C377,装備品!$1:$998,COLUMN(I$1),FALSE)+IFERROR(VLOOKUP($CI377,付与!$1:$1167,COLUMN(K$1),FALSE),0))*VLOOKUP($D377,素材!$1:$1016,COLUMN($E$1),FALSE),0),"")</f>
        <v/>
      </c>
      <c r="L377" t="str">
        <f>IFERROR(VLOOKUP($D377,素材!$1:$1016,COLUMN($F$1),FALSE),"")</f>
        <v/>
      </c>
      <c r="M377" t="str">
        <f>IFERROR(VLOOKUP($C377,装備品!$1:$998,COLUMN(AA$1),FALSE)*VLOOKUP($D377,素材!$1:$1016,COLUMN($G$1),FALSE),"")</f>
        <v/>
      </c>
      <c r="N377" t="str">
        <f>IFERROR(VLOOKUP($C377,装備品!$1:$998,COLUMN(I$1),FALSE),"")</f>
        <v/>
      </c>
      <c r="O377" s="23" t="str">
        <f>IFERROR((VLOOKUP($C377,装備品!$1:$998,COLUMN(K$1),FALSE)+VLOOKUP($D377,素材!$1:$1016,COLUMN(H$1),FALSE))*100+IFERROR(VLOOKUP($CI377,付与!$1:$1167,COLUMN(O$1),FALSE),0),"")</f>
        <v/>
      </c>
      <c r="P377" s="23" t="str">
        <f>IFERROR((VLOOKUP($C377,装備品!$1:$998,COLUMN(L$1),FALSE)+VLOOKUP($D377,素材!$1:$1016,COLUMN(I$1),FALSE))*100+IFERROR(VLOOKUP($CI377,付与!$1:$1167,COLUMN(P$1),FALSE),0),"")</f>
        <v/>
      </c>
      <c r="Q377" t="str">
        <f>IFERROR(ROUNDUP(VLOOKUP($C377,装備品!$1:$998,COLUMN(M$1),FALSE)*(VLOOKUP($D377,素材!$1:$1002,COLUMN(D$1),FALSE)/100),1),"")</f>
        <v/>
      </c>
      <c r="R377" t="str">
        <f>IFERROR(ROUNDUP(VLOOKUP($C377,装備品!$1:$998,COLUMN(N$1),FALSE)*(VLOOKUP($D377,素材!$1:$1002,COLUMN(D$1),FALSE)/100),1),"")</f>
        <v/>
      </c>
      <c r="S377" t="str">
        <f>IFERROR(VLOOKUP($C377,装備品!$1:$998,COLUMN(P$1),FALSE),"")</f>
        <v/>
      </c>
      <c r="T377" t="str">
        <f>IFERROR(VLOOKUP($C377,装備品!$1:$998,COLUMN(Q$1),FALSE),"")</f>
        <v/>
      </c>
      <c r="U377" t="str">
        <f>IFERROR(VLOOKUP($C377,装備品!$1:$998,COLUMN(R$1),FALSE),"")</f>
        <v/>
      </c>
      <c r="V377" t="str">
        <f>IFERROR(VLOOKUP($C377,装備品!$1:$998,COLUMN(Q$1),FALSE),"")</f>
        <v/>
      </c>
      <c r="W377" t="str">
        <f>IFERROR(VLOOKUP($C377,装備品!$1:$998,COLUMN(T$1),FALSE),"")</f>
        <v/>
      </c>
      <c r="Y377" t="str">
        <f>IFERROR(VLOOKUP($C377,装備品!$1:$998,COLUMN(U$1),FALSE),"")</f>
        <v/>
      </c>
      <c r="Z377" t="str">
        <f>IFERROR(ROUNDUP(VLOOKUP($C377,装備品!$1:$998,COLUMN(O$1),FALSE)*VLOOKUP($D377,素材!$1:$1016,COLUMN(E$1),FALSE),1),"")</f>
        <v/>
      </c>
      <c r="AA377">
        <f>IF(ISNUMBER(SEARCH(SUBSTITUTE(AA$1,RIGHT(AA$1,2),""),VLOOKUP($D377,素材!$1:$1016,COLUMN($F$1),FALSE))),VLOOKUP($C377,装備品!$1:$998,COLUMN($O$1),FALSE)*VLOOKUP($D377,素材!$1:$1016,COLUMN($E$1),FALSE)/(LEN(VLOOKUP($D377,素材!$1:$1016,COLUMN($F$1),FALSE))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</f>
        <v>0</v>
      </c>
      <c r="AB377">
        <f>IF(ISNUMBER(SEARCH(SUBSTITUTE(AB$1,RIGHT(AB$1,2),""),VLOOKUP($D377,素材!$1:$1016,COLUMN($F$1),FALSE))),VLOOKUP($C377,装備品!$1:$998,COLUMN($O$1),FALSE)*VLOOKUP($D377,素材!$1:$1016,COLUMN($E$1),FALSE)/(LEN(VLOOKUP($D377,素材!$1:$1016,COLUMN($F$1),FALSE))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</f>
        <v>0</v>
      </c>
      <c r="AC377">
        <f>IF(ISNUMBER(SEARCH(SUBSTITUTE(AC$1,RIGHT(AC$1,2),""),VLOOKUP($D377,素材!$1:$1016,COLUMN($F$1),FALSE))),VLOOKUP($C377,装備品!$1:$998,COLUMN($O$1),FALSE)*VLOOKUP($D377,素材!$1:$1016,COLUMN($E$1),FALSE)/(LEN(VLOOKUP($D377,素材!$1:$1016,COLUMN($F$1),FALSE))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</f>
        <v>0</v>
      </c>
      <c r="AD377">
        <f>IF(ISNUMBER(SEARCH(SUBSTITUTE(AD$1,RIGHT(AD$1,2),""),VLOOKUP($D377,素材!$1:$1016,COLUMN($F$1),FALSE))),VLOOKUP($C377,装備品!$1:$998,COLUMN($O$1),FALSE)*VLOOKUP($D377,素材!$1:$1016,COLUMN($E$1),FALSE)/(LEN(VLOOKUP($D377,素材!$1:$1016,COLUMN($F$1),FALSE))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</f>
        <v>0</v>
      </c>
      <c r="AE377">
        <f>IF(ISNUMBER(SEARCH(SUBSTITUTE(AE$1,RIGHT(AE$1,2),""),VLOOKUP($D377,素材!$1:$1016,COLUMN($F$1),FALSE))),VLOOKUP($C377,装備品!$1:$998,COLUMN($O$1),FALSE)*VLOOKUP($D377,素材!$1:$1016,COLUMN($E$1),FALSE)/(LEN(VLOOKUP($D377,素材!$1:$1016,COLUMN($F$1),FALSE))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0)+IF($CI377&lt;&gt;"",VLOOKUP($CI377,付与!$A$1:BB$1173,COLUMN(付与!BB$1),FALSE),0)</f>
        <v>0</v>
      </c>
      <c r="AF377">
        <f>IF(ISNUMBER(SEARCH(SUBSTITUTE(AF$1,RIGHT(AF$1,2),""),VLOOKUP($D377,素材!$1:$1016,COLUMN($F$1),FALSE))),VLOOKUP($C377,装備品!$1:$998,COLUMN($O$1),FALSE)*VLOOKUP($D377,素材!$1:$1016,COLUMN($E$1),FALSE)/(LEN(VLOOKUP($D377,素材!$1:$1016,COLUMN($F$1),FALSE))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0)+IF($CI377&lt;&gt;"",VLOOKUP($CI377,付与!$A$1:BC$1173,COLUMN(付与!BC$1),FALSE),0)</f>
        <v>0</v>
      </c>
      <c r="AG377">
        <f>IF(ISNUMBER(SEARCH(SUBSTITUTE(AG$1,RIGHT(AG$1,2),""),VLOOKUP($D377,素材!$1:$1016,COLUMN($F$1),FALSE))),VLOOKUP($C377,装備品!$1:$998,COLUMN($O$1),FALSE)*VLOOKUP($D377,素材!$1:$1016,COLUMN($E$1),FALSE)/(LEN(VLOOKUP($D377,素材!$1:$1016,COLUMN($F$1),FALSE))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0)+IF($CI377&lt;&gt;"",VLOOKUP($CI377,付与!$A$1:BD$1173,COLUMN(付与!BD$1),FALSE),0)</f>
        <v>0</v>
      </c>
      <c r="AH377">
        <f>IF(ISNUMBER(SEARCH(SUBSTITUTE(AH$1,RIGHT(AH$1,2),""),VLOOKUP($D377,素材!$1:$1016,COLUMN($F$1),FALSE))),VLOOKUP($C377,装備品!$1:$998,COLUMN($O$1),FALSE)*VLOOKUP($D377,素材!$1:$1016,COLUMN($E$1),FALSE)/(LEN(VLOOKUP($D377,素材!$1:$1016,COLUMN($F$1),FALSE))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0)+IF($CI377&lt;&gt;"",VLOOKUP($CI377,付与!$A$1:BE$1173,COLUMN(付与!BE$1),FALSE),0)</f>
        <v>0</v>
      </c>
      <c r="AI377">
        <f>IF(ISNUMBER(SEARCH(SUBSTITUTE(AI$1,RIGHT(AI$1,2),""),VLOOKUP($D377,素材!$1:$1016,COLUMN($F$1),FALSE))),VLOOKUP($C377,装備品!$1:$998,COLUMN($O$1),FALSE)*VLOOKUP($D377,素材!$1:$1016,COLUMN($E$1),FALSE)/(LEN(VLOOKUP($D377,素材!$1:$1016,COLUMN($F$1),FALSE))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0)+IF($CI377&lt;&gt;"",VLOOKUP($CI377,付与!$A$1:BF$1173,COLUMN(付与!BF$1),FALSE),0)</f>
        <v>0</v>
      </c>
      <c r="AJ377">
        <f>IF(ISNUMBER(SEARCH(SUBSTITUTE(AJ$1,RIGHT(AJ$1,2),""),VLOOKUP($D377,素材!$1:$1016,COLUMN($F$1),FALSE))),VLOOKUP($C377,装備品!$1:$998,COLUMN($O$1),FALSE)*VLOOKUP($D377,素材!$1:$1016,COLUMN($E$1),FALSE)/(LEN(VLOOKUP($D377,素材!$1:$1016,COLUMN($F$1),FALSE))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0)+IF($CI377&lt;&gt;"",VLOOKUP($CI377,付与!$A$1:BG$1173,COLUMN(付与!BG$1),FALSE),0)</f>
        <v>0</v>
      </c>
      <c r="AK377">
        <f>IF(ISNUMBER(SEARCH(SUBSTITUTE(AK$1,RIGHT(AK$1,2),""),VLOOKUP($D377,素材!$1:$1016,COLUMN($F$1),FALSE))),VLOOKUP($C377,装備品!$1:$998,COLUMN($O$1),FALSE)*VLOOKUP($D377,素材!$1:$1016,COLUMN($E$1),FALSE)/(LEN(VLOOKUP($D377,素材!$1:$1016,COLUMN($F$1),FALSE))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0)+IF($CI377&lt;&gt;"",VLOOKUP($CI377,付与!$A$1:BH$1173,COLUMN(付与!BH$1),FALSE),0)</f>
        <v>0</v>
      </c>
      <c r="AL377">
        <f>IF(ISNUMBER(SEARCH(SUBSTITUTE(AL$1,RIGHT(AL$1,2),""),VLOOKUP($D377,素材!$1:$1016,COLUMN($F$1),FALSE))),VLOOKUP($C377,装備品!$1:$998,COLUMN($O$1),FALSE)*VLOOKUP($D377,素材!$1:$1016,COLUMN($E$1),FALSE)/(LEN(VLOOKUP($D377,素材!$1:$1016,COLUMN($F$1),FALSE))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0)+IF($CI377&lt;&gt;"",VLOOKUP($CI377,付与!$A$1:BI$1173,COLUMN(付与!BI$1),FALSE),0)</f>
        <v>0</v>
      </c>
      <c r="AM377">
        <f>IF(ISNUMBER(SEARCH(SUBSTITUTE(AM$1,RIGHT(AM$1,2),""),VLOOKUP($D377,素材!$1:$1016,COLUMN($F$1),FALSE))),VLOOKUP($C377,装備品!$1:$998,COLUMN($O$1),FALSE)*VLOOKUP($D377,素材!$1:$1016,COLUMN($E$1),FALSE)/(LEN(VLOOKUP($D377,素材!$1:$1016,COLUMN($F$1),FALSE))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0)+IF($CI377&lt;&gt;"",VLOOKUP($CI377,付与!$A$1:BJ$1173,COLUMN(付与!BJ$1),FALSE),0)</f>
        <v>0</v>
      </c>
      <c r="AN377">
        <f>IF(ISNUMBER(SEARCH(SUBSTITUTE(AN$1,RIGHT(AN$1,2),""),VLOOKUP($D377,素材!$1:$1016,COLUMN($F$1),FALSE))),VLOOKUP($C377,装備品!$1:$998,COLUMN($O$1),FALSE)*VLOOKUP($D377,素材!$1:$1016,COLUMN($E$1),FALSE)/(LEN(VLOOKUP($D377,素材!$1:$1016,COLUMN($F$1),FALSE))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0)+IF($CI377&lt;&gt;"",VLOOKUP($CI377,付与!$A$1:BK$1173,COLUMN(付与!BK$1),FALSE),0)</f>
        <v>0</v>
      </c>
      <c r="AO377">
        <f>IF(ISNUMBER(SEARCH(SUBSTITUTE(AO$1,RIGHT(AO$1,2),""),VLOOKUP($D377,素材!$1:$1016,COLUMN($F$1),FALSE))),VLOOKUP($C377,装備品!$1:$998,COLUMN($O$1),FALSE)*VLOOKUP($D377,素材!$1:$1016,COLUMN($E$1),FALSE)/(LEN(VLOOKUP($D377,素材!$1:$1016,COLUMN($F$1),FALSE))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0)+IF($CI377&lt;&gt;"",VLOOKUP($CI377,付与!$A$1:BM$1173,COLUMN(付与!BM$1),FALSE),0)</f>
        <v>0</v>
      </c>
      <c r="AP377">
        <f>IF(ISNUMBER(SEARCH(SUBSTITUTE(AP$1,RIGHT(AP$1,2),""),VLOOKUP($D377,素材!$1:$1016,COLUMN($F$1),FALSE))),VLOOKUP($C377,装備品!$1:$998,COLUMN($O$1),FALSE)*VLOOKUP($D377,素材!$1:$1016,COLUMN($E$1),FALSE)/(LEN(VLOOKUP($D377,素材!$1:$1016,COLUMN($F$1),FALSE))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0)+IF($CI377&lt;&gt;"",VLOOKUP($CI377,付与!$A$1:BN$1173,COLUMN(付与!BN$1),FALSE),0)</f>
        <v>0</v>
      </c>
      <c r="AQ377">
        <f>IF(ISNUMBER(SEARCH(SUBSTITUTE(AQ$1,RIGHT(AQ$1,2),""),VLOOKUP($D377,素材!$1:$1016,COLUMN($F$1),FALSE))),VLOOKUP($C377,装備品!$1:$998,COLUMN($O$1),FALSE)*VLOOKUP($D377,素材!$1:$1016,COLUMN($E$1),FALSE)/(LEN(VLOOKUP($D377,素材!$1:$1016,COLUMN($F$1),FALSE))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0)+IF($CI377&lt;&gt;"",VLOOKUP($CI377,付与!$A$1:BP$1173,COLUMN(付与!BP$1),FALSE),0)</f>
        <v>0</v>
      </c>
      <c r="AR377">
        <f>IF(ISNUMBER(SEARCH(SUBSTITUTE(AR$1,RIGHT(AR$1,2),""),VLOOKUP($D377,素材!$1:$1016,COLUMN($F$1),FALSE))),VLOOKUP($C377,装備品!$1:$998,COLUMN($O$1),FALSE)*VLOOKUP($D377,素材!$1:$1016,COLUMN($E$1),FALSE)/(LEN(VLOOKUP($D377,素材!$1:$1016,COLUMN($F$1),FALSE))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0)+IF($CI377&lt;&gt;"",VLOOKUP($CI377,付与!$A$1:BQ$1173,COLUMN(付与!BQ$1),FALSE),0)</f>
        <v>0</v>
      </c>
      <c r="AS377">
        <f>IF(ISNUMBER(SEARCH(SUBSTITUTE(AS$1,RIGHT(AS$1,2),""),VLOOKUP($D377,素材!$1:$1016,COLUMN($F$1),FALSE))),VLOOKUP($C377,装備品!$1:$998,COLUMN($O$1),FALSE)*VLOOKUP($D377,素材!$1:$1016,COLUMN($E$1),FALSE)/(LEN(VLOOKUP($D377,素材!$1:$1016,COLUMN($F$1),FALSE))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0)+IF($CI377&lt;&gt;"",VLOOKUP($CI377,付与!$A$1:BR$1173,COLUMN(付与!BR$1),FALSE),0)</f>
        <v>0</v>
      </c>
      <c r="AT377">
        <f>IF(ISNUMBER(SEARCH(SUBSTITUTE(AT$1,RIGHT(AT$1,2),""),VLOOKUP($D377,素材!$1:$1016,COLUMN($F$1),FALSE))),VLOOKUP($C377,装備品!$1:$998,COLUMN($O$1),FALSE)*VLOOKUP($D377,素材!$1:$1016,COLUMN($E$1),FALSE)/(LEN(VLOOKUP($D377,素材!$1:$1016,COLUMN($F$1),FALSE))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0)+IF($CI377&lt;&gt;"",VLOOKUP($CI377,付与!$A$1:BV$1173,COLUMN(付与!BV$1),FALSE),0)</f>
        <v>0</v>
      </c>
      <c r="AU377">
        <f>IF(ISNUMBER(SEARCH(SUBSTITUTE(AU$1,RIGHT(AU$1,2),""),VLOOKUP($D377,素材!$1:$1016,COLUMN($F$1),FALSE))),VLOOKUP($C377,装備品!$1:$998,COLUMN($O$1),FALSE)*VLOOKUP($D377,素材!$1:$1016,COLUMN($E$1),FALSE)/(LEN(VLOOKUP($D377,素材!$1:$1016,COLUMN($F$1),FALSE))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0)+IF($CI377&lt;&gt;"",VLOOKUP($CI377,付与!$A$1:BW$1173,COLUMN(付与!BW$1),FALSE),0)</f>
        <v>0</v>
      </c>
      <c r="AV377">
        <f>IF(ISNUMBER(SEARCH(SUBSTITUTE(AV$1,RIGHT(AV$1,2),""),VLOOKUP($D377,素材!$1:$1016,COLUMN($F$1),FALSE))),VLOOKUP($C377,装備品!$1:$998,COLUMN($O$1),FALSE)*VLOOKUP($D377,素材!$1:$1016,COLUMN($E$1),FALSE)/(LEN(VLOOKUP($D377,素材!$1:$1016,COLUMN($F$1),FALSE))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0)+IF($CI377&lt;&gt;"",VLOOKUP($CI377,付与!$A$1:BS$1173,COLUMN(付与!BS$1),FALSE),0)</f>
        <v>0</v>
      </c>
      <c r="AW377">
        <f>IF(ISNUMBER(SEARCH(SUBSTITUTE(AW$1,RIGHT(AW$1,2),""),VLOOKUP($D377,素材!$1:$1016,COLUMN($F$1),FALSE))),VLOOKUP($C377,装備品!$1:$998,COLUMN($O$1),FALSE)*VLOOKUP($D377,素材!$1:$1016,COLUMN($E$1),FALSE)/(LEN(VLOOKUP($D377,素材!$1:$1016,COLUMN($F$1),FALSE))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0)+IF($CI377&lt;&gt;"",VLOOKUP($CI377,付与!$A$1:BT$1173,COLUMN(付与!BT$1),FALSE),0)</f>
        <v>0</v>
      </c>
      <c r="AX377">
        <f>IF(ISNUMBER(SEARCH(SUBSTITUTE(AX$1,RIGHT(AX$1,2),""),VLOOKUP($D377,素材!$1:$1016,COLUMN($F$1),FALSE))),VLOOKUP($C377,装備品!$1:$998,COLUMN($O$1),FALSE)*VLOOKUP($D377,素材!$1:$1016,COLUMN($E$1),FALSE)/(LEN(VLOOKUP($D377,素材!$1:$1016,COLUMN($F$1),FALSE))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0)+IF($CI377&lt;&gt;"",VLOOKUP($CI377,付与!$A$1:BU$1173,COLUMN(付与!BU$1),FALSE),0)</f>
        <v>0</v>
      </c>
      <c r="AY377">
        <f>IF(ISNUMBER(SEARCH(SUBSTITUTE(AY$1,RIGHT(AY$1,2),""),VLOOKUP($D377,素材!$1:$1016,COLUMN($F$1),FALSE))),VLOOKUP($C377,装備品!$1:$998,COLUMN($O$1),FALSE)*VLOOKUP($D377,素材!$1:$1016,COLUMN($E$1),FALSE)/(LEN(VLOOKUP($D377,素材!$1:$1016,COLUMN($F$1),FALSE))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0)+IF($CI377&lt;&gt;"",VLOOKUP($CI377,付与!$A$1:BU$1173,COLUMN(付与!BO$1),FALSE),0)</f>
        <v>0</v>
      </c>
      <c r="AZ377">
        <f>IF(ISNUMBER(SEARCH(SUBSTITUTE(AZ$1,RIGHT(AZ$1,2),""),VLOOKUP($D377,素材!$1:$1016,COLUMN($F$1),FALSE))),VLOOKUP($C377,装備品!$1:$998,COLUMN($O$1),FALSE)*VLOOKUP($D377,素材!$1:$1016,COLUMN($E$1),FALSE)/(LEN(VLOOKUP($D377,素材!$1:$1016,COLUMN($F$1),FALSE))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0)+IF($CI377&lt;&gt;"",VLOOKUP($CI377,付与!$A$1:BX$1173,COLUMN(付与!BX$1),FALSE),0)</f>
        <v>0</v>
      </c>
      <c r="BA377">
        <f>IF(ISNUMBER(SEARCH(SUBSTITUTE(BA$1,RIGHT(BA$1,2),""),VLOOKUP($D377,素材!$1:$1016,COLUMN($F$1),FALSE))),VLOOKUP($C377,装備品!$1:$998,COLUMN($O$1),FALSE)*VLOOKUP($D377,素材!$1:$1016,COLUMN($E$1),FALSE)/(LEN(VLOOKUP($D377,素材!$1:$1016,COLUMN($F$1),FALSE))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0)+IF($CI377&lt;&gt;"",VLOOKUP($CI377,付与!$A$1:BY$1173,COLUMN(付与!BY$1),FALSE),0)</f>
        <v>0</v>
      </c>
      <c r="BB377">
        <f>IF(ISNUMBER(SEARCH(SUBSTITUTE(BB$1,RIGHT(BB$1,2),""),VLOOKUP($D377,素材!$1:$1016,COLUMN($F$1),FALSE))),VLOOKUP($C377,装備品!$1:$998,COLUMN($O$1),FALSE)*VLOOKUP($D377,素材!$1:$1016,COLUMN($E$1),FALSE)/(LEN(VLOOKUP($D377,素材!$1:$1016,COLUMN($F$1),FALSE))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0)+IF($CI377&lt;&gt;"",VLOOKUP($CI377,付与!$A$1:BZ$1173,COLUMN(付与!BZ$1),FALSE),0)</f>
        <v>0</v>
      </c>
      <c r="BC377">
        <f>IF(ISNUMBER(SEARCH(SUBSTITUTE(BC$1,RIGHT(BC$1,2),""),VLOOKUP($D377,素材!$1:$1016,COLUMN($F$1),FALSE))),VLOOKUP($C377,装備品!$1:$998,COLUMN($O$1),FALSE)*VLOOKUP($D377,素材!$1:$1016,COLUMN($E$1),FALSE)/(LEN(VLOOKUP($D377,素材!$1:$1016,COLUMN($F$1),FALSE))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0)+IF($CI377&lt;&gt;"",VLOOKUP($CI377,付与!$A$1:CA$1173,COLUMN(付与!CA$1),FALSE),0)</f>
        <v>0</v>
      </c>
      <c r="BD377">
        <f>IF(ISNUMBER(SEARCH(SUBSTITUTE(BD$1,RIGHT(BD$1,2),""),VLOOKUP($D377,素材!$1:$1016,COLUMN($F$1),FALSE))),VLOOKUP($C377,装備品!$1:$998,COLUMN($O$1),FALSE)*VLOOKUP($D377,素材!$1:$1016,COLUMN($E$1),FALSE)/(LEN(VLOOKUP($D377,素材!$1:$1016,COLUMN($F$1),FALSE))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0)+IF($CI377&lt;&gt;"",VLOOKUP($CI377,付与!$A$1:CB$1173,COLUMN(付与!CB$1),FALSE),0)</f>
        <v>0</v>
      </c>
      <c r="BE377">
        <f>IF(ISNUMBER(SEARCH(SUBSTITUTE(BE$1,RIGHT(BE$1,2),""),VLOOKUP($D377,素材!$1:$1016,COLUMN($F$1),FALSE))),VLOOKUP($C377,装備品!$1:$998,COLUMN($O$1),FALSE)*VLOOKUP($D377,素材!$1:$1016,COLUMN($E$1),FALSE)/(LEN(VLOOKUP($D377,素材!$1:$1016,COLUMN($F$1),FALSE))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0)+IF($CI377&lt;&gt;"",VLOOKUP($CI377,付与!$A$1:CC$1173,COLUMN(付与!CC$1),FALSE),0)</f>
        <v>0</v>
      </c>
      <c r="CL377">
        <f t="shared" si="47"/>
        <v>0</v>
      </c>
      <c r="CM377" s="22" t="str">
        <f t="shared" si="48"/>
        <v>.webp</v>
      </c>
      <c r="CN377" t="str">
        <f>IFERROR(VLOOKUP($C377,装備品!$1:$998,COLUMN(V$1),FALSE)*VLOOKUP($D377,素材!$1:$1016,COLUMN(N$1),FALSE)+IF(CI377="",0,VLOOKUP($CI377,付与!$1:$1176,COLUMN($CK$1),FALSE)),"")</f>
        <v/>
      </c>
      <c r="CO377" t="e">
        <f>VLOOKUP(D377,素材!$A:$O,COLUMN(素材!O$1),FALSE)</f>
        <v>#N/A</v>
      </c>
      <c r="CP377" t="e">
        <f>VLOOKUP(C377,装備品!$A:$AB,COLUMN(装備品!AB$1),FALSE)</f>
        <v>#N/A</v>
      </c>
      <c r="CR377" t="str">
        <f t="shared" si="54"/>
        <v>e_377</v>
      </c>
      <c r="CS377" t="e">
        <f t="shared" si="56"/>
        <v>#VALUE!</v>
      </c>
    </row>
    <row r="378" spans="1:97" x14ac:dyDescent="0.4">
      <c r="B378" t="str">
        <f>IFERROR(VLOOKUP($D378,素材!$1:$1016,COLUMN($B$1),FALSE)&amp;"・"&amp;VLOOKUP($C378,装備品!$1:$998,COLUMN(B$1),FALSE),"")</f>
        <v/>
      </c>
      <c r="D378" s="24"/>
      <c r="E378" t="str">
        <f>IFERROR(VLOOKUP(C378,装備品!$1:$998,COLUMN(C$1),FALSE),"")</f>
        <v/>
      </c>
      <c r="F378" t="str">
        <f>IFERROR(ROUNDDOWN((VLOOKUP($C378,装備品!$1:$998,COLUMN(D$1),FALSE)+IFERROR(VLOOKUP($CI378,付与!$1:$1167,COLUMN(F$1),FALSE),0))*VLOOKUP($D378,素材!$1:$1016,COLUMN(D$1),FALSE),0),"")</f>
        <v/>
      </c>
      <c r="G378" t="str">
        <f>IFERROR(ROUNDDOWN((VLOOKUP($C378,装備品!$1:$998,COLUMN(E$1),FALSE)+IFERROR(VLOOKUP($CI378,付与!$1:$1167,COLUMN(G$1),FALSE),0))*VLOOKUP($D378,素材!$1:$1016,COLUMN($E$1),FALSE),0),"")</f>
        <v/>
      </c>
      <c r="H378" t="str">
        <f>IFERROR(ROUNDDOWN((VLOOKUP($C378,装備品!$1:$998,COLUMN(F$1),FALSE)+IFERROR(VLOOKUP($CI378,付与!$1:$1167,COLUMN(H$1),FALSE),0))*VLOOKUP($D378,素材!$1:$1016,COLUMN($E$1),FALSE),0),"")</f>
        <v/>
      </c>
      <c r="I378" t="str">
        <f>IFERROR(ROUNDDOWN((VLOOKUP($C378,装備品!$1:$998,COLUMN(G$1),FALSE)+IFERROR(VLOOKUP($CI378,付与!$1:$1167,COLUMN(I$1),FALSE),0))*VLOOKUP($D378,素材!$1:$1016,COLUMN($E$1),FALSE),0),"")</f>
        <v/>
      </c>
      <c r="J378" t="str">
        <f>IFERROR(ROUNDDOWN((VLOOKUP($C378,装備品!$1:$998,COLUMN(H$1),FALSE)+IFERROR(VLOOKUP($CI378,付与!$1:$1167,COLUMN(J$1),FALSE),0))*VLOOKUP($D378,素材!$1:$1016,COLUMN($E$1),FALSE),0),"")</f>
        <v/>
      </c>
      <c r="K378" t="str">
        <f>IFERROR(ROUNDDOWN((VLOOKUP($C378,装備品!$1:$998,COLUMN(I$1),FALSE)+IFERROR(VLOOKUP($CI378,付与!$1:$1167,COLUMN(K$1),FALSE),0))*VLOOKUP($D378,素材!$1:$1016,COLUMN($E$1),FALSE),0),"")</f>
        <v/>
      </c>
      <c r="L378" t="str">
        <f>IFERROR(VLOOKUP($D378,素材!$1:$1016,COLUMN($F$1),FALSE),"")</f>
        <v/>
      </c>
      <c r="M378" t="str">
        <f>IFERROR(VLOOKUP($C378,装備品!$1:$998,COLUMN(AA$1),FALSE)*VLOOKUP($D378,素材!$1:$1016,COLUMN($G$1),FALSE),"")</f>
        <v/>
      </c>
      <c r="N378" t="str">
        <f>IFERROR(VLOOKUP($C378,装備品!$1:$998,COLUMN(I$1),FALSE),"")</f>
        <v/>
      </c>
      <c r="O378" s="23" t="str">
        <f>IFERROR((VLOOKUP($C378,装備品!$1:$998,COLUMN(K$1),FALSE)+VLOOKUP($D378,素材!$1:$1016,COLUMN(H$1),FALSE))*100+IFERROR(VLOOKUP($CI378,付与!$1:$1167,COLUMN(O$1),FALSE),0),"")</f>
        <v/>
      </c>
      <c r="P378" s="23" t="str">
        <f>IFERROR((VLOOKUP($C378,装備品!$1:$998,COLUMN(L$1),FALSE)+VLOOKUP($D378,素材!$1:$1016,COLUMN(I$1),FALSE))*100+IFERROR(VLOOKUP($CI378,付与!$1:$1167,COLUMN(P$1),FALSE),0),"")</f>
        <v/>
      </c>
      <c r="Q378" t="str">
        <f>IFERROR(ROUNDUP(VLOOKUP($C378,装備品!$1:$998,COLUMN(M$1),FALSE)*(VLOOKUP($D378,素材!$1:$1002,COLUMN(D$1),FALSE)/100),1),"")</f>
        <v/>
      </c>
      <c r="R378" t="str">
        <f>IFERROR(ROUNDUP(VLOOKUP($C378,装備品!$1:$998,COLUMN(N$1),FALSE)*(VLOOKUP($D378,素材!$1:$1002,COLUMN(D$1),FALSE)/100),1),"")</f>
        <v/>
      </c>
      <c r="S378" t="str">
        <f>IFERROR(VLOOKUP($C378,装備品!$1:$998,COLUMN(P$1),FALSE),"")</f>
        <v/>
      </c>
      <c r="T378" t="str">
        <f>IFERROR(VLOOKUP($C378,装備品!$1:$998,COLUMN(Q$1),FALSE),"")</f>
        <v/>
      </c>
      <c r="U378" t="str">
        <f>IFERROR(VLOOKUP($C378,装備品!$1:$998,COLUMN(R$1),FALSE),"")</f>
        <v/>
      </c>
      <c r="V378" t="str">
        <f>IFERROR(VLOOKUP($C378,装備品!$1:$998,COLUMN(Q$1),FALSE),"")</f>
        <v/>
      </c>
      <c r="W378" t="str">
        <f>IFERROR(VLOOKUP($C378,装備品!$1:$998,COLUMN(T$1),FALSE),"")</f>
        <v/>
      </c>
      <c r="Y378" t="str">
        <f>IFERROR(VLOOKUP($C378,装備品!$1:$998,COLUMN(U$1),FALSE),"")</f>
        <v/>
      </c>
      <c r="Z378" t="str">
        <f>IFERROR(ROUNDUP(VLOOKUP($C378,装備品!$1:$998,COLUMN(O$1),FALSE)*VLOOKUP($D378,素材!$1:$1016,COLUMN(E$1),FALSE),1),"")</f>
        <v/>
      </c>
      <c r="AA378">
        <f>IF(ISNUMBER(SEARCH(SUBSTITUTE(AA$1,RIGHT(AA$1,2),""),VLOOKUP($D378,素材!$1:$1016,COLUMN($F$1),FALSE))),VLOOKUP($C378,装備品!$1:$998,COLUMN($O$1),FALSE)*VLOOKUP($D378,素材!$1:$1016,COLUMN($E$1),FALSE)/(LEN(VLOOKUP($D378,素材!$1:$1016,COLUMN($F$1),FALSE))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</f>
        <v>0</v>
      </c>
      <c r="AB378">
        <f>IF(ISNUMBER(SEARCH(SUBSTITUTE(AB$1,RIGHT(AB$1,2),""),VLOOKUP($D378,素材!$1:$1016,COLUMN($F$1),FALSE))),VLOOKUP($C378,装備品!$1:$998,COLUMN($O$1),FALSE)*VLOOKUP($D378,素材!$1:$1016,COLUMN($E$1),FALSE)/(LEN(VLOOKUP($D378,素材!$1:$1016,COLUMN($F$1),FALSE))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</f>
        <v>0</v>
      </c>
      <c r="AC378">
        <f>IF(ISNUMBER(SEARCH(SUBSTITUTE(AC$1,RIGHT(AC$1,2),""),VLOOKUP($D378,素材!$1:$1016,COLUMN($F$1),FALSE))),VLOOKUP($C378,装備品!$1:$998,COLUMN($O$1),FALSE)*VLOOKUP($D378,素材!$1:$1016,COLUMN($E$1),FALSE)/(LEN(VLOOKUP($D378,素材!$1:$1016,COLUMN($F$1),FALSE))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</f>
        <v>0</v>
      </c>
      <c r="AD378">
        <f>IF(ISNUMBER(SEARCH(SUBSTITUTE(AD$1,RIGHT(AD$1,2),""),VLOOKUP($D378,素材!$1:$1016,COLUMN($F$1),FALSE))),VLOOKUP($C378,装備品!$1:$998,COLUMN($O$1),FALSE)*VLOOKUP($D378,素材!$1:$1016,COLUMN($E$1),FALSE)/(LEN(VLOOKUP($D378,素材!$1:$1016,COLUMN($F$1),FALSE))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</f>
        <v>0</v>
      </c>
      <c r="AE378">
        <f>IF(ISNUMBER(SEARCH(SUBSTITUTE(AE$1,RIGHT(AE$1,2),""),VLOOKUP($D378,素材!$1:$1016,COLUMN($F$1),FALSE))),VLOOKUP($C378,装備品!$1:$998,COLUMN($O$1),FALSE)*VLOOKUP($D378,素材!$1:$1016,COLUMN($E$1),FALSE)/(LEN(VLOOKUP($D378,素材!$1:$1016,COLUMN($F$1),FALSE))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0)+IF($CI378&lt;&gt;"",VLOOKUP($CI378,付与!$A$1:BB$1173,COLUMN(付与!BB$1),FALSE),0)</f>
        <v>0</v>
      </c>
      <c r="AF378">
        <f>IF(ISNUMBER(SEARCH(SUBSTITUTE(AF$1,RIGHT(AF$1,2),""),VLOOKUP($D378,素材!$1:$1016,COLUMN($F$1),FALSE))),VLOOKUP($C378,装備品!$1:$998,COLUMN($O$1),FALSE)*VLOOKUP($D378,素材!$1:$1016,COLUMN($E$1),FALSE)/(LEN(VLOOKUP($D378,素材!$1:$1016,COLUMN($F$1),FALSE))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0)+IF($CI378&lt;&gt;"",VLOOKUP($CI378,付与!$A$1:BC$1173,COLUMN(付与!BC$1),FALSE),0)</f>
        <v>0</v>
      </c>
      <c r="AG378">
        <f>IF(ISNUMBER(SEARCH(SUBSTITUTE(AG$1,RIGHT(AG$1,2),""),VLOOKUP($D378,素材!$1:$1016,COLUMN($F$1),FALSE))),VLOOKUP($C378,装備品!$1:$998,COLUMN($O$1),FALSE)*VLOOKUP($D378,素材!$1:$1016,COLUMN($E$1),FALSE)/(LEN(VLOOKUP($D378,素材!$1:$1016,COLUMN($F$1),FALSE))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0)+IF($CI378&lt;&gt;"",VLOOKUP($CI378,付与!$A$1:BD$1173,COLUMN(付与!BD$1),FALSE),0)</f>
        <v>0</v>
      </c>
      <c r="AH378">
        <f>IF(ISNUMBER(SEARCH(SUBSTITUTE(AH$1,RIGHT(AH$1,2),""),VLOOKUP($D378,素材!$1:$1016,COLUMN($F$1),FALSE))),VLOOKUP($C378,装備品!$1:$998,COLUMN($O$1),FALSE)*VLOOKUP($D378,素材!$1:$1016,COLUMN($E$1),FALSE)/(LEN(VLOOKUP($D378,素材!$1:$1016,COLUMN($F$1),FALSE))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0)+IF($CI378&lt;&gt;"",VLOOKUP($CI378,付与!$A$1:BE$1173,COLUMN(付与!BE$1),FALSE),0)</f>
        <v>0</v>
      </c>
      <c r="AI378">
        <f>IF(ISNUMBER(SEARCH(SUBSTITUTE(AI$1,RIGHT(AI$1,2),""),VLOOKUP($D378,素材!$1:$1016,COLUMN($F$1),FALSE))),VLOOKUP($C378,装備品!$1:$998,COLUMN($O$1),FALSE)*VLOOKUP($D378,素材!$1:$1016,COLUMN($E$1),FALSE)/(LEN(VLOOKUP($D378,素材!$1:$1016,COLUMN($F$1),FALSE))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0)+IF($CI378&lt;&gt;"",VLOOKUP($CI378,付与!$A$1:BF$1173,COLUMN(付与!BF$1),FALSE),0)</f>
        <v>0</v>
      </c>
      <c r="AJ378">
        <f>IF(ISNUMBER(SEARCH(SUBSTITUTE(AJ$1,RIGHT(AJ$1,2),""),VLOOKUP($D378,素材!$1:$1016,COLUMN($F$1),FALSE))),VLOOKUP($C378,装備品!$1:$998,COLUMN($O$1),FALSE)*VLOOKUP($D378,素材!$1:$1016,COLUMN($E$1),FALSE)/(LEN(VLOOKUP($D378,素材!$1:$1016,COLUMN($F$1),FALSE))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0)+IF($CI378&lt;&gt;"",VLOOKUP($CI378,付与!$A$1:BG$1173,COLUMN(付与!BG$1),FALSE),0)</f>
        <v>0</v>
      </c>
      <c r="AK378">
        <f>IF(ISNUMBER(SEARCH(SUBSTITUTE(AK$1,RIGHT(AK$1,2),""),VLOOKUP($D378,素材!$1:$1016,COLUMN($F$1),FALSE))),VLOOKUP($C378,装備品!$1:$998,COLUMN($O$1),FALSE)*VLOOKUP($D378,素材!$1:$1016,COLUMN($E$1),FALSE)/(LEN(VLOOKUP($D378,素材!$1:$1016,COLUMN($F$1),FALSE))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0)+IF($CI378&lt;&gt;"",VLOOKUP($CI378,付与!$A$1:BH$1173,COLUMN(付与!BH$1),FALSE),0)</f>
        <v>0</v>
      </c>
      <c r="AL378">
        <f>IF(ISNUMBER(SEARCH(SUBSTITUTE(AL$1,RIGHT(AL$1,2),""),VLOOKUP($D378,素材!$1:$1016,COLUMN($F$1),FALSE))),VLOOKUP($C378,装備品!$1:$998,COLUMN($O$1),FALSE)*VLOOKUP($D378,素材!$1:$1016,COLUMN($E$1),FALSE)/(LEN(VLOOKUP($D378,素材!$1:$1016,COLUMN($F$1),FALSE))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0)+IF($CI378&lt;&gt;"",VLOOKUP($CI378,付与!$A$1:BI$1173,COLUMN(付与!BI$1),FALSE),0)</f>
        <v>0</v>
      </c>
      <c r="AM378">
        <f>IF(ISNUMBER(SEARCH(SUBSTITUTE(AM$1,RIGHT(AM$1,2),""),VLOOKUP($D378,素材!$1:$1016,COLUMN($F$1),FALSE))),VLOOKUP($C378,装備品!$1:$998,COLUMN($O$1),FALSE)*VLOOKUP($D378,素材!$1:$1016,COLUMN($E$1),FALSE)/(LEN(VLOOKUP($D378,素材!$1:$1016,COLUMN($F$1),FALSE))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0)+IF($CI378&lt;&gt;"",VLOOKUP($CI378,付与!$A$1:BJ$1173,COLUMN(付与!BJ$1),FALSE),0)</f>
        <v>0</v>
      </c>
      <c r="AN378">
        <f>IF(ISNUMBER(SEARCH(SUBSTITUTE(AN$1,RIGHT(AN$1,2),""),VLOOKUP($D378,素材!$1:$1016,COLUMN($F$1),FALSE))),VLOOKUP($C378,装備品!$1:$998,COLUMN($O$1),FALSE)*VLOOKUP($D378,素材!$1:$1016,COLUMN($E$1),FALSE)/(LEN(VLOOKUP($D378,素材!$1:$1016,COLUMN($F$1),FALSE))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0)+IF($CI378&lt;&gt;"",VLOOKUP($CI378,付与!$A$1:BK$1173,COLUMN(付与!BK$1),FALSE),0)</f>
        <v>0</v>
      </c>
      <c r="AO378">
        <f>IF(ISNUMBER(SEARCH(SUBSTITUTE(AO$1,RIGHT(AO$1,2),""),VLOOKUP($D378,素材!$1:$1016,COLUMN($F$1),FALSE))),VLOOKUP($C378,装備品!$1:$998,COLUMN($O$1),FALSE)*VLOOKUP($D378,素材!$1:$1016,COLUMN($E$1),FALSE)/(LEN(VLOOKUP($D378,素材!$1:$1016,COLUMN($F$1),FALSE))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0)+IF($CI378&lt;&gt;"",VLOOKUP($CI378,付与!$A$1:BM$1173,COLUMN(付与!BM$1),FALSE),0)</f>
        <v>0</v>
      </c>
      <c r="AP378">
        <f>IF(ISNUMBER(SEARCH(SUBSTITUTE(AP$1,RIGHT(AP$1,2),""),VLOOKUP($D378,素材!$1:$1016,COLUMN($F$1),FALSE))),VLOOKUP($C378,装備品!$1:$998,COLUMN($O$1),FALSE)*VLOOKUP($D378,素材!$1:$1016,COLUMN($E$1),FALSE)/(LEN(VLOOKUP($D378,素材!$1:$1016,COLUMN($F$1),FALSE))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0)+IF($CI378&lt;&gt;"",VLOOKUP($CI378,付与!$A$1:BN$1173,COLUMN(付与!BN$1),FALSE),0)</f>
        <v>0</v>
      </c>
      <c r="AQ378">
        <f>IF(ISNUMBER(SEARCH(SUBSTITUTE(AQ$1,RIGHT(AQ$1,2),""),VLOOKUP($D378,素材!$1:$1016,COLUMN($F$1),FALSE))),VLOOKUP($C378,装備品!$1:$998,COLUMN($O$1),FALSE)*VLOOKUP($D378,素材!$1:$1016,COLUMN($E$1),FALSE)/(LEN(VLOOKUP($D378,素材!$1:$1016,COLUMN($F$1),FALSE))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0)+IF($CI378&lt;&gt;"",VLOOKUP($CI378,付与!$A$1:BP$1173,COLUMN(付与!BP$1),FALSE),0)</f>
        <v>0</v>
      </c>
      <c r="AR378">
        <f>IF(ISNUMBER(SEARCH(SUBSTITUTE(AR$1,RIGHT(AR$1,2),""),VLOOKUP($D378,素材!$1:$1016,COLUMN($F$1),FALSE))),VLOOKUP($C378,装備品!$1:$998,COLUMN($O$1),FALSE)*VLOOKUP($D378,素材!$1:$1016,COLUMN($E$1),FALSE)/(LEN(VLOOKUP($D378,素材!$1:$1016,COLUMN($F$1),FALSE))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0)+IF($CI378&lt;&gt;"",VLOOKUP($CI378,付与!$A$1:BQ$1173,COLUMN(付与!BQ$1),FALSE),0)</f>
        <v>0</v>
      </c>
      <c r="AS378">
        <f>IF(ISNUMBER(SEARCH(SUBSTITUTE(AS$1,RIGHT(AS$1,2),""),VLOOKUP($D378,素材!$1:$1016,COLUMN($F$1),FALSE))),VLOOKUP($C378,装備品!$1:$998,COLUMN($O$1),FALSE)*VLOOKUP($D378,素材!$1:$1016,COLUMN($E$1),FALSE)/(LEN(VLOOKUP($D378,素材!$1:$1016,COLUMN($F$1),FALSE))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0)+IF($CI378&lt;&gt;"",VLOOKUP($CI378,付与!$A$1:BR$1173,COLUMN(付与!BR$1),FALSE),0)</f>
        <v>0</v>
      </c>
      <c r="AT378">
        <f>IF(ISNUMBER(SEARCH(SUBSTITUTE(AT$1,RIGHT(AT$1,2),""),VLOOKUP($D378,素材!$1:$1016,COLUMN($F$1),FALSE))),VLOOKUP($C378,装備品!$1:$998,COLUMN($O$1),FALSE)*VLOOKUP($D378,素材!$1:$1016,COLUMN($E$1),FALSE)/(LEN(VLOOKUP($D378,素材!$1:$1016,COLUMN($F$1),FALSE))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0)+IF($CI378&lt;&gt;"",VLOOKUP($CI378,付与!$A$1:BV$1173,COLUMN(付与!BV$1),FALSE),0)</f>
        <v>0</v>
      </c>
      <c r="AU378">
        <f>IF(ISNUMBER(SEARCH(SUBSTITUTE(AU$1,RIGHT(AU$1,2),""),VLOOKUP($D378,素材!$1:$1016,COLUMN($F$1),FALSE))),VLOOKUP($C378,装備品!$1:$998,COLUMN($O$1),FALSE)*VLOOKUP($D378,素材!$1:$1016,COLUMN($E$1),FALSE)/(LEN(VLOOKUP($D378,素材!$1:$1016,COLUMN($F$1),FALSE))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0)+IF($CI378&lt;&gt;"",VLOOKUP($CI378,付与!$A$1:BW$1173,COLUMN(付与!BW$1),FALSE),0)</f>
        <v>0</v>
      </c>
      <c r="AV378">
        <f>IF(ISNUMBER(SEARCH(SUBSTITUTE(AV$1,RIGHT(AV$1,2),""),VLOOKUP($D378,素材!$1:$1016,COLUMN($F$1),FALSE))),VLOOKUP($C378,装備品!$1:$998,COLUMN($O$1),FALSE)*VLOOKUP($D378,素材!$1:$1016,COLUMN($E$1),FALSE)/(LEN(VLOOKUP($D378,素材!$1:$1016,COLUMN($F$1),FALSE))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0)+IF($CI378&lt;&gt;"",VLOOKUP($CI378,付与!$A$1:BS$1173,COLUMN(付与!BS$1),FALSE),0)</f>
        <v>0</v>
      </c>
      <c r="AW378">
        <f>IF(ISNUMBER(SEARCH(SUBSTITUTE(AW$1,RIGHT(AW$1,2),""),VLOOKUP($D378,素材!$1:$1016,COLUMN($F$1),FALSE))),VLOOKUP($C378,装備品!$1:$998,COLUMN($O$1),FALSE)*VLOOKUP($D378,素材!$1:$1016,COLUMN($E$1),FALSE)/(LEN(VLOOKUP($D378,素材!$1:$1016,COLUMN($F$1),FALSE))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0)+IF($CI378&lt;&gt;"",VLOOKUP($CI378,付与!$A$1:BT$1173,COLUMN(付与!BT$1),FALSE),0)</f>
        <v>0</v>
      </c>
      <c r="AX378">
        <f>IF(ISNUMBER(SEARCH(SUBSTITUTE(AX$1,RIGHT(AX$1,2),""),VLOOKUP($D378,素材!$1:$1016,COLUMN($F$1),FALSE))),VLOOKUP($C378,装備品!$1:$998,COLUMN($O$1),FALSE)*VLOOKUP($D378,素材!$1:$1016,COLUMN($E$1),FALSE)/(LEN(VLOOKUP($D378,素材!$1:$1016,COLUMN($F$1),FALSE))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0)+IF($CI378&lt;&gt;"",VLOOKUP($CI378,付与!$A$1:BU$1173,COLUMN(付与!BU$1),FALSE),0)</f>
        <v>0</v>
      </c>
      <c r="AY378">
        <f>IF(ISNUMBER(SEARCH(SUBSTITUTE(AY$1,RIGHT(AY$1,2),""),VLOOKUP($D378,素材!$1:$1016,COLUMN($F$1),FALSE))),VLOOKUP($C378,装備品!$1:$998,COLUMN($O$1),FALSE)*VLOOKUP($D378,素材!$1:$1016,COLUMN($E$1),FALSE)/(LEN(VLOOKUP($D378,素材!$1:$1016,COLUMN($F$1),FALSE))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0)+IF($CI378&lt;&gt;"",VLOOKUP($CI378,付与!$A$1:BU$1173,COLUMN(付与!BO$1),FALSE),0)</f>
        <v>0</v>
      </c>
      <c r="AZ378">
        <f>IF(ISNUMBER(SEARCH(SUBSTITUTE(AZ$1,RIGHT(AZ$1,2),""),VLOOKUP($D378,素材!$1:$1016,COLUMN($F$1),FALSE))),VLOOKUP($C378,装備品!$1:$998,COLUMN($O$1),FALSE)*VLOOKUP($D378,素材!$1:$1016,COLUMN($E$1),FALSE)/(LEN(VLOOKUP($D378,素材!$1:$1016,COLUMN($F$1),FALSE))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0)+IF($CI378&lt;&gt;"",VLOOKUP($CI378,付与!$A$1:BX$1173,COLUMN(付与!BX$1),FALSE),0)</f>
        <v>0</v>
      </c>
      <c r="BA378">
        <f>IF(ISNUMBER(SEARCH(SUBSTITUTE(BA$1,RIGHT(BA$1,2),""),VLOOKUP($D378,素材!$1:$1016,COLUMN($F$1),FALSE))),VLOOKUP($C378,装備品!$1:$998,COLUMN($O$1),FALSE)*VLOOKUP($D378,素材!$1:$1016,COLUMN($E$1),FALSE)/(LEN(VLOOKUP($D378,素材!$1:$1016,COLUMN($F$1),FALSE))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0)+IF($CI378&lt;&gt;"",VLOOKUP($CI378,付与!$A$1:BY$1173,COLUMN(付与!BY$1),FALSE),0)</f>
        <v>0</v>
      </c>
      <c r="BB378">
        <f>IF(ISNUMBER(SEARCH(SUBSTITUTE(BB$1,RIGHT(BB$1,2),""),VLOOKUP($D378,素材!$1:$1016,COLUMN($F$1),FALSE))),VLOOKUP($C378,装備品!$1:$998,COLUMN($O$1),FALSE)*VLOOKUP($D378,素材!$1:$1016,COLUMN($E$1),FALSE)/(LEN(VLOOKUP($D378,素材!$1:$1016,COLUMN($F$1),FALSE))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0)+IF($CI378&lt;&gt;"",VLOOKUP($CI378,付与!$A$1:BZ$1173,COLUMN(付与!BZ$1),FALSE),0)</f>
        <v>0</v>
      </c>
      <c r="BC378">
        <f>IF(ISNUMBER(SEARCH(SUBSTITUTE(BC$1,RIGHT(BC$1,2),""),VLOOKUP($D378,素材!$1:$1016,COLUMN($F$1),FALSE))),VLOOKUP($C378,装備品!$1:$998,COLUMN($O$1),FALSE)*VLOOKUP($D378,素材!$1:$1016,COLUMN($E$1),FALSE)/(LEN(VLOOKUP($D378,素材!$1:$1016,COLUMN($F$1),FALSE))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0)+IF($CI378&lt;&gt;"",VLOOKUP($CI378,付与!$A$1:CA$1173,COLUMN(付与!CA$1),FALSE),0)</f>
        <v>0</v>
      </c>
      <c r="BD378">
        <f>IF(ISNUMBER(SEARCH(SUBSTITUTE(BD$1,RIGHT(BD$1,2),""),VLOOKUP($D378,素材!$1:$1016,COLUMN($F$1),FALSE))),VLOOKUP($C378,装備品!$1:$998,COLUMN($O$1),FALSE)*VLOOKUP($D378,素材!$1:$1016,COLUMN($E$1),FALSE)/(LEN(VLOOKUP($D378,素材!$1:$1016,COLUMN($F$1),FALSE))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0)+IF($CI378&lt;&gt;"",VLOOKUP($CI378,付与!$A$1:CB$1173,COLUMN(付与!CB$1),FALSE),0)</f>
        <v>0</v>
      </c>
      <c r="BE378">
        <f>IF(ISNUMBER(SEARCH(SUBSTITUTE(BE$1,RIGHT(BE$1,2),""),VLOOKUP($D378,素材!$1:$1016,COLUMN($F$1),FALSE))),VLOOKUP($C378,装備品!$1:$998,COLUMN($O$1),FALSE)*VLOOKUP($D378,素材!$1:$1016,COLUMN($E$1),FALSE)/(LEN(VLOOKUP($D378,素材!$1:$1016,COLUMN($F$1),FALSE))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0)+IF($CI378&lt;&gt;"",VLOOKUP($CI378,付与!$A$1:CC$1173,COLUMN(付与!CC$1),FALSE),0)</f>
        <v>0</v>
      </c>
      <c r="CL378">
        <f t="shared" si="47"/>
        <v>0</v>
      </c>
      <c r="CM378" s="22" t="str">
        <f t="shared" si="48"/>
        <v>.webp</v>
      </c>
      <c r="CN378" t="str">
        <f>IFERROR(VLOOKUP($C378,装備品!$1:$998,COLUMN(V$1),FALSE)*VLOOKUP($D378,素材!$1:$1016,COLUMN(N$1),FALSE)+IF(CI378="",0,VLOOKUP($CI378,付与!$1:$1176,COLUMN($CK$1),FALSE)),"")</f>
        <v/>
      </c>
      <c r="CO378" t="e">
        <f>VLOOKUP(D378,素材!$A:$O,COLUMN(素材!O$1),FALSE)</f>
        <v>#N/A</v>
      </c>
      <c r="CP378" t="e">
        <f>VLOOKUP(C378,装備品!$A:$AB,COLUMN(装備品!AB$1),FALSE)</f>
        <v>#N/A</v>
      </c>
      <c r="CR378" t="str">
        <f t="shared" si="54"/>
        <v>e_378</v>
      </c>
      <c r="CS378" t="e">
        <f t="shared" si="56"/>
        <v>#VALUE!</v>
      </c>
    </row>
    <row r="379" spans="1:97" x14ac:dyDescent="0.4">
      <c r="B379" t="str">
        <f>IFERROR(VLOOKUP($D379,素材!$1:$1016,COLUMN($B$1),FALSE)&amp;"・"&amp;VLOOKUP($C379,装備品!$1:$998,COLUMN(B$1),FALSE),"")</f>
        <v/>
      </c>
      <c r="D379" s="24"/>
      <c r="E379" t="str">
        <f>IFERROR(VLOOKUP(C379,装備品!$1:$998,COLUMN(C$1),FALSE),"")</f>
        <v/>
      </c>
      <c r="F379" t="str">
        <f>IFERROR(ROUNDDOWN((VLOOKUP($C379,装備品!$1:$998,COLUMN(D$1),FALSE)+IFERROR(VLOOKUP($CI379,付与!$1:$1167,COLUMN(F$1),FALSE),0))*VLOOKUP($D379,素材!$1:$1016,COLUMN(D$1),FALSE),0),"")</f>
        <v/>
      </c>
      <c r="G379" t="str">
        <f>IFERROR(ROUNDDOWN((VLOOKUP($C379,装備品!$1:$998,COLUMN(E$1),FALSE)+IFERROR(VLOOKUP($CI379,付与!$1:$1167,COLUMN(G$1),FALSE),0))*VLOOKUP($D379,素材!$1:$1016,COLUMN($E$1),FALSE),0),"")</f>
        <v/>
      </c>
      <c r="H379" t="str">
        <f>IFERROR(ROUNDDOWN((VLOOKUP($C379,装備品!$1:$998,COLUMN(F$1),FALSE)+IFERROR(VLOOKUP($CI379,付与!$1:$1167,COLUMN(H$1),FALSE),0))*VLOOKUP($D379,素材!$1:$1016,COLUMN($E$1),FALSE),0),"")</f>
        <v/>
      </c>
      <c r="I379" t="str">
        <f>IFERROR(ROUNDDOWN((VLOOKUP($C379,装備品!$1:$998,COLUMN(G$1),FALSE)+IFERROR(VLOOKUP($CI379,付与!$1:$1167,COLUMN(I$1),FALSE),0))*VLOOKUP($D379,素材!$1:$1016,COLUMN($E$1),FALSE),0),"")</f>
        <v/>
      </c>
      <c r="J379" t="str">
        <f>IFERROR(ROUNDDOWN((VLOOKUP($C379,装備品!$1:$998,COLUMN(H$1),FALSE)+IFERROR(VLOOKUP($CI379,付与!$1:$1167,COLUMN(J$1),FALSE),0))*VLOOKUP($D379,素材!$1:$1016,COLUMN($E$1),FALSE),0),"")</f>
        <v/>
      </c>
      <c r="K379" t="str">
        <f>IFERROR(ROUNDDOWN((VLOOKUP($C379,装備品!$1:$998,COLUMN(I$1),FALSE)+IFERROR(VLOOKUP($CI379,付与!$1:$1167,COLUMN(K$1),FALSE),0))*VLOOKUP($D379,素材!$1:$1016,COLUMN($E$1),FALSE),0),"")</f>
        <v/>
      </c>
      <c r="L379" t="str">
        <f>IFERROR(VLOOKUP($D379,素材!$1:$1016,COLUMN($F$1),FALSE),"")</f>
        <v/>
      </c>
      <c r="M379" t="str">
        <f>IFERROR(VLOOKUP($C379,装備品!$1:$998,COLUMN(AA$1),FALSE)*VLOOKUP($D379,素材!$1:$1016,COLUMN($G$1),FALSE),"")</f>
        <v/>
      </c>
      <c r="N379" t="str">
        <f>IFERROR(VLOOKUP($C379,装備品!$1:$998,COLUMN(I$1),FALSE),"")</f>
        <v/>
      </c>
      <c r="O379" s="23" t="str">
        <f>IFERROR((VLOOKUP($C379,装備品!$1:$998,COLUMN(K$1),FALSE)+VLOOKUP($D379,素材!$1:$1016,COLUMN(H$1),FALSE))*100+IFERROR(VLOOKUP($CI379,付与!$1:$1167,COLUMN(O$1),FALSE),0),"")</f>
        <v/>
      </c>
      <c r="P379" s="23" t="str">
        <f>IFERROR((VLOOKUP($C379,装備品!$1:$998,COLUMN(L$1),FALSE)+VLOOKUP($D379,素材!$1:$1016,COLUMN(I$1),FALSE))*100+IFERROR(VLOOKUP($CI379,付与!$1:$1167,COLUMN(P$1),FALSE),0),"")</f>
        <v/>
      </c>
      <c r="Q379" t="str">
        <f>IFERROR(ROUNDUP(VLOOKUP($C379,装備品!$1:$998,COLUMN(M$1),FALSE)*(VLOOKUP($D379,素材!$1:$1002,COLUMN(D$1),FALSE)/100),1),"")</f>
        <v/>
      </c>
      <c r="R379" t="str">
        <f>IFERROR(ROUNDUP(VLOOKUP($C379,装備品!$1:$998,COLUMN(N$1),FALSE)*(VLOOKUP($D379,素材!$1:$1002,COLUMN(D$1),FALSE)/100),1),"")</f>
        <v/>
      </c>
      <c r="S379" t="str">
        <f>IFERROR(VLOOKUP($C379,装備品!$1:$998,COLUMN(P$1),FALSE),"")</f>
        <v/>
      </c>
      <c r="T379" t="str">
        <f>IFERROR(VLOOKUP($C379,装備品!$1:$998,COLUMN(Q$1),FALSE),"")</f>
        <v/>
      </c>
      <c r="U379" t="str">
        <f>IFERROR(VLOOKUP($C379,装備品!$1:$998,COLUMN(R$1),FALSE),"")</f>
        <v/>
      </c>
      <c r="V379" t="str">
        <f>IFERROR(VLOOKUP($C379,装備品!$1:$998,COLUMN(Q$1),FALSE),"")</f>
        <v/>
      </c>
      <c r="W379" t="str">
        <f>IFERROR(VLOOKUP($C379,装備品!$1:$998,COLUMN(T$1),FALSE),"")</f>
        <v/>
      </c>
      <c r="Y379" t="str">
        <f>IFERROR(VLOOKUP($C379,装備品!$1:$998,COLUMN(U$1),FALSE),"")</f>
        <v/>
      </c>
      <c r="Z379" t="str">
        <f>IFERROR(ROUNDUP(VLOOKUP($C379,装備品!$1:$998,COLUMN(O$1),FALSE)*VLOOKUP($D379,素材!$1:$1016,COLUMN(E$1),FALSE),1),"")</f>
        <v/>
      </c>
      <c r="AA379">
        <f>IF(ISNUMBER(SEARCH(SUBSTITUTE(AA$1,RIGHT(AA$1,2),""),VLOOKUP($D379,素材!$1:$1016,COLUMN($F$1),FALSE))),VLOOKUP($C379,装備品!$1:$998,COLUMN($O$1),FALSE)*VLOOKUP($D379,素材!$1:$1016,COLUMN($E$1),FALSE)/(LEN(VLOOKUP($D379,素材!$1:$1016,COLUMN($F$1),FALSE))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</f>
        <v>0</v>
      </c>
      <c r="AB379">
        <f>IF(ISNUMBER(SEARCH(SUBSTITUTE(AB$1,RIGHT(AB$1,2),""),VLOOKUP($D379,素材!$1:$1016,COLUMN($F$1),FALSE))),VLOOKUP($C379,装備品!$1:$998,COLUMN($O$1),FALSE)*VLOOKUP($D379,素材!$1:$1016,COLUMN($E$1),FALSE)/(LEN(VLOOKUP($D379,素材!$1:$1016,COLUMN($F$1),FALSE))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</f>
        <v>0</v>
      </c>
      <c r="AC379">
        <f>IF(ISNUMBER(SEARCH(SUBSTITUTE(AC$1,RIGHT(AC$1,2),""),VLOOKUP($D379,素材!$1:$1016,COLUMN($F$1),FALSE))),VLOOKUP($C379,装備品!$1:$998,COLUMN($O$1),FALSE)*VLOOKUP($D379,素材!$1:$1016,COLUMN($E$1),FALSE)/(LEN(VLOOKUP($D379,素材!$1:$1016,COLUMN($F$1),FALSE))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</f>
        <v>0</v>
      </c>
      <c r="AD379">
        <f>IF(ISNUMBER(SEARCH(SUBSTITUTE(AD$1,RIGHT(AD$1,2),""),VLOOKUP($D379,素材!$1:$1016,COLUMN($F$1),FALSE))),VLOOKUP($C379,装備品!$1:$998,COLUMN($O$1),FALSE)*VLOOKUP($D379,素材!$1:$1016,COLUMN($E$1),FALSE)/(LEN(VLOOKUP($D379,素材!$1:$1016,COLUMN($F$1),FALSE))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</f>
        <v>0</v>
      </c>
      <c r="AE379">
        <f>IF(ISNUMBER(SEARCH(SUBSTITUTE(AE$1,RIGHT(AE$1,2),""),VLOOKUP($D379,素材!$1:$1016,COLUMN($F$1),FALSE))),VLOOKUP($C379,装備品!$1:$998,COLUMN($O$1),FALSE)*VLOOKUP($D379,素材!$1:$1016,COLUMN($E$1),FALSE)/(LEN(VLOOKUP($D379,素材!$1:$1016,COLUMN($F$1),FALSE))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0)+IF($CI379&lt;&gt;"",VLOOKUP($CI379,付与!$A$1:BB$1173,COLUMN(付与!BB$1),FALSE),0)</f>
        <v>0</v>
      </c>
      <c r="AF379">
        <f>IF(ISNUMBER(SEARCH(SUBSTITUTE(AF$1,RIGHT(AF$1,2),""),VLOOKUP($D379,素材!$1:$1016,COLUMN($F$1),FALSE))),VLOOKUP($C379,装備品!$1:$998,COLUMN($O$1),FALSE)*VLOOKUP($D379,素材!$1:$1016,COLUMN($E$1),FALSE)/(LEN(VLOOKUP($D379,素材!$1:$1016,COLUMN($F$1),FALSE))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0)+IF($CI379&lt;&gt;"",VLOOKUP($CI379,付与!$A$1:BC$1173,COLUMN(付与!BC$1),FALSE),0)</f>
        <v>0</v>
      </c>
      <c r="AG379">
        <f>IF(ISNUMBER(SEARCH(SUBSTITUTE(AG$1,RIGHT(AG$1,2),""),VLOOKUP($D379,素材!$1:$1016,COLUMN($F$1),FALSE))),VLOOKUP($C379,装備品!$1:$998,COLUMN($O$1),FALSE)*VLOOKUP($D379,素材!$1:$1016,COLUMN($E$1),FALSE)/(LEN(VLOOKUP($D379,素材!$1:$1016,COLUMN($F$1),FALSE))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0)+IF($CI379&lt;&gt;"",VLOOKUP($CI379,付与!$A$1:BD$1173,COLUMN(付与!BD$1),FALSE),0)</f>
        <v>0</v>
      </c>
      <c r="AH379">
        <f>IF(ISNUMBER(SEARCH(SUBSTITUTE(AH$1,RIGHT(AH$1,2),""),VLOOKUP($D379,素材!$1:$1016,COLUMN($F$1),FALSE))),VLOOKUP($C379,装備品!$1:$998,COLUMN($O$1),FALSE)*VLOOKUP($D379,素材!$1:$1016,COLUMN($E$1),FALSE)/(LEN(VLOOKUP($D379,素材!$1:$1016,COLUMN($F$1),FALSE))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0)+IF($CI379&lt;&gt;"",VLOOKUP($CI379,付与!$A$1:BE$1173,COLUMN(付与!BE$1),FALSE),0)</f>
        <v>0</v>
      </c>
      <c r="AI379">
        <f>IF(ISNUMBER(SEARCH(SUBSTITUTE(AI$1,RIGHT(AI$1,2),""),VLOOKUP($D379,素材!$1:$1016,COLUMN($F$1),FALSE))),VLOOKUP($C379,装備品!$1:$998,COLUMN($O$1),FALSE)*VLOOKUP($D379,素材!$1:$1016,COLUMN($E$1),FALSE)/(LEN(VLOOKUP($D379,素材!$1:$1016,COLUMN($F$1),FALSE))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0)+IF($CI379&lt;&gt;"",VLOOKUP($CI379,付与!$A$1:BF$1173,COLUMN(付与!BF$1),FALSE),0)</f>
        <v>0</v>
      </c>
      <c r="AJ379">
        <f>IF(ISNUMBER(SEARCH(SUBSTITUTE(AJ$1,RIGHT(AJ$1,2),""),VLOOKUP($D379,素材!$1:$1016,COLUMN($F$1),FALSE))),VLOOKUP($C379,装備品!$1:$998,COLUMN($O$1),FALSE)*VLOOKUP($D379,素材!$1:$1016,COLUMN($E$1),FALSE)/(LEN(VLOOKUP($D379,素材!$1:$1016,COLUMN($F$1),FALSE))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0)+IF($CI379&lt;&gt;"",VLOOKUP($CI379,付与!$A$1:BG$1173,COLUMN(付与!BG$1),FALSE),0)</f>
        <v>0</v>
      </c>
      <c r="AK379">
        <f>IF(ISNUMBER(SEARCH(SUBSTITUTE(AK$1,RIGHT(AK$1,2),""),VLOOKUP($D379,素材!$1:$1016,COLUMN($F$1),FALSE))),VLOOKUP($C379,装備品!$1:$998,COLUMN($O$1),FALSE)*VLOOKUP($D379,素材!$1:$1016,COLUMN($E$1),FALSE)/(LEN(VLOOKUP($D379,素材!$1:$1016,COLUMN($F$1),FALSE))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0)+IF($CI379&lt;&gt;"",VLOOKUP($CI379,付与!$A$1:BH$1173,COLUMN(付与!BH$1),FALSE),0)</f>
        <v>0</v>
      </c>
      <c r="AL379">
        <f>IF(ISNUMBER(SEARCH(SUBSTITUTE(AL$1,RIGHT(AL$1,2),""),VLOOKUP($D379,素材!$1:$1016,COLUMN($F$1),FALSE))),VLOOKUP($C379,装備品!$1:$998,COLUMN($O$1),FALSE)*VLOOKUP($D379,素材!$1:$1016,COLUMN($E$1),FALSE)/(LEN(VLOOKUP($D379,素材!$1:$1016,COLUMN($F$1),FALSE))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0)+IF($CI379&lt;&gt;"",VLOOKUP($CI379,付与!$A$1:BI$1173,COLUMN(付与!BI$1),FALSE),0)</f>
        <v>0</v>
      </c>
      <c r="AM379">
        <f>IF(ISNUMBER(SEARCH(SUBSTITUTE(AM$1,RIGHT(AM$1,2),""),VLOOKUP($D379,素材!$1:$1016,COLUMN($F$1),FALSE))),VLOOKUP($C379,装備品!$1:$998,COLUMN($O$1),FALSE)*VLOOKUP($D379,素材!$1:$1016,COLUMN($E$1),FALSE)/(LEN(VLOOKUP($D379,素材!$1:$1016,COLUMN($F$1),FALSE))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0)+IF($CI379&lt;&gt;"",VLOOKUP($CI379,付与!$A$1:BJ$1173,COLUMN(付与!BJ$1),FALSE),0)</f>
        <v>0</v>
      </c>
      <c r="AN379">
        <f>IF(ISNUMBER(SEARCH(SUBSTITUTE(AN$1,RIGHT(AN$1,2),""),VLOOKUP($D379,素材!$1:$1016,COLUMN($F$1),FALSE))),VLOOKUP($C379,装備品!$1:$998,COLUMN($O$1),FALSE)*VLOOKUP($D379,素材!$1:$1016,COLUMN($E$1),FALSE)/(LEN(VLOOKUP($D379,素材!$1:$1016,COLUMN($F$1),FALSE))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0)+IF($CI379&lt;&gt;"",VLOOKUP($CI379,付与!$A$1:BK$1173,COLUMN(付与!BK$1),FALSE),0)</f>
        <v>0</v>
      </c>
      <c r="AO379">
        <f>IF(ISNUMBER(SEARCH(SUBSTITUTE(AO$1,RIGHT(AO$1,2),""),VLOOKUP($D379,素材!$1:$1016,COLUMN($F$1),FALSE))),VLOOKUP($C379,装備品!$1:$998,COLUMN($O$1),FALSE)*VLOOKUP($D379,素材!$1:$1016,COLUMN($E$1),FALSE)/(LEN(VLOOKUP($D379,素材!$1:$1016,COLUMN($F$1),FALSE))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0)+IF($CI379&lt;&gt;"",VLOOKUP($CI379,付与!$A$1:BM$1173,COLUMN(付与!BM$1),FALSE),0)</f>
        <v>0</v>
      </c>
      <c r="AP379">
        <f>IF(ISNUMBER(SEARCH(SUBSTITUTE(AP$1,RIGHT(AP$1,2),""),VLOOKUP($D379,素材!$1:$1016,COLUMN($F$1),FALSE))),VLOOKUP($C379,装備品!$1:$998,COLUMN($O$1),FALSE)*VLOOKUP($D379,素材!$1:$1016,COLUMN($E$1),FALSE)/(LEN(VLOOKUP($D379,素材!$1:$1016,COLUMN($F$1),FALSE))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0)+IF($CI379&lt;&gt;"",VLOOKUP($CI379,付与!$A$1:BN$1173,COLUMN(付与!BN$1),FALSE),0)</f>
        <v>0</v>
      </c>
      <c r="AQ379">
        <f>IF(ISNUMBER(SEARCH(SUBSTITUTE(AQ$1,RIGHT(AQ$1,2),""),VLOOKUP($D379,素材!$1:$1016,COLUMN($F$1),FALSE))),VLOOKUP($C379,装備品!$1:$998,COLUMN($O$1),FALSE)*VLOOKUP($D379,素材!$1:$1016,COLUMN($E$1),FALSE)/(LEN(VLOOKUP($D379,素材!$1:$1016,COLUMN($F$1),FALSE))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0)+IF($CI379&lt;&gt;"",VLOOKUP($CI379,付与!$A$1:BP$1173,COLUMN(付与!BP$1),FALSE),0)</f>
        <v>0</v>
      </c>
      <c r="AR379">
        <f>IF(ISNUMBER(SEARCH(SUBSTITUTE(AR$1,RIGHT(AR$1,2),""),VLOOKUP($D379,素材!$1:$1016,COLUMN($F$1),FALSE))),VLOOKUP($C379,装備品!$1:$998,COLUMN($O$1),FALSE)*VLOOKUP($D379,素材!$1:$1016,COLUMN($E$1),FALSE)/(LEN(VLOOKUP($D379,素材!$1:$1016,COLUMN($F$1),FALSE))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0)+IF($CI379&lt;&gt;"",VLOOKUP($CI379,付与!$A$1:BQ$1173,COLUMN(付与!BQ$1),FALSE),0)</f>
        <v>0</v>
      </c>
      <c r="AS379">
        <f>IF(ISNUMBER(SEARCH(SUBSTITUTE(AS$1,RIGHT(AS$1,2),""),VLOOKUP($D379,素材!$1:$1016,COLUMN($F$1),FALSE))),VLOOKUP($C379,装備品!$1:$998,COLUMN($O$1),FALSE)*VLOOKUP($D379,素材!$1:$1016,COLUMN($E$1),FALSE)/(LEN(VLOOKUP($D379,素材!$1:$1016,COLUMN($F$1),FALSE))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0)+IF($CI379&lt;&gt;"",VLOOKUP($CI379,付与!$A$1:BR$1173,COLUMN(付与!BR$1),FALSE),0)</f>
        <v>0</v>
      </c>
      <c r="AT379">
        <f>IF(ISNUMBER(SEARCH(SUBSTITUTE(AT$1,RIGHT(AT$1,2),""),VLOOKUP($D379,素材!$1:$1016,COLUMN($F$1),FALSE))),VLOOKUP($C379,装備品!$1:$998,COLUMN($O$1),FALSE)*VLOOKUP($D379,素材!$1:$1016,COLUMN($E$1),FALSE)/(LEN(VLOOKUP($D379,素材!$1:$1016,COLUMN($F$1),FALSE))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0)+IF($CI379&lt;&gt;"",VLOOKUP($CI379,付与!$A$1:BV$1173,COLUMN(付与!BV$1),FALSE),0)</f>
        <v>0</v>
      </c>
      <c r="AU379">
        <f>IF(ISNUMBER(SEARCH(SUBSTITUTE(AU$1,RIGHT(AU$1,2),""),VLOOKUP($D379,素材!$1:$1016,COLUMN($F$1),FALSE))),VLOOKUP($C379,装備品!$1:$998,COLUMN($O$1),FALSE)*VLOOKUP($D379,素材!$1:$1016,COLUMN($E$1),FALSE)/(LEN(VLOOKUP($D379,素材!$1:$1016,COLUMN($F$1),FALSE))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0)+IF($CI379&lt;&gt;"",VLOOKUP($CI379,付与!$A$1:BW$1173,COLUMN(付与!BW$1),FALSE),0)</f>
        <v>0</v>
      </c>
      <c r="AV379">
        <f>IF(ISNUMBER(SEARCH(SUBSTITUTE(AV$1,RIGHT(AV$1,2),""),VLOOKUP($D379,素材!$1:$1016,COLUMN($F$1),FALSE))),VLOOKUP($C379,装備品!$1:$998,COLUMN($O$1),FALSE)*VLOOKUP($D379,素材!$1:$1016,COLUMN($E$1),FALSE)/(LEN(VLOOKUP($D379,素材!$1:$1016,COLUMN($F$1),FALSE))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0)+IF($CI379&lt;&gt;"",VLOOKUP($CI379,付与!$A$1:BS$1173,COLUMN(付与!BS$1),FALSE),0)</f>
        <v>0</v>
      </c>
      <c r="AW379">
        <f>IF(ISNUMBER(SEARCH(SUBSTITUTE(AW$1,RIGHT(AW$1,2),""),VLOOKUP($D379,素材!$1:$1016,COLUMN($F$1),FALSE))),VLOOKUP($C379,装備品!$1:$998,COLUMN($O$1),FALSE)*VLOOKUP($D379,素材!$1:$1016,COLUMN($E$1),FALSE)/(LEN(VLOOKUP($D379,素材!$1:$1016,COLUMN($F$1),FALSE))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0)+IF($CI379&lt;&gt;"",VLOOKUP($CI379,付与!$A$1:BT$1173,COLUMN(付与!BT$1),FALSE),0)</f>
        <v>0</v>
      </c>
      <c r="AX379">
        <f>IF(ISNUMBER(SEARCH(SUBSTITUTE(AX$1,RIGHT(AX$1,2),""),VLOOKUP($D379,素材!$1:$1016,COLUMN($F$1),FALSE))),VLOOKUP($C379,装備品!$1:$998,COLUMN($O$1),FALSE)*VLOOKUP($D379,素材!$1:$1016,COLUMN($E$1),FALSE)/(LEN(VLOOKUP($D379,素材!$1:$1016,COLUMN($F$1),FALSE))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0)+IF($CI379&lt;&gt;"",VLOOKUP($CI379,付与!$A$1:BU$1173,COLUMN(付与!BU$1),FALSE),0)</f>
        <v>0</v>
      </c>
      <c r="AY379">
        <f>IF(ISNUMBER(SEARCH(SUBSTITUTE(AY$1,RIGHT(AY$1,2),""),VLOOKUP($D379,素材!$1:$1016,COLUMN($F$1),FALSE))),VLOOKUP($C379,装備品!$1:$998,COLUMN($O$1),FALSE)*VLOOKUP($D379,素材!$1:$1016,COLUMN($E$1),FALSE)/(LEN(VLOOKUP($D379,素材!$1:$1016,COLUMN($F$1),FALSE))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0)+IF($CI379&lt;&gt;"",VLOOKUP($CI379,付与!$A$1:BU$1173,COLUMN(付与!BO$1),FALSE),0)</f>
        <v>0</v>
      </c>
      <c r="AZ379">
        <f>IF(ISNUMBER(SEARCH(SUBSTITUTE(AZ$1,RIGHT(AZ$1,2),""),VLOOKUP($D379,素材!$1:$1016,COLUMN($F$1),FALSE))),VLOOKUP($C379,装備品!$1:$998,COLUMN($O$1),FALSE)*VLOOKUP($D379,素材!$1:$1016,COLUMN($E$1),FALSE)/(LEN(VLOOKUP($D379,素材!$1:$1016,COLUMN($F$1),FALSE))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0)+IF($CI379&lt;&gt;"",VLOOKUP($CI379,付与!$A$1:BX$1173,COLUMN(付与!BX$1),FALSE),0)</f>
        <v>0</v>
      </c>
      <c r="BA379">
        <f>IF(ISNUMBER(SEARCH(SUBSTITUTE(BA$1,RIGHT(BA$1,2),""),VLOOKUP($D379,素材!$1:$1016,COLUMN($F$1),FALSE))),VLOOKUP($C379,装備品!$1:$998,COLUMN($O$1),FALSE)*VLOOKUP($D379,素材!$1:$1016,COLUMN($E$1),FALSE)/(LEN(VLOOKUP($D379,素材!$1:$1016,COLUMN($F$1),FALSE))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0)+IF($CI379&lt;&gt;"",VLOOKUP($CI379,付与!$A$1:BY$1173,COLUMN(付与!BY$1),FALSE),0)</f>
        <v>0</v>
      </c>
      <c r="BB379">
        <f>IF(ISNUMBER(SEARCH(SUBSTITUTE(BB$1,RIGHT(BB$1,2),""),VLOOKUP($D379,素材!$1:$1016,COLUMN($F$1),FALSE))),VLOOKUP($C379,装備品!$1:$998,COLUMN($O$1),FALSE)*VLOOKUP($D379,素材!$1:$1016,COLUMN($E$1),FALSE)/(LEN(VLOOKUP($D379,素材!$1:$1016,COLUMN($F$1),FALSE))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0)+IF($CI379&lt;&gt;"",VLOOKUP($CI379,付与!$A$1:BZ$1173,COLUMN(付与!BZ$1),FALSE),0)</f>
        <v>0</v>
      </c>
      <c r="BC379">
        <f>IF(ISNUMBER(SEARCH(SUBSTITUTE(BC$1,RIGHT(BC$1,2),""),VLOOKUP($D379,素材!$1:$1016,COLUMN($F$1),FALSE))),VLOOKUP($C379,装備品!$1:$998,COLUMN($O$1),FALSE)*VLOOKUP($D379,素材!$1:$1016,COLUMN($E$1),FALSE)/(LEN(VLOOKUP($D379,素材!$1:$1016,COLUMN($F$1),FALSE))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0)+IF($CI379&lt;&gt;"",VLOOKUP($CI379,付与!$A$1:CA$1173,COLUMN(付与!CA$1),FALSE),0)</f>
        <v>0</v>
      </c>
      <c r="BD379">
        <f>IF(ISNUMBER(SEARCH(SUBSTITUTE(BD$1,RIGHT(BD$1,2),""),VLOOKUP($D379,素材!$1:$1016,COLUMN($F$1),FALSE))),VLOOKUP($C379,装備品!$1:$998,COLUMN($O$1),FALSE)*VLOOKUP($D379,素材!$1:$1016,COLUMN($E$1),FALSE)/(LEN(VLOOKUP($D379,素材!$1:$1016,COLUMN($F$1),FALSE))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0)+IF($CI379&lt;&gt;"",VLOOKUP($CI379,付与!$A$1:CB$1173,COLUMN(付与!CB$1),FALSE),0)</f>
        <v>0</v>
      </c>
      <c r="BE379">
        <f>IF(ISNUMBER(SEARCH(SUBSTITUTE(BE$1,RIGHT(BE$1,2),""),VLOOKUP($D379,素材!$1:$1016,COLUMN($F$1),FALSE))),VLOOKUP($C379,装備品!$1:$998,COLUMN($O$1),FALSE)*VLOOKUP($D379,素材!$1:$1016,COLUMN($E$1),FALSE)/(LEN(VLOOKUP($D379,素材!$1:$1016,COLUMN($F$1),FALSE))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0)+IF($CI379&lt;&gt;"",VLOOKUP($CI379,付与!$A$1:CC$1173,COLUMN(付与!CC$1),FALSE),0)</f>
        <v>0</v>
      </c>
      <c r="CL379">
        <f t="shared" si="47"/>
        <v>0</v>
      </c>
      <c r="CM379" s="22" t="str">
        <f t="shared" si="48"/>
        <v>.webp</v>
      </c>
      <c r="CN379" t="str">
        <f>IFERROR(VLOOKUP($C379,装備品!$1:$998,COLUMN(V$1),FALSE)*VLOOKUP($D379,素材!$1:$1016,COLUMN(N$1),FALSE)+IF(CI379="",0,VLOOKUP($CI379,付与!$1:$1176,COLUMN($CK$1),FALSE)),"")</f>
        <v/>
      </c>
      <c r="CO379" t="e">
        <f>VLOOKUP(D379,素材!$A:$O,COLUMN(素材!O$1),FALSE)</f>
        <v>#N/A</v>
      </c>
      <c r="CP379" t="e">
        <f>VLOOKUP(C379,装備品!$A:$AB,COLUMN(装備品!AB$1),FALSE)</f>
        <v>#N/A</v>
      </c>
      <c r="CR379" t="str">
        <f t="shared" si="54"/>
        <v>e_379</v>
      </c>
      <c r="CS379" t="e">
        <f t="shared" si="56"/>
        <v>#VALUE!</v>
      </c>
    </row>
    <row r="380" spans="1:97" x14ac:dyDescent="0.4">
      <c r="B380" t="str">
        <f>IFERROR(VLOOKUP($D380,素材!$1:$1016,COLUMN($B$1),FALSE)&amp;"・"&amp;VLOOKUP($C380,装備品!$1:$998,COLUMN(B$1),FALSE),"")</f>
        <v/>
      </c>
      <c r="D380" s="24"/>
      <c r="E380" t="str">
        <f>IFERROR(VLOOKUP(C380,装備品!$1:$998,COLUMN(C$1),FALSE),"")</f>
        <v/>
      </c>
      <c r="F380" t="str">
        <f>IFERROR(ROUNDDOWN((VLOOKUP($C380,装備品!$1:$998,COLUMN(D$1),FALSE)+IFERROR(VLOOKUP($CI380,付与!$1:$1167,COLUMN(F$1),FALSE),0))*VLOOKUP($D380,素材!$1:$1016,COLUMN(D$1),FALSE),0),"")</f>
        <v/>
      </c>
      <c r="G380" t="str">
        <f>IFERROR(ROUNDDOWN((VLOOKUP($C380,装備品!$1:$998,COLUMN(E$1),FALSE)+IFERROR(VLOOKUP($CI380,付与!$1:$1167,COLUMN(G$1),FALSE),0))*VLOOKUP($D380,素材!$1:$1016,COLUMN($E$1),FALSE),0),"")</f>
        <v/>
      </c>
      <c r="H380" t="str">
        <f>IFERROR(ROUNDDOWN((VLOOKUP($C380,装備品!$1:$998,COLUMN(F$1),FALSE)+IFERROR(VLOOKUP($CI380,付与!$1:$1167,COLUMN(H$1),FALSE),0))*VLOOKUP($D380,素材!$1:$1016,COLUMN($E$1),FALSE),0),"")</f>
        <v/>
      </c>
      <c r="I380" t="str">
        <f>IFERROR(ROUNDDOWN((VLOOKUP($C380,装備品!$1:$998,COLUMN(G$1),FALSE)+IFERROR(VLOOKUP($CI380,付与!$1:$1167,COLUMN(I$1),FALSE),0))*VLOOKUP($D380,素材!$1:$1016,COLUMN($E$1),FALSE),0),"")</f>
        <v/>
      </c>
      <c r="J380" t="str">
        <f>IFERROR(ROUNDDOWN((VLOOKUP($C380,装備品!$1:$998,COLUMN(H$1),FALSE)+IFERROR(VLOOKUP($CI380,付与!$1:$1167,COLUMN(J$1),FALSE),0))*VLOOKUP($D380,素材!$1:$1016,COLUMN($E$1),FALSE),0),"")</f>
        <v/>
      </c>
      <c r="K380" t="str">
        <f>IFERROR(ROUNDDOWN((VLOOKUP($C380,装備品!$1:$998,COLUMN(I$1),FALSE)+IFERROR(VLOOKUP($CI380,付与!$1:$1167,COLUMN(K$1),FALSE),0))*VLOOKUP($D380,素材!$1:$1016,COLUMN($E$1),FALSE),0),"")</f>
        <v/>
      </c>
      <c r="L380" t="str">
        <f>IFERROR(VLOOKUP($D380,素材!$1:$1016,COLUMN($F$1),FALSE),"")</f>
        <v/>
      </c>
      <c r="M380" t="str">
        <f>IFERROR(VLOOKUP($C380,装備品!$1:$998,COLUMN(AA$1),FALSE)*VLOOKUP($D380,素材!$1:$1016,COLUMN($G$1),FALSE),"")</f>
        <v/>
      </c>
      <c r="N380" t="str">
        <f>IFERROR(VLOOKUP($C380,装備品!$1:$998,COLUMN(I$1),FALSE),"")</f>
        <v/>
      </c>
      <c r="O380" s="23" t="str">
        <f>IFERROR((VLOOKUP($C380,装備品!$1:$998,COLUMN(K$1),FALSE)+VLOOKUP($D380,素材!$1:$1016,COLUMN(H$1),FALSE))*100+IFERROR(VLOOKUP($CI380,付与!$1:$1167,COLUMN(O$1),FALSE),0),"")</f>
        <v/>
      </c>
      <c r="P380" s="23" t="str">
        <f>IFERROR((VLOOKUP($C380,装備品!$1:$998,COLUMN(L$1),FALSE)+VLOOKUP($D380,素材!$1:$1016,COLUMN(I$1),FALSE))*100+IFERROR(VLOOKUP($CI380,付与!$1:$1167,COLUMN(P$1),FALSE),0),"")</f>
        <v/>
      </c>
      <c r="Q380" t="str">
        <f>IFERROR(ROUNDUP(VLOOKUP($C380,装備品!$1:$998,COLUMN(M$1),FALSE)*(VLOOKUP($D380,素材!$1:$1002,COLUMN(D$1),FALSE)/100),1),"")</f>
        <v/>
      </c>
      <c r="R380" t="str">
        <f>IFERROR(ROUNDUP(VLOOKUP($C380,装備品!$1:$998,COLUMN(N$1),FALSE)*(VLOOKUP($D380,素材!$1:$1002,COLUMN(D$1),FALSE)/100),1),"")</f>
        <v/>
      </c>
      <c r="S380" t="str">
        <f>IFERROR(VLOOKUP($C380,装備品!$1:$998,COLUMN(P$1),FALSE),"")</f>
        <v/>
      </c>
      <c r="T380" t="str">
        <f>IFERROR(VLOOKUP($C380,装備品!$1:$998,COLUMN(Q$1),FALSE),"")</f>
        <v/>
      </c>
      <c r="U380" t="str">
        <f>IFERROR(VLOOKUP($C380,装備品!$1:$998,COLUMN(R$1),FALSE),"")</f>
        <v/>
      </c>
      <c r="V380" t="str">
        <f>IFERROR(VLOOKUP($C380,装備品!$1:$998,COLUMN(Q$1),FALSE),"")</f>
        <v/>
      </c>
      <c r="W380" t="str">
        <f>IFERROR(VLOOKUP($C380,装備品!$1:$998,COLUMN(T$1),FALSE),"")</f>
        <v/>
      </c>
      <c r="Y380" t="str">
        <f>IFERROR(VLOOKUP($C380,装備品!$1:$998,COLUMN(U$1),FALSE),"")</f>
        <v/>
      </c>
      <c r="Z380" t="str">
        <f>IFERROR(ROUNDUP(VLOOKUP($C380,装備品!$1:$998,COLUMN(O$1),FALSE)*VLOOKUP($D380,素材!$1:$1016,COLUMN(E$1),FALSE),1),"")</f>
        <v/>
      </c>
      <c r="AA380">
        <f>IF(ISNUMBER(SEARCH(SUBSTITUTE(AA$1,RIGHT(AA$1,2),""),VLOOKUP($D380,素材!$1:$1016,COLUMN($F$1),FALSE))),VLOOKUP($C380,装備品!$1:$998,COLUMN($O$1),FALSE)*VLOOKUP($D380,素材!$1:$1016,COLUMN($E$1),FALSE)/(LEN(VLOOKUP($D380,素材!$1:$1016,COLUMN($F$1),FALSE))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</f>
        <v>0</v>
      </c>
      <c r="AB380">
        <f>IF(ISNUMBER(SEARCH(SUBSTITUTE(AB$1,RIGHT(AB$1,2),""),VLOOKUP($D380,素材!$1:$1016,COLUMN($F$1),FALSE))),VLOOKUP($C380,装備品!$1:$998,COLUMN($O$1),FALSE)*VLOOKUP($D380,素材!$1:$1016,COLUMN($E$1),FALSE)/(LEN(VLOOKUP($D380,素材!$1:$1016,COLUMN($F$1),FALSE))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</f>
        <v>0</v>
      </c>
      <c r="AC380">
        <f>IF(ISNUMBER(SEARCH(SUBSTITUTE(AC$1,RIGHT(AC$1,2),""),VLOOKUP($D380,素材!$1:$1016,COLUMN($F$1),FALSE))),VLOOKUP($C380,装備品!$1:$998,COLUMN($O$1),FALSE)*VLOOKUP($D380,素材!$1:$1016,COLUMN($E$1),FALSE)/(LEN(VLOOKUP($D380,素材!$1:$1016,COLUMN($F$1),FALSE))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</f>
        <v>0</v>
      </c>
      <c r="AD380">
        <f>IF(ISNUMBER(SEARCH(SUBSTITUTE(AD$1,RIGHT(AD$1,2),""),VLOOKUP($D380,素材!$1:$1016,COLUMN($F$1),FALSE))),VLOOKUP($C380,装備品!$1:$998,COLUMN($O$1),FALSE)*VLOOKUP($D380,素材!$1:$1016,COLUMN($E$1),FALSE)/(LEN(VLOOKUP($D380,素材!$1:$1016,COLUMN($F$1),FALSE))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</f>
        <v>0</v>
      </c>
      <c r="AE380">
        <f>IF(ISNUMBER(SEARCH(SUBSTITUTE(AE$1,RIGHT(AE$1,2),""),VLOOKUP($D380,素材!$1:$1016,COLUMN($F$1),FALSE))),VLOOKUP($C380,装備品!$1:$998,COLUMN($O$1),FALSE)*VLOOKUP($D380,素材!$1:$1016,COLUMN($E$1),FALSE)/(LEN(VLOOKUP($D380,素材!$1:$1016,COLUMN($F$1),FALSE))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0)+IF($CI380&lt;&gt;"",VLOOKUP($CI380,付与!$A$1:BB$1173,COLUMN(付与!BB$1),FALSE),0)</f>
        <v>0</v>
      </c>
      <c r="AF380">
        <f>IF(ISNUMBER(SEARCH(SUBSTITUTE(AF$1,RIGHT(AF$1,2),""),VLOOKUP($D380,素材!$1:$1016,COLUMN($F$1),FALSE))),VLOOKUP($C380,装備品!$1:$998,COLUMN($O$1),FALSE)*VLOOKUP($D380,素材!$1:$1016,COLUMN($E$1),FALSE)/(LEN(VLOOKUP($D380,素材!$1:$1016,COLUMN($F$1),FALSE))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0)+IF($CI380&lt;&gt;"",VLOOKUP($CI380,付与!$A$1:BC$1173,COLUMN(付与!BC$1),FALSE),0)</f>
        <v>0</v>
      </c>
      <c r="AG380">
        <f>IF(ISNUMBER(SEARCH(SUBSTITUTE(AG$1,RIGHT(AG$1,2),""),VLOOKUP($D380,素材!$1:$1016,COLUMN($F$1),FALSE))),VLOOKUP($C380,装備品!$1:$998,COLUMN($O$1),FALSE)*VLOOKUP($D380,素材!$1:$1016,COLUMN($E$1),FALSE)/(LEN(VLOOKUP($D380,素材!$1:$1016,COLUMN($F$1),FALSE))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0)+IF($CI380&lt;&gt;"",VLOOKUP($CI380,付与!$A$1:BD$1173,COLUMN(付与!BD$1),FALSE),0)</f>
        <v>0</v>
      </c>
      <c r="AH380">
        <f>IF(ISNUMBER(SEARCH(SUBSTITUTE(AH$1,RIGHT(AH$1,2),""),VLOOKUP($D380,素材!$1:$1016,COLUMN($F$1),FALSE))),VLOOKUP($C380,装備品!$1:$998,COLUMN($O$1),FALSE)*VLOOKUP($D380,素材!$1:$1016,COLUMN($E$1),FALSE)/(LEN(VLOOKUP($D380,素材!$1:$1016,COLUMN($F$1),FALSE))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0)+IF($CI380&lt;&gt;"",VLOOKUP($CI380,付与!$A$1:BE$1173,COLUMN(付与!BE$1),FALSE),0)</f>
        <v>0</v>
      </c>
      <c r="AI380">
        <f>IF(ISNUMBER(SEARCH(SUBSTITUTE(AI$1,RIGHT(AI$1,2),""),VLOOKUP($D380,素材!$1:$1016,COLUMN($F$1),FALSE))),VLOOKUP($C380,装備品!$1:$998,COLUMN($O$1),FALSE)*VLOOKUP($D380,素材!$1:$1016,COLUMN($E$1),FALSE)/(LEN(VLOOKUP($D380,素材!$1:$1016,COLUMN($F$1),FALSE))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0)+IF($CI380&lt;&gt;"",VLOOKUP($CI380,付与!$A$1:BF$1173,COLUMN(付与!BF$1),FALSE),0)</f>
        <v>0</v>
      </c>
      <c r="AJ380">
        <f>IF(ISNUMBER(SEARCH(SUBSTITUTE(AJ$1,RIGHT(AJ$1,2),""),VLOOKUP($D380,素材!$1:$1016,COLUMN($F$1),FALSE))),VLOOKUP($C380,装備品!$1:$998,COLUMN($O$1),FALSE)*VLOOKUP($D380,素材!$1:$1016,COLUMN($E$1),FALSE)/(LEN(VLOOKUP($D380,素材!$1:$1016,COLUMN($F$1),FALSE))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0)+IF($CI380&lt;&gt;"",VLOOKUP($CI380,付与!$A$1:BG$1173,COLUMN(付与!BG$1),FALSE),0)</f>
        <v>0</v>
      </c>
      <c r="AK380">
        <f>IF(ISNUMBER(SEARCH(SUBSTITUTE(AK$1,RIGHT(AK$1,2),""),VLOOKUP($D380,素材!$1:$1016,COLUMN($F$1),FALSE))),VLOOKUP($C380,装備品!$1:$998,COLUMN($O$1),FALSE)*VLOOKUP($D380,素材!$1:$1016,COLUMN($E$1),FALSE)/(LEN(VLOOKUP($D380,素材!$1:$1016,COLUMN($F$1),FALSE))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0)+IF($CI380&lt;&gt;"",VLOOKUP($CI380,付与!$A$1:BH$1173,COLUMN(付与!BH$1),FALSE),0)</f>
        <v>0</v>
      </c>
      <c r="AL380">
        <f>IF(ISNUMBER(SEARCH(SUBSTITUTE(AL$1,RIGHT(AL$1,2),""),VLOOKUP($D380,素材!$1:$1016,COLUMN($F$1),FALSE))),VLOOKUP($C380,装備品!$1:$998,COLUMN($O$1),FALSE)*VLOOKUP($D380,素材!$1:$1016,COLUMN($E$1),FALSE)/(LEN(VLOOKUP($D380,素材!$1:$1016,COLUMN($F$1),FALSE))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0)+IF($CI380&lt;&gt;"",VLOOKUP($CI380,付与!$A$1:BI$1173,COLUMN(付与!BI$1),FALSE),0)</f>
        <v>0</v>
      </c>
      <c r="AM380">
        <f>IF(ISNUMBER(SEARCH(SUBSTITUTE(AM$1,RIGHT(AM$1,2),""),VLOOKUP($D380,素材!$1:$1016,COLUMN($F$1),FALSE))),VLOOKUP($C380,装備品!$1:$998,COLUMN($O$1),FALSE)*VLOOKUP($D380,素材!$1:$1016,COLUMN($E$1),FALSE)/(LEN(VLOOKUP($D380,素材!$1:$1016,COLUMN($F$1),FALSE))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0)+IF($CI380&lt;&gt;"",VLOOKUP($CI380,付与!$A$1:BJ$1173,COLUMN(付与!BJ$1),FALSE),0)</f>
        <v>0</v>
      </c>
      <c r="AN380">
        <f>IF(ISNUMBER(SEARCH(SUBSTITUTE(AN$1,RIGHT(AN$1,2),""),VLOOKUP($D380,素材!$1:$1016,COLUMN($F$1),FALSE))),VLOOKUP($C380,装備品!$1:$998,COLUMN($O$1),FALSE)*VLOOKUP($D380,素材!$1:$1016,COLUMN($E$1),FALSE)/(LEN(VLOOKUP($D380,素材!$1:$1016,COLUMN($F$1),FALSE))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0)+IF($CI380&lt;&gt;"",VLOOKUP($CI380,付与!$A$1:BK$1173,COLUMN(付与!BK$1),FALSE),0)</f>
        <v>0</v>
      </c>
      <c r="AO380">
        <f>IF(ISNUMBER(SEARCH(SUBSTITUTE(AO$1,RIGHT(AO$1,2),""),VLOOKUP($D380,素材!$1:$1016,COLUMN($F$1),FALSE))),VLOOKUP($C380,装備品!$1:$998,COLUMN($O$1),FALSE)*VLOOKUP($D380,素材!$1:$1016,COLUMN($E$1),FALSE)/(LEN(VLOOKUP($D380,素材!$1:$1016,COLUMN($F$1),FALSE))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0)+IF($CI380&lt;&gt;"",VLOOKUP($CI380,付与!$A$1:BM$1173,COLUMN(付与!BM$1),FALSE),0)</f>
        <v>0</v>
      </c>
      <c r="AP380">
        <f>IF(ISNUMBER(SEARCH(SUBSTITUTE(AP$1,RIGHT(AP$1,2),""),VLOOKUP($D380,素材!$1:$1016,COLUMN($F$1),FALSE))),VLOOKUP($C380,装備品!$1:$998,COLUMN($O$1),FALSE)*VLOOKUP($D380,素材!$1:$1016,COLUMN($E$1),FALSE)/(LEN(VLOOKUP($D380,素材!$1:$1016,COLUMN($F$1),FALSE))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0)+IF($CI380&lt;&gt;"",VLOOKUP($CI380,付与!$A$1:BN$1173,COLUMN(付与!BN$1),FALSE),0)</f>
        <v>0</v>
      </c>
      <c r="AQ380">
        <f>IF(ISNUMBER(SEARCH(SUBSTITUTE(AQ$1,RIGHT(AQ$1,2),""),VLOOKUP($D380,素材!$1:$1016,COLUMN($F$1),FALSE))),VLOOKUP($C380,装備品!$1:$998,COLUMN($O$1),FALSE)*VLOOKUP($D380,素材!$1:$1016,COLUMN($E$1),FALSE)/(LEN(VLOOKUP($D380,素材!$1:$1016,COLUMN($F$1),FALSE))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0)+IF($CI380&lt;&gt;"",VLOOKUP($CI380,付与!$A$1:BP$1173,COLUMN(付与!BP$1),FALSE),0)</f>
        <v>0</v>
      </c>
      <c r="AR380">
        <f>IF(ISNUMBER(SEARCH(SUBSTITUTE(AR$1,RIGHT(AR$1,2),""),VLOOKUP($D380,素材!$1:$1016,COLUMN($F$1),FALSE))),VLOOKUP($C380,装備品!$1:$998,COLUMN($O$1),FALSE)*VLOOKUP($D380,素材!$1:$1016,COLUMN($E$1),FALSE)/(LEN(VLOOKUP($D380,素材!$1:$1016,COLUMN($F$1),FALSE))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0)+IF($CI380&lt;&gt;"",VLOOKUP($CI380,付与!$A$1:BQ$1173,COLUMN(付与!BQ$1),FALSE),0)</f>
        <v>0</v>
      </c>
      <c r="AS380">
        <f>IF(ISNUMBER(SEARCH(SUBSTITUTE(AS$1,RIGHT(AS$1,2),""),VLOOKUP($D380,素材!$1:$1016,COLUMN($F$1),FALSE))),VLOOKUP($C380,装備品!$1:$998,COLUMN($O$1),FALSE)*VLOOKUP($D380,素材!$1:$1016,COLUMN($E$1),FALSE)/(LEN(VLOOKUP($D380,素材!$1:$1016,COLUMN($F$1),FALSE))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0)+IF($CI380&lt;&gt;"",VLOOKUP($CI380,付与!$A$1:BR$1173,COLUMN(付与!BR$1),FALSE),0)</f>
        <v>0</v>
      </c>
      <c r="AT380">
        <f>IF(ISNUMBER(SEARCH(SUBSTITUTE(AT$1,RIGHT(AT$1,2),""),VLOOKUP($D380,素材!$1:$1016,COLUMN($F$1),FALSE))),VLOOKUP($C380,装備品!$1:$998,COLUMN($O$1),FALSE)*VLOOKUP($D380,素材!$1:$1016,COLUMN($E$1),FALSE)/(LEN(VLOOKUP($D380,素材!$1:$1016,COLUMN($F$1),FALSE))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0)+IF($CI380&lt;&gt;"",VLOOKUP($CI380,付与!$A$1:BV$1173,COLUMN(付与!BV$1),FALSE),0)</f>
        <v>0</v>
      </c>
      <c r="AU380">
        <f>IF(ISNUMBER(SEARCH(SUBSTITUTE(AU$1,RIGHT(AU$1,2),""),VLOOKUP($D380,素材!$1:$1016,COLUMN($F$1),FALSE))),VLOOKUP($C380,装備品!$1:$998,COLUMN($O$1),FALSE)*VLOOKUP($D380,素材!$1:$1016,COLUMN($E$1),FALSE)/(LEN(VLOOKUP($D380,素材!$1:$1016,COLUMN($F$1),FALSE))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0)+IF($CI380&lt;&gt;"",VLOOKUP($CI380,付与!$A$1:BW$1173,COLUMN(付与!BW$1),FALSE),0)</f>
        <v>0</v>
      </c>
      <c r="AV380">
        <f>IF(ISNUMBER(SEARCH(SUBSTITUTE(AV$1,RIGHT(AV$1,2),""),VLOOKUP($D380,素材!$1:$1016,COLUMN($F$1),FALSE))),VLOOKUP($C380,装備品!$1:$998,COLUMN($O$1),FALSE)*VLOOKUP($D380,素材!$1:$1016,COLUMN($E$1),FALSE)/(LEN(VLOOKUP($D380,素材!$1:$1016,COLUMN($F$1),FALSE))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0)+IF($CI380&lt;&gt;"",VLOOKUP($CI380,付与!$A$1:BS$1173,COLUMN(付与!BS$1),FALSE),0)</f>
        <v>0</v>
      </c>
      <c r="AW380">
        <f>IF(ISNUMBER(SEARCH(SUBSTITUTE(AW$1,RIGHT(AW$1,2),""),VLOOKUP($D380,素材!$1:$1016,COLUMN($F$1),FALSE))),VLOOKUP($C380,装備品!$1:$998,COLUMN($O$1),FALSE)*VLOOKUP($D380,素材!$1:$1016,COLUMN($E$1),FALSE)/(LEN(VLOOKUP($D380,素材!$1:$1016,COLUMN($F$1),FALSE))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0)+IF($CI380&lt;&gt;"",VLOOKUP($CI380,付与!$A$1:BT$1173,COLUMN(付与!BT$1),FALSE),0)</f>
        <v>0</v>
      </c>
      <c r="AX380">
        <f>IF(ISNUMBER(SEARCH(SUBSTITUTE(AX$1,RIGHT(AX$1,2),""),VLOOKUP($D380,素材!$1:$1016,COLUMN($F$1),FALSE))),VLOOKUP($C380,装備品!$1:$998,COLUMN($O$1),FALSE)*VLOOKUP($D380,素材!$1:$1016,COLUMN($E$1),FALSE)/(LEN(VLOOKUP($D380,素材!$1:$1016,COLUMN($F$1),FALSE))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0)+IF($CI380&lt;&gt;"",VLOOKUP($CI380,付与!$A$1:BU$1173,COLUMN(付与!BU$1),FALSE),0)</f>
        <v>0</v>
      </c>
      <c r="AY380">
        <f>IF(ISNUMBER(SEARCH(SUBSTITUTE(AY$1,RIGHT(AY$1,2),""),VLOOKUP($D380,素材!$1:$1016,COLUMN($F$1),FALSE))),VLOOKUP($C380,装備品!$1:$998,COLUMN($O$1),FALSE)*VLOOKUP($D380,素材!$1:$1016,COLUMN($E$1),FALSE)/(LEN(VLOOKUP($D380,素材!$1:$1016,COLUMN($F$1),FALSE))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0)+IF($CI380&lt;&gt;"",VLOOKUP($CI380,付与!$A$1:BU$1173,COLUMN(付与!BO$1),FALSE),0)</f>
        <v>0</v>
      </c>
      <c r="AZ380">
        <f>IF(ISNUMBER(SEARCH(SUBSTITUTE(AZ$1,RIGHT(AZ$1,2),""),VLOOKUP($D380,素材!$1:$1016,COLUMN($F$1),FALSE))),VLOOKUP($C380,装備品!$1:$998,COLUMN($O$1),FALSE)*VLOOKUP($D380,素材!$1:$1016,COLUMN($E$1),FALSE)/(LEN(VLOOKUP($D380,素材!$1:$1016,COLUMN($F$1),FALSE))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0)+IF($CI380&lt;&gt;"",VLOOKUP($CI380,付与!$A$1:BX$1173,COLUMN(付与!BX$1),FALSE),0)</f>
        <v>0</v>
      </c>
      <c r="BA380">
        <f>IF(ISNUMBER(SEARCH(SUBSTITUTE(BA$1,RIGHT(BA$1,2),""),VLOOKUP($D380,素材!$1:$1016,COLUMN($F$1),FALSE))),VLOOKUP($C380,装備品!$1:$998,COLUMN($O$1),FALSE)*VLOOKUP($D380,素材!$1:$1016,COLUMN($E$1),FALSE)/(LEN(VLOOKUP($D380,素材!$1:$1016,COLUMN($F$1),FALSE))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0)+IF($CI380&lt;&gt;"",VLOOKUP($CI380,付与!$A$1:BY$1173,COLUMN(付与!BY$1),FALSE),0)</f>
        <v>0</v>
      </c>
      <c r="BB380">
        <f>IF(ISNUMBER(SEARCH(SUBSTITUTE(BB$1,RIGHT(BB$1,2),""),VLOOKUP($D380,素材!$1:$1016,COLUMN($F$1),FALSE))),VLOOKUP($C380,装備品!$1:$998,COLUMN($O$1),FALSE)*VLOOKUP($D380,素材!$1:$1016,COLUMN($E$1),FALSE)/(LEN(VLOOKUP($D380,素材!$1:$1016,COLUMN($F$1),FALSE))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0)+IF($CI380&lt;&gt;"",VLOOKUP($CI380,付与!$A$1:BZ$1173,COLUMN(付与!BZ$1),FALSE),0)</f>
        <v>0</v>
      </c>
      <c r="BC380">
        <f>IF(ISNUMBER(SEARCH(SUBSTITUTE(BC$1,RIGHT(BC$1,2),""),VLOOKUP($D380,素材!$1:$1016,COLUMN($F$1),FALSE))),VLOOKUP($C380,装備品!$1:$998,COLUMN($O$1),FALSE)*VLOOKUP($D380,素材!$1:$1016,COLUMN($E$1),FALSE)/(LEN(VLOOKUP($D380,素材!$1:$1016,COLUMN($F$1),FALSE))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0)+IF($CI380&lt;&gt;"",VLOOKUP($CI380,付与!$A$1:CA$1173,COLUMN(付与!CA$1),FALSE),0)</f>
        <v>0</v>
      </c>
      <c r="BD380">
        <f>IF(ISNUMBER(SEARCH(SUBSTITUTE(BD$1,RIGHT(BD$1,2),""),VLOOKUP($D380,素材!$1:$1016,COLUMN($F$1),FALSE))),VLOOKUP($C380,装備品!$1:$998,COLUMN($O$1),FALSE)*VLOOKUP($D380,素材!$1:$1016,COLUMN($E$1),FALSE)/(LEN(VLOOKUP($D380,素材!$1:$1016,COLUMN($F$1),FALSE))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0)+IF($CI380&lt;&gt;"",VLOOKUP($CI380,付与!$A$1:CB$1173,COLUMN(付与!CB$1),FALSE),0)</f>
        <v>0</v>
      </c>
      <c r="BE380">
        <f>IF(ISNUMBER(SEARCH(SUBSTITUTE(BE$1,RIGHT(BE$1,2),""),VLOOKUP($D380,素材!$1:$1016,COLUMN($F$1),FALSE))),VLOOKUP($C380,装備品!$1:$998,COLUMN($O$1),FALSE)*VLOOKUP($D380,素材!$1:$1016,COLUMN($E$1),FALSE)/(LEN(VLOOKUP($D380,素材!$1:$1016,COLUMN($F$1),FALSE))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0)+IF($CI380&lt;&gt;"",VLOOKUP($CI380,付与!$A$1:CC$1173,COLUMN(付与!CC$1),FALSE),0)</f>
        <v>0</v>
      </c>
      <c r="CL380">
        <f t="shared" si="47"/>
        <v>0</v>
      </c>
      <c r="CM380" s="22" t="str">
        <f t="shared" si="48"/>
        <v>.webp</v>
      </c>
      <c r="CN380" t="str">
        <f>IFERROR(VLOOKUP($C380,装備品!$1:$998,COLUMN(V$1),FALSE)*VLOOKUP($D380,素材!$1:$1016,COLUMN(N$1),FALSE)+IF(CI380="",0,VLOOKUP($CI380,付与!$1:$1176,COLUMN($CK$1),FALSE)),"")</f>
        <v/>
      </c>
      <c r="CO380" t="e">
        <f>VLOOKUP(D380,素材!$A:$O,COLUMN(素材!O$1),FALSE)</f>
        <v>#N/A</v>
      </c>
      <c r="CP380" t="e">
        <f>VLOOKUP(C380,装備品!$A:$AB,COLUMN(装備品!AB$1),FALSE)</f>
        <v>#N/A</v>
      </c>
      <c r="CR380" t="str">
        <f t="shared" si="54"/>
        <v>e_380</v>
      </c>
      <c r="CS380" t="e">
        <f t="shared" si="56"/>
        <v>#VALUE!</v>
      </c>
    </row>
    <row r="381" spans="1:97" x14ac:dyDescent="0.4">
      <c r="B381" t="str">
        <f>IFERROR(VLOOKUP($D381,素材!$1:$1016,COLUMN($B$1),FALSE)&amp;"・"&amp;VLOOKUP($C381,装備品!$1:$998,COLUMN(B$1),FALSE),"")</f>
        <v/>
      </c>
      <c r="D381" s="24"/>
      <c r="E381" t="str">
        <f>IFERROR(VLOOKUP(C381,装備品!$1:$998,COLUMN(C$1),FALSE),"")</f>
        <v/>
      </c>
      <c r="F381" t="str">
        <f>IFERROR(ROUNDDOWN((VLOOKUP($C381,装備品!$1:$998,COLUMN(D$1),FALSE)+IFERROR(VLOOKUP($CI381,付与!$1:$1167,COLUMN(F$1),FALSE),0))*VLOOKUP($D381,素材!$1:$1016,COLUMN(D$1),FALSE),0),"")</f>
        <v/>
      </c>
      <c r="G381" t="str">
        <f>IFERROR(ROUNDDOWN((VLOOKUP($C381,装備品!$1:$998,COLUMN(E$1),FALSE)+IFERROR(VLOOKUP($CI381,付与!$1:$1167,COLUMN(G$1),FALSE),0))*VLOOKUP($D381,素材!$1:$1016,COLUMN($E$1),FALSE),0),"")</f>
        <v/>
      </c>
      <c r="H381" t="str">
        <f>IFERROR(ROUNDDOWN((VLOOKUP($C381,装備品!$1:$998,COLUMN(F$1),FALSE)+IFERROR(VLOOKUP($CI381,付与!$1:$1167,COLUMN(H$1),FALSE),0))*VLOOKUP($D381,素材!$1:$1016,COLUMN($E$1),FALSE),0),"")</f>
        <v/>
      </c>
      <c r="I381" t="str">
        <f>IFERROR(ROUNDDOWN((VLOOKUP($C381,装備品!$1:$998,COLUMN(G$1),FALSE)+IFERROR(VLOOKUP($CI381,付与!$1:$1167,COLUMN(I$1),FALSE),0))*VLOOKUP($D381,素材!$1:$1016,COLUMN($E$1),FALSE),0),"")</f>
        <v/>
      </c>
      <c r="J381" t="str">
        <f>IFERROR(ROUNDDOWN((VLOOKUP($C381,装備品!$1:$998,COLUMN(H$1),FALSE)+IFERROR(VLOOKUP($CI381,付与!$1:$1167,COLUMN(J$1),FALSE),0))*VLOOKUP($D381,素材!$1:$1016,COLUMN($E$1),FALSE),0),"")</f>
        <v/>
      </c>
      <c r="K381" t="str">
        <f>IFERROR(ROUNDDOWN((VLOOKUP($C381,装備品!$1:$998,COLUMN(I$1),FALSE)+IFERROR(VLOOKUP($CI381,付与!$1:$1167,COLUMN(K$1),FALSE),0))*VLOOKUP($D381,素材!$1:$1016,COLUMN($E$1),FALSE),0),"")</f>
        <v/>
      </c>
      <c r="L381" t="str">
        <f>IFERROR(VLOOKUP($D381,素材!$1:$1016,COLUMN($F$1),FALSE),"")</f>
        <v/>
      </c>
      <c r="M381" t="str">
        <f>IFERROR(VLOOKUP($C381,装備品!$1:$998,COLUMN(AA$1),FALSE)*VLOOKUP($D381,素材!$1:$1016,COLUMN($G$1),FALSE),"")</f>
        <v/>
      </c>
      <c r="N381" t="str">
        <f>IFERROR(VLOOKUP($C381,装備品!$1:$998,COLUMN(I$1),FALSE),"")</f>
        <v/>
      </c>
      <c r="O381" s="23" t="str">
        <f>IFERROR((VLOOKUP($C381,装備品!$1:$998,COLUMN(K$1),FALSE)+VLOOKUP($D381,素材!$1:$1016,COLUMN(H$1),FALSE))*100+IFERROR(VLOOKUP($CI381,付与!$1:$1167,COLUMN(O$1),FALSE),0),"")</f>
        <v/>
      </c>
      <c r="P381" s="23" t="str">
        <f>IFERROR((VLOOKUP($C381,装備品!$1:$998,COLUMN(L$1),FALSE)+VLOOKUP($D381,素材!$1:$1016,COLUMN(I$1),FALSE))*100+IFERROR(VLOOKUP($CI381,付与!$1:$1167,COLUMN(P$1),FALSE),0),"")</f>
        <v/>
      </c>
      <c r="Q381" t="str">
        <f>IFERROR(ROUNDUP(VLOOKUP($C381,装備品!$1:$998,COLUMN(M$1),FALSE)*(VLOOKUP($D381,素材!$1:$1002,COLUMN(D$1),FALSE)/100),1),"")</f>
        <v/>
      </c>
      <c r="R381" t="str">
        <f>IFERROR(ROUNDUP(VLOOKUP($C381,装備品!$1:$998,COLUMN(N$1),FALSE)*(VLOOKUP($D381,素材!$1:$1002,COLUMN(D$1),FALSE)/100),1),"")</f>
        <v/>
      </c>
      <c r="S381" t="str">
        <f>IFERROR(VLOOKUP($C381,装備品!$1:$998,COLUMN(P$1),FALSE),"")</f>
        <v/>
      </c>
      <c r="T381" t="str">
        <f>IFERROR(VLOOKUP($C381,装備品!$1:$998,COLUMN(Q$1),FALSE),"")</f>
        <v/>
      </c>
      <c r="U381" t="str">
        <f>IFERROR(VLOOKUP($C381,装備品!$1:$998,COLUMN(R$1),FALSE),"")</f>
        <v/>
      </c>
      <c r="V381" t="str">
        <f>IFERROR(VLOOKUP($C381,装備品!$1:$998,COLUMN(Q$1),FALSE),"")</f>
        <v/>
      </c>
      <c r="W381" t="str">
        <f>IFERROR(VLOOKUP($C381,装備品!$1:$998,COLUMN(T$1),FALSE),"")</f>
        <v/>
      </c>
      <c r="Y381" t="str">
        <f>IFERROR(VLOOKUP($C381,装備品!$1:$998,COLUMN(U$1),FALSE),"")</f>
        <v/>
      </c>
      <c r="Z381" t="str">
        <f>IFERROR(ROUNDUP(VLOOKUP($C381,装備品!$1:$998,COLUMN(O$1),FALSE)*VLOOKUP($D381,素材!$1:$1016,COLUMN(E$1),FALSE),1),"")</f>
        <v/>
      </c>
      <c r="AA381">
        <f>IF(ISNUMBER(SEARCH(SUBSTITUTE(AA$1,RIGHT(AA$1,2),""),VLOOKUP($D381,素材!$1:$1016,COLUMN($F$1),FALSE))),VLOOKUP($C381,装備品!$1:$998,COLUMN($O$1),FALSE)*VLOOKUP($D381,素材!$1:$1016,COLUMN($E$1),FALSE)/(LEN(VLOOKUP($D381,素材!$1:$1016,COLUMN($F$1),FALSE))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</f>
        <v>0</v>
      </c>
      <c r="AB381">
        <f>IF(ISNUMBER(SEARCH(SUBSTITUTE(AB$1,RIGHT(AB$1,2),""),VLOOKUP($D381,素材!$1:$1016,COLUMN($F$1),FALSE))),VLOOKUP($C381,装備品!$1:$998,COLUMN($O$1),FALSE)*VLOOKUP($D381,素材!$1:$1016,COLUMN($E$1),FALSE)/(LEN(VLOOKUP($D381,素材!$1:$1016,COLUMN($F$1),FALSE))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</f>
        <v>0</v>
      </c>
      <c r="AC381">
        <f>IF(ISNUMBER(SEARCH(SUBSTITUTE(AC$1,RIGHT(AC$1,2),""),VLOOKUP($D381,素材!$1:$1016,COLUMN($F$1),FALSE))),VLOOKUP($C381,装備品!$1:$998,COLUMN($O$1),FALSE)*VLOOKUP($D381,素材!$1:$1016,COLUMN($E$1),FALSE)/(LEN(VLOOKUP($D381,素材!$1:$1016,COLUMN($F$1),FALSE))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</f>
        <v>0</v>
      </c>
      <c r="AD381">
        <f>IF(ISNUMBER(SEARCH(SUBSTITUTE(AD$1,RIGHT(AD$1,2),""),VLOOKUP($D381,素材!$1:$1016,COLUMN($F$1),FALSE))),VLOOKUP($C381,装備品!$1:$998,COLUMN($O$1),FALSE)*VLOOKUP($D381,素材!$1:$1016,COLUMN($E$1),FALSE)/(LEN(VLOOKUP($D381,素材!$1:$1016,COLUMN($F$1),FALSE))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</f>
        <v>0</v>
      </c>
      <c r="AE381">
        <f>IF(ISNUMBER(SEARCH(SUBSTITUTE(AE$1,RIGHT(AE$1,2),""),VLOOKUP($D381,素材!$1:$1016,COLUMN($F$1),FALSE))),VLOOKUP($C381,装備品!$1:$998,COLUMN($O$1),FALSE)*VLOOKUP($D381,素材!$1:$1016,COLUMN($E$1),FALSE)/(LEN(VLOOKUP($D381,素材!$1:$1016,COLUMN($F$1),FALSE))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0)+IF($CI381&lt;&gt;"",VLOOKUP($CI381,付与!$A$1:BB$1173,COLUMN(付与!BB$1),FALSE),0)</f>
        <v>0</v>
      </c>
      <c r="AF381">
        <f>IF(ISNUMBER(SEARCH(SUBSTITUTE(AF$1,RIGHT(AF$1,2),""),VLOOKUP($D381,素材!$1:$1016,COLUMN($F$1),FALSE))),VLOOKUP($C381,装備品!$1:$998,COLUMN($O$1),FALSE)*VLOOKUP($D381,素材!$1:$1016,COLUMN($E$1),FALSE)/(LEN(VLOOKUP($D381,素材!$1:$1016,COLUMN($F$1),FALSE))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0)+IF($CI381&lt;&gt;"",VLOOKUP($CI381,付与!$A$1:BC$1173,COLUMN(付与!BC$1),FALSE),0)</f>
        <v>0</v>
      </c>
      <c r="AG381">
        <f>IF(ISNUMBER(SEARCH(SUBSTITUTE(AG$1,RIGHT(AG$1,2),""),VLOOKUP($D381,素材!$1:$1016,COLUMN($F$1),FALSE))),VLOOKUP($C381,装備品!$1:$998,COLUMN($O$1),FALSE)*VLOOKUP($D381,素材!$1:$1016,COLUMN($E$1),FALSE)/(LEN(VLOOKUP($D381,素材!$1:$1016,COLUMN($F$1),FALSE))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0)+IF($CI381&lt;&gt;"",VLOOKUP($CI381,付与!$A$1:BD$1173,COLUMN(付与!BD$1),FALSE),0)</f>
        <v>0</v>
      </c>
      <c r="AH381">
        <f>IF(ISNUMBER(SEARCH(SUBSTITUTE(AH$1,RIGHT(AH$1,2),""),VLOOKUP($D381,素材!$1:$1016,COLUMN($F$1),FALSE))),VLOOKUP($C381,装備品!$1:$998,COLUMN($O$1),FALSE)*VLOOKUP($D381,素材!$1:$1016,COLUMN($E$1),FALSE)/(LEN(VLOOKUP($D381,素材!$1:$1016,COLUMN($F$1),FALSE))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0)+IF($CI381&lt;&gt;"",VLOOKUP($CI381,付与!$A$1:BE$1173,COLUMN(付与!BE$1),FALSE),0)</f>
        <v>0</v>
      </c>
      <c r="AI381">
        <f>IF(ISNUMBER(SEARCH(SUBSTITUTE(AI$1,RIGHT(AI$1,2),""),VLOOKUP($D381,素材!$1:$1016,COLUMN($F$1),FALSE))),VLOOKUP($C381,装備品!$1:$998,COLUMN($O$1),FALSE)*VLOOKUP($D381,素材!$1:$1016,COLUMN($E$1),FALSE)/(LEN(VLOOKUP($D381,素材!$1:$1016,COLUMN($F$1),FALSE))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0)+IF($CI381&lt;&gt;"",VLOOKUP($CI381,付与!$A$1:BF$1173,COLUMN(付与!BF$1),FALSE),0)</f>
        <v>0</v>
      </c>
      <c r="AJ381">
        <f>IF(ISNUMBER(SEARCH(SUBSTITUTE(AJ$1,RIGHT(AJ$1,2),""),VLOOKUP($D381,素材!$1:$1016,COLUMN($F$1),FALSE))),VLOOKUP($C381,装備品!$1:$998,COLUMN($O$1),FALSE)*VLOOKUP($D381,素材!$1:$1016,COLUMN($E$1),FALSE)/(LEN(VLOOKUP($D381,素材!$1:$1016,COLUMN($F$1),FALSE))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0)+IF($CI381&lt;&gt;"",VLOOKUP($CI381,付与!$A$1:BG$1173,COLUMN(付与!BG$1),FALSE),0)</f>
        <v>0</v>
      </c>
      <c r="AK381">
        <f>IF(ISNUMBER(SEARCH(SUBSTITUTE(AK$1,RIGHT(AK$1,2),""),VLOOKUP($D381,素材!$1:$1016,COLUMN($F$1),FALSE))),VLOOKUP($C381,装備品!$1:$998,COLUMN($O$1),FALSE)*VLOOKUP($D381,素材!$1:$1016,COLUMN($E$1),FALSE)/(LEN(VLOOKUP($D381,素材!$1:$1016,COLUMN($F$1),FALSE))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0)+IF($CI381&lt;&gt;"",VLOOKUP($CI381,付与!$A$1:BH$1173,COLUMN(付与!BH$1),FALSE),0)</f>
        <v>0</v>
      </c>
      <c r="AL381">
        <f>IF(ISNUMBER(SEARCH(SUBSTITUTE(AL$1,RIGHT(AL$1,2),""),VLOOKUP($D381,素材!$1:$1016,COLUMN($F$1),FALSE))),VLOOKUP($C381,装備品!$1:$998,COLUMN($O$1),FALSE)*VLOOKUP($D381,素材!$1:$1016,COLUMN($E$1),FALSE)/(LEN(VLOOKUP($D381,素材!$1:$1016,COLUMN($F$1),FALSE))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0)+IF($CI381&lt;&gt;"",VLOOKUP($CI381,付与!$A$1:BI$1173,COLUMN(付与!BI$1),FALSE),0)</f>
        <v>0</v>
      </c>
      <c r="AM381">
        <f>IF(ISNUMBER(SEARCH(SUBSTITUTE(AM$1,RIGHT(AM$1,2),""),VLOOKUP($D381,素材!$1:$1016,COLUMN($F$1),FALSE))),VLOOKUP($C381,装備品!$1:$998,COLUMN($O$1),FALSE)*VLOOKUP($D381,素材!$1:$1016,COLUMN($E$1),FALSE)/(LEN(VLOOKUP($D381,素材!$1:$1016,COLUMN($F$1),FALSE))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0)+IF($CI381&lt;&gt;"",VLOOKUP($CI381,付与!$A$1:BJ$1173,COLUMN(付与!BJ$1),FALSE),0)</f>
        <v>0</v>
      </c>
      <c r="AN381">
        <f>IF(ISNUMBER(SEARCH(SUBSTITUTE(AN$1,RIGHT(AN$1,2),""),VLOOKUP($D381,素材!$1:$1016,COLUMN($F$1),FALSE))),VLOOKUP($C381,装備品!$1:$998,COLUMN($O$1),FALSE)*VLOOKUP($D381,素材!$1:$1016,COLUMN($E$1),FALSE)/(LEN(VLOOKUP($D381,素材!$1:$1016,COLUMN($F$1),FALSE))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0)+IF($CI381&lt;&gt;"",VLOOKUP($CI381,付与!$A$1:BK$1173,COLUMN(付与!BK$1),FALSE),0)</f>
        <v>0</v>
      </c>
      <c r="AO381">
        <f>IF(ISNUMBER(SEARCH(SUBSTITUTE(AO$1,RIGHT(AO$1,2),""),VLOOKUP($D381,素材!$1:$1016,COLUMN($F$1),FALSE))),VLOOKUP($C381,装備品!$1:$998,COLUMN($O$1),FALSE)*VLOOKUP($D381,素材!$1:$1016,COLUMN($E$1),FALSE)/(LEN(VLOOKUP($D381,素材!$1:$1016,COLUMN($F$1),FALSE))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0)+IF($CI381&lt;&gt;"",VLOOKUP($CI381,付与!$A$1:BM$1173,COLUMN(付与!BM$1),FALSE),0)</f>
        <v>0</v>
      </c>
      <c r="AP381">
        <f>IF(ISNUMBER(SEARCH(SUBSTITUTE(AP$1,RIGHT(AP$1,2),""),VLOOKUP($D381,素材!$1:$1016,COLUMN($F$1),FALSE))),VLOOKUP($C381,装備品!$1:$998,COLUMN($O$1),FALSE)*VLOOKUP($D381,素材!$1:$1016,COLUMN($E$1),FALSE)/(LEN(VLOOKUP($D381,素材!$1:$1016,COLUMN($F$1),FALSE))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0)+IF($CI381&lt;&gt;"",VLOOKUP($CI381,付与!$A$1:BN$1173,COLUMN(付与!BN$1),FALSE),0)</f>
        <v>0</v>
      </c>
      <c r="AQ381">
        <f>IF(ISNUMBER(SEARCH(SUBSTITUTE(AQ$1,RIGHT(AQ$1,2),""),VLOOKUP($D381,素材!$1:$1016,COLUMN($F$1),FALSE))),VLOOKUP($C381,装備品!$1:$998,COLUMN($O$1),FALSE)*VLOOKUP($D381,素材!$1:$1016,COLUMN($E$1),FALSE)/(LEN(VLOOKUP($D381,素材!$1:$1016,COLUMN($F$1),FALSE))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0)+IF($CI381&lt;&gt;"",VLOOKUP($CI381,付与!$A$1:BP$1173,COLUMN(付与!BP$1),FALSE),0)</f>
        <v>0</v>
      </c>
      <c r="AR381">
        <f>IF(ISNUMBER(SEARCH(SUBSTITUTE(AR$1,RIGHT(AR$1,2),""),VLOOKUP($D381,素材!$1:$1016,COLUMN($F$1),FALSE))),VLOOKUP($C381,装備品!$1:$998,COLUMN($O$1),FALSE)*VLOOKUP($D381,素材!$1:$1016,COLUMN($E$1),FALSE)/(LEN(VLOOKUP($D381,素材!$1:$1016,COLUMN($F$1),FALSE))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0)+IF($CI381&lt;&gt;"",VLOOKUP($CI381,付与!$A$1:BQ$1173,COLUMN(付与!BQ$1),FALSE),0)</f>
        <v>0</v>
      </c>
      <c r="AS381">
        <f>IF(ISNUMBER(SEARCH(SUBSTITUTE(AS$1,RIGHT(AS$1,2),""),VLOOKUP($D381,素材!$1:$1016,COLUMN($F$1),FALSE))),VLOOKUP($C381,装備品!$1:$998,COLUMN($O$1),FALSE)*VLOOKUP($D381,素材!$1:$1016,COLUMN($E$1),FALSE)/(LEN(VLOOKUP($D381,素材!$1:$1016,COLUMN($F$1),FALSE))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0)+IF($CI381&lt;&gt;"",VLOOKUP($CI381,付与!$A$1:BR$1173,COLUMN(付与!BR$1),FALSE),0)</f>
        <v>0</v>
      </c>
      <c r="AT381">
        <f>IF(ISNUMBER(SEARCH(SUBSTITUTE(AT$1,RIGHT(AT$1,2),""),VLOOKUP($D381,素材!$1:$1016,COLUMN($F$1),FALSE))),VLOOKUP($C381,装備品!$1:$998,COLUMN($O$1),FALSE)*VLOOKUP($D381,素材!$1:$1016,COLUMN($E$1),FALSE)/(LEN(VLOOKUP($D381,素材!$1:$1016,COLUMN($F$1),FALSE))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0)+IF($CI381&lt;&gt;"",VLOOKUP($CI381,付与!$A$1:BV$1173,COLUMN(付与!BV$1),FALSE),0)</f>
        <v>0</v>
      </c>
      <c r="AU381">
        <f>IF(ISNUMBER(SEARCH(SUBSTITUTE(AU$1,RIGHT(AU$1,2),""),VLOOKUP($D381,素材!$1:$1016,COLUMN($F$1),FALSE))),VLOOKUP($C381,装備品!$1:$998,COLUMN($O$1),FALSE)*VLOOKUP($D381,素材!$1:$1016,COLUMN($E$1),FALSE)/(LEN(VLOOKUP($D381,素材!$1:$1016,COLUMN($F$1),FALSE))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0)+IF($CI381&lt;&gt;"",VLOOKUP($CI381,付与!$A$1:BW$1173,COLUMN(付与!BW$1),FALSE),0)</f>
        <v>0</v>
      </c>
      <c r="AV381">
        <f>IF(ISNUMBER(SEARCH(SUBSTITUTE(AV$1,RIGHT(AV$1,2),""),VLOOKUP($D381,素材!$1:$1016,COLUMN($F$1),FALSE))),VLOOKUP($C381,装備品!$1:$998,COLUMN($O$1),FALSE)*VLOOKUP($D381,素材!$1:$1016,COLUMN($E$1),FALSE)/(LEN(VLOOKUP($D381,素材!$1:$1016,COLUMN($F$1),FALSE))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0)+IF($CI381&lt;&gt;"",VLOOKUP($CI381,付与!$A$1:BS$1173,COLUMN(付与!BS$1),FALSE),0)</f>
        <v>0</v>
      </c>
      <c r="AW381">
        <f>IF(ISNUMBER(SEARCH(SUBSTITUTE(AW$1,RIGHT(AW$1,2),""),VLOOKUP($D381,素材!$1:$1016,COLUMN($F$1),FALSE))),VLOOKUP($C381,装備品!$1:$998,COLUMN($O$1),FALSE)*VLOOKUP($D381,素材!$1:$1016,COLUMN($E$1),FALSE)/(LEN(VLOOKUP($D381,素材!$1:$1016,COLUMN($F$1),FALSE))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0)+IF($CI381&lt;&gt;"",VLOOKUP($CI381,付与!$A$1:BT$1173,COLUMN(付与!BT$1),FALSE),0)</f>
        <v>0</v>
      </c>
      <c r="AX381">
        <f>IF(ISNUMBER(SEARCH(SUBSTITUTE(AX$1,RIGHT(AX$1,2),""),VLOOKUP($D381,素材!$1:$1016,COLUMN($F$1),FALSE))),VLOOKUP($C381,装備品!$1:$998,COLUMN($O$1),FALSE)*VLOOKUP($D381,素材!$1:$1016,COLUMN($E$1),FALSE)/(LEN(VLOOKUP($D381,素材!$1:$1016,COLUMN($F$1),FALSE))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0)+IF($CI381&lt;&gt;"",VLOOKUP($CI381,付与!$A$1:BU$1173,COLUMN(付与!BU$1),FALSE),0)</f>
        <v>0</v>
      </c>
      <c r="AY381">
        <f>IF(ISNUMBER(SEARCH(SUBSTITUTE(AY$1,RIGHT(AY$1,2),""),VLOOKUP($D381,素材!$1:$1016,COLUMN($F$1),FALSE))),VLOOKUP($C381,装備品!$1:$998,COLUMN($O$1),FALSE)*VLOOKUP($D381,素材!$1:$1016,COLUMN($E$1),FALSE)/(LEN(VLOOKUP($D381,素材!$1:$1016,COLUMN($F$1),FALSE))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0)+IF($CI381&lt;&gt;"",VLOOKUP($CI381,付与!$A$1:BU$1173,COLUMN(付与!BO$1),FALSE),0)</f>
        <v>0</v>
      </c>
      <c r="AZ381">
        <f>IF(ISNUMBER(SEARCH(SUBSTITUTE(AZ$1,RIGHT(AZ$1,2),""),VLOOKUP($D381,素材!$1:$1016,COLUMN($F$1),FALSE))),VLOOKUP($C381,装備品!$1:$998,COLUMN($O$1),FALSE)*VLOOKUP($D381,素材!$1:$1016,COLUMN($E$1),FALSE)/(LEN(VLOOKUP($D381,素材!$1:$1016,COLUMN($F$1),FALSE))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0)+IF($CI381&lt;&gt;"",VLOOKUP($CI381,付与!$A$1:BX$1173,COLUMN(付与!BX$1),FALSE),0)</f>
        <v>0</v>
      </c>
      <c r="BA381">
        <f>IF(ISNUMBER(SEARCH(SUBSTITUTE(BA$1,RIGHT(BA$1,2),""),VLOOKUP($D381,素材!$1:$1016,COLUMN($F$1),FALSE))),VLOOKUP($C381,装備品!$1:$998,COLUMN($O$1),FALSE)*VLOOKUP($D381,素材!$1:$1016,COLUMN($E$1),FALSE)/(LEN(VLOOKUP($D381,素材!$1:$1016,COLUMN($F$1),FALSE))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0)+IF($CI381&lt;&gt;"",VLOOKUP($CI381,付与!$A$1:BY$1173,COLUMN(付与!BY$1),FALSE),0)</f>
        <v>0</v>
      </c>
      <c r="BB381">
        <f>IF(ISNUMBER(SEARCH(SUBSTITUTE(BB$1,RIGHT(BB$1,2),""),VLOOKUP($D381,素材!$1:$1016,COLUMN($F$1),FALSE))),VLOOKUP($C381,装備品!$1:$998,COLUMN($O$1),FALSE)*VLOOKUP($D381,素材!$1:$1016,COLUMN($E$1),FALSE)/(LEN(VLOOKUP($D381,素材!$1:$1016,COLUMN($F$1),FALSE))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0)+IF($CI381&lt;&gt;"",VLOOKUP($CI381,付与!$A$1:BZ$1173,COLUMN(付与!BZ$1),FALSE),0)</f>
        <v>0</v>
      </c>
      <c r="BC381">
        <f>IF(ISNUMBER(SEARCH(SUBSTITUTE(BC$1,RIGHT(BC$1,2),""),VLOOKUP($D381,素材!$1:$1016,COLUMN($F$1),FALSE))),VLOOKUP($C381,装備品!$1:$998,COLUMN($O$1),FALSE)*VLOOKUP($D381,素材!$1:$1016,COLUMN($E$1),FALSE)/(LEN(VLOOKUP($D381,素材!$1:$1016,COLUMN($F$1),FALSE))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0)+IF($CI381&lt;&gt;"",VLOOKUP($CI381,付与!$A$1:CA$1173,COLUMN(付与!CA$1),FALSE),0)</f>
        <v>0</v>
      </c>
      <c r="BD381">
        <f>IF(ISNUMBER(SEARCH(SUBSTITUTE(BD$1,RIGHT(BD$1,2),""),VLOOKUP($D381,素材!$1:$1016,COLUMN($F$1),FALSE))),VLOOKUP($C381,装備品!$1:$998,COLUMN($O$1),FALSE)*VLOOKUP($D381,素材!$1:$1016,COLUMN($E$1),FALSE)/(LEN(VLOOKUP($D381,素材!$1:$1016,COLUMN($F$1),FALSE))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0)+IF($CI381&lt;&gt;"",VLOOKUP($CI381,付与!$A$1:CB$1173,COLUMN(付与!CB$1),FALSE),0)</f>
        <v>0</v>
      </c>
      <c r="BE381">
        <f>IF(ISNUMBER(SEARCH(SUBSTITUTE(BE$1,RIGHT(BE$1,2),""),VLOOKUP($D381,素材!$1:$1016,COLUMN($F$1),FALSE))),VLOOKUP($C381,装備品!$1:$998,COLUMN($O$1),FALSE)*VLOOKUP($D381,素材!$1:$1016,COLUMN($E$1),FALSE)/(LEN(VLOOKUP($D381,素材!$1:$1016,COLUMN($F$1),FALSE))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0)+IF($CI381&lt;&gt;"",VLOOKUP($CI381,付与!$A$1:CC$1173,COLUMN(付与!CC$1),FALSE),0)</f>
        <v>0</v>
      </c>
      <c r="CL381">
        <f t="shared" si="47"/>
        <v>0</v>
      </c>
      <c r="CM381" s="22" t="str">
        <f t="shared" si="48"/>
        <v>.webp</v>
      </c>
      <c r="CN381" t="str">
        <f>IFERROR(VLOOKUP($C381,装備品!$1:$998,COLUMN(V$1),FALSE)*VLOOKUP($D381,素材!$1:$1016,COLUMN(N$1),FALSE)+IF(CI381="",0,VLOOKUP($CI381,付与!$1:$1176,COLUMN($CK$1),FALSE)),"")</f>
        <v/>
      </c>
      <c r="CO381" t="e">
        <f>VLOOKUP(D381,素材!$A:$O,COLUMN(素材!O$1),FALSE)</f>
        <v>#N/A</v>
      </c>
      <c r="CP381" t="e">
        <f>VLOOKUP(C381,装備品!$A:$AB,COLUMN(装備品!AB$1),FALSE)</f>
        <v>#N/A</v>
      </c>
      <c r="CR381" t="str">
        <f t="shared" si="54"/>
        <v>e_381</v>
      </c>
      <c r="CS381" t="e">
        <f t="shared" si="56"/>
        <v>#VALUE!</v>
      </c>
    </row>
    <row r="382" spans="1:97" x14ac:dyDescent="0.4">
      <c r="B382" t="str">
        <f>IFERROR(VLOOKUP($D382,素材!$1:$1016,COLUMN($B$1),FALSE)&amp;"・"&amp;VLOOKUP($C382,装備品!$1:$998,COLUMN(B$1),FALSE),"")</f>
        <v/>
      </c>
      <c r="D382" s="24"/>
      <c r="E382" t="str">
        <f>IFERROR(VLOOKUP(C382,装備品!$1:$998,COLUMN(C$1),FALSE),"")</f>
        <v/>
      </c>
      <c r="F382" t="str">
        <f>IFERROR(ROUNDDOWN((VLOOKUP($C382,装備品!$1:$998,COLUMN(D$1),FALSE)+IFERROR(VLOOKUP($CI382,付与!$1:$1167,COLUMN(F$1),FALSE),0))*VLOOKUP($D382,素材!$1:$1016,COLUMN(D$1),FALSE),0),"")</f>
        <v/>
      </c>
      <c r="G382" t="str">
        <f>IFERROR(ROUNDDOWN((VLOOKUP($C382,装備品!$1:$998,COLUMN(E$1),FALSE)+IFERROR(VLOOKUP($CI382,付与!$1:$1167,COLUMN(G$1),FALSE),0))*VLOOKUP($D382,素材!$1:$1016,COLUMN($E$1),FALSE),0),"")</f>
        <v/>
      </c>
      <c r="H382" t="str">
        <f>IFERROR(ROUNDDOWN((VLOOKUP($C382,装備品!$1:$998,COLUMN(F$1),FALSE)+IFERROR(VLOOKUP($CI382,付与!$1:$1167,COLUMN(H$1),FALSE),0))*VLOOKUP($D382,素材!$1:$1016,COLUMN($E$1),FALSE),0),"")</f>
        <v/>
      </c>
      <c r="I382" t="str">
        <f>IFERROR(ROUNDDOWN((VLOOKUP($C382,装備品!$1:$998,COLUMN(G$1),FALSE)+IFERROR(VLOOKUP($CI382,付与!$1:$1167,COLUMN(I$1),FALSE),0))*VLOOKUP($D382,素材!$1:$1016,COLUMN($E$1),FALSE),0),"")</f>
        <v/>
      </c>
      <c r="J382" t="str">
        <f>IFERROR(ROUNDDOWN((VLOOKUP($C382,装備品!$1:$998,COLUMN(H$1),FALSE)+IFERROR(VLOOKUP($CI382,付与!$1:$1167,COLUMN(J$1),FALSE),0))*VLOOKUP($D382,素材!$1:$1016,COLUMN($E$1),FALSE),0),"")</f>
        <v/>
      </c>
      <c r="K382" t="str">
        <f>IFERROR(ROUNDDOWN((VLOOKUP($C382,装備品!$1:$998,COLUMN(I$1),FALSE)+IFERROR(VLOOKUP($CI382,付与!$1:$1167,COLUMN(K$1),FALSE),0))*VLOOKUP($D382,素材!$1:$1016,COLUMN($E$1),FALSE),0),"")</f>
        <v/>
      </c>
      <c r="L382" t="str">
        <f>IFERROR(VLOOKUP($D382,素材!$1:$1016,COLUMN($F$1),FALSE),"")</f>
        <v/>
      </c>
      <c r="M382" t="str">
        <f>IFERROR(VLOOKUP($C382,装備品!$1:$998,COLUMN(AA$1),FALSE)*VLOOKUP($D382,素材!$1:$1016,COLUMN($G$1),FALSE),"")</f>
        <v/>
      </c>
      <c r="N382" t="str">
        <f>IFERROR(VLOOKUP($C382,装備品!$1:$998,COLUMN(I$1),FALSE),"")</f>
        <v/>
      </c>
      <c r="O382" s="23" t="str">
        <f>IFERROR((VLOOKUP($C382,装備品!$1:$998,COLUMN(K$1),FALSE)+VLOOKUP($D382,素材!$1:$1016,COLUMN(H$1),FALSE))*100+IFERROR(VLOOKUP($CI382,付与!$1:$1167,COLUMN(O$1),FALSE),0),"")</f>
        <v/>
      </c>
      <c r="P382" s="23" t="str">
        <f>IFERROR((VLOOKUP($C382,装備品!$1:$998,COLUMN(L$1),FALSE)+VLOOKUP($D382,素材!$1:$1016,COLUMN(I$1),FALSE))*100+IFERROR(VLOOKUP($CI382,付与!$1:$1167,COLUMN(P$1),FALSE),0),"")</f>
        <v/>
      </c>
      <c r="Q382" t="str">
        <f>IFERROR(ROUNDUP(VLOOKUP($C382,装備品!$1:$998,COLUMN(M$1),FALSE)*(VLOOKUP($D382,素材!$1:$1002,COLUMN(D$1),FALSE)/100),1),"")</f>
        <v/>
      </c>
      <c r="R382" t="str">
        <f>IFERROR(ROUNDUP(VLOOKUP($C382,装備品!$1:$998,COLUMN(N$1),FALSE)*(VLOOKUP($D382,素材!$1:$1002,COLUMN(D$1),FALSE)/100),1),"")</f>
        <v/>
      </c>
      <c r="S382" t="str">
        <f>IFERROR(VLOOKUP($C382,装備品!$1:$998,COLUMN(P$1),FALSE),"")</f>
        <v/>
      </c>
      <c r="T382" t="str">
        <f>IFERROR(VLOOKUP($C382,装備品!$1:$998,COLUMN(Q$1),FALSE),"")</f>
        <v/>
      </c>
      <c r="U382" t="str">
        <f>IFERROR(VLOOKUP($C382,装備品!$1:$998,COLUMN(R$1),FALSE),"")</f>
        <v/>
      </c>
      <c r="V382" t="str">
        <f>IFERROR(VLOOKUP($C382,装備品!$1:$998,COLUMN(Q$1),FALSE),"")</f>
        <v/>
      </c>
      <c r="W382" t="str">
        <f>IFERROR(VLOOKUP($C382,装備品!$1:$998,COLUMN(T$1),FALSE),"")</f>
        <v/>
      </c>
      <c r="Y382" t="str">
        <f>IFERROR(VLOOKUP($C382,装備品!$1:$998,COLUMN(U$1),FALSE),"")</f>
        <v/>
      </c>
      <c r="Z382" t="str">
        <f>IFERROR(ROUNDUP(VLOOKUP($C382,装備品!$1:$998,COLUMN(O$1),FALSE)*VLOOKUP($D382,素材!$1:$1016,COLUMN(E$1),FALSE),1),"")</f>
        <v/>
      </c>
      <c r="AA382">
        <f>IF(ISNUMBER(SEARCH(SUBSTITUTE(AA$1,RIGHT(AA$1,2),""),VLOOKUP($D382,素材!$1:$1016,COLUMN($F$1),FALSE))),VLOOKUP($C382,装備品!$1:$998,COLUMN($O$1),FALSE)*VLOOKUP($D382,素材!$1:$1016,COLUMN($E$1),FALSE)/(LEN(VLOOKUP($D382,素材!$1:$1016,COLUMN($F$1),FALSE))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</f>
        <v>0</v>
      </c>
      <c r="AB382">
        <f>IF(ISNUMBER(SEARCH(SUBSTITUTE(AB$1,RIGHT(AB$1,2),""),VLOOKUP($D382,素材!$1:$1016,COLUMN($F$1),FALSE))),VLOOKUP($C382,装備品!$1:$998,COLUMN($O$1),FALSE)*VLOOKUP($D382,素材!$1:$1016,COLUMN($E$1),FALSE)/(LEN(VLOOKUP($D382,素材!$1:$1016,COLUMN($F$1),FALSE))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</f>
        <v>0</v>
      </c>
      <c r="AC382">
        <f>IF(ISNUMBER(SEARCH(SUBSTITUTE(AC$1,RIGHT(AC$1,2),""),VLOOKUP($D382,素材!$1:$1016,COLUMN($F$1),FALSE))),VLOOKUP($C382,装備品!$1:$998,COLUMN($O$1),FALSE)*VLOOKUP($D382,素材!$1:$1016,COLUMN($E$1),FALSE)/(LEN(VLOOKUP($D382,素材!$1:$1016,COLUMN($F$1),FALSE))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</f>
        <v>0</v>
      </c>
      <c r="AD382">
        <f>IF(ISNUMBER(SEARCH(SUBSTITUTE(AD$1,RIGHT(AD$1,2),""),VLOOKUP($D382,素材!$1:$1016,COLUMN($F$1),FALSE))),VLOOKUP($C382,装備品!$1:$998,COLUMN($O$1),FALSE)*VLOOKUP($D382,素材!$1:$1016,COLUMN($E$1),FALSE)/(LEN(VLOOKUP($D382,素材!$1:$1016,COLUMN($F$1),FALSE))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</f>
        <v>0</v>
      </c>
      <c r="AE382">
        <f>IF(ISNUMBER(SEARCH(SUBSTITUTE(AE$1,RIGHT(AE$1,2),""),VLOOKUP($D382,素材!$1:$1016,COLUMN($F$1),FALSE))),VLOOKUP($C382,装備品!$1:$998,COLUMN($O$1),FALSE)*VLOOKUP($D382,素材!$1:$1016,COLUMN($E$1),FALSE)/(LEN(VLOOKUP($D382,素材!$1:$1016,COLUMN($F$1),FALSE))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0)+IF($CI382&lt;&gt;"",VLOOKUP($CI382,付与!$A$1:BB$1173,COLUMN(付与!BB$1),FALSE),0)</f>
        <v>0</v>
      </c>
      <c r="AF382">
        <f>IF(ISNUMBER(SEARCH(SUBSTITUTE(AF$1,RIGHT(AF$1,2),""),VLOOKUP($D382,素材!$1:$1016,COLUMN($F$1),FALSE))),VLOOKUP($C382,装備品!$1:$998,COLUMN($O$1),FALSE)*VLOOKUP($D382,素材!$1:$1016,COLUMN($E$1),FALSE)/(LEN(VLOOKUP($D382,素材!$1:$1016,COLUMN($F$1),FALSE))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0)+IF($CI382&lt;&gt;"",VLOOKUP($CI382,付与!$A$1:BC$1173,COLUMN(付与!BC$1),FALSE),0)</f>
        <v>0</v>
      </c>
      <c r="AG382">
        <f>IF(ISNUMBER(SEARCH(SUBSTITUTE(AG$1,RIGHT(AG$1,2),""),VLOOKUP($D382,素材!$1:$1016,COLUMN($F$1),FALSE))),VLOOKUP($C382,装備品!$1:$998,COLUMN($O$1),FALSE)*VLOOKUP($D382,素材!$1:$1016,COLUMN($E$1),FALSE)/(LEN(VLOOKUP($D382,素材!$1:$1016,COLUMN($F$1),FALSE))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0)+IF($CI382&lt;&gt;"",VLOOKUP($CI382,付与!$A$1:BD$1173,COLUMN(付与!BD$1),FALSE),0)</f>
        <v>0</v>
      </c>
      <c r="AH382">
        <f>IF(ISNUMBER(SEARCH(SUBSTITUTE(AH$1,RIGHT(AH$1,2),""),VLOOKUP($D382,素材!$1:$1016,COLUMN($F$1),FALSE))),VLOOKUP($C382,装備品!$1:$998,COLUMN($O$1),FALSE)*VLOOKUP($D382,素材!$1:$1016,COLUMN($E$1),FALSE)/(LEN(VLOOKUP($D382,素材!$1:$1016,COLUMN($F$1),FALSE))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0)+IF($CI382&lt;&gt;"",VLOOKUP($CI382,付与!$A$1:BE$1173,COLUMN(付与!BE$1),FALSE),0)</f>
        <v>0</v>
      </c>
      <c r="AI382">
        <f>IF(ISNUMBER(SEARCH(SUBSTITUTE(AI$1,RIGHT(AI$1,2),""),VLOOKUP($D382,素材!$1:$1016,COLUMN($F$1),FALSE))),VLOOKUP($C382,装備品!$1:$998,COLUMN($O$1),FALSE)*VLOOKUP($D382,素材!$1:$1016,COLUMN($E$1),FALSE)/(LEN(VLOOKUP($D382,素材!$1:$1016,COLUMN($F$1),FALSE))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0)+IF($CI382&lt;&gt;"",VLOOKUP($CI382,付与!$A$1:BF$1173,COLUMN(付与!BF$1),FALSE),0)</f>
        <v>0</v>
      </c>
      <c r="AJ382">
        <f>IF(ISNUMBER(SEARCH(SUBSTITUTE(AJ$1,RIGHT(AJ$1,2),""),VLOOKUP($D382,素材!$1:$1016,COLUMN($F$1),FALSE))),VLOOKUP($C382,装備品!$1:$998,COLUMN($O$1),FALSE)*VLOOKUP($D382,素材!$1:$1016,COLUMN($E$1),FALSE)/(LEN(VLOOKUP($D382,素材!$1:$1016,COLUMN($F$1),FALSE))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0)+IF($CI382&lt;&gt;"",VLOOKUP($CI382,付与!$A$1:BG$1173,COLUMN(付与!BG$1),FALSE),0)</f>
        <v>0</v>
      </c>
      <c r="AK382">
        <f>IF(ISNUMBER(SEARCH(SUBSTITUTE(AK$1,RIGHT(AK$1,2),""),VLOOKUP($D382,素材!$1:$1016,COLUMN($F$1),FALSE))),VLOOKUP($C382,装備品!$1:$998,COLUMN($O$1),FALSE)*VLOOKUP($D382,素材!$1:$1016,COLUMN($E$1),FALSE)/(LEN(VLOOKUP($D382,素材!$1:$1016,COLUMN($F$1),FALSE))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0)+IF($CI382&lt;&gt;"",VLOOKUP($CI382,付与!$A$1:BH$1173,COLUMN(付与!BH$1),FALSE),0)</f>
        <v>0</v>
      </c>
      <c r="AL382">
        <f>IF(ISNUMBER(SEARCH(SUBSTITUTE(AL$1,RIGHT(AL$1,2),""),VLOOKUP($D382,素材!$1:$1016,COLUMN($F$1),FALSE))),VLOOKUP($C382,装備品!$1:$998,COLUMN($O$1),FALSE)*VLOOKUP($D382,素材!$1:$1016,COLUMN($E$1),FALSE)/(LEN(VLOOKUP($D382,素材!$1:$1016,COLUMN($F$1),FALSE))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0)+IF($CI382&lt;&gt;"",VLOOKUP($CI382,付与!$A$1:BI$1173,COLUMN(付与!BI$1),FALSE),0)</f>
        <v>0</v>
      </c>
      <c r="AM382">
        <f>IF(ISNUMBER(SEARCH(SUBSTITUTE(AM$1,RIGHT(AM$1,2),""),VLOOKUP($D382,素材!$1:$1016,COLUMN($F$1),FALSE))),VLOOKUP($C382,装備品!$1:$998,COLUMN($O$1),FALSE)*VLOOKUP($D382,素材!$1:$1016,COLUMN($E$1),FALSE)/(LEN(VLOOKUP($D382,素材!$1:$1016,COLUMN($F$1),FALSE))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0)+IF($CI382&lt;&gt;"",VLOOKUP($CI382,付与!$A$1:BJ$1173,COLUMN(付与!BJ$1),FALSE),0)</f>
        <v>0</v>
      </c>
      <c r="AN382">
        <f>IF(ISNUMBER(SEARCH(SUBSTITUTE(AN$1,RIGHT(AN$1,2),""),VLOOKUP($D382,素材!$1:$1016,COLUMN($F$1),FALSE))),VLOOKUP($C382,装備品!$1:$998,COLUMN($O$1),FALSE)*VLOOKUP($D382,素材!$1:$1016,COLUMN($E$1),FALSE)/(LEN(VLOOKUP($D382,素材!$1:$1016,COLUMN($F$1),FALSE))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0)+IF($CI382&lt;&gt;"",VLOOKUP($CI382,付与!$A$1:BK$1173,COLUMN(付与!BK$1),FALSE),0)</f>
        <v>0</v>
      </c>
      <c r="AO382">
        <f>IF(ISNUMBER(SEARCH(SUBSTITUTE(AO$1,RIGHT(AO$1,2),""),VLOOKUP($D382,素材!$1:$1016,COLUMN($F$1),FALSE))),VLOOKUP($C382,装備品!$1:$998,COLUMN($O$1),FALSE)*VLOOKUP($D382,素材!$1:$1016,COLUMN($E$1),FALSE)/(LEN(VLOOKUP($D382,素材!$1:$1016,COLUMN($F$1),FALSE))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0)+IF($CI382&lt;&gt;"",VLOOKUP($CI382,付与!$A$1:BM$1173,COLUMN(付与!BM$1),FALSE),0)</f>
        <v>0</v>
      </c>
      <c r="AP382">
        <f>IF(ISNUMBER(SEARCH(SUBSTITUTE(AP$1,RIGHT(AP$1,2),""),VLOOKUP($D382,素材!$1:$1016,COLUMN($F$1),FALSE))),VLOOKUP($C382,装備品!$1:$998,COLUMN($O$1),FALSE)*VLOOKUP($D382,素材!$1:$1016,COLUMN($E$1),FALSE)/(LEN(VLOOKUP($D382,素材!$1:$1016,COLUMN($F$1),FALSE))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0)+IF($CI382&lt;&gt;"",VLOOKUP($CI382,付与!$A$1:BN$1173,COLUMN(付与!BN$1),FALSE),0)</f>
        <v>0</v>
      </c>
      <c r="AQ382">
        <f>IF(ISNUMBER(SEARCH(SUBSTITUTE(AQ$1,RIGHT(AQ$1,2),""),VLOOKUP($D382,素材!$1:$1016,COLUMN($F$1),FALSE))),VLOOKUP($C382,装備品!$1:$998,COLUMN($O$1),FALSE)*VLOOKUP($D382,素材!$1:$1016,COLUMN($E$1),FALSE)/(LEN(VLOOKUP($D382,素材!$1:$1016,COLUMN($F$1),FALSE))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0)+IF($CI382&lt;&gt;"",VLOOKUP($CI382,付与!$A$1:BP$1173,COLUMN(付与!BP$1),FALSE),0)</f>
        <v>0</v>
      </c>
      <c r="AR382">
        <f>IF(ISNUMBER(SEARCH(SUBSTITUTE(AR$1,RIGHT(AR$1,2),""),VLOOKUP($D382,素材!$1:$1016,COLUMN($F$1),FALSE))),VLOOKUP($C382,装備品!$1:$998,COLUMN($O$1),FALSE)*VLOOKUP($D382,素材!$1:$1016,COLUMN($E$1),FALSE)/(LEN(VLOOKUP($D382,素材!$1:$1016,COLUMN($F$1),FALSE))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0)+IF($CI382&lt;&gt;"",VLOOKUP($CI382,付与!$A$1:BQ$1173,COLUMN(付与!BQ$1),FALSE),0)</f>
        <v>0</v>
      </c>
      <c r="AS382">
        <f>IF(ISNUMBER(SEARCH(SUBSTITUTE(AS$1,RIGHT(AS$1,2),""),VLOOKUP($D382,素材!$1:$1016,COLUMN($F$1),FALSE))),VLOOKUP($C382,装備品!$1:$998,COLUMN($O$1),FALSE)*VLOOKUP($D382,素材!$1:$1016,COLUMN($E$1),FALSE)/(LEN(VLOOKUP($D382,素材!$1:$1016,COLUMN($F$1),FALSE))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0)+IF($CI382&lt;&gt;"",VLOOKUP($CI382,付与!$A$1:BR$1173,COLUMN(付与!BR$1),FALSE),0)</f>
        <v>0</v>
      </c>
      <c r="AT382">
        <f>IF(ISNUMBER(SEARCH(SUBSTITUTE(AT$1,RIGHT(AT$1,2),""),VLOOKUP($D382,素材!$1:$1016,COLUMN($F$1),FALSE))),VLOOKUP($C382,装備品!$1:$998,COLUMN($O$1),FALSE)*VLOOKUP($D382,素材!$1:$1016,COLUMN($E$1),FALSE)/(LEN(VLOOKUP($D382,素材!$1:$1016,COLUMN($F$1),FALSE))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0)+IF($CI382&lt;&gt;"",VLOOKUP($CI382,付与!$A$1:BV$1173,COLUMN(付与!BV$1),FALSE),0)</f>
        <v>0</v>
      </c>
      <c r="AU382">
        <f>IF(ISNUMBER(SEARCH(SUBSTITUTE(AU$1,RIGHT(AU$1,2),""),VLOOKUP($D382,素材!$1:$1016,COLUMN($F$1),FALSE))),VLOOKUP($C382,装備品!$1:$998,COLUMN($O$1),FALSE)*VLOOKUP($D382,素材!$1:$1016,COLUMN($E$1),FALSE)/(LEN(VLOOKUP($D382,素材!$1:$1016,COLUMN($F$1),FALSE))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0)+IF($CI382&lt;&gt;"",VLOOKUP($CI382,付与!$A$1:BW$1173,COLUMN(付与!BW$1),FALSE),0)</f>
        <v>0</v>
      </c>
      <c r="AV382">
        <f>IF(ISNUMBER(SEARCH(SUBSTITUTE(AV$1,RIGHT(AV$1,2),""),VLOOKUP($D382,素材!$1:$1016,COLUMN($F$1),FALSE))),VLOOKUP($C382,装備品!$1:$998,COLUMN($O$1),FALSE)*VLOOKUP($D382,素材!$1:$1016,COLUMN($E$1),FALSE)/(LEN(VLOOKUP($D382,素材!$1:$1016,COLUMN($F$1),FALSE))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0)+IF($CI382&lt;&gt;"",VLOOKUP($CI382,付与!$A$1:BS$1173,COLUMN(付与!BS$1),FALSE),0)</f>
        <v>0</v>
      </c>
      <c r="AW382">
        <f>IF(ISNUMBER(SEARCH(SUBSTITUTE(AW$1,RIGHT(AW$1,2),""),VLOOKUP($D382,素材!$1:$1016,COLUMN($F$1),FALSE))),VLOOKUP($C382,装備品!$1:$998,COLUMN($O$1),FALSE)*VLOOKUP($D382,素材!$1:$1016,COLUMN($E$1),FALSE)/(LEN(VLOOKUP($D382,素材!$1:$1016,COLUMN($F$1),FALSE))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0)+IF($CI382&lt;&gt;"",VLOOKUP($CI382,付与!$A$1:BT$1173,COLUMN(付与!BT$1),FALSE),0)</f>
        <v>0</v>
      </c>
      <c r="AX382">
        <f>IF(ISNUMBER(SEARCH(SUBSTITUTE(AX$1,RIGHT(AX$1,2),""),VLOOKUP($D382,素材!$1:$1016,COLUMN($F$1),FALSE))),VLOOKUP($C382,装備品!$1:$998,COLUMN($O$1),FALSE)*VLOOKUP($D382,素材!$1:$1016,COLUMN($E$1),FALSE)/(LEN(VLOOKUP($D382,素材!$1:$1016,COLUMN($F$1),FALSE))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0)+IF($CI382&lt;&gt;"",VLOOKUP($CI382,付与!$A$1:BU$1173,COLUMN(付与!BU$1),FALSE),0)</f>
        <v>0</v>
      </c>
      <c r="AY382">
        <f>IF(ISNUMBER(SEARCH(SUBSTITUTE(AY$1,RIGHT(AY$1,2),""),VLOOKUP($D382,素材!$1:$1016,COLUMN($F$1),FALSE))),VLOOKUP($C382,装備品!$1:$998,COLUMN($O$1),FALSE)*VLOOKUP($D382,素材!$1:$1016,COLUMN($E$1),FALSE)/(LEN(VLOOKUP($D382,素材!$1:$1016,COLUMN($F$1),FALSE))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0)+IF($CI382&lt;&gt;"",VLOOKUP($CI382,付与!$A$1:BU$1173,COLUMN(付与!BO$1),FALSE),0)</f>
        <v>0</v>
      </c>
      <c r="AZ382">
        <f>IF(ISNUMBER(SEARCH(SUBSTITUTE(AZ$1,RIGHT(AZ$1,2),""),VLOOKUP($D382,素材!$1:$1016,COLUMN($F$1),FALSE))),VLOOKUP($C382,装備品!$1:$998,COLUMN($O$1),FALSE)*VLOOKUP($D382,素材!$1:$1016,COLUMN($E$1),FALSE)/(LEN(VLOOKUP($D382,素材!$1:$1016,COLUMN($F$1),FALSE))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0)+IF($CI382&lt;&gt;"",VLOOKUP($CI382,付与!$A$1:BX$1173,COLUMN(付与!BX$1),FALSE),0)</f>
        <v>0</v>
      </c>
      <c r="BA382">
        <f>IF(ISNUMBER(SEARCH(SUBSTITUTE(BA$1,RIGHT(BA$1,2),""),VLOOKUP($D382,素材!$1:$1016,COLUMN($F$1),FALSE))),VLOOKUP($C382,装備品!$1:$998,COLUMN($O$1),FALSE)*VLOOKUP($D382,素材!$1:$1016,COLUMN($E$1),FALSE)/(LEN(VLOOKUP($D382,素材!$1:$1016,COLUMN($F$1),FALSE))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0)+IF($CI382&lt;&gt;"",VLOOKUP($CI382,付与!$A$1:BY$1173,COLUMN(付与!BY$1),FALSE),0)</f>
        <v>0</v>
      </c>
      <c r="BB382">
        <f>IF(ISNUMBER(SEARCH(SUBSTITUTE(BB$1,RIGHT(BB$1,2),""),VLOOKUP($D382,素材!$1:$1016,COLUMN($F$1),FALSE))),VLOOKUP($C382,装備品!$1:$998,COLUMN($O$1),FALSE)*VLOOKUP($D382,素材!$1:$1016,COLUMN($E$1),FALSE)/(LEN(VLOOKUP($D382,素材!$1:$1016,COLUMN($F$1),FALSE))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0)+IF($CI382&lt;&gt;"",VLOOKUP($CI382,付与!$A$1:BZ$1173,COLUMN(付与!BZ$1),FALSE),0)</f>
        <v>0</v>
      </c>
      <c r="BC382">
        <f>IF(ISNUMBER(SEARCH(SUBSTITUTE(BC$1,RIGHT(BC$1,2),""),VLOOKUP($D382,素材!$1:$1016,COLUMN($F$1),FALSE))),VLOOKUP($C382,装備品!$1:$998,COLUMN($O$1),FALSE)*VLOOKUP($D382,素材!$1:$1016,COLUMN($E$1),FALSE)/(LEN(VLOOKUP($D382,素材!$1:$1016,COLUMN($F$1),FALSE))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0)+IF($CI382&lt;&gt;"",VLOOKUP($CI382,付与!$A$1:CA$1173,COLUMN(付与!CA$1),FALSE),0)</f>
        <v>0</v>
      </c>
      <c r="BD382">
        <f>IF(ISNUMBER(SEARCH(SUBSTITUTE(BD$1,RIGHT(BD$1,2),""),VLOOKUP($D382,素材!$1:$1016,COLUMN($F$1),FALSE))),VLOOKUP($C382,装備品!$1:$998,COLUMN($O$1),FALSE)*VLOOKUP($D382,素材!$1:$1016,COLUMN($E$1),FALSE)/(LEN(VLOOKUP($D382,素材!$1:$1016,COLUMN($F$1),FALSE))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0)+IF($CI382&lt;&gt;"",VLOOKUP($CI382,付与!$A$1:CB$1173,COLUMN(付与!CB$1),FALSE),0)</f>
        <v>0</v>
      </c>
      <c r="BE382">
        <f>IF(ISNUMBER(SEARCH(SUBSTITUTE(BE$1,RIGHT(BE$1,2),""),VLOOKUP($D382,素材!$1:$1016,COLUMN($F$1),FALSE))),VLOOKUP($C382,装備品!$1:$998,COLUMN($O$1),FALSE)*VLOOKUP($D382,素材!$1:$1016,COLUMN($E$1),FALSE)/(LEN(VLOOKUP($D382,素材!$1:$1016,COLUMN($F$1),FALSE))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0)+IF($CI382&lt;&gt;"",VLOOKUP($CI382,付与!$A$1:CC$1173,COLUMN(付与!CC$1),FALSE),0)</f>
        <v>0</v>
      </c>
      <c r="CL382">
        <f t="shared" si="47"/>
        <v>0</v>
      </c>
      <c r="CM382" s="22" t="str">
        <f t="shared" si="48"/>
        <v>.webp</v>
      </c>
      <c r="CN382" t="str">
        <f>IFERROR(VLOOKUP($C382,装備品!$1:$998,COLUMN(V$1),FALSE)*VLOOKUP($D382,素材!$1:$1016,COLUMN(N$1),FALSE)+IF(CI382="",0,VLOOKUP($CI382,付与!$1:$1176,COLUMN($CK$1),FALSE)),"")</f>
        <v/>
      </c>
      <c r="CO382" t="e">
        <f>VLOOKUP(D382,素材!$A:$O,COLUMN(素材!O$1),FALSE)</f>
        <v>#N/A</v>
      </c>
      <c r="CP382" t="e">
        <f>VLOOKUP(C382,装備品!$A:$AB,COLUMN(装備品!AB$1),FALSE)</f>
        <v>#N/A</v>
      </c>
      <c r="CR382" t="str">
        <f t="shared" si="54"/>
        <v>e_382</v>
      </c>
      <c r="CS382" t="e">
        <f t="shared" si="56"/>
        <v>#VALUE!</v>
      </c>
    </row>
    <row r="383" spans="1:97" x14ac:dyDescent="0.4">
      <c r="B383" t="str">
        <f>IFERROR(VLOOKUP($D383,素材!$1:$1016,COLUMN($B$1),FALSE)&amp;"・"&amp;VLOOKUP($C383,装備品!$1:$998,COLUMN(B$1),FALSE),"")</f>
        <v/>
      </c>
      <c r="D383" s="24"/>
      <c r="E383" t="str">
        <f>IFERROR(VLOOKUP(C383,装備品!$1:$998,COLUMN(C$1),FALSE),"")</f>
        <v/>
      </c>
      <c r="F383" t="str">
        <f>IFERROR(ROUNDDOWN((VLOOKUP($C383,装備品!$1:$998,COLUMN(D$1),FALSE)+IFERROR(VLOOKUP($CI383,付与!$1:$1167,COLUMN(F$1),FALSE),0))*VLOOKUP($D383,素材!$1:$1016,COLUMN(D$1),FALSE),0),"")</f>
        <v/>
      </c>
      <c r="G383" t="str">
        <f>IFERROR(ROUNDDOWN((VLOOKUP($C383,装備品!$1:$998,COLUMN(E$1),FALSE)+IFERROR(VLOOKUP($CI383,付与!$1:$1167,COLUMN(G$1),FALSE),0))*VLOOKUP($D383,素材!$1:$1016,COLUMN($E$1),FALSE),0),"")</f>
        <v/>
      </c>
      <c r="H383" t="str">
        <f>IFERROR(ROUNDDOWN((VLOOKUP($C383,装備品!$1:$998,COLUMN(F$1),FALSE)+IFERROR(VLOOKUP($CI383,付与!$1:$1167,COLUMN(H$1),FALSE),0))*VLOOKUP($D383,素材!$1:$1016,COLUMN($E$1),FALSE),0),"")</f>
        <v/>
      </c>
      <c r="I383" t="str">
        <f>IFERROR(ROUNDDOWN((VLOOKUP($C383,装備品!$1:$998,COLUMN(G$1),FALSE)+IFERROR(VLOOKUP($CI383,付与!$1:$1167,COLUMN(I$1),FALSE),0))*VLOOKUP($D383,素材!$1:$1016,COLUMN($E$1),FALSE),0),"")</f>
        <v/>
      </c>
      <c r="J383" t="str">
        <f>IFERROR(ROUNDDOWN((VLOOKUP($C383,装備品!$1:$998,COLUMN(H$1),FALSE)+IFERROR(VLOOKUP($CI383,付与!$1:$1167,COLUMN(J$1),FALSE),0))*VLOOKUP($D383,素材!$1:$1016,COLUMN($E$1),FALSE),0),"")</f>
        <v/>
      </c>
      <c r="K383" t="str">
        <f>IFERROR(ROUNDDOWN((VLOOKUP($C383,装備品!$1:$998,COLUMN(I$1),FALSE)+IFERROR(VLOOKUP($CI383,付与!$1:$1167,COLUMN(K$1),FALSE),0))*VLOOKUP($D383,素材!$1:$1016,COLUMN($E$1),FALSE),0),"")</f>
        <v/>
      </c>
      <c r="L383" t="str">
        <f>IFERROR(VLOOKUP($D383,素材!$1:$1016,COLUMN($F$1),FALSE),"")</f>
        <v/>
      </c>
      <c r="M383" t="str">
        <f>IFERROR(VLOOKUP($C383,装備品!$1:$998,COLUMN(AA$1),FALSE)*VLOOKUP($D383,素材!$1:$1016,COLUMN($G$1),FALSE),"")</f>
        <v/>
      </c>
      <c r="N383" t="str">
        <f>IFERROR(VLOOKUP($C383,装備品!$1:$998,COLUMN(I$1),FALSE),"")</f>
        <v/>
      </c>
      <c r="O383" s="23" t="str">
        <f>IFERROR((VLOOKUP($C383,装備品!$1:$998,COLUMN(K$1),FALSE)+VLOOKUP($D383,素材!$1:$1016,COLUMN(H$1),FALSE))*100+IFERROR(VLOOKUP($CI383,付与!$1:$1167,COLUMN(O$1),FALSE),0),"")</f>
        <v/>
      </c>
      <c r="P383" s="23" t="str">
        <f>IFERROR((VLOOKUP($C383,装備品!$1:$998,COLUMN(L$1),FALSE)+VLOOKUP($D383,素材!$1:$1016,COLUMN(I$1),FALSE))*100+IFERROR(VLOOKUP($CI383,付与!$1:$1167,COLUMN(P$1),FALSE),0),"")</f>
        <v/>
      </c>
      <c r="Q383" t="str">
        <f>IFERROR(ROUNDUP(VLOOKUP($C383,装備品!$1:$998,COLUMN(M$1),FALSE)*(VLOOKUP($D383,素材!$1:$1002,COLUMN(D$1),FALSE)/100),1),"")</f>
        <v/>
      </c>
      <c r="R383" t="str">
        <f>IFERROR(ROUNDUP(VLOOKUP($C383,装備品!$1:$998,COLUMN(N$1),FALSE)*(VLOOKUP($D383,素材!$1:$1002,COLUMN(D$1),FALSE)/100),1),"")</f>
        <v/>
      </c>
      <c r="S383" t="str">
        <f>IFERROR(VLOOKUP($C383,装備品!$1:$998,COLUMN(P$1),FALSE),"")</f>
        <v/>
      </c>
      <c r="T383" t="str">
        <f>IFERROR(VLOOKUP($C383,装備品!$1:$998,COLUMN(Q$1),FALSE),"")</f>
        <v/>
      </c>
      <c r="U383" t="str">
        <f>IFERROR(VLOOKUP($C383,装備品!$1:$998,COLUMN(R$1),FALSE),"")</f>
        <v/>
      </c>
      <c r="V383" t="str">
        <f>IFERROR(VLOOKUP($C383,装備品!$1:$998,COLUMN(Q$1),FALSE),"")</f>
        <v/>
      </c>
      <c r="W383" t="str">
        <f>IFERROR(VLOOKUP($C383,装備品!$1:$998,COLUMN(T$1),FALSE),"")</f>
        <v/>
      </c>
      <c r="Y383" t="str">
        <f>IFERROR(VLOOKUP($C383,装備品!$1:$998,COLUMN(U$1),FALSE),"")</f>
        <v/>
      </c>
      <c r="Z383" t="str">
        <f>IFERROR(ROUNDUP(VLOOKUP($C383,装備品!$1:$998,COLUMN(O$1),FALSE)*VLOOKUP($D383,素材!$1:$1016,COLUMN(E$1),FALSE),1),"")</f>
        <v/>
      </c>
      <c r="AA383">
        <f>IF(ISNUMBER(SEARCH(SUBSTITUTE(AA$1,RIGHT(AA$1,2),""),VLOOKUP($D383,素材!$1:$1016,COLUMN($F$1),FALSE))),VLOOKUP($C383,装備品!$1:$998,COLUMN($O$1),FALSE)*VLOOKUP($D383,素材!$1:$1016,COLUMN($E$1),FALSE)/(LEN(VLOOKUP($D383,素材!$1:$1016,COLUMN($F$1),FALSE))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</f>
        <v>0</v>
      </c>
      <c r="AB383">
        <f>IF(ISNUMBER(SEARCH(SUBSTITUTE(AB$1,RIGHT(AB$1,2),""),VLOOKUP($D383,素材!$1:$1016,COLUMN($F$1),FALSE))),VLOOKUP($C383,装備品!$1:$998,COLUMN($O$1),FALSE)*VLOOKUP($D383,素材!$1:$1016,COLUMN($E$1),FALSE)/(LEN(VLOOKUP($D383,素材!$1:$1016,COLUMN($F$1),FALSE))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</f>
        <v>0</v>
      </c>
      <c r="AC383">
        <f>IF(ISNUMBER(SEARCH(SUBSTITUTE(AC$1,RIGHT(AC$1,2),""),VLOOKUP($D383,素材!$1:$1016,COLUMN($F$1),FALSE))),VLOOKUP($C383,装備品!$1:$998,COLUMN($O$1),FALSE)*VLOOKUP($D383,素材!$1:$1016,COLUMN($E$1),FALSE)/(LEN(VLOOKUP($D383,素材!$1:$1016,COLUMN($F$1),FALSE))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</f>
        <v>0</v>
      </c>
      <c r="AD383">
        <f>IF(ISNUMBER(SEARCH(SUBSTITUTE(AD$1,RIGHT(AD$1,2),""),VLOOKUP($D383,素材!$1:$1016,COLUMN($F$1),FALSE))),VLOOKUP($C383,装備品!$1:$998,COLUMN($O$1),FALSE)*VLOOKUP($D383,素材!$1:$1016,COLUMN($E$1),FALSE)/(LEN(VLOOKUP($D383,素材!$1:$1016,COLUMN($F$1),FALSE))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</f>
        <v>0</v>
      </c>
      <c r="AE383">
        <f>IF(ISNUMBER(SEARCH(SUBSTITUTE(AE$1,RIGHT(AE$1,2),""),VLOOKUP($D383,素材!$1:$1016,COLUMN($F$1),FALSE))),VLOOKUP($C383,装備品!$1:$998,COLUMN($O$1),FALSE)*VLOOKUP($D383,素材!$1:$1016,COLUMN($E$1),FALSE)/(LEN(VLOOKUP($D383,素材!$1:$1016,COLUMN($F$1),FALSE))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0)+IF($CI383&lt;&gt;"",VLOOKUP($CI383,付与!$A$1:BB$1173,COLUMN(付与!BB$1),FALSE),0)</f>
        <v>0</v>
      </c>
      <c r="AF383">
        <f>IF(ISNUMBER(SEARCH(SUBSTITUTE(AF$1,RIGHT(AF$1,2),""),VLOOKUP($D383,素材!$1:$1016,COLUMN($F$1),FALSE))),VLOOKUP($C383,装備品!$1:$998,COLUMN($O$1),FALSE)*VLOOKUP($D383,素材!$1:$1016,COLUMN($E$1),FALSE)/(LEN(VLOOKUP($D383,素材!$1:$1016,COLUMN($F$1),FALSE))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0)+IF($CI383&lt;&gt;"",VLOOKUP($CI383,付与!$A$1:BC$1173,COLUMN(付与!BC$1),FALSE),0)</f>
        <v>0</v>
      </c>
      <c r="AG383">
        <f>IF(ISNUMBER(SEARCH(SUBSTITUTE(AG$1,RIGHT(AG$1,2),""),VLOOKUP($D383,素材!$1:$1016,COLUMN($F$1),FALSE))),VLOOKUP($C383,装備品!$1:$998,COLUMN($O$1),FALSE)*VLOOKUP($D383,素材!$1:$1016,COLUMN($E$1),FALSE)/(LEN(VLOOKUP($D383,素材!$1:$1016,COLUMN($F$1),FALSE))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0)+IF($CI383&lt;&gt;"",VLOOKUP($CI383,付与!$A$1:BD$1173,COLUMN(付与!BD$1),FALSE),0)</f>
        <v>0</v>
      </c>
      <c r="AH383">
        <f>IF(ISNUMBER(SEARCH(SUBSTITUTE(AH$1,RIGHT(AH$1,2),""),VLOOKUP($D383,素材!$1:$1016,COLUMN($F$1),FALSE))),VLOOKUP($C383,装備品!$1:$998,COLUMN($O$1),FALSE)*VLOOKUP($D383,素材!$1:$1016,COLUMN($E$1),FALSE)/(LEN(VLOOKUP($D383,素材!$1:$1016,COLUMN($F$1),FALSE))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0)+IF($CI383&lt;&gt;"",VLOOKUP($CI383,付与!$A$1:BE$1173,COLUMN(付与!BE$1),FALSE),0)</f>
        <v>0</v>
      </c>
      <c r="AI383">
        <f>IF(ISNUMBER(SEARCH(SUBSTITUTE(AI$1,RIGHT(AI$1,2),""),VLOOKUP($D383,素材!$1:$1016,COLUMN($F$1),FALSE))),VLOOKUP($C383,装備品!$1:$998,COLUMN($O$1),FALSE)*VLOOKUP($D383,素材!$1:$1016,COLUMN($E$1),FALSE)/(LEN(VLOOKUP($D383,素材!$1:$1016,COLUMN($F$1),FALSE))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0)+IF($CI383&lt;&gt;"",VLOOKUP($CI383,付与!$A$1:BF$1173,COLUMN(付与!BF$1),FALSE),0)</f>
        <v>0</v>
      </c>
      <c r="AJ383">
        <f>IF(ISNUMBER(SEARCH(SUBSTITUTE(AJ$1,RIGHT(AJ$1,2),""),VLOOKUP($D383,素材!$1:$1016,COLUMN($F$1),FALSE))),VLOOKUP($C383,装備品!$1:$998,COLUMN($O$1),FALSE)*VLOOKUP($D383,素材!$1:$1016,COLUMN($E$1),FALSE)/(LEN(VLOOKUP($D383,素材!$1:$1016,COLUMN($F$1),FALSE))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0)+IF($CI383&lt;&gt;"",VLOOKUP($CI383,付与!$A$1:BG$1173,COLUMN(付与!BG$1),FALSE),0)</f>
        <v>0</v>
      </c>
      <c r="AK383">
        <f>IF(ISNUMBER(SEARCH(SUBSTITUTE(AK$1,RIGHT(AK$1,2),""),VLOOKUP($D383,素材!$1:$1016,COLUMN($F$1),FALSE))),VLOOKUP($C383,装備品!$1:$998,COLUMN($O$1),FALSE)*VLOOKUP($D383,素材!$1:$1016,COLUMN($E$1),FALSE)/(LEN(VLOOKUP($D383,素材!$1:$1016,COLUMN($F$1),FALSE))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0)+IF($CI383&lt;&gt;"",VLOOKUP($CI383,付与!$A$1:BH$1173,COLUMN(付与!BH$1),FALSE),0)</f>
        <v>0</v>
      </c>
      <c r="AL383">
        <f>IF(ISNUMBER(SEARCH(SUBSTITUTE(AL$1,RIGHT(AL$1,2),""),VLOOKUP($D383,素材!$1:$1016,COLUMN($F$1),FALSE))),VLOOKUP($C383,装備品!$1:$998,COLUMN($O$1),FALSE)*VLOOKUP($D383,素材!$1:$1016,COLUMN($E$1),FALSE)/(LEN(VLOOKUP($D383,素材!$1:$1016,COLUMN($F$1),FALSE))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0)+IF($CI383&lt;&gt;"",VLOOKUP($CI383,付与!$A$1:BI$1173,COLUMN(付与!BI$1),FALSE),0)</f>
        <v>0</v>
      </c>
      <c r="AM383">
        <f>IF(ISNUMBER(SEARCH(SUBSTITUTE(AM$1,RIGHT(AM$1,2),""),VLOOKUP($D383,素材!$1:$1016,COLUMN($F$1),FALSE))),VLOOKUP($C383,装備品!$1:$998,COLUMN($O$1),FALSE)*VLOOKUP($D383,素材!$1:$1016,COLUMN($E$1),FALSE)/(LEN(VLOOKUP($D383,素材!$1:$1016,COLUMN($F$1),FALSE))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0)+IF($CI383&lt;&gt;"",VLOOKUP($CI383,付与!$A$1:BJ$1173,COLUMN(付与!BJ$1),FALSE),0)</f>
        <v>0</v>
      </c>
      <c r="AN383">
        <f>IF(ISNUMBER(SEARCH(SUBSTITUTE(AN$1,RIGHT(AN$1,2),""),VLOOKUP($D383,素材!$1:$1016,COLUMN($F$1),FALSE))),VLOOKUP($C383,装備品!$1:$998,COLUMN($O$1),FALSE)*VLOOKUP($D383,素材!$1:$1016,COLUMN($E$1),FALSE)/(LEN(VLOOKUP($D383,素材!$1:$1016,COLUMN($F$1),FALSE))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0)+IF($CI383&lt;&gt;"",VLOOKUP($CI383,付与!$A$1:BK$1173,COLUMN(付与!BK$1),FALSE),0)</f>
        <v>0</v>
      </c>
      <c r="AO383">
        <f>IF(ISNUMBER(SEARCH(SUBSTITUTE(AO$1,RIGHT(AO$1,2),""),VLOOKUP($D383,素材!$1:$1016,COLUMN($F$1),FALSE))),VLOOKUP($C383,装備品!$1:$998,COLUMN($O$1),FALSE)*VLOOKUP($D383,素材!$1:$1016,COLUMN($E$1),FALSE)/(LEN(VLOOKUP($D383,素材!$1:$1016,COLUMN($F$1),FALSE))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0)+IF($CI383&lt;&gt;"",VLOOKUP($CI383,付与!$A$1:BM$1173,COLUMN(付与!BM$1),FALSE),0)</f>
        <v>0</v>
      </c>
      <c r="AP383">
        <f>IF(ISNUMBER(SEARCH(SUBSTITUTE(AP$1,RIGHT(AP$1,2),""),VLOOKUP($D383,素材!$1:$1016,COLUMN($F$1),FALSE))),VLOOKUP($C383,装備品!$1:$998,COLUMN($O$1),FALSE)*VLOOKUP($D383,素材!$1:$1016,COLUMN($E$1),FALSE)/(LEN(VLOOKUP($D383,素材!$1:$1016,COLUMN($F$1),FALSE))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0)+IF($CI383&lt;&gt;"",VLOOKUP($CI383,付与!$A$1:BN$1173,COLUMN(付与!BN$1),FALSE),0)</f>
        <v>0</v>
      </c>
      <c r="AQ383">
        <f>IF(ISNUMBER(SEARCH(SUBSTITUTE(AQ$1,RIGHT(AQ$1,2),""),VLOOKUP($D383,素材!$1:$1016,COLUMN($F$1),FALSE))),VLOOKUP($C383,装備品!$1:$998,COLUMN($O$1),FALSE)*VLOOKUP($D383,素材!$1:$1016,COLUMN($E$1),FALSE)/(LEN(VLOOKUP($D383,素材!$1:$1016,COLUMN($F$1),FALSE))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0)+IF($CI383&lt;&gt;"",VLOOKUP($CI383,付与!$A$1:BP$1173,COLUMN(付与!BP$1),FALSE),0)</f>
        <v>0</v>
      </c>
      <c r="AR383">
        <f>IF(ISNUMBER(SEARCH(SUBSTITUTE(AR$1,RIGHT(AR$1,2),""),VLOOKUP($D383,素材!$1:$1016,COLUMN($F$1),FALSE))),VLOOKUP($C383,装備品!$1:$998,COLUMN($O$1),FALSE)*VLOOKUP($D383,素材!$1:$1016,COLUMN($E$1),FALSE)/(LEN(VLOOKUP($D383,素材!$1:$1016,COLUMN($F$1),FALSE))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0)+IF($CI383&lt;&gt;"",VLOOKUP($CI383,付与!$A$1:BQ$1173,COLUMN(付与!BQ$1),FALSE),0)</f>
        <v>0</v>
      </c>
      <c r="AS383">
        <f>IF(ISNUMBER(SEARCH(SUBSTITUTE(AS$1,RIGHT(AS$1,2),""),VLOOKUP($D383,素材!$1:$1016,COLUMN($F$1),FALSE))),VLOOKUP($C383,装備品!$1:$998,COLUMN($O$1),FALSE)*VLOOKUP($D383,素材!$1:$1016,COLUMN($E$1),FALSE)/(LEN(VLOOKUP($D383,素材!$1:$1016,COLUMN($F$1),FALSE))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0)+IF($CI383&lt;&gt;"",VLOOKUP($CI383,付与!$A$1:BR$1173,COLUMN(付与!BR$1),FALSE),0)</f>
        <v>0</v>
      </c>
      <c r="AT383">
        <f>IF(ISNUMBER(SEARCH(SUBSTITUTE(AT$1,RIGHT(AT$1,2),""),VLOOKUP($D383,素材!$1:$1016,COLUMN($F$1),FALSE))),VLOOKUP($C383,装備品!$1:$998,COLUMN($O$1),FALSE)*VLOOKUP($D383,素材!$1:$1016,COLUMN($E$1),FALSE)/(LEN(VLOOKUP($D383,素材!$1:$1016,COLUMN($F$1),FALSE))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0)+IF($CI383&lt;&gt;"",VLOOKUP($CI383,付与!$A$1:BV$1173,COLUMN(付与!BV$1),FALSE),0)</f>
        <v>0</v>
      </c>
      <c r="AU383">
        <f>IF(ISNUMBER(SEARCH(SUBSTITUTE(AU$1,RIGHT(AU$1,2),""),VLOOKUP($D383,素材!$1:$1016,COLUMN($F$1),FALSE))),VLOOKUP($C383,装備品!$1:$998,COLUMN($O$1),FALSE)*VLOOKUP($D383,素材!$1:$1016,COLUMN($E$1),FALSE)/(LEN(VLOOKUP($D383,素材!$1:$1016,COLUMN($F$1),FALSE))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0)+IF($CI383&lt;&gt;"",VLOOKUP($CI383,付与!$A$1:BW$1173,COLUMN(付与!BW$1),FALSE),0)</f>
        <v>0</v>
      </c>
      <c r="AV383">
        <f>IF(ISNUMBER(SEARCH(SUBSTITUTE(AV$1,RIGHT(AV$1,2),""),VLOOKUP($D383,素材!$1:$1016,COLUMN($F$1),FALSE))),VLOOKUP($C383,装備品!$1:$998,COLUMN($O$1),FALSE)*VLOOKUP($D383,素材!$1:$1016,COLUMN($E$1),FALSE)/(LEN(VLOOKUP($D383,素材!$1:$1016,COLUMN($F$1),FALSE))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0)+IF($CI383&lt;&gt;"",VLOOKUP($CI383,付与!$A$1:BS$1173,COLUMN(付与!BS$1),FALSE),0)</f>
        <v>0</v>
      </c>
      <c r="AW383">
        <f>IF(ISNUMBER(SEARCH(SUBSTITUTE(AW$1,RIGHT(AW$1,2),""),VLOOKUP($D383,素材!$1:$1016,COLUMN($F$1),FALSE))),VLOOKUP($C383,装備品!$1:$998,COLUMN($O$1),FALSE)*VLOOKUP($D383,素材!$1:$1016,COLUMN($E$1),FALSE)/(LEN(VLOOKUP($D383,素材!$1:$1016,COLUMN($F$1),FALSE))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0)+IF($CI383&lt;&gt;"",VLOOKUP($CI383,付与!$A$1:BT$1173,COLUMN(付与!BT$1),FALSE),0)</f>
        <v>0</v>
      </c>
      <c r="AX383">
        <f>IF(ISNUMBER(SEARCH(SUBSTITUTE(AX$1,RIGHT(AX$1,2),""),VLOOKUP($D383,素材!$1:$1016,COLUMN($F$1),FALSE))),VLOOKUP($C383,装備品!$1:$998,COLUMN($O$1),FALSE)*VLOOKUP($D383,素材!$1:$1016,COLUMN($E$1),FALSE)/(LEN(VLOOKUP($D383,素材!$1:$1016,COLUMN($F$1),FALSE))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0)+IF($CI383&lt;&gt;"",VLOOKUP($CI383,付与!$A$1:BU$1173,COLUMN(付与!BU$1),FALSE),0)</f>
        <v>0</v>
      </c>
      <c r="AY383">
        <f>IF(ISNUMBER(SEARCH(SUBSTITUTE(AY$1,RIGHT(AY$1,2),""),VLOOKUP($D383,素材!$1:$1016,COLUMN($F$1),FALSE))),VLOOKUP($C383,装備品!$1:$998,COLUMN($O$1),FALSE)*VLOOKUP($D383,素材!$1:$1016,COLUMN($E$1),FALSE)/(LEN(VLOOKUP($D383,素材!$1:$1016,COLUMN($F$1),FALSE))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0)+IF($CI383&lt;&gt;"",VLOOKUP($CI383,付与!$A$1:BU$1173,COLUMN(付与!BO$1),FALSE),0)</f>
        <v>0</v>
      </c>
      <c r="AZ383">
        <f>IF(ISNUMBER(SEARCH(SUBSTITUTE(AZ$1,RIGHT(AZ$1,2),""),VLOOKUP($D383,素材!$1:$1016,COLUMN($F$1),FALSE))),VLOOKUP($C383,装備品!$1:$998,COLUMN($O$1),FALSE)*VLOOKUP($D383,素材!$1:$1016,COLUMN($E$1),FALSE)/(LEN(VLOOKUP($D383,素材!$1:$1016,COLUMN($F$1),FALSE))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0)+IF($CI383&lt;&gt;"",VLOOKUP($CI383,付与!$A$1:BX$1173,COLUMN(付与!BX$1),FALSE),0)</f>
        <v>0</v>
      </c>
      <c r="BA383">
        <f>IF(ISNUMBER(SEARCH(SUBSTITUTE(BA$1,RIGHT(BA$1,2),""),VLOOKUP($D383,素材!$1:$1016,COLUMN($F$1),FALSE))),VLOOKUP($C383,装備品!$1:$998,COLUMN($O$1),FALSE)*VLOOKUP($D383,素材!$1:$1016,COLUMN($E$1),FALSE)/(LEN(VLOOKUP($D383,素材!$1:$1016,COLUMN($F$1),FALSE))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0)+IF($CI383&lt;&gt;"",VLOOKUP($CI383,付与!$A$1:BY$1173,COLUMN(付与!BY$1),FALSE),0)</f>
        <v>0</v>
      </c>
      <c r="BB383">
        <f>IF(ISNUMBER(SEARCH(SUBSTITUTE(BB$1,RIGHT(BB$1,2),""),VLOOKUP($D383,素材!$1:$1016,COLUMN($F$1),FALSE))),VLOOKUP($C383,装備品!$1:$998,COLUMN($O$1),FALSE)*VLOOKUP($D383,素材!$1:$1016,COLUMN($E$1),FALSE)/(LEN(VLOOKUP($D383,素材!$1:$1016,COLUMN($F$1),FALSE))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0)+IF($CI383&lt;&gt;"",VLOOKUP($CI383,付与!$A$1:BZ$1173,COLUMN(付与!BZ$1),FALSE),0)</f>
        <v>0</v>
      </c>
      <c r="BC383">
        <f>IF(ISNUMBER(SEARCH(SUBSTITUTE(BC$1,RIGHT(BC$1,2),""),VLOOKUP($D383,素材!$1:$1016,COLUMN($F$1),FALSE))),VLOOKUP($C383,装備品!$1:$998,COLUMN($O$1),FALSE)*VLOOKUP($D383,素材!$1:$1016,COLUMN($E$1),FALSE)/(LEN(VLOOKUP($D383,素材!$1:$1016,COLUMN($F$1),FALSE))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0)+IF($CI383&lt;&gt;"",VLOOKUP($CI383,付与!$A$1:CA$1173,COLUMN(付与!CA$1),FALSE),0)</f>
        <v>0</v>
      </c>
      <c r="BD383">
        <f>IF(ISNUMBER(SEARCH(SUBSTITUTE(BD$1,RIGHT(BD$1,2),""),VLOOKUP($D383,素材!$1:$1016,COLUMN($F$1),FALSE))),VLOOKUP($C383,装備品!$1:$998,COLUMN($O$1),FALSE)*VLOOKUP($D383,素材!$1:$1016,COLUMN($E$1),FALSE)/(LEN(VLOOKUP($D383,素材!$1:$1016,COLUMN($F$1),FALSE))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0)+IF($CI383&lt;&gt;"",VLOOKUP($CI383,付与!$A$1:CB$1173,COLUMN(付与!CB$1),FALSE),0)</f>
        <v>0</v>
      </c>
      <c r="BE383">
        <f>IF(ISNUMBER(SEARCH(SUBSTITUTE(BE$1,RIGHT(BE$1,2),""),VLOOKUP($D383,素材!$1:$1016,COLUMN($F$1),FALSE))),VLOOKUP($C383,装備品!$1:$998,COLUMN($O$1),FALSE)*VLOOKUP($D383,素材!$1:$1016,COLUMN($E$1),FALSE)/(LEN(VLOOKUP($D383,素材!$1:$1016,COLUMN($F$1),FALSE))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0)+IF($CI383&lt;&gt;"",VLOOKUP($CI383,付与!$A$1:CC$1173,COLUMN(付与!CC$1),FALSE),0)</f>
        <v>0</v>
      </c>
      <c r="CL383">
        <f t="shared" si="47"/>
        <v>0</v>
      </c>
      <c r="CM383" s="22" t="str">
        <f t="shared" si="48"/>
        <v>.webp</v>
      </c>
      <c r="CN383" t="str">
        <f>IFERROR(VLOOKUP($C383,装備品!$1:$998,COLUMN(V$1),FALSE)*VLOOKUP($D383,素材!$1:$1016,COLUMN(N$1),FALSE)+IF(CI383="",0,VLOOKUP($CI383,付与!$1:$1176,COLUMN($CK$1),FALSE)),"")</f>
        <v/>
      </c>
      <c r="CO383" t="e">
        <f>VLOOKUP(D383,素材!$A:$O,COLUMN(素材!O$1),FALSE)</f>
        <v>#N/A</v>
      </c>
      <c r="CP383" t="e">
        <f>VLOOKUP(C383,装備品!$A:$AB,COLUMN(装備品!AB$1),FALSE)</f>
        <v>#N/A</v>
      </c>
      <c r="CR383" t="str">
        <f t="shared" si="54"/>
        <v>e_383</v>
      </c>
      <c r="CS383" t="e">
        <f t="shared" si="56"/>
        <v>#VALUE!</v>
      </c>
    </row>
    <row r="384" spans="1:97" x14ac:dyDescent="0.4">
      <c r="B384" t="str">
        <f>IFERROR(VLOOKUP($D384,素材!$1:$1016,COLUMN($B$1),FALSE)&amp;"・"&amp;VLOOKUP($C384,装備品!$1:$998,COLUMN(B$1),FALSE),"")</f>
        <v/>
      </c>
      <c r="D384" s="24"/>
      <c r="E384" t="str">
        <f>IFERROR(VLOOKUP(C384,装備品!$1:$998,COLUMN(C$1),FALSE),"")</f>
        <v/>
      </c>
      <c r="F384" t="str">
        <f>IFERROR(ROUNDDOWN((VLOOKUP($C384,装備品!$1:$998,COLUMN(D$1),FALSE)+IFERROR(VLOOKUP($CI384,付与!$1:$1167,COLUMN(F$1),FALSE),0))*VLOOKUP($D384,素材!$1:$1016,COLUMN(D$1),FALSE),0),"")</f>
        <v/>
      </c>
      <c r="G384" t="str">
        <f>IFERROR(ROUNDDOWN((VLOOKUP($C384,装備品!$1:$998,COLUMN(E$1),FALSE)+IFERROR(VLOOKUP($CI384,付与!$1:$1167,COLUMN(G$1),FALSE),0))*VLOOKUP($D384,素材!$1:$1016,COLUMN($E$1),FALSE),0),"")</f>
        <v/>
      </c>
      <c r="H384" t="str">
        <f>IFERROR(ROUNDDOWN((VLOOKUP($C384,装備品!$1:$998,COLUMN(F$1),FALSE)+IFERROR(VLOOKUP($CI384,付与!$1:$1167,COLUMN(H$1),FALSE),0))*VLOOKUP($D384,素材!$1:$1016,COLUMN($E$1),FALSE),0),"")</f>
        <v/>
      </c>
      <c r="I384" t="str">
        <f>IFERROR(ROUNDDOWN((VLOOKUP($C384,装備品!$1:$998,COLUMN(G$1),FALSE)+IFERROR(VLOOKUP($CI384,付与!$1:$1167,COLUMN(I$1),FALSE),0))*VLOOKUP($D384,素材!$1:$1016,COLUMN($E$1),FALSE),0),"")</f>
        <v/>
      </c>
      <c r="J384" t="str">
        <f>IFERROR(ROUNDDOWN((VLOOKUP($C384,装備品!$1:$998,COLUMN(H$1),FALSE)+IFERROR(VLOOKUP($CI384,付与!$1:$1167,COLUMN(J$1),FALSE),0))*VLOOKUP($D384,素材!$1:$1016,COLUMN($E$1),FALSE),0),"")</f>
        <v/>
      </c>
      <c r="K384" t="str">
        <f>IFERROR(ROUNDDOWN((VLOOKUP($C384,装備品!$1:$998,COLUMN(I$1),FALSE)+IFERROR(VLOOKUP($CI384,付与!$1:$1167,COLUMN(K$1),FALSE),0))*VLOOKUP($D384,素材!$1:$1016,COLUMN($E$1),FALSE),0),"")</f>
        <v/>
      </c>
      <c r="L384" t="str">
        <f>IFERROR(VLOOKUP($D384,素材!$1:$1016,COLUMN($F$1),FALSE),"")</f>
        <v/>
      </c>
      <c r="M384" t="str">
        <f>IFERROR(VLOOKUP($C384,装備品!$1:$998,COLUMN(AA$1),FALSE)*VLOOKUP($D384,素材!$1:$1016,COLUMN($G$1),FALSE),"")</f>
        <v/>
      </c>
      <c r="N384" t="str">
        <f>IFERROR(VLOOKUP($C384,装備品!$1:$998,COLUMN(I$1),FALSE),"")</f>
        <v/>
      </c>
      <c r="O384" s="23" t="str">
        <f>IFERROR((VLOOKUP($C384,装備品!$1:$998,COLUMN(K$1),FALSE)+VLOOKUP($D384,素材!$1:$1016,COLUMN(H$1),FALSE))*100+IFERROR(VLOOKUP($CI384,付与!$1:$1167,COLUMN(O$1),FALSE),0),"")</f>
        <v/>
      </c>
      <c r="P384" s="23" t="str">
        <f>IFERROR((VLOOKUP($C384,装備品!$1:$998,COLUMN(L$1),FALSE)+VLOOKUP($D384,素材!$1:$1016,COLUMN(I$1),FALSE))*100+IFERROR(VLOOKUP($CI384,付与!$1:$1167,COLUMN(P$1),FALSE),0),"")</f>
        <v/>
      </c>
      <c r="Q384" t="str">
        <f>IFERROR(ROUNDUP(VLOOKUP($C384,装備品!$1:$998,COLUMN(M$1),FALSE)*(VLOOKUP($D384,素材!$1:$1002,COLUMN(D$1),FALSE)/100),1),"")</f>
        <v/>
      </c>
      <c r="R384" t="str">
        <f>IFERROR(ROUNDUP(VLOOKUP($C384,装備品!$1:$998,COLUMN(N$1),FALSE)*(VLOOKUP($D384,素材!$1:$1002,COLUMN(D$1),FALSE)/100),1),"")</f>
        <v/>
      </c>
      <c r="S384" t="str">
        <f>IFERROR(VLOOKUP($C384,装備品!$1:$998,COLUMN(P$1),FALSE),"")</f>
        <v/>
      </c>
      <c r="T384" t="str">
        <f>IFERROR(VLOOKUP($C384,装備品!$1:$998,COLUMN(Q$1),FALSE),"")</f>
        <v/>
      </c>
      <c r="U384" t="str">
        <f>IFERROR(VLOOKUP($C384,装備品!$1:$998,COLUMN(R$1),FALSE),"")</f>
        <v/>
      </c>
      <c r="V384" t="str">
        <f>IFERROR(VLOOKUP($C384,装備品!$1:$998,COLUMN(Q$1),FALSE),"")</f>
        <v/>
      </c>
      <c r="W384" t="str">
        <f>IFERROR(VLOOKUP($C384,装備品!$1:$998,COLUMN(T$1),FALSE),"")</f>
        <v/>
      </c>
      <c r="Y384" t="str">
        <f>IFERROR(VLOOKUP($C384,装備品!$1:$998,COLUMN(U$1),FALSE),"")</f>
        <v/>
      </c>
      <c r="Z384" t="str">
        <f>IFERROR(ROUNDUP(VLOOKUP($C384,装備品!$1:$998,COLUMN(O$1),FALSE)*VLOOKUP($D384,素材!$1:$1016,COLUMN(E$1),FALSE),1),"")</f>
        <v/>
      </c>
      <c r="AA384">
        <f>IF(ISNUMBER(SEARCH(SUBSTITUTE(AA$1,RIGHT(AA$1,2),""),VLOOKUP($D384,素材!$1:$1016,COLUMN($F$1),FALSE))),VLOOKUP($C384,装備品!$1:$998,COLUMN($O$1),FALSE)*VLOOKUP($D384,素材!$1:$1016,COLUMN($E$1),FALSE)/(LEN(VLOOKUP($D384,素材!$1:$1016,COLUMN($F$1),FALSE))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</f>
        <v>0</v>
      </c>
      <c r="AB384">
        <f>IF(ISNUMBER(SEARCH(SUBSTITUTE(AB$1,RIGHT(AB$1,2),""),VLOOKUP($D384,素材!$1:$1016,COLUMN($F$1),FALSE))),VLOOKUP($C384,装備品!$1:$998,COLUMN($O$1),FALSE)*VLOOKUP($D384,素材!$1:$1016,COLUMN($E$1),FALSE)/(LEN(VLOOKUP($D384,素材!$1:$1016,COLUMN($F$1),FALSE))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</f>
        <v>0</v>
      </c>
      <c r="AC384">
        <f>IF(ISNUMBER(SEARCH(SUBSTITUTE(AC$1,RIGHT(AC$1,2),""),VLOOKUP($D384,素材!$1:$1016,COLUMN($F$1),FALSE))),VLOOKUP($C384,装備品!$1:$998,COLUMN($O$1),FALSE)*VLOOKUP($D384,素材!$1:$1016,COLUMN($E$1),FALSE)/(LEN(VLOOKUP($D384,素材!$1:$1016,COLUMN($F$1),FALSE))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</f>
        <v>0</v>
      </c>
      <c r="AD384">
        <f>IF(ISNUMBER(SEARCH(SUBSTITUTE(AD$1,RIGHT(AD$1,2),""),VLOOKUP($D384,素材!$1:$1016,COLUMN($F$1),FALSE))),VLOOKUP($C384,装備品!$1:$998,COLUMN($O$1),FALSE)*VLOOKUP($D384,素材!$1:$1016,COLUMN($E$1),FALSE)/(LEN(VLOOKUP($D384,素材!$1:$1016,COLUMN($F$1),FALSE))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</f>
        <v>0</v>
      </c>
      <c r="AE384">
        <f>IF(ISNUMBER(SEARCH(SUBSTITUTE(AE$1,RIGHT(AE$1,2),""),VLOOKUP($D384,素材!$1:$1016,COLUMN($F$1),FALSE))),VLOOKUP($C384,装備品!$1:$998,COLUMN($O$1),FALSE)*VLOOKUP($D384,素材!$1:$1016,COLUMN($E$1),FALSE)/(LEN(VLOOKUP($D384,素材!$1:$1016,COLUMN($F$1),FALSE))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0)+IF($CI384&lt;&gt;"",VLOOKUP($CI384,付与!$A$1:BB$1173,COLUMN(付与!BB$1),FALSE),0)</f>
        <v>0</v>
      </c>
      <c r="AF384">
        <f>IF(ISNUMBER(SEARCH(SUBSTITUTE(AF$1,RIGHT(AF$1,2),""),VLOOKUP($D384,素材!$1:$1016,COLUMN($F$1),FALSE))),VLOOKUP($C384,装備品!$1:$998,COLUMN($O$1),FALSE)*VLOOKUP($D384,素材!$1:$1016,COLUMN($E$1),FALSE)/(LEN(VLOOKUP($D384,素材!$1:$1016,COLUMN($F$1),FALSE))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0)+IF($CI384&lt;&gt;"",VLOOKUP($CI384,付与!$A$1:BC$1173,COLUMN(付与!BC$1),FALSE),0)</f>
        <v>0</v>
      </c>
      <c r="AG384">
        <f>IF(ISNUMBER(SEARCH(SUBSTITUTE(AG$1,RIGHT(AG$1,2),""),VLOOKUP($D384,素材!$1:$1016,COLUMN($F$1),FALSE))),VLOOKUP($C384,装備品!$1:$998,COLUMN($O$1),FALSE)*VLOOKUP($D384,素材!$1:$1016,COLUMN($E$1),FALSE)/(LEN(VLOOKUP($D384,素材!$1:$1016,COLUMN($F$1),FALSE))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0)+IF($CI384&lt;&gt;"",VLOOKUP($CI384,付与!$A$1:BD$1173,COLUMN(付与!BD$1),FALSE),0)</f>
        <v>0</v>
      </c>
      <c r="AH384">
        <f>IF(ISNUMBER(SEARCH(SUBSTITUTE(AH$1,RIGHT(AH$1,2),""),VLOOKUP($D384,素材!$1:$1016,COLUMN($F$1),FALSE))),VLOOKUP($C384,装備品!$1:$998,COLUMN($O$1),FALSE)*VLOOKUP($D384,素材!$1:$1016,COLUMN($E$1),FALSE)/(LEN(VLOOKUP($D384,素材!$1:$1016,COLUMN($F$1),FALSE))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0)+IF($CI384&lt;&gt;"",VLOOKUP($CI384,付与!$A$1:BE$1173,COLUMN(付与!BE$1),FALSE),0)</f>
        <v>0</v>
      </c>
      <c r="AI384">
        <f>IF(ISNUMBER(SEARCH(SUBSTITUTE(AI$1,RIGHT(AI$1,2),""),VLOOKUP($D384,素材!$1:$1016,COLUMN($F$1),FALSE))),VLOOKUP($C384,装備品!$1:$998,COLUMN($O$1),FALSE)*VLOOKUP($D384,素材!$1:$1016,COLUMN($E$1),FALSE)/(LEN(VLOOKUP($D384,素材!$1:$1016,COLUMN($F$1),FALSE))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0)+IF($CI384&lt;&gt;"",VLOOKUP($CI384,付与!$A$1:BF$1173,COLUMN(付与!BF$1),FALSE),0)</f>
        <v>0</v>
      </c>
      <c r="AJ384">
        <f>IF(ISNUMBER(SEARCH(SUBSTITUTE(AJ$1,RIGHT(AJ$1,2),""),VLOOKUP($D384,素材!$1:$1016,COLUMN($F$1),FALSE))),VLOOKUP($C384,装備品!$1:$998,COLUMN($O$1),FALSE)*VLOOKUP($D384,素材!$1:$1016,COLUMN($E$1),FALSE)/(LEN(VLOOKUP($D384,素材!$1:$1016,COLUMN($F$1),FALSE))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0)+IF($CI384&lt;&gt;"",VLOOKUP($CI384,付与!$A$1:BG$1173,COLUMN(付与!BG$1),FALSE),0)</f>
        <v>0</v>
      </c>
      <c r="AK384">
        <f>IF(ISNUMBER(SEARCH(SUBSTITUTE(AK$1,RIGHT(AK$1,2),""),VLOOKUP($D384,素材!$1:$1016,COLUMN($F$1),FALSE))),VLOOKUP($C384,装備品!$1:$998,COLUMN($O$1),FALSE)*VLOOKUP($D384,素材!$1:$1016,COLUMN($E$1),FALSE)/(LEN(VLOOKUP($D384,素材!$1:$1016,COLUMN($F$1),FALSE))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0)+IF($CI384&lt;&gt;"",VLOOKUP($CI384,付与!$A$1:BH$1173,COLUMN(付与!BH$1),FALSE),0)</f>
        <v>0</v>
      </c>
      <c r="AL384">
        <f>IF(ISNUMBER(SEARCH(SUBSTITUTE(AL$1,RIGHT(AL$1,2),""),VLOOKUP($D384,素材!$1:$1016,COLUMN($F$1),FALSE))),VLOOKUP($C384,装備品!$1:$998,COLUMN($O$1),FALSE)*VLOOKUP($D384,素材!$1:$1016,COLUMN($E$1),FALSE)/(LEN(VLOOKUP($D384,素材!$1:$1016,COLUMN($F$1),FALSE))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0)+IF($CI384&lt;&gt;"",VLOOKUP($CI384,付与!$A$1:BI$1173,COLUMN(付与!BI$1),FALSE),0)</f>
        <v>0</v>
      </c>
      <c r="AM384">
        <f>IF(ISNUMBER(SEARCH(SUBSTITUTE(AM$1,RIGHT(AM$1,2),""),VLOOKUP($D384,素材!$1:$1016,COLUMN($F$1),FALSE))),VLOOKUP($C384,装備品!$1:$998,COLUMN($O$1),FALSE)*VLOOKUP($D384,素材!$1:$1016,COLUMN($E$1),FALSE)/(LEN(VLOOKUP($D384,素材!$1:$1016,COLUMN($F$1),FALSE))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0)+IF($CI384&lt;&gt;"",VLOOKUP($CI384,付与!$A$1:BJ$1173,COLUMN(付与!BJ$1),FALSE),0)</f>
        <v>0</v>
      </c>
      <c r="AN384">
        <f>IF(ISNUMBER(SEARCH(SUBSTITUTE(AN$1,RIGHT(AN$1,2),""),VLOOKUP($D384,素材!$1:$1016,COLUMN($F$1),FALSE))),VLOOKUP($C384,装備品!$1:$998,COLUMN($O$1),FALSE)*VLOOKUP($D384,素材!$1:$1016,COLUMN($E$1),FALSE)/(LEN(VLOOKUP($D384,素材!$1:$1016,COLUMN($F$1),FALSE))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0)+IF($CI384&lt;&gt;"",VLOOKUP($CI384,付与!$A$1:BK$1173,COLUMN(付与!BK$1),FALSE),0)</f>
        <v>0</v>
      </c>
      <c r="AO384">
        <f>IF(ISNUMBER(SEARCH(SUBSTITUTE(AO$1,RIGHT(AO$1,2),""),VLOOKUP($D384,素材!$1:$1016,COLUMN($F$1),FALSE))),VLOOKUP($C384,装備品!$1:$998,COLUMN($O$1),FALSE)*VLOOKUP($D384,素材!$1:$1016,COLUMN($E$1),FALSE)/(LEN(VLOOKUP($D384,素材!$1:$1016,COLUMN($F$1),FALSE))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0)+IF($CI384&lt;&gt;"",VLOOKUP($CI384,付与!$A$1:BM$1173,COLUMN(付与!BM$1),FALSE),0)</f>
        <v>0</v>
      </c>
      <c r="AP384">
        <f>IF(ISNUMBER(SEARCH(SUBSTITUTE(AP$1,RIGHT(AP$1,2),""),VLOOKUP($D384,素材!$1:$1016,COLUMN($F$1),FALSE))),VLOOKUP($C384,装備品!$1:$998,COLUMN($O$1),FALSE)*VLOOKUP($D384,素材!$1:$1016,COLUMN($E$1),FALSE)/(LEN(VLOOKUP($D384,素材!$1:$1016,COLUMN($F$1),FALSE))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0)+IF($CI384&lt;&gt;"",VLOOKUP($CI384,付与!$A$1:BN$1173,COLUMN(付与!BN$1),FALSE),0)</f>
        <v>0</v>
      </c>
      <c r="AQ384">
        <f>IF(ISNUMBER(SEARCH(SUBSTITUTE(AQ$1,RIGHT(AQ$1,2),""),VLOOKUP($D384,素材!$1:$1016,COLUMN($F$1),FALSE))),VLOOKUP($C384,装備品!$1:$998,COLUMN($O$1),FALSE)*VLOOKUP($D384,素材!$1:$1016,COLUMN($E$1),FALSE)/(LEN(VLOOKUP($D384,素材!$1:$1016,COLUMN($F$1),FALSE))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0)+IF($CI384&lt;&gt;"",VLOOKUP($CI384,付与!$A$1:BP$1173,COLUMN(付与!BP$1),FALSE),0)</f>
        <v>0</v>
      </c>
      <c r="AR384">
        <f>IF(ISNUMBER(SEARCH(SUBSTITUTE(AR$1,RIGHT(AR$1,2),""),VLOOKUP($D384,素材!$1:$1016,COLUMN($F$1),FALSE))),VLOOKUP($C384,装備品!$1:$998,COLUMN($O$1),FALSE)*VLOOKUP($D384,素材!$1:$1016,COLUMN($E$1),FALSE)/(LEN(VLOOKUP($D384,素材!$1:$1016,COLUMN($F$1),FALSE))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0)+IF($CI384&lt;&gt;"",VLOOKUP($CI384,付与!$A$1:BQ$1173,COLUMN(付与!BQ$1),FALSE),0)</f>
        <v>0</v>
      </c>
      <c r="AS384">
        <f>IF(ISNUMBER(SEARCH(SUBSTITUTE(AS$1,RIGHT(AS$1,2),""),VLOOKUP($D384,素材!$1:$1016,COLUMN($F$1),FALSE))),VLOOKUP($C384,装備品!$1:$998,COLUMN($O$1),FALSE)*VLOOKUP($D384,素材!$1:$1016,COLUMN($E$1),FALSE)/(LEN(VLOOKUP($D384,素材!$1:$1016,COLUMN($F$1),FALSE))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0)+IF($CI384&lt;&gt;"",VLOOKUP($CI384,付与!$A$1:BR$1173,COLUMN(付与!BR$1),FALSE),0)</f>
        <v>0</v>
      </c>
      <c r="AT384">
        <f>IF(ISNUMBER(SEARCH(SUBSTITUTE(AT$1,RIGHT(AT$1,2),""),VLOOKUP($D384,素材!$1:$1016,COLUMN($F$1),FALSE))),VLOOKUP($C384,装備品!$1:$998,COLUMN($O$1),FALSE)*VLOOKUP($D384,素材!$1:$1016,COLUMN($E$1),FALSE)/(LEN(VLOOKUP($D384,素材!$1:$1016,COLUMN($F$1),FALSE))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0)+IF($CI384&lt;&gt;"",VLOOKUP($CI384,付与!$A$1:BV$1173,COLUMN(付与!BV$1),FALSE),0)</f>
        <v>0</v>
      </c>
      <c r="AU384">
        <f>IF(ISNUMBER(SEARCH(SUBSTITUTE(AU$1,RIGHT(AU$1,2),""),VLOOKUP($D384,素材!$1:$1016,COLUMN($F$1),FALSE))),VLOOKUP($C384,装備品!$1:$998,COLUMN($O$1),FALSE)*VLOOKUP($D384,素材!$1:$1016,COLUMN($E$1),FALSE)/(LEN(VLOOKUP($D384,素材!$1:$1016,COLUMN($F$1),FALSE))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0)+IF($CI384&lt;&gt;"",VLOOKUP($CI384,付与!$A$1:BW$1173,COLUMN(付与!BW$1),FALSE),0)</f>
        <v>0</v>
      </c>
      <c r="AV384">
        <f>IF(ISNUMBER(SEARCH(SUBSTITUTE(AV$1,RIGHT(AV$1,2),""),VLOOKUP($D384,素材!$1:$1016,COLUMN($F$1),FALSE))),VLOOKUP($C384,装備品!$1:$998,COLUMN($O$1),FALSE)*VLOOKUP($D384,素材!$1:$1016,COLUMN($E$1),FALSE)/(LEN(VLOOKUP($D384,素材!$1:$1016,COLUMN($F$1),FALSE))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0)+IF($CI384&lt;&gt;"",VLOOKUP($CI384,付与!$A$1:BS$1173,COLUMN(付与!BS$1),FALSE),0)</f>
        <v>0</v>
      </c>
      <c r="AW384">
        <f>IF(ISNUMBER(SEARCH(SUBSTITUTE(AW$1,RIGHT(AW$1,2),""),VLOOKUP($D384,素材!$1:$1016,COLUMN($F$1),FALSE))),VLOOKUP($C384,装備品!$1:$998,COLUMN($O$1),FALSE)*VLOOKUP($D384,素材!$1:$1016,COLUMN($E$1),FALSE)/(LEN(VLOOKUP($D384,素材!$1:$1016,COLUMN($F$1),FALSE))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0)+IF($CI384&lt;&gt;"",VLOOKUP($CI384,付与!$A$1:BT$1173,COLUMN(付与!BT$1),FALSE),0)</f>
        <v>0</v>
      </c>
      <c r="AX384">
        <f>IF(ISNUMBER(SEARCH(SUBSTITUTE(AX$1,RIGHT(AX$1,2),""),VLOOKUP($D384,素材!$1:$1016,COLUMN($F$1),FALSE))),VLOOKUP($C384,装備品!$1:$998,COLUMN($O$1),FALSE)*VLOOKUP($D384,素材!$1:$1016,COLUMN($E$1),FALSE)/(LEN(VLOOKUP($D384,素材!$1:$1016,COLUMN($F$1),FALSE))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0)+IF($CI384&lt;&gt;"",VLOOKUP($CI384,付与!$A$1:BU$1173,COLUMN(付与!BU$1),FALSE),0)</f>
        <v>0</v>
      </c>
      <c r="AY384">
        <f>IF(ISNUMBER(SEARCH(SUBSTITUTE(AY$1,RIGHT(AY$1,2),""),VLOOKUP($D384,素材!$1:$1016,COLUMN($F$1),FALSE))),VLOOKUP($C384,装備品!$1:$998,COLUMN($O$1),FALSE)*VLOOKUP($D384,素材!$1:$1016,COLUMN($E$1),FALSE)/(LEN(VLOOKUP($D384,素材!$1:$1016,COLUMN($F$1),FALSE))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0)+IF($CI384&lt;&gt;"",VLOOKUP($CI384,付与!$A$1:BU$1173,COLUMN(付与!BO$1),FALSE),0)</f>
        <v>0</v>
      </c>
      <c r="AZ384">
        <f>IF(ISNUMBER(SEARCH(SUBSTITUTE(AZ$1,RIGHT(AZ$1,2),""),VLOOKUP($D384,素材!$1:$1016,COLUMN($F$1),FALSE))),VLOOKUP($C384,装備品!$1:$998,COLUMN($O$1),FALSE)*VLOOKUP($D384,素材!$1:$1016,COLUMN($E$1),FALSE)/(LEN(VLOOKUP($D384,素材!$1:$1016,COLUMN($F$1),FALSE))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0)+IF($CI384&lt;&gt;"",VLOOKUP($CI384,付与!$A$1:BX$1173,COLUMN(付与!BX$1),FALSE),0)</f>
        <v>0</v>
      </c>
      <c r="BA384">
        <f>IF(ISNUMBER(SEARCH(SUBSTITUTE(BA$1,RIGHT(BA$1,2),""),VLOOKUP($D384,素材!$1:$1016,COLUMN($F$1),FALSE))),VLOOKUP($C384,装備品!$1:$998,COLUMN($O$1),FALSE)*VLOOKUP($D384,素材!$1:$1016,COLUMN($E$1),FALSE)/(LEN(VLOOKUP($D384,素材!$1:$1016,COLUMN($F$1),FALSE))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0)+IF($CI384&lt;&gt;"",VLOOKUP($CI384,付与!$A$1:BY$1173,COLUMN(付与!BY$1),FALSE),0)</f>
        <v>0</v>
      </c>
      <c r="BB384">
        <f>IF(ISNUMBER(SEARCH(SUBSTITUTE(BB$1,RIGHT(BB$1,2),""),VLOOKUP($D384,素材!$1:$1016,COLUMN($F$1),FALSE))),VLOOKUP($C384,装備品!$1:$998,COLUMN($O$1),FALSE)*VLOOKUP($D384,素材!$1:$1016,COLUMN($E$1),FALSE)/(LEN(VLOOKUP($D384,素材!$1:$1016,COLUMN($F$1),FALSE))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0)+IF($CI384&lt;&gt;"",VLOOKUP($CI384,付与!$A$1:BZ$1173,COLUMN(付与!BZ$1),FALSE),0)</f>
        <v>0</v>
      </c>
      <c r="BC384">
        <f>IF(ISNUMBER(SEARCH(SUBSTITUTE(BC$1,RIGHT(BC$1,2),""),VLOOKUP($D384,素材!$1:$1016,COLUMN($F$1),FALSE))),VLOOKUP($C384,装備品!$1:$998,COLUMN($O$1),FALSE)*VLOOKUP($D384,素材!$1:$1016,COLUMN($E$1),FALSE)/(LEN(VLOOKUP($D384,素材!$1:$1016,COLUMN($F$1),FALSE))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0)+IF($CI384&lt;&gt;"",VLOOKUP($CI384,付与!$A$1:CA$1173,COLUMN(付与!CA$1),FALSE),0)</f>
        <v>0</v>
      </c>
      <c r="BD384">
        <f>IF(ISNUMBER(SEARCH(SUBSTITUTE(BD$1,RIGHT(BD$1,2),""),VLOOKUP($D384,素材!$1:$1016,COLUMN($F$1),FALSE))),VLOOKUP($C384,装備品!$1:$998,COLUMN($O$1),FALSE)*VLOOKUP($D384,素材!$1:$1016,COLUMN($E$1),FALSE)/(LEN(VLOOKUP($D384,素材!$1:$1016,COLUMN($F$1),FALSE))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0)+IF($CI384&lt;&gt;"",VLOOKUP($CI384,付与!$A$1:CB$1173,COLUMN(付与!CB$1),FALSE),0)</f>
        <v>0</v>
      </c>
      <c r="BE384">
        <f>IF(ISNUMBER(SEARCH(SUBSTITUTE(BE$1,RIGHT(BE$1,2),""),VLOOKUP($D384,素材!$1:$1016,COLUMN($F$1),FALSE))),VLOOKUP($C384,装備品!$1:$998,COLUMN($O$1),FALSE)*VLOOKUP($D384,素材!$1:$1016,COLUMN($E$1),FALSE)/(LEN(VLOOKUP($D384,素材!$1:$1016,COLUMN($F$1),FALSE))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0)+IF($CI384&lt;&gt;"",VLOOKUP($CI384,付与!$A$1:CC$1173,COLUMN(付与!CC$1),FALSE),0)</f>
        <v>0</v>
      </c>
      <c r="CL384">
        <f t="shared" si="47"/>
        <v>0</v>
      </c>
      <c r="CM384" s="22" t="str">
        <f t="shared" si="48"/>
        <v>.webp</v>
      </c>
      <c r="CN384" t="str">
        <f>IFERROR(VLOOKUP($C384,装備品!$1:$998,COLUMN(V$1),FALSE)*VLOOKUP($D384,素材!$1:$1016,COLUMN(N$1),FALSE)+IF(CI384="",0,VLOOKUP($CI384,付与!$1:$1176,COLUMN($CK$1),FALSE)),"")</f>
        <v/>
      </c>
      <c r="CO384" t="e">
        <f>VLOOKUP(D384,素材!$A:$O,COLUMN(素材!O$1),FALSE)</f>
        <v>#N/A</v>
      </c>
      <c r="CP384" t="e">
        <f>VLOOKUP(C384,装備品!$A:$AB,COLUMN(装備品!AB$1),FALSE)</f>
        <v>#N/A</v>
      </c>
      <c r="CR384" t="str">
        <f t="shared" si="54"/>
        <v>e_384</v>
      </c>
      <c r="CS384" t="e">
        <f t="shared" si="56"/>
        <v>#VALUE!</v>
      </c>
    </row>
    <row r="385" spans="2:97" x14ac:dyDescent="0.4">
      <c r="B385" t="str">
        <f>IFERROR(VLOOKUP($D385,素材!$1:$1016,COLUMN($B$1),FALSE)&amp;"・"&amp;VLOOKUP($C385,装備品!$1:$998,COLUMN(B$1),FALSE),"")</f>
        <v/>
      </c>
      <c r="D385" s="24"/>
      <c r="E385" t="str">
        <f>IFERROR(VLOOKUP(C385,装備品!$1:$998,COLUMN(C$1),FALSE),"")</f>
        <v/>
      </c>
      <c r="F385" t="str">
        <f>IFERROR(ROUNDDOWN((VLOOKUP($C385,装備品!$1:$998,COLUMN(D$1),FALSE)+IFERROR(VLOOKUP($CI385,付与!$1:$1167,COLUMN(F$1),FALSE),0))*VLOOKUP($D385,素材!$1:$1016,COLUMN(D$1),FALSE),0),"")</f>
        <v/>
      </c>
      <c r="G385" t="str">
        <f>IFERROR(ROUNDDOWN((VLOOKUP($C385,装備品!$1:$998,COLUMN(E$1),FALSE)+IFERROR(VLOOKUP($CI385,付与!$1:$1167,COLUMN(G$1),FALSE),0))*VLOOKUP($D385,素材!$1:$1016,COLUMN($E$1),FALSE),0),"")</f>
        <v/>
      </c>
      <c r="H385" t="str">
        <f>IFERROR(ROUNDDOWN((VLOOKUP($C385,装備品!$1:$998,COLUMN(F$1),FALSE)+IFERROR(VLOOKUP($CI385,付与!$1:$1167,COLUMN(H$1),FALSE),0))*VLOOKUP($D385,素材!$1:$1016,COLUMN($E$1),FALSE),0),"")</f>
        <v/>
      </c>
      <c r="I385" t="str">
        <f>IFERROR(ROUNDDOWN((VLOOKUP($C385,装備品!$1:$998,COLUMN(G$1),FALSE)+IFERROR(VLOOKUP($CI385,付与!$1:$1167,COLUMN(I$1),FALSE),0))*VLOOKUP($D385,素材!$1:$1016,COLUMN($E$1),FALSE),0),"")</f>
        <v/>
      </c>
      <c r="J385" t="str">
        <f>IFERROR(ROUNDDOWN((VLOOKUP($C385,装備品!$1:$998,COLUMN(H$1),FALSE)+IFERROR(VLOOKUP($CI385,付与!$1:$1167,COLUMN(J$1),FALSE),0))*VLOOKUP($D385,素材!$1:$1016,COLUMN($E$1),FALSE),0),"")</f>
        <v/>
      </c>
      <c r="K385" t="str">
        <f>IFERROR(ROUNDDOWN((VLOOKUP($C385,装備品!$1:$998,COLUMN(I$1),FALSE)+IFERROR(VLOOKUP($CI385,付与!$1:$1167,COLUMN(K$1),FALSE),0))*VLOOKUP($D385,素材!$1:$1016,COLUMN($E$1),FALSE),0),"")</f>
        <v/>
      </c>
      <c r="L385" t="str">
        <f>IFERROR(VLOOKUP($D385,素材!$1:$1016,COLUMN($F$1),FALSE),"")</f>
        <v/>
      </c>
      <c r="M385" t="str">
        <f>IFERROR(VLOOKUP($C385,装備品!$1:$998,COLUMN(AA$1),FALSE)*VLOOKUP($D385,素材!$1:$1016,COLUMN($G$1),FALSE),"")</f>
        <v/>
      </c>
      <c r="N385" t="str">
        <f>IFERROR(VLOOKUP($C385,装備品!$1:$998,COLUMN(I$1),FALSE),"")</f>
        <v/>
      </c>
      <c r="O385" s="23" t="str">
        <f>IFERROR((VLOOKUP($C385,装備品!$1:$998,COLUMN(K$1),FALSE)+VLOOKUP($D385,素材!$1:$1016,COLUMN(H$1),FALSE))*100+IFERROR(VLOOKUP($CI385,付与!$1:$1167,COLUMN(O$1),FALSE),0),"")</f>
        <v/>
      </c>
      <c r="P385" s="23" t="str">
        <f>IFERROR((VLOOKUP($C385,装備品!$1:$998,COLUMN(L$1),FALSE)+VLOOKUP($D385,素材!$1:$1016,COLUMN(I$1),FALSE))*100+IFERROR(VLOOKUP($CI385,付与!$1:$1167,COLUMN(P$1),FALSE),0),"")</f>
        <v/>
      </c>
      <c r="Q385" t="str">
        <f>IFERROR(ROUNDUP(VLOOKUP($C385,装備品!$1:$998,COLUMN(M$1),FALSE)*(VLOOKUP($D385,素材!$1:$1002,COLUMN(D$1),FALSE)/100),1),"")</f>
        <v/>
      </c>
      <c r="R385" t="str">
        <f>IFERROR(ROUNDUP(VLOOKUP($C385,装備品!$1:$998,COLUMN(N$1),FALSE)*(VLOOKUP($D385,素材!$1:$1002,COLUMN(D$1),FALSE)/100),1),"")</f>
        <v/>
      </c>
      <c r="S385" t="str">
        <f>IFERROR(VLOOKUP($C385,装備品!$1:$998,COLUMN(P$1),FALSE),"")</f>
        <v/>
      </c>
      <c r="T385" t="str">
        <f>IFERROR(VLOOKUP($C385,装備品!$1:$998,COLUMN(Q$1),FALSE),"")</f>
        <v/>
      </c>
      <c r="U385" t="str">
        <f>IFERROR(VLOOKUP($C385,装備品!$1:$998,COLUMN(R$1),FALSE),"")</f>
        <v/>
      </c>
      <c r="V385" t="str">
        <f>IFERROR(VLOOKUP($C385,装備品!$1:$998,COLUMN(Q$1),FALSE),"")</f>
        <v/>
      </c>
      <c r="W385" t="str">
        <f>IFERROR(VLOOKUP($C385,装備品!$1:$998,COLUMN(T$1),FALSE),"")</f>
        <v/>
      </c>
      <c r="Y385" t="str">
        <f>IFERROR(VLOOKUP($C385,装備品!$1:$998,COLUMN(U$1),FALSE),"")</f>
        <v/>
      </c>
      <c r="Z385" t="str">
        <f>IFERROR(ROUNDUP(VLOOKUP($C385,装備品!$1:$998,COLUMN(O$1),FALSE)*VLOOKUP($D385,素材!$1:$1016,COLUMN(E$1),FALSE),1),"")</f>
        <v/>
      </c>
      <c r="AA385">
        <f>IF(ISNUMBER(SEARCH(SUBSTITUTE(AA$1,RIGHT(AA$1,2),""),VLOOKUP($D385,素材!$1:$1016,COLUMN($F$1),FALSE))),VLOOKUP($C385,装備品!$1:$998,COLUMN($O$1),FALSE)*VLOOKUP($D385,素材!$1:$1016,COLUMN($E$1),FALSE)/(LEN(VLOOKUP($D385,素材!$1:$1016,COLUMN($F$1),FALSE))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</f>
        <v>0</v>
      </c>
      <c r="AB385">
        <f>IF(ISNUMBER(SEARCH(SUBSTITUTE(AB$1,RIGHT(AB$1,2),""),VLOOKUP($D385,素材!$1:$1016,COLUMN($F$1),FALSE))),VLOOKUP($C385,装備品!$1:$998,COLUMN($O$1),FALSE)*VLOOKUP($D385,素材!$1:$1016,COLUMN($E$1),FALSE)/(LEN(VLOOKUP($D385,素材!$1:$1016,COLUMN($F$1),FALSE))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</f>
        <v>0</v>
      </c>
      <c r="AC385">
        <f>IF(ISNUMBER(SEARCH(SUBSTITUTE(AC$1,RIGHT(AC$1,2),""),VLOOKUP($D385,素材!$1:$1016,COLUMN($F$1),FALSE))),VLOOKUP($C385,装備品!$1:$998,COLUMN($O$1),FALSE)*VLOOKUP($D385,素材!$1:$1016,COLUMN($E$1),FALSE)/(LEN(VLOOKUP($D385,素材!$1:$1016,COLUMN($F$1),FALSE))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</f>
        <v>0</v>
      </c>
      <c r="AD385">
        <f>IF(ISNUMBER(SEARCH(SUBSTITUTE(AD$1,RIGHT(AD$1,2),""),VLOOKUP($D385,素材!$1:$1016,COLUMN($F$1),FALSE))),VLOOKUP($C385,装備品!$1:$998,COLUMN($O$1),FALSE)*VLOOKUP($D385,素材!$1:$1016,COLUMN($E$1),FALSE)/(LEN(VLOOKUP($D385,素材!$1:$1016,COLUMN($F$1),FALSE))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</f>
        <v>0</v>
      </c>
      <c r="AE385">
        <f>IF(ISNUMBER(SEARCH(SUBSTITUTE(AE$1,RIGHT(AE$1,2),""),VLOOKUP($D385,素材!$1:$1016,COLUMN($F$1),FALSE))),VLOOKUP($C385,装備品!$1:$998,COLUMN($O$1),FALSE)*VLOOKUP($D385,素材!$1:$1016,COLUMN($E$1),FALSE)/(LEN(VLOOKUP($D385,素材!$1:$1016,COLUMN($F$1),FALSE))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0)+IF($CI385&lt;&gt;"",VLOOKUP($CI385,付与!$A$1:BB$1173,COLUMN(付与!BB$1),FALSE),0)</f>
        <v>0</v>
      </c>
      <c r="AF385">
        <f>IF(ISNUMBER(SEARCH(SUBSTITUTE(AF$1,RIGHT(AF$1,2),""),VLOOKUP($D385,素材!$1:$1016,COLUMN($F$1),FALSE))),VLOOKUP($C385,装備品!$1:$998,COLUMN($O$1),FALSE)*VLOOKUP($D385,素材!$1:$1016,COLUMN($E$1),FALSE)/(LEN(VLOOKUP($D385,素材!$1:$1016,COLUMN($F$1),FALSE))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0)+IF($CI385&lt;&gt;"",VLOOKUP($CI385,付与!$A$1:BC$1173,COLUMN(付与!BC$1),FALSE),0)</f>
        <v>0</v>
      </c>
      <c r="AG385">
        <f>IF(ISNUMBER(SEARCH(SUBSTITUTE(AG$1,RIGHT(AG$1,2),""),VLOOKUP($D385,素材!$1:$1016,COLUMN($F$1),FALSE))),VLOOKUP($C385,装備品!$1:$998,COLUMN($O$1),FALSE)*VLOOKUP($D385,素材!$1:$1016,COLUMN($E$1),FALSE)/(LEN(VLOOKUP($D385,素材!$1:$1016,COLUMN($F$1),FALSE))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0)+IF($CI385&lt;&gt;"",VLOOKUP($CI385,付与!$A$1:BD$1173,COLUMN(付与!BD$1),FALSE),0)</f>
        <v>0</v>
      </c>
      <c r="AH385">
        <f>IF(ISNUMBER(SEARCH(SUBSTITUTE(AH$1,RIGHT(AH$1,2),""),VLOOKUP($D385,素材!$1:$1016,COLUMN($F$1),FALSE))),VLOOKUP($C385,装備品!$1:$998,COLUMN($O$1),FALSE)*VLOOKUP($D385,素材!$1:$1016,COLUMN($E$1),FALSE)/(LEN(VLOOKUP($D385,素材!$1:$1016,COLUMN($F$1),FALSE))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0)+IF($CI385&lt;&gt;"",VLOOKUP($CI385,付与!$A$1:BE$1173,COLUMN(付与!BE$1),FALSE),0)</f>
        <v>0</v>
      </c>
      <c r="AI385">
        <f>IF(ISNUMBER(SEARCH(SUBSTITUTE(AI$1,RIGHT(AI$1,2),""),VLOOKUP($D385,素材!$1:$1016,COLUMN($F$1),FALSE))),VLOOKUP($C385,装備品!$1:$998,COLUMN($O$1),FALSE)*VLOOKUP($D385,素材!$1:$1016,COLUMN($E$1),FALSE)/(LEN(VLOOKUP($D385,素材!$1:$1016,COLUMN($F$1),FALSE))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0)+IF($CI385&lt;&gt;"",VLOOKUP($CI385,付与!$A$1:BF$1173,COLUMN(付与!BF$1),FALSE),0)</f>
        <v>0</v>
      </c>
      <c r="AJ385">
        <f>IF(ISNUMBER(SEARCH(SUBSTITUTE(AJ$1,RIGHT(AJ$1,2),""),VLOOKUP($D385,素材!$1:$1016,COLUMN($F$1),FALSE))),VLOOKUP($C385,装備品!$1:$998,COLUMN($O$1),FALSE)*VLOOKUP($D385,素材!$1:$1016,COLUMN($E$1),FALSE)/(LEN(VLOOKUP($D385,素材!$1:$1016,COLUMN($F$1),FALSE))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0)+IF($CI385&lt;&gt;"",VLOOKUP($CI385,付与!$A$1:BG$1173,COLUMN(付与!BG$1),FALSE),0)</f>
        <v>0</v>
      </c>
      <c r="AK385">
        <f>IF(ISNUMBER(SEARCH(SUBSTITUTE(AK$1,RIGHT(AK$1,2),""),VLOOKUP($D385,素材!$1:$1016,COLUMN($F$1),FALSE))),VLOOKUP($C385,装備品!$1:$998,COLUMN($O$1),FALSE)*VLOOKUP($D385,素材!$1:$1016,COLUMN($E$1),FALSE)/(LEN(VLOOKUP($D385,素材!$1:$1016,COLUMN($F$1),FALSE))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0)+IF($CI385&lt;&gt;"",VLOOKUP($CI385,付与!$A$1:BH$1173,COLUMN(付与!BH$1),FALSE),0)</f>
        <v>0</v>
      </c>
      <c r="AL385">
        <f>IF(ISNUMBER(SEARCH(SUBSTITUTE(AL$1,RIGHT(AL$1,2),""),VLOOKUP($D385,素材!$1:$1016,COLUMN($F$1),FALSE))),VLOOKUP($C385,装備品!$1:$998,COLUMN($O$1),FALSE)*VLOOKUP($D385,素材!$1:$1016,COLUMN($E$1),FALSE)/(LEN(VLOOKUP($D385,素材!$1:$1016,COLUMN($F$1),FALSE))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0)+IF($CI385&lt;&gt;"",VLOOKUP($CI385,付与!$A$1:BI$1173,COLUMN(付与!BI$1),FALSE),0)</f>
        <v>0</v>
      </c>
      <c r="AM385">
        <f>IF(ISNUMBER(SEARCH(SUBSTITUTE(AM$1,RIGHT(AM$1,2),""),VLOOKUP($D385,素材!$1:$1016,COLUMN($F$1),FALSE))),VLOOKUP($C385,装備品!$1:$998,COLUMN($O$1),FALSE)*VLOOKUP($D385,素材!$1:$1016,COLUMN($E$1),FALSE)/(LEN(VLOOKUP($D385,素材!$1:$1016,COLUMN($F$1),FALSE))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0)+IF($CI385&lt;&gt;"",VLOOKUP($CI385,付与!$A$1:BJ$1173,COLUMN(付与!BJ$1),FALSE),0)</f>
        <v>0</v>
      </c>
      <c r="AN385">
        <f>IF(ISNUMBER(SEARCH(SUBSTITUTE(AN$1,RIGHT(AN$1,2),""),VLOOKUP($D385,素材!$1:$1016,COLUMN($F$1),FALSE))),VLOOKUP($C385,装備品!$1:$998,COLUMN($O$1),FALSE)*VLOOKUP($D385,素材!$1:$1016,COLUMN($E$1),FALSE)/(LEN(VLOOKUP($D385,素材!$1:$1016,COLUMN($F$1),FALSE))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0)+IF($CI385&lt;&gt;"",VLOOKUP($CI385,付与!$A$1:BK$1173,COLUMN(付与!BK$1),FALSE),0)</f>
        <v>0</v>
      </c>
      <c r="AO385">
        <f>IF(ISNUMBER(SEARCH(SUBSTITUTE(AO$1,RIGHT(AO$1,2),""),VLOOKUP($D385,素材!$1:$1016,COLUMN($F$1),FALSE))),VLOOKUP($C385,装備品!$1:$998,COLUMN($O$1),FALSE)*VLOOKUP($D385,素材!$1:$1016,COLUMN($E$1),FALSE)/(LEN(VLOOKUP($D385,素材!$1:$1016,COLUMN($F$1),FALSE))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0)+IF($CI385&lt;&gt;"",VLOOKUP($CI385,付与!$A$1:BM$1173,COLUMN(付与!BM$1),FALSE),0)</f>
        <v>0</v>
      </c>
      <c r="AP385">
        <f>IF(ISNUMBER(SEARCH(SUBSTITUTE(AP$1,RIGHT(AP$1,2),""),VLOOKUP($D385,素材!$1:$1016,COLUMN($F$1),FALSE))),VLOOKUP($C385,装備品!$1:$998,COLUMN($O$1),FALSE)*VLOOKUP($D385,素材!$1:$1016,COLUMN($E$1),FALSE)/(LEN(VLOOKUP($D385,素材!$1:$1016,COLUMN($F$1),FALSE))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0)+IF($CI385&lt;&gt;"",VLOOKUP($CI385,付与!$A$1:BN$1173,COLUMN(付与!BN$1),FALSE),0)</f>
        <v>0</v>
      </c>
      <c r="AQ385">
        <f>IF(ISNUMBER(SEARCH(SUBSTITUTE(AQ$1,RIGHT(AQ$1,2),""),VLOOKUP($D385,素材!$1:$1016,COLUMN($F$1),FALSE))),VLOOKUP($C385,装備品!$1:$998,COLUMN($O$1),FALSE)*VLOOKUP($D385,素材!$1:$1016,COLUMN($E$1),FALSE)/(LEN(VLOOKUP($D385,素材!$1:$1016,COLUMN($F$1),FALSE))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0)+IF($CI385&lt;&gt;"",VLOOKUP($CI385,付与!$A$1:BP$1173,COLUMN(付与!BP$1),FALSE),0)</f>
        <v>0</v>
      </c>
      <c r="AR385">
        <f>IF(ISNUMBER(SEARCH(SUBSTITUTE(AR$1,RIGHT(AR$1,2),""),VLOOKUP($D385,素材!$1:$1016,COLUMN($F$1),FALSE))),VLOOKUP($C385,装備品!$1:$998,COLUMN($O$1),FALSE)*VLOOKUP($D385,素材!$1:$1016,COLUMN($E$1),FALSE)/(LEN(VLOOKUP($D385,素材!$1:$1016,COLUMN($F$1),FALSE))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0)+IF($CI385&lt;&gt;"",VLOOKUP($CI385,付与!$A$1:BQ$1173,COLUMN(付与!BQ$1),FALSE),0)</f>
        <v>0</v>
      </c>
      <c r="AS385">
        <f>IF(ISNUMBER(SEARCH(SUBSTITUTE(AS$1,RIGHT(AS$1,2),""),VLOOKUP($D385,素材!$1:$1016,COLUMN($F$1),FALSE))),VLOOKUP($C385,装備品!$1:$998,COLUMN($O$1),FALSE)*VLOOKUP($D385,素材!$1:$1016,COLUMN($E$1),FALSE)/(LEN(VLOOKUP($D385,素材!$1:$1016,COLUMN($F$1),FALSE))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0)+IF($CI385&lt;&gt;"",VLOOKUP($CI385,付与!$A$1:BR$1173,COLUMN(付与!BR$1),FALSE),0)</f>
        <v>0</v>
      </c>
      <c r="AT385">
        <f>IF(ISNUMBER(SEARCH(SUBSTITUTE(AT$1,RIGHT(AT$1,2),""),VLOOKUP($D385,素材!$1:$1016,COLUMN($F$1),FALSE))),VLOOKUP($C385,装備品!$1:$998,COLUMN($O$1),FALSE)*VLOOKUP($D385,素材!$1:$1016,COLUMN($E$1),FALSE)/(LEN(VLOOKUP($D385,素材!$1:$1016,COLUMN($F$1),FALSE))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0)+IF($CI385&lt;&gt;"",VLOOKUP($CI385,付与!$A$1:BV$1173,COLUMN(付与!BV$1),FALSE),0)</f>
        <v>0</v>
      </c>
      <c r="AU385">
        <f>IF(ISNUMBER(SEARCH(SUBSTITUTE(AU$1,RIGHT(AU$1,2),""),VLOOKUP($D385,素材!$1:$1016,COLUMN($F$1),FALSE))),VLOOKUP($C385,装備品!$1:$998,COLUMN($O$1),FALSE)*VLOOKUP($D385,素材!$1:$1016,COLUMN($E$1),FALSE)/(LEN(VLOOKUP($D385,素材!$1:$1016,COLUMN($F$1),FALSE))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0)+IF($CI385&lt;&gt;"",VLOOKUP($CI385,付与!$A$1:BW$1173,COLUMN(付与!BW$1),FALSE),0)</f>
        <v>0</v>
      </c>
      <c r="AV385">
        <f>IF(ISNUMBER(SEARCH(SUBSTITUTE(AV$1,RIGHT(AV$1,2),""),VLOOKUP($D385,素材!$1:$1016,COLUMN($F$1),FALSE))),VLOOKUP($C385,装備品!$1:$998,COLUMN($O$1),FALSE)*VLOOKUP($D385,素材!$1:$1016,COLUMN($E$1),FALSE)/(LEN(VLOOKUP($D385,素材!$1:$1016,COLUMN($F$1),FALSE))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0)+IF($CI385&lt;&gt;"",VLOOKUP($CI385,付与!$A$1:BS$1173,COLUMN(付与!BS$1),FALSE),0)</f>
        <v>0</v>
      </c>
      <c r="AW385">
        <f>IF(ISNUMBER(SEARCH(SUBSTITUTE(AW$1,RIGHT(AW$1,2),""),VLOOKUP($D385,素材!$1:$1016,COLUMN($F$1),FALSE))),VLOOKUP($C385,装備品!$1:$998,COLUMN($O$1),FALSE)*VLOOKUP($D385,素材!$1:$1016,COLUMN($E$1),FALSE)/(LEN(VLOOKUP($D385,素材!$1:$1016,COLUMN($F$1),FALSE))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0)+IF($CI385&lt;&gt;"",VLOOKUP($CI385,付与!$A$1:BT$1173,COLUMN(付与!BT$1),FALSE),0)</f>
        <v>0</v>
      </c>
      <c r="AX385">
        <f>IF(ISNUMBER(SEARCH(SUBSTITUTE(AX$1,RIGHT(AX$1,2),""),VLOOKUP($D385,素材!$1:$1016,COLUMN($F$1),FALSE))),VLOOKUP($C385,装備品!$1:$998,COLUMN($O$1),FALSE)*VLOOKUP($D385,素材!$1:$1016,COLUMN($E$1),FALSE)/(LEN(VLOOKUP($D385,素材!$1:$1016,COLUMN($F$1),FALSE))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0)+IF($CI385&lt;&gt;"",VLOOKUP($CI385,付与!$A$1:BU$1173,COLUMN(付与!BU$1),FALSE),0)</f>
        <v>0</v>
      </c>
      <c r="AY385">
        <f>IF(ISNUMBER(SEARCH(SUBSTITUTE(AY$1,RIGHT(AY$1,2),""),VLOOKUP($D385,素材!$1:$1016,COLUMN($F$1),FALSE))),VLOOKUP($C385,装備品!$1:$998,COLUMN($O$1),FALSE)*VLOOKUP($D385,素材!$1:$1016,COLUMN($E$1),FALSE)/(LEN(VLOOKUP($D385,素材!$1:$1016,COLUMN($F$1),FALSE))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0)+IF($CI385&lt;&gt;"",VLOOKUP($CI385,付与!$A$1:BU$1173,COLUMN(付与!BO$1),FALSE),0)</f>
        <v>0</v>
      </c>
      <c r="AZ385">
        <f>IF(ISNUMBER(SEARCH(SUBSTITUTE(AZ$1,RIGHT(AZ$1,2),""),VLOOKUP($D385,素材!$1:$1016,COLUMN($F$1),FALSE))),VLOOKUP($C385,装備品!$1:$998,COLUMN($O$1),FALSE)*VLOOKUP($D385,素材!$1:$1016,COLUMN($E$1),FALSE)/(LEN(VLOOKUP($D385,素材!$1:$1016,COLUMN($F$1),FALSE))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0)+IF($CI385&lt;&gt;"",VLOOKUP($CI385,付与!$A$1:BX$1173,COLUMN(付与!BX$1),FALSE),0)</f>
        <v>0</v>
      </c>
      <c r="BA385">
        <f>IF(ISNUMBER(SEARCH(SUBSTITUTE(BA$1,RIGHT(BA$1,2),""),VLOOKUP($D385,素材!$1:$1016,COLUMN($F$1),FALSE))),VLOOKUP($C385,装備品!$1:$998,COLUMN($O$1),FALSE)*VLOOKUP($D385,素材!$1:$1016,COLUMN($E$1),FALSE)/(LEN(VLOOKUP($D385,素材!$1:$1016,COLUMN($F$1),FALSE))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0)+IF($CI385&lt;&gt;"",VLOOKUP($CI385,付与!$A$1:BY$1173,COLUMN(付与!BY$1),FALSE),0)</f>
        <v>0</v>
      </c>
      <c r="BB385">
        <f>IF(ISNUMBER(SEARCH(SUBSTITUTE(BB$1,RIGHT(BB$1,2),""),VLOOKUP($D385,素材!$1:$1016,COLUMN($F$1),FALSE))),VLOOKUP($C385,装備品!$1:$998,COLUMN($O$1),FALSE)*VLOOKUP($D385,素材!$1:$1016,COLUMN($E$1),FALSE)/(LEN(VLOOKUP($D385,素材!$1:$1016,COLUMN($F$1),FALSE))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0)+IF($CI385&lt;&gt;"",VLOOKUP($CI385,付与!$A$1:BZ$1173,COLUMN(付与!BZ$1),FALSE),0)</f>
        <v>0</v>
      </c>
      <c r="BC385">
        <f>IF(ISNUMBER(SEARCH(SUBSTITUTE(BC$1,RIGHT(BC$1,2),""),VLOOKUP($D385,素材!$1:$1016,COLUMN($F$1),FALSE))),VLOOKUP($C385,装備品!$1:$998,COLUMN($O$1),FALSE)*VLOOKUP($D385,素材!$1:$1016,COLUMN($E$1),FALSE)/(LEN(VLOOKUP($D385,素材!$1:$1016,COLUMN($F$1),FALSE))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0)+IF($CI385&lt;&gt;"",VLOOKUP($CI385,付与!$A$1:CA$1173,COLUMN(付与!CA$1),FALSE),0)</f>
        <v>0</v>
      </c>
      <c r="BD385">
        <f>IF(ISNUMBER(SEARCH(SUBSTITUTE(BD$1,RIGHT(BD$1,2),""),VLOOKUP($D385,素材!$1:$1016,COLUMN($F$1),FALSE))),VLOOKUP($C385,装備品!$1:$998,COLUMN($O$1),FALSE)*VLOOKUP($D385,素材!$1:$1016,COLUMN($E$1),FALSE)/(LEN(VLOOKUP($D385,素材!$1:$1016,COLUMN($F$1),FALSE))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0)+IF($CI385&lt;&gt;"",VLOOKUP($CI385,付与!$A$1:CB$1173,COLUMN(付与!CB$1),FALSE),0)</f>
        <v>0</v>
      </c>
      <c r="BE385">
        <f>IF(ISNUMBER(SEARCH(SUBSTITUTE(BE$1,RIGHT(BE$1,2),""),VLOOKUP($D385,素材!$1:$1016,COLUMN($F$1),FALSE))),VLOOKUP($C385,装備品!$1:$998,COLUMN($O$1),FALSE)*VLOOKUP($D385,素材!$1:$1016,COLUMN($E$1),FALSE)/(LEN(VLOOKUP($D385,素材!$1:$1016,COLUMN($F$1),FALSE))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0)+IF($CI385&lt;&gt;"",VLOOKUP($CI385,付与!$A$1:CC$1173,COLUMN(付与!CC$1),FALSE),0)</f>
        <v>0</v>
      </c>
      <c r="CL385">
        <f t="shared" si="47"/>
        <v>0</v>
      </c>
      <c r="CM385" s="22" t="str">
        <f t="shared" si="48"/>
        <v>.webp</v>
      </c>
      <c r="CN385" t="str">
        <f>IFERROR(VLOOKUP($C385,装備品!$1:$998,COLUMN(V$1),FALSE)*VLOOKUP($D385,素材!$1:$1016,COLUMN(N$1),FALSE)+IF(CI385="",0,VLOOKUP($CI385,付与!$1:$1176,COLUMN($CK$1),FALSE)),"")</f>
        <v/>
      </c>
      <c r="CO385" t="e">
        <f>VLOOKUP(D385,素材!$A:$O,COLUMN(素材!O$1),FALSE)</f>
        <v>#N/A</v>
      </c>
      <c r="CP385" t="e">
        <f>VLOOKUP(C385,装備品!$A:$AB,COLUMN(装備品!AB$1),FALSE)</f>
        <v>#N/A</v>
      </c>
      <c r="CR385" t="str">
        <f t="shared" si="54"/>
        <v>e_385</v>
      </c>
      <c r="CS385" t="e">
        <f t="shared" si="56"/>
        <v>#VALUE!</v>
      </c>
    </row>
    <row r="386" spans="2:97" x14ac:dyDescent="0.4">
      <c r="B386" t="str">
        <f>IFERROR(VLOOKUP($D386,素材!$1:$1016,COLUMN($B$1),FALSE)&amp;"・"&amp;VLOOKUP($C386,装備品!$1:$998,COLUMN(B$1),FALSE),"")</f>
        <v/>
      </c>
      <c r="D386" s="24"/>
      <c r="E386" t="str">
        <f>IFERROR(VLOOKUP(C386,装備品!$1:$998,COLUMN(C$1),FALSE),"")</f>
        <v/>
      </c>
      <c r="F386" t="str">
        <f>IFERROR(ROUNDDOWN((VLOOKUP($C386,装備品!$1:$998,COLUMN(D$1),FALSE)+IFERROR(VLOOKUP($CI386,付与!$1:$1167,COLUMN(F$1),FALSE),0))*VLOOKUP($D386,素材!$1:$1016,COLUMN(D$1),FALSE),0),"")</f>
        <v/>
      </c>
      <c r="G386" t="str">
        <f>IFERROR(ROUNDDOWN((VLOOKUP($C386,装備品!$1:$998,COLUMN(E$1),FALSE)+IFERROR(VLOOKUP($CI386,付与!$1:$1167,COLUMN(G$1),FALSE),0))*VLOOKUP($D386,素材!$1:$1016,COLUMN($E$1),FALSE),0),"")</f>
        <v/>
      </c>
      <c r="H386" t="str">
        <f>IFERROR(ROUNDDOWN((VLOOKUP($C386,装備品!$1:$998,COLUMN(F$1),FALSE)+IFERROR(VLOOKUP($CI386,付与!$1:$1167,COLUMN(H$1),FALSE),0))*VLOOKUP($D386,素材!$1:$1016,COLUMN($E$1),FALSE),0),"")</f>
        <v/>
      </c>
      <c r="I386" t="str">
        <f>IFERROR(ROUNDDOWN((VLOOKUP($C386,装備品!$1:$998,COLUMN(G$1),FALSE)+IFERROR(VLOOKUP($CI386,付与!$1:$1167,COLUMN(I$1),FALSE),0))*VLOOKUP($D386,素材!$1:$1016,COLUMN($E$1),FALSE),0),"")</f>
        <v/>
      </c>
      <c r="J386" t="str">
        <f>IFERROR(ROUNDDOWN((VLOOKUP($C386,装備品!$1:$998,COLUMN(H$1),FALSE)+IFERROR(VLOOKUP($CI386,付与!$1:$1167,COLUMN(J$1),FALSE),0))*VLOOKUP($D386,素材!$1:$1016,COLUMN($E$1),FALSE),0),"")</f>
        <v/>
      </c>
      <c r="K386" t="str">
        <f>IFERROR(ROUNDDOWN((VLOOKUP($C386,装備品!$1:$998,COLUMN(I$1),FALSE)+IFERROR(VLOOKUP($CI386,付与!$1:$1167,COLUMN(K$1),FALSE),0))*VLOOKUP($D386,素材!$1:$1016,COLUMN($E$1),FALSE),0),"")</f>
        <v/>
      </c>
      <c r="L386" t="str">
        <f>IFERROR(VLOOKUP($D386,素材!$1:$1016,COLUMN($F$1),FALSE),"")</f>
        <v/>
      </c>
      <c r="M386" t="str">
        <f>IFERROR(VLOOKUP($C386,装備品!$1:$998,COLUMN(AA$1),FALSE)*VLOOKUP($D386,素材!$1:$1016,COLUMN($G$1),FALSE),"")</f>
        <v/>
      </c>
      <c r="N386" t="str">
        <f>IFERROR(VLOOKUP($C386,装備品!$1:$998,COLUMN(I$1),FALSE),"")</f>
        <v/>
      </c>
      <c r="O386" s="23" t="str">
        <f>IFERROR((VLOOKUP($C386,装備品!$1:$998,COLUMN(K$1),FALSE)+VLOOKUP($D386,素材!$1:$1016,COLUMN(H$1),FALSE))*100+IFERROR(VLOOKUP($CI386,付与!$1:$1167,COLUMN(O$1),FALSE),0),"")</f>
        <v/>
      </c>
      <c r="P386" s="23" t="str">
        <f>IFERROR((VLOOKUP($C386,装備品!$1:$998,COLUMN(L$1),FALSE)+VLOOKUP($D386,素材!$1:$1016,COLUMN(I$1),FALSE))*100+IFERROR(VLOOKUP($CI386,付与!$1:$1167,COLUMN(P$1),FALSE),0),"")</f>
        <v/>
      </c>
      <c r="Q386" t="str">
        <f>IFERROR(ROUNDUP(VLOOKUP($C386,装備品!$1:$998,COLUMN(M$1),FALSE)*(VLOOKUP($D386,素材!$1:$1002,COLUMN(D$1),FALSE)/100),1),"")</f>
        <v/>
      </c>
      <c r="R386" t="str">
        <f>IFERROR(ROUNDUP(VLOOKUP($C386,装備品!$1:$998,COLUMN(N$1),FALSE)*(VLOOKUP($D386,素材!$1:$1002,COLUMN(D$1),FALSE)/100),1),"")</f>
        <v/>
      </c>
      <c r="S386" t="str">
        <f>IFERROR(VLOOKUP($C386,装備品!$1:$998,COLUMN(P$1),FALSE),"")</f>
        <v/>
      </c>
      <c r="T386" t="str">
        <f>IFERROR(VLOOKUP($C386,装備品!$1:$998,COLUMN(Q$1),FALSE),"")</f>
        <v/>
      </c>
      <c r="U386" t="str">
        <f>IFERROR(VLOOKUP($C386,装備品!$1:$998,COLUMN(R$1),FALSE),"")</f>
        <v/>
      </c>
      <c r="V386" t="str">
        <f>IFERROR(VLOOKUP($C386,装備品!$1:$998,COLUMN(Q$1),FALSE),"")</f>
        <v/>
      </c>
      <c r="W386" t="str">
        <f>IFERROR(VLOOKUP($C386,装備品!$1:$998,COLUMN(T$1),FALSE),"")</f>
        <v/>
      </c>
      <c r="Y386" t="str">
        <f>IFERROR(VLOOKUP($C386,装備品!$1:$998,COLUMN(U$1),FALSE),"")</f>
        <v/>
      </c>
      <c r="Z386" t="str">
        <f>IFERROR(ROUNDUP(VLOOKUP($C386,装備品!$1:$998,COLUMN(O$1),FALSE)*VLOOKUP($D386,素材!$1:$1016,COLUMN(E$1),FALSE),1),"")</f>
        <v/>
      </c>
      <c r="AA386">
        <f>IF(ISNUMBER(SEARCH(SUBSTITUTE(AA$1,RIGHT(AA$1,2),""),VLOOKUP($D386,素材!$1:$1016,COLUMN($F$1),FALSE))),VLOOKUP($C386,装備品!$1:$998,COLUMN($O$1),FALSE)*VLOOKUP($D386,素材!$1:$1016,COLUMN($E$1),FALSE)/(LEN(VLOOKUP($D386,素材!$1:$1016,COLUMN($F$1),FALSE))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</f>
        <v>0</v>
      </c>
      <c r="AB386">
        <f>IF(ISNUMBER(SEARCH(SUBSTITUTE(AB$1,RIGHT(AB$1,2),""),VLOOKUP($D386,素材!$1:$1016,COLUMN($F$1),FALSE))),VLOOKUP($C386,装備品!$1:$998,COLUMN($O$1),FALSE)*VLOOKUP($D386,素材!$1:$1016,COLUMN($E$1),FALSE)/(LEN(VLOOKUP($D386,素材!$1:$1016,COLUMN($F$1),FALSE))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</f>
        <v>0</v>
      </c>
      <c r="AC386">
        <f>IF(ISNUMBER(SEARCH(SUBSTITUTE(AC$1,RIGHT(AC$1,2),""),VLOOKUP($D386,素材!$1:$1016,COLUMN($F$1),FALSE))),VLOOKUP($C386,装備品!$1:$998,COLUMN($O$1),FALSE)*VLOOKUP($D386,素材!$1:$1016,COLUMN($E$1),FALSE)/(LEN(VLOOKUP($D386,素材!$1:$1016,COLUMN($F$1),FALSE))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</f>
        <v>0</v>
      </c>
      <c r="AD386">
        <f>IF(ISNUMBER(SEARCH(SUBSTITUTE(AD$1,RIGHT(AD$1,2),""),VLOOKUP($D386,素材!$1:$1016,COLUMN($F$1),FALSE))),VLOOKUP($C386,装備品!$1:$998,COLUMN($O$1),FALSE)*VLOOKUP($D386,素材!$1:$1016,COLUMN($E$1),FALSE)/(LEN(VLOOKUP($D386,素材!$1:$1016,COLUMN($F$1),FALSE))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</f>
        <v>0</v>
      </c>
      <c r="AE386">
        <f>IF(ISNUMBER(SEARCH(SUBSTITUTE(AE$1,RIGHT(AE$1,2),""),VLOOKUP($D386,素材!$1:$1016,COLUMN($F$1),FALSE))),VLOOKUP($C386,装備品!$1:$998,COLUMN($O$1),FALSE)*VLOOKUP($D386,素材!$1:$1016,COLUMN($E$1),FALSE)/(LEN(VLOOKUP($D386,素材!$1:$1016,COLUMN($F$1),FALSE))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0)+IF($CI386&lt;&gt;"",VLOOKUP($CI386,付与!$A$1:BB$1173,COLUMN(付与!BB$1),FALSE),0)</f>
        <v>0</v>
      </c>
      <c r="AF386">
        <f>IF(ISNUMBER(SEARCH(SUBSTITUTE(AF$1,RIGHT(AF$1,2),""),VLOOKUP($D386,素材!$1:$1016,COLUMN($F$1),FALSE))),VLOOKUP($C386,装備品!$1:$998,COLUMN($O$1),FALSE)*VLOOKUP($D386,素材!$1:$1016,COLUMN($E$1),FALSE)/(LEN(VLOOKUP($D386,素材!$1:$1016,COLUMN($F$1),FALSE))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0)+IF($CI386&lt;&gt;"",VLOOKUP($CI386,付与!$A$1:BC$1173,COLUMN(付与!BC$1),FALSE),0)</f>
        <v>0</v>
      </c>
      <c r="AG386">
        <f>IF(ISNUMBER(SEARCH(SUBSTITUTE(AG$1,RIGHT(AG$1,2),""),VLOOKUP($D386,素材!$1:$1016,COLUMN($F$1),FALSE))),VLOOKUP($C386,装備品!$1:$998,COLUMN($O$1),FALSE)*VLOOKUP($D386,素材!$1:$1016,COLUMN($E$1),FALSE)/(LEN(VLOOKUP($D386,素材!$1:$1016,COLUMN($F$1),FALSE))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0)+IF($CI386&lt;&gt;"",VLOOKUP($CI386,付与!$A$1:BD$1173,COLUMN(付与!BD$1),FALSE),0)</f>
        <v>0</v>
      </c>
      <c r="AH386">
        <f>IF(ISNUMBER(SEARCH(SUBSTITUTE(AH$1,RIGHT(AH$1,2),""),VLOOKUP($D386,素材!$1:$1016,COLUMN($F$1),FALSE))),VLOOKUP($C386,装備品!$1:$998,COLUMN($O$1),FALSE)*VLOOKUP($D386,素材!$1:$1016,COLUMN($E$1),FALSE)/(LEN(VLOOKUP($D386,素材!$1:$1016,COLUMN($F$1),FALSE))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0)+IF($CI386&lt;&gt;"",VLOOKUP($CI386,付与!$A$1:BE$1173,COLUMN(付与!BE$1),FALSE),0)</f>
        <v>0</v>
      </c>
      <c r="AI386">
        <f>IF(ISNUMBER(SEARCH(SUBSTITUTE(AI$1,RIGHT(AI$1,2),""),VLOOKUP($D386,素材!$1:$1016,COLUMN($F$1),FALSE))),VLOOKUP($C386,装備品!$1:$998,COLUMN($O$1),FALSE)*VLOOKUP($D386,素材!$1:$1016,COLUMN($E$1),FALSE)/(LEN(VLOOKUP($D386,素材!$1:$1016,COLUMN($F$1),FALSE))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0)+IF($CI386&lt;&gt;"",VLOOKUP($CI386,付与!$A$1:BF$1173,COLUMN(付与!BF$1),FALSE),0)</f>
        <v>0</v>
      </c>
      <c r="AJ386">
        <f>IF(ISNUMBER(SEARCH(SUBSTITUTE(AJ$1,RIGHT(AJ$1,2),""),VLOOKUP($D386,素材!$1:$1016,COLUMN($F$1),FALSE))),VLOOKUP($C386,装備品!$1:$998,COLUMN($O$1),FALSE)*VLOOKUP($D386,素材!$1:$1016,COLUMN($E$1),FALSE)/(LEN(VLOOKUP($D386,素材!$1:$1016,COLUMN($F$1),FALSE))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0)+IF($CI386&lt;&gt;"",VLOOKUP($CI386,付与!$A$1:BG$1173,COLUMN(付与!BG$1),FALSE),0)</f>
        <v>0</v>
      </c>
      <c r="AK386">
        <f>IF(ISNUMBER(SEARCH(SUBSTITUTE(AK$1,RIGHT(AK$1,2),""),VLOOKUP($D386,素材!$1:$1016,COLUMN($F$1),FALSE))),VLOOKUP($C386,装備品!$1:$998,COLUMN($O$1),FALSE)*VLOOKUP($D386,素材!$1:$1016,COLUMN($E$1),FALSE)/(LEN(VLOOKUP($D386,素材!$1:$1016,COLUMN($F$1),FALSE))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0)+IF($CI386&lt;&gt;"",VLOOKUP($CI386,付与!$A$1:BH$1173,COLUMN(付与!BH$1),FALSE),0)</f>
        <v>0</v>
      </c>
      <c r="AL386">
        <f>IF(ISNUMBER(SEARCH(SUBSTITUTE(AL$1,RIGHT(AL$1,2),""),VLOOKUP($D386,素材!$1:$1016,COLUMN($F$1),FALSE))),VLOOKUP($C386,装備品!$1:$998,COLUMN($O$1),FALSE)*VLOOKUP($D386,素材!$1:$1016,COLUMN($E$1),FALSE)/(LEN(VLOOKUP($D386,素材!$1:$1016,COLUMN($F$1),FALSE))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0)+IF($CI386&lt;&gt;"",VLOOKUP($CI386,付与!$A$1:BI$1173,COLUMN(付与!BI$1),FALSE),0)</f>
        <v>0</v>
      </c>
      <c r="AM386">
        <f>IF(ISNUMBER(SEARCH(SUBSTITUTE(AM$1,RIGHT(AM$1,2),""),VLOOKUP($D386,素材!$1:$1016,COLUMN($F$1),FALSE))),VLOOKUP($C386,装備品!$1:$998,COLUMN($O$1),FALSE)*VLOOKUP($D386,素材!$1:$1016,COLUMN($E$1),FALSE)/(LEN(VLOOKUP($D386,素材!$1:$1016,COLUMN($F$1),FALSE))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0)+IF($CI386&lt;&gt;"",VLOOKUP($CI386,付与!$A$1:BJ$1173,COLUMN(付与!BJ$1),FALSE),0)</f>
        <v>0</v>
      </c>
      <c r="AN386">
        <f>IF(ISNUMBER(SEARCH(SUBSTITUTE(AN$1,RIGHT(AN$1,2),""),VLOOKUP($D386,素材!$1:$1016,COLUMN($F$1),FALSE))),VLOOKUP($C386,装備品!$1:$998,COLUMN($O$1),FALSE)*VLOOKUP($D386,素材!$1:$1016,COLUMN($E$1),FALSE)/(LEN(VLOOKUP($D386,素材!$1:$1016,COLUMN($F$1),FALSE))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0)+IF($CI386&lt;&gt;"",VLOOKUP($CI386,付与!$A$1:BK$1173,COLUMN(付与!BK$1),FALSE),0)</f>
        <v>0</v>
      </c>
      <c r="AO386">
        <f>IF(ISNUMBER(SEARCH(SUBSTITUTE(AO$1,RIGHT(AO$1,2),""),VLOOKUP($D386,素材!$1:$1016,COLUMN($F$1),FALSE))),VLOOKUP($C386,装備品!$1:$998,COLUMN($O$1),FALSE)*VLOOKUP($D386,素材!$1:$1016,COLUMN($E$1),FALSE)/(LEN(VLOOKUP($D386,素材!$1:$1016,COLUMN($F$1),FALSE))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0)+IF($CI386&lt;&gt;"",VLOOKUP($CI386,付与!$A$1:BM$1173,COLUMN(付与!BM$1),FALSE),0)</f>
        <v>0</v>
      </c>
      <c r="AP386">
        <f>IF(ISNUMBER(SEARCH(SUBSTITUTE(AP$1,RIGHT(AP$1,2),""),VLOOKUP($D386,素材!$1:$1016,COLUMN($F$1),FALSE))),VLOOKUP($C386,装備品!$1:$998,COLUMN($O$1),FALSE)*VLOOKUP($D386,素材!$1:$1016,COLUMN($E$1),FALSE)/(LEN(VLOOKUP($D386,素材!$1:$1016,COLUMN($F$1),FALSE))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0)+IF($CI386&lt;&gt;"",VLOOKUP($CI386,付与!$A$1:BN$1173,COLUMN(付与!BN$1),FALSE),0)</f>
        <v>0</v>
      </c>
      <c r="AQ386">
        <f>IF(ISNUMBER(SEARCH(SUBSTITUTE(AQ$1,RIGHT(AQ$1,2),""),VLOOKUP($D386,素材!$1:$1016,COLUMN($F$1),FALSE))),VLOOKUP($C386,装備品!$1:$998,COLUMN($O$1),FALSE)*VLOOKUP($D386,素材!$1:$1016,COLUMN($E$1),FALSE)/(LEN(VLOOKUP($D386,素材!$1:$1016,COLUMN($F$1),FALSE))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0)+IF($CI386&lt;&gt;"",VLOOKUP($CI386,付与!$A$1:BP$1173,COLUMN(付与!BP$1),FALSE),0)</f>
        <v>0</v>
      </c>
      <c r="AR386">
        <f>IF(ISNUMBER(SEARCH(SUBSTITUTE(AR$1,RIGHT(AR$1,2),""),VLOOKUP($D386,素材!$1:$1016,COLUMN($F$1),FALSE))),VLOOKUP($C386,装備品!$1:$998,COLUMN($O$1),FALSE)*VLOOKUP($D386,素材!$1:$1016,COLUMN($E$1),FALSE)/(LEN(VLOOKUP($D386,素材!$1:$1016,COLUMN($F$1),FALSE))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0)+IF($CI386&lt;&gt;"",VLOOKUP($CI386,付与!$A$1:BQ$1173,COLUMN(付与!BQ$1),FALSE),0)</f>
        <v>0</v>
      </c>
      <c r="AS386">
        <f>IF(ISNUMBER(SEARCH(SUBSTITUTE(AS$1,RIGHT(AS$1,2),""),VLOOKUP($D386,素材!$1:$1016,COLUMN($F$1),FALSE))),VLOOKUP($C386,装備品!$1:$998,COLUMN($O$1),FALSE)*VLOOKUP($D386,素材!$1:$1016,COLUMN($E$1),FALSE)/(LEN(VLOOKUP($D386,素材!$1:$1016,COLUMN($F$1),FALSE))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0)+IF($CI386&lt;&gt;"",VLOOKUP($CI386,付与!$A$1:BR$1173,COLUMN(付与!BR$1),FALSE),0)</f>
        <v>0</v>
      </c>
      <c r="AT386">
        <f>IF(ISNUMBER(SEARCH(SUBSTITUTE(AT$1,RIGHT(AT$1,2),""),VLOOKUP($D386,素材!$1:$1016,COLUMN($F$1),FALSE))),VLOOKUP($C386,装備品!$1:$998,COLUMN($O$1),FALSE)*VLOOKUP($D386,素材!$1:$1016,COLUMN($E$1),FALSE)/(LEN(VLOOKUP($D386,素材!$1:$1016,COLUMN($F$1),FALSE))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0)+IF($CI386&lt;&gt;"",VLOOKUP($CI386,付与!$A$1:BV$1173,COLUMN(付与!BV$1),FALSE),0)</f>
        <v>0</v>
      </c>
      <c r="AU386">
        <f>IF(ISNUMBER(SEARCH(SUBSTITUTE(AU$1,RIGHT(AU$1,2),""),VLOOKUP($D386,素材!$1:$1016,COLUMN($F$1),FALSE))),VLOOKUP($C386,装備品!$1:$998,COLUMN($O$1),FALSE)*VLOOKUP($D386,素材!$1:$1016,COLUMN($E$1),FALSE)/(LEN(VLOOKUP($D386,素材!$1:$1016,COLUMN($F$1),FALSE))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0)+IF($CI386&lt;&gt;"",VLOOKUP($CI386,付与!$A$1:BW$1173,COLUMN(付与!BW$1),FALSE),0)</f>
        <v>0</v>
      </c>
      <c r="AV386">
        <f>IF(ISNUMBER(SEARCH(SUBSTITUTE(AV$1,RIGHT(AV$1,2),""),VLOOKUP($D386,素材!$1:$1016,COLUMN($F$1),FALSE))),VLOOKUP($C386,装備品!$1:$998,COLUMN($O$1),FALSE)*VLOOKUP($D386,素材!$1:$1016,COLUMN($E$1),FALSE)/(LEN(VLOOKUP($D386,素材!$1:$1016,COLUMN($F$1),FALSE))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0)+IF($CI386&lt;&gt;"",VLOOKUP($CI386,付与!$A$1:BS$1173,COLUMN(付与!BS$1),FALSE),0)</f>
        <v>0</v>
      </c>
      <c r="AW386">
        <f>IF(ISNUMBER(SEARCH(SUBSTITUTE(AW$1,RIGHT(AW$1,2),""),VLOOKUP($D386,素材!$1:$1016,COLUMN($F$1),FALSE))),VLOOKUP($C386,装備品!$1:$998,COLUMN($O$1),FALSE)*VLOOKUP($D386,素材!$1:$1016,COLUMN($E$1),FALSE)/(LEN(VLOOKUP($D386,素材!$1:$1016,COLUMN($F$1),FALSE))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0)+IF($CI386&lt;&gt;"",VLOOKUP($CI386,付与!$A$1:BT$1173,COLUMN(付与!BT$1),FALSE),0)</f>
        <v>0</v>
      </c>
      <c r="AX386">
        <f>IF(ISNUMBER(SEARCH(SUBSTITUTE(AX$1,RIGHT(AX$1,2),""),VLOOKUP($D386,素材!$1:$1016,COLUMN($F$1),FALSE))),VLOOKUP($C386,装備品!$1:$998,COLUMN($O$1),FALSE)*VLOOKUP($D386,素材!$1:$1016,COLUMN($E$1),FALSE)/(LEN(VLOOKUP($D386,素材!$1:$1016,COLUMN($F$1),FALSE))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0)+IF($CI386&lt;&gt;"",VLOOKUP($CI386,付与!$A$1:BU$1173,COLUMN(付与!BU$1),FALSE),0)</f>
        <v>0</v>
      </c>
      <c r="AY386">
        <f>IF(ISNUMBER(SEARCH(SUBSTITUTE(AY$1,RIGHT(AY$1,2),""),VLOOKUP($D386,素材!$1:$1016,COLUMN($F$1),FALSE))),VLOOKUP($C386,装備品!$1:$998,COLUMN($O$1),FALSE)*VLOOKUP($D386,素材!$1:$1016,COLUMN($E$1),FALSE)/(LEN(VLOOKUP($D386,素材!$1:$1016,COLUMN($F$1),FALSE))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0)+IF($CI386&lt;&gt;"",VLOOKUP($CI386,付与!$A$1:BU$1173,COLUMN(付与!BO$1),FALSE),0)</f>
        <v>0</v>
      </c>
      <c r="AZ386">
        <f>IF(ISNUMBER(SEARCH(SUBSTITUTE(AZ$1,RIGHT(AZ$1,2),""),VLOOKUP($D386,素材!$1:$1016,COLUMN($F$1),FALSE))),VLOOKUP($C386,装備品!$1:$998,COLUMN($O$1),FALSE)*VLOOKUP($D386,素材!$1:$1016,COLUMN($E$1),FALSE)/(LEN(VLOOKUP($D386,素材!$1:$1016,COLUMN($F$1),FALSE))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0)+IF($CI386&lt;&gt;"",VLOOKUP($CI386,付与!$A$1:BX$1173,COLUMN(付与!BX$1),FALSE),0)</f>
        <v>0</v>
      </c>
      <c r="BA386">
        <f>IF(ISNUMBER(SEARCH(SUBSTITUTE(BA$1,RIGHT(BA$1,2),""),VLOOKUP($D386,素材!$1:$1016,COLUMN($F$1),FALSE))),VLOOKUP($C386,装備品!$1:$998,COLUMN($O$1),FALSE)*VLOOKUP($D386,素材!$1:$1016,COLUMN($E$1),FALSE)/(LEN(VLOOKUP($D386,素材!$1:$1016,COLUMN($F$1),FALSE))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0)+IF($CI386&lt;&gt;"",VLOOKUP($CI386,付与!$A$1:BY$1173,COLUMN(付与!BY$1),FALSE),0)</f>
        <v>0</v>
      </c>
      <c r="BB386">
        <f>IF(ISNUMBER(SEARCH(SUBSTITUTE(BB$1,RIGHT(BB$1,2),""),VLOOKUP($D386,素材!$1:$1016,COLUMN($F$1),FALSE))),VLOOKUP($C386,装備品!$1:$998,COLUMN($O$1),FALSE)*VLOOKUP($D386,素材!$1:$1016,COLUMN($E$1),FALSE)/(LEN(VLOOKUP($D386,素材!$1:$1016,COLUMN($F$1),FALSE))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0)+IF($CI386&lt;&gt;"",VLOOKUP($CI386,付与!$A$1:BZ$1173,COLUMN(付与!BZ$1),FALSE),0)</f>
        <v>0</v>
      </c>
      <c r="BC386">
        <f>IF(ISNUMBER(SEARCH(SUBSTITUTE(BC$1,RIGHT(BC$1,2),""),VLOOKUP($D386,素材!$1:$1016,COLUMN($F$1),FALSE))),VLOOKUP($C386,装備品!$1:$998,COLUMN($O$1),FALSE)*VLOOKUP($D386,素材!$1:$1016,COLUMN($E$1),FALSE)/(LEN(VLOOKUP($D386,素材!$1:$1016,COLUMN($F$1),FALSE))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0)+IF($CI386&lt;&gt;"",VLOOKUP($CI386,付与!$A$1:CA$1173,COLUMN(付与!CA$1),FALSE),0)</f>
        <v>0</v>
      </c>
      <c r="BD386">
        <f>IF(ISNUMBER(SEARCH(SUBSTITUTE(BD$1,RIGHT(BD$1,2),""),VLOOKUP($D386,素材!$1:$1016,COLUMN($F$1),FALSE))),VLOOKUP($C386,装備品!$1:$998,COLUMN($O$1),FALSE)*VLOOKUP($D386,素材!$1:$1016,COLUMN($E$1),FALSE)/(LEN(VLOOKUP($D386,素材!$1:$1016,COLUMN($F$1),FALSE))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0)+IF($CI386&lt;&gt;"",VLOOKUP($CI386,付与!$A$1:CB$1173,COLUMN(付与!CB$1),FALSE),0)</f>
        <v>0</v>
      </c>
      <c r="BE386">
        <f>IF(ISNUMBER(SEARCH(SUBSTITUTE(BE$1,RIGHT(BE$1,2),""),VLOOKUP($D386,素材!$1:$1016,COLUMN($F$1),FALSE))),VLOOKUP($C386,装備品!$1:$998,COLUMN($O$1),FALSE)*VLOOKUP($D386,素材!$1:$1016,COLUMN($E$1),FALSE)/(LEN(VLOOKUP($D386,素材!$1:$1016,COLUMN($F$1),FALSE))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0)+IF($CI386&lt;&gt;"",VLOOKUP($CI386,付与!$A$1:CC$1173,COLUMN(付与!CC$1),FALSE),0)</f>
        <v>0</v>
      </c>
      <c r="CL386">
        <f t="shared" si="47"/>
        <v>0</v>
      </c>
      <c r="CM386" s="22" t="str">
        <f t="shared" si="48"/>
        <v>.webp</v>
      </c>
      <c r="CN386" t="str">
        <f>IFERROR(VLOOKUP($C386,装備品!$1:$998,COLUMN(V$1),FALSE)*VLOOKUP($D386,素材!$1:$1016,COLUMN(N$1),FALSE)+IF(CI386="",0,VLOOKUP($CI386,付与!$1:$1176,COLUMN($CK$1),FALSE)),"")</f>
        <v/>
      </c>
      <c r="CO386" t="e">
        <f>VLOOKUP(D386,素材!$A:$O,COLUMN(素材!O$1),FALSE)</f>
        <v>#N/A</v>
      </c>
      <c r="CP386" t="e">
        <f>VLOOKUP(C386,装備品!$A:$AB,COLUMN(装備品!AB$1),FALSE)</f>
        <v>#N/A</v>
      </c>
      <c r="CR386" t="str">
        <f t="shared" si="54"/>
        <v>e_386</v>
      </c>
      <c r="CS386" t="e">
        <f t="shared" si="56"/>
        <v>#VALUE!</v>
      </c>
    </row>
    <row r="387" spans="2:97" x14ac:dyDescent="0.4">
      <c r="B387" t="str">
        <f>IFERROR(VLOOKUP($D387,素材!$1:$1016,COLUMN($B$1),FALSE)&amp;"・"&amp;VLOOKUP($C387,装備品!$1:$998,COLUMN(B$1),FALSE),"")</f>
        <v/>
      </c>
      <c r="D387" s="24"/>
      <c r="E387" t="str">
        <f>IFERROR(VLOOKUP(C387,装備品!$1:$998,COLUMN(C$1),FALSE),"")</f>
        <v/>
      </c>
      <c r="F387" t="str">
        <f>IFERROR(ROUNDDOWN((VLOOKUP($C387,装備品!$1:$998,COLUMN(D$1),FALSE)+IFERROR(VLOOKUP($CI387,付与!$1:$1167,COLUMN(F$1),FALSE),0))*VLOOKUP($D387,素材!$1:$1016,COLUMN(D$1),FALSE),0),"")</f>
        <v/>
      </c>
      <c r="G387" t="str">
        <f>IFERROR(ROUNDDOWN((VLOOKUP($C387,装備品!$1:$998,COLUMN(E$1),FALSE)+IFERROR(VLOOKUP($CI387,付与!$1:$1167,COLUMN(G$1),FALSE),0))*VLOOKUP($D387,素材!$1:$1016,COLUMN($E$1),FALSE),0),"")</f>
        <v/>
      </c>
      <c r="H387" t="str">
        <f>IFERROR(ROUNDDOWN((VLOOKUP($C387,装備品!$1:$998,COLUMN(F$1),FALSE)+IFERROR(VLOOKUP($CI387,付与!$1:$1167,COLUMN(H$1),FALSE),0))*VLOOKUP($D387,素材!$1:$1016,COLUMN($E$1),FALSE),0),"")</f>
        <v/>
      </c>
      <c r="I387" t="str">
        <f>IFERROR(ROUNDDOWN((VLOOKUP($C387,装備品!$1:$998,COLUMN(G$1),FALSE)+IFERROR(VLOOKUP($CI387,付与!$1:$1167,COLUMN(I$1),FALSE),0))*VLOOKUP($D387,素材!$1:$1016,COLUMN($E$1),FALSE),0),"")</f>
        <v/>
      </c>
      <c r="J387" t="str">
        <f>IFERROR(ROUNDDOWN((VLOOKUP($C387,装備品!$1:$998,COLUMN(H$1),FALSE)+IFERROR(VLOOKUP($CI387,付与!$1:$1167,COLUMN(J$1),FALSE),0))*VLOOKUP($D387,素材!$1:$1016,COLUMN($E$1),FALSE),0),"")</f>
        <v/>
      </c>
      <c r="K387" t="str">
        <f>IFERROR(ROUNDDOWN((VLOOKUP($C387,装備品!$1:$998,COLUMN(I$1),FALSE)+IFERROR(VLOOKUP($CI387,付与!$1:$1167,COLUMN(K$1),FALSE),0))*VLOOKUP($D387,素材!$1:$1016,COLUMN($E$1),FALSE),0),"")</f>
        <v/>
      </c>
      <c r="L387" t="str">
        <f>IFERROR(VLOOKUP($D387,素材!$1:$1016,COLUMN($F$1),FALSE),"")</f>
        <v/>
      </c>
      <c r="M387" t="str">
        <f>IFERROR(VLOOKUP($C387,装備品!$1:$998,COLUMN(AA$1),FALSE)*VLOOKUP($D387,素材!$1:$1016,COLUMN($G$1),FALSE),"")</f>
        <v/>
      </c>
      <c r="N387" t="str">
        <f>IFERROR(VLOOKUP($C387,装備品!$1:$998,COLUMN(I$1),FALSE),"")</f>
        <v/>
      </c>
      <c r="O387" s="23" t="str">
        <f>IFERROR((VLOOKUP($C387,装備品!$1:$998,COLUMN(K$1),FALSE)+VLOOKUP($D387,素材!$1:$1016,COLUMN(H$1),FALSE))*100+IFERROR(VLOOKUP($CI387,付与!$1:$1167,COLUMN(O$1),FALSE),0),"")</f>
        <v/>
      </c>
      <c r="P387" s="23" t="str">
        <f>IFERROR((VLOOKUP($C387,装備品!$1:$998,COLUMN(L$1),FALSE)+VLOOKUP($D387,素材!$1:$1016,COLUMN(I$1),FALSE))*100+IFERROR(VLOOKUP($CI387,付与!$1:$1167,COLUMN(P$1),FALSE),0),"")</f>
        <v/>
      </c>
      <c r="Q387" t="str">
        <f>IFERROR(ROUNDUP(VLOOKUP($C387,装備品!$1:$998,COLUMN(M$1),FALSE)*(VLOOKUP($D387,素材!$1:$1002,COLUMN(D$1),FALSE)/100),1),"")</f>
        <v/>
      </c>
      <c r="R387" t="str">
        <f>IFERROR(ROUNDUP(VLOOKUP($C387,装備品!$1:$998,COLUMN(N$1),FALSE)*(VLOOKUP($D387,素材!$1:$1002,COLUMN(D$1),FALSE)/100),1),"")</f>
        <v/>
      </c>
      <c r="S387" t="str">
        <f>IFERROR(VLOOKUP($C387,装備品!$1:$998,COLUMN(P$1),FALSE),"")</f>
        <v/>
      </c>
      <c r="T387" t="str">
        <f>IFERROR(VLOOKUP($C387,装備品!$1:$998,COLUMN(Q$1),FALSE),"")</f>
        <v/>
      </c>
      <c r="U387" t="str">
        <f>IFERROR(VLOOKUP($C387,装備品!$1:$998,COLUMN(R$1),FALSE),"")</f>
        <v/>
      </c>
      <c r="V387" t="str">
        <f>IFERROR(VLOOKUP($C387,装備品!$1:$998,COLUMN(Q$1),FALSE),"")</f>
        <v/>
      </c>
      <c r="W387" t="str">
        <f>IFERROR(VLOOKUP($C387,装備品!$1:$998,COLUMN(T$1),FALSE),"")</f>
        <v/>
      </c>
      <c r="Y387" t="str">
        <f>IFERROR(VLOOKUP($C387,装備品!$1:$998,COLUMN(U$1),FALSE),"")</f>
        <v/>
      </c>
      <c r="Z387" t="str">
        <f>IFERROR(ROUNDUP(VLOOKUP($C387,装備品!$1:$998,COLUMN(O$1),FALSE)*VLOOKUP($D387,素材!$1:$1016,COLUMN(E$1),FALSE),1),"")</f>
        <v/>
      </c>
      <c r="AA387">
        <f>IF(ISNUMBER(SEARCH(SUBSTITUTE(AA$1,RIGHT(AA$1,2),""),VLOOKUP($D387,素材!$1:$1016,COLUMN($F$1),FALSE))),VLOOKUP($C387,装備品!$1:$998,COLUMN($O$1),FALSE)*VLOOKUP($D387,素材!$1:$1016,COLUMN($E$1),FALSE)/(LEN(VLOOKUP($D387,素材!$1:$1016,COLUMN($F$1),FALSE))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</f>
        <v>0</v>
      </c>
      <c r="AB387">
        <f>IF(ISNUMBER(SEARCH(SUBSTITUTE(AB$1,RIGHT(AB$1,2),""),VLOOKUP($D387,素材!$1:$1016,COLUMN($F$1),FALSE))),VLOOKUP($C387,装備品!$1:$998,COLUMN($O$1),FALSE)*VLOOKUP($D387,素材!$1:$1016,COLUMN($E$1),FALSE)/(LEN(VLOOKUP($D387,素材!$1:$1016,COLUMN($F$1),FALSE))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</f>
        <v>0</v>
      </c>
      <c r="AC387">
        <f>IF(ISNUMBER(SEARCH(SUBSTITUTE(AC$1,RIGHT(AC$1,2),""),VLOOKUP($D387,素材!$1:$1016,COLUMN($F$1),FALSE))),VLOOKUP($C387,装備品!$1:$998,COLUMN($O$1),FALSE)*VLOOKUP($D387,素材!$1:$1016,COLUMN($E$1),FALSE)/(LEN(VLOOKUP($D387,素材!$1:$1016,COLUMN($F$1),FALSE))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</f>
        <v>0</v>
      </c>
      <c r="AD387">
        <f>IF(ISNUMBER(SEARCH(SUBSTITUTE(AD$1,RIGHT(AD$1,2),""),VLOOKUP($D387,素材!$1:$1016,COLUMN($F$1),FALSE))),VLOOKUP($C387,装備品!$1:$998,COLUMN($O$1),FALSE)*VLOOKUP($D387,素材!$1:$1016,COLUMN($E$1),FALSE)/(LEN(VLOOKUP($D387,素材!$1:$1016,COLUMN($F$1),FALSE))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</f>
        <v>0</v>
      </c>
      <c r="AE387">
        <f>IF(ISNUMBER(SEARCH(SUBSTITUTE(AE$1,RIGHT(AE$1,2),""),VLOOKUP($D387,素材!$1:$1016,COLUMN($F$1),FALSE))),VLOOKUP($C387,装備品!$1:$998,COLUMN($O$1),FALSE)*VLOOKUP($D387,素材!$1:$1016,COLUMN($E$1),FALSE)/(LEN(VLOOKUP($D387,素材!$1:$1016,COLUMN($F$1),FALSE))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0)+IF($CI387&lt;&gt;"",VLOOKUP($CI387,付与!$A$1:BB$1173,COLUMN(付与!BB$1),FALSE),0)</f>
        <v>0</v>
      </c>
      <c r="AF387">
        <f>IF(ISNUMBER(SEARCH(SUBSTITUTE(AF$1,RIGHT(AF$1,2),""),VLOOKUP($D387,素材!$1:$1016,COLUMN($F$1),FALSE))),VLOOKUP($C387,装備品!$1:$998,COLUMN($O$1),FALSE)*VLOOKUP($D387,素材!$1:$1016,COLUMN($E$1),FALSE)/(LEN(VLOOKUP($D387,素材!$1:$1016,COLUMN($F$1),FALSE))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0)+IF($CI387&lt;&gt;"",VLOOKUP($CI387,付与!$A$1:BC$1173,COLUMN(付与!BC$1),FALSE),0)</f>
        <v>0</v>
      </c>
      <c r="AG387">
        <f>IF(ISNUMBER(SEARCH(SUBSTITUTE(AG$1,RIGHT(AG$1,2),""),VLOOKUP($D387,素材!$1:$1016,COLUMN($F$1),FALSE))),VLOOKUP($C387,装備品!$1:$998,COLUMN($O$1),FALSE)*VLOOKUP($D387,素材!$1:$1016,COLUMN($E$1),FALSE)/(LEN(VLOOKUP($D387,素材!$1:$1016,COLUMN($F$1),FALSE))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0)+IF($CI387&lt;&gt;"",VLOOKUP($CI387,付与!$A$1:BD$1173,COLUMN(付与!BD$1),FALSE),0)</f>
        <v>0</v>
      </c>
      <c r="AH387">
        <f>IF(ISNUMBER(SEARCH(SUBSTITUTE(AH$1,RIGHT(AH$1,2),""),VLOOKUP($D387,素材!$1:$1016,COLUMN($F$1),FALSE))),VLOOKUP($C387,装備品!$1:$998,COLUMN($O$1),FALSE)*VLOOKUP($D387,素材!$1:$1016,COLUMN($E$1),FALSE)/(LEN(VLOOKUP($D387,素材!$1:$1016,COLUMN($F$1),FALSE))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0)+IF($CI387&lt;&gt;"",VLOOKUP($CI387,付与!$A$1:BE$1173,COLUMN(付与!BE$1),FALSE),0)</f>
        <v>0</v>
      </c>
      <c r="AI387">
        <f>IF(ISNUMBER(SEARCH(SUBSTITUTE(AI$1,RIGHT(AI$1,2),""),VLOOKUP($D387,素材!$1:$1016,COLUMN($F$1),FALSE))),VLOOKUP($C387,装備品!$1:$998,COLUMN($O$1),FALSE)*VLOOKUP($D387,素材!$1:$1016,COLUMN($E$1),FALSE)/(LEN(VLOOKUP($D387,素材!$1:$1016,COLUMN($F$1),FALSE))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0)+IF($CI387&lt;&gt;"",VLOOKUP($CI387,付与!$A$1:BF$1173,COLUMN(付与!BF$1),FALSE),0)</f>
        <v>0</v>
      </c>
      <c r="AJ387">
        <f>IF(ISNUMBER(SEARCH(SUBSTITUTE(AJ$1,RIGHT(AJ$1,2),""),VLOOKUP($D387,素材!$1:$1016,COLUMN($F$1),FALSE))),VLOOKUP($C387,装備品!$1:$998,COLUMN($O$1),FALSE)*VLOOKUP($D387,素材!$1:$1016,COLUMN($E$1),FALSE)/(LEN(VLOOKUP($D387,素材!$1:$1016,COLUMN($F$1),FALSE))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0)+IF($CI387&lt;&gt;"",VLOOKUP($CI387,付与!$A$1:BG$1173,COLUMN(付与!BG$1),FALSE),0)</f>
        <v>0</v>
      </c>
      <c r="AK387">
        <f>IF(ISNUMBER(SEARCH(SUBSTITUTE(AK$1,RIGHT(AK$1,2),""),VLOOKUP($D387,素材!$1:$1016,COLUMN($F$1),FALSE))),VLOOKUP($C387,装備品!$1:$998,COLUMN($O$1),FALSE)*VLOOKUP($D387,素材!$1:$1016,COLUMN($E$1),FALSE)/(LEN(VLOOKUP($D387,素材!$1:$1016,COLUMN($F$1),FALSE))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0)+IF($CI387&lt;&gt;"",VLOOKUP($CI387,付与!$A$1:BH$1173,COLUMN(付与!BH$1),FALSE),0)</f>
        <v>0</v>
      </c>
      <c r="AL387">
        <f>IF(ISNUMBER(SEARCH(SUBSTITUTE(AL$1,RIGHT(AL$1,2),""),VLOOKUP($D387,素材!$1:$1016,COLUMN($F$1),FALSE))),VLOOKUP($C387,装備品!$1:$998,COLUMN($O$1),FALSE)*VLOOKUP($D387,素材!$1:$1016,COLUMN($E$1),FALSE)/(LEN(VLOOKUP($D387,素材!$1:$1016,COLUMN($F$1),FALSE))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0)+IF($CI387&lt;&gt;"",VLOOKUP($CI387,付与!$A$1:BI$1173,COLUMN(付与!BI$1),FALSE),0)</f>
        <v>0</v>
      </c>
      <c r="AM387">
        <f>IF(ISNUMBER(SEARCH(SUBSTITUTE(AM$1,RIGHT(AM$1,2),""),VLOOKUP($D387,素材!$1:$1016,COLUMN($F$1),FALSE))),VLOOKUP($C387,装備品!$1:$998,COLUMN($O$1),FALSE)*VLOOKUP($D387,素材!$1:$1016,COLUMN($E$1),FALSE)/(LEN(VLOOKUP($D387,素材!$1:$1016,COLUMN($F$1),FALSE))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0)+IF($CI387&lt;&gt;"",VLOOKUP($CI387,付与!$A$1:BJ$1173,COLUMN(付与!BJ$1),FALSE),0)</f>
        <v>0</v>
      </c>
      <c r="AN387">
        <f>IF(ISNUMBER(SEARCH(SUBSTITUTE(AN$1,RIGHT(AN$1,2),""),VLOOKUP($D387,素材!$1:$1016,COLUMN($F$1),FALSE))),VLOOKUP($C387,装備品!$1:$998,COLUMN($O$1),FALSE)*VLOOKUP($D387,素材!$1:$1016,COLUMN($E$1),FALSE)/(LEN(VLOOKUP($D387,素材!$1:$1016,COLUMN($F$1),FALSE))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0)+IF($CI387&lt;&gt;"",VLOOKUP($CI387,付与!$A$1:BK$1173,COLUMN(付与!BK$1),FALSE),0)</f>
        <v>0</v>
      </c>
      <c r="AO387">
        <f>IF(ISNUMBER(SEARCH(SUBSTITUTE(AO$1,RIGHT(AO$1,2),""),VLOOKUP($D387,素材!$1:$1016,COLUMN($F$1),FALSE))),VLOOKUP($C387,装備品!$1:$998,COLUMN($O$1),FALSE)*VLOOKUP($D387,素材!$1:$1016,COLUMN($E$1),FALSE)/(LEN(VLOOKUP($D387,素材!$1:$1016,COLUMN($F$1),FALSE))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0)+IF($CI387&lt;&gt;"",VLOOKUP($CI387,付与!$A$1:BM$1173,COLUMN(付与!BM$1),FALSE),0)</f>
        <v>0</v>
      </c>
      <c r="AP387">
        <f>IF(ISNUMBER(SEARCH(SUBSTITUTE(AP$1,RIGHT(AP$1,2),""),VLOOKUP($D387,素材!$1:$1016,COLUMN($F$1),FALSE))),VLOOKUP($C387,装備品!$1:$998,COLUMN($O$1),FALSE)*VLOOKUP($D387,素材!$1:$1016,COLUMN($E$1),FALSE)/(LEN(VLOOKUP($D387,素材!$1:$1016,COLUMN($F$1),FALSE))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0)+IF($CI387&lt;&gt;"",VLOOKUP($CI387,付与!$A$1:BN$1173,COLUMN(付与!BN$1),FALSE),0)</f>
        <v>0</v>
      </c>
      <c r="AQ387">
        <f>IF(ISNUMBER(SEARCH(SUBSTITUTE(AQ$1,RIGHT(AQ$1,2),""),VLOOKUP($D387,素材!$1:$1016,COLUMN($F$1),FALSE))),VLOOKUP($C387,装備品!$1:$998,COLUMN($O$1),FALSE)*VLOOKUP($D387,素材!$1:$1016,COLUMN($E$1),FALSE)/(LEN(VLOOKUP($D387,素材!$1:$1016,COLUMN($F$1),FALSE))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0)+IF($CI387&lt;&gt;"",VLOOKUP($CI387,付与!$A$1:BP$1173,COLUMN(付与!BP$1),FALSE),0)</f>
        <v>0</v>
      </c>
      <c r="AR387">
        <f>IF(ISNUMBER(SEARCH(SUBSTITUTE(AR$1,RIGHT(AR$1,2),""),VLOOKUP($D387,素材!$1:$1016,COLUMN($F$1),FALSE))),VLOOKUP($C387,装備品!$1:$998,COLUMN($O$1),FALSE)*VLOOKUP($D387,素材!$1:$1016,COLUMN($E$1),FALSE)/(LEN(VLOOKUP($D387,素材!$1:$1016,COLUMN($F$1),FALSE))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0)+IF($CI387&lt;&gt;"",VLOOKUP($CI387,付与!$A$1:BQ$1173,COLUMN(付与!BQ$1),FALSE),0)</f>
        <v>0</v>
      </c>
      <c r="AS387">
        <f>IF(ISNUMBER(SEARCH(SUBSTITUTE(AS$1,RIGHT(AS$1,2),""),VLOOKUP($D387,素材!$1:$1016,COLUMN($F$1),FALSE))),VLOOKUP($C387,装備品!$1:$998,COLUMN($O$1),FALSE)*VLOOKUP($D387,素材!$1:$1016,COLUMN($E$1),FALSE)/(LEN(VLOOKUP($D387,素材!$1:$1016,COLUMN($F$1),FALSE))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0)+IF($CI387&lt;&gt;"",VLOOKUP($CI387,付与!$A$1:BR$1173,COLUMN(付与!BR$1),FALSE),0)</f>
        <v>0</v>
      </c>
      <c r="AT387">
        <f>IF(ISNUMBER(SEARCH(SUBSTITUTE(AT$1,RIGHT(AT$1,2),""),VLOOKUP($D387,素材!$1:$1016,COLUMN($F$1),FALSE))),VLOOKUP($C387,装備品!$1:$998,COLUMN($O$1),FALSE)*VLOOKUP($D387,素材!$1:$1016,COLUMN($E$1),FALSE)/(LEN(VLOOKUP($D387,素材!$1:$1016,COLUMN($F$1),FALSE))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0)+IF($CI387&lt;&gt;"",VLOOKUP($CI387,付与!$A$1:BV$1173,COLUMN(付与!BV$1),FALSE),0)</f>
        <v>0</v>
      </c>
      <c r="AU387">
        <f>IF(ISNUMBER(SEARCH(SUBSTITUTE(AU$1,RIGHT(AU$1,2),""),VLOOKUP($D387,素材!$1:$1016,COLUMN($F$1),FALSE))),VLOOKUP($C387,装備品!$1:$998,COLUMN($O$1),FALSE)*VLOOKUP($D387,素材!$1:$1016,COLUMN($E$1),FALSE)/(LEN(VLOOKUP($D387,素材!$1:$1016,COLUMN($F$1),FALSE))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0)+IF($CI387&lt;&gt;"",VLOOKUP($CI387,付与!$A$1:BW$1173,COLUMN(付与!BW$1),FALSE),0)</f>
        <v>0</v>
      </c>
      <c r="AV387">
        <f>IF(ISNUMBER(SEARCH(SUBSTITUTE(AV$1,RIGHT(AV$1,2),""),VLOOKUP($D387,素材!$1:$1016,COLUMN($F$1),FALSE))),VLOOKUP($C387,装備品!$1:$998,COLUMN($O$1),FALSE)*VLOOKUP($D387,素材!$1:$1016,COLUMN($E$1),FALSE)/(LEN(VLOOKUP($D387,素材!$1:$1016,COLUMN($F$1),FALSE))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0)+IF($CI387&lt;&gt;"",VLOOKUP($CI387,付与!$A$1:BS$1173,COLUMN(付与!BS$1),FALSE),0)</f>
        <v>0</v>
      </c>
      <c r="AW387">
        <f>IF(ISNUMBER(SEARCH(SUBSTITUTE(AW$1,RIGHT(AW$1,2),""),VLOOKUP($D387,素材!$1:$1016,COLUMN($F$1),FALSE))),VLOOKUP($C387,装備品!$1:$998,COLUMN($O$1),FALSE)*VLOOKUP($D387,素材!$1:$1016,COLUMN($E$1),FALSE)/(LEN(VLOOKUP($D387,素材!$1:$1016,COLUMN($F$1),FALSE))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0)+IF($CI387&lt;&gt;"",VLOOKUP($CI387,付与!$A$1:BT$1173,COLUMN(付与!BT$1),FALSE),0)</f>
        <v>0</v>
      </c>
      <c r="AX387">
        <f>IF(ISNUMBER(SEARCH(SUBSTITUTE(AX$1,RIGHT(AX$1,2),""),VLOOKUP($D387,素材!$1:$1016,COLUMN($F$1),FALSE))),VLOOKUP($C387,装備品!$1:$998,COLUMN($O$1),FALSE)*VLOOKUP($D387,素材!$1:$1016,COLUMN($E$1),FALSE)/(LEN(VLOOKUP($D387,素材!$1:$1016,COLUMN($F$1),FALSE))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0)+IF($CI387&lt;&gt;"",VLOOKUP($CI387,付与!$A$1:BU$1173,COLUMN(付与!BU$1),FALSE),0)</f>
        <v>0</v>
      </c>
      <c r="AY387">
        <f>IF(ISNUMBER(SEARCH(SUBSTITUTE(AY$1,RIGHT(AY$1,2),""),VLOOKUP($D387,素材!$1:$1016,COLUMN($F$1),FALSE))),VLOOKUP($C387,装備品!$1:$998,COLUMN($O$1),FALSE)*VLOOKUP($D387,素材!$1:$1016,COLUMN($E$1),FALSE)/(LEN(VLOOKUP($D387,素材!$1:$1016,COLUMN($F$1),FALSE))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0)+IF($CI387&lt;&gt;"",VLOOKUP($CI387,付与!$A$1:BU$1173,COLUMN(付与!BO$1),FALSE),0)</f>
        <v>0</v>
      </c>
      <c r="AZ387">
        <f>IF(ISNUMBER(SEARCH(SUBSTITUTE(AZ$1,RIGHT(AZ$1,2),""),VLOOKUP($D387,素材!$1:$1016,COLUMN($F$1),FALSE))),VLOOKUP($C387,装備品!$1:$998,COLUMN($O$1),FALSE)*VLOOKUP($D387,素材!$1:$1016,COLUMN($E$1),FALSE)/(LEN(VLOOKUP($D387,素材!$1:$1016,COLUMN($F$1),FALSE))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0)+IF($CI387&lt;&gt;"",VLOOKUP($CI387,付与!$A$1:BX$1173,COLUMN(付与!BX$1),FALSE),0)</f>
        <v>0</v>
      </c>
      <c r="BA387">
        <f>IF(ISNUMBER(SEARCH(SUBSTITUTE(BA$1,RIGHT(BA$1,2),""),VLOOKUP($D387,素材!$1:$1016,COLUMN($F$1),FALSE))),VLOOKUP($C387,装備品!$1:$998,COLUMN($O$1),FALSE)*VLOOKUP($D387,素材!$1:$1016,COLUMN($E$1),FALSE)/(LEN(VLOOKUP($D387,素材!$1:$1016,COLUMN($F$1),FALSE))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0)+IF($CI387&lt;&gt;"",VLOOKUP($CI387,付与!$A$1:BY$1173,COLUMN(付与!BY$1),FALSE),0)</f>
        <v>0</v>
      </c>
      <c r="BB387">
        <f>IF(ISNUMBER(SEARCH(SUBSTITUTE(BB$1,RIGHT(BB$1,2),""),VLOOKUP($D387,素材!$1:$1016,COLUMN($F$1),FALSE))),VLOOKUP($C387,装備品!$1:$998,COLUMN($O$1),FALSE)*VLOOKUP($D387,素材!$1:$1016,COLUMN($E$1),FALSE)/(LEN(VLOOKUP($D387,素材!$1:$1016,COLUMN($F$1),FALSE))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0)+IF($CI387&lt;&gt;"",VLOOKUP($CI387,付与!$A$1:BZ$1173,COLUMN(付与!BZ$1),FALSE),0)</f>
        <v>0</v>
      </c>
      <c r="BC387">
        <f>IF(ISNUMBER(SEARCH(SUBSTITUTE(BC$1,RIGHT(BC$1,2),""),VLOOKUP($D387,素材!$1:$1016,COLUMN($F$1),FALSE))),VLOOKUP($C387,装備品!$1:$998,COLUMN($O$1),FALSE)*VLOOKUP($D387,素材!$1:$1016,COLUMN($E$1),FALSE)/(LEN(VLOOKUP($D387,素材!$1:$1016,COLUMN($F$1),FALSE))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0)+IF($CI387&lt;&gt;"",VLOOKUP($CI387,付与!$A$1:CA$1173,COLUMN(付与!CA$1),FALSE),0)</f>
        <v>0</v>
      </c>
      <c r="BD387">
        <f>IF(ISNUMBER(SEARCH(SUBSTITUTE(BD$1,RIGHT(BD$1,2),""),VLOOKUP($D387,素材!$1:$1016,COLUMN($F$1),FALSE))),VLOOKUP($C387,装備品!$1:$998,COLUMN($O$1),FALSE)*VLOOKUP($D387,素材!$1:$1016,COLUMN($E$1),FALSE)/(LEN(VLOOKUP($D387,素材!$1:$1016,COLUMN($F$1),FALSE))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0)+IF($CI387&lt;&gt;"",VLOOKUP($CI387,付与!$A$1:CB$1173,COLUMN(付与!CB$1),FALSE),0)</f>
        <v>0</v>
      </c>
      <c r="BE387">
        <f>IF(ISNUMBER(SEARCH(SUBSTITUTE(BE$1,RIGHT(BE$1,2),""),VLOOKUP($D387,素材!$1:$1016,COLUMN($F$1),FALSE))),VLOOKUP($C387,装備品!$1:$998,COLUMN($O$1),FALSE)*VLOOKUP($D387,素材!$1:$1016,COLUMN($E$1),FALSE)/(LEN(VLOOKUP($D387,素材!$1:$1016,COLUMN($F$1),FALSE))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0)+IF($CI387&lt;&gt;"",VLOOKUP($CI387,付与!$A$1:CC$1173,COLUMN(付与!CC$1),FALSE),0)</f>
        <v>0</v>
      </c>
      <c r="CL387">
        <f t="shared" ref="CL387:CL392" si="59">SUM(G387:I387)</f>
        <v>0</v>
      </c>
      <c r="CM387" s="22" t="str">
        <f t="shared" ref="CM387:CM392" si="60">IF(E387="武器",IF(J387-1&gt;SUM(G387:I387),"盾",IF(MAX(G387:I387)=G387,"切断",IF(MAX(G387:I387)=H387,"貫通",IF(MAX(G387:I387)=I387,"打撃","射撃")))),E387)&amp;".webp"</f>
        <v>.webp</v>
      </c>
      <c r="CN387" t="str">
        <f>IFERROR(VLOOKUP($C387,装備品!$1:$998,COLUMN(V$1),FALSE)*VLOOKUP($D387,素材!$1:$1016,COLUMN(N$1),FALSE)+IF(CI387="",0,VLOOKUP($CI387,付与!$1:$1176,COLUMN($CK$1),FALSE)),"")</f>
        <v/>
      </c>
      <c r="CO387" t="e">
        <f>VLOOKUP(D387,素材!$A:$O,COLUMN(素材!O$1),FALSE)</f>
        <v>#N/A</v>
      </c>
      <c r="CP387" t="e">
        <f>VLOOKUP(C387,装備品!$A:$AB,COLUMN(装備品!AB$1),FALSE)</f>
        <v>#N/A</v>
      </c>
      <c r="CR387" t="str">
        <f t="shared" si="54"/>
        <v>e_387</v>
      </c>
      <c r="CS387" t="e">
        <f t="shared" si="56"/>
        <v>#VALUE!</v>
      </c>
    </row>
    <row r="388" spans="2:97" x14ac:dyDescent="0.4">
      <c r="B388" t="str">
        <f>IFERROR(VLOOKUP($D388,素材!$1:$1016,COLUMN($B$1),FALSE)&amp;"・"&amp;VLOOKUP($C388,装備品!$1:$998,COLUMN(B$1),FALSE),"")</f>
        <v/>
      </c>
      <c r="D388" s="24"/>
      <c r="E388" t="str">
        <f>IFERROR(VLOOKUP(C388,装備品!$1:$998,COLUMN(C$1),FALSE),"")</f>
        <v/>
      </c>
      <c r="F388" t="str">
        <f>IFERROR(ROUNDDOWN((VLOOKUP($C388,装備品!$1:$998,COLUMN(D$1),FALSE)+IFERROR(VLOOKUP($CI388,付与!$1:$1167,COLUMN(F$1),FALSE),0))*VLOOKUP($D388,素材!$1:$1016,COLUMN(D$1),FALSE),0),"")</f>
        <v/>
      </c>
      <c r="G388" t="str">
        <f>IFERROR(ROUNDDOWN((VLOOKUP($C388,装備品!$1:$998,COLUMN(E$1),FALSE)+IFERROR(VLOOKUP($CI388,付与!$1:$1167,COLUMN(G$1),FALSE),0))*VLOOKUP($D388,素材!$1:$1016,COLUMN($E$1),FALSE),0),"")</f>
        <v/>
      </c>
      <c r="H388" t="str">
        <f>IFERROR(ROUNDDOWN((VLOOKUP($C388,装備品!$1:$998,COLUMN(F$1),FALSE)+IFERROR(VLOOKUP($CI388,付与!$1:$1167,COLUMN(H$1),FALSE),0))*VLOOKUP($D388,素材!$1:$1016,COLUMN($E$1),FALSE),0),"")</f>
        <v/>
      </c>
      <c r="I388" t="str">
        <f>IFERROR(ROUNDDOWN((VLOOKUP($C388,装備品!$1:$998,COLUMN(G$1),FALSE)+IFERROR(VLOOKUP($CI388,付与!$1:$1167,COLUMN(I$1),FALSE),0))*VLOOKUP($D388,素材!$1:$1016,COLUMN($E$1),FALSE),0),"")</f>
        <v/>
      </c>
      <c r="J388" t="str">
        <f>IFERROR(ROUNDDOWN((VLOOKUP($C388,装備品!$1:$998,COLUMN(H$1),FALSE)+IFERROR(VLOOKUP($CI388,付与!$1:$1167,COLUMN(J$1),FALSE),0))*VLOOKUP($D388,素材!$1:$1016,COLUMN($E$1),FALSE),0),"")</f>
        <v/>
      </c>
      <c r="K388" t="str">
        <f>IFERROR(ROUNDDOWN((VLOOKUP($C388,装備品!$1:$998,COLUMN(I$1),FALSE)+IFERROR(VLOOKUP($CI388,付与!$1:$1167,COLUMN(K$1),FALSE),0))*VLOOKUP($D388,素材!$1:$1016,COLUMN($E$1),FALSE),0),"")</f>
        <v/>
      </c>
      <c r="L388" t="str">
        <f>IFERROR(VLOOKUP($D388,素材!$1:$1016,COLUMN($F$1),FALSE),"")</f>
        <v/>
      </c>
      <c r="M388" t="str">
        <f>IFERROR(VLOOKUP($C388,装備品!$1:$998,COLUMN(AA$1),FALSE)*VLOOKUP($D388,素材!$1:$1016,COLUMN($G$1),FALSE),"")</f>
        <v/>
      </c>
      <c r="N388" t="str">
        <f>IFERROR(VLOOKUP($C388,装備品!$1:$998,COLUMN(I$1),FALSE),"")</f>
        <v/>
      </c>
      <c r="O388" s="23" t="str">
        <f>IFERROR((VLOOKUP($C388,装備品!$1:$998,COLUMN(K$1),FALSE)+VLOOKUP($D388,素材!$1:$1016,COLUMN(H$1),FALSE))*100+IFERROR(VLOOKUP($CI388,付与!$1:$1167,COLUMN(O$1),FALSE),0),"")</f>
        <v/>
      </c>
      <c r="P388" s="23" t="str">
        <f>IFERROR((VLOOKUP($C388,装備品!$1:$998,COLUMN(L$1),FALSE)+VLOOKUP($D388,素材!$1:$1016,COLUMN(I$1),FALSE))*100+IFERROR(VLOOKUP($CI388,付与!$1:$1167,COLUMN(P$1),FALSE),0),"")</f>
        <v/>
      </c>
      <c r="Q388" t="str">
        <f>IFERROR(ROUNDUP(VLOOKUP($C388,装備品!$1:$998,COLUMN(M$1),FALSE)*(VLOOKUP($D388,素材!$1:$1002,COLUMN(D$1),FALSE)/100),1),"")</f>
        <v/>
      </c>
      <c r="R388" t="str">
        <f>IFERROR(ROUNDUP(VLOOKUP($C388,装備品!$1:$998,COLUMN(N$1),FALSE)*(VLOOKUP($D388,素材!$1:$1002,COLUMN(D$1),FALSE)/100),1),"")</f>
        <v/>
      </c>
      <c r="S388" t="str">
        <f>IFERROR(VLOOKUP($C388,装備品!$1:$998,COLUMN(P$1),FALSE),"")</f>
        <v/>
      </c>
      <c r="T388" t="str">
        <f>IFERROR(VLOOKUP($C388,装備品!$1:$998,COLUMN(Q$1),FALSE),"")</f>
        <v/>
      </c>
      <c r="U388" t="str">
        <f>IFERROR(VLOOKUP($C388,装備品!$1:$998,COLUMN(R$1),FALSE),"")</f>
        <v/>
      </c>
      <c r="V388" t="str">
        <f>IFERROR(VLOOKUP($C388,装備品!$1:$998,COLUMN(Q$1),FALSE),"")</f>
        <v/>
      </c>
      <c r="W388" t="str">
        <f>IFERROR(VLOOKUP($C388,装備品!$1:$998,COLUMN(T$1),FALSE),"")</f>
        <v/>
      </c>
      <c r="Y388" t="str">
        <f>IFERROR(VLOOKUP($C388,装備品!$1:$998,COLUMN(U$1),FALSE),"")</f>
        <v/>
      </c>
      <c r="Z388" t="str">
        <f>IFERROR(ROUNDUP(VLOOKUP($C388,装備品!$1:$998,COLUMN(O$1),FALSE)*VLOOKUP($D388,素材!$1:$1016,COLUMN(E$1),FALSE),1),"")</f>
        <v/>
      </c>
      <c r="AA388">
        <f>IF(ISNUMBER(SEARCH(SUBSTITUTE(AA$1,RIGHT(AA$1,2),""),VLOOKUP($D388,素材!$1:$1016,COLUMN($F$1),FALSE))),VLOOKUP($C388,装備品!$1:$998,COLUMN($O$1),FALSE)*VLOOKUP($D388,素材!$1:$1016,COLUMN($E$1),FALSE)/(LEN(VLOOKUP($D388,素材!$1:$1016,COLUMN($F$1),FALSE))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</f>
        <v>0</v>
      </c>
      <c r="AB388">
        <f>IF(ISNUMBER(SEARCH(SUBSTITUTE(AB$1,RIGHT(AB$1,2),""),VLOOKUP($D388,素材!$1:$1016,COLUMN($F$1),FALSE))),VLOOKUP($C388,装備品!$1:$998,COLUMN($O$1),FALSE)*VLOOKUP($D388,素材!$1:$1016,COLUMN($E$1),FALSE)/(LEN(VLOOKUP($D388,素材!$1:$1016,COLUMN($F$1),FALSE))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</f>
        <v>0</v>
      </c>
      <c r="AC388">
        <f>IF(ISNUMBER(SEARCH(SUBSTITUTE(AC$1,RIGHT(AC$1,2),""),VLOOKUP($D388,素材!$1:$1016,COLUMN($F$1),FALSE))),VLOOKUP($C388,装備品!$1:$998,COLUMN($O$1),FALSE)*VLOOKUP($D388,素材!$1:$1016,COLUMN($E$1),FALSE)/(LEN(VLOOKUP($D388,素材!$1:$1016,COLUMN($F$1),FALSE))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</f>
        <v>0</v>
      </c>
      <c r="AD388">
        <f>IF(ISNUMBER(SEARCH(SUBSTITUTE(AD$1,RIGHT(AD$1,2),""),VLOOKUP($D388,素材!$1:$1016,COLUMN($F$1),FALSE))),VLOOKUP($C388,装備品!$1:$998,COLUMN($O$1),FALSE)*VLOOKUP($D388,素材!$1:$1016,COLUMN($E$1),FALSE)/(LEN(VLOOKUP($D388,素材!$1:$1016,COLUMN($F$1),FALSE))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</f>
        <v>0</v>
      </c>
      <c r="AE388">
        <f>IF(ISNUMBER(SEARCH(SUBSTITUTE(AE$1,RIGHT(AE$1,2),""),VLOOKUP($D388,素材!$1:$1016,COLUMN($F$1),FALSE))),VLOOKUP($C388,装備品!$1:$998,COLUMN($O$1),FALSE)*VLOOKUP($D388,素材!$1:$1016,COLUMN($E$1),FALSE)/(LEN(VLOOKUP($D388,素材!$1:$1016,COLUMN($F$1),FALSE))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0)+IF($CI388&lt;&gt;"",VLOOKUP($CI388,付与!$A$1:BB$1173,COLUMN(付与!BB$1),FALSE),0)</f>
        <v>0</v>
      </c>
      <c r="AF388">
        <f>IF(ISNUMBER(SEARCH(SUBSTITUTE(AF$1,RIGHT(AF$1,2),""),VLOOKUP($D388,素材!$1:$1016,COLUMN($F$1),FALSE))),VLOOKUP($C388,装備品!$1:$998,COLUMN($O$1),FALSE)*VLOOKUP($D388,素材!$1:$1016,COLUMN($E$1),FALSE)/(LEN(VLOOKUP($D388,素材!$1:$1016,COLUMN($F$1),FALSE))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0)+IF($CI388&lt;&gt;"",VLOOKUP($CI388,付与!$A$1:BC$1173,COLUMN(付与!BC$1),FALSE),0)</f>
        <v>0</v>
      </c>
      <c r="AG388">
        <f>IF(ISNUMBER(SEARCH(SUBSTITUTE(AG$1,RIGHT(AG$1,2),""),VLOOKUP($D388,素材!$1:$1016,COLUMN($F$1),FALSE))),VLOOKUP($C388,装備品!$1:$998,COLUMN($O$1),FALSE)*VLOOKUP($D388,素材!$1:$1016,COLUMN($E$1),FALSE)/(LEN(VLOOKUP($D388,素材!$1:$1016,COLUMN($F$1),FALSE))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0)+IF($CI388&lt;&gt;"",VLOOKUP($CI388,付与!$A$1:BD$1173,COLUMN(付与!BD$1),FALSE),0)</f>
        <v>0</v>
      </c>
      <c r="AH388">
        <f>IF(ISNUMBER(SEARCH(SUBSTITUTE(AH$1,RIGHT(AH$1,2),""),VLOOKUP($D388,素材!$1:$1016,COLUMN($F$1),FALSE))),VLOOKUP($C388,装備品!$1:$998,COLUMN($O$1),FALSE)*VLOOKUP($D388,素材!$1:$1016,COLUMN($E$1),FALSE)/(LEN(VLOOKUP($D388,素材!$1:$1016,COLUMN($F$1),FALSE))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0)+IF($CI388&lt;&gt;"",VLOOKUP($CI388,付与!$A$1:BE$1173,COLUMN(付与!BE$1),FALSE),0)</f>
        <v>0</v>
      </c>
      <c r="AI388">
        <f>IF(ISNUMBER(SEARCH(SUBSTITUTE(AI$1,RIGHT(AI$1,2),""),VLOOKUP($D388,素材!$1:$1016,COLUMN($F$1),FALSE))),VLOOKUP($C388,装備品!$1:$998,COLUMN($O$1),FALSE)*VLOOKUP($D388,素材!$1:$1016,COLUMN($E$1),FALSE)/(LEN(VLOOKUP($D388,素材!$1:$1016,COLUMN($F$1),FALSE))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0)+IF($CI388&lt;&gt;"",VLOOKUP($CI388,付与!$A$1:BF$1173,COLUMN(付与!BF$1),FALSE),0)</f>
        <v>0</v>
      </c>
      <c r="AJ388">
        <f>IF(ISNUMBER(SEARCH(SUBSTITUTE(AJ$1,RIGHT(AJ$1,2),""),VLOOKUP($D388,素材!$1:$1016,COLUMN($F$1),FALSE))),VLOOKUP($C388,装備品!$1:$998,COLUMN($O$1),FALSE)*VLOOKUP($D388,素材!$1:$1016,COLUMN($E$1),FALSE)/(LEN(VLOOKUP($D388,素材!$1:$1016,COLUMN($F$1),FALSE))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0)+IF($CI388&lt;&gt;"",VLOOKUP($CI388,付与!$A$1:BG$1173,COLUMN(付与!BG$1),FALSE),0)</f>
        <v>0</v>
      </c>
      <c r="AK388">
        <f>IF(ISNUMBER(SEARCH(SUBSTITUTE(AK$1,RIGHT(AK$1,2),""),VLOOKUP($D388,素材!$1:$1016,COLUMN($F$1),FALSE))),VLOOKUP($C388,装備品!$1:$998,COLUMN($O$1),FALSE)*VLOOKUP($D388,素材!$1:$1016,COLUMN($E$1),FALSE)/(LEN(VLOOKUP($D388,素材!$1:$1016,COLUMN($F$1),FALSE))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0)+IF($CI388&lt;&gt;"",VLOOKUP($CI388,付与!$A$1:BH$1173,COLUMN(付与!BH$1),FALSE),0)</f>
        <v>0</v>
      </c>
      <c r="AL388">
        <f>IF(ISNUMBER(SEARCH(SUBSTITUTE(AL$1,RIGHT(AL$1,2),""),VLOOKUP($D388,素材!$1:$1016,COLUMN($F$1),FALSE))),VLOOKUP($C388,装備品!$1:$998,COLUMN($O$1),FALSE)*VLOOKUP($D388,素材!$1:$1016,COLUMN($E$1),FALSE)/(LEN(VLOOKUP($D388,素材!$1:$1016,COLUMN($F$1),FALSE))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0)+IF($CI388&lt;&gt;"",VLOOKUP($CI388,付与!$A$1:BI$1173,COLUMN(付与!BI$1),FALSE),0)</f>
        <v>0</v>
      </c>
      <c r="AM388">
        <f>IF(ISNUMBER(SEARCH(SUBSTITUTE(AM$1,RIGHT(AM$1,2),""),VLOOKUP($D388,素材!$1:$1016,COLUMN($F$1),FALSE))),VLOOKUP($C388,装備品!$1:$998,COLUMN($O$1),FALSE)*VLOOKUP($D388,素材!$1:$1016,COLUMN($E$1),FALSE)/(LEN(VLOOKUP($D388,素材!$1:$1016,COLUMN($F$1),FALSE))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0)+IF($CI388&lt;&gt;"",VLOOKUP($CI388,付与!$A$1:BJ$1173,COLUMN(付与!BJ$1),FALSE),0)</f>
        <v>0</v>
      </c>
      <c r="AN388">
        <f>IF(ISNUMBER(SEARCH(SUBSTITUTE(AN$1,RIGHT(AN$1,2),""),VLOOKUP($D388,素材!$1:$1016,COLUMN($F$1),FALSE))),VLOOKUP($C388,装備品!$1:$998,COLUMN($O$1),FALSE)*VLOOKUP($D388,素材!$1:$1016,COLUMN($E$1),FALSE)/(LEN(VLOOKUP($D388,素材!$1:$1016,COLUMN($F$1),FALSE))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0)+IF($CI388&lt;&gt;"",VLOOKUP($CI388,付与!$A$1:BK$1173,COLUMN(付与!BK$1),FALSE),0)</f>
        <v>0</v>
      </c>
      <c r="AO388">
        <f>IF(ISNUMBER(SEARCH(SUBSTITUTE(AO$1,RIGHT(AO$1,2),""),VLOOKUP($D388,素材!$1:$1016,COLUMN($F$1),FALSE))),VLOOKUP($C388,装備品!$1:$998,COLUMN($O$1),FALSE)*VLOOKUP($D388,素材!$1:$1016,COLUMN($E$1),FALSE)/(LEN(VLOOKUP($D388,素材!$1:$1016,COLUMN($F$1),FALSE))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0)+IF($CI388&lt;&gt;"",VLOOKUP($CI388,付与!$A$1:BM$1173,COLUMN(付与!BM$1),FALSE),0)</f>
        <v>0</v>
      </c>
      <c r="AP388">
        <f>IF(ISNUMBER(SEARCH(SUBSTITUTE(AP$1,RIGHT(AP$1,2),""),VLOOKUP($D388,素材!$1:$1016,COLUMN($F$1),FALSE))),VLOOKUP($C388,装備品!$1:$998,COLUMN($O$1),FALSE)*VLOOKUP($D388,素材!$1:$1016,COLUMN($E$1),FALSE)/(LEN(VLOOKUP($D388,素材!$1:$1016,COLUMN($F$1),FALSE))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0)+IF($CI388&lt;&gt;"",VLOOKUP($CI388,付与!$A$1:BN$1173,COLUMN(付与!BN$1),FALSE),0)</f>
        <v>0</v>
      </c>
      <c r="AQ388">
        <f>IF(ISNUMBER(SEARCH(SUBSTITUTE(AQ$1,RIGHT(AQ$1,2),""),VLOOKUP($D388,素材!$1:$1016,COLUMN($F$1),FALSE))),VLOOKUP($C388,装備品!$1:$998,COLUMN($O$1),FALSE)*VLOOKUP($D388,素材!$1:$1016,COLUMN($E$1),FALSE)/(LEN(VLOOKUP($D388,素材!$1:$1016,COLUMN($F$1),FALSE))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0)+IF($CI388&lt;&gt;"",VLOOKUP($CI388,付与!$A$1:BP$1173,COLUMN(付与!BP$1),FALSE),0)</f>
        <v>0</v>
      </c>
      <c r="AR388">
        <f>IF(ISNUMBER(SEARCH(SUBSTITUTE(AR$1,RIGHT(AR$1,2),""),VLOOKUP($D388,素材!$1:$1016,COLUMN($F$1),FALSE))),VLOOKUP($C388,装備品!$1:$998,COLUMN($O$1),FALSE)*VLOOKUP($D388,素材!$1:$1016,COLUMN($E$1),FALSE)/(LEN(VLOOKUP($D388,素材!$1:$1016,COLUMN($F$1),FALSE))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0)+IF($CI388&lt;&gt;"",VLOOKUP($CI388,付与!$A$1:BQ$1173,COLUMN(付与!BQ$1),FALSE),0)</f>
        <v>0</v>
      </c>
      <c r="AS388">
        <f>IF(ISNUMBER(SEARCH(SUBSTITUTE(AS$1,RIGHT(AS$1,2),""),VLOOKUP($D388,素材!$1:$1016,COLUMN($F$1),FALSE))),VLOOKUP($C388,装備品!$1:$998,COLUMN($O$1),FALSE)*VLOOKUP($D388,素材!$1:$1016,COLUMN($E$1),FALSE)/(LEN(VLOOKUP($D388,素材!$1:$1016,COLUMN($F$1),FALSE))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0)+IF($CI388&lt;&gt;"",VLOOKUP($CI388,付与!$A$1:BR$1173,COLUMN(付与!BR$1),FALSE),0)</f>
        <v>0</v>
      </c>
      <c r="AT388">
        <f>IF(ISNUMBER(SEARCH(SUBSTITUTE(AT$1,RIGHT(AT$1,2),""),VLOOKUP($D388,素材!$1:$1016,COLUMN($F$1),FALSE))),VLOOKUP($C388,装備品!$1:$998,COLUMN($O$1),FALSE)*VLOOKUP($D388,素材!$1:$1016,COLUMN($E$1),FALSE)/(LEN(VLOOKUP($D388,素材!$1:$1016,COLUMN($F$1),FALSE))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0)+IF($CI388&lt;&gt;"",VLOOKUP($CI388,付与!$A$1:BV$1173,COLUMN(付与!BV$1),FALSE),0)</f>
        <v>0</v>
      </c>
      <c r="AU388">
        <f>IF(ISNUMBER(SEARCH(SUBSTITUTE(AU$1,RIGHT(AU$1,2),""),VLOOKUP($D388,素材!$1:$1016,COLUMN($F$1),FALSE))),VLOOKUP($C388,装備品!$1:$998,COLUMN($O$1),FALSE)*VLOOKUP($D388,素材!$1:$1016,COLUMN($E$1),FALSE)/(LEN(VLOOKUP($D388,素材!$1:$1016,COLUMN($F$1),FALSE))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0)+IF($CI388&lt;&gt;"",VLOOKUP($CI388,付与!$A$1:BW$1173,COLUMN(付与!BW$1),FALSE),0)</f>
        <v>0</v>
      </c>
      <c r="AV388">
        <f>IF(ISNUMBER(SEARCH(SUBSTITUTE(AV$1,RIGHT(AV$1,2),""),VLOOKUP($D388,素材!$1:$1016,COLUMN($F$1),FALSE))),VLOOKUP($C388,装備品!$1:$998,COLUMN($O$1),FALSE)*VLOOKUP($D388,素材!$1:$1016,COLUMN($E$1),FALSE)/(LEN(VLOOKUP($D388,素材!$1:$1016,COLUMN($F$1),FALSE))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0)+IF($CI388&lt;&gt;"",VLOOKUP($CI388,付与!$A$1:BS$1173,COLUMN(付与!BS$1),FALSE),0)</f>
        <v>0</v>
      </c>
      <c r="AW388">
        <f>IF(ISNUMBER(SEARCH(SUBSTITUTE(AW$1,RIGHT(AW$1,2),""),VLOOKUP($D388,素材!$1:$1016,COLUMN($F$1),FALSE))),VLOOKUP($C388,装備品!$1:$998,COLUMN($O$1),FALSE)*VLOOKUP($D388,素材!$1:$1016,COLUMN($E$1),FALSE)/(LEN(VLOOKUP($D388,素材!$1:$1016,COLUMN($F$1),FALSE))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0)+IF($CI388&lt;&gt;"",VLOOKUP($CI388,付与!$A$1:BT$1173,COLUMN(付与!BT$1),FALSE),0)</f>
        <v>0</v>
      </c>
      <c r="AX388">
        <f>IF(ISNUMBER(SEARCH(SUBSTITUTE(AX$1,RIGHT(AX$1,2),""),VLOOKUP($D388,素材!$1:$1016,COLUMN($F$1),FALSE))),VLOOKUP($C388,装備品!$1:$998,COLUMN($O$1),FALSE)*VLOOKUP($D388,素材!$1:$1016,COLUMN($E$1),FALSE)/(LEN(VLOOKUP($D388,素材!$1:$1016,COLUMN($F$1),FALSE))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0)+IF($CI388&lt;&gt;"",VLOOKUP($CI388,付与!$A$1:BU$1173,COLUMN(付与!BU$1),FALSE),0)</f>
        <v>0</v>
      </c>
      <c r="AY388">
        <f>IF(ISNUMBER(SEARCH(SUBSTITUTE(AY$1,RIGHT(AY$1,2),""),VLOOKUP($D388,素材!$1:$1016,COLUMN($F$1),FALSE))),VLOOKUP($C388,装備品!$1:$998,COLUMN($O$1),FALSE)*VLOOKUP($D388,素材!$1:$1016,COLUMN($E$1),FALSE)/(LEN(VLOOKUP($D388,素材!$1:$1016,COLUMN($F$1),FALSE))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0)+IF($CI388&lt;&gt;"",VLOOKUP($CI388,付与!$A$1:BU$1173,COLUMN(付与!BO$1),FALSE),0)</f>
        <v>0</v>
      </c>
      <c r="AZ388">
        <f>IF(ISNUMBER(SEARCH(SUBSTITUTE(AZ$1,RIGHT(AZ$1,2),""),VLOOKUP($D388,素材!$1:$1016,COLUMN($F$1),FALSE))),VLOOKUP($C388,装備品!$1:$998,COLUMN($O$1),FALSE)*VLOOKUP($D388,素材!$1:$1016,COLUMN($E$1),FALSE)/(LEN(VLOOKUP($D388,素材!$1:$1016,COLUMN($F$1),FALSE))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0)+IF($CI388&lt;&gt;"",VLOOKUP($CI388,付与!$A$1:BX$1173,COLUMN(付与!BX$1),FALSE),0)</f>
        <v>0</v>
      </c>
      <c r="BA388">
        <f>IF(ISNUMBER(SEARCH(SUBSTITUTE(BA$1,RIGHT(BA$1,2),""),VLOOKUP($D388,素材!$1:$1016,COLUMN($F$1),FALSE))),VLOOKUP($C388,装備品!$1:$998,COLUMN($O$1),FALSE)*VLOOKUP($D388,素材!$1:$1016,COLUMN($E$1),FALSE)/(LEN(VLOOKUP($D388,素材!$1:$1016,COLUMN($F$1),FALSE))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0)+IF($CI388&lt;&gt;"",VLOOKUP($CI388,付与!$A$1:BY$1173,COLUMN(付与!BY$1),FALSE),0)</f>
        <v>0</v>
      </c>
      <c r="BB388">
        <f>IF(ISNUMBER(SEARCH(SUBSTITUTE(BB$1,RIGHT(BB$1,2),""),VLOOKUP($D388,素材!$1:$1016,COLUMN($F$1),FALSE))),VLOOKUP($C388,装備品!$1:$998,COLUMN($O$1),FALSE)*VLOOKUP($D388,素材!$1:$1016,COLUMN($E$1),FALSE)/(LEN(VLOOKUP($D388,素材!$1:$1016,COLUMN($F$1),FALSE))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0)+IF($CI388&lt;&gt;"",VLOOKUP($CI388,付与!$A$1:BZ$1173,COLUMN(付与!BZ$1),FALSE),0)</f>
        <v>0</v>
      </c>
      <c r="BC388">
        <f>IF(ISNUMBER(SEARCH(SUBSTITUTE(BC$1,RIGHT(BC$1,2),""),VLOOKUP($D388,素材!$1:$1016,COLUMN($F$1),FALSE))),VLOOKUP($C388,装備品!$1:$998,COLUMN($O$1),FALSE)*VLOOKUP($D388,素材!$1:$1016,COLUMN($E$1),FALSE)/(LEN(VLOOKUP($D388,素材!$1:$1016,COLUMN($F$1),FALSE))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0)+IF($CI388&lt;&gt;"",VLOOKUP($CI388,付与!$A$1:CA$1173,COLUMN(付与!CA$1),FALSE),0)</f>
        <v>0</v>
      </c>
      <c r="BD388">
        <f>IF(ISNUMBER(SEARCH(SUBSTITUTE(BD$1,RIGHT(BD$1,2),""),VLOOKUP($D388,素材!$1:$1016,COLUMN($F$1),FALSE))),VLOOKUP($C388,装備品!$1:$998,COLUMN($O$1),FALSE)*VLOOKUP($D388,素材!$1:$1016,COLUMN($E$1),FALSE)/(LEN(VLOOKUP($D388,素材!$1:$1016,COLUMN($F$1),FALSE))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0)+IF($CI388&lt;&gt;"",VLOOKUP($CI388,付与!$A$1:CB$1173,COLUMN(付与!CB$1),FALSE),0)</f>
        <v>0</v>
      </c>
      <c r="BE388">
        <f>IF(ISNUMBER(SEARCH(SUBSTITUTE(BE$1,RIGHT(BE$1,2),""),VLOOKUP($D388,素材!$1:$1016,COLUMN($F$1),FALSE))),VLOOKUP($C388,装備品!$1:$998,COLUMN($O$1),FALSE)*VLOOKUP($D388,素材!$1:$1016,COLUMN($E$1),FALSE)/(LEN(VLOOKUP($D388,素材!$1:$1016,COLUMN($F$1),FALSE))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0)+IF($CI388&lt;&gt;"",VLOOKUP($CI388,付与!$A$1:CC$1173,COLUMN(付与!CC$1),FALSE),0)</f>
        <v>0</v>
      </c>
      <c r="CL388">
        <f t="shared" si="59"/>
        <v>0</v>
      </c>
      <c r="CM388" s="22" t="str">
        <f t="shared" si="60"/>
        <v>.webp</v>
      </c>
      <c r="CN388" t="str">
        <f>IFERROR(VLOOKUP($C388,装備品!$1:$998,COLUMN(V$1),FALSE)*VLOOKUP($D388,素材!$1:$1016,COLUMN(N$1),FALSE)+IF(CI388="",0,VLOOKUP($CI388,付与!$1:$1176,COLUMN($CK$1),FALSE)),"")</f>
        <v/>
      </c>
      <c r="CO388" t="e">
        <f>VLOOKUP(D388,素材!$A:$O,COLUMN(素材!O$1),FALSE)</f>
        <v>#N/A</v>
      </c>
      <c r="CP388" t="e">
        <f>VLOOKUP(C388,装備品!$A:$AB,COLUMN(装備品!AB$1),FALSE)</f>
        <v>#N/A</v>
      </c>
      <c r="CR388" t="str">
        <f t="shared" si="54"/>
        <v>e_388</v>
      </c>
      <c r="CS388" t="e">
        <f t="shared" si="56"/>
        <v>#VALUE!</v>
      </c>
    </row>
    <row r="389" spans="2:97" x14ac:dyDescent="0.4">
      <c r="B389" t="str">
        <f>IFERROR(VLOOKUP($D389,素材!$1:$1016,COLUMN($B$1),FALSE)&amp;"・"&amp;VLOOKUP($C389,装備品!$1:$998,COLUMN(B$1),FALSE),"")</f>
        <v/>
      </c>
      <c r="D389" s="24"/>
      <c r="E389" t="str">
        <f>IFERROR(VLOOKUP(C389,装備品!$1:$998,COLUMN(C$1),FALSE),"")</f>
        <v/>
      </c>
      <c r="F389" t="str">
        <f>IFERROR(ROUNDDOWN((VLOOKUP($C389,装備品!$1:$998,COLUMN(D$1),FALSE)+IFERROR(VLOOKUP($CI389,付与!$1:$1167,COLUMN(F$1),FALSE),0))*VLOOKUP($D389,素材!$1:$1016,COLUMN(D$1),FALSE),0),"")</f>
        <v/>
      </c>
      <c r="G389" t="str">
        <f>IFERROR(ROUNDDOWN((VLOOKUP($C389,装備品!$1:$998,COLUMN(E$1),FALSE)+IFERROR(VLOOKUP($CI389,付与!$1:$1167,COLUMN(G$1),FALSE),0))*VLOOKUP($D389,素材!$1:$1016,COLUMN($E$1),FALSE),0),"")</f>
        <v/>
      </c>
      <c r="H389" t="str">
        <f>IFERROR(ROUNDDOWN((VLOOKUP($C389,装備品!$1:$998,COLUMN(F$1),FALSE)+IFERROR(VLOOKUP($CI389,付与!$1:$1167,COLUMN(H$1),FALSE),0))*VLOOKUP($D389,素材!$1:$1016,COLUMN($E$1),FALSE),0),"")</f>
        <v/>
      </c>
      <c r="I389" t="str">
        <f>IFERROR(ROUNDDOWN((VLOOKUP($C389,装備品!$1:$998,COLUMN(G$1),FALSE)+IFERROR(VLOOKUP($CI389,付与!$1:$1167,COLUMN(I$1),FALSE),0))*VLOOKUP($D389,素材!$1:$1016,COLUMN($E$1),FALSE),0),"")</f>
        <v/>
      </c>
      <c r="J389" t="str">
        <f>IFERROR(ROUNDDOWN((VLOOKUP($C389,装備品!$1:$998,COLUMN(H$1),FALSE)+IFERROR(VLOOKUP($CI389,付与!$1:$1167,COLUMN(J$1),FALSE),0))*VLOOKUP($D389,素材!$1:$1016,COLUMN($E$1),FALSE),0),"")</f>
        <v/>
      </c>
      <c r="K389" t="str">
        <f>IFERROR(ROUNDDOWN((VLOOKUP($C389,装備品!$1:$998,COLUMN(I$1),FALSE)+IFERROR(VLOOKUP($CI389,付与!$1:$1167,COLUMN(K$1),FALSE),0))*VLOOKUP($D389,素材!$1:$1016,COLUMN($E$1),FALSE),0),"")</f>
        <v/>
      </c>
      <c r="L389" t="str">
        <f>IFERROR(VLOOKUP($D389,素材!$1:$1016,COLUMN($F$1),FALSE),"")</f>
        <v/>
      </c>
      <c r="M389" t="str">
        <f>IFERROR(VLOOKUP($C389,装備品!$1:$998,COLUMN(AA$1),FALSE)*VLOOKUP($D389,素材!$1:$1016,COLUMN($G$1),FALSE),"")</f>
        <v/>
      </c>
      <c r="N389" t="str">
        <f>IFERROR(VLOOKUP($C389,装備品!$1:$998,COLUMN(I$1),FALSE),"")</f>
        <v/>
      </c>
      <c r="O389" s="23" t="str">
        <f>IFERROR((VLOOKUP($C389,装備品!$1:$998,COLUMN(K$1),FALSE)+VLOOKUP($D389,素材!$1:$1016,COLUMN(H$1),FALSE))*100+IFERROR(VLOOKUP($CI389,付与!$1:$1167,COLUMN(O$1),FALSE),0),"")</f>
        <v/>
      </c>
      <c r="P389" s="23" t="str">
        <f>IFERROR((VLOOKUP($C389,装備品!$1:$998,COLUMN(L$1),FALSE)+VLOOKUP($D389,素材!$1:$1016,COLUMN(I$1),FALSE))*100+IFERROR(VLOOKUP($CI389,付与!$1:$1167,COLUMN(P$1),FALSE),0),"")</f>
        <v/>
      </c>
      <c r="Q389" t="str">
        <f>IFERROR(ROUNDUP(VLOOKUP($C389,装備品!$1:$998,COLUMN(M$1),FALSE)*(VLOOKUP($D389,素材!$1:$1002,COLUMN(D$1),FALSE)/100),1),"")</f>
        <v/>
      </c>
      <c r="R389" t="str">
        <f>IFERROR(ROUNDUP(VLOOKUP($C389,装備品!$1:$998,COLUMN(N$1),FALSE)*(VLOOKUP($D389,素材!$1:$1002,COLUMN(D$1),FALSE)/100),1),"")</f>
        <v/>
      </c>
      <c r="S389" t="str">
        <f>IFERROR(VLOOKUP($C389,装備品!$1:$998,COLUMN(P$1),FALSE),"")</f>
        <v/>
      </c>
      <c r="T389" t="str">
        <f>IFERROR(VLOOKUP($C389,装備品!$1:$998,COLUMN(Q$1),FALSE),"")</f>
        <v/>
      </c>
      <c r="U389" t="str">
        <f>IFERROR(VLOOKUP($C389,装備品!$1:$998,COLUMN(R$1),FALSE),"")</f>
        <v/>
      </c>
      <c r="V389" t="str">
        <f>IFERROR(VLOOKUP($C389,装備品!$1:$998,COLUMN(Q$1),FALSE),"")</f>
        <v/>
      </c>
      <c r="W389" t="str">
        <f>IFERROR(VLOOKUP($C389,装備品!$1:$998,COLUMN(T$1),FALSE),"")</f>
        <v/>
      </c>
      <c r="Y389" t="str">
        <f>IFERROR(VLOOKUP($C389,装備品!$1:$998,COLUMN(U$1),FALSE),"")</f>
        <v/>
      </c>
      <c r="Z389" t="str">
        <f>IFERROR(ROUNDUP(VLOOKUP($C389,装備品!$1:$998,COLUMN(O$1),FALSE)*VLOOKUP($D389,素材!$1:$1016,COLUMN(E$1),FALSE),1),"")</f>
        <v/>
      </c>
      <c r="AA389">
        <f>IF(ISNUMBER(SEARCH(SUBSTITUTE(AA$1,RIGHT(AA$1,2),""),VLOOKUP($D389,素材!$1:$1016,COLUMN($F$1),FALSE))),VLOOKUP($C389,装備品!$1:$998,COLUMN($O$1),FALSE)*VLOOKUP($D389,素材!$1:$1016,COLUMN($E$1),FALSE)/(LEN(VLOOKUP($D389,素材!$1:$1016,COLUMN($F$1),FALSE))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</f>
        <v>0</v>
      </c>
      <c r="AB389">
        <f>IF(ISNUMBER(SEARCH(SUBSTITUTE(AB$1,RIGHT(AB$1,2),""),VLOOKUP($D389,素材!$1:$1016,COLUMN($F$1),FALSE))),VLOOKUP($C389,装備品!$1:$998,COLUMN($O$1),FALSE)*VLOOKUP($D389,素材!$1:$1016,COLUMN($E$1),FALSE)/(LEN(VLOOKUP($D389,素材!$1:$1016,COLUMN($F$1),FALSE))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</f>
        <v>0</v>
      </c>
      <c r="AC389">
        <f>IF(ISNUMBER(SEARCH(SUBSTITUTE(AC$1,RIGHT(AC$1,2),""),VLOOKUP($D389,素材!$1:$1016,COLUMN($F$1),FALSE))),VLOOKUP($C389,装備品!$1:$998,COLUMN($O$1),FALSE)*VLOOKUP($D389,素材!$1:$1016,COLUMN($E$1),FALSE)/(LEN(VLOOKUP($D389,素材!$1:$1016,COLUMN($F$1),FALSE))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</f>
        <v>0</v>
      </c>
      <c r="AD389">
        <f>IF(ISNUMBER(SEARCH(SUBSTITUTE(AD$1,RIGHT(AD$1,2),""),VLOOKUP($D389,素材!$1:$1016,COLUMN($F$1),FALSE))),VLOOKUP($C389,装備品!$1:$998,COLUMN($O$1),FALSE)*VLOOKUP($D389,素材!$1:$1016,COLUMN($E$1),FALSE)/(LEN(VLOOKUP($D389,素材!$1:$1016,COLUMN($F$1),FALSE))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</f>
        <v>0</v>
      </c>
      <c r="AE389">
        <f>IF(ISNUMBER(SEARCH(SUBSTITUTE(AE$1,RIGHT(AE$1,2),""),VLOOKUP($D389,素材!$1:$1016,COLUMN($F$1),FALSE))),VLOOKUP($C389,装備品!$1:$998,COLUMN($O$1),FALSE)*VLOOKUP($D389,素材!$1:$1016,COLUMN($E$1),FALSE)/(LEN(VLOOKUP($D389,素材!$1:$1016,COLUMN($F$1),FALSE))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0)+IF($CI389&lt;&gt;"",VLOOKUP($CI389,付与!$A$1:BB$1173,COLUMN(付与!BB$1),FALSE),0)</f>
        <v>0</v>
      </c>
      <c r="AF389">
        <f>IF(ISNUMBER(SEARCH(SUBSTITUTE(AF$1,RIGHT(AF$1,2),""),VLOOKUP($D389,素材!$1:$1016,COLUMN($F$1),FALSE))),VLOOKUP($C389,装備品!$1:$998,COLUMN($O$1),FALSE)*VLOOKUP($D389,素材!$1:$1016,COLUMN($E$1),FALSE)/(LEN(VLOOKUP($D389,素材!$1:$1016,COLUMN($F$1),FALSE))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0)+IF($CI389&lt;&gt;"",VLOOKUP($CI389,付与!$A$1:BC$1173,COLUMN(付与!BC$1),FALSE),0)</f>
        <v>0</v>
      </c>
      <c r="AG389">
        <f>IF(ISNUMBER(SEARCH(SUBSTITUTE(AG$1,RIGHT(AG$1,2),""),VLOOKUP($D389,素材!$1:$1016,COLUMN($F$1),FALSE))),VLOOKUP($C389,装備品!$1:$998,COLUMN($O$1),FALSE)*VLOOKUP($D389,素材!$1:$1016,COLUMN($E$1),FALSE)/(LEN(VLOOKUP($D389,素材!$1:$1016,COLUMN($F$1),FALSE))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0)+IF($CI389&lt;&gt;"",VLOOKUP($CI389,付与!$A$1:BD$1173,COLUMN(付与!BD$1),FALSE),0)</f>
        <v>0</v>
      </c>
      <c r="AH389">
        <f>IF(ISNUMBER(SEARCH(SUBSTITUTE(AH$1,RIGHT(AH$1,2),""),VLOOKUP($D389,素材!$1:$1016,COLUMN($F$1),FALSE))),VLOOKUP($C389,装備品!$1:$998,COLUMN($O$1),FALSE)*VLOOKUP($D389,素材!$1:$1016,COLUMN($E$1),FALSE)/(LEN(VLOOKUP($D389,素材!$1:$1016,COLUMN($F$1),FALSE))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0)+IF($CI389&lt;&gt;"",VLOOKUP($CI389,付与!$A$1:BE$1173,COLUMN(付与!BE$1),FALSE),0)</f>
        <v>0</v>
      </c>
      <c r="AI389">
        <f>IF(ISNUMBER(SEARCH(SUBSTITUTE(AI$1,RIGHT(AI$1,2),""),VLOOKUP($D389,素材!$1:$1016,COLUMN($F$1),FALSE))),VLOOKUP($C389,装備品!$1:$998,COLUMN($O$1),FALSE)*VLOOKUP($D389,素材!$1:$1016,COLUMN($E$1),FALSE)/(LEN(VLOOKUP($D389,素材!$1:$1016,COLUMN($F$1),FALSE))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0)+IF($CI389&lt;&gt;"",VLOOKUP($CI389,付与!$A$1:BF$1173,COLUMN(付与!BF$1),FALSE),0)</f>
        <v>0</v>
      </c>
      <c r="AJ389">
        <f>IF(ISNUMBER(SEARCH(SUBSTITUTE(AJ$1,RIGHT(AJ$1,2),""),VLOOKUP($D389,素材!$1:$1016,COLUMN($F$1),FALSE))),VLOOKUP($C389,装備品!$1:$998,COLUMN($O$1),FALSE)*VLOOKUP($D389,素材!$1:$1016,COLUMN($E$1),FALSE)/(LEN(VLOOKUP($D389,素材!$1:$1016,COLUMN($F$1),FALSE))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0)+IF($CI389&lt;&gt;"",VLOOKUP($CI389,付与!$A$1:BG$1173,COLUMN(付与!BG$1),FALSE),0)</f>
        <v>0</v>
      </c>
      <c r="AK389">
        <f>IF(ISNUMBER(SEARCH(SUBSTITUTE(AK$1,RIGHT(AK$1,2),""),VLOOKUP($D389,素材!$1:$1016,COLUMN($F$1),FALSE))),VLOOKUP($C389,装備品!$1:$998,COLUMN($O$1),FALSE)*VLOOKUP($D389,素材!$1:$1016,COLUMN($E$1),FALSE)/(LEN(VLOOKUP($D389,素材!$1:$1016,COLUMN($F$1),FALSE))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0)+IF($CI389&lt;&gt;"",VLOOKUP($CI389,付与!$A$1:BH$1173,COLUMN(付与!BH$1),FALSE),0)</f>
        <v>0</v>
      </c>
      <c r="AL389">
        <f>IF(ISNUMBER(SEARCH(SUBSTITUTE(AL$1,RIGHT(AL$1,2),""),VLOOKUP($D389,素材!$1:$1016,COLUMN($F$1),FALSE))),VLOOKUP($C389,装備品!$1:$998,COLUMN($O$1),FALSE)*VLOOKUP($D389,素材!$1:$1016,COLUMN($E$1),FALSE)/(LEN(VLOOKUP($D389,素材!$1:$1016,COLUMN($F$1),FALSE))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0)+IF($CI389&lt;&gt;"",VLOOKUP($CI389,付与!$A$1:BI$1173,COLUMN(付与!BI$1),FALSE),0)</f>
        <v>0</v>
      </c>
      <c r="AM389">
        <f>IF(ISNUMBER(SEARCH(SUBSTITUTE(AM$1,RIGHT(AM$1,2),""),VLOOKUP($D389,素材!$1:$1016,COLUMN($F$1),FALSE))),VLOOKUP($C389,装備品!$1:$998,COLUMN($O$1),FALSE)*VLOOKUP($D389,素材!$1:$1016,COLUMN($E$1),FALSE)/(LEN(VLOOKUP($D389,素材!$1:$1016,COLUMN($F$1),FALSE))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0)+IF($CI389&lt;&gt;"",VLOOKUP($CI389,付与!$A$1:BJ$1173,COLUMN(付与!BJ$1),FALSE),0)</f>
        <v>0</v>
      </c>
      <c r="AN389">
        <f>IF(ISNUMBER(SEARCH(SUBSTITUTE(AN$1,RIGHT(AN$1,2),""),VLOOKUP($D389,素材!$1:$1016,COLUMN($F$1),FALSE))),VLOOKUP($C389,装備品!$1:$998,COLUMN($O$1),FALSE)*VLOOKUP($D389,素材!$1:$1016,COLUMN($E$1),FALSE)/(LEN(VLOOKUP($D389,素材!$1:$1016,COLUMN($F$1),FALSE))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0)+IF($CI389&lt;&gt;"",VLOOKUP($CI389,付与!$A$1:BK$1173,COLUMN(付与!BK$1),FALSE),0)</f>
        <v>0</v>
      </c>
      <c r="AO389">
        <f>IF(ISNUMBER(SEARCH(SUBSTITUTE(AO$1,RIGHT(AO$1,2),""),VLOOKUP($D389,素材!$1:$1016,COLUMN($F$1),FALSE))),VLOOKUP($C389,装備品!$1:$998,COLUMN($O$1),FALSE)*VLOOKUP($D389,素材!$1:$1016,COLUMN($E$1),FALSE)/(LEN(VLOOKUP($D389,素材!$1:$1016,COLUMN($F$1),FALSE))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0)+IF($CI389&lt;&gt;"",VLOOKUP($CI389,付与!$A$1:BM$1173,COLUMN(付与!BM$1),FALSE),0)</f>
        <v>0</v>
      </c>
      <c r="AP389">
        <f>IF(ISNUMBER(SEARCH(SUBSTITUTE(AP$1,RIGHT(AP$1,2),""),VLOOKUP($D389,素材!$1:$1016,COLUMN($F$1),FALSE))),VLOOKUP($C389,装備品!$1:$998,COLUMN($O$1),FALSE)*VLOOKUP($D389,素材!$1:$1016,COLUMN($E$1),FALSE)/(LEN(VLOOKUP($D389,素材!$1:$1016,COLUMN($F$1),FALSE))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0)+IF($CI389&lt;&gt;"",VLOOKUP($CI389,付与!$A$1:BN$1173,COLUMN(付与!BN$1),FALSE),0)</f>
        <v>0</v>
      </c>
      <c r="AQ389">
        <f>IF(ISNUMBER(SEARCH(SUBSTITUTE(AQ$1,RIGHT(AQ$1,2),""),VLOOKUP($D389,素材!$1:$1016,COLUMN($F$1),FALSE))),VLOOKUP($C389,装備品!$1:$998,COLUMN($O$1),FALSE)*VLOOKUP($D389,素材!$1:$1016,COLUMN($E$1),FALSE)/(LEN(VLOOKUP($D389,素材!$1:$1016,COLUMN($F$1),FALSE))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0)+IF($CI389&lt;&gt;"",VLOOKUP($CI389,付与!$A$1:BP$1173,COLUMN(付与!BP$1),FALSE),0)</f>
        <v>0</v>
      </c>
      <c r="AR389">
        <f>IF(ISNUMBER(SEARCH(SUBSTITUTE(AR$1,RIGHT(AR$1,2),""),VLOOKUP($D389,素材!$1:$1016,COLUMN($F$1),FALSE))),VLOOKUP($C389,装備品!$1:$998,COLUMN($O$1),FALSE)*VLOOKUP($D389,素材!$1:$1016,COLUMN($E$1),FALSE)/(LEN(VLOOKUP($D389,素材!$1:$1016,COLUMN($F$1),FALSE))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0)+IF($CI389&lt;&gt;"",VLOOKUP($CI389,付与!$A$1:BQ$1173,COLUMN(付与!BQ$1),FALSE),0)</f>
        <v>0</v>
      </c>
      <c r="AS389">
        <f>IF(ISNUMBER(SEARCH(SUBSTITUTE(AS$1,RIGHT(AS$1,2),""),VLOOKUP($D389,素材!$1:$1016,COLUMN($F$1),FALSE))),VLOOKUP($C389,装備品!$1:$998,COLUMN($O$1),FALSE)*VLOOKUP($D389,素材!$1:$1016,COLUMN($E$1),FALSE)/(LEN(VLOOKUP($D389,素材!$1:$1016,COLUMN($F$1),FALSE))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0)+IF($CI389&lt;&gt;"",VLOOKUP($CI389,付与!$A$1:BR$1173,COLUMN(付与!BR$1),FALSE),0)</f>
        <v>0</v>
      </c>
      <c r="AT389">
        <f>IF(ISNUMBER(SEARCH(SUBSTITUTE(AT$1,RIGHT(AT$1,2),""),VLOOKUP($D389,素材!$1:$1016,COLUMN($F$1),FALSE))),VLOOKUP($C389,装備品!$1:$998,COLUMN($O$1),FALSE)*VLOOKUP($D389,素材!$1:$1016,COLUMN($E$1),FALSE)/(LEN(VLOOKUP($D389,素材!$1:$1016,COLUMN($F$1),FALSE))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0)+IF($CI389&lt;&gt;"",VLOOKUP($CI389,付与!$A$1:BV$1173,COLUMN(付与!BV$1),FALSE),0)</f>
        <v>0</v>
      </c>
      <c r="AU389">
        <f>IF(ISNUMBER(SEARCH(SUBSTITUTE(AU$1,RIGHT(AU$1,2),""),VLOOKUP($D389,素材!$1:$1016,COLUMN($F$1),FALSE))),VLOOKUP($C389,装備品!$1:$998,COLUMN($O$1),FALSE)*VLOOKUP($D389,素材!$1:$1016,COLUMN($E$1),FALSE)/(LEN(VLOOKUP($D389,素材!$1:$1016,COLUMN($F$1),FALSE))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0)+IF($CI389&lt;&gt;"",VLOOKUP($CI389,付与!$A$1:BW$1173,COLUMN(付与!BW$1),FALSE),0)</f>
        <v>0</v>
      </c>
      <c r="AV389">
        <f>IF(ISNUMBER(SEARCH(SUBSTITUTE(AV$1,RIGHT(AV$1,2),""),VLOOKUP($D389,素材!$1:$1016,COLUMN($F$1),FALSE))),VLOOKUP($C389,装備品!$1:$998,COLUMN($O$1),FALSE)*VLOOKUP($D389,素材!$1:$1016,COLUMN($E$1),FALSE)/(LEN(VLOOKUP($D389,素材!$1:$1016,COLUMN($F$1),FALSE))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0)+IF($CI389&lt;&gt;"",VLOOKUP($CI389,付与!$A$1:BS$1173,COLUMN(付与!BS$1),FALSE),0)</f>
        <v>0</v>
      </c>
      <c r="AW389">
        <f>IF(ISNUMBER(SEARCH(SUBSTITUTE(AW$1,RIGHT(AW$1,2),""),VLOOKUP($D389,素材!$1:$1016,COLUMN($F$1),FALSE))),VLOOKUP($C389,装備品!$1:$998,COLUMN($O$1),FALSE)*VLOOKUP($D389,素材!$1:$1016,COLUMN($E$1),FALSE)/(LEN(VLOOKUP($D389,素材!$1:$1016,COLUMN($F$1),FALSE))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0)+IF($CI389&lt;&gt;"",VLOOKUP($CI389,付与!$A$1:BT$1173,COLUMN(付与!BT$1),FALSE),0)</f>
        <v>0</v>
      </c>
      <c r="AX389">
        <f>IF(ISNUMBER(SEARCH(SUBSTITUTE(AX$1,RIGHT(AX$1,2),""),VLOOKUP($D389,素材!$1:$1016,COLUMN($F$1),FALSE))),VLOOKUP($C389,装備品!$1:$998,COLUMN($O$1),FALSE)*VLOOKUP($D389,素材!$1:$1016,COLUMN($E$1),FALSE)/(LEN(VLOOKUP($D389,素材!$1:$1016,COLUMN($F$1),FALSE))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0)+IF($CI389&lt;&gt;"",VLOOKUP($CI389,付与!$A$1:BU$1173,COLUMN(付与!BU$1),FALSE),0)</f>
        <v>0</v>
      </c>
      <c r="AY389">
        <f>IF(ISNUMBER(SEARCH(SUBSTITUTE(AY$1,RIGHT(AY$1,2),""),VLOOKUP($D389,素材!$1:$1016,COLUMN($F$1),FALSE))),VLOOKUP($C389,装備品!$1:$998,COLUMN($O$1),FALSE)*VLOOKUP($D389,素材!$1:$1016,COLUMN($E$1),FALSE)/(LEN(VLOOKUP($D389,素材!$1:$1016,COLUMN($F$1),FALSE))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0)+IF($CI389&lt;&gt;"",VLOOKUP($CI389,付与!$A$1:BU$1173,COLUMN(付与!BO$1),FALSE),0)</f>
        <v>0</v>
      </c>
      <c r="AZ389">
        <f>IF(ISNUMBER(SEARCH(SUBSTITUTE(AZ$1,RIGHT(AZ$1,2),""),VLOOKUP($D389,素材!$1:$1016,COLUMN($F$1),FALSE))),VLOOKUP($C389,装備品!$1:$998,COLUMN($O$1),FALSE)*VLOOKUP($D389,素材!$1:$1016,COLUMN($E$1),FALSE)/(LEN(VLOOKUP($D389,素材!$1:$1016,COLUMN($F$1),FALSE))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0)+IF($CI389&lt;&gt;"",VLOOKUP($CI389,付与!$A$1:BX$1173,COLUMN(付与!BX$1),FALSE),0)</f>
        <v>0</v>
      </c>
      <c r="BA389">
        <f>IF(ISNUMBER(SEARCH(SUBSTITUTE(BA$1,RIGHT(BA$1,2),""),VLOOKUP($D389,素材!$1:$1016,COLUMN($F$1),FALSE))),VLOOKUP($C389,装備品!$1:$998,COLUMN($O$1),FALSE)*VLOOKUP($D389,素材!$1:$1016,COLUMN($E$1),FALSE)/(LEN(VLOOKUP($D389,素材!$1:$1016,COLUMN($F$1),FALSE))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0)+IF($CI389&lt;&gt;"",VLOOKUP($CI389,付与!$A$1:BY$1173,COLUMN(付与!BY$1),FALSE),0)</f>
        <v>0</v>
      </c>
      <c r="BB389">
        <f>IF(ISNUMBER(SEARCH(SUBSTITUTE(BB$1,RIGHT(BB$1,2),""),VLOOKUP($D389,素材!$1:$1016,COLUMN($F$1),FALSE))),VLOOKUP($C389,装備品!$1:$998,COLUMN($O$1),FALSE)*VLOOKUP($D389,素材!$1:$1016,COLUMN($E$1),FALSE)/(LEN(VLOOKUP($D389,素材!$1:$1016,COLUMN($F$1),FALSE))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0)+IF($CI389&lt;&gt;"",VLOOKUP($CI389,付与!$A$1:BZ$1173,COLUMN(付与!BZ$1),FALSE),0)</f>
        <v>0</v>
      </c>
      <c r="BC389">
        <f>IF(ISNUMBER(SEARCH(SUBSTITUTE(BC$1,RIGHT(BC$1,2),""),VLOOKUP($D389,素材!$1:$1016,COLUMN($F$1),FALSE))),VLOOKUP($C389,装備品!$1:$998,COLUMN($O$1),FALSE)*VLOOKUP($D389,素材!$1:$1016,COLUMN($E$1),FALSE)/(LEN(VLOOKUP($D389,素材!$1:$1016,COLUMN($F$1),FALSE))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0)+IF($CI389&lt;&gt;"",VLOOKUP($CI389,付与!$A$1:CA$1173,COLUMN(付与!CA$1),FALSE),0)</f>
        <v>0</v>
      </c>
      <c r="BD389">
        <f>IF(ISNUMBER(SEARCH(SUBSTITUTE(BD$1,RIGHT(BD$1,2),""),VLOOKUP($D389,素材!$1:$1016,COLUMN($F$1),FALSE))),VLOOKUP($C389,装備品!$1:$998,COLUMN($O$1),FALSE)*VLOOKUP($D389,素材!$1:$1016,COLUMN($E$1),FALSE)/(LEN(VLOOKUP($D389,素材!$1:$1016,COLUMN($F$1),FALSE))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0)+IF($CI389&lt;&gt;"",VLOOKUP($CI389,付与!$A$1:CB$1173,COLUMN(付与!CB$1),FALSE),0)</f>
        <v>0</v>
      </c>
      <c r="BE389">
        <f>IF(ISNUMBER(SEARCH(SUBSTITUTE(BE$1,RIGHT(BE$1,2),""),VLOOKUP($D389,素材!$1:$1016,COLUMN($F$1),FALSE))),VLOOKUP($C389,装備品!$1:$998,COLUMN($O$1),FALSE)*VLOOKUP($D389,素材!$1:$1016,COLUMN($E$1),FALSE)/(LEN(VLOOKUP($D389,素材!$1:$1016,COLUMN($F$1),FALSE))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0)+IF($CI389&lt;&gt;"",VLOOKUP($CI389,付与!$A$1:CC$1173,COLUMN(付与!CC$1),FALSE),0)</f>
        <v>0</v>
      </c>
      <c r="CL389">
        <f t="shared" si="59"/>
        <v>0</v>
      </c>
      <c r="CM389" s="22" t="str">
        <f t="shared" si="60"/>
        <v>.webp</v>
      </c>
      <c r="CN389" t="str">
        <f>IFERROR(VLOOKUP($C389,装備品!$1:$998,COLUMN(V$1),FALSE)*VLOOKUP($D389,素材!$1:$1016,COLUMN(N$1),FALSE)+IF(CI389="",0,VLOOKUP($CI389,付与!$1:$1176,COLUMN($CK$1),FALSE)),"")</f>
        <v/>
      </c>
      <c r="CO389" t="e">
        <f>VLOOKUP(D389,素材!$A:$O,COLUMN(素材!O$1),FALSE)</f>
        <v>#N/A</v>
      </c>
      <c r="CP389" t="e">
        <f>VLOOKUP(C389,装備品!$A:$AB,COLUMN(装備品!AB$1),FALSE)</f>
        <v>#N/A</v>
      </c>
      <c r="CR389" t="str">
        <f t="shared" si="54"/>
        <v>e_389</v>
      </c>
      <c r="CS389" t="e">
        <f t="shared" si="56"/>
        <v>#VALUE!</v>
      </c>
    </row>
    <row r="390" spans="2:97" x14ac:dyDescent="0.4">
      <c r="B390" t="str">
        <f>IFERROR(VLOOKUP($D390,素材!$1:$1016,COLUMN($B$1),FALSE)&amp;"・"&amp;VLOOKUP($C390,装備品!$1:$998,COLUMN(B$1),FALSE),"")</f>
        <v/>
      </c>
      <c r="D390" s="24"/>
      <c r="E390" t="str">
        <f>IFERROR(VLOOKUP(C390,装備品!$1:$998,COLUMN(C$1),FALSE),"")</f>
        <v/>
      </c>
      <c r="F390" t="str">
        <f>IFERROR(ROUNDDOWN((VLOOKUP($C390,装備品!$1:$998,COLUMN(D$1),FALSE)+IFERROR(VLOOKUP($CI390,付与!$1:$1167,COLUMN(F$1),FALSE),0))*VLOOKUP($D390,素材!$1:$1016,COLUMN(D$1),FALSE),0),"")</f>
        <v/>
      </c>
      <c r="G390" t="str">
        <f>IFERROR(ROUNDDOWN((VLOOKUP($C390,装備品!$1:$998,COLUMN(E$1),FALSE)+IFERROR(VLOOKUP($CI390,付与!$1:$1167,COLUMN(G$1),FALSE),0))*VLOOKUP($D390,素材!$1:$1016,COLUMN($E$1),FALSE),0),"")</f>
        <v/>
      </c>
      <c r="H390" t="str">
        <f>IFERROR(ROUNDDOWN((VLOOKUP($C390,装備品!$1:$998,COLUMN(F$1),FALSE)+IFERROR(VLOOKUP($CI390,付与!$1:$1167,COLUMN(H$1),FALSE),0))*VLOOKUP($D390,素材!$1:$1016,COLUMN($E$1),FALSE),0),"")</f>
        <v/>
      </c>
      <c r="I390" t="str">
        <f>IFERROR(ROUNDDOWN((VLOOKUP($C390,装備品!$1:$998,COLUMN(G$1),FALSE)+IFERROR(VLOOKUP($CI390,付与!$1:$1167,COLUMN(I$1),FALSE),0))*VLOOKUP($D390,素材!$1:$1016,COLUMN($E$1),FALSE),0),"")</f>
        <v/>
      </c>
      <c r="J390" t="str">
        <f>IFERROR(ROUNDDOWN((VLOOKUP($C390,装備品!$1:$998,COLUMN(H$1),FALSE)+IFERROR(VLOOKUP($CI390,付与!$1:$1167,COLUMN(J$1),FALSE),0))*VLOOKUP($D390,素材!$1:$1016,COLUMN($E$1),FALSE),0),"")</f>
        <v/>
      </c>
      <c r="K390" t="str">
        <f>IFERROR(ROUNDDOWN((VLOOKUP($C390,装備品!$1:$998,COLUMN(I$1),FALSE)+IFERROR(VLOOKUP($CI390,付与!$1:$1167,COLUMN(K$1),FALSE),0))*VLOOKUP($D390,素材!$1:$1016,COLUMN($E$1),FALSE),0),"")</f>
        <v/>
      </c>
      <c r="L390" t="str">
        <f>IFERROR(VLOOKUP($D390,素材!$1:$1016,COLUMN($F$1),FALSE),"")</f>
        <v/>
      </c>
      <c r="M390" t="str">
        <f>IFERROR(VLOOKUP($C390,装備品!$1:$998,COLUMN(AA$1),FALSE)*VLOOKUP($D390,素材!$1:$1016,COLUMN($G$1),FALSE),"")</f>
        <v/>
      </c>
      <c r="N390" t="str">
        <f>IFERROR(VLOOKUP($C390,装備品!$1:$998,COLUMN(I$1),FALSE),"")</f>
        <v/>
      </c>
      <c r="O390" s="23" t="str">
        <f>IFERROR((VLOOKUP($C390,装備品!$1:$998,COLUMN(K$1),FALSE)+VLOOKUP($D390,素材!$1:$1016,COLUMN(H$1),FALSE))*100+IFERROR(VLOOKUP($CI390,付与!$1:$1167,COLUMN(O$1),FALSE),0),"")</f>
        <v/>
      </c>
      <c r="P390" s="23" t="str">
        <f>IFERROR((VLOOKUP($C390,装備品!$1:$998,COLUMN(L$1),FALSE)+VLOOKUP($D390,素材!$1:$1016,COLUMN(I$1),FALSE))*100+IFERROR(VLOOKUP($CI390,付与!$1:$1167,COLUMN(P$1),FALSE),0),"")</f>
        <v/>
      </c>
      <c r="Q390" t="str">
        <f>IFERROR(ROUNDUP(VLOOKUP($C390,装備品!$1:$998,COLUMN(M$1),FALSE)*(VLOOKUP($D390,素材!$1:$1002,COLUMN(D$1),FALSE)/100),1),"")</f>
        <v/>
      </c>
      <c r="R390" t="str">
        <f>IFERROR(ROUNDUP(VLOOKUP($C390,装備品!$1:$998,COLUMN(N$1),FALSE)*(VLOOKUP($D390,素材!$1:$1002,COLUMN(D$1),FALSE)/100),1),"")</f>
        <v/>
      </c>
      <c r="S390" t="str">
        <f>IFERROR(VLOOKUP($C390,装備品!$1:$998,COLUMN(P$1),FALSE),"")</f>
        <v/>
      </c>
      <c r="T390" t="str">
        <f>IFERROR(VLOOKUP($C390,装備品!$1:$998,COLUMN(Q$1),FALSE),"")</f>
        <v/>
      </c>
      <c r="U390" t="str">
        <f>IFERROR(VLOOKUP($C390,装備品!$1:$998,COLUMN(R$1),FALSE),"")</f>
        <v/>
      </c>
      <c r="V390" t="str">
        <f>IFERROR(VLOOKUP($C390,装備品!$1:$998,COLUMN(Q$1),FALSE),"")</f>
        <v/>
      </c>
      <c r="W390" t="str">
        <f>IFERROR(VLOOKUP($C390,装備品!$1:$998,COLUMN(T$1),FALSE),"")</f>
        <v/>
      </c>
      <c r="Y390" t="str">
        <f>IFERROR(VLOOKUP($C390,装備品!$1:$998,COLUMN(U$1),FALSE),"")</f>
        <v/>
      </c>
      <c r="Z390" t="str">
        <f>IFERROR(ROUNDUP(VLOOKUP($C390,装備品!$1:$998,COLUMN(O$1),FALSE)*VLOOKUP($D390,素材!$1:$1016,COLUMN(E$1),FALSE),1),"")</f>
        <v/>
      </c>
      <c r="AA390">
        <f>IF(ISNUMBER(SEARCH(SUBSTITUTE(AA$1,RIGHT(AA$1,2),""),VLOOKUP($D390,素材!$1:$1016,COLUMN($F$1),FALSE))),VLOOKUP($C390,装備品!$1:$998,COLUMN($O$1),FALSE)*VLOOKUP($D390,素材!$1:$1016,COLUMN($E$1),FALSE)/(LEN(VLOOKUP($D390,素材!$1:$1016,COLUMN($F$1),FALSE))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</f>
        <v>0</v>
      </c>
      <c r="AB390">
        <f>IF(ISNUMBER(SEARCH(SUBSTITUTE(AB$1,RIGHT(AB$1,2),""),VLOOKUP($D390,素材!$1:$1016,COLUMN($F$1),FALSE))),VLOOKUP($C390,装備品!$1:$998,COLUMN($O$1),FALSE)*VLOOKUP($D390,素材!$1:$1016,COLUMN($E$1),FALSE)/(LEN(VLOOKUP($D390,素材!$1:$1016,COLUMN($F$1),FALSE))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</f>
        <v>0</v>
      </c>
      <c r="AC390">
        <f>IF(ISNUMBER(SEARCH(SUBSTITUTE(AC$1,RIGHT(AC$1,2),""),VLOOKUP($D390,素材!$1:$1016,COLUMN($F$1),FALSE))),VLOOKUP($C390,装備品!$1:$998,COLUMN($O$1),FALSE)*VLOOKUP($D390,素材!$1:$1016,COLUMN($E$1),FALSE)/(LEN(VLOOKUP($D390,素材!$1:$1016,COLUMN($F$1),FALSE))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</f>
        <v>0</v>
      </c>
      <c r="AD390">
        <f>IF(ISNUMBER(SEARCH(SUBSTITUTE(AD$1,RIGHT(AD$1,2),""),VLOOKUP($D390,素材!$1:$1016,COLUMN($F$1),FALSE))),VLOOKUP($C390,装備品!$1:$998,COLUMN($O$1),FALSE)*VLOOKUP($D390,素材!$1:$1016,COLUMN($E$1),FALSE)/(LEN(VLOOKUP($D390,素材!$1:$1016,COLUMN($F$1),FALSE))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</f>
        <v>0</v>
      </c>
      <c r="AE390">
        <f>IF(ISNUMBER(SEARCH(SUBSTITUTE(AE$1,RIGHT(AE$1,2),""),VLOOKUP($D390,素材!$1:$1016,COLUMN($F$1),FALSE))),VLOOKUP($C390,装備品!$1:$998,COLUMN($O$1),FALSE)*VLOOKUP($D390,素材!$1:$1016,COLUMN($E$1),FALSE)/(LEN(VLOOKUP($D390,素材!$1:$1016,COLUMN($F$1),FALSE))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0)+IF($CI390&lt;&gt;"",VLOOKUP($CI390,付与!$A$1:BB$1173,COLUMN(付与!BB$1),FALSE),0)</f>
        <v>0</v>
      </c>
      <c r="AF390">
        <f>IF(ISNUMBER(SEARCH(SUBSTITUTE(AF$1,RIGHT(AF$1,2),""),VLOOKUP($D390,素材!$1:$1016,COLUMN($F$1),FALSE))),VLOOKUP($C390,装備品!$1:$998,COLUMN($O$1),FALSE)*VLOOKUP($D390,素材!$1:$1016,COLUMN($E$1),FALSE)/(LEN(VLOOKUP($D390,素材!$1:$1016,COLUMN($F$1),FALSE))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0)+IF($CI390&lt;&gt;"",VLOOKUP($CI390,付与!$A$1:BC$1173,COLUMN(付与!BC$1),FALSE),0)</f>
        <v>0</v>
      </c>
      <c r="AG390">
        <f>IF(ISNUMBER(SEARCH(SUBSTITUTE(AG$1,RIGHT(AG$1,2),""),VLOOKUP($D390,素材!$1:$1016,COLUMN($F$1),FALSE))),VLOOKUP($C390,装備品!$1:$998,COLUMN($O$1),FALSE)*VLOOKUP($D390,素材!$1:$1016,COLUMN($E$1),FALSE)/(LEN(VLOOKUP($D390,素材!$1:$1016,COLUMN($F$1),FALSE))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0)+IF($CI390&lt;&gt;"",VLOOKUP($CI390,付与!$A$1:BD$1173,COLUMN(付与!BD$1),FALSE),0)</f>
        <v>0</v>
      </c>
      <c r="AH390">
        <f>IF(ISNUMBER(SEARCH(SUBSTITUTE(AH$1,RIGHT(AH$1,2),""),VLOOKUP($D390,素材!$1:$1016,COLUMN($F$1),FALSE))),VLOOKUP($C390,装備品!$1:$998,COLUMN($O$1),FALSE)*VLOOKUP($D390,素材!$1:$1016,COLUMN($E$1),FALSE)/(LEN(VLOOKUP($D390,素材!$1:$1016,COLUMN($F$1),FALSE))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0)+IF($CI390&lt;&gt;"",VLOOKUP($CI390,付与!$A$1:BE$1173,COLUMN(付与!BE$1),FALSE),0)</f>
        <v>0</v>
      </c>
      <c r="AI390">
        <f>IF(ISNUMBER(SEARCH(SUBSTITUTE(AI$1,RIGHT(AI$1,2),""),VLOOKUP($D390,素材!$1:$1016,COLUMN($F$1),FALSE))),VLOOKUP($C390,装備品!$1:$998,COLUMN($O$1),FALSE)*VLOOKUP($D390,素材!$1:$1016,COLUMN($E$1),FALSE)/(LEN(VLOOKUP($D390,素材!$1:$1016,COLUMN($F$1),FALSE))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0)+IF($CI390&lt;&gt;"",VLOOKUP($CI390,付与!$A$1:BF$1173,COLUMN(付与!BF$1),FALSE),0)</f>
        <v>0</v>
      </c>
      <c r="AJ390">
        <f>IF(ISNUMBER(SEARCH(SUBSTITUTE(AJ$1,RIGHT(AJ$1,2),""),VLOOKUP($D390,素材!$1:$1016,COLUMN($F$1),FALSE))),VLOOKUP($C390,装備品!$1:$998,COLUMN($O$1),FALSE)*VLOOKUP($D390,素材!$1:$1016,COLUMN($E$1),FALSE)/(LEN(VLOOKUP($D390,素材!$1:$1016,COLUMN($F$1),FALSE))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0)+IF($CI390&lt;&gt;"",VLOOKUP($CI390,付与!$A$1:BG$1173,COLUMN(付与!BG$1),FALSE),0)</f>
        <v>0</v>
      </c>
      <c r="AK390">
        <f>IF(ISNUMBER(SEARCH(SUBSTITUTE(AK$1,RIGHT(AK$1,2),""),VLOOKUP($D390,素材!$1:$1016,COLUMN($F$1),FALSE))),VLOOKUP($C390,装備品!$1:$998,COLUMN($O$1),FALSE)*VLOOKUP($D390,素材!$1:$1016,COLUMN($E$1),FALSE)/(LEN(VLOOKUP($D390,素材!$1:$1016,COLUMN($F$1),FALSE))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0)+IF($CI390&lt;&gt;"",VLOOKUP($CI390,付与!$A$1:BH$1173,COLUMN(付与!BH$1),FALSE),0)</f>
        <v>0</v>
      </c>
      <c r="AL390">
        <f>IF(ISNUMBER(SEARCH(SUBSTITUTE(AL$1,RIGHT(AL$1,2),""),VLOOKUP($D390,素材!$1:$1016,COLUMN($F$1),FALSE))),VLOOKUP($C390,装備品!$1:$998,COLUMN($O$1),FALSE)*VLOOKUP($D390,素材!$1:$1016,COLUMN($E$1),FALSE)/(LEN(VLOOKUP($D390,素材!$1:$1016,COLUMN($F$1),FALSE))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0)+IF($CI390&lt;&gt;"",VLOOKUP($CI390,付与!$A$1:BI$1173,COLUMN(付与!BI$1),FALSE),0)</f>
        <v>0</v>
      </c>
      <c r="AM390">
        <f>IF(ISNUMBER(SEARCH(SUBSTITUTE(AM$1,RIGHT(AM$1,2),""),VLOOKUP($D390,素材!$1:$1016,COLUMN($F$1),FALSE))),VLOOKUP($C390,装備品!$1:$998,COLUMN($O$1),FALSE)*VLOOKUP($D390,素材!$1:$1016,COLUMN($E$1),FALSE)/(LEN(VLOOKUP($D390,素材!$1:$1016,COLUMN($F$1),FALSE))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0)+IF($CI390&lt;&gt;"",VLOOKUP($CI390,付与!$A$1:BJ$1173,COLUMN(付与!BJ$1),FALSE),0)</f>
        <v>0</v>
      </c>
      <c r="AN390">
        <f>IF(ISNUMBER(SEARCH(SUBSTITUTE(AN$1,RIGHT(AN$1,2),""),VLOOKUP($D390,素材!$1:$1016,COLUMN($F$1),FALSE))),VLOOKUP($C390,装備品!$1:$998,COLUMN($O$1),FALSE)*VLOOKUP($D390,素材!$1:$1016,COLUMN($E$1),FALSE)/(LEN(VLOOKUP($D390,素材!$1:$1016,COLUMN($F$1),FALSE))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0)+IF($CI390&lt;&gt;"",VLOOKUP($CI390,付与!$A$1:BK$1173,COLUMN(付与!BK$1),FALSE),0)</f>
        <v>0</v>
      </c>
      <c r="AO390">
        <f>IF(ISNUMBER(SEARCH(SUBSTITUTE(AO$1,RIGHT(AO$1,2),""),VLOOKUP($D390,素材!$1:$1016,COLUMN($F$1),FALSE))),VLOOKUP($C390,装備品!$1:$998,COLUMN($O$1),FALSE)*VLOOKUP($D390,素材!$1:$1016,COLUMN($E$1),FALSE)/(LEN(VLOOKUP($D390,素材!$1:$1016,COLUMN($F$1),FALSE))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0)+IF($CI390&lt;&gt;"",VLOOKUP($CI390,付与!$A$1:BM$1173,COLUMN(付与!BM$1),FALSE),0)</f>
        <v>0</v>
      </c>
      <c r="AP390">
        <f>IF(ISNUMBER(SEARCH(SUBSTITUTE(AP$1,RIGHT(AP$1,2),""),VLOOKUP($D390,素材!$1:$1016,COLUMN($F$1),FALSE))),VLOOKUP($C390,装備品!$1:$998,COLUMN($O$1),FALSE)*VLOOKUP($D390,素材!$1:$1016,COLUMN($E$1),FALSE)/(LEN(VLOOKUP($D390,素材!$1:$1016,COLUMN($F$1),FALSE))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0)+IF($CI390&lt;&gt;"",VLOOKUP($CI390,付与!$A$1:BN$1173,COLUMN(付与!BN$1),FALSE),0)</f>
        <v>0</v>
      </c>
      <c r="AQ390">
        <f>IF(ISNUMBER(SEARCH(SUBSTITUTE(AQ$1,RIGHT(AQ$1,2),""),VLOOKUP($D390,素材!$1:$1016,COLUMN($F$1),FALSE))),VLOOKUP($C390,装備品!$1:$998,COLUMN($O$1),FALSE)*VLOOKUP($D390,素材!$1:$1016,COLUMN($E$1),FALSE)/(LEN(VLOOKUP($D390,素材!$1:$1016,COLUMN($F$1),FALSE))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0)+IF($CI390&lt;&gt;"",VLOOKUP($CI390,付与!$A$1:BP$1173,COLUMN(付与!BP$1),FALSE),0)</f>
        <v>0</v>
      </c>
      <c r="AR390">
        <f>IF(ISNUMBER(SEARCH(SUBSTITUTE(AR$1,RIGHT(AR$1,2),""),VLOOKUP($D390,素材!$1:$1016,COLUMN($F$1),FALSE))),VLOOKUP($C390,装備品!$1:$998,COLUMN($O$1),FALSE)*VLOOKUP($D390,素材!$1:$1016,COLUMN($E$1),FALSE)/(LEN(VLOOKUP($D390,素材!$1:$1016,COLUMN($F$1),FALSE))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0)+IF($CI390&lt;&gt;"",VLOOKUP($CI390,付与!$A$1:BQ$1173,COLUMN(付与!BQ$1),FALSE),0)</f>
        <v>0</v>
      </c>
      <c r="AS390">
        <f>IF(ISNUMBER(SEARCH(SUBSTITUTE(AS$1,RIGHT(AS$1,2),""),VLOOKUP($D390,素材!$1:$1016,COLUMN($F$1),FALSE))),VLOOKUP($C390,装備品!$1:$998,COLUMN($O$1),FALSE)*VLOOKUP($D390,素材!$1:$1016,COLUMN($E$1),FALSE)/(LEN(VLOOKUP($D390,素材!$1:$1016,COLUMN($F$1),FALSE))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0)+IF($CI390&lt;&gt;"",VLOOKUP($CI390,付与!$A$1:BR$1173,COLUMN(付与!BR$1),FALSE),0)</f>
        <v>0</v>
      </c>
      <c r="AT390">
        <f>IF(ISNUMBER(SEARCH(SUBSTITUTE(AT$1,RIGHT(AT$1,2),""),VLOOKUP($D390,素材!$1:$1016,COLUMN($F$1),FALSE))),VLOOKUP($C390,装備品!$1:$998,COLUMN($O$1),FALSE)*VLOOKUP($D390,素材!$1:$1016,COLUMN($E$1),FALSE)/(LEN(VLOOKUP($D390,素材!$1:$1016,COLUMN($F$1),FALSE))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0)+IF($CI390&lt;&gt;"",VLOOKUP($CI390,付与!$A$1:BV$1173,COLUMN(付与!BV$1),FALSE),0)</f>
        <v>0</v>
      </c>
      <c r="AU390">
        <f>IF(ISNUMBER(SEARCH(SUBSTITUTE(AU$1,RIGHT(AU$1,2),""),VLOOKUP($D390,素材!$1:$1016,COLUMN($F$1),FALSE))),VLOOKUP($C390,装備品!$1:$998,COLUMN($O$1),FALSE)*VLOOKUP($D390,素材!$1:$1016,COLUMN($E$1),FALSE)/(LEN(VLOOKUP($D390,素材!$1:$1016,COLUMN($F$1),FALSE))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0)+IF($CI390&lt;&gt;"",VLOOKUP($CI390,付与!$A$1:BW$1173,COLUMN(付与!BW$1),FALSE),0)</f>
        <v>0</v>
      </c>
      <c r="AV390">
        <f>IF(ISNUMBER(SEARCH(SUBSTITUTE(AV$1,RIGHT(AV$1,2),""),VLOOKUP($D390,素材!$1:$1016,COLUMN($F$1),FALSE))),VLOOKUP($C390,装備品!$1:$998,COLUMN($O$1),FALSE)*VLOOKUP($D390,素材!$1:$1016,COLUMN($E$1),FALSE)/(LEN(VLOOKUP($D390,素材!$1:$1016,COLUMN($F$1),FALSE))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0)+IF($CI390&lt;&gt;"",VLOOKUP($CI390,付与!$A$1:BS$1173,COLUMN(付与!BS$1),FALSE),0)</f>
        <v>0</v>
      </c>
      <c r="AW390">
        <f>IF(ISNUMBER(SEARCH(SUBSTITUTE(AW$1,RIGHT(AW$1,2),""),VLOOKUP($D390,素材!$1:$1016,COLUMN($F$1),FALSE))),VLOOKUP($C390,装備品!$1:$998,COLUMN($O$1),FALSE)*VLOOKUP($D390,素材!$1:$1016,COLUMN($E$1),FALSE)/(LEN(VLOOKUP($D390,素材!$1:$1016,COLUMN($F$1),FALSE))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0)+IF($CI390&lt;&gt;"",VLOOKUP($CI390,付与!$A$1:BT$1173,COLUMN(付与!BT$1),FALSE),0)</f>
        <v>0</v>
      </c>
      <c r="AX390">
        <f>IF(ISNUMBER(SEARCH(SUBSTITUTE(AX$1,RIGHT(AX$1,2),""),VLOOKUP($D390,素材!$1:$1016,COLUMN($F$1),FALSE))),VLOOKUP($C390,装備品!$1:$998,COLUMN($O$1),FALSE)*VLOOKUP($D390,素材!$1:$1016,COLUMN($E$1),FALSE)/(LEN(VLOOKUP($D390,素材!$1:$1016,COLUMN($F$1),FALSE))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0)+IF($CI390&lt;&gt;"",VLOOKUP($CI390,付与!$A$1:BU$1173,COLUMN(付与!BU$1),FALSE),0)</f>
        <v>0</v>
      </c>
      <c r="AY390">
        <f>IF(ISNUMBER(SEARCH(SUBSTITUTE(AY$1,RIGHT(AY$1,2),""),VLOOKUP($D390,素材!$1:$1016,COLUMN($F$1),FALSE))),VLOOKUP($C390,装備品!$1:$998,COLUMN($O$1),FALSE)*VLOOKUP($D390,素材!$1:$1016,COLUMN($E$1),FALSE)/(LEN(VLOOKUP($D390,素材!$1:$1016,COLUMN($F$1),FALSE))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0)+IF($CI390&lt;&gt;"",VLOOKUP($CI390,付与!$A$1:BU$1173,COLUMN(付与!BO$1),FALSE),0)</f>
        <v>0</v>
      </c>
      <c r="AZ390">
        <f>IF(ISNUMBER(SEARCH(SUBSTITUTE(AZ$1,RIGHT(AZ$1,2),""),VLOOKUP($D390,素材!$1:$1016,COLUMN($F$1),FALSE))),VLOOKUP($C390,装備品!$1:$998,COLUMN($O$1),FALSE)*VLOOKUP($D390,素材!$1:$1016,COLUMN($E$1),FALSE)/(LEN(VLOOKUP($D390,素材!$1:$1016,COLUMN($F$1),FALSE))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0)+IF($CI390&lt;&gt;"",VLOOKUP($CI390,付与!$A$1:BX$1173,COLUMN(付与!BX$1),FALSE),0)</f>
        <v>0</v>
      </c>
      <c r="BA390">
        <f>IF(ISNUMBER(SEARCH(SUBSTITUTE(BA$1,RIGHT(BA$1,2),""),VLOOKUP($D390,素材!$1:$1016,COLUMN($F$1),FALSE))),VLOOKUP($C390,装備品!$1:$998,COLUMN($O$1),FALSE)*VLOOKUP($D390,素材!$1:$1016,COLUMN($E$1),FALSE)/(LEN(VLOOKUP($D390,素材!$1:$1016,COLUMN($F$1),FALSE))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0)+IF($CI390&lt;&gt;"",VLOOKUP($CI390,付与!$A$1:BY$1173,COLUMN(付与!BY$1),FALSE),0)</f>
        <v>0</v>
      </c>
      <c r="BB390">
        <f>IF(ISNUMBER(SEARCH(SUBSTITUTE(BB$1,RIGHT(BB$1,2),""),VLOOKUP($D390,素材!$1:$1016,COLUMN($F$1),FALSE))),VLOOKUP($C390,装備品!$1:$998,COLUMN($O$1),FALSE)*VLOOKUP($D390,素材!$1:$1016,COLUMN($E$1),FALSE)/(LEN(VLOOKUP($D390,素材!$1:$1016,COLUMN($F$1),FALSE))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0)+IF($CI390&lt;&gt;"",VLOOKUP($CI390,付与!$A$1:BZ$1173,COLUMN(付与!BZ$1),FALSE),0)</f>
        <v>0</v>
      </c>
      <c r="BC390">
        <f>IF(ISNUMBER(SEARCH(SUBSTITUTE(BC$1,RIGHT(BC$1,2),""),VLOOKUP($D390,素材!$1:$1016,COLUMN($F$1),FALSE))),VLOOKUP($C390,装備品!$1:$998,COLUMN($O$1),FALSE)*VLOOKUP($D390,素材!$1:$1016,COLUMN($E$1),FALSE)/(LEN(VLOOKUP($D390,素材!$1:$1016,COLUMN($F$1),FALSE))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0)+IF($CI390&lt;&gt;"",VLOOKUP($CI390,付与!$A$1:CA$1173,COLUMN(付与!CA$1),FALSE),0)</f>
        <v>0</v>
      </c>
      <c r="BD390">
        <f>IF(ISNUMBER(SEARCH(SUBSTITUTE(BD$1,RIGHT(BD$1,2),""),VLOOKUP($D390,素材!$1:$1016,COLUMN($F$1),FALSE))),VLOOKUP($C390,装備品!$1:$998,COLUMN($O$1),FALSE)*VLOOKUP($D390,素材!$1:$1016,COLUMN($E$1),FALSE)/(LEN(VLOOKUP($D390,素材!$1:$1016,COLUMN($F$1),FALSE))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0)+IF($CI390&lt;&gt;"",VLOOKUP($CI390,付与!$A$1:CB$1173,COLUMN(付与!CB$1),FALSE),0)</f>
        <v>0</v>
      </c>
      <c r="BE390">
        <f>IF(ISNUMBER(SEARCH(SUBSTITUTE(BE$1,RIGHT(BE$1,2),""),VLOOKUP($D390,素材!$1:$1016,COLUMN($F$1),FALSE))),VLOOKUP($C390,装備品!$1:$998,COLUMN($O$1),FALSE)*VLOOKUP($D390,素材!$1:$1016,COLUMN($E$1),FALSE)/(LEN(VLOOKUP($D390,素材!$1:$1016,COLUMN($F$1),FALSE))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0)+IF($CI390&lt;&gt;"",VLOOKUP($CI390,付与!$A$1:CC$1173,COLUMN(付与!CC$1),FALSE),0)</f>
        <v>0</v>
      </c>
      <c r="CL390">
        <f t="shared" si="59"/>
        <v>0</v>
      </c>
      <c r="CM390" s="22" t="str">
        <f t="shared" si="60"/>
        <v>.webp</v>
      </c>
      <c r="CN390" t="str">
        <f>IFERROR(VLOOKUP($C390,装備品!$1:$998,COLUMN(V$1),FALSE)*VLOOKUP($D390,素材!$1:$1016,COLUMN(N$1),FALSE)+IF(CI390="",0,VLOOKUP($CI390,付与!$1:$1176,COLUMN($CK$1),FALSE)),"")</f>
        <v/>
      </c>
      <c r="CO390" t="e">
        <f>VLOOKUP(D390,素材!$A:$O,COLUMN(素材!O$1),FALSE)</f>
        <v>#N/A</v>
      </c>
      <c r="CP390" t="e">
        <f>VLOOKUP(C390,装備品!$A:$AB,COLUMN(装備品!AB$1),FALSE)</f>
        <v>#N/A</v>
      </c>
      <c r="CR390" t="str">
        <f t="shared" si="54"/>
        <v>e_390</v>
      </c>
      <c r="CS390" t="e">
        <f t="shared" si="56"/>
        <v>#VALUE!</v>
      </c>
    </row>
    <row r="391" spans="2:97" x14ac:dyDescent="0.4">
      <c r="B391" t="str">
        <f>IFERROR(VLOOKUP($D391,素材!$1:$1016,COLUMN($B$1),FALSE)&amp;"・"&amp;VLOOKUP($C391,装備品!$1:$998,COLUMN(B$1),FALSE),"")</f>
        <v/>
      </c>
      <c r="D391" s="24"/>
      <c r="E391" t="str">
        <f>IFERROR(VLOOKUP(C391,装備品!$1:$998,COLUMN(C$1),FALSE),"")</f>
        <v/>
      </c>
      <c r="F391" t="str">
        <f>IFERROR(ROUNDDOWN((VLOOKUP($C391,装備品!$1:$998,COLUMN(D$1),FALSE)+IFERROR(VLOOKUP($CI391,付与!$1:$1167,COLUMN(F$1),FALSE),0))*VLOOKUP($D391,素材!$1:$1016,COLUMN(D$1),FALSE),0),"")</f>
        <v/>
      </c>
      <c r="G391" t="str">
        <f>IFERROR(ROUNDDOWN((VLOOKUP($C391,装備品!$1:$998,COLUMN(E$1),FALSE)+IFERROR(VLOOKUP($CI391,付与!$1:$1167,COLUMN(G$1),FALSE),0))*VLOOKUP($D391,素材!$1:$1016,COLUMN($E$1),FALSE),0),"")</f>
        <v/>
      </c>
      <c r="H391" t="str">
        <f>IFERROR(ROUNDDOWN((VLOOKUP($C391,装備品!$1:$998,COLUMN(F$1),FALSE)+IFERROR(VLOOKUP($CI391,付与!$1:$1167,COLUMN(H$1),FALSE),0))*VLOOKUP($D391,素材!$1:$1016,COLUMN($E$1),FALSE),0),"")</f>
        <v/>
      </c>
      <c r="I391" t="str">
        <f>IFERROR(ROUNDDOWN((VLOOKUP($C391,装備品!$1:$998,COLUMN(G$1),FALSE)+IFERROR(VLOOKUP($CI391,付与!$1:$1167,COLUMN(I$1),FALSE),0))*VLOOKUP($D391,素材!$1:$1016,COLUMN($E$1),FALSE),0),"")</f>
        <v/>
      </c>
      <c r="J391" t="str">
        <f>IFERROR(ROUNDDOWN((VLOOKUP($C391,装備品!$1:$998,COLUMN(H$1),FALSE)+IFERROR(VLOOKUP($CI391,付与!$1:$1167,COLUMN(J$1),FALSE),0))*VLOOKUP($D391,素材!$1:$1016,COLUMN($E$1),FALSE),0),"")</f>
        <v/>
      </c>
      <c r="K391" t="str">
        <f>IFERROR(ROUNDDOWN((VLOOKUP($C391,装備品!$1:$998,COLUMN(I$1),FALSE)+IFERROR(VLOOKUP($CI391,付与!$1:$1167,COLUMN(K$1),FALSE),0))*VLOOKUP($D391,素材!$1:$1016,COLUMN($E$1),FALSE),0),"")</f>
        <v/>
      </c>
      <c r="L391" t="str">
        <f>IFERROR(VLOOKUP($D391,素材!$1:$1016,COLUMN($F$1),FALSE),"")</f>
        <v/>
      </c>
      <c r="M391" t="str">
        <f>IFERROR(VLOOKUP($C391,装備品!$1:$998,COLUMN(AA$1),FALSE)*VLOOKUP($D391,素材!$1:$1016,COLUMN($G$1),FALSE),"")</f>
        <v/>
      </c>
      <c r="N391" t="str">
        <f>IFERROR(VLOOKUP($C391,装備品!$1:$998,COLUMN(I$1),FALSE),"")</f>
        <v/>
      </c>
      <c r="O391" s="23" t="str">
        <f>IFERROR((VLOOKUP($C391,装備品!$1:$998,COLUMN(K$1),FALSE)+VLOOKUP($D391,素材!$1:$1016,COLUMN(H$1),FALSE))*100+IFERROR(VLOOKUP($CI391,付与!$1:$1167,COLUMN(O$1),FALSE),0),"")</f>
        <v/>
      </c>
      <c r="P391" s="23" t="str">
        <f>IFERROR((VLOOKUP($C391,装備品!$1:$998,COLUMN(L$1),FALSE)+VLOOKUP($D391,素材!$1:$1016,COLUMN(I$1),FALSE))*100+IFERROR(VLOOKUP($CI391,付与!$1:$1167,COLUMN(P$1),FALSE),0),"")</f>
        <v/>
      </c>
      <c r="Q391" t="str">
        <f>IFERROR(ROUNDUP(VLOOKUP($C391,装備品!$1:$998,COLUMN(M$1),FALSE)*(VLOOKUP($D391,素材!$1:$1002,COLUMN(D$1),FALSE)/100),1),"")</f>
        <v/>
      </c>
      <c r="R391" t="str">
        <f>IFERROR(ROUNDUP(VLOOKUP($C391,装備品!$1:$998,COLUMN(N$1),FALSE)*(VLOOKUP($D391,素材!$1:$1002,COLUMN(D$1),FALSE)/100),1),"")</f>
        <v/>
      </c>
      <c r="S391" t="str">
        <f>IFERROR(VLOOKUP($C391,装備品!$1:$998,COLUMN(P$1),FALSE),"")</f>
        <v/>
      </c>
      <c r="T391" t="str">
        <f>IFERROR(VLOOKUP($C391,装備品!$1:$998,COLUMN(Q$1),FALSE),"")</f>
        <v/>
      </c>
      <c r="U391" t="str">
        <f>IFERROR(VLOOKUP($C391,装備品!$1:$998,COLUMN(R$1),FALSE),"")</f>
        <v/>
      </c>
      <c r="V391" t="str">
        <f>IFERROR(VLOOKUP($C391,装備品!$1:$998,COLUMN(Q$1),FALSE),"")</f>
        <v/>
      </c>
      <c r="W391" t="str">
        <f>IFERROR(VLOOKUP($C391,装備品!$1:$998,COLUMN(T$1),FALSE),"")</f>
        <v/>
      </c>
      <c r="Y391" t="str">
        <f>IFERROR(VLOOKUP($C391,装備品!$1:$998,COLUMN(U$1),FALSE),"")</f>
        <v/>
      </c>
      <c r="Z391" t="str">
        <f>IFERROR(ROUNDUP(VLOOKUP($C391,装備品!$1:$998,COLUMN(O$1),FALSE)*VLOOKUP($D391,素材!$1:$1016,COLUMN(E$1),FALSE),1),"")</f>
        <v/>
      </c>
      <c r="AA391">
        <f>IF(ISNUMBER(SEARCH(SUBSTITUTE(AA$1,RIGHT(AA$1,2),""),VLOOKUP($D391,素材!$1:$1016,COLUMN($F$1),FALSE))),VLOOKUP($C391,装備品!$1:$998,COLUMN($O$1),FALSE)*VLOOKUP($D391,素材!$1:$1016,COLUMN($E$1),FALSE)/(LEN(VLOOKUP($D391,素材!$1:$1016,COLUMN($F$1),FALSE))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</f>
        <v>0</v>
      </c>
      <c r="AB391">
        <f>IF(ISNUMBER(SEARCH(SUBSTITUTE(AB$1,RIGHT(AB$1,2),""),VLOOKUP($D391,素材!$1:$1016,COLUMN($F$1),FALSE))),VLOOKUP($C391,装備品!$1:$998,COLUMN($O$1),FALSE)*VLOOKUP($D391,素材!$1:$1016,COLUMN($E$1),FALSE)/(LEN(VLOOKUP($D391,素材!$1:$1016,COLUMN($F$1),FALSE))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</f>
        <v>0</v>
      </c>
      <c r="AC391">
        <f>IF(ISNUMBER(SEARCH(SUBSTITUTE(AC$1,RIGHT(AC$1,2),""),VLOOKUP($D391,素材!$1:$1016,COLUMN($F$1),FALSE))),VLOOKUP($C391,装備品!$1:$998,COLUMN($O$1),FALSE)*VLOOKUP($D391,素材!$1:$1016,COLUMN($E$1),FALSE)/(LEN(VLOOKUP($D391,素材!$1:$1016,COLUMN($F$1),FALSE))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</f>
        <v>0</v>
      </c>
      <c r="AD391">
        <f>IF(ISNUMBER(SEARCH(SUBSTITUTE(AD$1,RIGHT(AD$1,2),""),VLOOKUP($D391,素材!$1:$1016,COLUMN($F$1),FALSE))),VLOOKUP($C391,装備品!$1:$998,COLUMN($O$1),FALSE)*VLOOKUP($D391,素材!$1:$1016,COLUMN($E$1),FALSE)/(LEN(VLOOKUP($D391,素材!$1:$1016,COLUMN($F$1),FALSE))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</f>
        <v>0</v>
      </c>
      <c r="AE391">
        <f>IF(ISNUMBER(SEARCH(SUBSTITUTE(AE$1,RIGHT(AE$1,2),""),VLOOKUP($D391,素材!$1:$1016,COLUMN($F$1),FALSE))),VLOOKUP($C391,装備品!$1:$998,COLUMN($O$1),FALSE)*VLOOKUP($D391,素材!$1:$1016,COLUMN($E$1),FALSE)/(LEN(VLOOKUP($D391,素材!$1:$1016,COLUMN($F$1),FALSE))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0)+IF($CI391&lt;&gt;"",VLOOKUP($CI391,付与!$A$1:BB$1173,COLUMN(付与!BB$1),FALSE),0)</f>
        <v>0</v>
      </c>
      <c r="AF391">
        <f>IF(ISNUMBER(SEARCH(SUBSTITUTE(AF$1,RIGHT(AF$1,2),""),VLOOKUP($D391,素材!$1:$1016,COLUMN($F$1),FALSE))),VLOOKUP($C391,装備品!$1:$998,COLUMN($O$1),FALSE)*VLOOKUP($D391,素材!$1:$1016,COLUMN($E$1),FALSE)/(LEN(VLOOKUP($D391,素材!$1:$1016,COLUMN($F$1),FALSE))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0)+IF($CI391&lt;&gt;"",VLOOKUP($CI391,付与!$A$1:BC$1173,COLUMN(付与!BC$1),FALSE),0)</f>
        <v>0</v>
      </c>
      <c r="AG391">
        <f>IF(ISNUMBER(SEARCH(SUBSTITUTE(AG$1,RIGHT(AG$1,2),""),VLOOKUP($D391,素材!$1:$1016,COLUMN($F$1),FALSE))),VLOOKUP($C391,装備品!$1:$998,COLUMN($O$1),FALSE)*VLOOKUP($D391,素材!$1:$1016,COLUMN($E$1),FALSE)/(LEN(VLOOKUP($D391,素材!$1:$1016,COLUMN($F$1),FALSE))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0)+IF($CI391&lt;&gt;"",VLOOKUP($CI391,付与!$A$1:BD$1173,COLUMN(付与!BD$1),FALSE),0)</f>
        <v>0</v>
      </c>
      <c r="AH391">
        <f>IF(ISNUMBER(SEARCH(SUBSTITUTE(AH$1,RIGHT(AH$1,2),""),VLOOKUP($D391,素材!$1:$1016,COLUMN($F$1),FALSE))),VLOOKUP($C391,装備品!$1:$998,COLUMN($O$1),FALSE)*VLOOKUP($D391,素材!$1:$1016,COLUMN($E$1),FALSE)/(LEN(VLOOKUP($D391,素材!$1:$1016,COLUMN($F$1),FALSE))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0)+IF($CI391&lt;&gt;"",VLOOKUP($CI391,付与!$A$1:BE$1173,COLUMN(付与!BE$1),FALSE),0)</f>
        <v>0</v>
      </c>
      <c r="AI391">
        <f>IF(ISNUMBER(SEARCH(SUBSTITUTE(AI$1,RIGHT(AI$1,2),""),VLOOKUP($D391,素材!$1:$1016,COLUMN($F$1),FALSE))),VLOOKUP($C391,装備品!$1:$998,COLUMN($O$1),FALSE)*VLOOKUP($D391,素材!$1:$1016,COLUMN($E$1),FALSE)/(LEN(VLOOKUP($D391,素材!$1:$1016,COLUMN($F$1),FALSE))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0)+IF($CI391&lt;&gt;"",VLOOKUP($CI391,付与!$A$1:BF$1173,COLUMN(付与!BF$1),FALSE),0)</f>
        <v>0</v>
      </c>
      <c r="AJ391">
        <f>IF(ISNUMBER(SEARCH(SUBSTITUTE(AJ$1,RIGHT(AJ$1,2),""),VLOOKUP($D391,素材!$1:$1016,COLUMN($F$1),FALSE))),VLOOKUP($C391,装備品!$1:$998,COLUMN($O$1),FALSE)*VLOOKUP($D391,素材!$1:$1016,COLUMN($E$1),FALSE)/(LEN(VLOOKUP($D391,素材!$1:$1016,COLUMN($F$1),FALSE))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0)+IF($CI391&lt;&gt;"",VLOOKUP($CI391,付与!$A$1:BG$1173,COLUMN(付与!BG$1),FALSE),0)</f>
        <v>0</v>
      </c>
      <c r="AK391">
        <f>IF(ISNUMBER(SEARCH(SUBSTITUTE(AK$1,RIGHT(AK$1,2),""),VLOOKUP($D391,素材!$1:$1016,COLUMN($F$1),FALSE))),VLOOKUP($C391,装備品!$1:$998,COLUMN($O$1),FALSE)*VLOOKUP($D391,素材!$1:$1016,COLUMN($E$1),FALSE)/(LEN(VLOOKUP($D391,素材!$1:$1016,COLUMN($F$1),FALSE))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0)+IF($CI391&lt;&gt;"",VLOOKUP($CI391,付与!$A$1:BH$1173,COLUMN(付与!BH$1),FALSE),0)</f>
        <v>0</v>
      </c>
      <c r="AL391">
        <f>IF(ISNUMBER(SEARCH(SUBSTITUTE(AL$1,RIGHT(AL$1,2),""),VLOOKUP($D391,素材!$1:$1016,COLUMN($F$1),FALSE))),VLOOKUP($C391,装備品!$1:$998,COLUMN($O$1),FALSE)*VLOOKUP($D391,素材!$1:$1016,COLUMN($E$1),FALSE)/(LEN(VLOOKUP($D391,素材!$1:$1016,COLUMN($F$1),FALSE))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0)+IF($CI391&lt;&gt;"",VLOOKUP($CI391,付与!$A$1:BI$1173,COLUMN(付与!BI$1),FALSE),0)</f>
        <v>0</v>
      </c>
      <c r="AM391">
        <f>IF(ISNUMBER(SEARCH(SUBSTITUTE(AM$1,RIGHT(AM$1,2),""),VLOOKUP($D391,素材!$1:$1016,COLUMN($F$1),FALSE))),VLOOKUP($C391,装備品!$1:$998,COLUMN($O$1),FALSE)*VLOOKUP($D391,素材!$1:$1016,COLUMN($E$1),FALSE)/(LEN(VLOOKUP($D391,素材!$1:$1016,COLUMN($F$1),FALSE))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0)+IF($CI391&lt;&gt;"",VLOOKUP($CI391,付与!$A$1:BJ$1173,COLUMN(付与!BJ$1),FALSE),0)</f>
        <v>0</v>
      </c>
      <c r="AN391">
        <f>IF(ISNUMBER(SEARCH(SUBSTITUTE(AN$1,RIGHT(AN$1,2),""),VLOOKUP($D391,素材!$1:$1016,COLUMN($F$1),FALSE))),VLOOKUP($C391,装備品!$1:$998,COLUMN($O$1),FALSE)*VLOOKUP($D391,素材!$1:$1016,COLUMN($E$1),FALSE)/(LEN(VLOOKUP($D391,素材!$1:$1016,COLUMN($F$1),FALSE))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0)+IF($CI391&lt;&gt;"",VLOOKUP($CI391,付与!$A$1:BK$1173,COLUMN(付与!BK$1),FALSE),0)</f>
        <v>0</v>
      </c>
      <c r="AO391">
        <f>IF(ISNUMBER(SEARCH(SUBSTITUTE(AO$1,RIGHT(AO$1,2),""),VLOOKUP($D391,素材!$1:$1016,COLUMN($F$1),FALSE))),VLOOKUP($C391,装備品!$1:$998,COLUMN($O$1),FALSE)*VLOOKUP($D391,素材!$1:$1016,COLUMN($E$1),FALSE)/(LEN(VLOOKUP($D391,素材!$1:$1016,COLUMN($F$1),FALSE))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0)+IF($CI391&lt;&gt;"",VLOOKUP($CI391,付与!$A$1:BM$1173,COLUMN(付与!BM$1),FALSE),0)</f>
        <v>0</v>
      </c>
      <c r="AP391">
        <f>IF(ISNUMBER(SEARCH(SUBSTITUTE(AP$1,RIGHT(AP$1,2),""),VLOOKUP($D391,素材!$1:$1016,COLUMN($F$1),FALSE))),VLOOKUP($C391,装備品!$1:$998,COLUMN($O$1),FALSE)*VLOOKUP($D391,素材!$1:$1016,COLUMN($E$1),FALSE)/(LEN(VLOOKUP($D391,素材!$1:$1016,COLUMN($F$1),FALSE))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0)+IF($CI391&lt;&gt;"",VLOOKUP($CI391,付与!$A$1:BN$1173,COLUMN(付与!BN$1),FALSE),0)</f>
        <v>0</v>
      </c>
      <c r="AQ391">
        <f>IF(ISNUMBER(SEARCH(SUBSTITUTE(AQ$1,RIGHT(AQ$1,2),""),VLOOKUP($D391,素材!$1:$1016,COLUMN($F$1),FALSE))),VLOOKUP($C391,装備品!$1:$998,COLUMN($O$1),FALSE)*VLOOKUP($D391,素材!$1:$1016,COLUMN($E$1),FALSE)/(LEN(VLOOKUP($D391,素材!$1:$1016,COLUMN($F$1),FALSE))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0)+IF($CI391&lt;&gt;"",VLOOKUP($CI391,付与!$A$1:BP$1173,COLUMN(付与!BP$1),FALSE),0)</f>
        <v>0</v>
      </c>
      <c r="AR391">
        <f>IF(ISNUMBER(SEARCH(SUBSTITUTE(AR$1,RIGHT(AR$1,2),""),VLOOKUP($D391,素材!$1:$1016,COLUMN($F$1),FALSE))),VLOOKUP($C391,装備品!$1:$998,COLUMN($O$1),FALSE)*VLOOKUP($D391,素材!$1:$1016,COLUMN($E$1),FALSE)/(LEN(VLOOKUP($D391,素材!$1:$1016,COLUMN($F$1),FALSE))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0)+IF($CI391&lt;&gt;"",VLOOKUP($CI391,付与!$A$1:BQ$1173,COLUMN(付与!BQ$1),FALSE),0)</f>
        <v>0</v>
      </c>
      <c r="AS391">
        <f>IF(ISNUMBER(SEARCH(SUBSTITUTE(AS$1,RIGHT(AS$1,2),""),VLOOKUP($D391,素材!$1:$1016,COLUMN($F$1),FALSE))),VLOOKUP($C391,装備品!$1:$998,COLUMN($O$1),FALSE)*VLOOKUP($D391,素材!$1:$1016,COLUMN($E$1),FALSE)/(LEN(VLOOKUP($D391,素材!$1:$1016,COLUMN($F$1),FALSE))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0)+IF($CI391&lt;&gt;"",VLOOKUP($CI391,付与!$A$1:BR$1173,COLUMN(付与!BR$1),FALSE),0)</f>
        <v>0</v>
      </c>
      <c r="AT391">
        <f>IF(ISNUMBER(SEARCH(SUBSTITUTE(AT$1,RIGHT(AT$1,2),""),VLOOKUP($D391,素材!$1:$1016,COLUMN($F$1),FALSE))),VLOOKUP($C391,装備品!$1:$998,COLUMN($O$1),FALSE)*VLOOKUP($D391,素材!$1:$1016,COLUMN($E$1),FALSE)/(LEN(VLOOKUP($D391,素材!$1:$1016,COLUMN($F$1),FALSE))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0)+IF($CI391&lt;&gt;"",VLOOKUP($CI391,付与!$A$1:BV$1173,COLUMN(付与!BV$1),FALSE),0)</f>
        <v>0</v>
      </c>
      <c r="AU391">
        <f>IF(ISNUMBER(SEARCH(SUBSTITUTE(AU$1,RIGHT(AU$1,2),""),VLOOKUP($D391,素材!$1:$1016,COLUMN($F$1),FALSE))),VLOOKUP($C391,装備品!$1:$998,COLUMN($O$1),FALSE)*VLOOKUP($D391,素材!$1:$1016,COLUMN($E$1),FALSE)/(LEN(VLOOKUP($D391,素材!$1:$1016,COLUMN($F$1),FALSE))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0)+IF($CI391&lt;&gt;"",VLOOKUP($CI391,付与!$A$1:BW$1173,COLUMN(付与!BW$1),FALSE),0)</f>
        <v>0</v>
      </c>
      <c r="AV391">
        <f>IF(ISNUMBER(SEARCH(SUBSTITUTE(AV$1,RIGHT(AV$1,2),""),VLOOKUP($D391,素材!$1:$1016,COLUMN($F$1),FALSE))),VLOOKUP($C391,装備品!$1:$998,COLUMN($O$1),FALSE)*VLOOKUP($D391,素材!$1:$1016,COLUMN($E$1),FALSE)/(LEN(VLOOKUP($D391,素材!$1:$1016,COLUMN($F$1),FALSE))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0)+IF($CI391&lt;&gt;"",VLOOKUP($CI391,付与!$A$1:BS$1173,COLUMN(付与!BS$1),FALSE),0)</f>
        <v>0</v>
      </c>
      <c r="AW391">
        <f>IF(ISNUMBER(SEARCH(SUBSTITUTE(AW$1,RIGHT(AW$1,2),""),VLOOKUP($D391,素材!$1:$1016,COLUMN($F$1),FALSE))),VLOOKUP($C391,装備品!$1:$998,COLUMN($O$1),FALSE)*VLOOKUP($D391,素材!$1:$1016,COLUMN($E$1),FALSE)/(LEN(VLOOKUP($D391,素材!$1:$1016,COLUMN($F$1),FALSE))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0)+IF($CI391&lt;&gt;"",VLOOKUP($CI391,付与!$A$1:BT$1173,COLUMN(付与!BT$1),FALSE),0)</f>
        <v>0</v>
      </c>
      <c r="AX391">
        <f>IF(ISNUMBER(SEARCH(SUBSTITUTE(AX$1,RIGHT(AX$1,2),""),VLOOKUP($D391,素材!$1:$1016,COLUMN($F$1),FALSE))),VLOOKUP($C391,装備品!$1:$998,COLUMN($O$1),FALSE)*VLOOKUP($D391,素材!$1:$1016,COLUMN($E$1),FALSE)/(LEN(VLOOKUP($D391,素材!$1:$1016,COLUMN($F$1),FALSE))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0)+IF($CI391&lt;&gt;"",VLOOKUP($CI391,付与!$A$1:BU$1173,COLUMN(付与!BU$1),FALSE),0)</f>
        <v>0</v>
      </c>
      <c r="AY391">
        <f>IF(ISNUMBER(SEARCH(SUBSTITUTE(AY$1,RIGHT(AY$1,2),""),VLOOKUP($D391,素材!$1:$1016,COLUMN($F$1),FALSE))),VLOOKUP($C391,装備品!$1:$998,COLUMN($O$1),FALSE)*VLOOKUP($D391,素材!$1:$1016,COLUMN($E$1),FALSE)/(LEN(VLOOKUP($D391,素材!$1:$1016,COLUMN($F$1),FALSE))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0)+IF($CI391&lt;&gt;"",VLOOKUP($CI391,付与!$A$1:BU$1173,COLUMN(付与!BO$1),FALSE),0)</f>
        <v>0</v>
      </c>
      <c r="AZ391">
        <f>IF(ISNUMBER(SEARCH(SUBSTITUTE(AZ$1,RIGHT(AZ$1,2),""),VLOOKUP($D391,素材!$1:$1016,COLUMN($F$1),FALSE))),VLOOKUP($C391,装備品!$1:$998,COLUMN($O$1),FALSE)*VLOOKUP($D391,素材!$1:$1016,COLUMN($E$1),FALSE)/(LEN(VLOOKUP($D391,素材!$1:$1016,COLUMN($F$1),FALSE))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0)+IF($CI391&lt;&gt;"",VLOOKUP($CI391,付与!$A$1:BX$1173,COLUMN(付与!BX$1),FALSE),0)</f>
        <v>0</v>
      </c>
      <c r="BA391">
        <f>IF(ISNUMBER(SEARCH(SUBSTITUTE(BA$1,RIGHT(BA$1,2),""),VLOOKUP($D391,素材!$1:$1016,COLUMN($F$1),FALSE))),VLOOKUP($C391,装備品!$1:$998,COLUMN($O$1),FALSE)*VLOOKUP($D391,素材!$1:$1016,COLUMN($E$1),FALSE)/(LEN(VLOOKUP($D391,素材!$1:$1016,COLUMN($F$1),FALSE))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0)+IF($CI391&lt;&gt;"",VLOOKUP($CI391,付与!$A$1:BY$1173,COLUMN(付与!BY$1),FALSE),0)</f>
        <v>0</v>
      </c>
      <c r="BB391">
        <f>IF(ISNUMBER(SEARCH(SUBSTITUTE(BB$1,RIGHT(BB$1,2),""),VLOOKUP($D391,素材!$1:$1016,COLUMN($F$1),FALSE))),VLOOKUP($C391,装備品!$1:$998,COLUMN($O$1),FALSE)*VLOOKUP($D391,素材!$1:$1016,COLUMN($E$1),FALSE)/(LEN(VLOOKUP($D391,素材!$1:$1016,COLUMN($F$1),FALSE))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0)+IF($CI391&lt;&gt;"",VLOOKUP($CI391,付与!$A$1:BZ$1173,COLUMN(付与!BZ$1),FALSE),0)</f>
        <v>0</v>
      </c>
      <c r="BC391">
        <f>IF(ISNUMBER(SEARCH(SUBSTITUTE(BC$1,RIGHT(BC$1,2),""),VLOOKUP($D391,素材!$1:$1016,COLUMN($F$1),FALSE))),VLOOKUP($C391,装備品!$1:$998,COLUMN($O$1),FALSE)*VLOOKUP($D391,素材!$1:$1016,COLUMN($E$1),FALSE)/(LEN(VLOOKUP($D391,素材!$1:$1016,COLUMN($F$1),FALSE))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0)+IF($CI391&lt;&gt;"",VLOOKUP($CI391,付与!$A$1:CA$1173,COLUMN(付与!CA$1),FALSE),0)</f>
        <v>0</v>
      </c>
      <c r="BD391">
        <f>IF(ISNUMBER(SEARCH(SUBSTITUTE(BD$1,RIGHT(BD$1,2),""),VLOOKUP($D391,素材!$1:$1016,COLUMN($F$1),FALSE))),VLOOKUP($C391,装備品!$1:$998,COLUMN($O$1),FALSE)*VLOOKUP($D391,素材!$1:$1016,COLUMN($E$1),FALSE)/(LEN(VLOOKUP($D391,素材!$1:$1016,COLUMN($F$1),FALSE))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0)+IF($CI391&lt;&gt;"",VLOOKUP($CI391,付与!$A$1:CB$1173,COLUMN(付与!CB$1),FALSE),0)</f>
        <v>0</v>
      </c>
      <c r="BE391">
        <f>IF(ISNUMBER(SEARCH(SUBSTITUTE(BE$1,RIGHT(BE$1,2),""),VLOOKUP($D391,素材!$1:$1016,COLUMN($F$1),FALSE))),VLOOKUP($C391,装備品!$1:$998,COLUMN($O$1),FALSE)*VLOOKUP($D391,素材!$1:$1016,COLUMN($E$1),FALSE)/(LEN(VLOOKUP($D391,素材!$1:$1016,COLUMN($F$1),FALSE))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0)+IF($CI391&lt;&gt;"",VLOOKUP($CI391,付与!$A$1:CC$1173,COLUMN(付与!CC$1),FALSE),0)</f>
        <v>0</v>
      </c>
      <c r="CL391">
        <f t="shared" si="59"/>
        <v>0</v>
      </c>
      <c r="CM391" s="22" t="str">
        <f t="shared" si="60"/>
        <v>.webp</v>
      </c>
      <c r="CN391" t="str">
        <f>IFERROR(VLOOKUP($C391,装備品!$1:$998,COLUMN(V$1),FALSE)*VLOOKUP($D391,素材!$1:$1016,COLUMN(N$1),FALSE)+IF(CI391="",0,VLOOKUP($CI391,付与!$1:$1176,COLUMN($CK$1),FALSE)),"")</f>
        <v/>
      </c>
      <c r="CO391" t="e">
        <f>VLOOKUP(D391,素材!$A:$O,COLUMN(素材!O$1),FALSE)</f>
        <v>#N/A</v>
      </c>
      <c r="CP391" t="e">
        <f>VLOOKUP(C391,装備品!$A:$AB,COLUMN(装備品!AB$1),FALSE)</f>
        <v>#N/A</v>
      </c>
      <c r="CR391" t="str">
        <f t="shared" si="54"/>
        <v>e_391</v>
      </c>
      <c r="CS391" t="e">
        <f t="shared" si="56"/>
        <v>#VALUE!</v>
      </c>
    </row>
    <row r="392" spans="2:97" x14ac:dyDescent="0.4">
      <c r="B392" t="str">
        <f>IFERROR(VLOOKUP($D392,素材!$1:$1016,COLUMN($B$1),FALSE)&amp;"・"&amp;VLOOKUP($C392,装備品!$1:$998,COLUMN(B$1),FALSE),"")</f>
        <v/>
      </c>
      <c r="D392" s="24"/>
      <c r="E392" t="str">
        <f>IFERROR(VLOOKUP(C392,装備品!$1:$998,COLUMN(C$1),FALSE),"")</f>
        <v/>
      </c>
      <c r="F392" t="str">
        <f>IFERROR(ROUNDDOWN((VLOOKUP($C392,装備品!$1:$998,COLUMN(D$1),FALSE)+IFERROR(VLOOKUP($CI392,付与!$1:$1167,COLUMN(F$1),FALSE),0))*VLOOKUP($D392,素材!$1:$1016,COLUMN(D$1),FALSE),0),"")</f>
        <v/>
      </c>
      <c r="G392" t="str">
        <f>IFERROR(ROUNDDOWN((VLOOKUP($C392,装備品!$1:$998,COLUMN(E$1),FALSE)+IFERROR(VLOOKUP($CI392,付与!$1:$1167,COLUMN(G$1),FALSE),0))*VLOOKUP($D392,素材!$1:$1016,COLUMN($E$1),FALSE),0),"")</f>
        <v/>
      </c>
      <c r="H392" t="str">
        <f>IFERROR(ROUNDDOWN((VLOOKUP($C392,装備品!$1:$998,COLUMN(F$1),FALSE)+IFERROR(VLOOKUP($CI392,付与!$1:$1167,COLUMN(H$1),FALSE),0))*VLOOKUP($D392,素材!$1:$1016,COLUMN($E$1),FALSE),0),"")</f>
        <v/>
      </c>
      <c r="I392" t="str">
        <f>IFERROR(ROUNDDOWN((VLOOKUP($C392,装備品!$1:$998,COLUMN(G$1),FALSE)+IFERROR(VLOOKUP($CI392,付与!$1:$1167,COLUMN(I$1),FALSE),0))*VLOOKUP($D392,素材!$1:$1016,COLUMN($E$1),FALSE),0),"")</f>
        <v/>
      </c>
      <c r="J392" t="str">
        <f>IFERROR(ROUNDDOWN((VLOOKUP($C392,装備品!$1:$998,COLUMN(H$1),FALSE)+IFERROR(VLOOKUP($CI392,付与!$1:$1167,COLUMN(J$1),FALSE),0))*VLOOKUP($D392,素材!$1:$1016,COLUMN($E$1),FALSE),0),"")</f>
        <v/>
      </c>
      <c r="K392" t="str">
        <f>IFERROR(ROUNDDOWN((VLOOKUP($C392,装備品!$1:$998,COLUMN(I$1),FALSE)+IFERROR(VLOOKUP($CI392,付与!$1:$1167,COLUMN(K$1),FALSE),0))*VLOOKUP($D392,素材!$1:$1016,COLUMN($E$1),FALSE),0),"")</f>
        <v/>
      </c>
      <c r="L392" t="str">
        <f>IFERROR(VLOOKUP($D392,素材!$1:$1016,COLUMN($F$1),FALSE),"")</f>
        <v/>
      </c>
      <c r="M392" t="str">
        <f>IFERROR(VLOOKUP($C392,装備品!$1:$998,COLUMN(AA$1),FALSE)*VLOOKUP($D392,素材!$1:$1016,COLUMN($G$1),FALSE),"")</f>
        <v/>
      </c>
      <c r="N392" t="str">
        <f>IFERROR(VLOOKUP($C392,装備品!$1:$998,COLUMN(I$1),FALSE),"")</f>
        <v/>
      </c>
      <c r="O392" s="23" t="str">
        <f>IFERROR((VLOOKUP($C392,装備品!$1:$998,COLUMN(K$1),FALSE)+VLOOKUP($D392,素材!$1:$1016,COLUMN(H$1),FALSE))*100+IFERROR(VLOOKUP($CI392,付与!$1:$1167,COLUMN(O$1),FALSE),0),"")</f>
        <v/>
      </c>
      <c r="P392" s="23" t="str">
        <f>IFERROR((VLOOKUP($C392,装備品!$1:$998,COLUMN(L$1),FALSE)+VLOOKUP($D392,素材!$1:$1016,COLUMN(I$1),FALSE))*100+IFERROR(VLOOKUP($CI392,付与!$1:$1167,COLUMN(P$1),FALSE),0),"")</f>
        <v/>
      </c>
      <c r="Q392" t="str">
        <f>IFERROR(ROUNDUP(VLOOKUP($C392,装備品!$1:$998,COLUMN(M$1),FALSE)*(VLOOKUP($D392,素材!$1:$1002,COLUMN(D$1),FALSE)/100),1),"")</f>
        <v/>
      </c>
      <c r="R392" t="str">
        <f>IFERROR(ROUNDUP(VLOOKUP($C392,装備品!$1:$998,COLUMN(N$1),FALSE)*(VLOOKUP($D392,素材!$1:$1002,COLUMN(D$1),FALSE)/100),1),"")</f>
        <v/>
      </c>
      <c r="S392" t="str">
        <f>IFERROR(VLOOKUP($C392,装備品!$1:$998,COLUMN(P$1),FALSE),"")</f>
        <v/>
      </c>
      <c r="T392" t="str">
        <f>IFERROR(VLOOKUP($C392,装備品!$1:$998,COLUMN(Q$1),FALSE),"")</f>
        <v/>
      </c>
      <c r="U392" t="str">
        <f>IFERROR(VLOOKUP($C392,装備品!$1:$998,COLUMN(R$1),FALSE),"")</f>
        <v/>
      </c>
      <c r="V392" t="str">
        <f>IFERROR(VLOOKUP($C392,装備品!$1:$998,COLUMN(Q$1),FALSE),"")</f>
        <v/>
      </c>
      <c r="W392" t="str">
        <f>IFERROR(VLOOKUP($C392,装備品!$1:$998,COLUMN(T$1),FALSE),"")</f>
        <v/>
      </c>
      <c r="Y392" t="str">
        <f>IFERROR(VLOOKUP($C392,装備品!$1:$998,COLUMN(U$1),FALSE),"")</f>
        <v/>
      </c>
      <c r="Z392" t="str">
        <f>IFERROR(ROUNDUP(VLOOKUP($C392,装備品!$1:$998,COLUMN(O$1),FALSE)*VLOOKUP($D392,素材!$1:$1016,COLUMN(E$1),FALSE),1),"")</f>
        <v/>
      </c>
      <c r="AA392">
        <f>IF(ISNUMBER(SEARCH(SUBSTITUTE(AA$1,RIGHT(AA$1,2),""),VLOOKUP($D392,素材!$1:$1016,COLUMN($F$1),FALSE))),VLOOKUP($C392,装備品!$1:$998,COLUMN($O$1),FALSE)*VLOOKUP($D392,素材!$1:$1016,COLUMN($E$1),FALSE)/(LEN(VLOOKUP($D392,素材!$1:$1016,COLUMN($F$1),FALSE))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</f>
        <v>0</v>
      </c>
      <c r="AB392">
        <f>IF(ISNUMBER(SEARCH(SUBSTITUTE(AB$1,RIGHT(AB$1,2),""),VLOOKUP($D392,素材!$1:$1016,COLUMN($F$1),FALSE))),VLOOKUP($C392,装備品!$1:$998,COLUMN($O$1),FALSE)*VLOOKUP($D392,素材!$1:$1016,COLUMN($E$1),FALSE)/(LEN(VLOOKUP($D392,素材!$1:$1016,COLUMN($F$1),FALSE))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</f>
        <v>0</v>
      </c>
      <c r="AC392">
        <f>IF(ISNUMBER(SEARCH(SUBSTITUTE(AC$1,RIGHT(AC$1,2),""),VLOOKUP($D392,素材!$1:$1016,COLUMN($F$1),FALSE))),VLOOKUP($C392,装備品!$1:$998,COLUMN($O$1),FALSE)*VLOOKUP($D392,素材!$1:$1016,COLUMN($E$1),FALSE)/(LEN(VLOOKUP($D392,素材!$1:$1016,COLUMN($F$1),FALSE))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</f>
        <v>0</v>
      </c>
      <c r="AD392">
        <f>IF(ISNUMBER(SEARCH(SUBSTITUTE(AD$1,RIGHT(AD$1,2),""),VLOOKUP($D392,素材!$1:$1016,COLUMN($F$1),FALSE))),VLOOKUP($C392,装備品!$1:$998,COLUMN($O$1),FALSE)*VLOOKUP($D392,素材!$1:$1016,COLUMN($E$1),FALSE)/(LEN(VLOOKUP($D392,素材!$1:$1016,COLUMN($F$1),FALSE))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</f>
        <v>0</v>
      </c>
      <c r="AE392">
        <f>IF(ISNUMBER(SEARCH(SUBSTITUTE(AE$1,RIGHT(AE$1,2),""),VLOOKUP($D392,素材!$1:$1016,COLUMN($F$1),FALSE))),VLOOKUP($C392,装備品!$1:$998,COLUMN($O$1),FALSE)*VLOOKUP($D392,素材!$1:$1016,COLUMN($E$1),FALSE)/(LEN(VLOOKUP($D392,素材!$1:$1016,COLUMN($F$1),FALSE))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0)+IF($CI392&lt;&gt;"",VLOOKUP($CI392,付与!$A$1:BB$1173,COLUMN(付与!BB$1),FALSE),0)</f>
        <v>0</v>
      </c>
      <c r="AF392">
        <f>IF(ISNUMBER(SEARCH(SUBSTITUTE(AF$1,RIGHT(AF$1,2),""),VLOOKUP($D392,素材!$1:$1016,COLUMN($F$1),FALSE))),VLOOKUP($C392,装備品!$1:$998,COLUMN($O$1),FALSE)*VLOOKUP($D392,素材!$1:$1016,COLUMN($E$1),FALSE)/(LEN(VLOOKUP($D392,素材!$1:$1016,COLUMN($F$1),FALSE))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0)+IF($CI392&lt;&gt;"",VLOOKUP($CI392,付与!$A$1:BC$1173,COLUMN(付与!BC$1),FALSE),0)</f>
        <v>0</v>
      </c>
      <c r="AG392">
        <f>IF(ISNUMBER(SEARCH(SUBSTITUTE(AG$1,RIGHT(AG$1,2),""),VLOOKUP($D392,素材!$1:$1016,COLUMN($F$1),FALSE))),VLOOKUP($C392,装備品!$1:$998,COLUMN($O$1),FALSE)*VLOOKUP($D392,素材!$1:$1016,COLUMN($E$1),FALSE)/(LEN(VLOOKUP($D392,素材!$1:$1016,COLUMN($F$1),FALSE))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0)+IF($CI392&lt;&gt;"",VLOOKUP($CI392,付与!$A$1:BD$1173,COLUMN(付与!BD$1),FALSE),0)</f>
        <v>0</v>
      </c>
      <c r="AH392">
        <f>IF(ISNUMBER(SEARCH(SUBSTITUTE(AH$1,RIGHT(AH$1,2),""),VLOOKUP($D392,素材!$1:$1016,COLUMN($F$1),FALSE))),VLOOKUP($C392,装備品!$1:$998,COLUMN($O$1),FALSE)*VLOOKUP($D392,素材!$1:$1016,COLUMN($E$1),FALSE)/(LEN(VLOOKUP($D392,素材!$1:$1016,COLUMN($F$1),FALSE))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0)+IF($CI392&lt;&gt;"",VLOOKUP($CI392,付与!$A$1:BE$1173,COLUMN(付与!BE$1),FALSE),0)</f>
        <v>0</v>
      </c>
      <c r="AI392">
        <f>IF(ISNUMBER(SEARCH(SUBSTITUTE(AI$1,RIGHT(AI$1,2),""),VLOOKUP($D392,素材!$1:$1016,COLUMN($F$1),FALSE))),VLOOKUP($C392,装備品!$1:$998,COLUMN($O$1),FALSE)*VLOOKUP($D392,素材!$1:$1016,COLUMN($E$1),FALSE)/(LEN(VLOOKUP($D392,素材!$1:$1016,COLUMN($F$1),FALSE))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0)+IF($CI392&lt;&gt;"",VLOOKUP($CI392,付与!$A$1:BF$1173,COLUMN(付与!BF$1),FALSE),0)</f>
        <v>0</v>
      </c>
      <c r="AJ392">
        <f>IF(ISNUMBER(SEARCH(SUBSTITUTE(AJ$1,RIGHT(AJ$1,2),""),VLOOKUP($D392,素材!$1:$1016,COLUMN($F$1),FALSE))),VLOOKUP($C392,装備品!$1:$998,COLUMN($O$1),FALSE)*VLOOKUP($D392,素材!$1:$1016,COLUMN($E$1),FALSE)/(LEN(VLOOKUP($D392,素材!$1:$1016,COLUMN($F$1),FALSE))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0)+IF($CI392&lt;&gt;"",VLOOKUP($CI392,付与!$A$1:BG$1173,COLUMN(付与!BG$1),FALSE),0)</f>
        <v>0</v>
      </c>
      <c r="AK392">
        <f>IF(ISNUMBER(SEARCH(SUBSTITUTE(AK$1,RIGHT(AK$1,2),""),VLOOKUP($D392,素材!$1:$1016,COLUMN($F$1),FALSE))),VLOOKUP($C392,装備品!$1:$998,COLUMN($O$1),FALSE)*VLOOKUP($D392,素材!$1:$1016,COLUMN($E$1),FALSE)/(LEN(VLOOKUP($D392,素材!$1:$1016,COLUMN($F$1),FALSE))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0)+IF($CI392&lt;&gt;"",VLOOKUP($CI392,付与!$A$1:BH$1173,COLUMN(付与!BH$1),FALSE),0)</f>
        <v>0</v>
      </c>
      <c r="AL392">
        <f>IF(ISNUMBER(SEARCH(SUBSTITUTE(AL$1,RIGHT(AL$1,2),""),VLOOKUP($D392,素材!$1:$1016,COLUMN($F$1),FALSE))),VLOOKUP($C392,装備品!$1:$998,COLUMN($O$1),FALSE)*VLOOKUP($D392,素材!$1:$1016,COLUMN($E$1),FALSE)/(LEN(VLOOKUP($D392,素材!$1:$1016,COLUMN($F$1),FALSE))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0)+IF($CI392&lt;&gt;"",VLOOKUP($CI392,付与!$A$1:BI$1173,COLUMN(付与!BI$1),FALSE),0)</f>
        <v>0</v>
      </c>
      <c r="AM392">
        <f>IF(ISNUMBER(SEARCH(SUBSTITUTE(AM$1,RIGHT(AM$1,2),""),VLOOKUP($D392,素材!$1:$1016,COLUMN($F$1),FALSE))),VLOOKUP($C392,装備品!$1:$998,COLUMN($O$1),FALSE)*VLOOKUP($D392,素材!$1:$1016,COLUMN($E$1),FALSE)/(LEN(VLOOKUP($D392,素材!$1:$1016,COLUMN($F$1),FALSE))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0)+IF($CI392&lt;&gt;"",VLOOKUP($CI392,付与!$A$1:BJ$1173,COLUMN(付与!BJ$1),FALSE),0)</f>
        <v>0</v>
      </c>
      <c r="AN392">
        <f>IF(ISNUMBER(SEARCH(SUBSTITUTE(AN$1,RIGHT(AN$1,2),""),VLOOKUP($D392,素材!$1:$1016,COLUMN($F$1),FALSE))),VLOOKUP($C392,装備品!$1:$998,COLUMN($O$1),FALSE)*VLOOKUP($D392,素材!$1:$1016,COLUMN($E$1),FALSE)/(LEN(VLOOKUP($D392,素材!$1:$1016,COLUMN($F$1),FALSE))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0)+IF($CI392&lt;&gt;"",VLOOKUP($CI392,付与!$A$1:BK$1173,COLUMN(付与!BK$1),FALSE),0)</f>
        <v>0</v>
      </c>
      <c r="AO392">
        <f>IF(ISNUMBER(SEARCH(SUBSTITUTE(AO$1,RIGHT(AO$1,2),""),VLOOKUP($D392,素材!$1:$1016,COLUMN($F$1),FALSE))),VLOOKUP($C392,装備品!$1:$998,COLUMN($O$1),FALSE)*VLOOKUP($D392,素材!$1:$1016,COLUMN($E$1),FALSE)/(LEN(VLOOKUP($D392,素材!$1:$1016,COLUMN($F$1),FALSE))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0)+IF($CI392&lt;&gt;"",VLOOKUP($CI392,付与!$A$1:BM$1173,COLUMN(付与!BM$1),FALSE),0)</f>
        <v>0</v>
      </c>
      <c r="AP392">
        <f>IF(ISNUMBER(SEARCH(SUBSTITUTE(AP$1,RIGHT(AP$1,2),""),VLOOKUP($D392,素材!$1:$1016,COLUMN($F$1),FALSE))),VLOOKUP($C392,装備品!$1:$998,COLUMN($O$1),FALSE)*VLOOKUP($D392,素材!$1:$1016,COLUMN($E$1),FALSE)/(LEN(VLOOKUP($D392,素材!$1:$1016,COLUMN($F$1),FALSE))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0)+IF($CI392&lt;&gt;"",VLOOKUP($CI392,付与!$A$1:BN$1173,COLUMN(付与!BN$1),FALSE),0)</f>
        <v>0</v>
      </c>
      <c r="AQ392">
        <f>IF(ISNUMBER(SEARCH(SUBSTITUTE(AQ$1,RIGHT(AQ$1,2),""),VLOOKUP($D392,素材!$1:$1016,COLUMN($F$1),FALSE))),VLOOKUP($C392,装備品!$1:$998,COLUMN($O$1),FALSE)*VLOOKUP($D392,素材!$1:$1016,COLUMN($E$1),FALSE)/(LEN(VLOOKUP($D392,素材!$1:$1016,COLUMN($F$1),FALSE))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0)+IF($CI392&lt;&gt;"",VLOOKUP($CI392,付与!$A$1:BP$1173,COLUMN(付与!BP$1),FALSE),0)</f>
        <v>0</v>
      </c>
      <c r="AR392">
        <f>IF(ISNUMBER(SEARCH(SUBSTITUTE(AR$1,RIGHT(AR$1,2),""),VLOOKUP($D392,素材!$1:$1016,COLUMN($F$1),FALSE))),VLOOKUP($C392,装備品!$1:$998,COLUMN($O$1),FALSE)*VLOOKUP($D392,素材!$1:$1016,COLUMN($E$1),FALSE)/(LEN(VLOOKUP($D392,素材!$1:$1016,COLUMN($F$1),FALSE))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0)+IF($CI392&lt;&gt;"",VLOOKUP($CI392,付与!$A$1:BQ$1173,COLUMN(付与!BQ$1),FALSE),0)</f>
        <v>0</v>
      </c>
      <c r="AS392">
        <f>IF(ISNUMBER(SEARCH(SUBSTITUTE(AS$1,RIGHT(AS$1,2),""),VLOOKUP($D392,素材!$1:$1016,COLUMN($F$1),FALSE))),VLOOKUP($C392,装備品!$1:$998,COLUMN($O$1),FALSE)*VLOOKUP($D392,素材!$1:$1016,COLUMN($E$1),FALSE)/(LEN(VLOOKUP($D392,素材!$1:$1016,COLUMN($F$1),FALSE))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0)+IF($CI392&lt;&gt;"",VLOOKUP($CI392,付与!$A$1:BR$1173,COLUMN(付与!BR$1),FALSE),0)</f>
        <v>0</v>
      </c>
      <c r="AT392">
        <f>IF(ISNUMBER(SEARCH(SUBSTITUTE(AT$1,RIGHT(AT$1,2),""),VLOOKUP($D392,素材!$1:$1016,COLUMN($F$1),FALSE))),VLOOKUP($C392,装備品!$1:$998,COLUMN($O$1),FALSE)*VLOOKUP($D392,素材!$1:$1016,COLUMN($E$1),FALSE)/(LEN(VLOOKUP($D392,素材!$1:$1016,COLUMN($F$1),FALSE))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0)+IF($CI392&lt;&gt;"",VLOOKUP($CI392,付与!$A$1:BV$1173,COLUMN(付与!BV$1),FALSE),0)</f>
        <v>0</v>
      </c>
      <c r="AU392">
        <f>IF(ISNUMBER(SEARCH(SUBSTITUTE(AU$1,RIGHT(AU$1,2),""),VLOOKUP($D392,素材!$1:$1016,COLUMN($F$1),FALSE))),VLOOKUP($C392,装備品!$1:$998,COLUMN($O$1),FALSE)*VLOOKUP($D392,素材!$1:$1016,COLUMN($E$1),FALSE)/(LEN(VLOOKUP($D392,素材!$1:$1016,COLUMN($F$1),FALSE))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0)+IF($CI392&lt;&gt;"",VLOOKUP($CI392,付与!$A$1:BW$1173,COLUMN(付与!BW$1),FALSE),0)</f>
        <v>0</v>
      </c>
      <c r="AV392">
        <f>IF(ISNUMBER(SEARCH(SUBSTITUTE(AV$1,RIGHT(AV$1,2),""),VLOOKUP($D392,素材!$1:$1016,COLUMN($F$1),FALSE))),VLOOKUP($C392,装備品!$1:$998,COLUMN($O$1),FALSE)*VLOOKUP($D392,素材!$1:$1016,COLUMN($E$1),FALSE)/(LEN(VLOOKUP($D392,素材!$1:$1016,COLUMN($F$1),FALSE))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0)+IF($CI392&lt;&gt;"",VLOOKUP($CI392,付与!$A$1:BS$1173,COLUMN(付与!BS$1),FALSE),0)</f>
        <v>0</v>
      </c>
      <c r="AW392">
        <f>IF(ISNUMBER(SEARCH(SUBSTITUTE(AW$1,RIGHT(AW$1,2),""),VLOOKUP($D392,素材!$1:$1016,COLUMN($F$1),FALSE))),VLOOKUP($C392,装備品!$1:$998,COLUMN($O$1),FALSE)*VLOOKUP($D392,素材!$1:$1016,COLUMN($E$1),FALSE)/(LEN(VLOOKUP($D392,素材!$1:$1016,COLUMN($F$1),FALSE))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0)+IF($CI392&lt;&gt;"",VLOOKUP($CI392,付与!$A$1:BT$1173,COLUMN(付与!BT$1),FALSE),0)</f>
        <v>0</v>
      </c>
      <c r="AX392">
        <f>IF(ISNUMBER(SEARCH(SUBSTITUTE(AX$1,RIGHT(AX$1,2),""),VLOOKUP($D392,素材!$1:$1016,COLUMN($F$1),FALSE))),VLOOKUP($C392,装備品!$1:$998,COLUMN($O$1),FALSE)*VLOOKUP($D392,素材!$1:$1016,COLUMN($E$1),FALSE)/(LEN(VLOOKUP($D392,素材!$1:$1016,COLUMN($F$1),FALSE))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0)+IF($CI392&lt;&gt;"",VLOOKUP($CI392,付与!$A$1:BU$1173,COLUMN(付与!BU$1),FALSE),0)</f>
        <v>0</v>
      </c>
      <c r="AY392">
        <f>IF(ISNUMBER(SEARCH(SUBSTITUTE(AY$1,RIGHT(AY$1,2),""),VLOOKUP($D392,素材!$1:$1016,COLUMN($F$1),FALSE))),VLOOKUP($C392,装備品!$1:$998,COLUMN($O$1),FALSE)*VLOOKUP($D392,素材!$1:$1016,COLUMN($E$1),FALSE)/(LEN(VLOOKUP($D392,素材!$1:$1016,COLUMN($F$1),FALSE))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0)+IF($CI392&lt;&gt;"",VLOOKUP($CI392,付与!$A$1:BU$1173,COLUMN(付与!BO$1),FALSE),0)</f>
        <v>0</v>
      </c>
      <c r="AZ392">
        <f>IF(ISNUMBER(SEARCH(SUBSTITUTE(AZ$1,RIGHT(AZ$1,2),""),VLOOKUP($D392,素材!$1:$1016,COLUMN($F$1),FALSE))),VLOOKUP($C392,装備品!$1:$998,COLUMN($O$1),FALSE)*VLOOKUP($D392,素材!$1:$1016,COLUMN($E$1),FALSE)/(LEN(VLOOKUP($D392,素材!$1:$1016,COLUMN($F$1),FALSE))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0)+IF($CI392&lt;&gt;"",VLOOKUP($CI392,付与!$A$1:BX$1173,COLUMN(付与!BX$1),FALSE),0)</f>
        <v>0</v>
      </c>
      <c r="BA392">
        <f>IF(ISNUMBER(SEARCH(SUBSTITUTE(BA$1,RIGHT(BA$1,2),""),VLOOKUP($D392,素材!$1:$1016,COLUMN($F$1),FALSE))),VLOOKUP($C392,装備品!$1:$998,COLUMN($O$1),FALSE)*VLOOKUP($D392,素材!$1:$1016,COLUMN($E$1),FALSE)/(LEN(VLOOKUP($D392,素材!$1:$1016,COLUMN($F$1),FALSE))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0)+IF($CI392&lt;&gt;"",VLOOKUP($CI392,付与!$A$1:BY$1173,COLUMN(付与!BY$1),FALSE),0)</f>
        <v>0</v>
      </c>
      <c r="BB392">
        <f>IF(ISNUMBER(SEARCH(SUBSTITUTE(BB$1,RIGHT(BB$1,2),""),VLOOKUP($D392,素材!$1:$1016,COLUMN($F$1),FALSE))),VLOOKUP($C392,装備品!$1:$998,COLUMN($O$1),FALSE)*VLOOKUP($D392,素材!$1:$1016,COLUMN($E$1),FALSE)/(LEN(VLOOKUP($D392,素材!$1:$1016,COLUMN($F$1),FALSE))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0)+IF($CI392&lt;&gt;"",VLOOKUP($CI392,付与!$A$1:BZ$1173,COLUMN(付与!BZ$1),FALSE),0)</f>
        <v>0</v>
      </c>
      <c r="BC392">
        <f>IF(ISNUMBER(SEARCH(SUBSTITUTE(BC$1,RIGHT(BC$1,2),""),VLOOKUP($D392,素材!$1:$1016,COLUMN($F$1),FALSE))),VLOOKUP($C392,装備品!$1:$998,COLUMN($O$1),FALSE)*VLOOKUP($D392,素材!$1:$1016,COLUMN($E$1),FALSE)/(LEN(VLOOKUP($D392,素材!$1:$1016,COLUMN($F$1),FALSE))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0)+IF($CI392&lt;&gt;"",VLOOKUP($CI392,付与!$A$1:CA$1173,COLUMN(付与!CA$1),FALSE),0)</f>
        <v>0</v>
      </c>
      <c r="BD392">
        <f>IF(ISNUMBER(SEARCH(SUBSTITUTE(BD$1,RIGHT(BD$1,2),""),VLOOKUP($D392,素材!$1:$1016,COLUMN($F$1),FALSE))),VLOOKUP($C392,装備品!$1:$998,COLUMN($O$1),FALSE)*VLOOKUP($D392,素材!$1:$1016,COLUMN($E$1),FALSE)/(LEN(VLOOKUP($D392,素材!$1:$1016,COLUMN($F$1),FALSE))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0)+IF($CI392&lt;&gt;"",VLOOKUP($CI392,付与!$A$1:CB$1173,COLUMN(付与!CB$1),FALSE),0)</f>
        <v>0</v>
      </c>
      <c r="BE392">
        <f>IF(ISNUMBER(SEARCH(SUBSTITUTE(BE$1,RIGHT(BE$1,2),""),VLOOKUP($D392,素材!$1:$1016,COLUMN($F$1),FALSE))),VLOOKUP($C392,装備品!$1:$998,COLUMN($O$1),FALSE)*VLOOKUP($D392,素材!$1:$1016,COLUMN($E$1),FALSE)/(LEN(VLOOKUP($D392,素材!$1:$1016,COLUMN($F$1),FALSE))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0)+IF($CI392&lt;&gt;"",VLOOKUP($CI392,付与!$A$1:CC$1173,COLUMN(付与!CC$1),FALSE),0)</f>
        <v>0</v>
      </c>
      <c r="CL392">
        <f t="shared" si="59"/>
        <v>0</v>
      </c>
      <c r="CM392" s="22" t="str">
        <f t="shared" si="60"/>
        <v>.webp</v>
      </c>
      <c r="CN392" t="str">
        <f>IFERROR(VLOOKUP($C392,装備品!$1:$998,COLUMN(V$1),FALSE)*VLOOKUP($D392,素材!$1:$1016,COLUMN(N$1),FALSE)+IF(CI392="",0,VLOOKUP($CI392,付与!$1:$1176,COLUMN($CK$1),FALSE)),"")</f>
        <v/>
      </c>
      <c r="CO392" t="e">
        <f>VLOOKUP(D392,素材!$A:$O,COLUMN(素材!O$1),FALSE)</f>
        <v>#N/A</v>
      </c>
      <c r="CP392" t="e">
        <f>VLOOKUP(C392,装備品!$A:$AB,COLUMN(装備品!AB$1),FALSE)</f>
        <v>#N/A</v>
      </c>
      <c r="CR392" t="str">
        <f t="shared" si="54"/>
        <v>e_392</v>
      </c>
      <c r="CS392" t="e">
        <f t="shared" si="56"/>
        <v>#VALUE!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4402-2A3A-49F0-BC37-4F5669903C31}">
  <sheetPr codeName="Sheet3">
    <tabColor theme="8" tint="0.79998168889431442"/>
  </sheetPr>
  <dimension ref="A1:BW351"/>
  <sheetViews>
    <sheetView zoomScale="85" zoomScaleNormal="85" workbookViewId="0">
      <pane xSplit="6" ySplit="2" topLeftCell="AX3" activePane="bottomRight" state="frozen"/>
      <selection pane="topRight" activeCell="F1" sqref="F1"/>
      <selection pane="bottomLeft" activeCell="A3" sqref="A3"/>
      <selection pane="bottomRight" activeCell="BG6" sqref="BG6"/>
    </sheetView>
  </sheetViews>
  <sheetFormatPr defaultRowHeight="18.75" outlineLevelRow="1" outlineLevelCol="1" x14ac:dyDescent="0.4"/>
  <cols>
    <col min="1" max="2" width="15.5" customWidth="1"/>
    <col min="3" max="4" width="4.625" customWidth="1"/>
    <col min="5" max="5" width="5.625" customWidth="1"/>
    <col min="6" max="6" width="43.25" style="1" customWidth="1"/>
    <col min="7" max="7" width="4.875" customWidth="1"/>
    <col min="8" max="10" width="5.75" customWidth="1" outlineLevel="1"/>
    <col min="11" max="11" width="6.5" customWidth="1" outlineLevel="1"/>
    <col min="12" max="13" width="5.125" customWidth="1" outlineLevel="1"/>
    <col min="14" max="14" width="7" customWidth="1" outlineLevel="1"/>
    <col min="15" max="15" width="8" customWidth="1" outlineLevel="1"/>
    <col min="16" max="16" width="5" style="29" customWidth="1" outlineLevel="1"/>
    <col min="17" max="17" width="7" style="29" customWidth="1" outlineLevel="1"/>
    <col min="18" max="21" width="6.25" customWidth="1" outlineLevel="1"/>
    <col min="22" max="22" width="8.375" customWidth="1" outlineLevel="1"/>
    <col min="23" max="23" width="6.25" customWidth="1" outlineLevel="1"/>
    <col min="24" max="24" width="5.5" customWidth="1" outlineLevel="1"/>
    <col min="25" max="26" width="6.25" customWidth="1" outlineLevel="1"/>
    <col min="27" max="27" width="4.875" customWidth="1"/>
    <col min="28" max="51" width="4.875" customWidth="1" outlineLevel="1"/>
    <col min="52" max="53" width="4.875" customWidth="1"/>
    <col min="54" max="58" width="4.875" customWidth="1" outlineLevel="1"/>
    <col min="59" max="60" width="5.25" bestFit="1" customWidth="1"/>
    <col min="61" max="61" width="9" bestFit="1" customWidth="1"/>
    <col min="62" max="62" width="13" bestFit="1" customWidth="1"/>
  </cols>
  <sheetData>
    <row r="1" spans="1:75" s="2" customFormat="1" ht="54.75" thickBot="1" x14ac:dyDescent="0.45">
      <c r="A1" s="18" t="s">
        <v>192</v>
      </c>
      <c r="B1" s="18" t="s">
        <v>191</v>
      </c>
      <c r="C1" s="21" t="s">
        <v>190</v>
      </c>
      <c r="D1" s="21" t="s">
        <v>189</v>
      </c>
      <c r="E1" s="21" t="s">
        <v>188</v>
      </c>
      <c r="F1" s="21" t="s">
        <v>101</v>
      </c>
      <c r="G1" s="20" t="s">
        <v>187</v>
      </c>
      <c r="H1" s="20" t="s">
        <v>186</v>
      </c>
      <c r="I1" s="20" t="s">
        <v>185</v>
      </c>
      <c r="J1" s="20" t="s">
        <v>184</v>
      </c>
      <c r="K1" s="31" t="s">
        <v>183</v>
      </c>
      <c r="L1" s="31" t="s">
        <v>182</v>
      </c>
      <c r="M1" s="31" t="s">
        <v>181</v>
      </c>
      <c r="N1" s="31" t="s">
        <v>180</v>
      </c>
      <c r="O1" s="20" t="s">
        <v>179</v>
      </c>
      <c r="P1" s="31" t="s">
        <v>178</v>
      </c>
      <c r="Q1" s="31" t="s">
        <v>177</v>
      </c>
      <c r="R1" s="18" t="s">
        <v>489</v>
      </c>
      <c r="S1" s="18" t="s">
        <v>488</v>
      </c>
      <c r="T1" s="16" t="s">
        <v>174</v>
      </c>
      <c r="U1" s="16" t="s">
        <v>173</v>
      </c>
      <c r="V1" s="16" t="s">
        <v>172</v>
      </c>
      <c r="W1" s="17" t="s">
        <v>171</v>
      </c>
      <c r="X1" s="16" t="s">
        <v>170</v>
      </c>
      <c r="Y1" s="16" t="s">
        <v>169</v>
      </c>
      <c r="Z1" s="16" t="s">
        <v>168</v>
      </c>
      <c r="AA1" s="15" t="s">
        <v>167</v>
      </c>
      <c r="AB1" s="15" t="s">
        <v>166</v>
      </c>
      <c r="AC1" s="11" t="s">
        <v>165</v>
      </c>
      <c r="AD1" s="11" t="s">
        <v>164</v>
      </c>
      <c r="AE1" s="11" t="s">
        <v>163</v>
      </c>
      <c r="AF1" s="14" t="s">
        <v>162</v>
      </c>
      <c r="AG1" s="14" t="s">
        <v>161</v>
      </c>
      <c r="AH1" s="14" t="s">
        <v>160</v>
      </c>
      <c r="AI1" s="14" t="s">
        <v>159</v>
      </c>
      <c r="AJ1" s="14" t="s">
        <v>158</v>
      </c>
      <c r="AK1" s="14" t="s">
        <v>157</v>
      </c>
      <c r="AL1" s="14" t="s">
        <v>156</v>
      </c>
      <c r="AM1" s="13" t="s">
        <v>155</v>
      </c>
      <c r="AN1" s="13" t="s">
        <v>487</v>
      </c>
      <c r="AO1" s="12" t="s">
        <v>153</v>
      </c>
      <c r="AP1" s="11" t="s">
        <v>151</v>
      </c>
      <c r="AQ1" s="11" t="s">
        <v>150</v>
      </c>
      <c r="AR1" s="11" t="s">
        <v>149</v>
      </c>
      <c r="AS1" s="11" t="s">
        <v>148</v>
      </c>
      <c r="AT1" s="11" t="s">
        <v>147</v>
      </c>
      <c r="AU1" s="11" t="s">
        <v>146</v>
      </c>
      <c r="AV1" s="11" t="s">
        <v>145</v>
      </c>
      <c r="AW1" s="11" t="s">
        <v>144</v>
      </c>
      <c r="AX1" s="11" t="s">
        <v>143</v>
      </c>
      <c r="AY1" s="11" t="s">
        <v>142</v>
      </c>
      <c r="AZ1" s="10" t="s">
        <v>141</v>
      </c>
      <c r="BA1" s="10" t="s">
        <v>140</v>
      </c>
      <c r="BB1" s="8" t="s">
        <v>139</v>
      </c>
      <c r="BC1" s="10" t="s">
        <v>138</v>
      </c>
      <c r="BD1" s="9" t="s">
        <v>137</v>
      </c>
      <c r="BE1" s="8" t="s">
        <v>136</v>
      </c>
      <c r="BF1" s="8" t="s">
        <v>135</v>
      </c>
      <c r="BG1" s="2" t="s">
        <v>484</v>
      </c>
      <c r="BH1" s="2" t="s">
        <v>483</v>
      </c>
      <c r="BI1" s="2" t="s">
        <v>482</v>
      </c>
      <c r="BJ1" s="2" t="s">
        <v>486</v>
      </c>
      <c r="BK1" s="2" t="s">
        <v>107</v>
      </c>
      <c r="BL1" s="2" t="s">
        <v>104</v>
      </c>
      <c r="BM1" s="2" t="s">
        <v>485</v>
      </c>
      <c r="BO1" s="27" t="s">
        <v>260</v>
      </c>
      <c r="BP1" s="2" t="s">
        <v>259</v>
      </c>
      <c r="BQ1" s="2" t="s">
        <v>107</v>
      </c>
      <c r="BR1" s="2" t="s">
        <v>277</v>
      </c>
      <c r="BS1"/>
      <c r="BT1"/>
      <c r="BU1"/>
      <c r="BV1"/>
      <c r="BW1"/>
    </row>
    <row r="2" spans="1:75" x14ac:dyDescent="0.4">
      <c r="A2" s="1" t="s">
        <v>257</v>
      </c>
      <c r="B2" s="1" t="s">
        <v>257</v>
      </c>
      <c r="C2" s="1" t="s">
        <v>257</v>
      </c>
      <c r="D2" s="1" t="s">
        <v>257</v>
      </c>
      <c r="E2" s="1" t="s">
        <v>257</v>
      </c>
      <c r="G2" s="1" t="s">
        <v>257</v>
      </c>
      <c r="H2" s="1" t="s">
        <v>257</v>
      </c>
      <c r="I2" s="1" t="s">
        <v>257</v>
      </c>
      <c r="J2" s="1" t="s">
        <v>257</v>
      </c>
      <c r="K2" s="1" t="s">
        <v>257</v>
      </c>
      <c r="L2" s="1" t="s">
        <v>257</v>
      </c>
      <c r="M2" s="1" t="s">
        <v>257</v>
      </c>
      <c r="N2" s="1" t="s">
        <v>257</v>
      </c>
      <c r="O2" t="s">
        <v>258</v>
      </c>
      <c r="P2" s="30" t="s">
        <v>257</v>
      </c>
      <c r="Q2" s="30" t="s">
        <v>257</v>
      </c>
      <c r="R2" s="1" t="s">
        <v>257</v>
      </c>
      <c r="S2" s="1" t="s">
        <v>257</v>
      </c>
      <c r="T2" s="1" t="s">
        <v>257</v>
      </c>
      <c r="U2" s="1" t="s">
        <v>257</v>
      </c>
      <c r="V2" s="1" t="s">
        <v>257</v>
      </c>
      <c r="W2" s="1" t="s">
        <v>257</v>
      </c>
      <c r="X2" s="1" t="s">
        <v>257</v>
      </c>
      <c r="Y2" s="1" t="s">
        <v>257</v>
      </c>
      <c r="Z2" s="1" t="s">
        <v>257</v>
      </c>
      <c r="AA2" s="1" t="s">
        <v>257</v>
      </c>
      <c r="BP2" t="str">
        <f>"i_"&amp;ROW(BP2)</f>
        <v>i_2</v>
      </c>
    </row>
    <row r="3" spans="1:75" ht="37.5" x14ac:dyDescent="0.4">
      <c r="A3" t="s">
        <v>479</v>
      </c>
      <c r="B3" t="s">
        <v>481</v>
      </c>
      <c r="C3" s="24" t="s">
        <v>277</v>
      </c>
      <c r="D3" s="24"/>
      <c r="E3" t="s">
        <v>1168</v>
      </c>
      <c r="F3" s="1" t="s">
        <v>460</v>
      </c>
      <c r="BG3">
        <v>60</v>
      </c>
      <c r="BL3">
        <v>50</v>
      </c>
      <c r="BM3">
        <f>BL3*100</f>
        <v>5000</v>
      </c>
      <c r="BO3" t="s">
        <v>480</v>
      </c>
      <c r="BP3" t="str">
        <f t="shared" ref="BP3:BP68" si="0">"i_"&amp;ROW(BP3)</f>
        <v>i_3</v>
      </c>
      <c r="BQ3">
        <v>5</v>
      </c>
      <c r="BR3" t="b">
        <v>1</v>
      </c>
    </row>
    <row r="4" spans="1:75" ht="37.5" x14ac:dyDescent="0.4">
      <c r="A4" t="s">
        <v>1169</v>
      </c>
      <c r="B4" t="s">
        <v>1171</v>
      </c>
      <c r="C4" s="24" t="s">
        <v>277</v>
      </c>
      <c r="D4" s="24"/>
      <c r="E4" t="s">
        <v>1168</v>
      </c>
      <c r="F4" s="1" t="s">
        <v>460</v>
      </c>
      <c r="BG4">
        <v>90</v>
      </c>
      <c r="BL4">
        <v>300</v>
      </c>
      <c r="BM4">
        <f t="shared" ref="BM4:BM5" si="1">BL4*100</f>
        <v>30000</v>
      </c>
      <c r="BO4" t="s">
        <v>480</v>
      </c>
      <c r="BP4" t="str">
        <f t="shared" si="0"/>
        <v>i_4</v>
      </c>
      <c r="BQ4">
        <v>5</v>
      </c>
      <c r="BR4" t="b">
        <v>1</v>
      </c>
    </row>
    <row r="5" spans="1:75" ht="37.5" x14ac:dyDescent="0.4">
      <c r="A5" t="s">
        <v>1170</v>
      </c>
      <c r="B5" t="s">
        <v>1172</v>
      </c>
      <c r="C5" s="24" t="s">
        <v>277</v>
      </c>
      <c r="D5" s="24"/>
      <c r="E5" t="s">
        <v>1168</v>
      </c>
      <c r="F5" s="1" t="s">
        <v>460</v>
      </c>
      <c r="BG5">
        <v>120</v>
      </c>
      <c r="BL5">
        <v>2000</v>
      </c>
      <c r="BM5">
        <f t="shared" si="1"/>
        <v>200000</v>
      </c>
      <c r="BO5" t="s">
        <v>480</v>
      </c>
      <c r="BP5" t="str">
        <f t="shared" si="0"/>
        <v>i_5</v>
      </c>
      <c r="BQ5">
        <v>5</v>
      </c>
      <c r="BR5" t="b">
        <v>1</v>
      </c>
    </row>
    <row r="6" spans="1:75" ht="37.5" outlineLevel="1" x14ac:dyDescent="0.4">
      <c r="A6" t="s">
        <v>477</v>
      </c>
      <c r="B6" t="s">
        <v>478</v>
      </c>
      <c r="C6" s="24" t="s">
        <v>277</v>
      </c>
      <c r="D6" s="24"/>
      <c r="E6" t="s">
        <v>465</v>
      </c>
      <c r="F6" s="1" t="s">
        <v>459</v>
      </c>
      <c r="BG6">
        <v>10</v>
      </c>
      <c r="BH6">
        <v>1</v>
      </c>
      <c r="BI6">
        <v>40</v>
      </c>
      <c r="BL6">
        <v>40</v>
      </c>
      <c r="BM6">
        <f t="shared" ref="BM6:BM69" si="2">BL6*100</f>
        <v>4000</v>
      </c>
      <c r="BN6">
        <f>BH6*BI6+BG6</f>
        <v>50</v>
      </c>
      <c r="BO6" t="s">
        <v>469</v>
      </c>
      <c r="BP6" t="str">
        <f t="shared" si="0"/>
        <v>i_6</v>
      </c>
      <c r="BQ6">
        <v>1</v>
      </c>
      <c r="BR6" t="b">
        <v>1</v>
      </c>
    </row>
    <row r="7" spans="1:75" ht="37.5" outlineLevel="1" x14ac:dyDescent="0.4">
      <c r="A7" t="s">
        <v>475</v>
      </c>
      <c r="B7" t="s">
        <v>476</v>
      </c>
      <c r="C7" s="24" t="s">
        <v>277</v>
      </c>
      <c r="D7" s="24"/>
      <c r="E7" t="s">
        <v>465</v>
      </c>
      <c r="F7" s="1" t="s">
        <v>272</v>
      </c>
      <c r="BG7">
        <v>20</v>
      </c>
      <c r="BH7">
        <v>3</v>
      </c>
      <c r="BI7">
        <v>15</v>
      </c>
      <c r="BL7">
        <v>300</v>
      </c>
      <c r="BM7">
        <f t="shared" si="2"/>
        <v>30000</v>
      </c>
      <c r="BN7">
        <f>BH7*BI7+BG7</f>
        <v>65</v>
      </c>
      <c r="BO7" t="s">
        <v>469</v>
      </c>
      <c r="BP7" t="str">
        <f t="shared" si="0"/>
        <v>i_7</v>
      </c>
      <c r="BQ7">
        <v>1</v>
      </c>
      <c r="BR7" t="b">
        <v>1</v>
      </c>
    </row>
    <row r="8" spans="1:75" ht="37.5" outlineLevel="1" x14ac:dyDescent="0.4">
      <c r="A8" t="s">
        <v>473</v>
      </c>
      <c r="B8" t="s">
        <v>474</v>
      </c>
      <c r="C8" s="24" t="s">
        <v>277</v>
      </c>
      <c r="D8" s="24"/>
      <c r="E8" t="s">
        <v>465</v>
      </c>
      <c r="F8" s="1" t="s">
        <v>269</v>
      </c>
      <c r="BG8">
        <v>30</v>
      </c>
      <c r="BH8">
        <v>10</v>
      </c>
      <c r="BI8">
        <v>5</v>
      </c>
      <c r="BL8">
        <v>2000</v>
      </c>
      <c r="BM8">
        <f t="shared" si="2"/>
        <v>200000</v>
      </c>
      <c r="BN8">
        <f>BH8*BI8+BG8</f>
        <v>80</v>
      </c>
      <c r="BO8" t="s">
        <v>469</v>
      </c>
      <c r="BP8" t="str">
        <f t="shared" si="0"/>
        <v>i_8</v>
      </c>
      <c r="BQ8">
        <v>1</v>
      </c>
      <c r="BR8" t="b">
        <v>1</v>
      </c>
    </row>
    <row r="9" spans="1:75" ht="37.5" outlineLevel="1" x14ac:dyDescent="0.4">
      <c r="A9" t="s">
        <v>471</v>
      </c>
      <c r="B9" t="s">
        <v>472</v>
      </c>
      <c r="C9" s="24" t="s">
        <v>277</v>
      </c>
      <c r="D9" s="24"/>
      <c r="E9" t="s">
        <v>465</v>
      </c>
      <c r="F9" s="1" t="s">
        <v>266</v>
      </c>
      <c r="BG9">
        <v>50</v>
      </c>
      <c r="BL9">
        <v>5000</v>
      </c>
      <c r="BM9">
        <f t="shared" si="2"/>
        <v>500000</v>
      </c>
      <c r="BN9">
        <f>BH9*BI9+BG9</f>
        <v>50</v>
      </c>
      <c r="BO9" t="s">
        <v>469</v>
      </c>
      <c r="BP9" t="str">
        <f t="shared" si="0"/>
        <v>i_9</v>
      </c>
      <c r="BQ9">
        <v>1</v>
      </c>
      <c r="BR9" t="b">
        <v>1</v>
      </c>
    </row>
    <row r="10" spans="1:75" ht="37.5" outlineLevel="1" x14ac:dyDescent="0.4">
      <c r="A10" t="s">
        <v>468</v>
      </c>
      <c r="B10" t="s">
        <v>470</v>
      </c>
      <c r="C10" s="24" t="s">
        <v>277</v>
      </c>
      <c r="D10" s="24"/>
      <c r="E10" t="s">
        <v>465</v>
      </c>
      <c r="F10" s="1" t="s">
        <v>263</v>
      </c>
      <c r="BG10">
        <v>100</v>
      </c>
      <c r="BL10">
        <v>10000</v>
      </c>
      <c r="BM10">
        <f t="shared" si="2"/>
        <v>1000000</v>
      </c>
      <c r="BN10">
        <f>BH10*BI10+BG10</f>
        <v>100</v>
      </c>
      <c r="BO10" t="s">
        <v>469</v>
      </c>
      <c r="BP10" t="str">
        <f t="shared" si="0"/>
        <v>i_10</v>
      </c>
      <c r="BQ10">
        <v>1</v>
      </c>
      <c r="BR10" t="b">
        <v>1</v>
      </c>
    </row>
    <row r="11" spans="1:75" ht="45.75" customHeight="1" outlineLevel="1" x14ac:dyDescent="0.4">
      <c r="A11" t="s">
        <v>467</v>
      </c>
      <c r="B11" t="s">
        <v>466</v>
      </c>
      <c r="C11" s="24"/>
      <c r="D11" s="24"/>
      <c r="E11" t="s">
        <v>465</v>
      </c>
      <c r="F11" s="1" t="s">
        <v>464</v>
      </c>
      <c r="M11" t="s">
        <v>463</v>
      </c>
      <c r="N11">
        <v>35</v>
      </c>
      <c r="T11">
        <v>1</v>
      </c>
      <c r="U11">
        <v>6</v>
      </c>
      <c r="V11">
        <v>1</v>
      </c>
      <c r="X11" t="s">
        <v>462</v>
      </c>
      <c r="BL11">
        <v>800</v>
      </c>
      <c r="BM11">
        <f t="shared" si="2"/>
        <v>80000</v>
      </c>
      <c r="BO11" t="s">
        <v>461</v>
      </c>
      <c r="BP11" t="str">
        <f t="shared" si="0"/>
        <v>i_11</v>
      </c>
      <c r="BQ11">
        <v>1</v>
      </c>
      <c r="BR11">
        <v>5</v>
      </c>
    </row>
    <row r="12" spans="1:75" ht="45.75" customHeight="1" outlineLevel="1" x14ac:dyDescent="0.4">
      <c r="C12" s="24"/>
      <c r="D12" s="24"/>
      <c r="BM12">
        <f t="shared" si="2"/>
        <v>0</v>
      </c>
      <c r="BP12" t="str">
        <f t="shared" si="0"/>
        <v>i_12</v>
      </c>
      <c r="BQ12">
        <v>1</v>
      </c>
      <c r="BR12" t="b">
        <v>1</v>
      </c>
    </row>
    <row r="13" spans="1:75" ht="45.75" customHeight="1" outlineLevel="1" x14ac:dyDescent="0.4">
      <c r="C13" s="24"/>
      <c r="D13" s="24"/>
      <c r="BM13">
        <f t="shared" si="2"/>
        <v>0</v>
      </c>
      <c r="BP13" t="str">
        <f t="shared" si="0"/>
        <v>i_13</v>
      </c>
    </row>
    <row r="14" spans="1:75" ht="45.75" customHeight="1" x14ac:dyDescent="0.4">
      <c r="B14" t="s">
        <v>458</v>
      </c>
      <c r="C14" s="24"/>
      <c r="D14" s="24"/>
      <c r="BM14">
        <f t="shared" si="2"/>
        <v>0</v>
      </c>
      <c r="BP14" t="str">
        <f t="shared" si="0"/>
        <v>i_14</v>
      </c>
    </row>
    <row r="15" spans="1:75" x14ac:dyDescent="0.4">
      <c r="A15" t="s">
        <v>192</v>
      </c>
      <c r="B15" t="s">
        <v>191</v>
      </c>
      <c r="C15" s="24" t="s">
        <v>457</v>
      </c>
      <c r="D15" s="24" t="s">
        <v>456</v>
      </c>
      <c r="E15" t="s">
        <v>455</v>
      </c>
      <c r="F15" s="1" t="s">
        <v>454</v>
      </c>
      <c r="BM15">
        <f t="shared" si="2"/>
        <v>0</v>
      </c>
      <c r="BP15" t="str">
        <f t="shared" si="0"/>
        <v>i_15</v>
      </c>
    </row>
    <row r="16" spans="1:75" ht="37.5" hidden="1" outlineLevel="1" x14ac:dyDescent="0.4">
      <c r="A16" t="s">
        <v>453</v>
      </c>
      <c r="B16" t="s">
        <v>452</v>
      </c>
      <c r="C16" s="24" t="s">
        <v>285</v>
      </c>
      <c r="D16" s="24"/>
      <c r="E16" t="s">
        <v>189</v>
      </c>
      <c r="F16" s="1" t="s">
        <v>321</v>
      </c>
      <c r="BL16">
        <v>5000</v>
      </c>
      <c r="BM16">
        <f t="shared" si="2"/>
        <v>500000</v>
      </c>
      <c r="BP16" t="str">
        <f t="shared" si="0"/>
        <v>i_16</v>
      </c>
    </row>
    <row r="17" spans="1:68" ht="37.5" hidden="1" outlineLevel="1" x14ac:dyDescent="0.4">
      <c r="A17" t="s">
        <v>451</v>
      </c>
      <c r="B17" t="s">
        <v>450</v>
      </c>
      <c r="C17" s="24" t="s">
        <v>285</v>
      </c>
      <c r="D17" s="24"/>
      <c r="E17" t="s">
        <v>189</v>
      </c>
      <c r="F17" s="1" t="s">
        <v>318</v>
      </c>
      <c r="BL17">
        <v>4500</v>
      </c>
      <c r="BM17">
        <f t="shared" si="2"/>
        <v>450000</v>
      </c>
      <c r="BP17" t="str">
        <f t="shared" si="0"/>
        <v>i_17</v>
      </c>
    </row>
    <row r="18" spans="1:68" ht="37.5" hidden="1" outlineLevel="1" x14ac:dyDescent="0.4">
      <c r="A18" t="s">
        <v>449</v>
      </c>
      <c r="B18" t="s">
        <v>448</v>
      </c>
      <c r="C18" s="24" t="s">
        <v>285</v>
      </c>
      <c r="D18" s="24"/>
      <c r="E18" t="s">
        <v>189</v>
      </c>
      <c r="F18" s="1" t="s">
        <v>315</v>
      </c>
      <c r="BL18">
        <v>6000</v>
      </c>
      <c r="BM18">
        <f t="shared" si="2"/>
        <v>600000</v>
      </c>
      <c r="BP18" t="str">
        <f t="shared" si="0"/>
        <v>i_18</v>
      </c>
    </row>
    <row r="19" spans="1:68" ht="37.5" hidden="1" outlineLevel="1" x14ac:dyDescent="0.4">
      <c r="A19" t="s">
        <v>447</v>
      </c>
      <c r="B19" t="s">
        <v>446</v>
      </c>
      <c r="C19" s="24" t="s">
        <v>285</v>
      </c>
      <c r="D19" s="24"/>
      <c r="E19" t="s">
        <v>189</v>
      </c>
      <c r="F19" s="1" t="s">
        <v>312</v>
      </c>
      <c r="BL19">
        <v>3000</v>
      </c>
      <c r="BM19">
        <f t="shared" si="2"/>
        <v>300000</v>
      </c>
      <c r="BP19" t="str">
        <f t="shared" si="0"/>
        <v>i_19</v>
      </c>
    </row>
    <row r="20" spans="1:68" hidden="1" outlineLevel="1" x14ac:dyDescent="0.4">
      <c r="A20" t="s">
        <v>445</v>
      </c>
      <c r="B20" t="s">
        <v>444</v>
      </c>
      <c r="C20" s="24" t="s">
        <v>285</v>
      </c>
      <c r="D20" s="24"/>
      <c r="E20" t="s">
        <v>189</v>
      </c>
      <c r="F20" s="1" t="s">
        <v>309</v>
      </c>
      <c r="BL20">
        <v>2800</v>
      </c>
      <c r="BM20">
        <f t="shared" si="2"/>
        <v>280000</v>
      </c>
      <c r="BP20" t="str">
        <f t="shared" si="0"/>
        <v>i_20</v>
      </c>
    </row>
    <row r="21" spans="1:68" ht="37.5" hidden="1" outlineLevel="1" x14ac:dyDescent="0.4">
      <c r="A21" t="s">
        <v>443</v>
      </c>
      <c r="B21" t="s">
        <v>442</v>
      </c>
      <c r="C21" s="24" t="s">
        <v>285</v>
      </c>
      <c r="D21" s="24"/>
      <c r="E21" t="s">
        <v>189</v>
      </c>
      <c r="F21" s="1" t="s">
        <v>306</v>
      </c>
      <c r="BL21">
        <v>10000</v>
      </c>
      <c r="BM21">
        <f t="shared" si="2"/>
        <v>1000000</v>
      </c>
      <c r="BP21" t="str">
        <f t="shared" si="0"/>
        <v>i_21</v>
      </c>
    </row>
    <row r="22" spans="1:68" ht="37.5" hidden="1" outlineLevel="1" x14ac:dyDescent="0.4">
      <c r="A22" t="s">
        <v>441</v>
      </c>
      <c r="B22" t="s">
        <v>440</v>
      </c>
      <c r="C22" s="24" t="s">
        <v>285</v>
      </c>
      <c r="D22" s="24"/>
      <c r="E22" t="s">
        <v>189</v>
      </c>
      <c r="F22" s="1" t="s">
        <v>303</v>
      </c>
      <c r="BL22">
        <v>3500</v>
      </c>
      <c r="BM22">
        <f t="shared" si="2"/>
        <v>350000</v>
      </c>
      <c r="BP22" t="str">
        <f t="shared" si="0"/>
        <v>i_22</v>
      </c>
    </row>
    <row r="23" spans="1:68" ht="37.5" hidden="1" outlineLevel="1" x14ac:dyDescent="0.4">
      <c r="A23" t="s">
        <v>439</v>
      </c>
      <c r="B23" t="s">
        <v>438</v>
      </c>
      <c r="C23" s="24" t="s">
        <v>285</v>
      </c>
      <c r="D23" s="24"/>
      <c r="E23" t="s">
        <v>189</v>
      </c>
      <c r="F23" s="1" t="s">
        <v>300</v>
      </c>
      <c r="BL23">
        <v>3200</v>
      </c>
      <c r="BM23">
        <f t="shared" si="2"/>
        <v>320000</v>
      </c>
      <c r="BP23" t="str">
        <f t="shared" si="0"/>
        <v>i_23</v>
      </c>
    </row>
    <row r="24" spans="1:68" ht="37.5" hidden="1" outlineLevel="1" x14ac:dyDescent="0.4">
      <c r="A24" t="s">
        <v>437</v>
      </c>
      <c r="B24" t="s">
        <v>436</v>
      </c>
      <c r="C24" s="24" t="s">
        <v>285</v>
      </c>
      <c r="D24" s="24"/>
      <c r="E24" t="s">
        <v>189</v>
      </c>
      <c r="F24" s="1" t="s">
        <v>297</v>
      </c>
      <c r="BL24">
        <v>2900</v>
      </c>
      <c r="BM24">
        <f t="shared" si="2"/>
        <v>290000</v>
      </c>
      <c r="BP24" t="str">
        <f t="shared" si="0"/>
        <v>i_24</v>
      </c>
    </row>
    <row r="25" spans="1:68" ht="37.5" hidden="1" outlineLevel="1" x14ac:dyDescent="0.4">
      <c r="A25" t="s">
        <v>435</v>
      </c>
      <c r="B25" t="s">
        <v>434</v>
      </c>
      <c r="C25" s="24" t="s">
        <v>285</v>
      </c>
      <c r="D25" s="24"/>
      <c r="E25" t="s">
        <v>189</v>
      </c>
      <c r="F25" s="1" t="s">
        <v>294</v>
      </c>
      <c r="BL25">
        <v>4200</v>
      </c>
      <c r="BM25">
        <f t="shared" si="2"/>
        <v>420000</v>
      </c>
      <c r="BP25" t="str">
        <f t="shared" si="0"/>
        <v>i_25</v>
      </c>
    </row>
    <row r="26" spans="1:68" ht="37.5" hidden="1" outlineLevel="1" x14ac:dyDescent="0.4">
      <c r="A26" t="s">
        <v>433</v>
      </c>
      <c r="B26" t="s">
        <v>432</v>
      </c>
      <c r="C26" s="24" t="s">
        <v>285</v>
      </c>
      <c r="D26" s="24"/>
      <c r="E26" t="s">
        <v>189</v>
      </c>
      <c r="F26" s="1" t="s">
        <v>291</v>
      </c>
      <c r="BL26">
        <v>2700</v>
      </c>
      <c r="BM26">
        <f t="shared" si="2"/>
        <v>270000</v>
      </c>
      <c r="BP26" t="str">
        <f t="shared" si="0"/>
        <v>i_26</v>
      </c>
    </row>
    <row r="27" spans="1:68" ht="37.5" hidden="1" outlineLevel="1" x14ac:dyDescent="0.4">
      <c r="A27" t="s">
        <v>431</v>
      </c>
      <c r="B27" t="s">
        <v>430</v>
      </c>
      <c r="C27" s="24" t="s">
        <v>285</v>
      </c>
      <c r="D27" s="24"/>
      <c r="E27" t="s">
        <v>189</v>
      </c>
      <c r="F27" s="1" t="s">
        <v>288</v>
      </c>
      <c r="BL27">
        <v>4000</v>
      </c>
      <c r="BM27">
        <f t="shared" si="2"/>
        <v>400000</v>
      </c>
      <c r="BP27" t="str">
        <f t="shared" si="0"/>
        <v>i_27</v>
      </c>
    </row>
    <row r="28" spans="1:68" ht="37.5" hidden="1" outlineLevel="1" x14ac:dyDescent="0.4">
      <c r="A28" t="s">
        <v>429</v>
      </c>
      <c r="B28" t="s">
        <v>428</v>
      </c>
      <c r="C28" s="24" t="s">
        <v>285</v>
      </c>
      <c r="D28" s="24"/>
      <c r="E28" t="s">
        <v>189</v>
      </c>
      <c r="F28" s="1" t="s">
        <v>284</v>
      </c>
      <c r="BL28">
        <v>3800</v>
      </c>
      <c r="BM28">
        <f t="shared" si="2"/>
        <v>380000</v>
      </c>
      <c r="BP28" t="str">
        <f t="shared" si="0"/>
        <v>i_28</v>
      </c>
    </row>
    <row r="29" spans="1:68" ht="37.5" collapsed="1" x14ac:dyDescent="0.4">
      <c r="A29" t="s">
        <v>427</v>
      </c>
      <c r="B29" t="s">
        <v>426</v>
      </c>
      <c r="C29" s="24" t="s">
        <v>285</v>
      </c>
      <c r="D29" s="24"/>
      <c r="E29" t="s">
        <v>189</v>
      </c>
      <c r="F29" s="1" t="s">
        <v>321</v>
      </c>
      <c r="H29">
        <v>1</v>
      </c>
      <c r="BL29">
        <v>2500</v>
      </c>
      <c r="BM29">
        <f t="shared" si="2"/>
        <v>250000</v>
      </c>
      <c r="BP29" t="str">
        <f t="shared" si="0"/>
        <v>i_29</v>
      </c>
    </row>
    <row r="30" spans="1:68" ht="37.5" hidden="1" outlineLevel="1" x14ac:dyDescent="0.4">
      <c r="A30" t="s">
        <v>425</v>
      </c>
      <c r="B30" t="s">
        <v>424</v>
      </c>
      <c r="C30" s="24" t="s">
        <v>285</v>
      </c>
      <c r="D30" s="24"/>
      <c r="E30" t="s">
        <v>189</v>
      </c>
      <c r="F30" s="1" t="s">
        <v>318</v>
      </c>
      <c r="H30">
        <v>1</v>
      </c>
      <c r="BL30">
        <v>2250</v>
      </c>
      <c r="BM30">
        <f t="shared" si="2"/>
        <v>225000</v>
      </c>
      <c r="BP30" t="str">
        <f t="shared" si="0"/>
        <v>i_30</v>
      </c>
    </row>
    <row r="31" spans="1:68" ht="37.5" hidden="1" outlineLevel="1" x14ac:dyDescent="0.4">
      <c r="A31" t="s">
        <v>423</v>
      </c>
      <c r="B31" t="s">
        <v>422</v>
      </c>
      <c r="C31" s="24" t="s">
        <v>285</v>
      </c>
      <c r="D31" s="24"/>
      <c r="E31" t="s">
        <v>189</v>
      </c>
      <c r="F31" s="1" t="s">
        <v>315</v>
      </c>
      <c r="H31">
        <v>1</v>
      </c>
      <c r="BL31">
        <v>3000</v>
      </c>
      <c r="BM31">
        <f t="shared" si="2"/>
        <v>300000</v>
      </c>
      <c r="BP31" t="str">
        <f t="shared" si="0"/>
        <v>i_31</v>
      </c>
    </row>
    <row r="32" spans="1:68" ht="37.5" hidden="1" outlineLevel="1" x14ac:dyDescent="0.4">
      <c r="A32" t="s">
        <v>421</v>
      </c>
      <c r="B32" t="s">
        <v>420</v>
      </c>
      <c r="C32" s="24" t="s">
        <v>285</v>
      </c>
      <c r="D32" s="24"/>
      <c r="E32" t="s">
        <v>189</v>
      </c>
      <c r="F32" s="1" t="s">
        <v>312</v>
      </c>
      <c r="H32">
        <v>1</v>
      </c>
      <c r="BL32">
        <v>1500</v>
      </c>
      <c r="BM32">
        <f t="shared" si="2"/>
        <v>150000</v>
      </c>
      <c r="BP32" t="str">
        <f t="shared" si="0"/>
        <v>i_32</v>
      </c>
    </row>
    <row r="33" spans="1:68" hidden="1" outlineLevel="1" x14ac:dyDescent="0.4">
      <c r="A33" t="s">
        <v>419</v>
      </c>
      <c r="B33" t="s">
        <v>418</v>
      </c>
      <c r="C33" s="24" t="s">
        <v>285</v>
      </c>
      <c r="D33" s="24"/>
      <c r="E33" t="s">
        <v>189</v>
      </c>
      <c r="F33" s="1" t="s">
        <v>309</v>
      </c>
      <c r="H33">
        <v>1</v>
      </c>
      <c r="BL33">
        <v>1400</v>
      </c>
      <c r="BM33">
        <f t="shared" si="2"/>
        <v>140000</v>
      </c>
      <c r="BP33" t="str">
        <f t="shared" si="0"/>
        <v>i_33</v>
      </c>
    </row>
    <row r="34" spans="1:68" ht="37.5" hidden="1" outlineLevel="1" x14ac:dyDescent="0.4">
      <c r="A34" t="s">
        <v>417</v>
      </c>
      <c r="B34" t="s">
        <v>416</v>
      </c>
      <c r="C34" s="24" t="s">
        <v>285</v>
      </c>
      <c r="D34" s="24"/>
      <c r="E34" t="s">
        <v>189</v>
      </c>
      <c r="F34" s="1" t="s">
        <v>306</v>
      </c>
      <c r="H34">
        <v>1</v>
      </c>
      <c r="BL34">
        <v>5000</v>
      </c>
      <c r="BM34">
        <f t="shared" si="2"/>
        <v>500000</v>
      </c>
      <c r="BP34" t="str">
        <f t="shared" si="0"/>
        <v>i_34</v>
      </c>
    </row>
    <row r="35" spans="1:68" ht="37.5" hidden="1" outlineLevel="1" x14ac:dyDescent="0.4">
      <c r="A35" t="s">
        <v>415</v>
      </c>
      <c r="B35" t="s">
        <v>414</v>
      </c>
      <c r="C35" s="24" t="s">
        <v>285</v>
      </c>
      <c r="D35" s="24"/>
      <c r="E35" t="s">
        <v>189</v>
      </c>
      <c r="F35" s="1" t="s">
        <v>303</v>
      </c>
      <c r="H35">
        <v>1</v>
      </c>
      <c r="BL35">
        <v>1750</v>
      </c>
      <c r="BM35">
        <f t="shared" si="2"/>
        <v>175000</v>
      </c>
      <c r="BP35" t="str">
        <f t="shared" si="0"/>
        <v>i_35</v>
      </c>
    </row>
    <row r="36" spans="1:68" ht="37.5" hidden="1" outlineLevel="1" x14ac:dyDescent="0.4">
      <c r="A36" t="s">
        <v>413</v>
      </c>
      <c r="B36" t="s">
        <v>412</v>
      </c>
      <c r="C36" s="24" t="s">
        <v>285</v>
      </c>
      <c r="D36" s="24"/>
      <c r="E36" t="s">
        <v>189</v>
      </c>
      <c r="F36" s="1" t="s">
        <v>300</v>
      </c>
      <c r="H36">
        <v>1</v>
      </c>
      <c r="BL36">
        <v>1600</v>
      </c>
      <c r="BM36">
        <f t="shared" si="2"/>
        <v>160000</v>
      </c>
      <c r="BP36" t="str">
        <f t="shared" si="0"/>
        <v>i_36</v>
      </c>
    </row>
    <row r="37" spans="1:68" ht="37.5" hidden="1" outlineLevel="1" x14ac:dyDescent="0.4">
      <c r="A37" t="s">
        <v>411</v>
      </c>
      <c r="B37" t="s">
        <v>410</v>
      </c>
      <c r="C37" s="24" t="s">
        <v>285</v>
      </c>
      <c r="D37" s="24"/>
      <c r="E37" t="s">
        <v>189</v>
      </c>
      <c r="F37" s="1" t="s">
        <v>297</v>
      </c>
      <c r="H37">
        <v>1</v>
      </c>
      <c r="BL37">
        <v>1450</v>
      </c>
      <c r="BM37">
        <f t="shared" si="2"/>
        <v>145000</v>
      </c>
      <c r="BP37" t="str">
        <f t="shared" si="0"/>
        <v>i_37</v>
      </c>
    </row>
    <row r="38" spans="1:68" ht="37.5" hidden="1" outlineLevel="1" x14ac:dyDescent="0.4">
      <c r="A38" t="s">
        <v>409</v>
      </c>
      <c r="B38" t="s">
        <v>408</v>
      </c>
      <c r="C38" s="24" t="s">
        <v>285</v>
      </c>
      <c r="D38" s="24"/>
      <c r="E38" t="s">
        <v>189</v>
      </c>
      <c r="F38" s="1" t="s">
        <v>294</v>
      </c>
      <c r="H38">
        <v>1</v>
      </c>
      <c r="BL38">
        <v>2100</v>
      </c>
      <c r="BM38">
        <f t="shared" si="2"/>
        <v>210000</v>
      </c>
      <c r="BP38" t="str">
        <f t="shared" si="0"/>
        <v>i_38</v>
      </c>
    </row>
    <row r="39" spans="1:68" ht="37.5" hidden="1" outlineLevel="1" x14ac:dyDescent="0.4">
      <c r="A39" t="s">
        <v>407</v>
      </c>
      <c r="B39" t="s">
        <v>406</v>
      </c>
      <c r="C39" s="24" t="s">
        <v>285</v>
      </c>
      <c r="D39" s="24"/>
      <c r="E39" t="s">
        <v>189</v>
      </c>
      <c r="F39" s="1" t="s">
        <v>291</v>
      </c>
      <c r="H39">
        <v>1</v>
      </c>
      <c r="BL39">
        <v>1350</v>
      </c>
      <c r="BM39">
        <f t="shared" si="2"/>
        <v>135000</v>
      </c>
      <c r="BP39" t="str">
        <f t="shared" si="0"/>
        <v>i_39</v>
      </c>
    </row>
    <row r="40" spans="1:68" ht="37.5" hidden="1" outlineLevel="1" x14ac:dyDescent="0.4">
      <c r="A40" t="s">
        <v>405</v>
      </c>
      <c r="B40" t="s">
        <v>404</v>
      </c>
      <c r="C40" s="24" t="s">
        <v>285</v>
      </c>
      <c r="D40" s="24"/>
      <c r="E40" t="s">
        <v>189</v>
      </c>
      <c r="F40" s="1" t="s">
        <v>288</v>
      </c>
      <c r="H40">
        <v>1</v>
      </c>
      <c r="BL40">
        <v>2000</v>
      </c>
      <c r="BM40">
        <f t="shared" si="2"/>
        <v>200000</v>
      </c>
      <c r="BP40" t="str">
        <f t="shared" si="0"/>
        <v>i_40</v>
      </c>
    </row>
    <row r="41" spans="1:68" ht="37.5" hidden="1" outlineLevel="1" x14ac:dyDescent="0.4">
      <c r="A41" t="s">
        <v>403</v>
      </c>
      <c r="B41" t="s">
        <v>402</v>
      </c>
      <c r="C41" s="24" t="s">
        <v>285</v>
      </c>
      <c r="D41" s="24"/>
      <c r="E41" t="s">
        <v>189</v>
      </c>
      <c r="F41" s="1" t="s">
        <v>284</v>
      </c>
      <c r="H41">
        <v>1</v>
      </c>
      <c r="BL41">
        <v>1900</v>
      </c>
      <c r="BM41">
        <f t="shared" si="2"/>
        <v>190000</v>
      </c>
      <c r="BP41" t="str">
        <f t="shared" si="0"/>
        <v>i_41</v>
      </c>
    </row>
    <row r="42" spans="1:68" ht="37.5" collapsed="1" x14ac:dyDescent="0.4">
      <c r="A42" t="s">
        <v>401</v>
      </c>
      <c r="B42" t="s">
        <v>400</v>
      </c>
      <c r="C42" s="24" t="s">
        <v>285</v>
      </c>
      <c r="D42" s="24"/>
      <c r="E42" t="s">
        <v>189</v>
      </c>
      <c r="F42" s="1" t="s">
        <v>321</v>
      </c>
      <c r="H42">
        <v>2</v>
      </c>
      <c r="BL42">
        <v>5000</v>
      </c>
      <c r="BM42">
        <f t="shared" si="2"/>
        <v>500000</v>
      </c>
      <c r="BP42" t="str">
        <f t="shared" si="0"/>
        <v>i_42</v>
      </c>
    </row>
    <row r="43" spans="1:68" ht="37.5" hidden="1" outlineLevel="1" x14ac:dyDescent="0.4">
      <c r="A43" t="s">
        <v>399</v>
      </c>
      <c r="B43" t="s">
        <v>398</v>
      </c>
      <c r="C43" s="24" t="s">
        <v>285</v>
      </c>
      <c r="D43" s="24"/>
      <c r="E43" t="s">
        <v>189</v>
      </c>
      <c r="F43" s="1" t="s">
        <v>318</v>
      </c>
      <c r="H43">
        <v>2</v>
      </c>
      <c r="BL43">
        <v>4500</v>
      </c>
      <c r="BM43">
        <f t="shared" si="2"/>
        <v>450000</v>
      </c>
      <c r="BP43" t="str">
        <f t="shared" si="0"/>
        <v>i_43</v>
      </c>
    </row>
    <row r="44" spans="1:68" ht="37.5" hidden="1" outlineLevel="1" x14ac:dyDescent="0.4">
      <c r="A44" t="s">
        <v>397</v>
      </c>
      <c r="B44" t="s">
        <v>396</v>
      </c>
      <c r="C44" s="24" t="s">
        <v>285</v>
      </c>
      <c r="D44" s="24"/>
      <c r="E44" t="s">
        <v>189</v>
      </c>
      <c r="F44" s="1" t="s">
        <v>315</v>
      </c>
      <c r="H44">
        <v>2</v>
      </c>
      <c r="BL44">
        <v>6000</v>
      </c>
      <c r="BM44">
        <f t="shared" si="2"/>
        <v>600000</v>
      </c>
      <c r="BP44" t="str">
        <f t="shared" si="0"/>
        <v>i_44</v>
      </c>
    </row>
    <row r="45" spans="1:68" ht="37.5" hidden="1" outlineLevel="1" x14ac:dyDescent="0.4">
      <c r="A45" t="s">
        <v>395</v>
      </c>
      <c r="B45" t="s">
        <v>394</v>
      </c>
      <c r="C45" s="24" t="s">
        <v>285</v>
      </c>
      <c r="D45" s="24"/>
      <c r="E45" t="s">
        <v>189</v>
      </c>
      <c r="F45" s="1" t="s">
        <v>312</v>
      </c>
      <c r="H45">
        <v>2</v>
      </c>
      <c r="BL45">
        <v>3000</v>
      </c>
      <c r="BM45">
        <f t="shared" si="2"/>
        <v>300000</v>
      </c>
      <c r="BP45" t="str">
        <f t="shared" si="0"/>
        <v>i_45</v>
      </c>
    </row>
    <row r="46" spans="1:68" hidden="1" outlineLevel="1" x14ac:dyDescent="0.4">
      <c r="A46" t="s">
        <v>393</v>
      </c>
      <c r="B46" t="s">
        <v>392</v>
      </c>
      <c r="C46" s="24" t="s">
        <v>285</v>
      </c>
      <c r="D46" s="24"/>
      <c r="E46" t="s">
        <v>189</v>
      </c>
      <c r="F46" s="1" t="s">
        <v>309</v>
      </c>
      <c r="H46">
        <v>2</v>
      </c>
      <c r="BL46">
        <v>2800</v>
      </c>
      <c r="BM46">
        <f t="shared" si="2"/>
        <v>280000</v>
      </c>
      <c r="BP46" t="str">
        <f t="shared" si="0"/>
        <v>i_46</v>
      </c>
    </row>
    <row r="47" spans="1:68" ht="37.5" hidden="1" outlineLevel="1" x14ac:dyDescent="0.4">
      <c r="A47" t="s">
        <v>391</v>
      </c>
      <c r="B47" t="s">
        <v>390</v>
      </c>
      <c r="C47" s="24" t="s">
        <v>285</v>
      </c>
      <c r="D47" s="24"/>
      <c r="E47" t="s">
        <v>189</v>
      </c>
      <c r="F47" s="1" t="s">
        <v>306</v>
      </c>
      <c r="H47">
        <v>2</v>
      </c>
      <c r="BL47">
        <v>10000</v>
      </c>
      <c r="BM47">
        <f t="shared" si="2"/>
        <v>1000000</v>
      </c>
      <c r="BP47" t="str">
        <f t="shared" si="0"/>
        <v>i_47</v>
      </c>
    </row>
    <row r="48" spans="1:68" ht="37.5" hidden="1" outlineLevel="1" x14ac:dyDescent="0.4">
      <c r="A48" t="s">
        <v>389</v>
      </c>
      <c r="B48" t="s">
        <v>388</v>
      </c>
      <c r="C48" s="24" t="s">
        <v>285</v>
      </c>
      <c r="D48" s="24"/>
      <c r="E48" t="s">
        <v>189</v>
      </c>
      <c r="F48" s="1" t="s">
        <v>303</v>
      </c>
      <c r="H48">
        <v>2</v>
      </c>
      <c r="BL48">
        <v>3500</v>
      </c>
      <c r="BM48">
        <f t="shared" si="2"/>
        <v>350000</v>
      </c>
      <c r="BP48" t="str">
        <f t="shared" si="0"/>
        <v>i_48</v>
      </c>
    </row>
    <row r="49" spans="1:68" ht="37.5" hidden="1" outlineLevel="1" x14ac:dyDescent="0.4">
      <c r="A49" t="s">
        <v>387</v>
      </c>
      <c r="B49" t="s">
        <v>386</v>
      </c>
      <c r="C49" s="24" t="s">
        <v>285</v>
      </c>
      <c r="D49" s="24"/>
      <c r="E49" t="s">
        <v>189</v>
      </c>
      <c r="F49" s="1" t="s">
        <v>300</v>
      </c>
      <c r="H49">
        <v>2</v>
      </c>
      <c r="BL49">
        <v>3200</v>
      </c>
      <c r="BM49">
        <f t="shared" si="2"/>
        <v>320000</v>
      </c>
      <c r="BP49" t="str">
        <f t="shared" si="0"/>
        <v>i_49</v>
      </c>
    </row>
    <row r="50" spans="1:68" ht="37.5" hidden="1" outlineLevel="1" x14ac:dyDescent="0.4">
      <c r="A50" t="s">
        <v>385</v>
      </c>
      <c r="B50" t="s">
        <v>384</v>
      </c>
      <c r="C50" s="24" t="s">
        <v>285</v>
      </c>
      <c r="D50" s="24"/>
      <c r="E50" t="s">
        <v>189</v>
      </c>
      <c r="F50" s="1" t="s">
        <v>297</v>
      </c>
      <c r="H50">
        <v>2</v>
      </c>
      <c r="BL50">
        <v>2900</v>
      </c>
      <c r="BM50">
        <f t="shared" si="2"/>
        <v>290000</v>
      </c>
      <c r="BP50" t="str">
        <f t="shared" si="0"/>
        <v>i_50</v>
      </c>
    </row>
    <row r="51" spans="1:68" ht="37.5" hidden="1" outlineLevel="1" x14ac:dyDescent="0.4">
      <c r="A51" t="s">
        <v>383</v>
      </c>
      <c r="B51" t="s">
        <v>382</v>
      </c>
      <c r="C51" s="24" t="s">
        <v>285</v>
      </c>
      <c r="D51" s="24"/>
      <c r="E51" t="s">
        <v>189</v>
      </c>
      <c r="F51" s="1" t="s">
        <v>294</v>
      </c>
      <c r="H51">
        <v>2</v>
      </c>
      <c r="BL51">
        <v>4200</v>
      </c>
      <c r="BM51">
        <f t="shared" si="2"/>
        <v>420000</v>
      </c>
      <c r="BP51" t="str">
        <f t="shared" si="0"/>
        <v>i_51</v>
      </c>
    </row>
    <row r="52" spans="1:68" ht="37.5" hidden="1" outlineLevel="1" x14ac:dyDescent="0.4">
      <c r="A52" t="s">
        <v>381</v>
      </c>
      <c r="B52" t="s">
        <v>380</v>
      </c>
      <c r="C52" s="24" t="s">
        <v>285</v>
      </c>
      <c r="D52" s="24"/>
      <c r="E52" t="s">
        <v>189</v>
      </c>
      <c r="F52" s="1" t="s">
        <v>291</v>
      </c>
      <c r="H52">
        <v>2</v>
      </c>
      <c r="BL52">
        <v>2700</v>
      </c>
      <c r="BM52">
        <f t="shared" si="2"/>
        <v>270000</v>
      </c>
      <c r="BP52" t="str">
        <f t="shared" si="0"/>
        <v>i_52</v>
      </c>
    </row>
    <row r="53" spans="1:68" ht="37.5" hidden="1" outlineLevel="1" x14ac:dyDescent="0.4">
      <c r="A53" t="s">
        <v>379</v>
      </c>
      <c r="B53" t="s">
        <v>378</v>
      </c>
      <c r="C53" s="24" t="s">
        <v>285</v>
      </c>
      <c r="D53" s="24"/>
      <c r="E53" t="s">
        <v>189</v>
      </c>
      <c r="F53" s="1" t="s">
        <v>288</v>
      </c>
      <c r="H53">
        <v>2</v>
      </c>
      <c r="BL53">
        <v>4000</v>
      </c>
      <c r="BM53">
        <f t="shared" si="2"/>
        <v>400000</v>
      </c>
      <c r="BP53" t="str">
        <f t="shared" si="0"/>
        <v>i_53</v>
      </c>
    </row>
    <row r="54" spans="1:68" ht="37.5" hidden="1" outlineLevel="1" x14ac:dyDescent="0.4">
      <c r="A54" t="s">
        <v>377</v>
      </c>
      <c r="B54" t="s">
        <v>376</v>
      </c>
      <c r="C54" s="24" t="s">
        <v>285</v>
      </c>
      <c r="D54" s="24"/>
      <c r="E54" t="s">
        <v>189</v>
      </c>
      <c r="F54" s="1" t="s">
        <v>284</v>
      </c>
      <c r="H54">
        <v>2</v>
      </c>
      <c r="BL54">
        <v>3800</v>
      </c>
      <c r="BM54">
        <f t="shared" si="2"/>
        <v>380000</v>
      </c>
      <c r="BP54" t="str">
        <f t="shared" si="0"/>
        <v>i_54</v>
      </c>
    </row>
    <row r="55" spans="1:68" ht="37.5" hidden="1" outlineLevel="1" x14ac:dyDescent="0.4">
      <c r="A55" t="s">
        <v>375</v>
      </c>
      <c r="B55" t="s">
        <v>374</v>
      </c>
      <c r="C55" s="24" t="s">
        <v>285</v>
      </c>
      <c r="D55" s="24"/>
      <c r="E55" t="s">
        <v>189</v>
      </c>
      <c r="F55" s="1" t="s">
        <v>321</v>
      </c>
      <c r="H55">
        <v>3</v>
      </c>
      <c r="BL55">
        <v>7500</v>
      </c>
      <c r="BM55">
        <f t="shared" si="2"/>
        <v>750000</v>
      </c>
      <c r="BP55" t="str">
        <f t="shared" si="0"/>
        <v>i_55</v>
      </c>
    </row>
    <row r="56" spans="1:68" ht="37.5" hidden="1" outlineLevel="1" x14ac:dyDescent="0.4">
      <c r="A56" t="s">
        <v>373</v>
      </c>
      <c r="B56" t="s">
        <v>372</v>
      </c>
      <c r="C56" s="24" t="s">
        <v>285</v>
      </c>
      <c r="D56" s="24"/>
      <c r="E56" t="s">
        <v>189</v>
      </c>
      <c r="F56" s="1" t="s">
        <v>318</v>
      </c>
      <c r="H56">
        <v>3</v>
      </c>
      <c r="BL56">
        <v>6750</v>
      </c>
      <c r="BM56">
        <f t="shared" si="2"/>
        <v>675000</v>
      </c>
      <c r="BP56" t="str">
        <f t="shared" si="0"/>
        <v>i_56</v>
      </c>
    </row>
    <row r="57" spans="1:68" ht="37.5" hidden="1" outlineLevel="1" x14ac:dyDescent="0.4">
      <c r="A57" t="s">
        <v>371</v>
      </c>
      <c r="B57" t="s">
        <v>370</v>
      </c>
      <c r="C57" s="24" t="s">
        <v>285</v>
      </c>
      <c r="D57" s="24"/>
      <c r="E57" t="s">
        <v>189</v>
      </c>
      <c r="F57" s="1" t="s">
        <v>315</v>
      </c>
      <c r="H57">
        <v>3</v>
      </c>
      <c r="BL57">
        <v>9000</v>
      </c>
      <c r="BM57">
        <f t="shared" si="2"/>
        <v>900000</v>
      </c>
      <c r="BP57" t="str">
        <f t="shared" si="0"/>
        <v>i_57</v>
      </c>
    </row>
    <row r="58" spans="1:68" ht="37.5" hidden="1" outlineLevel="1" x14ac:dyDescent="0.4">
      <c r="A58" t="s">
        <v>369</v>
      </c>
      <c r="B58" t="s">
        <v>368</v>
      </c>
      <c r="C58" s="24" t="s">
        <v>285</v>
      </c>
      <c r="D58" s="24"/>
      <c r="E58" t="s">
        <v>189</v>
      </c>
      <c r="F58" s="1" t="s">
        <v>312</v>
      </c>
      <c r="H58">
        <v>3</v>
      </c>
      <c r="BL58">
        <v>4500</v>
      </c>
      <c r="BM58">
        <f t="shared" si="2"/>
        <v>450000</v>
      </c>
      <c r="BP58" t="str">
        <f t="shared" si="0"/>
        <v>i_58</v>
      </c>
    </row>
    <row r="59" spans="1:68" hidden="1" outlineLevel="1" x14ac:dyDescent="0.4">
      <c r="A59" t="s">
        <v>367</v>
      </c>
      <c r="B59" t="s">
        <v>366</v>
      </c>
      <c r="C59" s="24" t="s">
        <v>285</v>
      </c>
      <c r="D59" s="24"/>
      <c r="E59" t="s">
        <v>189</v>
      </c>
      <c r="F59" s="1" t="s">
        <v>309</v>
      </c>
      <c r="H59">
        <v>3</v>
      </c>
      <c r="BL59">
        <v>4200</v>
      </c>
      <c r="BM59">
        <f t="shared" si="2"/>
        <v>420000</v>
      </c>
      <c r="BP59" t="str">
        <f t="shared" si="0"/>
        <v>i_59</v>
      </c>
    </row>
    <row r="60" spans="1:68" ht="37.5" hidden="1" outlineLevel="1" x14ac:dyDescent="0.4">
      <c r="A60" t="s">
        <v>365</v>
      </c>
      <c r="B60" t="s">
        <v>364</v>
      </c>
      <c r="C60" s="24" t="s">
        <v>285</v>
      </c>
      <c r="D60" s="24"/>
      <c r="E60" t="s">
        <v>189</v>
      </c>
      <c r="F60" s="1" t="s">
        <v>306</v>
      </c>
      <c r="H60">
        <v>3</v>
      </c>
      <c r="BL60">
        <v>15000</v>
      </c>
      <c r="BM60">
        <f t="shared" si="2"/>
        <v>1500000</v>
      </c>
      <c r="BP60" t="str">
        <f t="shared" si="0"/>
        <v>i_60</v>
      </c>
    </row>
    <row r="61" spans="1:68" ht="37.5" hidden="1" outlineLevel="1" x14ac:dyDescent="0.4">
      <c r="A61" t="s">
        <v>363</v>
      </c>
      <c r="B61" t="s">
        <v>362</v>
      </c>
      <c r="C61" s="24" t="s">
        <v>285</v>
      </c>
      <c r="D61" s="24"/>
      <c r="E61" t="s">
        <v>189</v>
      </c>
      <c r="F61" s="1" t="s">
        <v>303</v>
      </c>
      <c r="H61">
        <v>3</v>
      </c>
      <c r="BL61">
        <v>5250</v>
      </c>
      <c r="BM61">
        <f t="shared" si="2"/>
        <v>525000</v>
      </c>
      <c r="BP61" t="str">
        <f t="shared" si="0"/>
        <v>i_61</v>
      </c>
    </row>
    <row r="62" spans="1:68" ht="37.5" hidden="1" outlineLevel="1" x14ac:dyDescent="0.4">
      <c r="A62" t="s">
        <v>361</v>
      </c>
      <c r="B62" t="s">
        <v>360</v>
      </c>
      <c r="C62" s="24" t="s">
        <v>285</v>
      </c>
      <c r="D62" s="24"/>
      <c r="E62" t="s">
        <v>189</v>
      </c>
      <c r="F62" s="1" t="s">
        <v>300</v>
      </c>
      <c r="H62">
        <v>3</v>
      </c>
      <c r="BL62">
        <v>4800</v>
      </c>
      <c r="BM62">
        <f t="shared" si="2"/>
        <v>480000</v>
      </c>
      <c r="BP62" t="str">
        <f t="shared" si="0"/>
        <v>i_62</v>
      </c>
    </row>
    <row r="63" spans="1:68" ht="37.5" hidden="1" outlineLevel="1" x14ac:dyDescent="0.4">
      <c r="A63" t="s">
        <v>359</v>
      </c>
      <c r="B63" t="s">
        <v>358</v>
      </c>
      <c r="C63" s="24" t="s">
        <v>285</v>
      </c>
      <c r="D63" s="24"/>
      <c r="E63" t="s">
        <v>189</v>
      </c>
      <c r="F63" s="1" t="s">
        <v>297</v>
      </c>
      <c r="H63">
        <v>3</v>
      </c>
      <c r="BL63">
        <v>4350</v>
      </c>
      <c r="BM63">
        <f t="shared" si="2"/>
        <v>435000</v>
      </c>
      <c r="BP63" t="str">
        <f t="shared" si="0"/>
        <v>i_63</v>
      </c>
    </row>
    <row r="64" spans="1:68" ht="37.5" hidden="1" outlineLevel="1" x14ac:dyDescent="0.4">
      <c r="A64" t="s">
        <v>357</v>
      </c>
      <c r="B64" t="s">
        <v>356</v>
      </c>
      <c r="C64" s="24" t="s">
        <v>285</v>
      </c>
      <c r="D64" s="24"/>
      <c r="E64" t="s">
        <v>189</v>
      </c>
      <c r="F64" s="1" t="s">
        <v>294</v>
      </c>
      <c r="H64">
        <v>3</v>
      </c>
      <c r="BL64">
        <v>6300</v>
      </c>
      <c r="BM64">
        <f t="shared" si="2"/>
        <v>630000</v>
      </c>
      <c r="BP64" t="str">
        <f t="shared" si="0"/>
        <v>i_64</v>
      </c>
    </row>
    <row r="65" spans="1:68" ht="37.5" hidden="1" outlineLevel="1" x14ac:dyDescent="0.4">
      <c r="A65" t="s">
        <v>355</v>
      </c>
      <c r="B65" t="s">
        <v>354</v>
      </c>
      <c r="C65" s="24" t="s">
        <v>285</v>
      </c>
      <c r="D65" s="24"/>
      <c r="E65" t="s">
        <v>189</v>
      </c>
      <c r="F65" s="1" t="s">
        <v>291</v>
      </c>
      <c r="H65">
        <v>3</v>
      </c>
      <c r="BL65">
        <v>4050</v>
      </c>
      <c r="BM65">
        <f t="shared" si="2"/>
        <v>405000</v>
      </c>
      <c r="BP65" t="str">
        <f t="shared" si="0"/>
        <v>i_65</v>
      </c>
    </row>
    <row r="66" spans="1:68" ht="37.5" hidden="1" outlineLevel="1" x14ac:dyDescent="0.4">
      <c r="A66" t="s">
        <v>353</v>
      </c>
      <c r="B66" t="s">
        <v>352</v>
      </c>
      <c r="C66" s="24" t="s">
        <v>285</v>
      </c>
      <c r="D66" s="24"/>
      <c r="E66" t="s">
        <v>189</v>
      </c>
      <c r="F66" s="1" t="s">
        <v>288</v>
      </c>
      <c r="H66">
        <v>3</v>
      </c>
      <c r="BL66">
        <v>6000</v>
      </c>
      <c r="BM66">
        <f t="shared" si="2"/>
        <v>600000</v>
      </c>
      <c r="BP66" t="str">
        <f t="shared" si="0"/>
        <v>i_66</v>
      </c>
    </row>
    <row r="67" spans="1:68" ht="37.5" hidden="1" outlineLevel="1" x14ac:dyDescent="0.4">
      <c r="A67" t="s">
        <v>351</v>
      </c>
      <c r="B67" t="s">
        <v>350</v>
      </c>
      <c r="C67" s="24" t="s">
        <v>285</v>
      </c>
      <c r="D67" s="24"/>
      <c r="E67" t="s">
        <v>189</v>
      </c>
      <c r="F67" s="1" t="s">
        <v>284</v>
      </c>
      <c r="H67">
        <v>3</v>
      </c>
      <c r="BL67">
        <v>5700</v>
      </c>
      <c r="BM67">
        <f t="shared" si="2"/>
        <v>570000</v>
      </c>
      <c r="BP67" t="str">
        <f t="shared" si="0"/>
        <v>i_67</v>
      </c>
    </row>
    <row r="68" spans="1:68" ht="37.5" hidden="1" outlineLevel="1" x14ac:dyDescent="0.4">
      <c r="A68" t="s">
        <v>349</v>
      </c>
      <c r="B68" t="s">
        <v>348</v>
      </c>
      <c r="C68" s="24" t="s">
        <v>285</v>
      </c>
      <c r="D68" s="24"/>
      <c r="E68" t="s">
        <v>189</v>
      </c>
      <c r="F68" s="1" t="s">
        <v>321</v>
      </c>
      <c r="H68">
        <v>4</v>
      </c>
      <c r="BL68">
        <v>10000</v>
      </c>
      <c r="BM68">
        <f t="shared" si="2"/>
        <v>1000000</v>
      </c>
      <c r="BP68" t="str">
        <f t="shared" si="0"/>
        <v>i_68</v>
      </c>
    </row>
    <row r="69" spans="1:68" ht="37.5" hidden="1" outlineLevel="1" x14ac:dyDescent="0.4">
      <c r="A69" t="s">
        <v>347</v>
      </c>
      <c r="B69" t="s">
        <v>346</v>
      </c>
      <c r="C69" s="24" t="s">
        <v>285</v>
      </c>
      <c r="D69" s="24"/>
      <c r="E69" t="s">
        <v>189</v>
      </c>
      <c r="F69" s="1" t="s">
        <v>318</v>
      </c>
      <c r="H69">
        <v>4</v>
      </c>
      <c r="BL69">
        <v>9000</v>
      </c>
      <c r="BM69">
        <f t="shared" si="2"/>
        <v>900000</v>
      </c>
      <c r="BP69" t="str">
        <f t="shared" ref="BP69:BP132" si="3">"i_"&amp;ROW(BP69)</f>
        <v>i_69</v>
      </c>
    </row>
    <row r="70" spans="1:68" ht="37.5" hidden="1" outlineLevel="1" x14ac:dyDescent="0.4">
      <c r="A70" t="s">
        <v>345</v>
      </c>
      <c r="B70" t="s">
        <v>344</v>
      </c>
      <c r="C70" s="24" t="s">
        <v>285</v>
      </c>
      <c r="D70" s="24"/>
      <c r="E70" t="s">
        <v>189</v>
      </c>
      <c r="F70" s="1" t="s">
        <v>315</v>
      </c>
      <c r="H70">
        <v>4</v>
      </c>
      <c r="BL70">
        <v>12000</v>
      </c>
      <c r="BM70">
        <f t="shared" ref="BM70:BM133" si="4">BL70*100</f>
        <v>1200000</v>
      </c>
      <c r="BP70" t="str">
        <f t="shared" si="3"/>
        <v>i_70</v>
      </c>
    </row>
    <row r="71" spans="1:68" ht="37.5" hidden="1" outlineLevel="1" x14ac:dyDescent="0.4">
      <c r="A71" t="s">
        <v>343</v>
      </c>
      <c r="B71" t="s">
        <v>342</v>
      </c>
      <c r="C71" s="24" t="s">
        <v>285</v>
      </c>
      <c r="D71" s="24"/>
      <c r="E71" t="s">
        <v>189</v>
      </c>
      <c r="F71" s="1" t="s">
        <v>312</v>
      </c>
      <c r="H71">
        <v>4</v>
      </c>
      <c r="BL71">
        <v>6000</v>
      </c>
      <c r="BM71">
        <f t="shared" si="4"/>
        <v>600000</v>
      </c>
      <c r="BP71" t="str">
        <f t="shared" si="3"/>
        <v>i_71</v>
      </c>
    </row>
    <row r="72" spans="1:68" hidden="1" outlineLevel="1" x14ac:dyDescent="0.4">
      <c r="A72" t="s">
        <v>341</v>
      </c>
      <c r="B72" t="s">
        <v>340</v>
      </c>
      <c r="C72" s="24" t="s">
        <v>285</v>
      </c>
      <c r="D72" s="24"/>
      <c r="E72" t="s">
        <v>189</v>
      </c>
      <c r="F72" s="1" t="s">
        <v>309</v>
      </c>
      <c r="H72">
        <v>4</v>
      </c>
      <c r="BL72">
        <v>5600</v>
      </c>
      <c r="BM72">
        <f t="shared" si="4"/>
        <v>560000</v>
      </c>
      <c r="BP72" t="str">
        <f t="shared" si="3"/>
        <v>i_72</v>
      </c>
    </row>
    <row r="73" spans="1:68" ht="37.5" hidden="1" outlineLevel="1" x14ac:dyDescent="0.4">
      <c r="A73" t="s">
        <v>339</v>
      </c>
      <c r="B73" t="s">
        <v>338</v>
      </c>
      <c r="C73" s="24" t="s">
        <v>285</v>
      </c>
      <c r="D73" s="24"/>
      <c r="E73" t="s">
        <v>189</v>
      </c>
      <c r="F73" s="1" t="s">
        <v>306</v>
      </c>
      <c r="H73">
        <v>4</v>
      </c>
      <c r="BL73">
        <v>20000</v>
      </c>
      <c r="BM73">
        <f t="shared" si="4"/>
        <v>2000000</v>
      </c>
      <c r="BP73" t="str">
        <f t="shared" si="3"/>
        <v>i_73</v>
      </c>
    </row>
    <row r="74" spans="1:68" ht="37.5" hidden="1" outlineLevel="1" x14ac:dyDescent="0.4">
      <c r="A74" t="s">
        <v>337</v>
      </c>
      <c r="B74" t="s">
        <v>336</v>
      </c>
      <c r="C74" s="24" t="s">
        <v>285</v>
      </c>
      <c r="D74" s="24"/>
      <c r="E74" t="s">
        <v>189</v>
      </c>
      <c r="F74" s="1" t="s">
        <v>303</v>
      </c>
      <c r="H74">
        <v>4</v>
      </c>
      <c r="BL74">
        <v>7000</v>
      </c>
      <c r="BM74">
        <f t="shared" si="4"/>
        <v>700000</v>
      </c>
      <c r="BP74" t="str">
        <f t="shared" si="3"/>
        <v>i_74</v>
      </c>
    </row>
    <row r="75" spans="1:68" ht="37.5" hidden="1" outlineLevel="1" x14ac:dyDescent="0.4">
      <c r="A75" t="s">
        <v>335</v>
      </c>
      <c r="B75" t="s">
        <v>334</v>
      </c>
      <c r="C75" s="24" t="s">
        <v>285</v>
      </c>
      <c r="D75" s="24"/>
      <c r="E75" t="s">
        <v>189</v>
      </c>
      <c r="F75" s="1" t="s">
        <v>300</v>
      </c>
      <c r="H75">
        <v>4</v>
      </c>
      <c r="BL75">
        <v>6400</v>
      </c>
      <c r="BM75">
        <f t="shared" si="4"/>
        <v>640000</v>
      </c>
      <c r="BP75" t="str">
        <f t="shared" si="3"/>
        <v>i_75</v>
      </c>
    </row>
    <row r="76" spans="1:68" ht="37.5" hidden="1" outlineLevel="1" x14ac:dyDescent="0.4">
      <c r="A76" t="s">
        <v>333</v>
      </c>
      <c r="B76" t="s">
        <v>332</v>
      </c>
      <c r="C76" s="24" t="s">
        <v>285</v>
      </c>
      <c r="D76" s="24"/>
      <c r="E76" t="s">
        <v>189</v>
      </c>
      <c r="F76" s="1" t="s">
        <v>297</v>
      </c>
      <c r="H76">
        <v>4</v>
      </c>
      <c r="BL76">
        <v>5800</v>
      </c>
      <c r="BM76">
        <f t="shared" si="4"/>
        <v>580000</v>
      </c>
      <c r="BP76" t="str">
        <f t="shared" si="3"/>
        <v>i_76</v>
      </c>
    </row>
    <row r="77" spans="1:68" ht="37.5" hidden="1" outlineLevel="1" x14ac:dyDescent="0.4">
      <c r="A77" t="s">
        <v>331</v>
      </c>
      <c r="B77" t="s">
        <v>330</v>
      </c>
      <c r="C77" s="24" t="s">
        <v>285</v>
      </c>
      <c r="D77" s="24"/>
      <c r="E77" t="s">
        <v>189</v>
      </c>
      <c r="F77" s="1" t="s">
        <v>294</v>
      </c>
      <c r="H77">
        <v>4</v>
      </c>
      <c r="BL77">
        <v>8400</v>
      </c>
      <c r="BM77">
        <f t="shared" si="4"/>
        <v>840000</v>
      </c>
      <c r="BP77" t="str">
        <f t="shared" si="3"/>
        <v>i_77</v>
      </c>
    </row>
    <row r="78" spans="1:68" ht="37.5" hidden="1" outlineLevel="1" x14ac:dyDescent="0.4">
      <c r="A78" t="s">
        <v>329</v>
      </c>
      <c r="B78" t="s">
        <v>328</v>
      </c>
      <c r="C78" s="24" t="s">
        <v>285</v>
      </c>
      <c r="D78" s="24"/>
      <c r="E78" t="s">
        <v>189</v>
      </c>
      <c r="F78" s="1" t="s">
        <v>291</v>
      </c>
      <c r="H78">
        <v>4</v>
      </c>
      <c r="BL78">
        <v>5400</v>
      </c>
      <c r="BM78">
        <f t="shared" si="4"/>
        <v>540000</v>
      </c>
      <c r="BP78" t="str">
        <f t="shared" si="3"/>
        <v>i_78</v>
      </c>
    </row>
    <row r="79" spans="1:68" ht="37.5" hidden="1" outlineLevel="1" x14ac:dyDescent="0.4">
      <c r="A79" t="s">
        <v>327</v>
      </c>
      <c r="B79" t="s">
        <v>326</v>
      </c>
      <c r="C79" s="24" t="s">
        <v>285</v>
      </c>
      <c r="D79" s="24"/>
      <c r="E79" t="s">
        <v>189</v>
      </c>
      <c r="F79" s="1" t="s">
        <v>288</v>
      </c>
      <c r="H79">
        <v>4</v>
      </c>
      <c r="BL79">
        <v>8000</v>
      </c>
      <c r="BM79">
        <f t="shared" si="4"/>
        <v>800000</v>
      </c>
      <c r="BP79" t="str">
        <f t="shared" si="3"/>
        <v>i_79</v>
      </c>
    </row>
    <row r="80" spans="1:68" ht="37.5" hidden="1" outlineLevel="1" x14ac:dyDescent="0.4">
      <c r="A80" t="s">
        <v>325</v>
      </c>
      <c r="B80" t="s">
        <v>324</v>
      </c>
      <c r="C80" s="24" t="s">
        <v>285</v>
      </c>
      <c r="D80" s="24"/>
      <c r="E80" t="s">
        <v>189</v>
      </c>
      <c r="F80" s="1" t="s">
        <v>284</v>
      </c>
      <c r="H80">
        <v>4</v>
      </c>
      <c r="BL80">
        <v>7600</v>
      </c>
      <c r="BM80">
        <f t="shared" si="4"/>
        <v>760000</v>
      </c>
      <c r="BP80" t="str">
        <f t="shared" si="3"/>
        <v>i_80</v>
      </c>
    </row>
    <row r="81" spans="1:68" ht="37.5" hidden="1" outlineLevel="1" x14ac:dyDescent="0.4">
      <c r="A81" t="s">
        <v>323</v>
      </c>
      <c r="B81" t="s">
        <v>322</v>
      </c>
      <c r="C81" s="24" t="s">
        <v>285</v>
      </c>
      <c r="D81" s="24"/>
      <c r="E81" t="s">
        <v>189</v>
      </c>
      <c r="F81" s="1" t="s">
        <v>321</v>
      </c>
      <c r="H81">
        <v>5</v>
      </c>
      <c r="BL81">
        <v>12500</v>
      </c>
      <c r="BM81">
        <f t="shared" si="4"/>
        <v>1250000</v>
      </c>
      <c r="BP81" t="str">
        <f t="shared" si="3"/>
        <v>i_81</v>
      </c>
    </row>
    <row r="82" spans="1:68" ht="37.5" hidden="1" outlineLevel="1" x14ac:dyDescent="0.4">
      <c r="A82" t="s">
        <v>320</v>
      </c>
      <c r="B82" t="s">
        <v>319</v>
      </c>
      <c r="C82" s="24" t="s">
        <v>285</v>
      </c>
      <c r="D82" s="24"/>
      <c r="E82" t="s">
        <v>189</v>
      </c>
      <c r="F82" s="1" t="s">
        <v>318</v>
      </c>
      <c r="H82">
        <v>5</v>
      </c>
      <c r="BL82">
        <v>11250</v>
      </c>
      <c r="BM82">
        <f t="shared" si="4"/>
        <v>1125000</v>
      </c>
      <c r="BP82" t="str">
        <f t="shared" si="3"/>
        <v>i_82</v>
      </c>
    </row>
    <row r="83" spans="1:68" ht="37.5" hidden="1" outlineLevel="1" x14ac:dyDescent="0.4">
      <c r="A83" t="s">
        <v>317</v>
      </c>
      <c r="B83" t="s">
        <v>316</v>
      </c>
      <c r="C83" s="24" t="s">
        <v>285</v>
      </c>
      <c r="D83" s="24"/>
      <c r="E83" t="s">
        <v>189</v>
      </c>
      <c r="F83" s="1" t="s">
        <v>315</v>
      </c>
      <c r="H83">
        <v>5</v>
      </c>
      <c r="BL83">
        <v>15000</v>
      </c>
      <c r="BM83">
        <f t="shared" si="4"/>
        <v>1500000</v>
      </c>
      <c r="BP83" t="str">
        <f t="shared" si="3"/>
        <v>i_83</v>
      </c>
    </row>
    <row r="84" spans="1:68" ht="37.5" hidden="1" outlineLevel="1" x14ac:dyDescent="0.4">
      <c r="A84" t="s">
        <v>314</v>
      </c>
      <c r="B84" t="s">
        <v>313</v>
      </c>
      <c r="C84" s="24" t="s">
        <v>285</v>
      </c>
      <c r="D84" s="24"/>
      <c r="E84" t="s">
        <v>189</v>
      </c>
      <c r="F84" s="1" t="s">
        <v>312</v>
      </c>
      <c r="H84">
        <v>5</v>
      </c>
      <c r="BL84">
        <v>7500</v>
      </c>
      <c r="BM84">
        <f t="shared" si="4"/>
        <v>750000</v>
      </c>
      <c r="BP84" t="str">
        <f t="shared" si="3"/>
        <v>i_84</v>
      </c>
    </row>
    <row r="85" spans="1:68" hidden="1" outlineLevel="1" x14ac:dyDescent="0.4">
      <c r="A85" t="s">
        <v>311</v>
      </c>
      <c r="B85" t="s">
        <v>310</v>
      </c>
      <c r="C85" s="24" t="s">
        <v>285</v>
      </c>
      <c r="D85" s="24"/>
      <c r="E85" t="s">
        <v>189</v>
      </c>
      <c r="F85" s="1" t="s">
        <v>309</v>
      </c>
      <c r="H85">
        <v>5</v>
      </c>
      <c r="BL85">
        <v>7000</v>
      </c>
      <c r="BM85">
        <f t="shared" si="4"/>
        <v>700000</v>
      </c>
      <c r="BP85" t="str">
        <f t="shared" si="3"/>
        <v>i_85</v>
      </c>
    </row>
    <row r="86" spans="1:68" ht="37.5" hidden="1" outlineLevel="1" x14ac:dyDescent="0.4">
      <c r="A86" t="s">
        <v>308</v>
      </c>
      <c r="B86" t="s">
        <v>307</v>
      </c>
      <c r="C86" s="24" t="s">
        <v>285</v>
      </c>
      <c r="D86" s="24"/>
      <c r="E86" t="s">
        <v>189</v>
      </c>
      <c r="F86" s="1" t="s">
        <v>306</v>
      </c>
      <c r="H86">
        <v>5</v>
      </c>
      <c r="BL86">
        <v>25000</v>
      </c>
      <c r="BM86">
        <f t="shared" si="4"/>
        <v>2500000</v>
      </c>
      <c r="BP86" t="str">
        <f t="shared" si="3"/>
        <v>i_86</v>
      </c>
    </row>
    <row r="87" spans="1:68" ht="37.5" hidden="1" outlineLevel="1" x14ac:dyDescent="0.4">
      <c r="A87" t="s">
        <v>305</v>
      </c>
      <c r="B87" t="s">
        <v>304</v>
      </c>
      <c r="C87" s="24" t="s">
        <v>285</v>
      </c>
      <c r="D87" s="24"/>
      <c r="E87" t="s">
        <v>189</v>
      </c>
      <c r="F87" s="1" t="s">
        <v>303</v>
      </c>
      <c r="H87">
        <v>5</v>
      </c>
      <c r="BL87">
        <v>8750</v>
      </c>
      <c r="BM87">
        <f t="shared" si="4"/>
        <v>875000</v>
      </c>
      <c r="BP87" t="str">
        <f t="shared" si="3"/>
        <v>i_87</v>
      </c>
    </row>
    <row r="88" spans="1:68" ht="37.5" hidden="1" outlineLevel="1" x14ac:dyDescent="0.4">
      <c r="A88" t="s">
        <v>302</v>
      </c>
      <c r="B88" t="s">
        <v>301</v>
      </c>
      <c r="C88" s="24" t="s">
        <v>285</v>
      </c>
      <c r="D88" s="24"/>
      <c r="E88" t="s">
        <v>189</v>
      </c>
      <c r="F88" s="1" t="s">
        <v>300</v>
      </c>
      <c r="H88">
        <v>5</v>
      </c>
      <c r="BL88">
        <v>8000</v>
      </c>
      <c r="BM88">
        <f t="shared" si="4"/>
        <v>800000</v>
      </c>
      <c r="BP88" t="str">
        <f t="shared" si="3"/>
        <v>i_88</v>
      </c>
    </row>
    <row r="89" spans="1:68" ht="37.5" hidden="1" outlineLevel="1" x14ac:dyDescent="0.4">
      <c r="A89" t="s">
        <v>299</v>
      </c>
      <c r="B89" t="s">
        <v>298</v>
      </c>
      <c r="C89" s="24" t="s">
        <v>285</v>
      </c>
      <c r="D89" s="24"/>
      <c r="E89" t="s">
        <v>189</v>
      </c>
      <c r="F89" s="1" t="s">
        <v>297</v>
      </c>
      <c r="H89">
        <v>5</v>
      </c>
      <c r="BL89">
        <v>7250</v>
      </c>
      <c r="BM89">
        <f t="shared" si="4"/>
        <v>725000</v>
      </c>
      <c r="BP89" t="str">
        <f t="shared" si="3"/>
        <v>i_89</v>
      </c>
    </row>
    <row r="90" spans="1:68" ht="37.5" hidden="1" outlineLevel="1" x14ac:dyDescent="0.4">
      <c r="A90" t="s">
        <v>296</v>
      </c>
      <c r="B90" t="s">
        <v>295</v>
      </c>
      <c r="C90" s="24" t="s">
        <v>285</v>
      </c>
      <c r="D90" s="24"/>
      <c r="E90" t="s">
        <v>189</v>
      </c>
      <c r="F90" s="1" t="s">
        <v>294</v>
      </c>
      <c r="H90">
        <v>5</v>
      </c>
      <c r="BL90">
        <v>10500</v>
      </c>
      <c r="BM90">
        <f t="shared" si="4"/>
        <v>1050000</v>
      </c>
      <c r="BP90" t="str">
        <f t="shared" si="3"/>
        <v>i_90</v>
      </c>
    </row>
    <row r="91" spans="1:68" ht="37.5" hidden="1" outlineLevel="1" x14ac:dyDescent="0.4">
      <c r="A91" t="s">
        <v>293</v>
      </c>
      <c r="B91" t="s">
        <v>292</v>
      </c>
      <c r="C91" s="24" t="s">
        <v>285</v>
      </c>
      <c r="D91" s="24"/>
      <c r="E91" t="s">
        <v>189</v>
      </c>
      <c r="F91" s="1" t="s">
        <v>291</v>
      </c>
      <c r="H91">
        <v>5</v>
      </c>
      <c r="BL91">
        <v>6750</v>
      </c>
      <c r="BM91">
        <f t="shared" si="4"/>
        <v>675000</v>
      </c>
      <c r="BP91" t="str">
        <f t="shared" si="3"/>
        <v>i_91</v>
      </c>
    </row>
    <row r="92" spans="1:68" ht="37.5" hidden="1" outlineLevel="1" x14ac:dyDescent="0.4">
      <c r="A92" t="s">
        <v>290</v>
      </c>
      <c r="B92" t="s">
        <v>289</v>
      </c>
      <c r="C92" s="24" t="s">
        <v>285</v>
      </c>
      <c r="D92" s="24"/>
      <c r="E92" t="s">
        <v>189</v>
      </c>
      <c r="F92" s="1" t="s">
        <v>288</v>
      </c>
      <c r="H92">
        <v>5</v>
      </c>
      <c r="BL92">
        <v>10000</v>
      </c>
      <c r="BM92">
        <f t="shared" si="4"/>
        <v>1000000</v>
      </c>
      <c r="BP92" t="str">
        <f t="shared" si="3"/>
        <v>i_92</v>
      </c>
    </row>
    <row r="93" spans="1:68" ht="37.5" hidden="1" outlineLevel="1" x14ac:dyDescent="0.4">
      <c r="A93" t="s">
        <v>287</v>
      </c>
      <c r="B93" t="s">
        <v>286</v>
      </c>
      <c r="C93" s="24" t="s">
        <v>285</v>
      </c>
      <c r="D93" s="24"/>
      <c r="E93" t="s">
        <v>189</v>
      </c>
      <c r="F93" s="1" t="s">
        <v>284</v>
      </c>
      <c r="H93">
        <v>5</v>
      </c>
      <c r="BL93">
        <v>9500</v>
      </c>
      <c r="BM93">
        <f t="shared" si="4"/>
        <v>950000</v>
      </c>
      <c r="BP93" t="str">
        <f t="shared" si="3"/>
        <v>i_93</v>
      </c>
    </row>
    <row r="94" spans="1:68" hidden="1" outlineLevel="1" x14ac:dyDescent="0.4">
      <c r="C94" s="24"/>
      <c r="D94" s="24"/>
      <c r="BM94">
        <f t="shared" si="4"/>
        <v>0</v>
      </c>
      <c r="BP94" t="str">
        <f t="shared" si="3"/>
        <v>i_94</v>
      </c>
    </row>
    <row r="95" spans="1:68" hidden="1" outlineLevel="1" x14ac:dyDescent="0.4">
      <c r="C95" s="24"/>
      <c r="D95" s="24"/>
      <c r="BM95">
        <f t="shared" si="4"/>
        <v>0</v>
      </c>
      <c r="BP95" t="str">
        <f t="shared" si="3"/>
        <v>i_95</v>
      </c>
    </row>
    <row r="96" spans="1:68" hidden="1" outlineLevel="1" x14ac:dyDescent="0.4">
      <c r="C96" s="24"/>
      <c r="D96" s="24"/>
      <c r="BM96">
        <f t="shared" si="4"/>
        <v>0</v>
      </c>
      <c r="BP96" t="str">
        <f t="shared" si="3"/>
        <v>i_96</v>
      </c>
    </row>
    <row r="97" spans="1:68" collapsed="1" x14ac:dyDescent="0.4">
      <c r="C97" s="24"/>
      <c r="D97" s="24"/>
      <c r="BM97">
        <f t="shared" si="4"/>
        <v>0</v>
      </c>
      <c r="BP97" t="str">
        <f t="shared" si="3"/>
        <v>i_97</v>
      </c>
    </row>
    <row r="98" spans="1:68" x14ac:dyDescent="0.4">
      <c r="B98" t="s">
        <v>283</v>
      </c>
      <c r="C98" s="24"/>
      <c r="D98" s="24"/>
      <c r="BM98">
        <f t="shared" si="4"/>
        <v>0</v>
      </c>
      <c r="BP98" t="str">
        <f t="shared" si="3"/>
        <v>i_98</v>
      </c>
    </row>
    <row r="99" spans="1:68" ht="75" hidden="1" outlineLevel="1" x14ac:dyDescent="0.4">
      <c r="A99" t="s">
        <v>282</v>
      </c>
      <c r="B99" t="s">
        <v>281</v>
      </c>
      <c r="C99" s="24" t="s">
        <v>277</v>
      </c>
      <c r="D99" s="24"/>
      <c r="E99" t="s">
        <v>189</v>
      </c>
      <c r="F99" s="1" t="s">
        <v>280</v>
      </c>
      <c r="BL99">
        <v>30</v>
      </c>
      <c r="BM99">
        <f t="shared" si="4"/>
        <v>3000</v>
      </c>
      <c r="BP99" t="str">
        <f t="shared" si="3"/>
        <v>i_99</v>
      </c>
    </row>
    <row r="100" spans="1:68" ht="112.5" hidden="1" outlineLevel="1" x14ac:dyDescent="0.4">
      <c r="A100" t="s">
        <v>279</v>
      </c>
      <c r="B100" t="s">
        <v>278</v>
      </c>
      <c r="C100" s="24" t="s">
        <v>277</v>
      </c>
      <c r="D100" s="24"/>
      <c r="E100" t="s">
        <v>189</v>
      </c>
      <c r="F100" s="1" t="s">
        <v>276</v>
      </c>
      <c r="BL100">
        <v>300</v>
      </c>
      <c r="BM100">
        <f t="shared" si="4"/>
        <v>30000</v>
      </c>
      <c r="BP100" t="str">
        <f t="shared" si="3"/>
        <v>i_100</v>
      </c>
    </row>
    <row r="101" spans="1:68" hidden="1" outlineLevel="1" x14ac:dyDescent="0.4">
      <c r="A101" t="s">
        <v>1164</v>
      </c>
      <c r="B101" t="s">
        <v>1165</v>
      </c>
      <c r="C101" s="24" t="s">
        <v>285</v>
      </c>
      <c r="D101" s="24"/>
      <c r="E101" t="s">
        <v>189</v>
      </c>
      <c r="F101" s="1" t="s">
        <v>1166</v>
      </c>
      <c r="H101">
        <v>1</v>
      </c>
      <c r="BL101">
        <v>200</v>
      </c>
      <c r="BM101">
        <f t="shared" si="4"/>
        <v>20000</v>
      </c>
      <c r="BP101" t="str">
        <f t="shared" si="3"/>
        <v>i_101</v>
      </c>
    </row>
    <row r="102" spans="1:68" hidden="1" outlineLevel="1" x14ac:dyDescent="0.4">
      <c r="A102" t="s">
        <v>1167</v>
      </c>
      <c r="B102" t="s">
        <v>1165</v>
      </c>
      <c r="C102" s="24" t="s">
        <v>285</v>
      </c>
      <c r="D102" s="24"/>
      <c r="E102" t="s">
        <v>189</v>
      </c>
      <c r="F102" s="1" t="s">
        <v>1166</v>
      </c>
      <c r="H102">
        <v>1</v>
      </c>
      <c r="BL102">
        <v>500</v>
      </c>
      <c r="BM102">
        <f>BL102*100</f>
        <v>50000</v>
      </c>
      <c r="BP102" t="str">
        <f t="shared" si="3"/>
        <v>i_102</v>
      </c>
    </row>
    <row r="103" spans="1:68" hidden="1" outlineLevel="1" x14ac:dyDescent="0.4">
      <c r="C103" s="24"/>
      <c r="D103" s="24"/>
      <c r="BM103">
        <f t="shared" si="4"/>
        <v>0</v>
      </c>
      <c r="BP103" t="str">
        <f t="shared" si="3"/>
        <v>i_103</v>
      </c>
    </row>
    <row r="104" spans="1:68" hidden="1" outlineLevel="1" x14ac:dyDescent="0.4">
      <c r="C104" s="24"/>
      <c r="D104" s="24"/>
      <c r="BM104">
        <f t="shared" si="4"/>
        <v>0</v>
      </c>
      <c r="BP104" t="str">
        <f t="shared" si="3"/>
        <v>i_104</v>
      </c>
    </row>
    <row r="105" spans="1:68" hidden="1" outlineLevel="1" x14ac:dyDescent="0.4">
      <c r="C105" s="24"/>
      <c r="D105" s="24"/>
      <c r="BM105">
        <f t="shared" si="4"/>
        <v>0</v>
      </c>
      <c r="BP105" t="str">
        <f t="shared" si="3"/>
        <v>i_105</v>
      </c>
    </row>
    <row r="106" spans="1:68" hidden="1" outlineLevel="1" x14ac:dyDescent="0.4">
      <c r="C106" s="24"/>
      <c r="D106" s="24"/>
      <c r="BM106">
        <f t="shared" si="4"/>
        <v>0</v>
      </c>
      <c r="BP106" t="str">
        <f t="shared" si="3"/>
        <v>i_106</v>
      </c>
    </row>
    <row r="107" spans="1:68" hidden="1" outlineLevel="1" x14ac:dyDescent="0.4">
      <c r="C107" s="24"/>
      <c r="D107" s="24"/>
      <c r="BM107">
        <f t="shared" si="4"/>
        <v>0</v>
      </c>
      <c r="BP107" t="str">
        <f t="shared" si="3"/>
        <v>i_107</v>
      </c>
    </row>
    <row r="108" spans="1:68" hidden="1" outlineLevel="1" x14ac:dyDescent="0.4">
      <c r="C108" s="24"/>
      <c r="D108" s="24"/>
      <c r="BM108">
        <f t="shared" si="4"/>
        <v>0</v>
      </c>
      <c r="BP108" t="str">
        <f t="shared" si="3"/>
        <v>i_108</v>
      </c>
    </row>
    <row r="109" spans="1:68" hidden="1" outlineLevel="1" x14ac:dyDescent="0.4">
      <c r="C109" s="24"/>
      <c r="D109" s="24"/>
      <c r="BM109">
        <f t="shared" si="4"/>
        <v>0</v>
      </c>
      <c r="BP109" t="str">
        <f t="shared" si="3"/>
        <v>i_109</v>
      </c>
    </row>
    <row r="110" spans="1:68" hidden="1" outlineLevel="1" x14ac:dyDescent="0.4">
      <c r="C110" s="24"/>
      <c r="D110" s="24"/>
      <c r="BM110">
        <f t="shared" si="4"/>
        <v>0</v>
      </c>
      <c r="BP110" t="str">
        <f t="shared" si="3"/>
        <v>i_110</v>
      </c>
    </row>
    <row r="111" spans="1:68" hidden="1" outlineLevel="1" x14ac:dyDescent="0.4">
      <c r="C111" s="24"/>
      <c r="D111" s="24"/>
      <c r="BM111">
        <f t="shared" si="4"/>
        <v>0</v>
      </c>
      <c r="BP111" t="str">
        <f t="shared" si="3"/>
        <v>i_111</v>
      </c>
    </row>
    <row r="112" spans="1:68" hidden="1" outlineLevel="1" x14ac:dyDescent="0.4">
      <c r="C112" s="24"/>
      <c r="D112" s="24"/>
      <c r="BM112">
        <f t="shared" si="4"/>
        <v>0</v>
      </c>
      <c r="BP112" t="str">
        <f t="shared" si="3"/>
        <v>i_112</v>
      </c>
    </row>
    <row r="113" spans="1:75" hidden="1" outlineLevel="1" x14ac:dyDescent="0.4">
      <c r="C113" s="24"/>
      <c r="D113" s="24"/>
      <c r="BM113">
        <f t="shared" si="4"/>
        <v>0</v>
      </c>
      <c r="BP113" t="str">
        <f t="shared" si="3"/>
        <v>i_113</v>
      </c>
    </row>
    <row r="114" spans="1:75" hidden="1" outlineLevel="1" x14ac:dyDescent="0.4">
      <c r="C114" s="24"/>
      <c r="D114" s="24"/>
      <c r="BM114">
        <f t="shared" si="4"/>
        <v>0</v>
      </c>
      <c r="BP114" t="str">
        <f t="shared" si="3"/>
        <v>i_114</v>
      </c>
    </row>
    <row r="115" spans="1:75" collapsed="1" x14ac:dyDescent="0.4">
      <c r="B115" t="s">
        <v>275</v>
      </c>
      <c r="C115" s="24"/>
      <c r="D115" s="24"/>
      <c r="BM115">
        <f t="shared" si="4"/>
        <v>0</v>
      </c>
      <c r="BP115" t="str">
        <f t="shared" si="3"/>
        <v>i_115</v>
      </c>
    </row>
    <row r="116" spans="1:75" x14ac:dyDescent="0.4">
      <c r="A116" t="str">
        <f>素材!A3</f>
        <v>銅</v>
      </c>
      <c r="B116" t="str">
        <f>IFERROR(VLOOKUP(A116,素材!$A:$O,COLUMN(素材!B$1),FALSE),"")</f>
        <v>カッパー</v>
      </c>
      <c r="C116" s="24" t="str">
        <f>IFERROR(VLOOKUP(A116,素材!$A:$O,COLUMN(素材!M$1),FALSE),"")</f>
        <v>鉱石</v>
      </c>
      <c r="D116" s="24"/>
      <c r="E116" t="s">
        <v>189</v>
      </c>
      <c r="F116" s="1" t="str">
        <f>IFERROR(VLOOKUP(A116,素材!$A:$O,COLUMN(素材!O$1),FALSE),"")</f>
        <v>低価値、利用頻度は高くよく取れる</v>
      </c>
      <c r="BL116">
        <f>IFERROR(VLOOKUP(A116,素材!$A:$O,COLUMN(素材!N$1),FALSE),"")</f>
        <v>50</v>
      </c>
      <c r="BM116">
        <f t="shared" si="4"/>
        <v>5000</v>
      </c>
      <c r="BO116" t="str">
        <f>素材!M3&amp;".webp"</f>
        <v>鉱石.webp</v>
      </c>
      <c r="BP116" t="str">
        <f t="shared" si="3"/>
        <v>i_116</v>
      </c>
      <c r="BQ116">
        <v>1</v>
      </c>
      <c r="BR116" t="b">
        <v>1</v>
      </c>
      <c r="BS116" t="s">
        <v>274</v>
      </c>
      <c r="BT116" t="s">
        <v>273</v>
      </c>
      <c r="BU116">
        <v>20</v>
      </c>
      <c r="BV116">
        <v>3</v>
      </c>
      <c r="BW116">
        <v>15</v>
      </c>
    </row>
    <row r="117" spans="1:75" outlineLevel="1" x14ac:dyDescent="0.4">
      <c r="A117" t="str">
        <f>素材!A4</f>
        <v>銀</v>
      </c>
      <c r="B117" t="str">
        <f>IFERROR(VLOOKUP(A117,素材!$A:$O,COLUMN(素材!B$1),FALSE),"")</f>
        <v>シルバー</v>
      </c>
      <c r="C117" s="24" t="str">
        <f>IFERROR(VLOOKUP(A117,素材!$A:$O,COLUMN(素材!M$1),FALSE),"")</f>
        <v>鉱石</v>
      </c>
      <c r="D117" s="24"/>
      <c r="E117" t="s">
        <v>189</v>
      </c>
      <c r="F117" s="1" t="str">
        <f>IFERROR(VLOOKUP(A117,素材!$A:$O,COLUMN(素材!O$1),FALSE),"")</f>
        <v>魔道具を作るのに使用される。価値はそれなり</v>
      </c>
      <c r="BL117">
        <f>IFERROR(VLOOKUP(A117,素材!$A:$O,COLUMN(素材!N$1),FALSE),"")</f>
        <v>500</v>
      </c>
      <c r="BM117">
        <f t="shared" si="4"/>
        <v>50000</v>
      </c>
      <c r="BO117" t="str">
        <f>素材!M4&amp;".webp"</f>
        <v>鉱石.webp</v>
      </c>
      <c r="BP117" t="str">
        <f t="shared" si="3"/>
        <v>i_117</v>
      </c>
      <c r="BQ117">
        <v>1</v>
      </c>
      <c r="BR117" t="b">
        <v>1</v>
      </c>
      <c r="BS117" t="s">
        <v>271</v>
      </c>
      <c r="BT117" t="s">
        <v>270</v>
      </c>
      <c r="BU117">
        <v>30</v>
      </c>
      <c r="BV117">
        <v>10</v>
      </c>
      <c r="BW117">
        <v>5</v>
      </c>
    </row>
    <row r="118" spans="1:75" ht="37.5" outlineLevel="1" x14ac:dyDescent="0.4">
      <c r="A118" t="str">
        <f>素材!A5</f>
        <v>金</v>
      </c>
      <c r="B118" t="str">
        <f>IFERROR(VLOOKUP(A118,素材!$A:$O,COLUMN(素材!B$1),FALSE),"")</f>
        <v>ゴールド</v>
      </c>
      <c r="C118" s="24" t="str">
        <f>IFERROR(VLOOKUP(A118,素材!$A:$O,COLUMN(素材!M$1),FALSE),"")</f>
        <v>鉱石</v>
      </c>
      <c r="D118" s="24"/>
      <c r="E118" t="s">
        <v>189</v>
      </c>
      <c r="F118" s="1" t="str">
        <f>IFERROR(VLOOKUP(A118,素材!$A:$O,COLUMN(素材!O$1),FALSE),"")</f>
        <v>魔法文字を書くのに使用させる。金銭的価値が非常に高い</v>
      </c>
      <c r="BL118">
        <f>IFERROR(VLOOKUP(A118,素材!$A:$O,COLUMN(素材!N$1),FALSE),"")</f>
        <v>2500</v>
      </c>
      <c r="BM118">
        <f t="shared" si="4"/>
        <v>250000</v>
      </c>
      <c r="BO118" t="str">
        <f>素材!M5&amp;".webp"</f>
        <v>鉱石.webp</v>
      </c>
      <c r="BP118" t="str">
        <f t="shared" si="3"/>
        <v>i_118</v>
      </c>
      <c r="BQ118">
        <v>1</v>
      </c>
      <c r="BR118" t="b">
        <v>1</v>
      </c>
      <c r="BS118" t="s">
        <v>268</v>
      </c>
      <c r="BT118" t="s">
        <v>267</v>
      </c>
      <c r="BU118">
        <v>50</v>
      </c>
      <c r="BV118" t="s">
        <v>257</v>
      </c>
      <c r="BW118" t="s">
        <v>257</v>
      </c>
    </row>
    <row r="119" spans="1:75" ht="37.5" outlineLevel="1" x14ac:dyDescent="0.4">
      <c r="A119" t="str">
        <f>素材!A6</f>
        <v>白金</v>
      </c>
      <c r="B119" t="str">
        <f>IFERROR(VLOOKUP(A119,素材!$A:$O,COLUMN(素材!B$1),FALSE),"")</f>
        <v>プラチナ</v>
      </c>
      <c r="C119" s="24" t="str">
        <f>IFERROR(VLOOKUP(A119,素材!$A:$O,COLUMN(素材!M$1),FALSE),"")</f>
        <v>鉱石</v>
      </c>
      <c r="D119" s="24"/>
      <c r="E119" t="s">
        <v>189</v>
      </c>
      <c r="F119" s="1" t="str">
        <f>IFERROR(VLOOKUP(A119,素材!$A:$O,COLUMN(素材!O$1),FALSE),"")</f>
        <v>最高位の魔法文字を書くのに使用される。貴金属では最も高価値</v>
      </c>
      <c r="BL119">
        <f>IFERROR(VLOOKUP(A119,素材!$A:$O,COLUMN(素材!N$1),FALSE),"")</f>
        <v>5000</v>
      </c>
      <c r="BM119">
        <f t="shared" si="4"/>
        <v>500000</v>
      </c>
      <c r="BO119" t="str">
        <f>素材!M6&amp;".webp"</f>
        <v>鉱石.webp</v>
      </c>
      <c r="BP119" t="str">
        <f t="shared" si="3"/>
        <v>i_119</v>
      </c>
      <c r="BQ119">
        <v>1</v>
      </c>
      <c r="BR119" t="b">
        <v>1</v>
      </c>
      <c r="BS119" t="s">
        <v>265</v>
      </c>
      <c r="BT119" t="s">
        <v>264</v>
      </c>
      <c r="BU119">
        <v>100</v>
      </c>
      <c r="BV119" t="s">
        <v>257</v>
      </c>
      <c r="BW119" t="s">
        <v>257</v>
      </c>
    </row>
    <row r="120" spans="1:75" ht="37.5" outlineLevel="1" x14ac:dyDescent="0.4">
      <c r="A120" t="str">
        <f>素材!A7</f>
        <v>鉄</v>
      </c>
      <c r="B120" t="str">
        <f>IFERROR(VLOOKUP(A120,素材!$A:$O,COLUMN(素材!B$1),FALSE),"")</f>
        <v>アイアン</v>
      </c>
      <c r="C120" s="24" t="str">
        <f>IFERROR(VLOOKUP(A120,素材!$A:$O,COLUMN(素材!M$1),FALSE),"")</f>
        <v>鉱石</v>
      </c>
      <c r="D120" s="24"/>
      <c r="E120" t="s">
        <v>189</v>
      </c>
      <c r="F120" s="1" t="str">
        <f>IFERROR(VLOOKUP(A120,素材!$A:$O,COLUMN(素材!O$1),FALSE),"")</f>
        <v>一般的な鉄。量産品を作るのに使用されることが多い</v>
      </c>
      <c r="BL120">
        <f>IFERROR(VLOOKUP(A120,素材!$A:$O,COLUMN(素材!N$1),FALSE),"")</f>
        <v>200</v>
      </c>
      <c r="BM120">
        <f t="shared" si="4"/>
        <v>20000</v>
      </c>
      <c r="BO120" t="str">
        <f>素材!M7&amp;".webp"</f>
        <v>鉱石.webp</v>
      </c>
      <c r="BP120" t="str">
        <f t="shared" si="3"/>
        <v>i_120</v>
      </c>
    </row>
    <row r="121" spans="1:75" ht="37.5" outlineLevel="1" x14ac:dyDescent="0.4">
      <c r="A121" t="str">
        <f>素材!A8</f>
        <v>鋼</v>
      </c>
      <c r="B121" t="str">
        <f>IFERROR(VLOOKUP(A121,素材!$A:$O,COLUMN(素材!B$1),FALSE),"")</f>
        <v>スチール</v>
      </c>
      <c r="C121" s="24" t="str">
        <f>IFERROR(VLOOKUP(A121,素材!$A:$O,COLUMN(素材!M$1),FALSE),"")</f>
        <v>鉱石</v>
      </c>
      <c r="D121" s="24"/>
      <c r="E121" t="s">
        <v>189</v>
      </c>
      <c r="F121" s="1" t="str">
        <f>IFERROR(VLOOKUP(A121,素材!$A:$O,COLUMN(素材!O$1),FALSE),"")</f>
        <v>鍛えられた鉄。硬度が高く安価なためよく使用される。</v>
      </c>
      <c r="BL121">
        <f>IFERROR(VLOOKUP(A121,素材!$A:$O,COLUMN(素材!N$1),FALSE),"")</f>
        <v>450</v>
      </c>
      <c r="BM121">
        <f t="shared" si="4"/>
        <v>45000</v>
      </c>
      <c r="BO121" t="str">
        <f>素材!M8&amp;".webp"</f>
        <v>鉱石.webp</v>
      </c>
      <c r="BP121" t="str">
        <f t="shared" si="3"/>
        <v>i_121</v>
      </c>
    </row>
    <row r="122" spans="1:75" ht="37.5" outlineLevel="1" x14ac:dyDescent="0.4">
      <c r="A122" t="str">
        <f>素材!A9</f>
        <v>深い水晶</v>
      </c>
      <c r="B122" t="str">
        <f>IFERROR(VLOOKUP(A122,素材!$A:$O,COLUMN(素材!B$1),FALSE),"")</f>
        <v>ディープクリスタル</v>
      </c>
      <c r="C122" s="24" t="str">
        <f>IFERROR(VLOOKUP(A122,素材!$A:$O,COLUMN(素材!M$1),FALSE),"")</f>
        <v>水晶</v>
      </c>
      <c r="D122" s="24"/>
      <c r="E122" t="s">
        <v>189</v>
      </c>
      <c r="F122" s="1" t="str">
        <f>IFERROR(VLOOKUP(A122,素材!$A:$O,COLUMN(素材!O$1),FALSE),"")</f>
        <v>能力:深い水晶開放[HPを20消費して武器の威力+25]</v>
      </c>
      <c r="BL122">
        <f>IFERROR(VLOOKUP(A122,素材!$A:$O,COLUMN(素材!N$1),FALSE),"")</f>
        <v>1500</v>
      </c>
      <c r="BM122">
        <f t="shared" si="4"/>
        <v>150000</v>
      </c>
      <c r="BO122" t="str">
        <f>素材!M9&amp;".webp"</f>
        <v>水晶.webp</v>
      </c>
      <c r="BP122" t="str">
        <f t="shared" si="3"/>
        <v>i_122</v>
      </c>
    </row>
    <row r="123" spans="1:75" outlineLevel="1" x14ac:dyDescent="0.4">
      <c r="A123" t="str">
        <f>素材!A10</f>
        <v>雷鉄</v>
      </c>
      <c r="B123" t="str">
        <f>IFERROR(VLOOKUP(A123,素材!$A:$O,COLUMN(素材!B$1),FALSE),"")</f>
        <v>ブラックスティール</v>
      </c>
      <c r="C123" s="24" t="str">
        <f>IFERROR(VLOOKUP(A123,素材!$A:$O,COLUMN(素材!M$1),FALSE),"")</f>
        <v>鉱石</v>
      </c>
      <c r="D123" s="24"/>
      <c r="E123" t="s">
        <v>189</v>
      </c>
      <c r="F123" s="1">
        <f>IFERROR(VLOOKUP(A123,素材!$A:$O,COLUMN(素材!O$1),FALSE),"")</f>
        <v>0</v>
      </c>
      <c r="BL123">
        <f>IFERROR(VLOOKUP(A123,素材!$A:$O,COLUMN(素材!N$1),FALSE),"")</f>
        <v>1500</v>
      </c>
      <c r="BM123">
        <f t="shared" si="4"/>
        <v>150000</v>
      </c>
      <c r="BO123" t="str">
        <f>素材!M10&amp;".webp"</f>
        <v>鉱石.webp</v>
      </c>
      <c r="BP123" t="str">
        <f t="shared" si="3"/>
        <v>i_123</v>
      </c>
    </row>
    <row r="124" spans="1:75" outlineLevel="1" x14ac:dyDescent="0.4">
      <c r="A124" t="str">
        <f>素材!A11</f>
        <v>冷気鉄</v>
      </c>
      <c r="B124" t="str">
        <f>IFERROR(VLOOKUP(A124,素材!$A:$O,COLUMN(素材!B$1),FALSE),"")</f>
        <v>ドゥララン</v>
      </c>
      <c r="C124" s="24" t="str">
        <f>IFERROR(VLOOKUP(A124,素材!$A:$O,COLUMN(素材!M$1),FALSE),"")</f>
        <v>鉱石</v>
      </c>
      <c r="D124" s="24"/>
      <c r="E124" t="s">
        <v>189</v>
      </c>
      <c r="F124" s="1">
        <f>IFERROR(VLOOKUP(A124,素材!$A:$O,COLUMN(素材!O$1),FALSE),"")</f>
        <v>0</v>
      </c>
      <c r="BL124">
        <f>IFERROR(VLOOKUP(A124,素材!$A:$O,COLUMN(素材!N$1),FALSE),"")</f>
        <v>1500</v>
      </c>
      <c r="BM124">
        <f t="shared" si="4"/>
        <v>150000</v>
      </c>
      <c r="BO124" t="str">
        <f>素材!M11&amp;".webp"</f>
        <v>鉱石.webp</v>
      </c>
      <c r="BP124" t="str">
        <f t="shared" si="3"/>
        <v>i_124</v>
      </c>
    </row>
    <row r="125" spans="1:75" outlineLevel="1" x14ac:dyDescent="0.4">
      <c r="A125" t="str">
        <f>素材!A12</f>
        <v>熱鉄</v>
      </c>
      <c r="B125" t="str">
        <f>IFERROR(VLOOKUP(A125,素材!$A:$O,COLUMN(素材!B$1),FALSE),"")</f>
        <v>ヒートスティール</v>
      </c>
      <c r="C125" s="24" t="str">
        <f>IFERROR(VLOOKUP(A125,素材!$A:$O,COLUMN(素材!M$1),FALSE),"")</f>
        <v>鉱石</v>
      </c>
      <c r="D125" s="24"/>
      <c r="E125" t="s">
        <v>189</v>
      </c>
      <c r="F125" s="1">
        <f>IFERROR(VLOOKUP(A125,素材!$A:$O,COLUMN(素材!O$1),FALSE),"")</f>
        <v>0</v>
      </c>
      <c r="BL125">
        <f>IFERROR(VLOOKUP(A125,素材!$A:$O,COLUMN(素材!N$1),FALSE),"")</f>
        <v>1500</v>
      </c>
      <c r="BM125">
        <f t="shared" si="4"/>
        <v>150000</v>
      </c>
      <c r="BO125" t="str">
        <f>素材!M12&amp;".webp"</f>
        <v>鉱石.webp</v>
      </c>
      <c r="BP125" t="str">
        <f t="shared" si="3"/>
        <v>i_125</v>
      </c>
    </row>
    <row r="126" spans="1:75" outlineLevel="1" x14ac:dyDescent="0.4">
      <c r="A126" t="str">
        <f>素材!A13</f>
        <v>滅鉄柱</v>
      </c>
      <c r="B126" t="str">
        <f>IFERROR(VLOOKUP(A126,素材!$A:$O,COLUMN(素材!B$1),FALSE),"")</f>
        <v>ネロスティール</v>
      </c>
      <c r="C126" s="24" t="str">
        <f>IFERROR(VLOOKUP(A126,素材!$A:$O,COLUMN(素材!M$1),FALSE),"")</f>
        <v>鉱石</v>
      </c>
      <c r="D126" s="24"/>
      <c r="E126" t="s">
        <v>189</v>
      </c>
      <c r="F126" s="1">
        <f>IFERROR(VLOOKUP(A126,素材!$A:$O,COLUMN(素材!O$1),FALSE),"")</f>
        <v>0</v>
      </c>
      <c r="BL126">
        <f>IFERROR(VLOOKUP(A126,素材!$A:$O,COLUMN(素材!N$1),FALSE),"")</f>
        <v>1500</v>
      </c>
      <c r="BM126">
        <f t="shared" si="4"/>
        <v>150000</v>
      </c>
      <c r="BO126" t="str">
        <f>素材!M13&amp;".webp"</f>
        <v>鉱石.webp</v>
      </c>
      <c r="BP126" t="str">
        <f t="shared" si="3"/>
        <v>i_126</v>
      </c>
    </row>
    <row r="127" spans="1:75" ht="56.25" outlineLevel="1" x14ac:dyDescent="0.4">
      <c r="A127" t="str">
        <f>素材!A14</f>
        <v>水晶鉄</v>
      </c>
      <c r="B127" t="str">
        <f>IFERROR(VLOOKUP(A127,素材!$A:$O,COLUMN(素材!B$1),FALSE),"")</f>
        <v>クリスタルスティール</v>
      </c>
      <c r="C127" s="24" t="str">
        <f>IFERROR(VLOOKUP(A127,素材!$A:$O,COLUMN(素材!M$1),FALSE),"")</f>
        <v>水晶</v>
      </c>
      <c r="D127" s="24"/>
      <c r="E127" t="s">
        <v>189</v>
      </c>
      <c r="F127" s="1" t="str">
        <f>IFERROR(VLOOKUP(A127,素材!$A:$O,COLUMN(素材!O$1),FALSE),"")</f>
        <v>水晶と鉄が融合した素材。武器に使用すると魔法効果が高まり、防具に使用すると魔法防御力が強化される。</v>
      </c>
      <c r="BL127">
        <f>IFERROR(VLOOKUP(A127,素材!$A:$O,COLUMN(素材!N$1),FALSE),"")</f>
        <v>1500</v>
      </c>
      <c r="BM127">
        <f t="shared" si="4"/>
        <v>150000</v>
      </c>
      <c r="BO127" t="str">
        <f>素材!M14&amp;".webp"</f>
        <v>水晶.webp</v>
      </c>
      <c r="BP127" t="str">
        <f t="shared" si="3"/>
        <v>i_127</v>
      </c>
    </row>
    <row r="128" spans="1:75" outlineLevel="1" x14ac:dyDescent="0.4">
      <c r="A128" t="str">
        <f>素材!A15</f>
        <v>幽鉄</v>
      </c>
      <c r="B128" t="str">
        <f>IFERROR(VLOOKUP(A128,素材!$A:$O,COLUMN(素材!B$1),FALSE),"")</f>
        <v>セレン</v>
      </c>
      <c r="C128" s="24" t="str">
        <f>IFERROR(VLOOKUP(A128,素材!$A:$O,COLUMN(素材!M$1),FALSE),"")</f>
        <v>鉱石</v>
      </c>
      <c r="D128" s="24"/>
      <c r="E128" t="s">
        <v>189</v>
      </c>
      <c r="F128" s="1">
        <f>IFERROR(VLOOKUP(A128,素材!$A:$O,COLUMN(素材!O$1),FALSE),"")</f>
        <v>0</v>
      </c>
      <c r="BL128">
        <f>IFERROR(VLOOKUP(A128,素材!$A:$O,COLUMN(素材!N$1),FALSE),"")</f>
        <v>2000</v>
      </c>
      <c r="BM128">
        <f t="shared" si="4"/>
        <v>200000</v>
      </c>
      <c r="BO128" t="str">
        <f>素材!M15&amp;".webp"</f>
        <v>鉱石.webp</v>
      </c>
      <c r="BP128" t="str">
        <f t="shared" si="3"/>
        <v>i_128</v>
      </c>
    </row>
    <row r="129" spans="1:68" outlineLevel="1" x14ac:dyDescent="0.4">
      <c r="A129" t="str">
        <f>素材!A16</f>
        <v>善の鉄</v>
      </c>
      <c r="B129" t="str">
        <f>IFERROR(VLOOKUP(A129,素材!$A:$O,COLUMN(素材!B$1),FALSE),"")</f>
        <v>フリスタリン</v>
      </c>
      <c r="C129" s="24" t="str">
        <f>IFERROR(VLOOKUP(A129,素材!$A:$O,COLUMN(素材!M$1),FALSE),"")</f>
        <v>鉱石</v>
      </c>
      <c r="D129" s="24"/>
      <c r="E129" t="s">
        <v>189</v>
      </c>
      <c r="F129" s="1">
        <f>IFERROR(VLOOKUP(A129,素材!$A:$O,COLUMN(素材!O$1),FALSE),"")</f>
        <v>0</v>
      </c>
      <c r="BL129">
        <f>IFERROR(VLOOKUP(A129,素材!$A:$O,COLUMN(素材!N$1),FALSE),"")</f>
        <v>2000</v>
      </c>
      <c r="BM129">
        <f t="shared" si="4"/>
        <v>200000</v>
      </c>
      <c r="BO129" t="str">
        <f>素材!M16&amp;".webp"</f>
        <v>鉱石.webp</v>
      </c>
      <c r="BP129" t="str">
        <f t="shared" si="3"/>
        <v>i_129</v>
      </c>
    </row>
    <row r="130" spans="1:68" outlineLevel="1" x14ac:dyDescent="0.4">
      <c r="A130" t="str">
        <f>素材!A17</f>
        <v>悪の鉄</v>
      </c>
      <c r="B130" t="str">
        <f>IFERROR(VLOOKUP(A130,素材!$A:$O,COLUMN(素材!B$1),FALSE),"")</f>
        <v>エルスタリン</v>
      </c>
      <c r="C130" s="24" t="str">
        <f>IFERROR(VLOOKUP(A130,素材!$A:$O,COLUMN(素材!M$1),FALSE),"")</f>
        <v>鉱石</v>
      </c>
      <c r="D130" s="24"/>
      <c r="E130" t="s">
        <v>189</v>
      </c>
      <c r="F130" s="1">
        <f>IFERROR(VLOOKUP(A130,素材!$A:$O,COLUMN(素材!O$1),FALSE),"")</f>
        <v>0</v>
      </c>
      <c r="BL130">
        <f>IFERROR(VLOOKUP(A130,素材!$A:$O,COLUMN(素材!N$1),FALSE),"")</f>
        <v>2000</v>
      </c>
      <c r="BM130">
        <f t="shared" si="4"/>
        <v>200000</v>
      </c>
      <c r="BO130" t="str">
        <f>素材!M17&amp;".webp"</f>
        <v>鉱石.webp</v>
      </c>
      <c r="BP130" t="str">
        <f t="shared" si="3"/>
        <v>i_130</v>
      </c>
    </row>
    <row r="131" spans="1:68" outlineLevel="1" x14ac:dyDescent="0.4">
      <c r="A131" t="str">
        <f>素材!A18</f>
        <v>溶鉄</v>
      </c>
      <c r="B131" t="str">
        <f>IFERROR(VLOOKUP(A131,素材!$A:$O,COLUMN(素材!B$1),FALSE),"")</f>
        <v>マグマログ</v>
      </c>
      <c r="C131" s="24" t="str">
        <f>IFERROR(VLOOKUP(A131,素材!$A:$O,COLUMN(素材!M$1),FALSE),"")</f>
        <v>鉱石</v>
      </c>
      <c r="D131" s="24"/>
      <c r="E131" t="s">
        <v>189</v>
      </c>
      <c r="F131" s="1">
        <f>IFERROR(VLOOKUP(A131,素材!$A:$O,COLUMN(素材!O$1),FALSE),"")</f>
        <v>0</v>
      </c>
      <c r="BL131">
        <f>IFERROR(VLOOKUP(A131,素材!$A:$O,COLUMN(素材!N$1),FALSE),"")</f>
        <v>3500</v>
      </c>
      <c r="BM131">
        <f t="shared" si="4"/>
        <v>350000</v>
      </c>
      <c r="BO131" t="str">
        <f>素材!M18&amp;".webp"</f>
        <v>鉱石.webp</v>
      </c>
      <c r="BP131" t="str">
        <f t="shared" si="3"/>
        <v>i_131</v>
      </c>
    </row>
    <row r="132" spans="1:68" outlineLevel="1" x14ac:dyDescent="0.4">
      <c r="A132" t="str">
        <f>素材!A22</f>
        <v>金鉄</v>
      </c>
      <c r="B132" t="str">
        <f>IFERROR(VLOOKUP(A132,素材!$A:$O,COLUMN(素材!B$1),FALSE),"")</f>
        <v>オリハルコン</v>
      </c>
      <c r="C132" s="24" t="str">
        <f>IFERROR(VLOOKUP(A132,素材!$A:$O,COLUMN(素材!M$1),FALSE),"")</f>
        <v>鉱石</v>
      </c>
      <c r="D132" s="24"/>
      <c r="E132" t="s">
        <v>189</v>
      </c>
      <c r="F132" s="1">
        <f>IFERROR(VLOOKUP(A132,素材!$A:$O,COLUMN(素材!O$1),FALSE),"")</f>
        <v>0</v>
      </c>
      <c r="BL132">
        <f>IFERROR(VLOOKUP(A132,素材!$A:$O,COLUMN(素材!N$1),FALSE),"")</f>
        <v>4500</v>
      </c>
      <c r="BM132">
        <f t="shared" si="4"/>
        <v>450000</v>
      </c>
      <c r="BO132" t="str">
        <f>素材!M19&amp;".webp"</f>
        <v>水晶.webp</v>
      </c>
      <c r="BP132" t="str">
        <f t="shared" si="3"/>
        <v>i_132</v>
      </c>
    </row>
    <row r="133" spans="1:68" outlineLevel="1" x14ac:dyDescent="0.4">
      <c r="A133" t="str">
        <f>素材!A23</f>
        <v>黒鉄</v>
      </c>
      <c r="B133" t="str">
        <f>IFERROR(VLOOKUP(A133,素材!$A:$O,COLUMN(素材!B$1),FALSE),"")</f>
        <v>アダマンタイト</v>
      </c>
      <c r="C133" s="24" t="str">
        <f>IFERROR(VLOOKUP(A133,素材!$A:$O,COLUMN(素材!M$1),FALSE),"")</f>
        <v>鉱石</v>
      </c>
      <c r="D133" s="24"/>
      <c r="E133" t="s">
        <v>189</v>
      </c>
      <c r="F133" s="1">
        <f>IFERROR(VLOOKUP(A133,素材!$A:$O,COLUMN(素材!O$1),FALSE),"")</f>
        <v>0</v>
      </c>
      <c r="BL133">
        <f>IFERROR(VLOOKUP(A133,素材!$A:$O,COLUMN(素材!N$1),FALSE),"")</f>
        <v>5000</v>
      </c>
      <c r="BM133">
        <f t="shared" si="4"/>
        <v>500000</v>
      </c>
      <c r="BO133" t="str">
        <f>素材!M21&amp;".webp"</f>
        <v>鉱石.webp</v>
      </c>
      <c r="BP133" t="str">
        <f t="shared" ref="BP133:BP196" si="5">"i_"&amp;ROW(BP133)</f>
        <v>i_133</v>
      </c>
    </row>
    <row r="134" spans="1:68" outlineLevel="1" x14ac:dyDescent="0.4">
      <c r="A134" t="str">
        <f>素材!A24</f>
        <v>銀鋼</v>
      </c>
      <c r="B134" t="str">
        <f>IFERROR(VLOOKUP(A134,素材!$A:$O,COLUMN(素材!B$1),FALSE),"")</f>
        <v>シルバーメタル</v>
      </c>
      <c r="C134" s="24" t="str">
        <f>IFERROR(VLOOKUP(A134,素材!$A:$O,COLUMN(素材!M$1),FALSE),"")</f>
        <v>鉱石</v>
      </c>
      <c r="D134" s="24"/>
      <c r="E134" t="s">
        <v>189</v>
      </c>
      <c r="F134" s="1">
        <f>IFERROR(VLOOKUP(A134,素材!$A:$O,COLUMN(素材!O$1),FALSE),"")</f>
        <v>0</v>
      </c>
      <c r="BL134">
        <f>IFERROR(VLOOKUP(A134,素材!$A:$O,COLUMN(素材!N$1),FALSE),"")</f>
        <v>8000</v>
      </c>
      <c r="BM134">
        <f t="shared" ref="BM134:BM197" si="6">BL134*100</f>
        <v>800000</v>
      </c>
      <c r="BO134" t="str">
        <f>素材!M22&amp;".webp"</f>
        <v>鉱石.webp</v>
      </c>
      <c r="BP134" t="str">
        <f t="shared" si="5"/>
        <v>i_134</v>
      </c>
    </row>
    <row r="135" spans="1:68" outlineLevel="1" x14ac:dyDescent="0.4">
      <c r="A135" t="str">
        <f>素材!A25</f>
        <v>金鋼</v>
      </c>
      <c r="B135" t="str">
        <f>IFERROR(VLOOKUP(A135,素材!$A:$O,COLUMN(素材!B$1),FALSE),"")</f>
        <v>ゴールドメタル</v>
      </c>
      <c r="C135" s="24" t="str">
        <f>IFERROR(VLOOKUP(A135,素材!$A:$O,COLUMN(素材!M$1),FALSE),"")</f>
        <v>鉱石</v>
      </c>
      <c r="D135" s="24"/>
      <c r="E135" t="s">
        <v>189</v>
      </c>
      <c r="F135" s="1">
        <f>IFERROR(VLOOKUP(A135,素材!$A:$O,COLUMN(素材!O$1),FALSE),"")</f>
        <v>0</v>
      </c>
      <c r="BL135">
        <f>IFERROR(VLOOKUP(A135,素材!$A:$O,COLUMN(素材!N$1),FALSE),"")</f>
        <v>9000</v>
      </c>
      <c r="BM135">
        <f t="shared" si="6"/>
        <v>900000</v>
      </c>
      <c r="BO135" t="str">
        <f>素材!M23&amp;".webp"</f>
        <v>鉱石.webp</v>
      </c>
      <c r="BP135" t="str">
        <f t="shared" si="5"/>
        <v>i_135</v>
      </c>
    </row>
    <row r="136" spans="1:68" outlineLevel="1" x14ac:dyDescent="0.4">
      <c r="A136" t="str">
        <f>素材!A26</f>
        <v>黒鋼</v>
      </c>
      <c r="B136" t="str">
        <f>IFERROR(VLOOKUP(A136,素材!$A:$O,COLUMN(素材!B$1),FALSE),"")</f>
        <v>ブラックメタル</v>
      </c>
      <c r="C136" s="24" t="str">
        <f>IFERROR(VLOOKUP(A136,素材!$A:$O,COLUMN(素材!M$1),FALSE),"")</f>
        <v>鉱石</v>
      </c>
      <c r="D136" s="24"/>
      <c r="E136" t="s">
        <v>189</v>
      </c>
      <c r="F136" s="1">
        <f>IFERROR(VLOOKUP(A136,素材!$A:$O,COLUMN(素材!O$1),FALSE),"")</f>
        <v>0</v>
      </c>
      <c r="BL136">
        <f>IFERROR(VLOOKUP(A136,素材!$A:$O,COLUMN(素材!N$1),FALSE),"")</f>
        <v>10000</v>
      </c>
      <c r="BM136">
        <f t="shared" si="6"/>
        <v>1000000</v>
      </c>
      <c r="BO136" t="str">
        <f>素材!M24&amp;".webp"</f>
        <v>鉱石.webp</v>
      </c>
      <c r="BP136" t="str">
        <f t="shared" si="5"/>
        <v>i_136</v>
      </c>
    </row>
    <row r="137" spans="1:68" outlineLevel="1" x14ac:dyDescent="0.4">
      <c r="A137" t="str">
        <f>素材!A20</f>
        <v>虚無鉱</v>
      </c>
      <c r="B137" t="str">
        <f>IFERROR(VLOOKUP(A137,素材!$A:$O,COLUMN(素材!B$1),FALSE),"")</f>
        <v>オルダーク</v>
      </c>
      <c r="C137" s="24" t="str">
        <f>IFERROR(VLOOKUP(A137,素材!$A:$O,COLUMN(素材!M$1),FALSE),"")</f>
        <v>鉱石</v>
      </c>
      <c r="D137" s="24"/>
      <c r="E137" t="s">
        <v>189</v>
      </c>
      <c r="F137" s="1">
        <f>IFERROR(VLOOKUP(A137,素材!$A:$O,COLUMN(素材!O$1),FALSE),"")</f>
        <v>0</v>
      </c>
      <c r="BL137">
        <f>IFERROR(VLOOKUP(A137,素材!$A:$O,COLUMN(素材!N$1),FALSE)/500,"")</f>
        <v>10</v>
      </c>
      <c r="BM137">
        <f t="shared" si="6"/>
        <v>1000</v>
      </c>
      <c r="BO137" t="str">
        <f>素材!M25&amp;".webp"</f>
        <v>鉱石.webp</v>
      </c>
      <c r="BP137" t="str">
        <f t="shared" si="5"/>
        <v>i_137</v>
      </c>
    </row>
    <row r="138" spans="1:68" outlineLevel="1" x14ac:dyDescent="0.4">
      <c r="A138">
        <f>素材!A30</f>
        <v>0</v>
      </c>
      <c r="B138" t="str">
        <f>IFERROR(VLOOKUP(A138,素材!$A:$O,COLUMN(素材!B$1),FALSE),"")</f>
        <v/>
      </c>
      <c r="C138" s="24" t="str">
        <f>IFERROR(VLOOKUP(A138,素材!$A:$O,COLUMN(素材!M$1),FALSE),"")</f>
        <v/>
      </c>
      <c r="D138" s="24"/>
      <c r="E138" t="s">
        <v>189</v>
      </c>
      <c r="F138" s="1" t="str">
        <f>IFERROR(VLOOKUP(A138,素材!$A:$O,COLUMN(素材!O$1),FALSE),"")</f>
        <v/>
      </c>
      <c r="BL138" t="str">
        <f>IFERROR(VLOOKUP(A138,素材!$A:$O,COLUMN(素材!N$1),FALSE)/500,"")</f>
        <v/>
      </c>
      <c r="BM138" t="e">
        <f t="shared" si="6"/>
        <v>#VALUE!</v>
      </c>
      <c r="BO138" t="str">
        <f>素材!M26&amp;".webp"</f>
        <v>鉱石.webp</v>
      </c>
      <c r="BP138" t="str">
        <f t="shared" si="5"/>
        <v>i_138</v>
      </c>
    </row>
    <row r="139" spans="1:68" outlineLevel="1" x14ac:dyDescent="0.4">
      <c r="A139" t="str">
        <f>素材!A31</f>
        <v>名前</v>
      </c>
      <c r="B139" t="str">
        <f>IFERROR(VLOOKUP(A139,素材!$A:$O,COLUMN(素材!B$1),FALSE),"")</f>
        <v>英名</v>
      </c>
      <c r="C139" s="24" t="str">
        <f>IFERROR(VLOOKUP(A139,素材!$A:$O,COLUMN(素材!M$1),FALSE),"")</f>
        <v>種別</v>
      </c>
      <c r="D139" s="24"/>
      <c r="E139" t="s">
        <v>189</v>
      </c>
      <c r="F139" s="1" t="str">
        <f>IFERROR(VLOOKUP(A139,素材!$A:$O,COLUMN(素材!O$1),FALSE),"")</f>
        <v>説明</v>
      </c>
      <c r="BL139" t="str">
        <f>IFERROR(VLOOKUP(A139,素材!$A:$O,COLUMN(素材!N$1),FALSE)/500,"")</f>
        <v/>
      </c>
      <c r="BM139" t="e">
        <f t="shared" si="6"/>
        <v>#VALUE!</v>
      </c>
      <c r="BO139" t="str">
        <f>素材!M20&amp;".webp"</f>
        <v>鉱石.webp</v>
      </c>
      <c r="BP139" t="str">
        <f t="shared" si="5"/>
        <v>i_139</v>
      </c>
    </row>
    <row r="140" spans="1:68" ht="56.25" outlineLevel="1" x14ac:dyDescent="0.4">
      <c r="A140" t="str">
        <f>素材!A32</f>
        <v>皮</v>
      </c>
      <c r="B140" t="str">
        <f>IFERROR(VLOOKUP(A140,素材!$A:$O,COLUMN(素材!B$1),FALSE),"")</f>
        <v>レザー</v>
      </c>
      <c r="C140" s="24" t="str">
        <f>IFERROR(VLOOKUP(A140,素材!$A:$O,COLUMN(素材!M$1),FALSE),"")</f>
        <v>皮</v>
      </c>
      <c r="D140" s="24"/>
      <c r="E140" t="s">
        <v>189</v>
      </c>
      <c r="F140" s="1" t="str">
        <f>IFERROR(VLOOKUP(A140,素材!$A:$O,COLUMN(素材!O$1),FALSE),"")</f>
        <v>一般的な皮素材で、防具や軽量装備の材料として最適です。耐久性は高くありませんが、軽量で扱いやすい点が特徴です。</v>
      </c>
      <c r="BL140">
        <f>IFERROR(VLOOKUP(A140,素材!$A:$O,COLUMN(素材!N$1),FALSE)/500,"")</f>
        <v>0.2</v>
      </c>
      <c r="BM140">
        <f t="shared" si="6"/>
        <v>20</v>
      </c>
      <c r="BO140" t="str">
        <f>素材!M30&amp;".webp"</f>
        <v>.webp</v>
      </c>
      <c r="BP140" t="str">
        <f t="shared" si="5"/>
        <v>i_140</v>
      </c>
    </row>
    <row r="141" spans="1:68" ht="56.25" outlineLevel="1" x14ac:dyDescent="0.4">
      <c r="A141" t="str">
        <f>素材!A33</f>
        <v>獣皮</v>
      </c>
      <c r="B141" t="str">
        <f>IFERROR(VLOOKUP(A141,素材!$A:$O,COLUMN(素材!B$1),FALSE),"")</f>
        <v>ビーストレザー</v>
      </c>
      <c r="C141" s="24" t="str">
        <f>IFERROR(VLOOKUP(A141,素材!$A:$O,COLUMN(素材!M$1),FALSE),"")</f>
        <v>皮</v>
      </c>
      <c r="D141" s="24"/>
      <c r="E141" t="s">
        <v>189</v>
      </c>
      <c r="F141" s="1" t="str">
        <f>IFERROR(VLOOKUP(A141,素材!$A:$O,COLUMN(素材!O$1),FALSE),"")</f>
        <v>野生動物から得られる丈夫な皮素材。皮装備の性能を向上させ、基本的な防護性能を備えています。</v>
      </c>
      <c r="BM141">
        <f t="shared" si="6"/>
        <v>0</v>
      </c>
      <c r="BO141" t="str">
        <f>素材!M31&amp;".webp"</f>
        <v>種別.webp</v>
      </c>
      <c r="BP141" t="str">
        <f t="shared" si="5"/>
        <v>i_141</v>
      </c>
    </row>
    <row r="142" spans="1:68" ht="56.25" outlineLevel="1" x14ac:dyDescent="0.4">
      <c r="A142" t="str">
        <f>素材!A34</f>
        <v>軽皮</v>
      </c>
      <c r="B142" t="str">
        <f>IFERROR(VLOOKUP(A142,素材!$A:$O,COLUMN(素材!B$1),FALSE),"")</f>
        <v>ライトレザー</v>
      </c>
      <c r="C142" s="24" t="str">
        <f>IFERROR(VLOOKUP(A142,素材!$A:$O,COLUMN(素材!M$1),FALSE),"")</f>
        <v>皮</v>
      </c>
      <c r="D142" s="24"/>
      <c r="E142" t="s">
        <v>189</v>
      </c>
      <c r="F142" s="1" t="str">
        <f>IFERROR(VLOOKUP(A142,素材!$A:$O,COLUMN(素材!O$1),FALSE),"")</f>
        <v>高品質な加工を施した軽量の皮素材。軽量化により動きやすさを確保しつつ、適度な防御力を提供します。</v>
      </c>
      <c r="BM142">
        <f t="shared" si="6"/>
        <v>0</v>
      </c>
      <c r="BO142" t="str">
        <f>素材!M32&amp;".webp"</f>
        <v>皮.webp</v>
      </c>
      <c r="BP142" t="str">
        <f t="shared" si="5"/>
        <v>i_142</v>
      </c>
    </row>
    <row r="143" spans="1:68" ht="56.25" outlineLevel="1" x14ac:dyDescent="0.4">
      <c r="A143" t="str">
        <f>素材!A35</f>
        <v>魔獣皮</v>
      </c>
      <c r="B143" t="str">
        <f>IFERROR(VLOOKUP(A143,素材!$A:$O,COLUMN(素材!B$1),FALSE),"")</f>
        <v>マジックレザー</v>
      </c>
      <c r="C143" s="24" t="str">
        <f>IFERROR(VLOOKUP(A143,素材!$A:$O,COLUMN(素材!M$1),FALSE),"")</f>
        <v>皮</v>
      </c>
      <c r="D143" s="24"/>
      <c r="E143" t="s">
        <v>189</v>
      </c>
      <c r="F143" s="1" t="str">
        <f>IFERROR(VLOOKUP(A143,素材!$A:$O,COLUMN(素材!O$1),FALSE),"")</f>
        <v>魔力を帯びた特殊な皮素材。魔法防御や属性耐性を強化する効果があり、高レベルの冒険者に重宝されます。</v>
      </c>
      <c r="BM143">
        <f t="shared" si="6"/>
        <v>0</v>
      </c>
      <c r="BO143" t="str">
        <f>素材!M33&amp;".webp"</f>
        <v>皮.webp</v>
      </c>
      <c r="BP143" t="str">
        <f t="shared" si="5"/>
        <v>i_143</v>
      </c>
    </row>
    <row r="144" spans="1:68" ht="56.25" outlineLevel="1" x14ac:dyDescent="0.4">
      <c r="A144" t="str">
        <f>素材!A36</f>
        <v>炎蜥蜴の鱗</v>
      </c>
      <c r="B144" t="str">
        <f>IFERROR(VLOOKUP(A144,素材!$A:$O,COLUMN(素材!B$1),FALSE),"")</f>
        <v>ファイアドレイクスケール</v>
      </c>
      <c r="C144" s="24" t="str">
        <f>IFERROR(VLOOKUP(A144,素材!$A:$O,COLUMN(素材!M$1),FALSE),"")</f>
        <v>鱗</v>
      </c>
      <c r="D144" s="24"/>
      <c r="E144" t="s">
        <v>189</v>
      </c>
      <c r="F144" s="1" t="str">
        <f>IFERROR(VLOOKUP(A144,素材!$A:$O,COLUMN(素材!O$1),FALSE),"")</f>
        <v>炎属性を持つドラゴン型生物から採取される鱗素材。強力な炎属性防御を備えており、耐熱性が求められる場面で特に有用です。</v>
      </c>
      <c r="BM144">
        <f t="shared" si="6"/>
        <v>0</v>
      </c>
      <c r="BO144" t="str">
        <f>素材!M34&amp;".webp"</f>
        <v>皮.webp</v>
      </c>
      <c r="BP144" t="str">
        <f t="shared" si="5"/>
        <v>i_144</v>
      </c>
    </row>
    <row r="145" spans="1:68" ht="56.25" outlineLevel="1" x14ac:dyDescent="0.4">
      <c r="A145" t="str">
        <f>素材!A37</f>
        <v>氷蜥蜴の鱗</v>
      </c>
      <c r="B145" t="str">
        <f>IFERROR(VLOOKUP(A145,素材!$A:$O,COLUMN(素材!B$1),FALSE),"")</f>
        <v>アイスドレイクスケール</v>
      </c>
      <c r="C145" s="24" t="str">
        <f>IFERROR(VLOOKUP(A145,素材!$A:$O,COLUMN(素材!M$1),FALSE),"")</f>
        <v>鱗</v>
      </c>
      <c r="D145" s="24"/>
      <c r="E145" t="s">
        <v>189</v>
      </c>
      <c r="F145" s="1" t="str">
        <f>IFERROR(VLOOKUP(A145,素材!$A:$O,COLUMN(素材!O$1),FALSE),"")</f>
        <v>氷属性を持つドラゴン型生物から採取される鱗素材。極寒の環境や冷気攻撃への対策として優れた性能を発揮します。</v>
      </c>
      <c r="BM145">
        <f t="shared" si="6"/>
        <v>0</v>
      </c>
      <c r="BO145" t="str">
        <f>素材!M35&amp;".webp"</f>
        <v>皮.webp</v>
      </c>
      <c r="BP145" t="str">
        <f t="shared" si="5"/>
        <v>i_145</v>
      </c>
    </row>
    <row r="146" spans="1:68" ht="56.25" outlineLevel="1" x14ac:dyDescent="0.4">
      <c r="A146" t="str">
        <f>素材!A38</f>
        <v>雷蜥蜴の鱗</v>
      </c>
      <c r="B146" t="str">
        <f>IFERROR(VLOOKUP(A146,素材!$A:$O,COLUMN(素材!B$1),FALSE),"")</f>
        <v>サンダードレイクスケール</v>
      </c>
      <c r="C146" s="24" t="str">
        <f>IFERROR(VLOOKUP(A146,素材!$A:$O,COLUMN(素材!M$1),FALSE),"")</f>
        <v>鱗</v>
      </c>
      <c r="D146" s="24"/>
      <c r="E146" t="s">
        <v>189</v>
      </c>
      <c r="F146" s="1" t="str">
        <f>IFERROR(VLOOKUP(A146,素材!$A:$O,COLUMN(素材!O$1),FALSE),"")</f>
        <v>雷属性を持つドラゴン型生物から採取される鱗素材。雷属性攻撃への耐性を強化し、武器の電撃効果を高めることも可能です。</v>
      </c>
      <c r="BM146">
        <f t="shared" si="6"/>
        <v>0</v>
      </c>
      <c r="BO146" t="str">
        <f>素材!M36&amp;".webp"</f>
        <v>鱗.webp</v>
      </c>
      <c r="BP146" t="str">
        <f t="shared" si="5"/>
        <v>i_146</v>
      </c>
    </row>
    <row r="147" spans="1:68" ht="75" outlineLevel="1" x14ac:dyDescent="0.4">
      <c r="A147" t="str">
        <f>素材!A39</f>
        <v>酸蜥蜴の鱗</v>
      </c>
      <c r="B147" t="str">
        <f>IFERROR(VLOOKUP(A147,素材!$A:$O,COLUMN(素材!B$1),FALSE),"")</f>
        <v>アシッドドレイクスケール</v>
      </c>
      <c r="C147" s="24" t="str">
        <f>IFERROR(VLOOKUP(A147,素材!$A:$O,COLUMN(素材!M$1),FALSE),"")</f>
        <v>鱗</v>
      </c>
      <c r="D147" s="24"/>
      <c r="E147" t="s">
        <v>189</v>
      </c>
      <c r="F147" s="1" t="str">
        <f>IFERROR(VLOOKUP(A147,素材!$A:$O,COLUMN(素材!O$1),FALSE),"")</f>
        <v>酸性の体液を持つドラゴン型生物から採取される鱗素材。特殊な酸属性耐性を提供し、毒性や腐食性のある環境に適した防具の製作に適しています。</v>
      </c>
      <c r="BM147">
        <f t="shared" si="6"/>
        <v>0</v>
      </c>
      <c r="BO147" t="str">
        <f>素材!M37&amp;".webp"</f>
        <v>鱗.webp</v>
      </c>
      <c r="BP147" t="str">
        <f t="shared" si="5"/>
        <v>i_147</v>
      </c>
    </row>
    <row r="148" spans="1:68" ht="75" outlineLevel="1" x14ac:dyDescent="0.4">
      <c r="A148" t="str">
        <f>素材!A40</f>
        <v>影蜥蜴の鱗</v>
      </c>
      <c r="B148" t="str">
        <f>IFERROR(VLOOKUP(A148,素材!$A:$O,COLUMN(素材!B$1),FALSE),"")</f>
        <v>シャドウスケール</v>
      </c>
      <c r="C148" s="24" t="str">
        <f>IFERROR(VLOOKUP(A148,素材!$A:$O,COLUMN(素材!M$1),FALSE),"")</f>
        <v>鱗</v>
      </c>
      <c r="D148" s="24"/>
      <c r="E148" t="s">
        <v>189</v>
      </c>
      <c r="F148" s="1" t="str">
        <f>IFERROR(VLOOKUP(A148,素材!$A:$O,COLUMN(素材!O$1),FALSE),"")</f>
        <v>酸性の体液を持つドラゴン型生物から採取される鱗素材。特殊な酸属性耐性を提供し、毒性や腐食性のある環境に適した防具の製作に適しています。</v>
      </c>
      <c r="BM148">
        <f t="shared" si="6"/>
        <v>0</v>
      </c>
      <c r="BO148" t="str">
        <f>素材!M38&amp;".webp"</f>
        <v>鱗.webp</v>
      </c>
      <c r="BP148" t="str">
        <f t="shared" si="5"/>
        <v>i_148</v>
      </c>
    </row>
    <row r="149" spans="1:68" outlineLevel="1" x14ac:dyDescent="0.4">
      <c r="A149">
        <f>素材!A41</f>
        <v>0</v>
      </c>
      <c r="B149" t="str">
        <f>IFERROR(VLOOKUP(A149,素材!$A:$O,COLUMN(素材!B$1),FALSE),"")</f>
        <v/>
      </c>
      <c r="C149" s="24" t="str">
        <f>IFERROR(VLOOKUP(A149,素材!$A:$O,COLUMN(素材!M$1),FALSE),"")</f>
        <v/>
      </c>
      <c r="D149" s="24"/>
      <c r="E149" t="s">
        <v>189</v>
      </c>
      <c r="F149" s="1" t="str">
        <f>IFERROR(VLOOKUP(A149,素材!$A:$O,COLUMN(素材!O$1),FALSE),"")</f>
        <v/>
      </c>
      <c r="BM149">
        <f t="shared" si="6"/>
        <v>0</v>
      </c>
      <c r="BO149" t="str">
        <f>素材!M39&amp;".webp"</f>
        <v>鱗.webp</v>
      </c>
      <c r="BP149" t="str">
        <f t="shared" si="5"/>
        <v>i_149</v>
      </c>
    </row>
    <row r="150" spans="1:68" outlineLevel="1" x14ac:dyDescent="0.4">
      <c r="A150">
        <f>素材!A42</f>
        <v>0</v>
      </c>
      <c r="B150" t="str">
        <f>IFERROR(VLOOKUP(A150,素材!$A:$O,COLUMN(素材!B$1),FALSE),"")</f>
        <v/>
      </c>
      <c r="C150" s="24" t="str">
        <f>IFERROR(VLOOKUP(A150,素材!$A:$O,COLUMN(素材!M$1),FALSE),"")</f>
        <v/>
      </c>
      <c r="D150" s="24"/>
      <c r="E150" t="s">
        <v>189</v>
      </c>
      <c r="F150" s="1" t="str">
        <f>IFERROR(VLOOKUP(A150,素材!$A:$O,COLUMN(素材!O$1),FALSE),"")</f>
        <v/>
      </c>
      <c r="BM150">
        <f t="shared" si="6"/>
        <v>0</v>
      </c>
      <c r="BO150" t="str">
        <f>素材!M40&amp;".webp"</f>
        <v>鱗.webp</v>
      </c>
      <c r="BP150" t="str">
        <f t="shared" si="5"/>
        <v>i_150</v>
      </c>
    </row>
    <row r="151" spans="1:68" outlineLevel="1" x14ac:dyDescent="0.4">
      <c r="A151">
        <f>素材!A43</f>
        <v>0</v>
      </c>
      <c r="B151" t="str">
        <f>IFERROR(VLOOKUP(A151,素材!$A:$O,COLUMN(素材!B$1),FALSE),"")</f>
        <v/>
      </c>
      <c r="C151" s="24" t="str">
        <f>IFERROR(VLOOKUP(A151,素材!$A:$O,COLUMN(素材!M$1),FALSE),"")</f>
        <v/>
      </c>
      <c r="D151" s="24"/>
      <c r="E151" t="s">
        <v>189</v>
      </c>
      <c r="F151" s="1" t="str">
        <f>IFERROR(VLOOKUP(A151,素材!$A:$O,COLUMN(素材!O$1),FALSE),"")</f>
        <v/>
      </c>
      <c r="BM151">
        <f t="shared" si="6"/>
        <v>0</v>
      </c>
      <c r="BO151" t="str">
        <f>素材!M41&amp;".webp"</f>
        <v>.webp</v>
      </c>
      <c r="BP151" t="str">
        <f t="shared" si="5"/>
        <v>i_151</v>
      </c>
    </row>
    <row r="152" spans="1:68" outlineLevel="1" x14ac:dyDescent="0.4">
      <c r="A152" t="str">
        <f>素材!A44</f>
        <v>2. 木材（ウッド）素材例</v>
      </c>
      <c r="B152">
        <f>IFERROR(VLOOKUP(A152,素材!$A:$O,COLUMN(素材!B$1),FALSE),"")</f>
        <v>0</v>
      </c>
      <c r="C152" s="24">
        <f>IFERROR(VLOOKUP(A152,素材!$A:$O,COLUMN(素材!M$1),FALSE),"")</f>
        <v>0</v>
      </c>
      <c r="D152" s="24"/>
      <c r="E152" t="s">
        <v>189</v>
      </c>
      <c r="F152" s="1">
        <f>IFERROR(VLOOKUP(A152,素材!$A:$O,COLUMN(素材!O$1),FALSE),"")</f>
        <v>0</v>
      </c>
      <c r="BM152">
        <f t="shared" si="6"/>
        <v>0</v>
      </c>
      <c r="BO152" t="str">
        <f>素材!M42&amp;".webp"</f>
        <v>.webp</v>
      </c>
      <c r="BP152" t="str">
        <f t="shared" si="5"/>
        <v>i_152</v>
      </c>
    </row>
    <row r="153" spans="1:68" outlineLevel="1" x14ac:dyDescent="0.4">
      <c r="A153">
        <f>素材!A45</f>
        <v>0</v>
      </c>
      <c r="B153" t="str">
        <f>IFERROR(VLOOKUP(A153,素材!$A:$O,COLUMN(素材!B$1),FALSE),"")</f>
        <v/>
      </c>
      <c r="C153" s="24" t="str">
        <f>IFERROR(VLOOKUP(A153,素材!$A:$O,COLUMN(素材!M$1),FALSE),"")</f>
        <v/>
      </c>
      <c r="D153" s="24"/>
      <c r="E153" t="s">
        <v>189</v>
      </c>
      <c r="F153" s="1" t="str">
        <f>IFERROR(VLOOKUP(A153,素材!$A:$O,COLUMN(素材!O$1),FALSE),"")</f>
        <v/>
      </c>
      <c r="BM153">
        <f t="shared" si="6"/>
        <v>0</v>
      </c>
      <c r="BO153" t="str">
        <f>素材!M43&amp;".webp"</f>
        <v>.webp</v>
      </c>
      <c r="BP153" t="str">
        <f t="shared" si="5"/>
        <v>i_153</v>
      </c>
    </row>
    <row r="154" spans="1:68" outlineLevel="1" x14ac:dyDescent="0.4">
      <c r="A154" t="str">
        <f>素材!A46</f>
        <v>名前</v>
      </c>
      <c r="B154" t="str">
        <f>IFERROR(VLOOKUP(A154,素材!$A:$O,COLUMN(素材!B$1),FALSE),"")</f>
        <v>英名</v>
      </c>
      <c r="C154" s="24" t="str">
        <f>IFERROR(VLOOKUP(A154,素材!$A:$O,COLUMN(素材!M$1),FALSE),"")</f>
        <v>種別</v>
      </c>
      <c r="D154" s="24"/>
      <c r="E154" t="s">
        <v>189</v>
      </c>
      <c r="F154" s="1" t="str">
        <f>IFERROR(VLOOKUP(A154,素材!$A:$O,COLUMN(素材!O$1),FALSE),"")</f>
        <v>説明</v>
      </c>
      <c r="BM154">
        <f t="shared" si="6"/>
        <v>0</v>
      </c>
      <c r="BO154" t="str">
        <f>素材!M44&amp;".webp"</f>
        <v>.webp</v>
      </c>
      <c r="BP154" t="str">
        <f t="shared" si="5"/>
        <v>i_154</v>
      </c>
    </row>
    <row r="155" spans="1:68" ht="56.25" outlineLevel="1" x14ac:dyDescent="0.4">
      <c r="A155" t="str">
        <f>素材!A48</f>
        <v>黒の木</v>
      </c>
      <c r="B155" t="str">
        <f>IFERROR(VLOOKUP(A155,素材!$A:$O,COLUMN(素材!B$1),FALSE),"")</f>
        <v>ブラックウッド</v>
      </c>
      <c r="C155" s="24" t="str">
        <f>IFERROR(VLOOKUP(A155,素材!$A:$O,COLUMN(素材!M$1),FALSE),"")</f>
        <v>木材</v>
      </c>
      <c r="D155" s="24"/>
      <c r="E155" t="s">
        <v>189</v>
      </c>
      <c r="F155" s="1" t="str">
        <f>IFERROR(VLOOKUP(A155,素材!$A:$O,COLUMN(素材!O$1),FALSE),"")</f>
        <v>音を増幅させる性質を持つ木材。武器に使用すると音波効果を付加し、防具に使用すると音耐性が強化される。</v>
      </c>
      <c r="BM155">
        <f t="shared" si="6"/>
        <v>0</v>
      </c>
      <c r="BO155" t="str">
        <f>素材!M45&amp;".webp"</f>
        <v>.webp</v>
      </c>
      <c r="BP155" t="str">
        <f t="shared" si="5"/>
        <v>i_155</v>
      </c>
    </row>
    <row r="156" spans="1:68" ht="56.25" outlineLevel="1" x14ac:dyDescent="0.4">
      <c r="A156" t="str">
        <f>素材!A49</f>
        <v>黒の芯木</v>
      </c>
      <c r="B156" t="str">
        <f>IFERROR(VLOOKUP(A156,素材!$A:$O,COLUMN(素材!B$1),FALSE),"")</f>
        <v>ブラックウッドコア</v>
      </c>
      <c r="C156" s="24" t="str">
        <f>IFERROR(VLOOKUP(A156,素材!$A:$O,COLUMN(素材!M$1),FALSE),"")</f>
        <v>木材</v>
      </c>
      <c r="D156" s="24"/>
      <c r="E156" t="s">
        <v>189</v>
      </c>
      <c r="F156" s="1" t="str">
        <f>IFERROR(VLOOKUP(A156,素材!$A:$O,COLUMN(素材!O$1),FALSE),"")</f>
        <v>音を増幅させる性質を持つ木材。武器に使用すると音波効果を付加し、防具に使用すると音耐性が強化される。</v>
      </c>
      <c r="BM156">
        <f t="shared" si="6"/>
        <v>0</v>
      </c>
      <c r="BO156" t="str">
        <f>素材!M46&amp;".webp"</f>
        <v>種別.webp</v>
      </c>
      <c r="BP156" t="str">
        <f t="shared" si="5"/>
        <v>i_156</v>
      </c>
    </row>
    <row r="157" spans="1:68" ht="56.25" outlineLevel="1" x14ac:dyDescent="0.4">
      <c r="A157" t="str">
        <f>素材!A50</f>
        <v>音響樹</v>
      </c>
      <c r="B157" t="str">
        <f>IFERROR(VLOOKUP(A157,素材!$A:$O,COLUMN(素材!B$1),FALSE),"")</f>
        <v>ソニックウッド</v>
      </c>
      <c r="C157" s="24" t="str">
        <f>IFERROR(VLOOKUP(A157,素材!$A:$O,COLUMN(素材!M$1),FALSE),"")</f>
        <v>木材</v>
      </c>
      <c r="D157" s="24"/>
      <c r="E157" t="s">
        <v>189</v>
      </c>
      <c r="F157" s="1" t="str">
        <f>IFERROR(VLOOKUP(A157,素材!$A:$O,COLUMN(素材!O$1),FALSE),"")</f>
        <v>音を増幅させる性質を持つ木材。武器に使用すると音波効果を付加し、防具に使用すると音耐性が強化される。</v>
      </c>
      <c r="BM157">
        <f t="shared" si="6"/>
        <v>0</v>
      </c>
      <c r="BO157" t="str">
        <f>素材!M48&amp;".webp"</f>
        <v>木材.webp</v>
      </c>
      <c r="BP157" t="str">
        <f t="shared" si="5"/>
        <v>i_157</v>
      </c>
    </row>
    <row r="158" spans="1:68" ht="56.25" outlineLevel="1" x14ac:dyDescent="0.4">
      <c r="A158" t="str">
        <f>素材!A51</f>
        <v>雷樹</v>
      </c>
      <c r="B158" t="str">
        <f>IFERROR(VLOOKUP(A158,素材!$A:$O,COLUMN(素材!B$1),FALSE),"")</f>
        <v>サンダーウッド</v>
      </c>
      <c r="C158" s="24" t="str">
        <f>IFERROR(VLOOKUP(A158,素材!$A:$O,COLUMN(素材!M$1),FALSE),"")</f>
        <v>木材</v>
      </c>
      <c r="D158" s="24"/>
      <c r="E158" t="s">
        <v>189</v>
      </c>
      <c r="F158" s="1" t="str">
        <f>IFERROR(VLOOKUP(A158,素材!$A:$O,COLUMN(素材!O$1),FALSE),"")</f>
        <v>雷を引き寄せる性質がある木材。武器に使用すると電撃属性を付加し、防具に使用すると雷耐性が強化される。</v>
      </c>
      <c r="BM158">
        <f t="shared" si="6"/>
        <v>0</v>
      </c>
      <c r="BO158" t="str">
        <f>素材!M49&amp;".webp"</f>
        <v>木材.webp</v>
      </c>
      <c r="BP158" t="str">
        <f t="shared" si="5"/>
        <v>i_158</v>
      </c>
    </row>
    <row r="159" spans="1:68" ht="56.25" outlineLevel="1" x14ac:dyDescent="0.4">
      <c r="A159" t="str">
        <f>素材!A52</f>
        <v>聖木</v>
      </c>
      <c r="B159" t="str">
        <f>IFERROR(VLOOKUP(A159,素材!$A:$O,COLUMN(素材!B$1),FALSE),"")</f>
        <v>セイクリッドウッド</v>
      </c>
      <c r="C159" s="24" t="str">
        <f>IFERROR(VLOOKUP(A159,素材!$A:$O,COLUMN(素材!M$1),FALSE),"")</f>
        <v>木材</v>
      </c>
      <c r="D159" s="24"/>
      <c r="E159" t="s">
        <v>189</v>
      </c>
      <c r="F159" s="1" t="str">
        <f>IFERROR(VLOOKUP(A159,素材!$A:$O,COLUMN(素材!O$1),FALSE),"")</f>
        <v>神聖な力を持つ木材。武器として使用すると善属性が付加され、防具に使用すると呪いへの耐性が強化される。</v>
      </c>
      <c r="BM159">
        <f t="shared" si="6"/>
        <v>0</v>
      </c>
      <c r="BO159" t="str">
        <f>素材!M50&amp;".webp"</f>
        <v>木材.webp</v>
      </c>
      <c r="BP159" t="str">
        <f t="shared" si="5"/>
        <v>i_159</v>
      </c>
    </row>
    <row r="160" spans="1:68" ht="56.25" outlineLevel="1" x14ac:dyDescent="0.4">
      <c r="A160" t="str">
        <f>素材!A57</f>
        <v>亡霊樹</v>
      </c>
      <c r="B160" t="str">
        <f>IFERROR(VLOOKUP(A160,素材!$A:$O,COLUMN(素材!B$1),FALSE),"")</f>
        <v>スピリットウッド</v>
      </c>
      <c r="C160" s="24" t="str">
        <f>IFERROR(VLOOKUP(A160,素材!$A:$O,COLUMN(素材!M$1),FALSE),"")</f>
        <v>木材</v>
      </c>
      <c r="D160" s="24"/>
      <c r="E160" t="s">
        <v>189</v>
      </c>
      <c r="F160" s="1" t="str">
        <f>IFERROR(VLOOKUP(A160,素材!$A:$O,COLUMN(素材!O$1),FALSE),"")</f>
        <v>精神的なエネルギーを吸収する木材。武器に使用すると精神的耐性が上昇、防具に使用すると精神耐性がさらに強化される。</v>
      </c>
      <c r="BM160">
        <f t="shared" si="6"/>
        <v>0</v>
      </c>
      <c r="BO160" t="str">
        <f>素材!M51&amp;".webp"</f>
        <v>木材.webp</v>
      </c>
      <c r="BP160" t="str">
        <f t="shared" si="5"/>
        <v>i_160</v>
      </c>
    </row>
    <row r="161" spans="1:68" ht="56.25" outlineLevel="1" x14ac:dyDescent="0.4">
      <c r="A161" t="str">
        <f>素材!A58</f>
        <v>月影木</v>
      </c>
      <c r="B161" t="str">
        <f>IFERROR(VLOOKUP(A161,素材!$A:$O,COLUMN(素材!B$1),FALSE),"")</f>
        <v>ムーンシャドーウッド</v>
      </c>
      <c r="C161" s="24" t="str">
        <f>IFERROR(VLOOKUP(A161,素材!$A:$O,COLUMN(素材!M$1),FALSE),"")</f>
        <v>木材</v>
      </c>
      <c r="D161" s="24"/>
      <c r="E161" t="s">
        <v>189</v>
      </c>
      <c r="F161" s="1" t="str">
        <f>IFERROR(VLOOKUP(A161,素材!$A:$O,COLUMN(素材!O$1),FALSE),"")</f>
        <v>月光を浴びて育った木材で、闇の力に影響されやすい。武器に使用すると攻撃に闇属性が付加され、防具に使用すると闇耐性が強化される。</v>
      </c>
      <c r="BM161">
        <f t="shared" si="6"/>
        <v>0</v>
      </c>
      <c r="BO161" t="str">
        <f>素材!M52&amp;".webp"</f>
        <v>木材.webp</v>
      </c>
      <c r="BP161" t="str">
        <f t="shared" si="5"/>
        <v>i_161</v>
      </c>
    </row>
    <row r="162" spans="1:68" outlineLevel="1" x14ac:dyDescent="0.4">
      <c r="A162">
        <f>素材!A59</f>
        <v>0</v>
      </c>
      <c r="B162" t="str">
        <f>IFERROR(VLOOKUP(A162,素材!$A:$O,COLUMN(素材!B$1),FALSE),"")</f>
        <v/>
      </c>
      <c r="C162" s="24" t="str">
        <f>IFERROR(VLOOKUP(A162,素材!$A:$O,COLUMN(素材!M$1),FALSE),"")</f>
        <v/>
      </c>
      <c r="D162" s="24"/>
      <c r="E162" t="s">
        <v>189</v>
      </c>
      <c r="F162" s="1" t="str">
        <f>IFERROR(VLOOKUP(A162,素材!$A:$O,COLUMN(素材!O$1),FALSE),"")</f>
        <v/>
      </c>
      <c r="BM162">
        <f t="shared" si="6"/>
        <v>0</v>
      </c>
      <c r="BO162" t="str">
        <f>素材!M57&amp;".webp"</f>
        <v>木材.webp</v>
      </c>
      <c r="BP162" t="str">
        <f t="shared" si="5"/>
        <v>i_162</v>
      </c>
    </row>
    <row r="163" spans="1:68" outlineLevel="1" x14ac:dyDescent="0.4">
      <c r="A163">
        <f>素材!A60</f>
        <v>0</v>
      </c>
      <c r="B163" t="str">
        <f>IFERROR(VLOOKUP(A163,素材!$A:$O,COLUMN(素材!B$1),FALSE),"")</f>
        <v/>
      </c>
      <c r="C163" s="24" t="str">
        <f>IFERROR(VLOOKUP(A163,素材!$A:$O,COLUMN(素材!M$1),FALSE),"")</f>
        <v/>
      </c>
      <c r="D163" s="24"/>
      <c r="E163" t="s">
        <v>189</v>
      </c>
      <c r="F163" s="1" t="str">
        <f>IFERROR(VLOOKUP(A163,素材!$A:$O,COLUMN(素材!O$1),FALSE),"")</f>
        <v/>
      </c>
      <c r="BM163">
        <f t="shared" si="6"/>
        <v>0</v>
      </c>
      <c r="BO163" t="str">
        <f>素材!M58&amp;".webp"</f>
        <v>木材.webp</v>
      </c>
      <c r="BP163" t="str">
        <f t="shared" si="5"/>
        <v>i_163</v>
      </c>
    </row>
    <row r="164" spans="1:68" outlineLevel="1" x14ac:dyDescent="0.4">
      <c r="A164" t="str">
        <f>素材!A61</f>
        <v>3. 骨（ボーン）素材例</v>
      </c>
      <c r="B164">
        <f>IFERROR(VLOOKUP(A164,素材!$A:$O,COLUMN(素材!B$1),FALSE),"")</f>
        <v>0</v>
      </c>
      <c r="C164" s="24">
        <f>IFERROR(VLOOKUP(A164,素材!$A:$O,COLUMN(素材!M$1),FALSE),"")</f>
        <v>0</v>
      </c>
      <c r="D164" s="24"/>
      <c r="E164" t="s">
        <v>189</v>
      </c>
      <c r="F164" s="1">
        <f>IFERROR(VLOOKUP(A164,素材!$A:$O,COLUMN(素材!O$1),FALSE),"")</f>
        <v>0</v>
      </c>
      <c r="BM164">
        <f t="shared" si="6"/>
        <v>0</v>
      </c>
      <c r="BO164" t="str">
        <f>素材!M59&amp;".webp"</f>
        <v>.webp</v>
      </c>
      <c r="BP164" t="str">
        <f t="shared" si="5"/>
        <v>i_164</v>
      </c>
    </row>
    <row r="165" spans="1:68" outlineLevel="1" x14ac:dyDescent="0.4">
      <c r="A165">
        <f>素材!A62</f>
        <v>0</v>
      </c>
      <c r="B165" t="str">
        <f>IFERROR(VLOOKUP(A165,素材!$A:$O,COLUMN(素材!B$1),FALSE),"")</f>
        <v/>
      </c>
      <c r="C165" s="24" t="str">
        <f>IFERROR(VLOOKUP(A165,素材!$A:$O,COLUMN(素材!M$1),FALSE),"")</f>
        <v/>
      </c>
      <c r="D165" s="24"/>
      <c r="E165" t="s">
        <v>189</v>
      </c>
      <c r="F165" s="1" t="str">
        <f>IFERROR(VLOOKUP(A165,素材!$A:$O,COLUMN(素材!O$1),FALSE),"")</f>
        <v/>
      </c>
      <c r="BM165">
        <f t="shared" si="6"/>
        <v>0</v>
      </c>
      <c r="BO165" t="str">
        <f>素材!M60&amp;".webp"</f>
        <v>.webp</v>
      </c>
      <c r="BP165" t="str">
        <f t="shared" si="5"/>
        <v>i_165</v>
      </c>
    </row>
    <row r="166" spans="1:68" outlineLevel="1" x14ac:dyDescent="0.4">
      <c r="A166" t="str">
        <f>素材!A63</f>
        <v>名前</v>
      </c>
      <c r="B166" t="str">
        <f>IFERROR(VLOOKUP(A166,素材!$A:$O,COLUMN(素材!B$1),FALSE),"")</f>
        <v>英名</v>
      </c>
      <c r="C166" s="24" t="str">
        <f>IFERROR(VLOOKUP(A166,素材!$A:$O,COLUMN(素材!M$1),FALSE),"")</f>
        <v>種別</v>
      </c>
      <c r="D166" s="24"/>
      <c r="E166" t="s">
        <v>189</v>
      </c>
      <c r="F166" s="1" t="str">
        <f>IFERROR(VLOOKUP(A166,素材!$A:$O,COLUMN(素材!O$1),FALSE),"")</f>
        <v>説明</v>
      </c>
      <c r="BM166">
        <f t="shared" si="6"/>
        <v>0</v>
      </c>
      <c r="BO166" t="str">
        <f>素材!M61&amp;".webp"</f>
        <v>.webp</v>
      </c>
      <c r="BP166" t="str">
        <f t="shared" si="5"/>
        <v>i_166</v>
      </c>
    </row>
    <row r="167" spans="1:68" ht="37.5" outlineLevel="1" x14ac:dyDescent="0.4">
      <c r="A167" t="str">
        <f>素材!A67</f>
        <v>龍骨</v>
      </c>
      <c r="B167" t="str">
        <f>IFERROR(VLOOKUP(A167,素材!$A:$O,COLUMN(素材!B$1),FALSE),"")</f>
        <v>ドラゴンボーン</v>
      </c>
      <c r="C167" s="24" t="str">
        <f>IFERROR(VLOOKUP(A167,素材!$A:$O,COLUMN(素材!M$1),FALSE),"")</f>
        <v>骨</v>
      </c>
      <c r="D167" s="24"/>
      <c r="E167" t="s">
        <v>189</v>
      </c>
      <c r="F167" s="1" t="str">
        <f>IFERROR(VLOOKUP(A167,素材!$A:$O,COLUMN(素材!O$1),FALSE),"")</f>
        <v>竜の骨から作られた素材。竜に対する攻撃力が高まり、竜からの攻撃を軽減する効果を持つ。</v>
      </c>
      <c r="BM167">
        <f t="shared" si="6"/>
        <v>0</v>
      </c>
      <c r="BO167" t="str">
        <f>素材!M62&amp;".webp"</f>
        <v>.webp</v>
      </c>
      <c r="BP167" t="str">
        <f t="shared" si="5"/>
        <v>i_167</v>
      </c>
    </row>
    <row r="168" spans="1:68" ht="56.25" outlineLevel="1" x14ac:dyDescent="0.4">
      <c r="A168" t="str">
        <f>素材!A68</f>
        <v>亡者骨</v>
      </c>
      <c r="B168" t="str">
        <f>IFERROR(VLOOKUP(A168,素材!$A:$O,COLUMN(素材!B$1),FALSE),"")</f>
        <v>ゴーストボーン</v>
      </c>
      <c r="C168" s="24" t="str">
        <f>IFERROR(VLOOKUP(A168,素材!$A:$O,COLUMN(素材!M$1),FALSE),"")</f>
        <v>骨</v>
      </c>
      <c r="D168" s="24"/>
      <c r="E168" t="s">
        <v>189</v>
      </c>
      <c r="F168" s="1" t="str">
        <f>IFERROR(VLOOKUP(A168,素材!$A:$O,COLUMN(素材!O$1),FALSE),"")</f>
        <v>不死者の骨。武器に使用すると不死者への打撃が強化され、防具に使用すると悪への耐性が付加される。</v>
      </c>
      <c r="BM168">
        <f t="shared" si="6"/>
        <v>0</v>
      </c>
      <c r="BO168" t="str">
        <f>素材!M63&amp;".webp"</f>
        <v>種別.webp</v>
      </c>
      <c r="BP168" t="str">
        <f t="shared" si="5"/>
        <v>i_168</v>
      </c>
    </row>
    <row r="169" spans="1:68" ht="56.25" outlineLevel="1" x14ac:dyDescent="0.4">
      <c r="A169" t="str">
        <f>素材!A69</f>
        <v>盲目の骨</v>
      </c>
      <c r="B169" t="str">
        <f>IFERROR(VLOOKUP(A169,素材!$A:$O,COLUMN(素材!B$1),FALSE),"")</f>
        <v>ブラインドボーン</v>
      </c>
      <c r="C169" s="24" t="str">
        <f>IFERROR(VLOOKUP(A169,素材!$A:$O,COLUMN(素材!M$1),FALSE),"")</f>
        <v>骨</v>
      </c>
      <c r="D169" s="24"/>
      <c r="E169" t="s">
        <v>189</v>
      </c>
      <c r="F169" s="1" t="str">
        <f>IFERROR(VLOOKUP(A169,素材!$A:$O,COLUMN(素材!O$1),FALSE),"")</f>
        <v>特殊な暗闇効果を持つ骨。武器に使用すると攻撃に暗闇効果が追加され、防具に使用すると盲目耐性が付加される。</v>
      </c>
      <c r="BM169">
        <f t="shared" si="6"/>
        <v>0</v>
      </c>
      <c r="BO169" t="str">
        <f>素材!M67&amp;".webp"</f>
        <v>骨.webp</v>
      </c>
      <c r="BP169" t="str">
        <f t="shared" si="5"/>
        <v>i_169</v>
      </c>
    </row>
    <row r="170" spans="1:68" ht="56.25" outlineLevel="1" x14ac:dyDescent="0.4">
      <c r="A170" t="str">
        <f>素材!A70</f>
        <v>幻骨</v>
      </c>
      <c r="B170" t="str">
        <f>IFERROR(VLOOKUP(A170,素材!$A:$O,COLUMN(素材!B$1),FALSE),"")</f>
        <v>ミラージュボーン</v>
      </c>
      <c r="C170" s="24" t="str">
        <f>IFERROR(VLOOKUP(A170,素材!$A:$O,COLUMN(素材!M$1),FALSE),"")</f>
        <v>骨</v>
      </c>
      <c r="D170" s="24"/>
      <c r="E170" t="s">
        <v>189</v>
      </c>
      <c r="F170" s="1" t="str">
        <f>IFERROR(VLOOKUP(A170,素材!$A:$O,COLUMN(素材!O$1),FALSE),"")</f>
        <v>幻覚の力を持つ素材。武器に使用すると攻撃に幻覚を誘発し、防具に使用すると幻覚耐性が強化される。</v>
      </c>
      <c r="BM170">
        <f t="shared" si="6"/>
        <v>0</v>
      </c>
      <c r="BO170" t="str">
        <f>素材!M68&amp;".webp"</f>
        <v>骨.webp</v>
      </c>
      <c r="BP170" t="str">
        <f t="shared" si="5"/>
        <v>i_170</v>
      </c>
    </row>
    <row r="171" spans="1:68" ht="56.25" outlineLevel="1" x14ac:dyDescent="0.4">
      <c r="A171" t="str">
        <f>素材!A71</f>
        <v>呪骨</v>
      </c>
      <c r="B171" t="str">
        <f>IFERROR(VLOOKUP(A171,素材!$A:$O,COLUMN(素材!B$1),FALSE),"")</f>
        <v>カースドボーン</v>
      </c>
      <c r="C171" s="24" t="str">
        <f>IFERROR(VLOOKUP(A171,素材!$A:$O,COLUMN(素材!M$1),FALSE),"")</f>
        <v>骨</v>
      </c>
      <c r="D171" s="24"/>
      <c r="E171" t="s">
        <v>189</v>
      </c>
      <c r="F171" s="1" t="str">
        <f>IFERROR(VLOOKUP(A171,素材!$A:$O,COLUMN(素材!O$1),FALSE),"")</f>
        <v>呪いを帯びた骨。武器に使用すると攻撃に呪い効果が追加され、防具に使用すると呪い耐性が強化される。</v>
      </c>
      <c r="BM171">
        <f t="shared" si="6"/>
        <v>0</v>
      </c>
      <c r="BO171" t="str">
        <f>素材!M69&amp;".webp"</f>
        <v>骨.webp</v>
      </c>
      <c r="BP171" t="str">
        <f t="shared" si="5"/>
        <v>i_171</v>
      </c>
    </row>
    <row r="172" spans="1:68" outlineLevel="1" x14ac:dyDescent="0.4">
      <c r="A172">
        <f>素材!A72</f>
        <v>0</v>
      </c>
      <c r="B172" t="str">
        <f>IFERROR(VLOOKUP(A172,素材!$A:$O,COLUMN(素材!B$1),FALSE),"")</f>
        <v/>
      </c>
      <c r="C172" s="24" t="str">
        <f>IFERROR(VLOOKUP(A172,素材!$A:$O,COLUMN(素材!M$1),FALSE),"")</f>
        <v/>
      </c>
      <c r="D172" s="24"/>
      <c r="E172" t="s">
        <v>189</v>
      </c>
      <c r="F172" s="1" t="str">
        <f>IFERROR(VLOOKUP(A172,素材!$A:$O,COLUMN(素材!O$1),FALSE),"")</f>
        <v/>
      </c>
      <c r="BM172">
        <f t="shared" si="6"/>
        <v>0</v>
      </c>
      <c r="BO172" t="str">
        <f>素材!M70&amp;".webp"</f>
        <v>骨.webp</v>
      </c>
      <c r="BP172" t="str">
        <f t="shared" si="5"/>
        <v>i_172</v>
      </c>
    </row>
    <row r="173" spans="1:68" outlineLevel="1" x14ac:dyDescent="0.4">
      <c r="A173" t="str">
        <f>素材!A64</f>
        <v>死霊の骨</v>
      </c>
      <c r="B173" t="str">
        <f>IFERROR(VLOOKUP(A173,素材!$A:$O,COLUMN(素材!B$1),FALSE),"")</f>
        <v>ボーン</v>
      </c>
      <c r="C173" s="24" t="str">
        <f>IFERROR(VLOOKUP(A173,素材!$A:$O,COLUMN(素材!M$1),FALSE),"")</f>
        <v>骨</v>
      </c>
      <c r="D173" s="24"/>
      <c r="E173" t="s">
        <v>189</v>
      </c>
      <c r="F173" s="1" t="str">
        <f>IFERROR(VLOOKUP(A173,素材!$A:$O,COLUMN(素材!O$1),FALSE),"")</f>
        <v>スケルトンの骨、負のエネルギーが宿っている</v>
      </c>
      <c r="BM173">
        <f t="shared" si="6"/>
        <v>0</v>
      </c>
      <c r="BO173" t="str">
        <f>素材!M71&amp;".webp"</f>
        <v>骨.webp</v>
      </c>
      <c r="BP173" t="str">
        <f t="shared" si="5"/>
        <v>i_173</v>
      </c>
    </row>
    <row r="174" spans="1:68" outlineLevel="1" x14ac:dyDescent="0.4">
      <c r="A174" t="str">
        <f>素材!A65</f>
        <v>毒の牙</v>
      </c>
      <c r="B174" t="str">
        <f>IFERROR(VLOOKUP(A174,素材!$A:$O,COLUMN(素材!B$1),FALSE),"")</f>
        <v>ボーン</v>
      </c>
      <c r="C174" s="24" t="str">
        <f>IFERROR(VLOOKUP(A174,素材!$A:$O,COLUMN(素材!M$1),FALSE),"")</f>
        <v>骨</v>
      </c>
      <c r="D174" s="24"/>
      <c r="E174" t="s">
        <v>189</v>
      </c>
      <c r="F174" s="1" t="str">
        <f>IFERROR(VLOOKUP(A174,素材!$A:$O,COLUMN(素材!O$1),FALSE),"")</f>
        <v>ゾンビの牙、毒々しい液が先端からこぼれている</v>
      </c>
      <c r="BM174">
        <f t="shared" si="6"/>
        <v>0</v>
      </c>
      <c r="BO174" t="str">
        <f>素材!M72&amp;".webp"</f>
        <v>.webp</v>
      </c>
      <c r="BP174" t="str">
        <f t="shared" si="5"/>
        <v>i_174</v>
      </c>
    </row>
    <row r="175" spans="1:68" outlineLevel="1" x14ac:dyDescent="0.4">
      <c r="A175" t="str">
        <f>素材!A66</f>
        <v>鋭利な爪</v>
      </c>
      <c r="B175" t="str">
        <f>IFERROR(VLOOKUP(A175,素材!$A:$O,COLUMN(素材!B$1),FALSE),"")</f>
        <v>ボーン</v>
      </c>
      <c r="C175" s="24" t="str">
        <f>IFERROR(VLOOKUP(A175,素材!$A:$O,COLUMN(素材!M$1),FALSE),"")</f>
        <v>骨</v>
      </c>
      <c r="D175" s="24"/>
      <c r="E175" t="s">
        <v>189</v>
      </c>
      <c r="F175" s="1" t="str">
        <f>IFERROR(VLOOKUP(A175,素材!$A:$O,COLUMN(素材!O$1),FALSE),"")</f>
        <v>動物や、モンスターがもつ鋭い爪</v>
      </c>
      <c r="BM175">
        <f t="shared" si="6"/>
        <v>0</v>
      </c>
      <c r="BO175" t="str">
        <f>素材!M64&amp;".webp"</f>
        <v>骨.webp</v>
      </c>
      <c r="BP175" t="str">
        <f t="shared" si="5"/>
        <v>i_175</v>
      </c>
    </row>
    <row r="176" spans="1:68" outlineLevel="1" x14ac:dyDescent="0.4">
      <c r="A176">
        <f>素材!A73</f>
        <v>0</v>
      </c>
      <c r="B176" t="str">
        <f>IFERROR(VLOOKUP(A176,素材!$A:$O,COLUMN(素材!B$1),FALSE),"")</f>
        <v/>
      </c>
      <c r="C176" s="24" t="str">
        <f>IFERROR(VLOOKUP(A176,素材!$A:$O,COLUMN(素材!M$1),FALSE),"")</f>
        <v/>
      </c>
      <c r="D176" s="24"/>
      <c r="E176" t="s">
        <v>189</v>
      </c>
      <c r="F176" s="1" t="str">
        <f>IFERROR(VLOOKUP(A176,素材!$A:$O,COLUMN(素材!O$1),FALSE),"")</f>
        <v/>
      </c>
      <c r="BM176">
        <f t="shared" si="6"/>
        <v>0</v>
      </c>
      <c r="BO176" t="str">
        <f>素材!M65&amp;".webp"</f>
        <v>骨.webp</v>
      </c>
      <c r="BP176" t="str">
        <f t="shared" si="5"/>
        <v>i_176</v>
      </c>
    </row>
    <row r="177" spans="1:68" outlineLevel="1" x14ac:dyDescent="0.4">
      <c r="A177">
        <f>素材!A74</f>
        <v>0</v>
      </c>
      <c r="B177" t="str">
        <f>IFERROR(VLOOKUP(A177,素材!$A:$O,COLUMN(素材!B$1),FALSE),"")</f>
        <v/>
      </c>
      <c r="C177" s="24" t="str">
        <f>IFERROR(VLOOKUP(A177,素材!$A:$O,COLUMN(素材!M$1),FALSE),"")</f>
        <v/>
      </c>
      <c r="D177" s="24"/>
      <c r="E177" t="s">
        <v>189</v>
      </c>
      <c r="F177" s="1" t="str">
        <f>IFERROR(VLOOKUP(A177,素材!$A:$O,COLUMN(素材!O$1),FALSE),"")</f>
        <v/>
      </c>
      <c r="BM177">
        <f t="shared" si="6"/>
        <v>0</v>
      </c>
      <c r="BO177" t="str">
        <f>素材!M66&amp;".webp"</f>
        <v>骨.webp</v>
      </c>
      <c r="BP177" t="str">
        <f t="shared" si="5"/>
        <v>i_177</v>
      </c>
    </row>
    <row r="178" spans="1:68" outlineLevel="1" x14ac:dyDescent="0.4">
      <c r="A178">
        <f>素材!A75</f>
        <v>0</v>
      </c>
      <c r="B178" t="str">
        <f>IFERROR(VLOOKUP(A178,素材!$A:$O,COLUMN(素材!B$1),FALSE),"")</f>
        <v/>
      </c>
      <c r="C178" s="24" t="str">
        <f>IFERROR(VLOOKUP(A178,素材!$A:$O,COLUMN(素材!M$1),FALSE),"")</f>
        <v/>
      </c>
      <c r="D178" s="24"/>
      <c r="E178" t="s">
        <v>189</v>
      </c>
      <c r="F178" s="1" t="str">
        <f>IFERROR(VLOOKUP(A178,素材!$A:$O,COLUMN(素材!O$1),FALSE),"")</f>
        <v/>
      </c>
      <c r="BM178">
        <f t="shared" si="6"/>
        <v>0</v>
      </c>
      <c r="BO178" t="str">
        <f>素材!M73&amp;".webp"</f>
        <v>.webp</v>
      </c>
      <c r="BP178" t="str">
        <f t="shared" si="5"/>
        <v>i_178</v>
      </c>
    </row>
    <row r="179" spans="1:68" outlineLevel="1" x14ac:dyDescent="0.4">
      <c r="A179">
        <f>素材!A76</f>
        <v>0</v>
      </c>
      <c r="B179" t="str">
        <f>IFERROR(VLOOKUP(A179,素材!$A:$O,COLUMN(素材!B$1),FALSE),"")</f>
        <v/>
      </c>
      <c r="C179" s="24" t="str">
        <f>IFERROR(VLOOKUP(A179,素材!$A:$O,COLUMN(素材!M$1),FALSE),"")</f>
        <v/>
      </c>
      <c r="D179" s="24"/>
      <c r="E179" t="s">
        <v>189</v>
      </c>
      <c r="F179" s="1" t="str">
        <f>IFERROR(VLOOKUP(A179,素材!$A:$O,COLUMN(素材!O$1),FALSE),"")</f>
        <v/>
      </c>
      <c r="BM179">
        <f t="shared" si="6"/>
        <v>0</v>
      </c>
      <c r="BO179" t="str">
        <f>素材!M74&amp;".webp"</f>
        <v>.webp</v>
      </c>
      <c r="BP179" t="str">
        <f t="shared" si="5"/>
        <v>i_179</v>
      </c>
    </row>
    <row r="180" spans="1:68" outlineLevel="1" x14ac:dyDescent="0.4">
      <c r="A180">
        <f>素材!A77</f>
        <v>0</v>
      </c>
      <c r="B180" t="str">
        <f>IFERROR(VLOOKUP(A180,素材!$A:$O,COLUMN(素材!B$1),FALSE),"")</f>
        <v/>
      </c>
      <c r="C180" s="24" t="str">
        <f>IFERROR(VLOOKUP(A180,素材!$A:$O,COLUMN(素材!M$1),FALSE),"")</f>
        <v/>
      </c>
      <c r="D180" s="24"/>
      <c r="E180" t="s">
        <v>189</v>
      </c>
      <c r="F180" s="1" t="str">
        <f>IFERROR(VLOOKUP(A180,素材!$A:$O,COLUMN(素材!O$1),FALSE),"")</f>
        <v/>
      </c>
      <c r="BM180">
        <f t="shared" si="6"/>
        <v>0</v>
      </c>
      <c r="BO180" t="str">
        <f>素材!M75&amp;".webp"</f>
        <v>.webp</v>
      </c>
      <c r="BP180" t="str">
        <f t="shared" si="5"/>
        <v>i_180</v>
      </c>
    </row>
    <row r="181" spans="1:68" outlineLevel="1" x14ac:dyDescent="0.4">
      <c r="A181">
        <f>素材!A78</f>
        <v>0</v>
      </c>
      <c r="B181" t="str">
        <f>IFERROR(VLOOKUP(A181,素材!$A:$O,COLUMN(素材!B$1),FALSE),"")</f>
        <v/>
      </c>
      <c r="C181" s="24" t="str">
        <f>IFERROR(VLOOKUP(A181,素材!$A:$O,COLUMN(素材!M$1),FALSE),"")</f>
        <v/>
      </c>
      <c r="D181" s="24"/>
      <c r="E181" t="s">
        <v>189</v>
      </c>
      <c r="F181" s="1" t="str">
        <f>IFERROR(VLOOKUP(A181,素材!$A:$O,COLUMN(素材!O$1),FALSE),"")</f>
        <v/>
      </c>
      <c r="BM181">
        <f t="shared" si="6"/>
        <v>0</v>
      </c>
      <c r="BO181" t="str">
        <f>素材!M76&amp;".webp"</f>
        <v>.webp</v>
      </c>
      <c r="BP181" t="str">
        <f t="shared" si="5"/>
        <v>i_181</v>
      </c>
    </row>
    <row r="182" spans="1:68" outlineLevel="1" x14ac:dyDescent="0.4">
      <c r="A182">
        <f>素材!A79</f>
        <v>0</v>
      </c>
      <c r="B182" t="str">
        <f>IFERROR(VLOOKUP(A182,素材!$A:$O,COLUMN(素材!B$1),FALSE),"")</f>
        <v/>
      </c>
      <c r="C182" s="24" t="str">
        <f>IFERROR(VLOOKUP(A182,素材!$A:$O,COLUMN(素材!M$1),FALSE),"")</f>
        <v/>
      </c>
      <c r="D182" s="24"/>
      <c r="E182" t="s">
        <v>189</v>
      </c>
      <c r="F182" s="1" t="str">
        <f>IFERROR(VLOOKUP(A182,素材!$A:$O,COLUMN(素材!O$1),FALSE),"")</f>
        <v/>
      </c>
      <c r="BM182">
        <f t="shared" si="6"/>
        <v>0</v>
      </c>
      <c r="BO182" t="str">
        <f>素材!M77&amp;".webp"</f>
        <v>.webp</v>
      </c>
      <c r="BP182" t="str">
        <f t="shared" si="5"/>
        <v>i_182</v>
      </c>
    </row>
    <row r="183" spans="1:68" outlineLevel="1" x14ac:dyDescent="0.4">
      <c r="A183">
        <f>素材!A80</f>
        <v>0</v>
      </c>
      <c r="B183" t="str">
        <f>IFERROR(VLOOKUP(A183,素材!$A:$O,COLUMN(素材!B$1),FALSE),"")</f>
        <v/>
      </c>
      <c r="C183" s="24" t="str">
        <f>IFERROR(VLOOKUP(A183,素材!$A:$O,COLUMN(素材!M$1),FALSE),"")</f>
        <v/>
      </c>
      <c r="D183" s="24"/>
      <c r="E183" t="s">
        <v>189</v>
      </c>
      <c r="F183" s="1" t="str">
        <f>IFERROR(VLOOKUP(A183,素材!$A:$O,COLUMN(素材!O$1),FALSE),"")</f>
        <v/>
      </c>
      <c r="BM183">
        <f t="shared" si="6"/>
        <v>0</v>
      </c>
      <c r="BO183" t="str">
        <f>素材!M78&amp;".webp"</f>
        <v>.webp</v>
      </c>
      <c r="BP183" t="str">
        <f t="shared" si="5"/>
        <v>i_183</v>
      </c>
    </row>
    <row r="184" spans="1:68" outlineLevel="1" x14ac:dyDescent="0.4">
      <c r="A184">
        <f>素材!A81</f>
        <v>0</v>
      </c>
      <c r="B184" t="str">
        <f>IFERROR(VLOOKUP(A184,素材!$A:$O,COLUMN(素材!B$1),FALSE),"")</f>
        <v/>
      </c>
      <c r="C184" s="24" t="str">
        <f>IFERROR(VLOOKUP(A184,素材!$A:$O,COLUMN(素材!M$1),FALSE),"")</f>
        <v/>
      </c>
      <c r="D184" s="24"/>
      <c r="E184" t="s">
        <v>189</v>
      </c>
      <c r="F184" s="1" t="str">
        <f>IFERROR(VLOOKUP(A184,素材!$A:$O,COLUMN(素材!O$1),FALSE),"")</f>
        <v/>
      </c>
      <c r="BM184">
        <f t="shared" si="6"/>
        <v>0</v>
      </c>
      <c r="BO184" t="str">
        <f>素材!M79&amp;".webp"</f>
        <v>.webp</v>
      </c>
      <c r="BP184" t="str">
        <f t="shared" si="5"/>
        <v>i_184</v>
      </c>
    </row>
    <row r="185" spans="1:68" outlineLevel="1" x14ac:dyDescent="0.4">
      <c r="D185" s="24"/>
      <c r="BM185">
        <f t="shared" si="6"/>
        <v>0</v>
      </c>
      <c r="BO185" t="str">
        <f>素材!M80&amp;".webp"</f>
        <v>.webp</v>
      </c>
      <c r="BP185" t="str">
        <f t="shared" si="5"/>
        <v>i_185</v>
      </c>
    </row>
    <row r="186" spans="1:68" outlineLevel="1" x14ac:dyDescent="0.4">
      <c r="D186" s="24"/>
      <c r="BM186">
        <f t="shared" si="6"/>
        <v>0</v>
      </c>
      <c r="BO186" t="str">
        <f>素材!M81&amp;".webp"</f>
        <v>.webp</v>
      </c>
      <c r="BP186" t="str">
        <f t="shared" si="5"/>
        <v>i_186</v>
      </c>
    </row>
    <row r="187" spans="1:68" outlineLevel="1" x14ac:dyDescent="0.4">
      <c r="D187" s="24"/>
      <c r="BM187">
        <f t="shared" si="6"/>
        <v>0</v>
      </c>
      <c r="BO187" t="str">
        <f>素材!M82&amp;".webp"</f>
        <v>.webp</v>
      </c>
      <c r="BP187" t="str">
        <f t="shared" si="5"/>
        <v>i_187</v>
      </c>
    </row>
    <row r="188" spans="1:68" outlineLevel="1" x14ac:dyDescent="0.4">
      <c r="D188" s="24"/>
      <c r="BM188">
        <f t="shared" si="6"/>
        <v>0</v>
      </c>
      <c r="BO188" t="str">
        <f>素材!M83&amp;".webp"</f>
        <v>.webp</v>
      </c>
      <c r="BP188" t="str">
        <f t="shared" si="5"/>
        <v>i_188</v>
      </c>
    </row>
    <row r="189" spans="1:68" outlineLevel="1" x14ac:dyDescent="0.4">
      <c r="D189" s="24"/>
      <c r="BM189">
        <f t="shared" si="6"/>
        <v>0</v>
      </c>
      <c r="BO189" t="str">
        <f>素材!M84&amp;".webp"</f>
        <v>.webp</v>
      </c>
      <c r="BP189" t="str">
        <f t="shared" si="5"/>
        <v>i_189</v>
      </c>
    </row>
    <row r="190" spans="1:68" outlineLevel="1" x14ac:dyDescent="0.4">
      <c r="D190" s="24"/>
      <c r="BM190">
        <f t="shared" si="6"/>
        <v>0</v>
      </c>
      <c r="BO190" t="str">
        <f>素材!M85&amp;".webp"</f>
        <v>.webp</v>
      </c>
      <c r="BP190" t="str">
        <f t="shared" si="5"/>
        <v>i_190</v>
      </c>
    </row>
    <row r="191" spans="1:68" outlineLevel="1" x14ac:dyDescent="0.4">
      <c r="D191" s="24"/>
      <c r="BM191">
        <f t="shared" si="6"/>
        <v>0</v>
      </c>
      <c r="BO191" t="str">
        <f>素材!M86&amp;".webp"</f>
        <v>.webp</v>
      </c>
      <c r="BP191" t="str">
        <f t="shared" si="5"/>
        <v>i_191</v>
      </c>
    </row>
    <row r="192" spans="1:68" outlineLevel="1" x14ac:dyDescent="0.4">
      <c r="D192" s="24"/>
      <c r="BM192">
        <f t="shared" si="6"/>
        <v>0</v>
      </c>
      <c r="BO192" t="str">
        <f>素材!M87&amp;".webp"</f>
        <v>.webp</v>
      </c>
      <c r="BP192" t="str">
        <f t="shared" si="5"/>
        <v>i_192</v>
      </c>
    </row>
    <row r="193" spans="3:68" outlineLevel="1" x14ac:dyDescent="0.4">
      <c r="D193" s="24"/>
      <c r="BM193">
        <f t="shared" si="6"/>
        <v>0</v>
      </c>
      <c r="BO193" t="str">
        <f>素材!M88&amp;".webp"</f>
        <v>.webp</v>
      </c>
      <c r="BP193" t="str">
        <f t="shared" si="5"/>
        <v>i_193</v>
      </c>
    </row>
    <row r="194" spans="3:68" outlineLevel="1" x14ac:dyDescent="0.4">
      <c r="D194" s="24"/>
      <c r="BM194">
        <f t="shared" si="6"/>
        <v>0</v>
      </c>
      <c r="BO194" t="str">
        <f>素材!M89&amp;".webp"</f>
        <v>.webp</v>
      </c>
      <c r="BP194" t="str">
        <f t="shared" si="5"/>
        <v>i_194</v>
      </c>
    </row>
    <row r="195" spans="3:68" outlineLevel="1" x14ac:dyDescent="0.4">
      <c r="D195" s="24"/>
      <c r="BM195">
        <f t="shared" si="6"/>
        <v>0</v>
      </c>
      <c r="BO195" t="str">
        <f>素材!M90&amp;".webp"</f>
        <v>.webp</v>
      </c>
      <c r="BP195" t="str">
        <f t="shared" si="5"/>
        <v>i_195</v>
      </c>
    </row>
    <row r="196" spans="3:68" outlineLevel="1" x14ac:dyDescent="0.4">
      <c r="D196" s="24"/>
      <c r="BM196">
        <f t="shared" si="6"/>
        <v>0</v>
      </c>
      <c r="BO196" t="str">
        <f>素材!M91&amp;".webp"</f>
        <v>.webp</v>
      </c>
      <c r="BP196" t="str">
        <f t="shared" si="5"/>
        <v>i_196</v>
      </c>
    </row>
    <row r="197" spans="3:68" outlineLevel="1" x14ac:dyDescent="0.4">
      <c r="D197" s="24"/>
      <c r="BM197">
        <f t="shared" si="6"/>
        <v>0</v>
      </c>
      <c r="BO197" t="str">
        <f>素材!M92&amp;".webp"</f>
        <v>.webp</v>
      </c>
      <c r="BP197" t="str">
        <f t="shared" ref="BP197:BP260" si="7">"i_"&amp;ROW(BP197)</f>
        <v>i_197</v>
      </c>
    </row>
    <row r="198" spans="3:68" outlineLevel="1" x14ac:dyDescent="0.4">
      <c r="D198" s="24"/>
      <c r="BM198">
        <f t="shared" ref="BM198:BM261" si="8">BL198*100</f>
        <v>0</v>
      </c>
      <c r="BO198" t="str">
        <f>素材!M93&amp;".webp"</f>
        <v>.webp</v>
      </c>
      <c r="BP198" t="str">
        <f t="shared" si="7"/>
        <v>i_198</v>
      </c>
    </row>
    <row r="199" spans="3:68" outlineLevel="1" x14ac:dyDescent="0.4">
      <c r="D199" s="24"/>
      <c r="BM199">
        <f t="shared" si="8"/>
        <v>0</v>
      </c>
      <c r="BO199" t="str">
        <f>素材!M94&amp;".webp"</f>
        <v>.webp</v>
      </c>
      <c r="BP199" t="str">
        <f t="shared" si="7"/>
        <v>i_199</v>
      </c>
    </row>
    <row r="200" spans="3:68" outlineLevel="1" x14ac:dyDescent="0.4">
      <c r="D200" s="24"/>
      <c r="BM200">
        <f t="shared" si="8"/>
        <v>0</v>
      </c>
      <c r="BO200" t="str">
        <f>素材!M95&amp;".webp"</f>
        <v>.webp</v>
      </c>
      <c r="BP200" t="str">
        <f t="shared" si="7"/>
        <v>i_200</v>
      </c>
    </row>
    <row r="201" spans="3:68" outlineLevel="1" x14ac:dyDescent="0.4">
      <c r="D201" s="24"/>
      <c r="BM201">
        <f t="shared" si="8"/>
        <v>0</v>
      </c>
      <c r="BO201" t="str">
        <f>素材!M96&amp;".webp"</f>
        <v>.webp</v>
      </c>
      <c r="BP201" t="str">
        <f t="shared" si="7"/>
        <v>i_201</v>
      </c>
    </row>
    <row r="202" spans="3:68" outlineLevel="1" x14ac:dyDescent="0.4">
      <c r="D202" s="24"/>
      <c r="BM202">
        <f t="shared" si="8"/>
        <v>0</v>
      </c>
      <c r="BO202" t="str">
        <f>素材!M97&amp;".webp"</f>
        <v>.webp</v>
      </c>
      <c r="BP202" t="str">
        <f t="shared" si="7"/>
        <v>i_202</v>
      </c>
    </row>
    <row r="203" spans="3:68" outlineLevel="1" x14ac:dyDescent="0.4">
      <c r="D203" s="24"/>
      <c r="BM203">
        <f t="shared" si="8"/>
        <v>0</v>
      </c>
      <c r="BO203" t="str">
        <f>素材!M98&amp;".webp"</f>
        <v>.webp</v>
      </c>
      <c r="BP203" t="str">
        <f t="shared" si="7"/>
        <v>i_203</v>
      </c>
    </row>
    <row r="204" spans="3:68" outlineLevel="1" x14ac:dyDescent="0.4">
      <c r="D204" s="24"/>
      <c r="BM204">
        <f t="shared" si="8"/>
        <v>0</v>
      </c>
      <c r="BO204" t="str">
        <f>素材!M99&amp;".webp"</f>
        <v>.webp</v>
      </c>
      <c r="BP204" t="str">
        <f t="shared" si="7"/>
        <v>i_204</v>
      </c>
    </row>
    <row r="205" spans="3:68" x14ac:dyDescent="0.4">
      <c r="D205" s="24"/>
      <c r="BM205">
        <f t="shared" si="8"/>
        <v>0</v>
      </c>
      <c r="BO205" t="str">
        <f>素材!M100&amp;".webp"</f>
        <v>.webp</v>
      </c>
      <c r="BP205" t="str">
        <f t="shared" si="7"/>
        <v>i_205</v>
      </c>
    </row>
    <row r="206" spans="3:68" x14ac:dyDescent="0.4">
      <c r="C206" s="24"/>
      <c r="D206" s="24"/>
      <c r="BM206">
        <f t="shared" si="8"/>
        <v>0</v>
      </c>
      <c r="BO206" t="str">
        <f>素材!M101&amp;".webp"</f>
        <v>.webp</v>
      </c>
      <c r="BP206" t="str">
        <f t="shared" si="7"/>
        <v>i_206</v>
      </c>
    </row>
    <row r="207" spans="3:68" outlineLevel="1" x14ac:dyDescent="0.4">
      <c r="C207" s="24"/>
      <c r="D207" s="24"/>
      <c r="BM207">
        <f t="shared" si="8"/>
        <v>0</v>
      </c>
      <c r="BO207" t="str">
        <f>素材!M102&amp;".webp"</f>
        <v>.webp</v>
      </c>
      <c r="BP207" t="str">
        <f t="shared" si="7"/>
        <v>i_207</v>
      </c>
    </row>
    <row r="208" spans="3:68" outlineLevel="1" x14ac:dyDescent="0.4">
      <c r="C208" s="24"/>
      <c r="D208" s="24"/>
      <c r="BM208">
        <f t="shared" si="8"/>
        <v>0</v>
      </c>
      <c r="BO208" t="str">
        <f>素材!M103&amp;".webp"</f>
        <v>.webp</v>
      </c>
      <c r="BP208" t="str">
        <f t="shared" si="7"/>
        <v>i_208</v>
      </c>
    </row>
    <row r="209" spans="3:68" outlineLevel="1" x14ac:dyDescent="0.4">
      <c r="C209" s="24"/>
      <c r="D209" s="24"/>
      <c r="BM209">
        <f t="shared" si="8"/>
        <v>0</v>
      </c>
      <c r="BO209" t="str">
        <f>素材!M104&amp;".webp"</f>
        <v>.webp</v>
      </c>
      <c r="BP209" t="str">
        <f t="shared" si="7"/>
        <v>i_209</v>
      </c>
    </row>
    <row r="210" spans="3:68" outlineLevel="1" x14ac:dyDescent="0.4">
      <c r="C210" s="24"/>
      <c r="D210" s="24"/>
      <c r="BM210">
        <f t="shared" si="8"/>
        <v>0</v>
      </c>
      <c r="BO210" t="str">
        <f>素材!M105&amp;".webp"</f>
        <v>.webp</v>
      </c>
      <c r="BP210" t="str">
        <f t="shared" si="7"/>
        <v>i_210</v>
      </c>
    </row>
    <row r="211" spans="3:68" outlineLevel="1" x14ac:dyDescent="0.4">
      <c r="C211" s="24"/>
      <c r="D211" s="24"/>
      <c r="BM211">
        <f t="shared" si="8"/>
        <v>0</v>
      </c>
      <c r="BO211" t="str">
        <f>素材!M106&amp;".webp"</f>
        <v>.webp</v>
      </c>
      <c r="BP211" t="str">
        <f t="shared" si="7"/>
        <v>i_211</v>
      </c>
    </row>
    <row r="212" spans="3:68" outlineLevel="1" x14ac:dyDescent="0.4">
      <c r="C212" s="24"/>
      <c r="D212" s="24"/>
      <c r="BM212">
        <f t="shared" si="8"/>
        <v>0</v>
      </c>
      <c r="BO212" t="str">
        <f>素材!M107&amp;".webp"</f>
        <v>.webp</v>
      </c>
      <c r="BP212" t="str">
        <f t="shared" si="7"/>
        <v>i_212</v>
      </c>
    </row>
    <row r="213" spans="3:68" outlineLevel="1" x14ac:dyDescent="0.4">
      <c r="C213" s="24"/>
      <c r="D213" s="24"/>
      <c r="BM213">
        <f t="shared" si="8"/>
        <v>0</v>
      </c>
      <c r="BO213" t="str">
        <f>素材!M108&amp;".webp"</f>
        <v>.webp</v>
      </c>
      <c r="BP213" t="str">
        <f t="shared" si="7"/>
        <v>i_213</v>
      </c>
    </row>
    <row r="214" spans="3:68" outlineLevel="1" x14ac:dyDescent="0.4">
      <c r="C214" s="24"/>
      <c r="D214" s="24"/>
      <c r="BM214">
        <f t="shared" si="8"/>
        <v>0</v>
      </c>
      <c r="BO214" t="str">
        <f>素材!M109&amp;".webp"</f>
        <v>.webp</v>
      </c>
      <c r="BP214" t="str">
        <f t="shared" si="7"/>
        <v>i_214</v>
      </c>
    </row>
    <row r="215" spans="3:68" outlineLevel="1" x14ac:dyDescent="0.4">
      <c r="C215" s="24"/>
      <c r="D215" s="24"/>
      <c r="BM215">
        <f t="shared" si="8"/>
        <v>0</v>
      </c>
      <c r="BO215" t="str">
        <f>素材!M110&amp;".webp"</f>
        <v>.webp</v>
      </c>
      <c r="BP215" t="str">
        <f t="shared" si="7"/>
        <v>i_215</v>
      </c>
    </row>
    <row r="216" spans="3:68" outlineLevel="1" x14ac:dyDescent="0.4">
      <c r="C216" s="24"/>
      <c r="D216" s="24"/>
      <c r="BM216">
        <f t="shared" si="8"/>
        <v>0</v>
      </c>
      <c r="BO216" t="str">
        <f>素材!M111&amp;".webp"</f>
        <v>.webp</v>
      </c>
      <c r="BP216" t="str">
        <f t="shared" si="7"/>
        <v>i_216</v>
      </c>
    </row>
    <row r="217" spans="3:68" outlineLevel="1" x14ac:dyDescent="0.4">
      <c r="C217" s="24"/>
      <c r="D217" s="24"/>
      <c r="BM217">
        <f t="shared" si="8"/>
        <v>0</v>
      </c>
      <c r="BO217" t="str">
        <f>素材!M112&amp;".webp"</f>
        <v>.webp</v>
      </c>
      <c r="BP217" t="str">
        <f t="shared" si="7"/>
        <v>i_217</v>
      </c>
    </row>
    <row r="218" spans="3:68" outlineLevel="1" x14ac:dyDescent="0.4">
      <c r="C218" s="24"/>
      <c r="D218" s="24"/>
      <c r="BM218">
        <f t="shared" si="8"/>
        <v>0</v>
      </c>
      <c r="BO218" t="str">
        <f>素材!M113&amp;".webp"</f>
        <v>.webp</v>
      </c>
      <c r="BP218" t="str">
        <f t="shared" si="7"/>
        <v>i_218</v>
      </c>
    </row>
    <row r="219" spans="3:68" outlineLevel="1" x14ac:dyDescent="0.4">
      <c r="C219" s="24"/>
      <c r="D219" s="24"/>
      <c r="BM219">
        <f t="shared" si="8"/>
        <v>0</v>
      </c>
      <c r="BO219" t="str">
        <f>素材!M114&amp;".webp"</f>
        <v>.webp</v>
      </c>
      <c r="BP219" t="str">
        <f t="shared" si="7"/>
        <v>i_219</v>
      </c>
    </row>
    <row r="220" spans="3:68" outlineLevel="1" x14ac:dyDescent="0.4">
      <c r="D220" s="24"/>
      <c r="BM220">
        <f t="shared" si="8"/>
        <v>0</v>
      </c>
      <c r="BO220" t="str">
        <f>素材!M115&amp;".webp"</f>
        <v>.webp</v>
      </c>
      <c r="BP220" t="str">
        <f t="shared" si="7"/>
        <v>i_220</v>
      </c>
    </row>
    <row r="221" spans="3:68" outlineLevel="1" x14ac:dyDescent="0.4">
      <c r="D221" s="24"/>
      <c r="BM221">
        <f t="shared" si="8"/>
        <v>0</v>
      </c>
      <c r="BO221" t="str">
        <f>素材!M116&amp;".webp"</f>
        <v>.webp</v>
      </c>
      <c r="BP221" t="str">
        <f t="shared" si="7"/>
        <v>i_221</v>
      </c>
    </row>
    <row r="222" spans="3:68" outlineLevel="1" x14ac:dyDescent="0.4">
      <c r="D222" s="24"/>
      <c r="BM222">
        <f t="shared" si="8"/>
        <v>0</v>
      </c>
      <c r="BO222" t="str">
        <f>素材!M117&amp;".webp"</f>
        <v>.webp</v>
      </c>
      <c r="BP222" t="str">
        <f t="shared" si="7"/>
        <v>i_222</v>
      </c>
    </row>
    <row r="223" spans="3:68" outlineLevel="1" x14ac:dyDescent="0.4">
      <c r="D223" s="24"/>
      <c r="BM223">
        <f t="shared" si="8"/>
        <v>0</v>
      </c>
      <c r="BO223" t="str">
        <f>素材!M118&amp;".webp"</f>
        <v>.webp</v>
      </c>
      <c r="BP223" t="str">
        <f t="shared" si="7"/>
        <v>i_223</v>
      </c>
    </row>
    <row r="224" spans="3:68" outlineLevel="1" x14ac:dyDescent="0.4">
      <c r="D224" s="24"/>
      <c r="BM224">
        <f t="shared" si="8"/>
        <v>0</v>
      </c>
      <c r="BO224" t="str">
        <f>素材!M119&amp;".webp"</f>
        <v>.webp</v>
      </c>
      <c r="BP224" t="str">
        <f t="shared" si="7"/>
        <v>i_224</v>
      </c>
    </row>
    <row r="225" spans="4:68" outlineLevel="1" x14ac:dyDescent="0.4">
      <c r="D225" s="24"/>
      <c r="BM225">
        <f t="shared" si="8"/>
        <v>0</v>
      </c>
      <c r="BO225" t="str">
        <f>素材!M120&amp;".webp"</f>
        <v>.webp</v>
      </c>
      <c r="BP225" t="str">
        <f t="shared" si="7"/>
        <v>i_225</v>
      </c>
    </row>
    <row r="226" spans="4:68" outlineLevel="1" x14ac:dyDescent="0.4">
      <c r="D226" s="24"/>
      <c r="BM226">
        <f t="shared" si="8"/>
        <v>0</v>
      </c>
      <c r="BO226" t="str">
        <f>素材!M121&amp;".webp"</f>
        <v>.webp</v>
      </c>
      <c r="BP226" t="str">
        <f t="shared" si="7"/>
        <v>i_226</v>
      </c>
    </row>
    <row r="227" spans="4:68" outlineLevel="1" x14ac:dyDescent="0.4">
      <c r="D227" s="24"/>
      <c r="BM227">
        <f t="shared" si="8"/>
        <v>0</v>
      </c>
      <c r="BO227" t="str">
        <f>素材!M122&amp;".webp"</f>
        <v>.webp</v>
      </c>
      <c r="BP227" t="str">
        <f t="shared" si="7"/>
        <v>i_227</v>
      </c>
    </row>
    <row r="228" spans="4:68" outlineLevel="1" x14ac:dyDescent="0.4">
      <c r="D228" s="24"/>
      <c r="BM228">
        <f t="shared" si="8"/>
        <v>0</v>
      </c>
      <c r="BO228" t="str">
        <f>素材!M123&amp;".webp"</f>
        <v>.webp</v>
      </c>
      <c r="BP228" t="str">
        <f t="shared" si="7"/>
        <v>i_228</v>
      </c>
    </row>
    <row r="229" spans="4:68" outlineLevel="1" x14ac:dyDescent="0.4">
      <c r="D229" s="24"/>
      <c r="BM229">
        <f t="shared" si="8"/>
        <v>0</v>
      </c>
      <c r="BO229" t="str">
        <f>素材!M124&amp;".webp"</f>
        <v>.webp</v>
      </c>
      <c r="BP229" t="str">
        <f t="shared" si="7"/>
        <v>i_229</v>
      </c>
    </row>
    <row r="230" spans="4:68" outlineLevel="1" x14ac:dyDescent="0.4">
      <c r="D230" s="24"/>
      <c r="BM230">
        <f t="shared" si="8"/>
        <v>0</v>
      </c>
      <c r="BO230" t="str">
        <f>素材!M125&amp;".webp"</f>
        <v>.webp</v>
      </c>
      <c r="BP230" t="str">
        <f t="shared" si="7"/>
        <v>i_230</v>
      </c>
    </row>
    <row r="231" spans="4:68" outlineLevel="1" x14ac:dyDescent="0.4">
      <c r="D231" s="24"/>
      <c r="BM231">
        <f t="shared" si="8"/>
        <v>0</v>
      </c>
      <c r="BO231" t="str">
        <f>素材!M126&amp;".webp"</f>
        <v>.webp</v>
      </c>
      <c r="BP231" t="str">
        <f t="shared" si="7"/>
        <v>i_231</v>
      </c>
    </row>
    <row r="232" spans="4:68" outlineLevel="1" x14ac:dyDescent="0.4">
      <c r="D232" s="24"/>
      <c r="BM232">
        <f t="shared" si="8"/>
        <v>0</v>
      </c>
      <c r="BO232" t="str">
        <f>素材!M127&amp;".webp"</f>
        <v>.webp</v>
      </c>
      <c r="BP232" t="str">
        <f t="shared" si="7"/>
        <v>i_232</v>
      </c>
    </row>
    <row r="233" spans="4:68" outlineLevel="1" x14ac:dyDescent="0.4">
      <c r="D233" s="24"/>
      <c r="BM233">
        <f t="shared" si="8"/>
        <v>0</v>
      </c>
      <c r="BO233" t="str">
        <f>素材!M128&amp;".webp"</f>
        <v>.webp</v>
      </c>
      <c r="BP233" t="str">
        <f t="shared" si="7"/>
        <v>i_233</v>
      </c>
    </row>
    <row r="234" spans="4:68" outlineLevel="1" x14ac:dyDescent="0.4">
      <c r="D234" s="24"/>
      <c r="BM234">
        <f t="shared" si="8"/>
        <v>0</v>
      </c>
      <c r="BO234" t="str">
        <f>素材!M129&amp;".webp"</f>
        <v>.webp</v>
      </c>
      <c r="BP234" t="str">
        <f t="shared" si="7"/>
        <v>i_234</v>
      </c>
    </row>
    <row r="235" spans="4:68" outlineLevel="1" x14ac:dyDescent="0.4">
      <c r="D235" s="24"/>
      <c r="BM235">
        <f t="shared" si="8"/>
        <v>0</v>
      </c>
      <c r="BO235" t="str">
        <f>素材!M130&amp;".webp"</f>
        <v>.webp</v>
      </c>
      <c r="BP235" t="str">
        <f t="shared" si="7"/>
        <v>i_235</v>
      </c>
    </row>
    <row r="236" spans="4:68" outlineLevel="1" x14ac:dyDescent="0.4">
      <c r="D236" s="24"/>
      <c r="BM236">
        <f t="shared" si="8"/>
        <v>0</v>
      </c>
      <c r="BO236" t="str">
        <f>素材!M131&amp;".webp"</f>
        <v>.webp</v>
      </c>
      <c r="BP236" t="str">
        <f t="shared" si="7"/>
        <v>i_236</v>
      </c>
    </row>
    <row r="237" spans="4:68" outlineLevel="1" x14ac:dyDescent="0.4">
      <c r="D237" s="24"/>
      <c r="BM237">
        <f t="shared" si="8"/>
        <v>0</v>
      </c>
      <c r="BO237" t="str">
        <f>素材!M132&amp;".webp"</f>
        <v>.webp</v>
      </c>
      <c r="BP237" t="str">
        <f t="shared" si="7"/>
        <v>i_237</v>
      </c>
    </row>
    <row r="238" spans="4:68" outlineLevel="1" x14ac:dyDescent="0.4">
      <c r="D238" s="24"/>
      <c r="BM238">
        <f t="shared" si="8"/>
        <v>0</v>
      </c>
      <c r="BO238" t="str">
        <f>素材!M133&amp;".webp"</f>
        <v>.webp</v>
      </c>
      <c r="BP238" t="str">
        <f t="shared" si="7"/>
        <v>i_238</v>
      </c>
    </row>
    <row r="239" spans="4:68" outlineLevel="1" x14ac:dyDescent="0.4">
      <c r="D239" s="24"/>
      <c r="BM239">
        <f t="shared" si="8"/>
        <v>0</v>
      </c>
      <c r="BO239" t="str">
        <f>素材!M134&amp;".webp"</f>
        <v>.webp</v>
      </c>
      <c r="BP239" t="str">
        <f t="shared" si="7"/>
        <v>i_239</v>
      </c>
    </row>
    <row r="240" spans="4:68" outlineLevel="1" x14ac:dyDescent="0.4">
      <c r="D240" s="24"/>
      <c r="BM240">
        <f t="shared" si="8"/>
        <v>0</v>
      </c>
      <c r="BO240" t="str">
        <f>素材!M135&amp;".webp"</f>
        <v>.webp</v>
      </c>
      <c r="BP240" t="str">
        <f t="shared" si="7"/>
        <v>i_240</v>
      </c>
    </row>
    <row r="241" spans="3:68" outlineLevel="1" x14ac:dyDescent="0.4">
      <c r="D241" s="24"/>
      <c r="BM241">
        <f t="shared" si="8"/>
        <v>0</v>
      </c>
      <c r="BO241" t="str">
        <f>素材!M136&amp;".webp"</f>
        <v>.webp</v>
      </c>
      <c r="BP241" t="str">
        <f t="shared" si="7"/>
        <v>i_241</v>
      </c>
    </row>
    <row r="242" spans="3:68" outlineLevel="1" x14ac:dyDescent="0.4">
      <c r="D242" s="24"/>
      <c r="BM242">
        <f t="shared" si="8"/>
        <v>0</v>
      </c>
      <c r="BO242" t="str">
        <f>素材!M137&amp;".webp"</f>
        <v>.webp</v>
      </c>
      <c r="BP242" t="str">
        <f t="shared" si="7"/>
        <v>i_242</v>
      </c>
    </row>
    <row r="243" spans="3:68" outlineLevel="1" x14ac:dyDescent="0.4">
      <c r="D243" s="24"/>
      <c r="BM243">
        <f t="shared" si="8"/>
        <v>0</v>
      </c>
      <c r="BO243" t="str">
        <f>素材!M138&amp;".webp"</f>
        <v>.webp</v>
      </c>
      <c r="BP243" t="str">
        <f t="shared" si="7"/>
        <v>i_243</v>
      </c>
    </row>
    <row r="244" spans="3:68" outlineLevel="1" x14ac:dyDescent="0.4">
      <c r="D244" s="24"/>
      <c r="BM244">
        <f t="shared" si="8"/>
        <v>0</v>
      </c>
      <c r="BO244" t="str">
        <f>素材!M139&amp;".webp"</f>
        <v>.webp</v>
      </c>
      <c r="BP244" t="str">
        <f t="shared" si="7"/>
        <v>i_244</v>
      </c>
    </row>
    <row r="245" spans="3:68" outlineLevel="1" x14ac:dyDescent="0.4">
      <c r="D245" s="24"/>
      <c r="BM245">
        <f t="shared" si="8"/>
        <v>0</v>
      </c>
      <c r="BO245" t="str">
        <f>素材!M140&amp;".webp"</f>
        <v>.webp</v>
      </c>
      <c r="BP245" t="str">
        <f t="shared" si="7"/>
        <v>i_245</v>
      </c>
    </row>
    <row r="246" spans="3:68" outlineLevel="1" x14ac:dyDescent="0.4">
      <c r="D246" s="24"/>
      <c r="BM246">
        <f t="shared" si="8"/>
        <v>0</v>
      </c>
      <c r="BO246" t="str">
        <f>素材!M141&amp;".webp"</f>
        <v>.webp</v>
      </c>
      <c r="BP246" t="str">
        <f t="shared" si="7"/>
        <v>i_246</v>
      </c>
    </row>
    <row r="247" spans="3:68" outlineLevel="1" x14ac:dyDescent="0.4">
      <c r="D247" s="24"/>
      <c r="BM247">
        <f t="shared" si="8"/>
        <v>0</v>
      </c>
      <c r="BO247" t="str">
        <f>素材!M142&amp;".webp"</f>
        <v>.webp</v>
      </c>
      <c r="BP247" t="str">
        <f t="shared" si="7"/>
        <v>i_247</v>
      </c>
    </row>
    <row r="248" spans="3:68" outlineLevel="1" x14ac:dyDescent="0.4">
      <c r="D248" s="24"/>
      <c r="BM248">
        <f t="shared" si="8"/>
        <v>0</v>
      </c>
      <c r="BO248" t="str">
        <f>素材!M143&amp;".webp"</f>
        <v>.webp</v>
      </c>
      <c r="BP248" t="str">
        <f t="shared" si="7"/>
        <v>i_248</v>
      </c>
    </row>
    <row r="249" spans="3:68" outlineLevel="1" x14ac:dyDescent="0.4">
      <c r="D249" s="24"/>
      <c r="BM249">
        <f t="shared" si="8"/>
        <v>0</v>
      </c>
      <c r="BO249" t="str">
        <f>素材!M144&amp;".webp"</f>
        <v>.webp</v>
      </c>
      <c r="BP249" t="str">
        <f t="shared" si="7"/>
        <v>i_249</v>
      </c>
    </row>
    <row r="250" spans="3:68" outlineLevel="1" x14ac:dyDescent="0.4">
      <c r="D250" s="24"/>
      <c r="BM250">
        <f t="shared" si="8"/>
        <v>0</v>
      </c>
      <c r="BO250" t="str">
        <f>素材!M145&amp;".webp"</f>
        <v>.webp</v>
      </c>
      <c r="BP250" t="str">
        <f t="shared" si="7"/>
        <v>i_250</v>
      </c>
    </row>
    <row r="251" spans="3:68" outlineLevel="1" x14ac:dyDescent="0.4">
      <c r="D251" s="24"/>
      <c r="BM251">
        <f t="shared" si="8"/>
        <v>0</v>
      </c>
      <c r="BO251" t="str">
        <f>素材!M146&amp;".webp"</f>
        <v>.webp</v>
      </c>
      <c r="BP251" t="str">
        <f t="shared" si="7"/>
        <v>i_251</v>
      </c>
    </row>
    <row r="252" spans="3:68" outlineLevel="1" x14ac:dyDescent="0.4">
      <c r="D252" s="24"/>
      <c r="BM252">
        <f t="shared" si="8"/>
        <v>0</v>
      </c>
      <c r="BO252" t="str">
        <f>素材!M147&amp;".webp"</f>
        <v>.webp</v>
      </c>
      <c r="BP252" t="str">
        <f t="shared" si="7"/>
        <v>i_252</v>
      </c>
    </row>
    <row r="253" spans="3:68" outlineLevel="1" x14ac:dyDescent="0.4">
      <c r="D253" s="24"/>
      <c r="BM253">
        <f t="shared" si="8"/>
        <v>0</v>
      </c>
      <c r="BO253" t="str">
        <f>素材!M148&amp;".webp"</f>
        <v>.webp</v>
      </c>
      <c r="BP253" t="str">
        <f t="shared" si="7"/>
        <v>i_253</v>
      </c>
    </row>
    <row r="254" spans="3:68" outlineLevel="1" x14ac:dyDescent="0.4">
      <c r="D254" s="24"/>
      <c r="BM254">
        <f t="shared" si="8"/>
        <v>0</v>
      </c>
      <c r="BO254" t="str">
        <f>素材!M149&amp;".webp"</f>
        <v>.webp</v>
      </c>
      <c r="BP254" t="str">
        <f t="shared" si="7"/>
        <v>i_254</v>
      </c>
    </row>
    <row r="255" spans="3:68" outlineLevel="1" x14ac:dyDescent="0.4">
      <c r="C255" s="24"/>
      <c r="D255" s="24"/>
      <c r="BM255">
        <f t="shared" si="8"/>
        <v>0</v>
      </c>
      <c r="BO255" t="str">
        <f>素材!M150&amp;".webp"</f>
        <v>.webp</v>
      </c>
      <c r="BP255" t="str">
        <f t="shared" si="7"/>
        <v>i_255</v>
      </c>
    </row>
    <row r="256" spans="3:68" outlineLevel="1" x14ac:dyDescent="0.4">
      <c r="C256" s="24"/>
      <c r="D256" s="24"/>
      <c r="BM256">
        <f t="shared" si="8"/>
        <v>0</v>
      </c>
      <c r="BO256" t="str">
        <f>素材!M151&amp;".webp"</f>
        <v>.webp</v>
      </c>
      <c r="BP256" t="str">
        <f t="shared" si="7"/>
        <v>i_256</v>
      </c>
    </row>
    <row r="257" spans="3:68" outlineLevel="1" x14ac:dyDescent="0.4">
      <c r="C257" s="24"/>
      <c r="D257" s="24"/>
      <c r="BM257">
        <f t="shared" si="8"/>
        <v>0</v>
      </c>
      <c r="BO257" t="str">
        <f>素材!M152&amp;".webp"</f>
        <v>.webp</v>
      </c>
      <c r="BP257" t="str">
        <f t="shared" si="7"/>
        <v>i_257</v>
      </c>
    </row>
    <row r="258" spans="3:68" outlineLevel="1" x14ac:dyDescent="0.4">
      <c r="C258" s="24"/>
      <c r="D258" s="24"/>
      <c r="BM258">
        <f t="shared" si="8"/>
        <v>0</v>
      </c>
      <c r="BO258" t="str">
        <f>素材!M153&amp;".webp"</f>
        <v>.webp</v>
      </c>
      <c r="BP258" t="str">
        <f t="shared" si="7"/>
        <v>i_258</v>
      </c>
    </row>
    <row r="259" spans="3:68" outlineLevel="1" x14ac:dyDescent="0.4">
      <c r="C259" s="24"/>
      <c r="D259" s="24"/>
      <c r="BM259">
        <f t="shared" si="8"/>
        <v>0</v>
      </c>
      <c r="BO259" t="str">
        <f>素材!M154&amp;".webp"</f>
        <v>.webp</v>
      </c>
      <c r="BP259" t="str">
        <f t="shared" si="7"/>
        <v>i_259</v>
      </c>
    </row>
    <row r="260" spans="3:68" outlineLevel="1" x14ac:dyDescent="0.4">
      <c r="C260" s="24"/>
      <c r="D260" s="24"/>
      <c r="BM260">
        <f t="shared" si="8"/>
        <v>0</v>
      </c>
      <c r="BO260" t="str">
        <f>素材!M155&amp;".webp"</f>
        <v>.webp</v>
      </c>
      <c r="BP260" t="str">
        <f t="shared" si="7"/>
        <v>i_260</v>
      </c>
    </row>
    <row r="261" spans="3:68" outlineLevel="1" x14ac:dyDescent="0.4">
      <c r="C261" s="24"/>
      <c r="D261" s="24"/>
      <c r="BM261">
        <f t="shared" si="8"/>
        <v>0</v>
      </c>
      <c r="BO261" t="str">
        <f>素材!M156&amp;".webp"</f>
        <v>.webp</v>
      </c>
      <c r="BP261" t="str">
        <f t="shared" ref="BP261:BP324" si="9">"i_"&amp;ROW(BP261)</f>
        <v>i_261</v>
      </c>
    </row>
    <row r="262" spans="3:68" outlineLevel="1" x14ac:dyDescent="0.4">
      <c r="C262" s="24"/>
      <c r="D262" s="24"/>
      <c r="BM262">
        <f t="shared" ref="BM262:BM325" si="10">BL262*100</f>
        <v>0</v>
      </c>
      <c r="BO262" t="str">
        <f>素材!M157&amp;".webp"</f>
        <v>.webp</v>
      </c>
      <c r="BP262" t="str">
        <f t="shared" si="9"/>
        <v>i_262</v>
      </c>
    </row>
    <row r="263" spans="3:68" outlineLevel="1" x14ac:dyDescent="0.4">
      <c r="C263" s="24"/>
      <c r="D263" s="24"/>
      <c r="BM263">
        <f t="shared" si="10"/>
        <v>0</v>
      </c>
      <c r="BO263" t="str">
        <f>素材!M158&amp;".webp"</f>
        <v>.webp</v>
      </c>
      <c r="BP263" t="str">
        <f t="shared" si="9"/>
        <v>i_263</v>
      </c>
    </row>
    <row r="264" spans="3:68" outlineLevel="1" x14ac:dyDescent="0.4">
      <c r="C264" s="24"/>
      <c r="D264" s="24"/>
      <c r="BM264">
        <f t="shared" si="10"/>
        <v>0</v>
      </c>
      <c r="BO264" t="str">
        <f>素材!M159&amp;".webp"</f>
        <v>.webp</v>
      </c>
      <c r="BP264" t="str">
        <f t="shared" si="9"/>
        <v>i_264</v>
      </c>
    </row>
    <row r="265" spans="3:68" outlineLevel="1" x14ac:dyDescent="0.4">
      <c r="C265" s="24"/>
      <c r="D265" s="24"/>
      <c r="BM265">
        <f t="shared" si="10"/>
        <v>0</v>
      </c>
      <c r="BO265" t="str">
        <f>素材!M160&amp;".webp"</f>
        <v>.webp</v>
      </c>
      <c r="BP265" t="str">
        <f t="shared" si="9"/>
        <v>i_265</v>
      </c>
    </row>
    <row r="266" spans="3:68" outlineLevel="1" x14ac:dyDescent="0.4">
      <c r="C266" s="24"/>
      <c r="D266" s="24"/>
      <c r="BM266">
        <f t="shared" si="10"/>
        <v>0</v>
      </c>
      <c r="BO266" t="str">
        <f>素材!M161&amp;".webp"</f>
        <v>.webp</v>
      </c>
      <c r="BP266" t="str">
        <f t="shared" si="9"/>
        <v>i_266</v>
      </c>
    </row>
    <row r="267" spans="3:68" outlineLevel="1" x14ac:dyDescent="0.4">
      <c r="C267" s="24"/>
      <c r="D267" s="24"/>
      <c r="BM267">
        <f t="shared" si="10"/>
        <v>0</v>
      </c>
      <c r="BO267" t="str">
        <f>素材!M162&amp;".webp"</f>
        <v>.webp</v>
      </c>
      <c r="BP267" t="str">
        <f t="shared" si="9"/>
        <v>i_267</v>
      </c>
    </row>
    <row r="268" spans="3:68" outlineLevel="1" x14ac:dyDescent="0.4">
      <c r="C268" s="24"/>
      <c r="D268" s="24"/>
      <c r="BM268">
        <f t="shared" si="10"/>
        <v>0</v>
      </c>
      <c r="BO268" t="str">
        <f>素材!M163&amp;".webp"</f>
        <v>.webp</v>
      </c>
      <c r="BP268" t="str">
        <f t="shared" si="9"/>
        <v>i_268</v>
      </c>
    </row>
    <row r="269" spans="3:68" outlineLevel="1" x14ac:dyDescent="0.4">
      <c r="D269" s="24"/>
      <c r="BM269">
        <f t="shared" si="10"/>
        <v>0</v>
      </c>
      <c r="BO269" t="str">
        <f>素材!M164&amp;".webp"</f>
        <v>.webp</v>
      </c>
      <c r="BP269" t="str">
        <f t="shared" si="9"/>
        <v>i_269</v>
      </c>
    </row>
    <row r="270" spans="3:68" outlineLevel="1" x14ac:dyDescent="0.4">
      <c r="D270" s="24"/>
      <c r="BM270">
        <f t="shared" si="10"/>
        <v>0</v>
      </c>
      <c r="BO270" t="str">
        <f>素材!M165&amp;".webp"</f>
        <v>.webp</v>
      </c>
      <c r="BP270" t="str">
        <f t="shared" si="9"/>
        <v>i_270</v>
      </c>
    </row>
    <row r="271" spans="3:68" outlineLevel="1" x14ac:dyDescent="0.4">
      <c r="D271" s="24"/>
      <c r="BM271">
        <f t="shared" si="10"/>
        <v>0</v>
      </c>
      <c r="BO271" t="str">
        <f>素材!M166&amp;".webp"</f>
        <v>.webp</v>
      </c>
      <c r="BP271" t="str">
        <f t="shared" si="9"/>
        <v>i_271</v>
      </c>
    </row>
    <row r="272" spans="3:68" outlineLevel="1" x14ac:dyDescent="0.4">
      <c r="D272" s="24"/>
      <c r="BM272">
        <f t="shared" si="10"/>
        <v>0</v>
      </c>
      <c r="BO272" t="str">
        <f>素材!M167&amp;".webp"</f>
        <v>.webp</v>
      </c>
      <c r="BP272" t="str">
        <f t="shared" si="9"/>
        <v>i_272</v>
      </c>
    </row>
    <row r="273" spans="4:68" outlineLevel="1" x14ac:dyDescent="0.4">
      <c r="D273" s="24"/>
      <c r="BM273">
        <f t="shared" si="10"/>
        <v>0</v>
      </c>
      <c r="BO273" t="str">
        <f>素材!M168&amp;".webp"</f>
        <v>.webp</v>
      </c>
      <c r="BP273" t="str">
        <f t="shared" si="9"/>
        <v>i_273</v>
      </c>
    </row>
    <row r="274" spans="4:68" outlineLevel="1" x14ac:dyDescent="0.4">
      <c r="D274" s="24"/>
      <c r="BM274">
        <f t="shared" si="10"/>
        <v>0</v>
      </c>
      <c r="BO274" t="str">
        <f>素材!M169&amp;".webp"</f>
        <v>.webp</v>
      </c>
      <c r="BP274" t="str">
        <f t="shared" si="9"/>
        <v>i_274</v>
      </c>
    </row>
    <row r="275" spans="4:68" outlineLevel="1" x14ac:dyDescent="0.4">
      <c r="D275" s="24"/>
      <c r="BM275">
        <f t="shared" si="10"/>
        <v>0</v>
      </c>
      <c r="BO275" t="str">
        <f>素材!M170&amp;".webp"</f>
        <v>.webp</v>
      </c>
      <c r="BP275" t="str">
        <f t="shared" si="9"/>
        <v>i_275</v>
      </c>
    </row>
    <row r="276" spans="4:68" outlineLevel="1" x14ac:dyDescent="0.4">
      <c r="D276" s="24"/>
      <c r="BM276">
        <f t="shared" si="10"/>
        <v>0</v>
      </c>
      <c r="BO276" t="str">
        <f>素材!M171&amp;".webp"</f>
        <v>.webp</v>
      </c>
      <c r="BP276" t="str">
        <f t="shared" si="9"/>
        <v>i_276</v>
      </c>
    </row>
    <row r="277" spans="4:68" outlineLevel="1" x14ac:dyDescent="0.4">
      <c r="D277" s="24"/>
      <c r="BM277">
        <f t="shared" si="10"/>
        <v>0</v>
      </c>
      <c r="BO277" t="str">
        <f>素材!M172&amp;".webp"</f>
        <v>.webp</v>
      </c>
      <c r="BP277" t="str">
        <f t="shared" si="9"/>
        <v>i_277</v>
      </c>
    </row>
    <row r="278" spans="4:68" outlineLevel="1" x14ac:dyDescent="0.4">
      <c r="D278" s="24"/>
      <c r="BM278">
        <f t="shared" si="10"/>
        <v>0</v>
      </c>
      <c r="BO278" t="str">
        <f>素材!M173&amp;".webp"</f>
        <v>.webp</v>
      </c>
      <c r="BP278" t="str">
        <f t="shared" si="9"/>
        <v>i_278</v>
      </c>
    </row>
    <row r="279" spans="4:68" outlineLevel="1" x14ac:dyDescent="0.4">
      <c r="D279" s="24"/>
      <c r="BM279">
        <f t="shared" si="10"/>
        <v>0</v>
      </c>
      <c r="BO279" t="str">
        <f>素材!M174&amp;".webp"</f>
        <v>.webp</v>
      </c>
      <c r="BP279" t="str">
        <f t="shared" si="9"/>
        <v>i_279</v>
      </c>
    </row>
    <row r="280" spans="4:68" outlineLevel="1" x14ac:dyDescent="0.4">
      <c r="D280" s="24"/>
      <c r="BM280">
        <f t="shared" si="10"/>
        <v>0</v>
      </c>
      <c r="BO280" t="str">
        <f>素材!M175&amp;".webp"</f>
        <v>.webp</v>
      </c>
      <c r="BP280" t="str">
        <f t="shared" si="9"/>
        <v>i_280</v>
      </c>
    </row>
    <row r="281" spans="4:68" outlineLevel="1" x14ac:dyDescent="0.4">
      <c r="D281" s="24"/>
      <c r="BM281">
        <f t="shared" si="10"/>
        <v>0</v>
      </c>
      <c r="BO281" t="str">
        <f>素材!M176&amp;".webp"</f>
        <v>.webp</v>
      </c>
      <c r="BP281" t="str">
        <f t="shared" si="9"/>
        <v>i_281</v>
      </c>
    </row>
    <row r="282" spans="4:68" outlineLevel="1" x14ac:dyDescent="0.4">
      <c r="D282" s="24"/>
      <c r="BM282">
        <f t="shared" si="10"/>
        <v>0</v>
      </c>
      <c r="BO282" t="str">
        <f>素材!M177&amp;".webp"</f>
        <v>.webp</v>
      </c>
      <c r="BP282" t="str">
        <f t="shared" si="9"/>
        <v>i_282</v>
      </c>
    </row>
    <row r="283" spans="4:68" outlineLevel="1" x14ac:dyDescent="0.4">
      <c r="D283" s="24"/>
      <c r="BM283">
        <f t="shared" si="10"/>
        <v>0</v>
      </c>
      <c r="BO283" t="str">
        <f>素材!M178&amp;".webp"</f>
        <v>.webp</v>
      </c>
      <c r="BP283" t="str">
        <f t="shared" si="9"/>
        <v>i_283</v>
      </c>
    </row>
    <row r="284" spans="4:68" outlineLevel="1" x14ac:dyDescent="0.4">
      <c r="D284" s="24"/>
      <c r="BM284">
        <f t="shared" si="10"/>
        <v>0</v>
      </c>
      <c r="BO284" t="str">
        <f>素材!M179&amp;".webp"</f>
        <v>.webp</v>
      </c>
      <c r="BP284" t="str">
        <f t="shared" si="9"/>
        <v>i_284</v>
      </c>
    </row>
    <row r="285" spans="4:68" outlineLevel="1" x14ac:dyDescent="0.4">
      <c r="D285" s="24"/>
      <c r="BM285">
        <f t="shared" si="10"/>
        <v>0</v>
      </c>
      <c r="BO285" t="str">
        <f>素材!M180&amp;".webp"</f>
        <v>.webp</v>
      </c>
      <c r="BP285" t="str">
        <f t="shared" si="9"/>
        <v>i_285</v>
      </c>
    </row>
    <row r="286" spans="4:68" outlineLevel="1" x14ac:dyDescent="0.4">
      <c r="D286" s="24"/>
      <c r="BM286">
        <f t="shared" si="10"/>
        <v>0</v>
      </c>
      <c r="BO286" t="str">
        <f>素材!M181&amp;".webp"</f>
        <v>.webp</v>
      </c>
      <c r="BP286" t="str">
        <f t="shared" si="9"/>
        <v>i_286</v>
      </c>
    </row>
    <row r="287" spans="4:68" outlineLevel="1" x14ac:dyDescent="0.4">
      <c r="D287" s="24"/>
      <c r="BM287">
        <f t="shared" si="10"/>
        <v>0</v>
      </c>
      <c r="BO287" t="str">
        <f>素材!M182&amp;".webp"</f>
        <v>.webp</v>
      </c>
      <c r="BP287" t="str">
        <f t="shared" si="9"/>
        <v>i_287</v>
      </c>
    </row>
    <row r="288" spans="4:68" outlineLevel="1" x14ac:dyDescent="0.4">
      <c r="D288" s="24"/>
      <c r="BM288">
        <f t="shared" si="10"/>
        <v>0</v>
      </c>
      <c r="BO288" t="str">
        <f>素材!M183&amp;".webp"</f>
        <v>.webp</v>
      </c>
      <c r="BP288" t="str">
        <f t="shared" si="9"/>
        <v>i_288</v>
      </c>
    </row>
    <row r="289" spans="3:68" outlineLevel="1" x14ac:dyDescent="0.4">
      <c r="D289" s="24"/>
      <c r="BM289">
        <f t="shared" si="10"/>
        <v>0</v>
      </c>
      <c r="BO289" t="str">
        <f>素材!M184&amp;".webp"</f>
        <v>.webp</v>
      </c>
      <c r="BP289" t="str">
        <f t="shared" si="9"/>
        <v>i_289</v>
      </c>
    </row>
    <row r="290" spans="3:68" outlineLevel="1" x14ac:dyDescent="0.4">
      <c r="D290" s="24"/>
      <c r="BM290">
        <f t="shared" si="10"/>
        <v>0</v>
      </c>
      <c r="BO290" t="str">
        <f>素材!M185&amp;".webp"</f>
        <v>.webp</v>
      </c>
      <c r="BP290" t="str">
        <f t="shared" si="9"/>
        <v>i_290</v>
      </c>
    </row>
    <row r="291" spans="3:68" outlineLevel="1" x14ac:dyDescent="0.4">
      <c r="D291" s="24"/>
      <c r="BM291">
        <f t="shared" si="10"/>
        <v>0</v>
      </c>
      <c r="BO291" t="str">
        <f>素材!M186&amp;".webp"</f>
        <v>.webp</v>
      </c>
      <c r="BP291" t="str">
        <f t="shared" si="9"/>
        <v>i_291</v>
      </c>
    </row>
    <row r="292" spans="3:68" outlineLevel="1" x14ac:dyDescent="0.4">
      <c r="D292" s="24"/>
      <c r="BM292">
        <f t="shared" si="10"/>
        <v>0</v>
      </c>
      <c r="BO292" t="str">
        <f>素材!M187&amp;".webp"</f>
        <v>.webp</v>
      </c>
      <c r="BP292" t="str">
        <f t="shared" si="9"/>
        <v>i_292</v>
      </c>
    </row>
    <row r="293" spans="3:68" outlineLevel="1" x14ac:dyDescent="0.4">
      <c r="D293" s="24"/>
      <c r="BM293">
        <f t="shared" si="10"/>
        <v>0</v>
      </c>
      <c r="BO293" t="str">
        <f>素材!M188&amp;".webp"</f>
        <v>.webp</v>
      </c>
      <c r="BP293" t="str">
        <f t="shared" si="9"/>
        <v>i_293</v>
      </c>
    </row>
    <row r="294" spans="3:68" outlineLevel="1" x14ac:dyDescent="0.4">
      <c r="D294" s="24"/>
      <c r="BM294">
        <f t="shared" si="10"/>
        <v>0</v>
      </c>
      <c r="BO294" t="str">
        <f>素材!M189&amp;".webp"</f>
        <v>.webp</v>
      </c>
      <c r="BP294" t="str">
        <f t="shared" si="9"/>
        <v>i_294</v>
      </c>
    </row>
    <row r="295" spans="3:68" outlineLevel="1" x14ac:dyDescent="0.4">
      <c r="D295" s="24"/>
      <c r="BM295">
        <f t="shared" si="10"/>
        <v>0</v>
      </c>
      <c r="BO295" t="str">
        <f>素材!M190&amp;".webp"</f>
        <v>.webp</v>
      </c>
      <c r="BP295" t="str">
        <f t="shared" si="9"/>
        <v>i_295</v>
      </c>
    </row>
    <row r="296" spans="3:68" outlineLevel="1" x14ac:dyDescent="0.4">
      <c r="D296" s="24"/>
      <c r="BM296">
        <f t="shared" si="10"/>
        <v>0</v>
      </c>
      <c r="BO296" t="str">
        <f>素材!M191&amp;".webp"</f>
        <v>.webp</v>
      </c>
      <c r="BP296" t="str">
        <f t="shared" si="9"/>
        <v>i_296</v>
      </c>
    </row>
    <row r="297" spans="3:68" outlineLevel="1" x14ac:dyDescent="0.4">
      <c r="D297" s="24"/>
      <c r="BM297">
        <f t="shared" si="10"/>
        <v>0</v>
      </c>
      <c r="BO297" t="str">
        <f>素材!M192&amp;".webp"</f>
        <v>.webp</v>
      </c>
      <c r="BP297" t="str">
        <f t="shared" si="9"/>
        <v>i_297</v>
      </c>
    </row>
    <row r="298" spans="3:68" outlineLevel="1" x14ac:dyDescent="0.4">
      <c r="D298" s="24"/>
      <c r="BM298">
        <f t="shared" si="10"/>
        <v>0</v>
      </c>
      <c r="BO298" t="str">
        <f>素材!M193&amp;".webp"</f>
        <v>.webp</v>
      </c>
      <c r="BP298" t="str">
        <f t="shared" si="9"/>
        <v>i_298</v>
      </c>
    </row>
    <row r="299" spans="3:68" outlineLevel="1" x14ac:dyDescent="0.4">
      <c r="D299" s="24"/>
      <c r="BM299">
        <f t="shared" si="10"/>
        <v>0</v>
      </c>
      <c r="BO299" t="str">
        <f>素材!M194&amp;".webp"</f>
        <v>.webp</v>
      </c>
      <c r="BP299" t="str">
        <f t="shared" si="9"/>
        <v>i_299</v>
      </c>
    </row>
    <row r="300" spans="3:68" outlineLevel="1" x14ac:dyDescent="0.4">
      <c r="D300" s="24"/>
      <c r="BM300">
        <f t="shared" si="10"/>
        <v>0</v>
      </c>
      <c r="BO300" t="str">
        <f>素材!M195&amp;".webp"</f>
        <v>.webp</v>
      </c>
      <c r="BP300" t="str">
        <f t="shared" si="9"/>
        <v>i_300</v>
      </c>
    </row>
    <row r="301" spans="3:68" outlineLevel="1" x14ac:dyDescent="0.4">
      <c r="D301" s="24"/>
      <c r="BM301">
        <f t="shared" si="10"/>
        <v>0</v>
      </c>
      <c r="BO301" t="str">
        <f>素材!M196&amp;".webp"</f>
        <v>.webp</v>
      </c>
      <c r="BP301" t="str">
        <f t="shared" si="9"/>
        <v>i_301</v>
      </c>
    </row>
    <row r="302" spans="3:68" outlineLevel="1" x14ac:dyDescent="0.4">
      <c r="D302" s="24"/>
      <c r="BM302">
        <f t="shared" si="10"/>
        <v>0</v>
      </c>
      <c r="BO302" t="str">
        <f>素材!M197&amp;".webp"</f>
        <v>.webp</v>
      </c>
      <c r="BP302" t="str">
        <f t="shared" si="9"/>
        <v>i_302</v>
      </c>
    </row>
    <row r="303" spans="3:68" outlineLevel="1" x14ac:dyDescent="0.4">
      <c r="D303" s="24"/>
      <c r="BM303">
        <f t="shared" si="10"/>
        <v>0</v>
      </c>
      <c r="BO303" t="str">
        <f>素材!M198&amp;".webp"</f>
        <v>.webp</v>
      </c>
      <c r="BP303" t="str">
        <f t="shared" si="9"/>
        <v>i_303</v>
      </c>
    </row>
    <row r="304" spans="3:68" outlineLevel="1" x14ac:dyDescent="0.4">
      <c r="C304" s="24"/>
      <c r="D304" s="24"/>
      <c r="BM304">
        <f t="shared" si="10"/>
        <v>0</v>
      </c>
      <c r="BO304" t="str">
        <f>素材!M199&amp;".webp"</f>
        <v>.webp</v>
      </c>
      <c r="BP304" t="str">
        <f t="shared" si="9"/>
        <v>i_304</v>
      </c>
    </row>
    <row r="305" spans="3:68" outlineLevel="1" x14ac:dyDescent="0.4">
      <c r="C305" s="24"/>
      <c r="D305" s="24"/>
      <c r="BM305">
        <f t="shared" si="10"/>
        <v>0</v>
      </c>
      <c r="BO305" t="str">
        <f>素材!M200&amp;".webp"</f>
        <v>.webp</v>
      </c>
      <c r="BP305" t="str">
        <f t="shared" si="9"/>
        <v>i_305</v>
      </c>
    </row>
    <row r="306" spans="3:68" outlineLevel="1" x14ac:dyDescent="0.4">
      <c r="C306" s="24"/>
      <c r="D306" s="24"/>
      <c r="BM306">
        <f t="shared" si="10"/>
        <v>0</v>
      </c>
      <c r="BO306" t="str">
        <f>素材!M201&amp;".webp"</f>
        <v>.webp</v>
      </c>
      <c r="BP306" t="str">
        <f t="shared" si="9"/>
        <v>i_306</v>
      </c>
    </row>
    <row r="307" spans="3:68" outlineLevel="1" x14ac:dyDescent="0.4">
      <c r="C307" s="24"/>
      <c r="D307" s="24"/>
      <c r="BM307">
        <f t="shared" si="10"/>
        <v>0</v>
      </c>
      <c r="BO307" t="str">
        <f>素材!M202&amp;".webp"</f>
        <v>.webp</v>
      </c>
      <c r="BP307" t="str">
        <f t="shared" si="9"/>
        <v>i_307</v>
      </c>
    </row>
    <row r="308" spans="3:68" outlineLevel="1" x14ac:dyDescent="0.4">
      <c r="C308" s="24"/>
      <c r="D308" s="24"/>
      <c r="BM308">
        <f t="shared" si="10"/>
        <v>0</v>
      </c>
      <c r="BO308" t="str">
        <f>素材!M203&amp;".webp"</f>
        <v>.webp</v>
      </c>
      <c r="BP308" t="str">
        <f t="shared" si="9"/>
        <v>i_308</v>
      </c>
    </row>
    <row r="309" spans="3:68" outlineLevel="1" x14ac:dyDescent="0.4">
      <c r="C309" s="24"/>
      <c r="D309" s="24"/>
      <c r="BM309">
        <f t="shared" si="10"/>
        <v>0</v>
      </c>
      <c r="BO309" t="str">
        <f>素材!M204&amp;".webp"</f>
        <v>.webp</v>
      </c>
      <c r="BP309" t="str">
        <f t="shared" si="9"/>
        <v>i_309</v>
      </c>
    </row>
    <row r="310" spans="3:68" outlineLevel="1" x14ac:dyDescent="0.4">
      <c r="C310" s="24"/>
      <c r="D310" s="24"/>
      <c r="BM310">
        <f t="shared" si="10"/>
        <v>0</v>
      </c>
      <c r="BO310" t="str">
        <f>素材!M205&amp;".webp"</f>
        <v>.webp</v>
      </c>
      <c r="BP310" t="str">
        <f t="shared" si="9"/>
        <v>i_310</v>
      </c>
    </row>
    <row r="311" spans="3:68" outlineLevel="1" x14ac:dyDescent="0.4">
      <c r="C311" s="24"/>
      <c r="D311" s="24"/>
      <c r="BM311">
        <f t="shared" si="10"/>
        <v>0</v>
      </c>
      <c r="BO311" t="str">
        <f>素材!M206&amp;".webp"</f>
        <v>.webp</v>
      </c>
      <c r="BP311" t="str">
        <f t="shared" si="9"/>
        <v>i_311</v>
      </c>
    </row>
    <row r="312" spans="3:68" outlineLevel="1" x14ac:dyDescent="0.4">
      <c r="C312" s="24"/>
      <c r="D312" s="24"/>
      <c r="BM312">
        <f t="shared" si="10"/>
        <v>0</v>
      </c>
      <c r="BO312" t="str">
        <f>素材!M207&amp;".webp"</f>
        <v>.webp</v>
      </c>
      <c r="BP312" t="str">
        <f t="shared" si="9"/>
        <v>i_312</v>
      </c>
    </row>
    <row r="313" spans="3:68" outlineLevel="1" x14ac:dyDescent="0.4">
      <c r="C313" s="24"/>
      <c r="D313" s="24"/>
      <c r="BM313">
        <f t="shared" si="10"/>
        <v>0</v>
      </c>
      <c r="BO313" t="str">
        <f>素材!M208&amp;".webp"</f>
        <v>.webp</v>
      </c>
      <c r="BP313" t="str">
        <f t="shared" si="9"/>
        <v>i_313</v>
      </c>
    </row>
    <row r="314" spans="3:68" outlineLevel="1" x14ac:dyDescent="0.4">
      <c r="C314" s="24"/>
      <c r="D314" s="24"/>
      <c r="BM314">
        <f t="shared" si="10"/>
        <v>0</v>
      </c>
      <c r="BO314" t="str">
        <f>素材!M209&amp;".webp"</f>
        <v>.webp</v>
      </c>
      <c r="BP314" t="str">
        <f t="shared" si="9"/>
        <v>i_314</v>
      </c>
    </row>
    <row r="315" spans="3:68" outlineLevel="1" x14ac:dyDescent="0.4">
      <c r="C315" s="24"/>
      <c r="D315" s="24"/>
      <c r="BM315">
        <f t="shared" si="10"/>
        <v>0</v>
      </c>
      <c r="BO315" t="str">
        <f>素材!M210&amp;".webp"</f>
        <v>.webp</v>
      </c>
      <c r="BP315" t="str">
        <f t="shared" si="9"/>
        <v>i_315</v>
      </c>
    </row>
    <row r="316" spans="3:68" outlineLevel="1" x14ac:dyDescent="0.4">
      <c r="C316" s="24"/>
      <c r="D316" s="24"/>
      <c r="BM316">
        <f t="shared" si="10"/>
        <v>0</v>
      </c>
      <c r="BO316" t="str">
        <f>素材!M211&amp;".webp"</f>
        <v>.webp</v>
      </c>
      <c r="BP316" t="str">
        <f t="shared" si="9"/>
        <v>i_316</v>
      </c>
    </row>
    <row r="317" spans="3:68" outlineLevel="1" x14ac:dyDescent="0.4">
      <c r="C317" s="24"/>
      <c r="D317" s="24"/>
      <c r="BM317">
        <f t="shared" si="10"/>
        <v>0</v>
      </c>
      <c r="BO317" t="str">
        <f>素材!M212&amp;".webp"</f>
        <v>.webp</v>
      </c>
      <c r="BP317" t="str">
        <f t="shared" si="9"/>
        <v>i_317</v>
      </c>
    </row>
    <row r="318" spans="3:68" outlineLevel="1" x14ac:dyDescent="0.4">
      <c r="D318" s="24"/>
      <c r="BM318">
        <f t="shared" si="10"/>
        <v>0</v>
      </c>
      <c r="BO318" t="str">
        <f>素材!M213&amp;".webp"</f>
        <v>.webp</v>
      </c>
      <c r="BP318" t="str">
        <f t="shared" si="9"/>
        <v>i_318</v>
      </c>
    </row>
    <row r="319" spans="3:68" outlineLevel="1" x14ac:dyDescent="0.4">
      <c r="D319" s="24"/>
      <c r="BM319">
        <f t="shared" si="10"/>
        <v>0</v>
      </c>
      <c r="BO319" t="str">
        <f>素材!M214&amp;".webp"</f>
        <v>.webp</v>
      </c>
      <c r="BP319" t="str">
        <f t="shared" si="9"/>
        <v>i_319</v>
      </c>
    </row>
    <row r="320" spans="3:68" outlineLevel="1" x14ac:dyDescent="0.4">
      <c r="D320" s="24"/>
      <c r="BM320">
        <f t="shared" si="10"/>
        <v>0</v>
      </c>
      <c r="BO320" t="str">
        <f>素材!M215&amp;".webp"</f>
        <v>.webp</v>
      </c>
      <c r="BP320" t="str">
        <f t="shared" si="9"/>
        <v>i_320</v>
      </c>
    </row>
    <row r="321" spans="4:68" outlineLevel="1" x14ac:dyDescent="0.4">
      <c r="D321" s="24"/>
      <c r="BM321">
        <f t="shared" si="10"/>
        <v>0</v>
      </c>
      <c r="BO321" t="str">
        <f>素材!M216&amp;".webp"</f>
        <v>.webp</v>
      </c>
      <c r="BP321" t="str">
        <f t="shared" si="9"/>
        <v>i_321</v>
      </c>
    </row>
    <row r="322" spans="4:68" outlineLevel="1" x14ac:dyDescent="0.4">
      <c r="D322" s="24"/>
      <c r="BM322">
        <f t="shared" si="10"/>
        <v>0</v>
      </c>
      <c r="BO322" t="str">
        <f>素材!M217&amp;".webp"</f>
        <v>.webp</v>
      </c>
      <c r="BP322" t="str">
        <f t="shared" si="9"/>
        <v>i_322</v>
      </c>
    </row>
    <row r="323" spans="4:68" outlineLevel="1" x14ac:dyDescent="0.4">
      <c r="D323" s="24"/>
      <c r="BM323">
        <f t="shared" si="10"/>
        <v>0</v>
      </c>
      <c r="BO323" t="str">
        <f>素材!M218&amp;".webp"</f>
        <v>.webp</v>
      </c>
      <c r="BP323" t="str">
        <f t="shared" si="9"/>
        <v>i_323</v>
      </c>
    </row>
    <row r="324" spans="4:68" outlineLevel="1" x14ac:dyDescent="0.4">
      <c r="D324" s="24"/>
      <c r="BM324">
        <f t="shared" si="10"/>
        <v>0</v>
      </c>
      <c r="BO324" t="str">
        <f>素材!M219&amp;".webp"</f>
        <v>.webp</v>
      </c>
      <c r="BP324" t="str">
        <f t="shared" si="9"/>
        <v>i_324</v>
      </c>
    </row>
    <row r="325" spans="4:68" outlineLevel="1" x14ac:dyDescent="0.4">
      <c r="D325" s="24"/>
      <c r="BM325">
        <f t="shared" si="10"/>
        <v>0</v>
      </c>
      <c r="BO325" t="str">
        <f>素材!M220&amp;".webp"</f>
        <v>.webp</v>
      </c>
      <c r="BP325" t="str">
        <f t="shared" ref="BP325:BP351" si="11">"i_"&amp;ROW(BP325)</f>
        <v>i_325</v>
      </c>
    </row>
    <row r="326" spans="4:68" outlineLevel="1" x14ac:dyDescent="0.4">
      <c r="D326" s="24"/>
      <c r="BM326">
        <f t="shared" ref="BM326:BM351" si="12">BL326*100</f>
        <v>0</v>
      </c>
      <c r="BO326" t="str">
        <f>素材!M221&amp;".webp"</f>
        <v>.webp</v>
      </c>
      <c r="BP326" t="str">
        <f t="shared" si="11"/>
        <v>i_326</v>
      </c>
    </row>
    <row r="327" spans="4:68" outlineLevel="1" x14ac:dyDescent="0.4">
      <c r="D327" s="24"/>
      <c r="BM327">
        <f t="shared" si="12"/>
        <v>0</v>
      </c>
      <c r="BO327" t="str">
        <f>素材!M222&amp;".webp"</f>
        <v>.webp</v>
      </c>
      <c r="BP327" t="str">
        <f t="shared" si="11"/>
        <v>i_327</v>
      </c>
    </row>
    <row r="328" spans="4:68" outlineLevel="1" x14ac:dyDescent="0.4">
      <c r="D328" s="24"/>
      <c r="BM328">
        <f t="shared" si="12"/>
        <v>0</v>
      </c>
      <c r="BO328" t="str">
        <f>素材!M223&amp;".webp"</f>
        <v>.webp</v>
      </c>
      <c r="BP328" t="str">
        <f t="shared" si="11"/>
        <v>i_328</v>
      </c>
    </row>
    <row r="329" spans="4:68" outlineLevel="1" x14ac:dyDescent="0.4">
      <c r="D329" s="24"/>
      <c r="BM329">
        <f t="shared" si="12"/>
        <v>0</v>
      </c>
      <c r="BO329" t="str">
        <f>素材!M224&amp;".webp"</f>
        <v>.webp</v>
      </c>
      <c r="BP329" t="str">
        <f t="shared" si="11"/>
        <v>i_329</v>
      </c>
    </row>
    <row r="330" spans="4:68" outlineLevel="1" x14ac:dyDescent="0.4">
      <c r="D330" s="24"/>
      <c r="BM330">
        <f t="shared" si="12"/>
        <v>0</v>
      </c>
      <c r="BO330" t="str">
        <f>素材!M225&amp;".webp"</f>
        <v>.webp</v>
      </c>
      <c r="BP330" t="str">
        <f t="shared" si="11"/>
        <v>i_330</v>
      </c>
    </row>
    <row r="331" spans="4:68" outlineLevel="1" x14ac:dyDescent="0.4">
      <c r="D331" s="24"/>
      <c r="BM331">
        <f t="shared" si="12"/>
        <v>0</v>
      </c>
      <c r="BO331" t="str">
        <f>素材!M226&amp;".webp"</f>
        <v>.webp</v>
      </c>
      <c r="BP331" t="str">
        <f t="shared" si="11"/>
        <v>i_331</v>
      </c>
    </row>
    <row r="332" spans="4:68" outlineLevel="1" x14ac:dyDescent="0.4">
      <c r="D332" s="24"/>
      <c r="BM332">
        <f t="shared" si="12"/>
        <v>0</v>
      </c>
      <c r="BO332" t="str">
        <f>素材!M227&amp;".webp"</f>
        <v>.webp</v>
      </c>
      <c r="BP332" t="str">
        <f t="shared" si="11"/>
        <v>i_332</v>
      </c>
    </row>
    <row r="333" spans="4:68" outlineLevel="1" x14ac:dyDescent="0.4">
      <c r="D333" s="24"/>
      <c r="BM333">
        <f t="shared" si="12"/>
        <v>0</v>
      </c>
      <c r="BO333" t="str">
        <f>素材!M228&amp;".webp"</f>
        <v>.webp</v>
      </c>
      <c r="BP333" t="str">
        <f t="shared" si="11"/>
        <v>i_333</v>
      </c>
    </row>
    <row r="334" spans="4:68" outlineLevel="1" x14ac:dyDescent="0.4">
      <c r="D334" s="24"/>
      <c r="BM334">
        <f t="shared" si="12"/>
        <v>0</v>
      </c>
      <c r="BO334" t="str">
        <f>素材!M229&amp;".webp"</f>
        <v>.webp</v>
      </c>
      <c r="BP334" t="str">
        <f t="shared" si="11"/>
        <v>i_334</v>
      </c>
    </row>
    <row r="335" spans="4:68" outlineLevel="1" x14ac:dyDescent="0.4">
      <c r="D335" s="24"/>
      <c r="BM335">
        <f t="shared" si="12"/>
        <v>0</v>
      </c>
      <c r="BO335" t="str">
        <f>素材!M230&amp;".webp"</f>
        <v>.webp</v>
      </c>
      <c r="BP335" t="str">
        <f t="shared" si="11"/>
        <v>i_335</v>
      </c>
    </row>
    <row r="336" spans="4:68" outlineLevel="1" x14ac:dyDescent="0.4">
      <c r="D336" s="24"/>
      <c r="BM336">
        <f t="shared" si="12"/>
        <v>0</v>
      </c>
      <c r="BO336" t="str">
        <f>素材!M231&amp;".webp"</f>
        <v>.webp</v>
      </c>
      <c r="BP336" t="str">
        <f t="shared" si="11"/>
        <v>i_336</v>
      </c>
    </row>
    <row r="337" spans="4:68" outlineLevel="1" x14ac:dyDescent="0.4">
      <c r="D337" s="24"/>
      <c r="BM337">
        <f t="shared" si="12"/>
        <v>0</v>
      </c>
      <c r="BO337" t="str">
        <f>素材!M232&amp;".webp"</f>
        <v>.webp</v>
      </c>
      <c r="BP337" t="str">
        <f t="shared" si="11"/>
        <v>i_337</v>
      </c>
    </row>
    <row r="338" spans="4:68" outlineLevel="1" x14ac:dyDescent="0.4">
      <c r="D338" s="24"/>
      <c r="BM338">
        <f t="shared" si="12"/>
        <v>0</v>
      </c>
      <c r="BO338" t="str">
        <f>素材!M233&amp;".webp"</f>
        <v>.webp</v>
      </c>
      <c r="BP338" t="str">
        <f t="shared" si="11"/>
        <v>i_338</v>
      </c>
    </row>
    <row r="339" spans="4:68" outlineLevel="1" x14ac:dyDescent="0.4">
      <c r="D339" s="24"/>
      <c r="BM339">
        <f t="shared" si="12"/>
        <v>0</v>
      </c>
      <c r="BO339" t="str">
        <f>素材!M234&amp;".webp"</f>
        <v>.webp</v>
      </c>
      <c r="BP339" t="str">
        <f t="shared" si="11"/>
        <v>i_339</v>
      </c>
    </row>
    <row r="340" spans="4:68" outlineLevel="1" x14ac:dyDescent="0.4">
      <c r="D340" s="24"/>
      <c r="BM340">
        <f t="shared" si="12"/>
        <v>0</v>
      </c>
      <c r="BO340" t="str">
        <f>素材!M235&amp;".webp"</f>
        <v>.webp</v>
      </c>
      <c r="BP340" t="str">
        <f t="shared" si="11"/>
        <v>i_340</v>
      </c>
    </row>
    <row r="341" spans="4:68" outlineLevel="1" x14ac:dyDescent="0.4">
      <c r="D341" s="24"/>
      <c r="BM341">
        <f t="shared" si="12"/>
        <v>0</v>
      </c>
      <c r="BO341" t="str">
        <f>素材!M236&amp;".webp"</f>
        <v>.webp</v>
      </c>
      <c r="BP341" t="str">
        <f t="shared" si="11"/>
        <v>i_341</v>
      </c>
    </row>
    <row r="342" spans="4:68" outlineLevel="1" x14ac:dyDescent="0.4">
      <c r="D342" s="24"/>
      <c r="BM342">
        <f t="shared" si="12"/>
        <v>0</v>
      </c>
      <c r="BO342" t="str">
        <f>素材!M237&amp;".webp"</f>
        <v>.webp</v>
      </c>
      <c r="BP342" t="str">
        <f t="shared" si="11"/>
        <v>i_342</v>
      </c>
    </row>
    <row r="343" spans="4:68" outlineLevel="1" x14ac:dyDescent="0.4">
      <c r="D343" s="24"/>
      <c r="BM343">
        <f t="shared" si="12"/>
        <v>0</v>
      </c>
      <c r="BO343" t="str">
        <f>素材!M238&amp;".webp"</f>
        <v>.webp</v>
      </c>
      <c r="BP343" t="str">
        <f t="shared" si="11"/>
        <v>i_343</v>
      </c>
    </row>
    <row r="344" spans="4:68" outlineLevel="1" x14ac:dyDescent="0.4">
      <c r="D344" s="24"/>
      <c r="BM344">
        <f t="shared" si="12"/>
        <v>0</v>
      </c>
      <c r="BO344" t="str">
        <f>素材!M239&amp;".webp"</f>
        <v>.webp</v>
      </c>
      <c r="BP344" t="str">
        <f t="shared" si="11"/>
        <v>i_344</v>
      </c>
    </row>
    <row r="345" spans="4:68" outlineLevel="1" x14ac:dyDescent="0.4">
      <c r="D345" s="24"/>
      <c r="BM345">
        <f t="shared" si="12"/>
        <v>0</v>
      </c>
      <c r="BO345" t="str">
        <f>素材!M240&amp;".webp"</f>
        <v>.webp</v>
      </c>
      <c r="BP345" t="str">
        <f t="shared" si="11"/>
        <v>i_345</v>
      </c>
    </row>
    <row r="346" spans="4:68" outlineLevel="1" x14ac:dyDescent="0.4">
      <c r="D346" s="24"/>
      <c r="BM346">
        <f t="shared" si="12"/>
        <v>0</v>
      </c>
      <c r="BO346" t="str">
        <f>素材!M241&amp;".webp"</f>
        <v>.webp</v>
      </c>
      <c r="BP346" t="str">
        <f t="shared" si="11"/>
        <v>i_346</v>
      </c>
    </row>
    <row r="347" spans="4:68" outlineLevel="1" x14ac:dyDescent="0.4">
      <c r="D347" s="24"/>
      <c r="BM347">
        <f t="shared" si="12"/>
        <v>0</v>
      </c>
      <c r="BO347" t="str">
        <f>素材!M242&amp;".webp"</f>
        <v>.webp</v>
      </c>
      <c r="BP347" t="str">
        <f t="shared" si="11"/>
        <v>i_347</v>
      </c>
    </row>
    <row r="348" spans="4:68" outlineLevel="1" x14ac:dyDescent="0.4">
      <c r="D348" s="24"/>
      <c r="BM348">
        <f t="shared" si="12"/>
        <v>0</v>
      </c>
      <c r="BO348" t="str">
        <f>素材!M243&amp;".webp"</f>
        <v>.webp</v>
      </c>
      <c r="BP348" t="str">
        <f t="shared" si="11"/>
        <v>i_348</v>
      </c>
    </row>
    <row r="349" spans="4:68" outlineLevel="1" x14ac:dyDescent="0.4">
      <c r="D349" s="24"/>
      <c r="BM349">
        <f t="shared" si="12"/>
        <v>0</v>
      </c>
      <c r="BO349" t="str">
        <f>素材!M244&amp;".webp"</f>
        <v>.webp</v>
      </c>
      <c r="BP349" t="str">
        <f t="shared" si="11"/>
        <v>i_349</v>
      </c>
    </row>
    <row r="350" spans="4:68" outlineLevel="1" x14ac:dyDescent="0.4">
      <c r="D350" s="24"/>
      <c r="BM350">
        <f t="shared" si="12"/>
        <v>0</v>
      </c>
      <c r="BO350" t="str">
        <f>素材!M245&amp;".webp"</f>
        <v>.webp</v>
      </c>
      <c r="BP350" t="str">
        <f t="shared" si="11"/>
        <v>i_350</v>
      </c>
    </row>
    <row r="351" spans="4:68" outlineLevel="1" x14ac:dyDescent="0.4">
      <c r="D351" s="24"/>
      <c r="BM351">
        <f t="shared" si="12"/>
        <v>0</v>
      </c>
      <c r="BO351" t="str">
        <f>素材!M246&amp;".webp"</f>
        <v>.webp</v>
      </c>
      <c r="BP351" t="str">
        <f t="shared" si="11"/>
        <v>i_351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06AF-5519-4AC2-ABDD-8F459CDD6E6E}">
  <sheetPr codeName="Sheet4">
    <tabColor theme="8" tint="0.79998168889431442"/>
  </sheetPr>
  <dimension ref="A1:AP73"/>
  <sheetViews>
    <sheetView zoomScaleNormal="100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E30" sqref="E30"/>
    </sheetView>
  </sheetViews>
  <sheetFormatPr defaultColWidth="7.625" defaultRowHeight="18.75" outlineLevelCol="1" x14ac:dyDescent="0.4"/>
  <cols>
    <col min="1" max="1" width="11.25" customWidth="1"/>
    <col min="2" max="2" width="15.125" bestFit="1" customWidth="1"/>
    <col min="3" max="3" width="4" bestFit="1" customWidth="1"/>
    <col min="4" max="4" width="9.25" customWidth="1"/>
    <col min="5" max="5" width="17.125" bestFit="1" customWidth="1"/>
    <col min="6" max="6" width="5.875" customWidth="1"/>
    <col min="7" max="7" width="6.75" customWidth="1"/>
    <col min="8" max="8" width="7" style="29" bestFit="1" customWidth="1"/>
    <col min="9" max="9" width="7.75" style="29" bestFit="1" customWidth="1"/>
    <col min="10" max="10" width="7.75" style="29" customWidth="1"/>
    <col min="11" max="12" width="9.75" style="1" customWidth="1"/>
    <col min="14" max="14" width="9.625" bestFit="1" customWidth="1"/>
    <col min="15" max="15" width="36.5" customWidth="1"/>
    <col min="16" max="16" width="9.625" bestFit="1" customWidth="1"/>
    <col min="19" max="42" width="7.625" customWidth="1" outlineLevel="1"/>
  </cols>
  <sheetData>
    <row r="1" spans="1:42" s="48" customFormat="1" ht="30.75" thickBot="1" x14ac:dyDescent="0.45">
      <c r="A1" s="48" t="s">
        <v>1030</v>
      </c>
      <c r="B1" s="48" t="s">
        <v>1029</v>
      </c>
      <c r="C1" s="48" t="s">
        <v>1541</v>
      </c>
      <c r="D1" s="48" t="s">
        <v>870</v>
      </c>
      <c r="E1" s="48" t="s">
        <v>943</v>
      </c>
      <c r="F1" s="48" t="s">
        <v>181</v>
      </c>
      <c r="G1" s="48" t="s">
        <v>180</v>
      </c>
      <c r="H1" s="51" t="s">
        <v>1028</v>
      </c>
      <c r="I1" s="51" t="s">
        <v>1027</v>
      </c>
      <c r="J1" s="51" t="s">
        <v>1261</v>
      </c>
      <c r="K1" s="47" t="s">
        <v>1026</v>
      </c>
      <c r="L1" s="47" t="s">
        <v>1025</v>
      </c>
      <c r="M1" s="48" t="s">
        <v>188</v>
      </c>
      <c r="N1" s="48" t="s">
        <v>104</v>
      </c>
      <c r="O1" s="48" t="s">
        <v>101</v>
      </c>
      <c r="P1" s="48" t="s">
        <v>1024</v>
      </c>
      <c r="Q1" s="48" t="s">
        <v>1260</v>
      </c>
      <c r="R1" s="53" t="s">
        <v>162</v>
      </c>
      <c r="S1" s="53" t="s">
        <v>161</v>
      </c>
      <c r="T1" s="53" t="s">
        <v>160</v>
      </c>
      <c r="U1" s="53" t="s">
        <v>159</v>
      </c>
      <c r="V1" s="53" t="s">
        <v>158</v>
      </c>
      <c r="W1" s="54" t="s">
        <v>156</v>
      </c>
      <c r="X1" s="54" t="s">
        <v>157</v>
      </c>
      <c r="Y1" s="55" t="s">
        <v>155</v>
      </c>
      <c r="Z1" s="55" t="s">
        <v>487</v>
      </c>
      <c r="AA1" s="56" t="s">
        <v>153</v>
      </c>
      <c r="AB1" s="57" t="s">
        <v>1282</v>
      </c>
      <c r="AC1" s="58" t="s">
        <v>150</v>
      </c>
      <c r="AD1" s="58" t="s">
        <v>149</v>
      </c>
      <c r="AE1" s="58" t="s">
        <v>148</v>
      </c>
      <c r="AF1" s="58" t="s">
        <v>147</v>
      </c>
      <c r="AG1" s="58" t="s">
        <v>146</v>
      </c>
      <c r="AH1" s="58" t="s">
        <v>145</v>
      </c>
      <c r="AI1" s="58" t="s">
        <v>144</v>
      </c>
      <c r="AJ1" s="58" t="s">
        <v>143</v>
      </c>
      <c r="AK1" s="59" t="s">
        <v>142</v>
      </c>
      <c r="AL1" s="60" t="s">
        <v>141</v>
      </c>
      <c r="AM1" s="60" t="s">
        <v>140</v>
      </c>
      <c r="AN1" s="4" t="s">
        <v>1283</v>
      </c>
      <c r="AO1" s="61" t="s">
        <v>1284</v>
      </c>
      <c r="AP1" s="62" t="s">
        <v>1285</v>
      </c>
    </row>
    <row r="2" spans="1:42" ht="39" customHeight="1" x14ac:dyDescent="0.4">
      <c r="A2" s="1" t="s">
        <v>257</v>
      </c>
      <c r="B2" s="1" t="s">
        <v>257</v>
      </c>
      <c r="C2" s="1" t="s">
        <v>257</v>
      </c>
      <c r="D2" s="1" t="s">
        <v>257</v>
      </c>
      <c r="E2" s="1" t="s">
        <v>1557</v>
      </c>
      <c r="F2" s="1" t="s">
        <v>257</v>
      </c>
      <c r="G2" s="1" t="s">
        <v>257</v>
      </c>
      <c r="H2" s="30" t="s">
        <v>257</v>
      </c>
      <c r="I2" s="30" t="s">
        <v>257</v>
      </c>
      <c r="J2" s="30"/>
      <c r="K2" s="1" t="s">
        <v>1023</v>
      </c>
      <c r="L2" s="1" t="s">
        <v>1022</v>
      </c>
      <c r="M2" s="1" t="s">
        <v>1021</v>
      </c>
      <c r="N2" s="1" t="s">
        <v>257</v>
      </c>
      <c r="O2" s="1" t="s">
        <v>257</v>
      </c>
      <c r="P2" s="1" t="s">
        <v>257</v>
      </c>
    </row>
    <row r="3" spans="1:42" x14ac:dyDescent="0.4">
      <c r="A3" s="47" t="s">
        <v>1020</v>
      </c>
      <c r="B3" s="1" t="s">
        <v>1019</v>
      </c>
      <c r="C3" s="1">
        <v>10</v>
      </c>
      <c r="D3" s="1">
        <v>100</v>
      </c>
      <c r="E3" s="1">
        <v>10</v>
      </c>
      <c r="F3" s="1"/>
      <c r="G3" s="1">
        <v>0</v>
      </c>
      <c r="H3" s="30"/>
      <c r="I3" s="30"/>
      <c r="J3" s="30"/>
      <c r="M3" s="1" t="s">
        <v>868</v>
      </c>
      <c r="N3" s="1">
        <f t="shared" ref="N3:N26" si="0">IF(P3&lt;&gt;"",P3/100,"")</f>
        <v>50</v>
      </c>
      <c r="O3" s="1" t="s">
        <v>1018</v>
      </c>
      <c r="P3" s="1">
        <v>5000</v>
      </c>
      <c r="T3">
        <v>-5</v>
      </c>
    </row>
    <row r="4" spans="1:42" ht="37.5" x14ac:dyDescent="0.4">
      <c r="A4" s="47" t="s">
        <v>1017</v>
      </c>
      <c r="B4" s="1" t="s">
        <v>1016</v>
      </c>
      <c r="C4" s="1">
        <v>15</v>
      </c>
      <c r="D4" s="1">
        <v>50</v>
      </c>
      <c r="E4" s="1">
        <v>15</v>
      </c>
      <c r="F4" s="1"/>
      <c r="G4" s="1">
        <v>0</v>
      </c>
      <c r="H4" s="30"/>
      <c r="I4" s="30"/>
      <c r="J4" s="30"/>
      <c r="M4" s="1" t="s">
        <v>868</v>
      </c>
      <c r="N4" s="1">
        <f t="shared" si="0"/>
        <v>500</v>
      </c>
      <c r="O4" s="1" t="s">
        <v>1015</v>
      </c>
      <c r="P4" s="1">
        <v>50000</v>
      </c>
      <c r="T4">
        <v>-5</v>
      </c>
    </row>
    <row r="5" spans="1:42" ht="37.5" x14ac:dyDescent="0.4">
      <c r="A5" s="47" t="s">
        <v>1014</v>
      </c>
      <c r="B5" s="1" t="s">
        <v>1013</v>
      </c>
      <c r="C5" s="1">
        <v>25</v>
      </c>
      <c r="D5" s="1">
        <v>120</v>
      </c>
      <c r="E5" s="1">
        <v>10</v>
      </c>
      <c r="F5" s="1"/>
      <c r="G5" s="1">
        <v>0</v>
      </c>
      <c r="H5" s="30"/>
      <c r="I5" s="30"/>
      <c r="J5" s="30"/>
      <c r="M5" s="1" t="s">
        <v>868</v>
      </c>
      <c r="N5" s="1">
        <f t="shared" si="0"/>
        <v>2500</v>
      </c>
      <c r="O5" s="1" t="s">
        <v>1012</v>
      </c>
      <c r="P5" s="1">
        <v>250000</v>
      </c>
      <c r="T5">
        <v>-5</v>
      </c>
    </row>
    <row r="6" spans="1:42" ht="37.5" x14ac:dyDescent="0.4">
      <c r="A6" s="47" t="s">
        <v>1011</v>
      </c>
      <c r="B6" s="1" t="s">
        <v>1010</v>
      </c>
      <c r="C6" s="1">
        <v>35</v>
      </c>
      <c r="D6" s="1">
        <v>105</v>
      </c>
      <c r="E6" s="1">
        <v>20</v>
      </c>
      <c r="F6" s="1"/>
      <c r="G6" s="1">
        <v>0</v>
      </c>
      <c r="H6" s="30"/>
      <c r="I6" s="30"/>
      <c r="J6" s="30"/>
      <c r="M6" s="1" t="s">
        <v>868</v>
      </c>
      <c r="N6" s="1">
        <f t="shared" si="0"/>
        <v>5000</v>
      </c>
      <c r="O6" s="1" t="s">
        <v>1009</v>
      </c>
      <c r="P6" s="1">
        <v>500000</v>
      </c>
      <c r="T6">
        <v>-5</v>
      </c>
    </row>
    <row r="7" spans="1:42" ht="37.5" x14ac:dyDescent="0.4">
      <c r="A7" t="s">
        <v>256</v>
      </c>
      <c r="B7" t="s">
        <v>1008</v>
      </c>
      <c r="C7">
        <v>15</v>
      </c>
      <c r="D7">
        <v>100</v>
      </c>
      <c r="E7">
        <v>20</v>
      </c>
      <c r="F7" s="1"/>
      <c r="G7" s="1">
        <v>0</v>
      </c>
      <c r="H7" s="30"/>
      <c r="I7" s="30"/>
      <c r="J7" s="30"/>
      <c r="M7" t="s">
        <v>1007</v>
      </c>
      <c r="N7" s="1">
        <f t="shared" si="0"/>
        <v>200</v>
      </c>
      <c r="O7" s="1" t="s">
        <v>1006</v>
      </c>
      <c r="P7">
        <v>20000</v>
      </c>
      <c r="T7">
        <v>-5</v>
      </c>
    </row>
    <row r="8" spans="1:42" ht="37.5" x14ac:dyDescent="0.4">
      <c r="A8" s="47" t="s">
        <v>1005</v>
      </c>
      <c r="B8" s="1" t="s">
        <v>1004</v>
      </c>
      <c r="C8" s="1">
        <v>20</v>
      </c>
      <c r="D8" s="1">
        <v>105</v>
      </c>
      <c r="E8" s="1">
        <v>27</v>
      </c>
      <c r="F8" s="1"/>
      <c r="G8" s="1">
        <v>0</v>
      </c>
      <c r="H8" s="30"/>
      <c r="I8" s="30"/>
      <c r="J8" s="30"/>
      <c r="M8" s="1" t="s">
        <v>868</v>
      </c>
      <c r="N8" s="1">
        <f t="shared" si="0"/>
        <v>450</v>
      </c>
      <c r="O8" s="1" t="s">
        <v>1003</v>
      </c>
      <c r="P8" s="1">
        <v>45000</v>
      </c>
      <c r="T8">
        <v>-5</v>
      </c>
    </row>
    <row r="9" spans="1:42" ht="37.5" x14ac:dyDescent="0.4">
      <c r="A9" s="50" t="s">
        <v>1002</v>
      </c>
      <c r="B9" s="50" t="s">
        <v>1001</v>
      </c>
      <c r="C9" s="1">
        <v>25</v>
      </c>
      <c r="D9" s="1">
        <v>100</v>
      </c>
      <c r="E9" s="1">
        <v>25</v>
      </c>
      <c r="F9" s="1"/>
      <c r="G9" s="1">
        <v>0</v>
      </c>
      <c r="H9" s="30"/>
      <c r="I9" s="30"/>
      <c r="J9" s="30"/>
      <c r="K9" s="1" t="s">
        <v>1000</v>
      </c>
      <c r="M9" s="1" t="s">
        <v>978</v>
      </c>
      <c r="N9" s="1">
        <f t="shared" ref="N9:N14" si="1">IF(P9&lt;&gt;"",P9/100,"")</f>
        <v>1500</v>
      </c>
      <c r="O9" s="1" t="s">
        <v>1536</v>
      </c>
      <c r="P9" s="1">
        <v>150000</v>
      </c>
    </row>
    <row r="10" spans="1:42" x14ac:dyDescent="0.4">
      <c r="A10" s="50" t="s">
        <v>1542</v>
      </c>
      <c r="B10" s="50" t="s">
        <v>1543</v>
      </c>
      <c r="C10" s="1">
        <v>25</v>
      </c>
      <c r="D10" s="1">
        <v>100</v>
      </c>
      <c r="E10" s="1">
        <v>20</v>
      </c>
      <c r="F10" s="1" t="s">
        <v>999</v>
      </c>
      <c r="G10" s="1">
        <v>35</v>
      </c>
      <c r="H10" s="30"/>
      <c r="I10" s="30"/>
      <c r="J10" s="30"/>
      <c r="M10" t="s">
        <v>868</v>
      </c>
      <c r="N10" s="1">
        <f t="shared" si="1"/>
        <v>1500</v>
      </c>
      <c r="P10" s="1">
        <v>150000</v>
      </c>
      <c r="T10">
        <v>10</v>
      </c>
    </row>
    <row r="11" spans="1:42" x14ac:dyDescent="0.4">
      <c r="A11" s="50" t="s">
        <v>242</v>
      </c>
      <c r="B11" s="50" t="s">
        <v>998</v>
      </c>
      <c r="C11" s="1">
        <v>25</v>
      </c>
      <c r="D11" s="1">
        <v>100</v>
      </c>
      <c r="E11" s="1">
        <v>20</v>
      </c>
      <c r="F11" s="1" t="s">
        <v>997</v>
      </c>
      <c r="G11" s="1">
        <v>35</v>
      </c>
      <c r="H11" s="30"/>
      <c r="I11" s="30"/>
      <c r="J11" s="30"/>
      <c r="M11" t="s">
        <v>868</v>
      </c>
      <c r="N11" s="1">
        <f t="shared" si="1"/>
        <v>1500</v>
      </c>
      <c r="P11" s="1">
        <v>150000</v>
      </c>
      <c r="R11">
        <v>10</v>
      </c>
    </row>
    <row r="12" spans="1:42" x14ac:dyDescent="0.4">
      <c r="A12" s="50" t="s">
        <v>204</v>
      </c>
      <c r="B12" s="50" t="s">
        <v>996</v>
      </c>
      <c r="C12" s="1">
        <v>25</v>
      </c>
      <c r="D12" s="1">
        <v>100</v>
      </c>
      <c r="E12" s="1">
        <v>20</v>
      </c>
      <c r="F12" s="1" t="s">
        <v>995</v>
      </c>
      <c r="G12" s="1">
        <v>35</v>
      </c>
      <c r="H12" s="30"/>
      <c r="I12" s="30"/>
      <c r="J12" s="30"/>
      <c r="M12" t="s">
        <v>868</v>
      </c>
      <c r="N12" s="1">
        <f t="shared" si="1"/>
        <v>1500</v>
      </c>
      <c r="P12" s="1">
        <v>150000</v>
      </c>
      <c r="S12">
        <v>10</v>
      </c>
    </row>
    <row r="13" spans="1:42" x14ac:dyDescent="0.4">
      <c r="A13" s="50" t="s">
        <v>994</v>
      </c>
      <c r="B13" s="50" t="s">
        <v>993</v>
      </c>
      <c r="C13" s="1">
        <v>25</v>
      </c>
      <c r="D13" s="1">
        <v>100</v>
      </c>
      <c r="E13" s="1">
        <v>20</v>
      </c>
      <c r="H13" s="30">
        <v>0.05</v>
      </c>
      <c r="I13" s="30">
        <v>0.1</v>
      </c>
      <c r="J13" s="30"/>
      <c r="M13" t="s">
        <v>868</v>
      </c>
      <c r="N13" s="1">
        <f t="shared" si="1"/>
        <v>1500</v>
      </c>
      <c r="P13" s="1">
        <v>150000</v>
      </c>
    </row>
    <row r="14" spans="1:42" ht="37.5" x14ac:dyDescent="0.4">
      <c r="A14" s="50" t="s">
        <v>992</v>
      </c>
      <c r="B14" s="50" t="s">
        <v>991</v>
      </c>
      <c r="C14" s="1">
        <v>25</v>
      </c>
      <c r="D14" s="1">
        <v>100</v>
      </c>
      <c r="E14" s="1">
        <v>20</v>
      </c>
      <c r="F14" s="1" t="s">
        <v>971</v>
      </c>
      <c r="G14" s="1">
        <v>20</v>
      </c>
      <c r="K14" s="1" t="s">
        <v>1537</v>
      </c>
      <c r="M14" s="1" t="s">
        <v>978</v>
      </c>
      <c r="N14" s="1">
        <f t="shared" si="1"/>
        <v>1500</v>
      </c>
      <c r="O14" t="s">
        <v>1535</v>
      </c>
      <c r="P14" s="1">
        <v>150000</v>
      </c>
    </row>
    <row r="15" spans="1:42" x14ac:dyDescent="0.4">
      <c r="A15" s="50" t="s">
        <v>990</v>
      </c>
      <c r="B15" s="50" t="s">
        <v>989</v>
      </c>
      <c r="C15" s="1">
        <v>25</v>
      </c>
      <c r="D15" s="1">
        <v>100</v>
      </c>
      <c r="E15" s="1">
        <v>20</v>
      </c>
      <c r="M15" t="s">
        <v>868</v>
      </c>
      <c r="N15" s="1">
        <f t="shared" si="0"/>
        <v>2000</v>
      </c>
      <c r="P15" s="1">
        <v>200000</v>
      </c>
    </row>
    <row r="16" spans="1:42" x14ac:dyDescent="0.4">
      <c r="A16" s="50" t="s">
        <v>988</v>
      </c>
      <c r="B16" s="50" t="s">
        <v>987</v>
      </c>
      <c r="C16" s="1">
        <v>25</v>
      </c>
      <c r="D16" s="1">
        <v>100</v>
      </c>
      <c r="E16" s="1">
        <v>24</v>
      </c>
      <c r="F16" t="s">
        <v>986</v>
      </c>
      <c r="G16" s="1">
        <v>35</v>
      </c>
      <c r="M16" t="s">
        <v>868</v>
      </c>
      <c r="N16" s="1">
        <f t="shared" si="0"/>
        <v>2000</v>
      </c>
      <c r="P16" s="1">
        <v>200000</v>
      </c>
    </row>
    <row r="17" spans="1:24" x14ac:dyDescent="0.4">
      <c r="A17" s="50" t="s">
        <v>985</v>
      </c>
      <c r="B17" s="50" t="s">
        <v>984</v>
      </c>
      <c r="C17" s="1">
        <v>25</v>
      </c>
      <c r="D17" s="1">
        <v>100</v>
      </c>
      <c r="E17" s="1">
        <v>24</v>
      </c>
      <c r="F17" t="s">
        <v>983</v>
      </c>
      <c r="G17" s="1">
        <v>35</v>
      </c>
      <c r="M17" t="s">
        <v>868</v>
      </c>
      <c r="N17" s="1">
        <f t="shared" si="0"/>
        <v>2000</v>
      </c>
      <c r="P17" s="1">
        <v>200000</v>
      </c>
    </row>
    <row r="18" spans="1:24" x14ac:dyDescent="0.4">
      <c r="A18" s="50" t="s">
        <v>1199</v>
      </c>
      <c r="B18" s="50" t="s">
        <v>1200</v>
      </c>
      <c r="C18" s="1">
        <v>30</v>
      </c>
      <c r="D18" s="1">
        <v>110</v>
      </c>
      <c r="E18" s="1">
        <v>25</v>
      </c>
      <c r="F18" t="s">
        <v>995</v>
      </c>
      <c r="G18" s="1">
        <v>35</v>
      </c>
      <c r="H18" s="30">
        <v>0.02</v>
      </c>
      <c r="M18" t="s">
        <v>868</v>
      </c>
      <c r="N18" s="1">
        <f t="shared" si="0"/>
        <v>3500</v>
      </c>
      <c r="P18" s="1">
        <v>350000</v>
      </c>
      <c r="R18">
        <v>5</v>
      </c>
      <c r="S18">
        <v>10</v>
      </c>
    </row>
    <row r="19" spans="1:24" ht="37.5" x14ac:dyDescent="0.4">
      <c r="A19" s="50" t="s">
        <v>982</v>
      </c>
      <c r="B19" s="50" t="s">
        <v>981</v>
      </c>
      <c r="C19" s="1">
        <v>35</v>
      </c>
      <c r="D19" s="1">
        <v>100</v>
      </c>
      <c r="E19" s="1">
        <v>25</v>
      </c>
      <c r="F19" t="s">
        <v>980</v>
      </c>
      <c r="G19" s="1">
        <v>40</v>
      </c>
      <c r="H19" s="30">
        <v>0.05</v>
      </c>
      <c r="K19" s="1" t="s">
        <v>979</v>
      </c>
      <c r="M19" s="1" t="s">
        <v>978</v>
      </c>
      <c r="N19" s="1">
        <f t="shared" si="0"/>
        <v>5000</v>
      </c>
      <c r="P19" s="1">
        <v>500000</v>
      </c>
      <c r="X19">
        <v>10</v>
      </c>
    </row>
    <row r="20" spans="1:24" ht="37.5" x14ac:dyDescent="0.4">
      <c r="A20" s="50" t="s">
        <v>1201</v>
      </c>
      <c r="B20" s="50" t="s">
        <v>1203</v>
      </c>
      <c r="C20" s="1">
        <v>35</v>
      </c>
      <c r="D20" s="1">
        <v>100</v>
      </c>
      <c r="E20" s="1">
        <v>25</v>
      </c>
      <c r="F20" t="s">
        <v>1202</v>
      </c>
      <c r="G20" s="1">
        <v>40</v>
      </c>
      <c r="H20" s="30">
        <v>0.02</v>
      </c>
      <c r="I20" s="29">
        <v>0.05</v>
      </c>
      <c r="K20" s="1" t="s">
        <v>1212</v>
      </c>
      <c r="M20" t="s">
        <v>868</v>
      </c>
      <c r="N20" s="1">
        <f>IF(P20&lt;&gt;"",P20/100,"")</f>
        <v>5000</v>
      </c>
      <c r="P20" s="1">
        <v>500000</v>
      </c>
      <c r="W20">
        <v>10</v>
      </c>
    </row>
    <row r="21" spans="1:24" x14ac:dyDescent="0.4">
      <c r="A21" s="50" t="s">
        <v>977</v>
      </c>
      <c r="B21" s="50" t="s">
        <v>976</v>
      </c>
      <c r="C21" s="1">
        <v>35</v>
      </c>
      <c r="D21" s="1">
        <v>65</v>
      </c>
      <c r="E21" s="1">
        <v>25</v>
      </c>
      <c r="H21" s="30">
        <v>0.02</v>
      </c>
      <c r="I21" s="29">
        <v>0.05</v>
      </c>
      <c r="M21" t="s">
        <v>868</v>
      </c>
      <c r="N21" s="1">
        <f t="shared" si="0"/>
        <v>4000</v>
      </c>
      <c r="P21" s="1">
        <v>400000</v>
      </c>
    </row>
    <row r="22" spans="1:24" x14ac:dyDescent="0.4">
      <c r="A22" s="50" t="s">
        <v>199</v>
      </c>
      <c r="B22" s="50" t="s">
        <v>975</v>
      </c>
      <c r="C22" s="1">
        <v>35</v>
      </c>
      <c r="D22" s="1">
        <v>100</v>
      </c>
      <c r="E22" s="1">
        <v>30</v>
      </c>
      <c r="F22" t="s">
        <v>971</v>
      </c>
      <c r="G22" s="1">
        <v>30</v>
      </c>
      <c r="H22" s="29">
        <v>0.02</v>
      </c>
      <c r="I22" s="29">
        <v>0.05</v>
      </c>
      <c r="M22" t="s">
        <v>868</v>
      </c>
      <c r="N22" s="1">
        <f t="shared" si="0"/>
        <v>4500</v>
      </c>
      <c r="P22" s="1">
        <v>450000</v>
      </c>
    </row>
    <row r="23" spans="1:24" x14ac:dyDescent="0.4">
      <c r="A23" s="50" t="s">
        <v>198</v>
      </c>
      <c r="B23" s="50" t="s">
        <v>974</v>
      </c>
      <c r="C23" s="1">
        <v>35</v>
      </c>
      <c r="D23" s="1">
        <v>115</v>
      </c>
      <c r="E23" s="1">
        <v>40</v>
      </c>
      <c r="F23" t="s">
        <v>943</v>
      </c>
      <c r="G23" s="1">
        <v>10</v>
      </c>
      <c r="H23" s="29">
        <v>0.02</v>
      </c>
      <c r="I23" s="29">
        <v>0.05</v>
      </c>
      <c r="M23" t="s">
        <v>868</v>
      </c>
      <c r="N23" s="1">
        <f t="shared" si="0"/>
        <v>5000</v>
      </c>
      <c r="P23" s="1">
        <v>500000</v>
      </c>
    </row>
    <row r="24" spans="1:24" x14ac:dyDescent="0.4">
      <c r="A24" s="50" t="s">
        <v>196</v>
      </c>
      <c r="B24" s="50" t="s">
        <v>973</v>
      </c>
      <c r="C24" s="1">
        <v>45</v>
      </c>
      <c r="D24" s="1">
        <v>50</v>
      </c>
      <c r="E24" s="1">
        <v>35</v>
      </c>
      <c r="H24" s="30">
        <v>0.05</v>
      </c>
      <c r="I24" s="29">
        <v>0.1</v>
      </c>
      <c r="M24" t="s">
        <v>868</v>
      </c>
      <c r="N24" s="1">
        <f t="shared" si="0"/>
        <v>8000</v>
      </c>
      <c r="P24" s="1">
        <v>800000</v>
      </c>
      <c r="Q24" t="s">
        <v>1209</v>
      </c>
    </row>
    <row r="25" spans="1:24" x14ac:dyDescent="0.4">
      <c r="A25" s="50" t="s">
        <v>195</v>
      </c>
      <c r="B25" s="50" t="s">
        <v>972</v>
      </c>
      <c r="C25" s="1">
        <v>45</v>
      </c>
      <c r="D25" s="1">
        <v>100</v>
      </c>
      <c r="E25" s="1">
        <v>40</v>
      </c>
      <c r="F25" t="s">
        <v>971</v>
      </c>
      <c r="G25" s="1">
        <v>40</v>
      </c>
      <c r="H25" s="30">
        <v>0.05</v>
      </c>
      <c r="I25" s="29">
        <v>0.1</v>
      </c>
      <c r="M25" t="s">
        <v>868</v>
      </c>
      <c r="N25" s="1">
        <f t="shared" si="0"/>
        <v>9000</v>
      </c>
      <c r="P25" s="1">
        <v>900000</v>
      </c>
      <c r="Q25" t="s">
        <v>1210</v>
      </c>
    </row>
    <row r="26" spans="1:24" x14ac:dyDescent="0.4">
      <c r="A26" s="50" t="s">
        <v>970</v>
      </c>
      <c r="B26" s="50" t="s">
        <v>969</v>
      </c>
      <c r="C26" s="1">
        <v>45</v>
      </c>
      <c r="D26" s="1">
        <v>130</v>
      </c>
      <c r="E26" s="1">
        <v>50</v>
      </c>
      <c r="F26" t="s">
        <v>943</v>
      </c>
      <c r="G26" s="1">
        <v>20</v>
      </c>
      <c r="H26" s="30">
        <v>0.05</v>
      </c>
      <c r="I26" s="29">
        <v>0.1</v>
      </c>
      <c r="M26" t="s">
        <v>868</v>
      </c>
      <c r="N26" s="1">
        <f t="shared" si="0"/>
        <v>10000</v>
      </c>
      <c r="P26" s="1">
        <v>1000000</v>
      </c>
      <c r="Q26" t="s">
        <v>1211</v>
      </c>
    </row>
    <row r="27" spans="1:24" x14ac:dyDescent="0.4">
      <c r="A27" s="50" t="s">
        <v>1208</v>
      </c>
      <c r="B27" s="50" t="s">
        <v>1204</v>
      </c>
      <c r="C27" s="1">
        <v>55</v>
      </c>
      <c r="D27" s="1">
        <v>100</v>
      </c>
      <c r="E27" s="1">
        <v>35</v>
      </c>
      <c r="F27" t="s">
        <v>1205</v>
      </c>
      <c r="G27" s="1">
        <v>180</v>
      </c>
      <c r="M27" t="s">
        <v>868</v>
      </c>
      <c r="N27" s="1">
        <f>IF(P27&lt;&gt;"",P27/100,"")</f>
        <v>500000</v>
      </c>
      <c r="P27" s="1">
        <v>50000000</v>
      </c>
      <c r="R27">
        <v>15</v>
      </c>
      <c r="S27">
        <v>15</v>
      </c>
      <c r="T27">
        <v>15</v>
      </c>
      <c r="U27">
        <v>15</v>
      </c>
      <c r="W27">
        <v>15</v>
      </c>
      <c r="X27">
        <v>15</v>
      </c>
    </row>
    <row r="28" spans="1:24" ht="27" x14ac:dyDescent="0.4">
      <c r="A28" s="50" t="s">
        <v>1206</v>
      </c>
      <c r="B28" s="50" t="s">
        <v>1207</v>
      </c>
      <c r="C28" s="1">
        <v>55</v>
      </c>
      <c r="D28" s="1">
        <v>100</v>
      </c>
      <c r="E28" s="1">
        <v>40</v>
      </c>
      <c r="G28" s="1"/>
      <c r="H28" s="29">
        <v>0.15</v>
      </c>
      <c r="I28" s="29">
        <v>0.2</v>
      </c>
      <c r="M28" t="s">
        <v>868</v>
      </c>
      <c r="N28" s="1">
        <f>IF(P28&lt;&gt;"",P28/100,"")</f>
        <v>500000</v>
      </c>
      <c r="P28" s="1">
        <v>50000000</v>
      </c>
    </row>
    <row r="29" spans="1:24" x14ac:dyDescent="0.4">
      <c r="N29" s="1"/>
    </row>
    <row r="30" spans="1:24" x14ac:dyDescent="0.4">
      <c r="E30">
        <f>30*1.35</f>
        <v>40.5</v>
      </c>
      <c r="N30" s="1" t="str">
        <f>IF(P30&lt;&gt;"",P30/500,"")</f>
        <v/>
      </c>
    </row>
    <row r="31" spans="1:24" ht="36" x14ac:dyDescent="0.4">
      <c r="A31" s="39" t="s">
        <v>192</v>
      </c>
      <c r="B31" s="39" t="s">
        <v>86</v>
      </c>
      <c r="C31" s="39" t="s">
        <v>908</v>
      </c>
      <c r="D31" s="39" t="s">
        <v>1288</v>
      </c>
      <c r="E31" s="39" t="s">
        <v>968</v>
      </c>
      <c r="F31" s="39" t="s">
        <v>906</v>
      </c>
      <c r="G31" s="39" t="s">
        <v>905</v>
      </c>
      <c r="H31" s="49" t="s">
        <v>178</v>
      </c>
      <c r="I31" s="49" t="s">
        <v>177</v>
      </c>
      <c r="J31" s="49"/>
      <c r="K31" s="39" t="s">
        <v>904</v>
      </c>
      <c r="L31" s="39" t="s">
        <v>903</v>
      </c>
      <c r="M31" s="39" t="s">
        <v>455</v>
      </c>
      <c r="N31" s="48" t="s">
        <v>902</v>
      </c>
      <c r="O31" s="39" t="s">
        <v>866</v>
      </c>
      <c r="P31" s="39" t="s">
        <v>902</v>
      </c>
    </row>
    <row r="32" spans="1:24" ht="54" x14ac:dyDescent="0.4">
      <c r="A32" s="39" t="s">
        <v>958</v>
      </c>
      <c r="B32" s="39" t="s">
        <v>967</v>
      </c>
      <c r="C32" s="39">
        <v>10</v>
      </c>
      <c r="D32" s="39">
        <v>40</v>
      </c>
      <c r="E32" s="39">
        <v>10</v>
      </c>
      <c r="F32" s="39" t="s">
        <v>257</v>
      </c>
      <c r="G32" s="39" t="s">
        <v>257</v>
      </c>
      <c r="H32" s="49" t="s">
        <v>257</v>
      </c>
      <c r="I32" s="49" t="s">
        <v>257</v>
      </c>
      <c r="J32" s="49"/>
      <c r="K32" s="39" t="s">
        <v>257</v>
      </c>
      <c r="L32" s="39" t="s">
        <v>257</v>
      </c>
      <c r="M32" s="39" t="s">
        <v>958</v>
      </c>
      <c r="N32" s="48">
        <v>100</v>
      </c>
      <c r="O32" s="39" t="s">
        <v>966</v>
      </c>
      <c r="P32" s="39"/>
    </row>
    <row r="33" spans="1:23" ht="54" x14ac:dyDescent="0.4">
      <c r="A33" s="39" t="s">
        <v>965</v>
      </c>
      <c r="B33" s="39" t="s">
        <v>964</v>
      </c>
      <c r="C33" s="39">
        <v>15</v>
      </c>
      <c r="D33" s="39">
        <v>40</v>
      </c>
      <c r="E33" s="39">
        <v>15</v>
      </c>
      <c r="F33" s="39" t="s">
        <v>257</v>
      </c>
      <c r="G33" s="39" t="s">
        <v>257</v>
      </c>
      <c r="H33" s="49" t="s">
        <v>257</v>
      </c>
      <c r="I33" s="49" t="s">
        <v>257</v>
      </c>
      <c r="J33" s="49"/>
      <c r="K33" s="39" t="s">
        <v>257</v>
      </c>
      <c r="L33" s="39" t="s">
        <v>257</v>
      </c>
      <c r="M33" s="39" t="s">
        <v>958</v>
      </c>
      <c r="N33" s="48">
        <v>200</v>
      </c>
      <c r="O33" s="39" t="s">
        <v>963</v>
      </c>
      <c r="P33" s="39"/>
    </row>
    <row r="34" spans="1:23" ht="54" x14ac:dyDescent="0.4">
      <c r="A34" s="39" t="s">
        <v>249</v>
      </c>
      <c r="B34" s="39" t="s">
        <v>962</v>
      </c>
      <c r="C34" s="39">
        <v>20</v>
      </c>
      <c r="D34" s="39">
        <v>25</v>
      </c>
      <c r="E34" s="39">
        <v>15</v>
      </c>
      <c r="F34" s="39" t="s">
        <v>257</v>
      </c>
      <c r="G34" s="39" t="s">
        <v>257</v>
      </c>
      <c r="H34" s="49" t="s">
        <v>257</v>
      </c>
      <c r="I34" s="49" t="s">
        <v>257</v>
      </c>
      <c r="J34" s="49"/>
      <c r="K34" s="39" t="s">
        <v>257</v>
      </c>
      <c r="L34" s="39" t="s">
        <v>257</v>
      </c>
      <c r="M34" s="39" t="s">
        <v>958</v>
      </c>
      <c r="N34" s="48">
        <v>500</v>
      </c>
      <c r="O34" s="39" t="s">
        <v>961</v>
      </c>
      <c r="P34" s="39"/>
    </row>
    <row r="35" spans="1:23" ht="54" x14ac:dyDescent="0.4">
      <c r="A35" s="39" t="s">
        <v>201</v>
      </c>
      <c r="B35" s="39" t="s">
        <v>960</v>
      </c>
      <c r="C35" s="39">
        <v>25</v>
      </c>
      <c r="D35" s="39">
        <v>75</v>
      </c>
      <c r="E35" s="39">
        <v>15</v>
      </c>
      <c r="F35" s="39" t="s">
        <v>959</v>
      </c>
      <c r="G35" s="39" t="s">
        <v>257</v>
      </c>
      <c r="H35" s="49" t="s">
        <v>257</v>
      </c>
      <c r="I35" s="49" t="s">
        <v>257</v>
      </c>
      <c r="J35" s="49"/>
      <c r="K35" s="39" t="s">
        <v>257</v>
      </c>
      <c r="L35" s="39" t="s">
        <v>257</v>
      </c>
      <c r="M35" s="39" t="s">
        <v>958</v>
      </c>
      <c r="N35" s="48">
        <v>1500</v>
      </c>
      <c r="O35" s="39" t="s">
        <v>957</v>
      </c>
      <c r="P35" s="39"/>
    </row>
    <row r="36" spans="1:23" ht="72" x14ac:dyDescent="0.4">
      <c r="A36" s="39" t="s">
        <v>244</v>
      </c>
      <c r="B36" s="39" t="s">
        <v>956</v>
      </c>
      <c r="C36" s="39">
        <v>30</v>
      </c>
      <c r="D36" s="39">
        <v>80</v>
      </c>
      <c r="E36" s="39">
        <v>25</v>
      </c>
      <c r="F36" s="39" t="s">
        <v>955</v>
      </c>
      <c r="G36" s="39">
        <v>25</v>
      </c>
      <c r="H36" s="49" t="s">
        <v>257</v>
      </c>
      <c r="I36" s="49" t="s">
        <v>257</v>
      </c>
      <c r="J36" s="49"/>
      <c r="K36" s="39" t="s">
        <v>257</v>
      </c>
      <c r="L36" s="39" t="s">
        <v>257</v>
      </c>
      <c r="M36" s="39" t="s">
        <v>946</v>
      </c>
      <c r="N36" s="48">
        <v>5500</v>
      </c>
      <c r="O36" s="39" t="s">
        <v>954</v>
      </c>
      <c r="P36" s="39"/>
      <c r="S36">
        <v>10</v>
      </c>
    </row>
    <row r="37" spans="1:23" ht="56.25" x14ac:dyDescent="0.4">
      <c r="A37" s="47" t="s">
        <v>247</v>
      </c>
      <c r="B37" s="1" t="s">
        <v>953</v>
      </c>
      <c r="C37" s="39">
        <v>30</v>
      </c>
      <c r="D37" s="39">
        <v>80</v>
      </c>
      <c r="E37" s="39">
        <v>25</v>
      </c>
      <c r="F37" s="39" t="s">
        <v>952</v>
      </c>
      <c r="G37" s="39">
        <v>25</v>
      </c>
      <c r="H37" s="30" t="s">
        <v>257</v>
      </c>
      <c r="I37" s="30" t="s">
        <v>257</v>
      </c>
      <c r="J37" s="30"/>
      <c r="K37" s="1" t="s">
        <v>257</v>
      </c>
      <c r="L37" s="1" t="s">
        <v>257</v>
      </c>
      <c r="M37" s="1" t="s">
        <v>946</v>
      </c>
      <c r="N37" s="1">
        <v>5500</v>
      </c>
      <c r="O37" s="1" t="s">
        <v>951</v>
      </c>
      <c r="P37" s="1">
        <v>300000</v>
      </c>
      <c r="R37">
        <v>10</v>
      </c>
    </row>
    <row r="38" spans="1:23" ht="56.25" x14ac:dyDescent="0.4">
      <c r="A38" s="47" t="s">
        <v>248</v>
      </c>
      <c r="B38" s="1" t="s">
        <v>950</v>
      </c>
      <c r="C38" s="39">
        <v>30</v>
      </c>
      <c r="D38" s="39">
        <v>80</v>
      </c>
      <c r="E38" s="39">
        <v>25</v>
      </c>
      <c r="F38" s="39" t="s">
        <v>929</v>
      </c>
      <c r="G38" s="39">
        <v>25</v>
      </c>
      <c r="H38" s="30" t="s">
        <v>257</v>
      </c>
      <c r="I38" s="30" t="s">
        <v>257</v>
      </c>
      <c r="J38" s="30"/>
      <c r="K38" s="1" t="s">
        <v>257</v>
      </c>
      <c r="L38" s="1" t="s">
        <v>257</v>
      </c>
      <c r="M38" s="1" t="s">
        <v>946</v>
      </c>
      <c r="N38" s="1">
        <v>5500</v>
      </c>
      <c r="O38" s="1" t="s">
        <v>949</v>
      </c>
      <c r="P38" s="1">
        <v>300000</v>
      </c>
      <c r="T38">
        <v>10</v>
      </c>
    </row>
    <row r="39" spans="1:23" ht="75" x14ac:dyDescent="0.4">
      <c r="A39" s="47" t="s">
        <v>948</v>
      </c>
      <c r="B39" s="1" t="s">
        <v>947</v>
      </c>
      <c r="C39" s="39">
        <v>30</v>
      </c>
      <c r="D39" s="39">
        <v>80</v>
      </c>
      <c r="E39" s="39">
        <v>25</v>
      </c>
      <c r="F39" s="39" t="s">
        <v>929</v>
      </c>
      <c r="G39" s="39">
        <v>25</v>
      </c>
      <c r="H39" s="30" t="s">
        <v>257</v>
      </c>
      <c r="I39" s="30" t="s">
        <v>257</v>
      </c>
      <c r="J39" s="30"/>
      <c r="K39" s="1" t="s">
        <v>257</v>
      </c>
      <c r="L39" s="1" t="s">
        <v>257</v>
      </c>
      <c r="M39" s="1" t="s">
        <v>946</v>
      </c>
      <c r="N39" s="1">
        <v>5500</v>
      </c>
      <c r="O39" s="1" t="s">
        <v>945</v>
      </c>
      <c r="P39" s="1">
        <v>400000</v>
      </c>
      <c r="U39">
        <v>10</v>
      </c>
    </row>
    <row r="40" spans="1:23" ht="75" x14ac:dyDescent="0.4">
      <c r="A40" s="47" t="s">
        <v>1256</v>
      </c>
      <c r="B40" s="1" t="s">
        <v>1257</v>
      </c>
      <c r="C40" s="39">
        <v>30</v>
      </c>
      <c r="D40" s="39">
        <v>80</v>
      </c>
      <c r="E40" s="39">
        <v>25</v>
      </c>
      <c r="F40" s="39" t="s">
        <v>1202</v>
      </c>
      <c r="G40" s="39">
        <v>25</v>
      </c>
      <c r="H40" s="30" t="s">
        <v>257</v>
      </c>
      <c r="I40" s="30" t="s">
        <v>257</v>
      </c>
      <c r="J40" s="30"/>
      <c r="K40" s="1" t="s">
        <v>257</v>
      </c>
      <c r="L40" s="1" t="s">
        <v>257</v>
      </c>
      <c r="M40" s="1" t="s">
        <v>946</v>
      </c>
      <c r="N40" s="1">
        <v>5500</v>
      </c>
      <c r="O40" s="1" t="s">
        <v>945</v>
      </c>
      <c r="P40" s="1">
        <v>400000</v>
      </c>
      <c r="W40">
        <v>10</v>
      </c>
    </row>
    <row r="41" spans="1:23" x14ac:dyDescent="0.4">
      <c r="A41" s="47"/>
      <c r="B41" s="1"/>
      <c r="C41" s="1"/>
      <c r="D41" s="1"/>
      <c r="E41" s="1"/>
      <c r="F41" s="1"/>
      <c r="G41" s="1"/>
      <c r="H41" s="30"/>
      <c r="I41" s="30"/>
      <c r="J41" s="30"/>
      <c r="M41" s="1"/>
      <c r="N41" s="1"/>
      <c r="O41" s="1"/>
      <c r="P41" s="1"/>
    </row>
    <row r="42" spans="1:23" x14ac:dyDescent="0.4">
      <c r="N42" s="1" t="str">
        <f>IF(P42&lt;&gt;"",P42/500,"")</f>
        <v/>
      </c>
    </row>
    <row r="43" spans="1:23" x14ac:dyDescent="0.4">
      <c r="N43" s="1" t="str">
        <f>IF(P43&lt;&gt;"",P43/500,"")</f>
        <v/>
      </c>
    </row>
    <row r="44" spans="1:23" x14ac:dyDescent="0.4">
      <c r="A44" s="48" t="s">
        <v>944</v>
      </c>
      <c r="N44" s="1" t="str">
        <f>IF(P44&lt;&gt;"",P44/500,"")</f>
        <v/>
      </c>
    </row>
    <row r="45" spans="1:23" x14ac:dyDescent="0.4">
      <c r="N45" s="1" t="str">
        <f>IF(P45&lt;&gt;"",P45/500,"")</f>
        <v/>
      </c>
    </row>
    <row r="46" spans="1:23" x14ac:dyDescent="0.4">
      <c r="A46" s="39" t="s">
        <v>192</v>
      </c>
      <c r="B46" s="39" t="s">
        <v>86</v>
      </c>
      <c r="C46" s="39" t="s">
        <v>908</v>
      </c>
      <c r="D46" s="39" t="s">
        <v>907</v>
      </c>
      <c r="E46" s="39" t="s">
        <v>943</v>
      </c>
      <c r="F46" s="39" t="s">
        <v>906</v>
      </c>
      <c r="G46" s="39" t="s">
        <v>905</v>
      </c>
      <c r="H46" s="49"/>
      <c r="I46" s="49"/>
      <c r="J46" s="49"/>
      <c r="K46" s="39" t="s">
        <v>904</v>
      </c>
      <c r="L46" s="39" t="s">
        <v>903</v>
      </c>
      <c r="M46" s="39" t="s">
        <v>455</v>
      </c>
      <c r="N46" s="48" t="s">
        <v>104</v>
      </c>
      <c r="O46" s="39" t="s">
        <v>866</v>
      </c>
      <c r="P46" s="39" t="s">
        <v>902</v>
      </c>
    </row>
    <row r="47" spans="1:23" x14ac:dyDescent="0.4">
      <c r="A47" s="47" t="s">
        <v>254</v>
      </c>
      <c r="B47" s="1" t="s">
        <v>942</v>
      </c>
      <c r="C47" s="1">
        <v>10</v>
      </c>
      <c r="D47" s="1">
        <v>75</v>
      </c>
      <c r="E47" s="1">
        <v>15</v>
      </c>
      <c r="F47" s="1"/>
      <c r="G47" s="1"/>
      <c r="H47" s="30"/>
      <c r="I47" s="30"/>
      <c r="J47" s="30"/>
      <c r="M47" s="1" t="s">
        <v>911</v>
      </c>
      <c r="N47" s="1">
        <v>100</v>
      </c>
      <c r="O47" s="1" t="s">
        <v>941</v>
      </c>
      <c r="P47" s="1">
        <v>150000</v>
      </c>
    </row>
    <row r="48" spans="1:23" ht="56.25" x14ac:dyDescent="0.4">
      <c r="A48" s="47" t="s">
        <v>940</v>
      </c>
      <c r="B48" s="1" t="s">
        <v>939</v>
      </c>
      <c r="C48" s="1">
        <v>20</v>
      </c>
      <c r="D48" s="1">
        <v>65</v>
      </c>
      <c r="E48" s="1">
        <v>20</v>
      </c>
      <c r="F48" s="1"/>
      <c r="G48" s="1"/>
      <c r="H48" s="30"/>
      <c r="I48" s="30"/>
      <c r="J48" s="30"/>
      <c r="M48" s="1" t="s">
        <v>911</v>
      </c>
      <c r="N48" s="1">
        <v>300</v>
      </c>
      <c r="O48" s="1" t="s">
        <v>932</v>
      </c>
      <c r="P48" s="1">
        <v>150000</v>
      </c>
    </row>
    <row r="49" spans="1:38" ht="56.25" x14ac:dyDescent="0.4">
      <c r="A49" s="47" t="s">
        <v>938</v>
      </c>
      <c r="B49" s="1" t="s">
        <v>937</v>
      </c>
      <c r="C49" s="1">
        <v>30</v>
      </c>
      <c r="D49" s="1">
        <v>65</v>
      </c>
      <c r="E49" s="1">
        <v>25</v>
      </c>
      <c r="F49" s="1"/>
      <c r="G49" s="1"/>
      <c r="H49" s="30"/>
      <c r="I49" s="30"/>
      <c r="J49" s="30"/>
      <c r="M49" s="1" t="s">
        <v>911</v>
      </c>
      <c r="N49" s="1">
        <v>600</v>
      </c>
      <c r="O49" s="1" t="s">
        <v>932</v>
      </c>
      <c r="P49" s="1">
        <v>150000</v>
      </c>
    </row>
    <row r="50" spans="1:38" ht="56.25" x14ac:dyDescent="0.4">
      <c r="A50" s="47" t="s">
        <v>936</v>
      </c>
      <c r="B50" s="1" t="s">
        <v>935</v>
      </c>
      <c r="C50" s="1">
        <v>20</v>
      </c>
      <c r="D50" s="1">
        <v>55</v>
      </c>
      <c r="E50" s="1">
        <v>10</v>
      </c>
      <c r="F50" s="1" t="s">
        <v>934</v>
      </c>
      <c r="G50" s="1">
        <v>20</v>
      </c>
      <c r="H50" s="30"/>
      <c r="I50" s="30"/>
      <c r="J50" s="30"/>
      <c r="K50" s="1" t="s">
        <v>933</v>
      </c>
      <c r="L50" s="1" t="s">
        <v>158</v>
      </c>
      <c r="M50" s="1" t="s">
        <v>911</v>
      </c>
      <c r="N50" s="1">
        <f t="shared" ref="N50:N62" si="2">IF(P50&lt;&gt;"",P50/500,"")</f>
        <v>300</v>
      </c>
      <c r="O50" s="1" t="s">
        <v>932</v>
      </c>
      <c r="P50" s="1">
        <v>150000</v>
      </c>
    </row>
    <row r="51" spans="1:38" ht="56.25" x14ac:dyDescent="0.4">
      <c r="A51" s="47" t="s">
        <v>931</v>
      </c>
      <c r="B51" s="1" t="s">
        <v>930</v>
      </c>
      <c r="C51" s="1">
        <v>30</v>
      </c>
      <c r="D51" s="1">
        <v>60</v>
      </c>
      <c r="E51" s="1">
        <v>15</v>
      </c>
      <c r="F51" s="1" t="s">
        <v>929</v>
      </c>
      <c r="G51" s="1">
        <v>25</v>
      </c>
      <c r="H51" s="30"/>
      <c r="I51" s="30"/>
      <c r="J51" s="30"/>
      <c r="K51" s="1" t="s">
        <v>928</v>
      </c>
      <c r="L51" s="1" t="s">
        <v>927</v>
      </c>
      <c r="M51" s="1" t="s">
        <v>911</v>
      </c>
      <c r="N51" s="1">
        <f t="shared" si="2"/>
        <v>360</v>
      </c>
      <c r="O51" s="1" t="s">
        <v>926</v>
      </c>
      <c r="P51" s="1">
        <v>180000</v>
      </c>
    </row>
    <row r="52" spans="1:38" ht="56.25" x14ac:dyDescent="0.4">
      <c r="A52" s="47" t="s">
        <v>925</v>
      </c>
      <c r="B52" s="1" t="s">
        <v>924</v>
      </c>
      <c r="C52" s="1">
        <v>35</v>
      </c>
      <c r="D52" s="1">
        <v>60</v>
      </c>
      <c r="E52" s="1">
        <v>20</v>
      </c>
      <c r="F52" s="1" t="s">
        <v>923</v>
      </c>
      <c r="G52" s="1">
        <v>20</v>
      </c>
      <c r="H52" s="30"/>
      <c r="I52" s="30"/>
      <c r="J52" s="30"/>
      <c r="K52" s="1" t="s">
        <v>922</v>
      </c>
      <c r="M52" s="1" t="s">
        <v>911</v>
      </c>
      <c r="N52" s="1">
        <f t="shared" si="2"/>
        <v>400</v>
      </c>
      <c r="O52" s="1" t="s">
        <v>921</v>
      </c>
      <c r="P52" s="1">
        <v>200000</v>
      </c>
      <c r="X52">
        <v>5</v>
      </c>
      <c r="Z52">
        <v>5</v>
      </c>
      <c r="AI52">
        <v>5</v>
      </c>
      <c r="AL52">
        <v>5</v>
      </c>
    </row>
    <row r="53" spans="1:38" ht="56.25" x14ac:dyDescent="0.4">
      <c r="A53" s="47" t="s">
        <v>1213</v>
      </c>
      <c r="B53" s="1" t="s">
        <v>1215</v>
      </c>
      <c r="C53" s="1">
        <v>35</v>
      </c>
      <c r="D53" s="1">
        <v>75</v>
      </c>
      <c r="E53" s="1">
        <v>35</v>
      </c>
      <c r="F53" s="1" t="s">
        <v>986</v>
      </c>
      <c r="G53" s="1">
        <v>50</v>
      </c>
      <c r="H53" s="30"/>
      <c r="I53" s="30"/>
      <c r="J53" s="30"/>
      <c r="M53" s="1" t="s">
        <v>911</v>
      </c>
      <c r="N53" s="1">
        <f t="shared" ref="N53:N57" si="3">IF(P53&lt;&gt;"",P53/100,"")</f>
        <v>6000</v>
      </c>
      <c r="O53" s="1" t="s">
        <v>921</v>
      </c>
      <c r="P53" s="1">
        <v>600000</v>
      </c>
      <c r="X53">
        <v>5</v>
      </c>
      <c r="Z53">
        <v>5</v>
      </c>
      <c r="AI53">
        <v>5</v>
      </c>
      <c r="AL53">
        <v>5</v>
      </c>
    </row>
    <row r="54" spans="1:38" ht="56.25" x14ac:dyDescent="0.4">
      <c r="A54" s="47" t="s">
        <v>1214</v>
      </c>
      <c r="B54" s="1" t="s">
        <v>1216</v>
      </c>
      <c r="C54" s="1">
        <v>35</v>
      </c>
      <c r="D54" s="1">
        <v>75</v>
      </c>
      <c r="E54" s="1">
        <v>35</v>
      </c>
      <c r="F54" s="1" t="s">
        <v>1217</v>
      </c>
      <c r="G54" s="1">
        <v>50</v>
      </c>
      <c r="H54" s="30"/>
      <c r="I54" s="30"/>
      <c r="J54" s="30"/>
      <c r="M54" s="1" t="s">
        <v>911</v>
      </c>
      <c r="N54" s="1">
        <f t="shared" si="3"/>
        <v>6000</v>
      </c>
      <c r="O54" s="1" t="s">
        <v>921</v>
      </c>
      <c r="P54" s="1">
        <v>600000</v>
      </c>
      <c r="R54">
        <v>5</v>
      </c>
      <c r="W54">
        <v>5</v>
      </c>
      <c r="Y54">
        <v>5</v>
      </c>
      <c r="AA54">
        <v>5</v>
      </c>
      <c r="AE54">
        <v>5</v>
      </c>
    </row>
    <row r="55" spans="1:38" ht="56.25" x14ac:dyDescent="0.4">
      <c r="A55" s="47" t="s">
        <v>1220</v>
      </c>
      <c r="B55" s="1" t="s">
        <v>1222</v>
      </c>
      <c r="C55" s="1">
        <v>50</v>
      </c>
      <c r="D55" s="1">
        <v>75</v>
      </c>
      <c r="E55" s="1">
        <v>45</v>
      </c>
      <c r="F55" s="1" t="s">
        <v>986</v>
      </c>
      <c r="G55" s="1">
        <v>75</v>
      </c>
      <c r="H55" s="30"/>
      <c r="I55" s="30"/>
      <c r="J55" s="30"/>
      <c r="K55" s="1" t="s">
        <v>1218</v>
      </c>
      <c r="M55" s="1" t="s">
        <v>911</v>
      </c>
      <c r="N55" s="1">
        <f t="shared" ref="N55:N56" si="4">IF(P55&lt;&gt;"",P55/100,"")</f>
        <v>35000</v>
      </c>
      <c r="O55" s="1" t="s">
        <v>921</v>
      </c>
      <c r="P55" s="1">
        <v>3500000</v>
      </c>
      <c r="X55">
        <v>5</v>
      </c>
      <c r="Z55">
        <v>5</v>
      </c>
      <c r="AI55">
        <v>5</v>
      </c>
      <c r="AL55">
        <v>5</v>
      </c>
    </row>
    <row r="56" spans="1:38" ht="56.25" x14ac:dyDescent="0.4">
      <c r="A56" s="47" t="s">
        <v>1221</v>
      </c>
      <c r="B56" s="1" t="s">
        <v>1223</v>
      </c>
      <c r="C56" s="1">
        <v>50</v>
      </c>
      <c r="D56" s="1">
        <v>75</v>
      </c>
      <c r="E56" s="1">
        <v>45</v>
      </c>
      <c r="F56" s="1" t="s">
        <v>1217</v>
      </c>
      <c r="G56" s="1">
        <v>75</v>
      </c>
      <c r="H56" s="30"/>
      <c r="I56" s="30"/>
      <c r="J56" s="30"/>
      <c r="K56" s="1" t="s">
        <v>1219</v>
      </c>
      <c r="M56" s="1" t="s">
        <v>911</v>
      </c>
      <c r="N56" s="1">
        <f t="shared" si="4"/>
        <v>35000</v>
      </c>
      <c r="O56" s="1" t="s">
        <v>921</v>
      </c>
      <c r="P56" s="1">
        <v>3500000</v>
      </c>
      <c r="R56">
        <v>5</v>
      </c>
      <c r="W56">
        <v>5</v>
      </c>
      <c r="Y56">
        <v>5</v>
      </c>
      <c r="AA56">
        <v>5</v>
      </c>
      <c r="AE56">
        <v>5</v>
      </c>
    </row>
    <row r="57" spans="1:38" ht="56.25" x14ac:dyDescent="0.4">
      <c r="A57" s="47" t="s">
        <v>920</v>
      </c>
      <c r="B57" s="1" t="s">
        <v>919</v>
      </c>
      <c r="C57" s="1">
        <v>40</v>
      </c>
      <c r="D57" s="1">
        <v>50</v>
      </c>
      <c r="E57" s="1">
        <v>15</v>
      </c>
      <c r="F57" s="1" t="s">
        <v>1195</v>
      </c>
      <c r="G57" s="1">
        <v>20</v>
      </c>
      <c r="H57" s="30"/>
      <c r="I57" s="30"/>
      <c r="J57" s="30"/>
      <c r="K57" s="1" t="s">
        <v>918</v>
      </c>
      <c r="M57" s="1" t="s">
        <v>911</v>
      </c>
      <c r="N57" s="1">
        <f t="shared" si="3"/>
        <v>2500</v>
      </c>
      <c r="O57" s="1" t="s">
        <v>917</v>
      </c>
      <c r="P57" s="1">
        <v>250000</v>
      </c>
      <c r="AB57">
        <v>15</v>
      </c>
    </row>
    <row r="58" spans="1:38" ht="75" x14ac:dyDescent="0.4">
      <c r="A58" s="47" t="s">
        <v>916</v>
      </c>
      <c r="B58" s="1" t="s">
        <v>915</v>
      </c>
      <c r="C58" s="1">
        <v>45</v>
      </c>
      <c r="D58" s="1">
        <v>55</v>
      </c>
      <c r="E58" s="1">
        <v>20</v>
      </c>
      <c r="F58" s="1" t="s">
        <v>914</v>
      </c>
      <c r="G58" s="1">
        <v>25</v>
      </c>
      <c r="H58" s="30"/>
      <c r="I58" s="30"/>
      <c r="J58" s="30"/>
      <c r="K58" s="1" t="s">
        <v>913</v>
      </c>
      <c r="L58" s="1" t="s">
        <v>912</v>
      </c>
      <c r="M58" s="1" t="s">
        <v>911</v>
      </c>
      <c r="N58" s="1">
        <f>IF(P58&lt;&gt;"",P58/100,"")</f>
        <v>2800</v>
      </c>
      <c r="O58" s="1" t="s">
        <v>910</v>
      </c>
      <c r="P58" s="1">
        <v>280000</v>
      </c>
    </row>
    <row r="59" spans="1:38" x14ac:dyDescent="0.4">
      <c r="N59" s="1" t="str">
        <f t="shared" si="2"/>
        <v/>
      </c>
    </row>
    <row r="60" spans="1:38" x14ac:dyDescent="0.4">
      <c r="N60" s="1" t="str">
        <f t="shared" si="2"/>
        <v/>
      </c>
    </row>
    <row r="61" spans="1:38" x14ac:dyDescent="0.4">
      <c r="A61" s="48" t="s">
        <v>909</v>
      </c>
      <c r="N61" s="1" t="str">
        <f t="shared" si="2"/>
        <v/>
      </c>
    </row>
    <row r="62" spans="1:38" x14ac:dyDescent="0.4">
      <c r="N62" s="1" t="str">
        <f t="shared" si="2"/>
        <v/>
      </c>
    </row>
    <row r="63" spans="1:38" x14ac:dyDescent="0.4">
      <c r="A63" s="39" t="s">
        <v>192</v>
      </c>
      <c r="B63" s="39" t="s">
        <v>86</v>
      </c>
      <c r="C63" s="39" t="s">
        <v>908</v>
      </c>
      <c r="D63" s="39" t="s">
        <v>907</v>
      </c>
      <c r="E63" s="48" t="s">
        <v>943</v>
      </c>
      <c r="F63" s="39" t="s">
        <v>906</v>
      </c>
      <c r="G63" s="39" t="s">
        <v>905</v>
      </c>
      <c r="H63" s="49"/>
      <c r="I63" s="49"/>
      <c r="J63" s="49"/>
      <c r="K63" s="39" t="s">
        <v>904</v>
      </c>
      <c r="L63" s="39" t="s">
        <v>903</v>
      </c>
      <c r="M63" s="39" t="s">
        <v>455</v>
      </c>
      <c r="N63" s="48" t="s">
        <v>104</v>
      </c>
      <c r="O63" s="39" t="s">
        <v>866</v>
      </c>
      <c r="P63" s="39" t="s">
        <v>902</v>
      </c>
    </row>
    <row r="64" spans="1:38" ht="37.5" x14ac:dyDescent="0.4">
      <c r="A64" s="47" t="s">
        <v>1173</v>
      </c>
      <c r="B64" s="1" t="s">
        <v>1176</v>
      </c>
      <c r="C64" s="1">
        <v>8</v>
      </c>
      <c r="D64" s="1">
        <v>75</v>
      </c>
      <c r="E64" s="1">
        <v>10</v>
      </c>
      <c r="F64" s="1" t="s">
        <v>1177</v>
      </c>
      <c r="G64" s="1">
        <v>10</v>
      </c>
      <c r="H64" s="30"/>
      <c r="I64" s="30"/>
      <c r="J64" s="30"/>
      <c r="M64" s="1" t="s">
        <v>876</v>
      </c>
      <c r="N64" s="1">
        <v>50</v>
      </c>
      <c r="O64" s="1" t="s">
        <v>1179</v>
      </c>
      <c r="P64" s="1"/>
    </row>
    <row r="65" spans="1:36" ht="37.5" x14ac:dyDescent="0.4">
      <c r="A65" s="47" t="s">
        <v>1174</v>
      </c>
      <c r="B65" s="1" t="s">
        <v>1176</v>
      </c>
      <c r="C65" s="1">
        <v>8</v>
      </c>
      <c r="D65" s="1">
        <v>75</v>
      </c>
      <c r="E65" s="1">
        <v>10</v>
      </c>
      <c r="F65" s="1" t="s">
        <v>1178</v>
      </c>
      <c r="G65" s="1">
        <v>10</v>
      </c>
      <c r="H65" s="30"/>
      <c r="I65" s="30"/>
      <c r="J65" s="30"/>
      <c r="M65" s="1" t="s">
        <v>876</v>
      </c>
      <c r="N65" s="1">
        <v>50</v>
      </c>
      <c r="O65" s="1" t="s">
        <v>1180</v>
      </c>
      <c r="P65" s="1">
        <v>400000</v>
      </c>
    </row>
    <row r="66" spans="1:36" x14ac:dyDescent="0.4">
      <c r="A66" s="47" t="s">
        <v>1175</v>
      </c>
      <c r="B66" s="1" t="s">
        <v>1176</v>
      </c>
      <c r="C66" s="1">
        <v>8</v>
      </c>
      <c r="D66" s="1">
        <v>75</v>
      </c>
      <c r="E66" s="1">
        <v>12</v>
      </c>
      <c r="F66" s="1"/>
      <c r="G66" s="1"/>
      <c r="H66" s="30"/>
      <c r="I66" s="30"/>
      <c r="J66" s="30"/>
      <c r="M66" s="1" t="s">
        <v>876</v>
      </c>
      <c r="N66" s="1">
        <v>75</v>
      </c>
      <c r="O66" s="1" t="s">
        <v>1181</v>
      </c>
      <c r="P66" s="1">
        <v>400000</v>
      </c>
    </row>
    <row r="67" spans="1:36" ht="56.25" x14ac:dyDescent="0.4">
      <c r="A67" s="47" t="s">
        <v>1556</v>
      </c>
      <c r="B67" s="1" t="s">
        <v>1224</v>
      </c>
      <c r="C67" s="1">
        <v>45</v>
      </c>
      <c r="D67" s="1">
        <v>110</v>
      </c>
      <c r="E67" s="1">
        <v>25</v>
      </c>
      <c r="F67" s="1" t="s">
        <v>901</v>
      </c>
      <c r="G67" s="1">
        <v>30</v>
      </c>
      <c r="H67" s="30"/>
      <c r="I67" s="30"/>
      <c r="J67" s="30"/>
      <c r="K67" s="1" t="s">
        <v>900</v>
      </c>
      <c r="L67" s="1" t="s">
        <v>899</v>
      </c>
      <c r="M67" s="1" t="s">
        <v>876</v>
      </c>
      <c r="N67" s="1">
        <f t="shared" ref="N67:N72" si="5">IF(P67&lt;&gt;"",P67/500,"")</f>
        <v>800</v>
      </c>
      <c r="O67" s="1" t="s">
        <v>898</v>
      </c>
      <c r="P67" s="1">
        <v>400000</v>
      </c>
    </row>
    <row r="68" spans="1:36" ht="56.25" x14ac:dyDescent="0.4">
      <c r="A68" s="47" t="s">
        <v>897</v>
      </c>
      <c r="B68" s="1" t="s">
        <v>896</v>
      </c>
      <c r="C68" s="1">
        <v>35</v>
      </c>
      <c r="D68" s="1">
        <v>75</v>
      </c>
      <c r="E68" s="1">
        <v>15</v>
      </c>
      <c r="F68" s="1" t="s">
        <v>895</v>
      </c>
      <c r="G68" s="1">
        <v>20</v>
      </c>
      <c r="H68" s="30"/>
      <c r="I68" s="30"/>
      <c r="J68" s="30"/>
      <c r="K68" s="1" t="s">
        <v>894</v>
      </c>
      <c r="L68" s="1" t="s">
        <v>893</v>
      </c>
      <c r="M68" s="1" t="s">
        <v>876</v>
      </c>
      <c r="N68" s="1">
        <f t="shared" si="5"/>
        <v>400</v>
      </c>
      <c r="O68" s="1" t="s">
        <v>892</v>
      </c>
      <c r="P68" s="1">
        <v>200000</v>
      </c>
      <c r="AI68">
        <v>15</v>
      </c>
      <c r="AJ68">
        <v>15</v>
      </c>
    </row>
    <row r="69" spans="1:36" ht="56.25" x14ac:dyDescent="0.4">
      <c r="A69" s="47" t="s">
        <v>891</v>
      </c>
      <c r="B69" s="1" t="s">
        <v>890</v>
      </c>
      <c r="C69" s="1">
        <v>30</v>
      </c>
      <c r="D69" s="1">
        <v>80</v>
      </c>
      <c r="E69" s="1">
        <v>15</v>
      </c>
      <c r="F69" s="1" t="s">
        <v>889</v>
      </c>
      <c r="G69" s="1">
        <v>20</v>
      </c>
      <c r="H69" s="30"/>
      <c r="I69" s="30"/>
      <c r="J69" s="30"/>
      <c r="K69" s="1" t="s">
        <v>888</v>
      </c>
      <c r="L69" s="1" t="s">
        <v>149</v>
      </c>
      <c r="M69" s="1" t="s">
        <v>876</v>
      </c>
      <c r="N69" s="1">
        <f t="shared" si="5"/>
        <v>360</v>
      </c>
      <c r="O69" s="1" t="s">
        <v>887</v>
      </c>
      <c r="P69" s="1">
        <v>180000</v>
      </c>
    </row>
    <row r="70" spans="1:36" ht="56.25" x14ac:dyDescent="0.4">
      <c r="A70" s="47" t="s">
        <v>886</v>
      </c>
      <c r="B70" s="1" t="s">
        <v>885</v>
      </c>
      <c r="C70" s="1">
        <v>40</v>
      </c>
      <c r="D70" s="1">
        <v>70</v>
      </c>
      <c r="E70" s="1">
        <v>15</v>
      </c>
      <c r="F70" s="1" t="s">
        <v>884</v>
      </c>
      <c r="G70" s="1">
        <v>25</v>
      </c>
      <c r="H70" s="30"/>
      <c r="I70" s="30"/>
      <c r="J70" s="30"/>
      <c r="K70" s="1" t="s">
        <v>883</v>
      </c>
      <c r="L70" s="1" t="s">
        <v>148</v>
      </c>
      <c r="M70" s="1" t="s">
        <v>876</v>
      </c>
      <c r="N70" s="1">
        <f t="shared" si="5"/>
        <v>500</v>
      </c>
      <c r="O70" s="1" t="s">
        <v>882</v>
      </c>
      <c r="P70" s="1">
        <v>250000</v>
      </c>
    </row>
    <row r="71" spans="1:36" ht="56.25" x14ac:dyDescent="0.4">
      <c r="A71" s="47" t="s">
        <v>881</v>
      </c>
      <c r="B71" s="1" t="s">
        <v>880</v>
      </c>
      <c r="C71" s="1">
        <v>50</v>
      </c>
      <c r="D71" s="1">
        <v>85</v>
      </c>
      <c r="E71" s="1">
        <v>25</v>
      </c>
      <c r="F71" s="1" t="s">
        <v>879</v>
      </c>
      <c r="G71" s="1">
        <v>30</v>
      </c>
      <c r="H71" s="30"/>
      <c r="I71" s="30"/>
      <c r="J71" s="30"/>
      <c r="K71" s="1" t="s">
        <v>878</v>
      </c>
      <c r="L71" s="1" t="s">
        <v>877</v>
      </c>
      <c r="M71" s="1" t="s">
        <v>876</v>
      </c>
      <c r="N71" s="1">
        <f t="shared" si="5"/>
        <v>600</v>
      </c>
      <c r="O71" s="1" t="s">
        <v>875</v>
      </c>
      <c r="P71" s="1">
        <v>300000</v>
      </c>
    </row>
    <row r="72" spans="1:36" x14ac:dyDescent="0.4">
      <c r="N72" s="1" t="str">
        <f t="shared" si="5"/>
        <v/>
      </c>
    </row>
    <row r="73" spans="1:36" x14ac:dyDescent="0.4">
      <c r="N73" s="1" t="str">
        <f>IF(P73&lt;&gt;"",P73/500,"")</f>
        <v/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5C39-B0BF-46D8-AFAB-E0FE514B93C2}">
  <sheetPr codeName="Sheet6">
    <tabColor theme="8" tint="0.79998168889431442"/>
  </sheetPr>
  <dimension ref="A1:DM330"/>
  <sheetViews>
    <sheetView zoomScaleNormal="100" workbookViewId="0">
      <pane xSplit="6" ySplit="9" topLeftCell="G244" activePane="bottomRight" state="frozen"/>
      <selection pane="topRight" activeCell="F1" sqref="F1"/>
      <selection pane="bottomLeft" activeCell="A8" sqref="A8"/>
      <selection pane="bottomRight" activeCell="C262" sqref="C262"/>
    </sheetView>
  </sheetViews>
  <sheetFormatPr defaultColWidth="5.125" defaultRowHeight="18.75" outlineLevelRow="1" outlineLevelCol="1" x14ac:dyDescent="0.4"/>
  <cols>
    <col min="1" max="1" width="15.125" customWidth="1"/>
    <col min="2" max="2" width="15.125" hidden="1" customWidth="1"/>
    <col min="3" max="3" width="33.125" customWidth="1"/>
    <col min="4" max="4" width="3.875" customWidth="1"/>
    <col min="9" max="9" width="5.875" hidden="1" customWidth="1" outlineLevel="1"/>
    <col min="10" max="14" width="5.125" hidden="1" customWidth="1" outlineLevel="1"/>
    <col min="15" max="15" width="5.125" customWidth="1" collapsed="1"/>
    <col min="16" max="37" width="5.125" customWidth="1" outlineLevel="1"/>
    <col min="38" max="38" width="5.125" customWidth="1"/>
    <col min="39" max="48" width="5.125" customWidth="1" outlineLevel="1"/>
    <col min="50" max="64" width="5.125" hidden="1" customWidth="1" outlineLevel="1"/>
    <col min="65" max="65" width="5.125" collapsed="1"/>
    <col min="66" max="79" width="5.125" hidden="1" customWidth="1" outlineLevel="1"/>
    <col min="80" max="80" width="5.125" collapsed="1"/>
    <col min="83" max="93" width="5.125" customWidth="1" outlineLevel="1"/>
    <col min="95" max="109" width="5.125" hidden="1" customWidth="1" outlineLevel="1"/>
    <col min="110" max="110" width="5.125" collapsed="1"/>
    <col min="112" max="113" width="6.125" customWidth="1"/>
  </cols>
  <sheetData>
    <row r="1" spans="1:117" s="2" customFormat="1" ht="36" customHeight="1" thickBot="1" x14ac:dyDescent="0.3">
      <c r="A1" s="18" t="s">
        <v>192</v>
      </c>
      <c r="B1" s="18" t="s">
        <v>191</v>
      </c>
      <c r="C1" s="21" t="s">
        <v>1514</v>
      </c>
      <c r="D1" s="21" t="s">
        <v>1538</v>
      </c>
      <c r="E1" s="21" t="s">
        <v>189</v>
      </c>
      <c r="F1" s="21" t="s">
        <v>188</v>
      </c>
      <c r="G1" s="21" t="s">
        <v>169</v>
      </c>
      <c r="H1" s="20" t="s">
        <v>187</v>
      </c>
      <c r="I1" s="20" t="s">
        <v>1286</v>
      </c>
      <c r="J1" s="20" t="s">
        <v>186</v>
      </c>
      <c r="K1" s="20" t="s">
        <v>185</v>
      </c>
      <c r="L1" s="20" t="s">
        <v>184</v>
      </c>
      <c r="M1" s="61" t="s">
        <v>1197</v>
      </c>
      <c r="N1" s="62" t="s">
        <v>1198</v>
      </c>
      <c r="O1" s="53" t="s">
        <v>955</v>
      </c>
      <c r="P1" s="53" t="s">
        <v>952</v>
      </c>
      <c r="Q1" s="53" t="s">
        <v>929</v>
      </c>
      <c r="R1" s="53" t="s">
        <v>1186</v>
      </c>
      <c r="S1" s="53" t="s">
        <v>934</v>
      </c>
      <c r="T1" s="54" t="s">
        <v>980</v>
      </c>
      <c r="U1" s="54" t="s">
        <v>1194</v>
      </c>
      <c r="V1" s="55" t="s">
        <v>923</v>
      </c>
      <c r="W1" s="55" t="s">
        <v>895</v>
      </c>
      <c r="X1" s="63" t="s">
        <v>484</v>
      </c>
      <c r="Y1" s="57" t="s">
        <v>1195</v>
      </c>
      <c r="Z1" s="58" t="s">
        <v>1187</v>
      </c>
      <c r="AA1" s="58" t="s">
        <v>889</v>
      </c>
      <c r="AB1" s="58" t="s">
        <v>884</v>
      </c>
      <c r="AC1" s="58" t="s">
        <v>1188</v>
      </c>
      <c r="AD1" s="57" t="s">
        <v>1287</v>
      </c>
      <c r="AE1" s="58" t="s">
        <v>1189</v>
      </c>
      <c r="AF1" s="58" t="s">
        <v>879</v>
      </c>
      <c r="AG1" s="58" t="s">
        <v>1190</v>
      </c>
      <c r="AH1" s="59" t="s">
        <v>1191</v>
      </c>
      <c r="AI1" s="60" t="s">
        <v>1192</v>
      </c>
      <c r="AJ1" s="60" t="s">
        <v>1193</v>
      </c>
      <c r="AK1" s="4" t="s">
        <v>1196</v>
      </c>
      <c r="AL1" s="19" t="s">
        <v>178</v>
      </c>
      <c r="AM1" s="19" t="s">
        <v>177</v>
      </c>
      <c r="AN1" s="18" t="s">
        <v>176</v>
      </c>
      <c r="AO1" s="18" t="s">
        <v>175</v>
      </c>
      <c r="AP1" s="16" t="s">
        <v>174</v>
      </c>
      <c r="AQ1" s="16" t="s">
        <v>173</v>
      </c>
      <c r="AR1" s="16" t="s">
        <v>172</v>
      </c>
      <c r="AS1" s="17" t="s">
        <v>171</v>
      </c>
      <c r="AT1" s="16" t="s">
        <v>170</v>
      </c>
      <c r="AU1" s="16" t="s">
        <v>169</v>
      </c>
      <c r="AV1" s="16" t="s">
        <v>168</v>
      </c>
      <c r="AW1" s="15" t="s">
        <v>167</v>
      </c>
      <c r="AX1" s="15" t="s">
        <v>166</v>
      </c>
      <c r="AY1" s="11" t="s">
        <v>165</v>
      </c>
      <c r="AZ1" s="11" t="s">
        <v>164</v>
      </c>
      <c r="BA1" s="11" t="s">
        <v>163</v>
      </c>
      <c r="BB1" s="14" t="s">
        <v>162</v>
      </c>
      <c r="BC1" s="14" t="s">
        <v>161</v>
      </c>
      <c r="BD1" s="14" t="s">
        <v>160</v>
      </c>
      <c r="BE1" s="14" t="s">
        <v>159</v>
      </c>
      <c r="BF1" s="14" t="s">
        <v>158</v>
      </c>
      <c r="BG1" s="14" t="s">
        <v>157</v>
      </c>
      <c r="BH1" s="14" t="s">
        <v>156</v>
      </c>
      <c r="BI1" s="13" t="s">
        <v>155</v>
      </c>
      <c r="BJ1" s="13" t="s">
        <v>154</v>
      </c>
      <c r="BK1" s="12" t="s">
        <v>153</v>
      </c>
      <c r="BL1" s="12" t="s">
        <v>152</v>
      </c>
      <c r="BM1" s="11" t="s">
        <v>151</v>
      </c>
      <c r="BN1" s="11" t="s">
        <v>150</v>
      </c>
      <c r="BO1" s="11" t="s">
        <v>141</v>
      </c>
      <c r="BP1" s="11" t="s">
        <v>149</v>
      </c>
      <c r="BQ1" s="11" t="s">
        <v>148</v>
      </c>
      <c r="BR1" s="11" t="s">
        <v>147</v>
      </c>
      <c r="BS1" s="11" t="s">
        <v>144</v>
      </c>
      <c r="BT1" s="11" t="s">
        <v>143</v>
      </c>
      <c r="BU1" s="11" t="s">
        <v>142</v>
      </c>
      <c r="BV1" s="11" t="s">
        <v>146</v>
      </c>
      <c r="BW1" s="11" t="s">
        <v>145</v>
      </c>
      <c r="BX1" s="10" t="s">
        <v>140</v>
      </c>
      <c r="BY1" s="8" t="s">
        <v>139</v>
      </c>
      <c r="BZ1" s="10" t="s">
        <v>138</v>
      </c>
      <c r="CA1" s="9" t="s">
        <v>137</v>
      </c>
      <c r="CB1" s="8" t="s">
        <v>136</v>
      </c>
      <c r="CC1" s="8" t="s">
        <v>135</v>
      </c>
      <c r="CD1" s="6" t="s">
        <v>134</v>
      </c>
      <c r="CE1" s="6" t="s">
        <v>133</v>
      </c>
      <c r="CF1" s="6" t="s">
        <v>132</v>
      </c>
      <c r="CG1" s="6" t="s">
        <v>131</v>
      </c>
      <c r="CH1" s="6" t="s">
        <v>130</v>
      </c>
      <c r="CI1" s="6" t="s">
        <v>129</v>
      </c>
      <c r="CJ1" s="6" t="s">
        <v>65</v>
      </c>
      <c r="CK1" s="7" t="s">
        <v>128</v>
      </c>
      <c r="CL1" s="6" t="s">
        <v>127</v>
      </c>
      <c r="CM1" s="6" t="s">
        <v>126</v>
      </c>
      <c r="CN1" s="5" t="s">
        <v>125</v>
      </c>
      <c r="CO1" s="5" t="s">
        <v>124</v>
      </c>
      <c r="CP1" s="3" t="s">
        <v>123</v>
      </c>
      <c r="CQ1" s="3" t="s">
        <v>122</v>
      </c>
      <c r="CR1" s="3" t="s">
        <v>121</v>
      </c>
      <c r="CS1" s="3" t="s">
        <v>120</v>
      </c>
      <c r="CT1" s="3" t="s">
        <v>119</v>
      </c>
      <c r="CU1" s="3" t="s">
        <v>118</v>
      </c>
      <c r="CV1" s="4" t="s">
        <v>117</v>
      </c>
      <c r="CW1" s="3" t="s">
        <v>116</v>
      </c>
      <c r="CX1" s="3" t="s">
        <v>115</v>
      </c>
      <c r="CY1" s="3" t="s">
        <v>114</v>
      </c>
      <c r="CZ1" s="3" t="s">
        <v>113</v>
      </c>
      <c r="DA1" s="3" t="s">
        <v>112</v>
      </c>
      <c r="DB1" s="3" t="s">
        <v>111</v>
      </c>
      <c r="DC1" s="3" t="s">
        <v>110</v>
      </c>
      <c r="DD1" s="3" t="s">
        <v>109</v>
      </c>
      <c r="DE1" s="3" t="s">
        <v>108</v>
      </c>
      <c r="DF1" s="2" t="s">
        <v>107</v>
      </c>
      <c r="DG1" s="2" t="s">
        <v>106</v>
      </c>
      <c r="DH1" s="2" t="s">
        <v>105</v>
      </c>
      <c r="DI1" s="2" t="s">
        <v>104</v>
      </c>
      <c r="DJ1" s="2" t="s">
        <v>103</v>
      </c>
      <c r="DK1" s="2" t="s">
        <v>102</v>
      </c>
      <c r="DL1" s="2" t="s">
        <v>101</v>
      </c>
      <c r="DM1" s="2" t="s">
        <v>1539</v>
      </c>
    </row>
    <row r="2" spans="1:117" ht="13.5" customHeight="1" x14ac:dyDescent="0.4">
      <c r="A2" s="1" t="s">
        <v>100</v>
      </c>
      <c r="B2" s="1" t="s">
        <v>99</v>
      </c>
      <c r="C2" t="str">
        <f>装備品!AB118</f>
        <v>命中,速度,盲目,幻覚,感知,鑑定</v>
      </c>
    </row>
    <row r="3" spans="1:117" ht="13.5" customHeight="1" x14ac:dyDescent="0.4">
      <c r="A3" s="1" t="s">
        <v>0</v>
      </c>
      <c r="B3" s="1" t="s">
        <v>98</v>
      </c>
      <c r="C3" t="str">
        <f>装備品!AB119</f>
        <v xml:space="preserve">防御 隠密 </v>
      </c>
    </row>
    <row r="4" spans="1:117" ht="13.5" customHeight="1" x14ac:dyDescent="0.4">
      <c r="A4" s="1" t="s">
        <v>97</v>
      </c>
      <c r="B4" s="1" t="s">
        <v>96</v>
      </c>
      <c r="C4" t="str">
        <f>装備品!AB66</f>
        <v/>
      </c>
    </row>
    <row r="5" spans="1:117" ht="13.5" customHeight="1" x14ac:dyDescent="0.4">
      <c r="A5" s="1" t="s">
        <v>95</v>
      </c>
      <c r="B5" s="1" t="s">
        <v>94</v>
      </c>
      <c r="C5" t="str">
        <f>装備品!AB120</f>
        <v xml:space="preserve">HP ST 攻撃 防御 体幹 怯み 疲労 </v>
      </c>
    </row>
    <row r="6" spans="1:117" ht="13.5" customHeight="1" x14ac:dyDescent="0.4">
      <c r="A6" s="1" t="s">
        <v>93</v>
      </c>
      <c r="B6" s="1" t="s">
        <v>92</v>
      </c>
      <c r="C6" t="str">
        <f>装備品!AB121</f>
        <v xml:space="preserve">攻撃 魔力 速度 命中 </v>
      </c>
    </row>
    <row r="7" spans="1:117" ht="13.5" customHeight="1" x14ac:dyDescent="0.4">
      <c r="A7" s="1" t="s">
        <v>91</v>
      </c>
      <c r="B7" s="1" t="s">
        <v>90</v>
      </c>
      <c r="C7" t="str">
        <f>装備品!AB122</f>
        <v xml:space="preserve">魔防 精神 幻覚 石化 呪い 即死 </v>
      </c>
    </row>
    <row r="8" spans="1:117" ht="13.5" customHeight="1" x14ac:dyDescent="0.4">
      <c r="A8" s="1" t="s">
        <v>89</v>
      </c>
      <c r="B8" s="1" t="s">
        <v>88</v>
      </c>
      <c r="C8" t="str">
        <f>装備品!AB123</f>
        <v/>
      </c>
    </row>
    <row r="9" spans="1:117" ht="21" customHeight="1" x14ac:dyDescent="0.4">
      <c r="A9" s="1"/>
      <c r="B9" s="1"/>
    </row>
    <row r="10" spans="1:117" ht="21" customHeight="1" x14ac:dyDescent="0.4">
      <c r="A10" s="1" t="s">
        <v>87</v>
      </c>
      <c r="B10" s="1" t="s">
        <v>86</v>
      </c>
      <c r="DM10">
        <f>(SUM(H10:AX10,CE10:CO10)*100)+(SUM(AY10:CC10)*200)+(SUM(CP10:DF10)*50)</f>
        <v>0</v>
      </c>
    </row>
    <row r="11" spans="1:117" x14ac:dyDescent="0.4">
      <c r="A11" s="1" t="s">
        <v>85</v>
      </c>
      <c r="B11" s="1" t="s">
        <v>84</v>
      </c>
      <c r="C11" t="s">
        <v>1297</v>
      </c>
      <c r="D11">
        <v>5</v>
      </c>
      <c r="CE11">
        <v>5</v>
      </c>
      <c r="DI11">
        <f>D11*5</f>
        <v>25</v>
      </c>
      <c r="DM11">
        <f t="shared" ref="DM11:DM74" si="0">(SUM(H11:AX11,CE11:CO11)*100)+(SUM(AY11:CC11)*200)+(SUM(CP11:DF11)*50)</f>
        <v>500</v>
      </c>
    </row>
    <row r="12" spans="1:117" outlineLevel="1" x14ac:dyDescent="0.4">
      <c r="A12" s="1" t="s">
        <v>83</v>
      </c>
      <c r="B12" s="1" t="s">
        <v>82</v>
      </c>
      <c r="C12" t="s">
        <v>1298</v>
      </c>
      <c r="D12">
        <v>5</v>
      </c>
      <c r="CH12">
        <v>5</v>
      </c>
      <c r="DI12">
        <f t="shared" ref="DI12:DI75" si="1">D12*5</f>
        <v>25</v>
      </c>
      <c r="DM12">
        <f t="shared" si="0"/>
        <v>500</v>
      </c>
    </row>
    <row r="13" spans="1:117" outlineLevel="1" x14ac:dyDescent="0.4">
      <c r="A13" s="1" t="s">
        <v>81</v>
      </c>
      <c r="B13" s="1" t="s">
        <v>80</v>
      </c>
      <c r="C13" t="s">
        <v>1299</v>
      </c>
      <c r="D13">
        <v>5</v>
      </c>
      <c r="CI13">
        <v>5</v>
      </c>
      <c r="DI13">
        <f t="shared" si="1"/>
        <v>25</v>
      </c>
      <c r="DM13">
        <f t="shared" si="0"/>
        <v>500</v>
      </c>
    </row>
    <row r="14" spans="1:117" outlineLevel="1" x14ac:dyDescent="0.4">
      <c r="A14" s="1" t="s">
        <v>79</v>
      </c>
      <c r="B14" s="1" t="s">
        <v>78</v>
      </c>
      <c r="C14" t="s">
        <v>1300</v>
      </c>
      <c r="D14">
        <v>5</v>
      </c>
      <c r="CJ14">
        <v>5</v>
      </c>
      <c r="DI14">
        <f t="shared" si="1"/>
        <v>25</v>
      </c>
      <c r="DM14">
        <f t="shared" si="0"/>
        <v>500</v>
      </c>
    </row>
    <row r="15" spans="1:117" outlineLevel="1" x14ac:dyDescent="0.4">
      <c r="A15" s="1" t="s">
        <v>77</v>
      </c>
      <c r="B15" s="1" t="s">
        <v>76</v>
      </c>
      <c r="C15" t="s">
        <v>1313</v>
      </c>
      <c r="D15">
        <v>5</v>
      </c>
      <c r="CK15">
        <v>5</v>
      </c>
      <c r="DI15">
        <f t="shared" si="1"/>
        <v>25</v>
      </c>
      <c r="DM15">
        <f t="shared" si="0"/>
        <v>500</v>
      </c>
    </row>
    <row r="16" spans="1:117" outlineLevel="1" x14ac:dyDescent="0.4">
      <c r="A16" s="1" t="s">
        <v>75</v>
      </c>
      <c r="B16" s="1" t="s">
        <v>74</v>
      </c>
      <c r="C16" t="s">
        <v>1302</v>
      </c>
      <c r="D16">
        <v>5</v>
      </c>
      <c r="CL16">
        <v>5</v>
      </c>
      <c r="DI16">
        <f t="shared" si="1"/>
        <v>25</v>
      </c>
      <c r="DM16">
        <f t="shared" si="0"/>
        <v>500</v>
      </c>
    </row>
    <row r="17" spans="1:117" outlineLevel="1" x14ac:dyDescent="0.4">
      <c r="A17" s="1" t="s">
        <v>73</v>
      </c>
      <c r="B17" s="1" t="s">
        <v>72</v>
      </c>
      <c r="C17" t="s">
        <v>1303</v>
      </c>
      <c r="D17">
        <v>5</v>
      </c>
      <c r="CM17">
        <v>5</v>
      </c>
      <c r="DI17">
        <f t="shared" si="1"/>
        <v>25</v>
      </c>
      <c r="DM17">
        <f t="shared" si="0"/>
        <v>500</v>
      </c>
    </row>
    <row r="18" spans="1:117" outlineLevel="1" x14ac:dyDescent="0.4">
      <c r="A18" s="1" t="s">
        <v>71</v>
      </c>
      <c r="B18" s="1" t="s">
        <v>70</v>
      </c>
      <c r="C18" t="s">
        <v>1297</v>
      </c>
      <c r="D18">
        <f>D11+5</f>
        <v>10</v>
      </c>
      <c r="CE18">
        <f>CE11+5</f>
        <v>10</v>
      </c>
      <c r="DI18">
        <f t="shared" si="1"/>
        <v>50</v>
      </c>
      <c r="DM18">
        <f t="shared" si="0"/>
        <v>1000</v>
      </c>
    </row>
    <row r="19" spans="1:117" outlineLevel="1" x14ac:dyDescent="0.4">
      <c r="A19" s="1" t="s">
        <v>69</v>
      </c>
      <c r="B19" s="1" t="s">
        <v>68</v>
      </c>
      <c r="C19" t="s">
        <v>1298</v>
      </c>
      <c r="D19">
        <f t="shared" ref="D19:D45" si="2">D12+5</f>
        <v>10</v>
      </c>
      <c r="CH19">
        <f>CH12+5</f>
        <v>10</v>
      </c>
      <c r="DI19">
        <f t="shared" si="1"/>
        <v>50</v>
      </c>
      <c r="DM19">
        <f t="shared" si="0"/>
        <v>1000</v>
      </c>
    </row>
    <row r="20" spans="1:117" outlineLevel="1" x14ac:dyDescent="0.4">
      <c r="A20" s="1" t="s">
        <v>67</v>
      </c>
      <c r="B20" s="1" t="s">
        <v>66</v>
      </c>
      <c r="C20" t="s">
        <v>1299</v>
      </c>
      <c r="D20">
        <f t="shared" si="2"/>
        <v>10</v>
      </c>
      <c r="CI20">
        <f>CI13+5</f>
        <v>10</v>
      </c>
      <c r="DI20">
        <f t="shared" si="1"/>
        <v>50</v>
      </c>
      <c r="DM20">
        <f t="shared" si="0"/>
        <v>1000</v>
      </c>
    </row>
    <row r="21" spans="1:117" outlineLevel="1" x14ac:dyDescent="0.4">
      <c r="A21" s="1" t="s">
        <v>65</v>
      </c>
      <c r="B21" s="1" t="s">
        <v>64</v>
      </c>
      <c r="C21" t="s">
        <v>1300</v>
      </c>
      <c r="D21">
        <f t="shared" si="2"/>
        <v>10</v>
      </c>
      <c r="CJ21">
        <f>CJ14+5</f>
        <v>10</v>
      </c>
      <c r="DI21">
        <f t="shared" si="1"/>
        <v>50</v>
      </c>
      <c r="DM21">
        <f t="shared" si="0"/>
        <v>1000</v>
      </c>
    </row>
    <row r="22" spans="1:117" outlineLevel="1" x14ac:dyDescent="0.4">
      <c r="A22" s="1" t="s">
        <v>63</v>
      </c>
      <c r="B22" s="1" t="s">
        <v>62</v>
      </c>
      <c r="C22" t="s">
        <v>1313</v>
      </c>
      <c r="D22">
        <f t="shared" si="2"/>
        <v>10</v>
      </c>
      <c r="CK22">
        <f>CK15+5</f>
        <v>10</v>
      </c>
      <c r="DI22">
        <f t="shared" si="1"/>
        <v>50</v>
      </c>
      <c r="DM22">
        <f t="shared" si="0"/>
        <v>1000</v>
      </c>
    </row>
    <row r="23" spans="1:117" outlineLevel="1" x14ac:dyDescent="0.4">
      <c r="A23" s="1" t="s">
        <v>61</v>
      </c>
      <c r="B23" s="1" t="s">
        <v>60</v>
      </c>
      <c r="C23" t="s">
        <v>1302</v>
      </c>
      <c r="D23">
        <f t="shared" si="2"/>
        <v>10</v>
      </c>
      <c r="CL23">
        <f>CL16+5</f>
        <v>10</v>
      </c>
      <c r="DI23">
        <f t="shared" si="1"/>
        <v>50</v>
      </c>
      <c r="DM23">
        <f t="shared" si="0"/>
        <v>1000</v>
      </c>
    </row>
    <row r="24" spans="1:117" outlineLevel="1" x14ac:dyDescent="0.4">
      <c r="A24" s="1" t="s">
        <v>59</v>
      </c>
      <c r="B24" s="1" t="s">
        <v>58</v>
      </c>
      <c r="C24" t="s">
        <v>1303</v>
      </c>
      <c r="D24">
        <f t="shared" si="2"/>
        <v>10</v>
      </c>
      <c r="CM24">
        <f>CM17+5</f>
        <v>10</v>
      </c>
      <c r="DI24">
        <f t="shared" si="1"/>
        <v>50</v>
      </c>
      <c r="DM24">
        <f t="shared" si="0"/>
        <v>1000</v>
      </c>
    </row>
    <row r="25" spans="1:117" outlineLevel="1" x14ac:dyDescent="0.4">
      <c r="A25" s="1" t="s">
        <v>57</v>
      </c>
      <c r="B25" s="1" t="s">
        <v>56</v>
      </c>
      <c r="C25" t="s">
        <v>1297</v>
      </c>
      <c r="D25">
        <f t="shared" si="2"/>
        <v>15</v>
      </c>
      <c r="CE25">
        <f>CE18+5</f>
        <v>15</v>
      </c>
      <c r="DI25">
        <f t="shared" si="1"/>
        <v>75</v>
      </c>
      <c r="DM25">
        <f t="shared" si="0"/>
        <v>1500</v>
      </c>
    </row>
    <row r="26" spans="1:117" outlineLevel="1" x14ac:dyDescent="0.4">
      <c r="A26" s="1" t="s">
        <v>55</v>
      </c>
      <c r="B26" s="1" t="s">
        <v>54</v>
      </c>
      <c r="C26" t="s">
        <v>1298</v>
      </c>
      <c r="D26">
        <f t="shared" si="2"/>
        <v>15</v>
      </c>
      <c r="CH26">
        <f>CH19+5</f>
        <v>15</v>
      </c>
      <c r="DI26">
        <f t="shared" si="1"/>
        <v>75</v>
      </c>
      <c r="DM26">
        <f t="shared" si="0"/>
        <v>1500</v>
      </c>
    </row>
    <row r="27" spans="1:117" outlineLevel="1" x14ac:dyDescent="0.4">
      <c r="A27" s="1" t="s">
        <v>53</v>
      </c>
      <c r="B27" s="1" t="s">
        <v>52</v>
      </c>
      <c r="C27" t="s">
        <v>1299</v>
      </c>
      <c r="D27">
        <f t="shared" si="2"/>
        <v>15</v>
      </c>
      <c r="CI27">
        <f>CI20+5</f>
        <v>15</v>
      </c>
      <c r="DI27">
        <f t="shared" si="1"/>
        <v>75</v>
      </c>
      <c r="DM27">
        <f t="shared" si="0"/>
        <v>1500</v>
      </c>
    </row>
    <row r="28" spans="1:117" outlineLevel="1" x14ac:dyDescent="0.4">
      <c r="A28" s="1" t="s">
        <v>51</v>
      </c>
      <c r="B28" s="1" t="s">
        <v>50</v>
      </c>
      <c r="C28" t="s">
        <v>1300</v>
      </c>
      <c r="D28">
        <f t="shared" si="2"/>
        <v>15</v>
      </c>
      <c r="CJ28">
        <f>CJ21+5</f>
        <v>15</v>
      </c>
      <c r="DI28">
        <f t="shared" si="1"/>
        <v>75</v>
      </c>
      <c r="DM28">
        <f t="shared" si="0"/>
        <v>1500</v>
      </c>
    </row>
    <row r="29" spans="1:117" outlineLevel="1" x14ac:dyDescent="0.4">
      <c r="A29" s="1" t="s">
        <v>49</v>
      </c>
      <c r="B29" s="1" t="s">
        <v>48</v>
      </c>
      <c r="C29" t="s">
        <v>1313</v>
      </c>
      <c r="D29">
        <f t="shared" si="2"/>
        <v>15</v>
      </c>
      <c r="CK29">
        <f>CK22+5</f>
        <v>15</v>
      </c>
      <c r="DI29">
        <f t="shared" si="1"/>
        <v>75</v>
      </c>
      <c r="DM29">
        <f t="shared" si="0"/>
        <v>1500</v>
      </c>
    </row>
    <row r="30" spans="1:117" outlineLevel="1" x14ac:dyDescent="0.4">
      <c r="A30" s="1" t="s">
        <v>47</v>
      </c>
      <c r="B30" s="1" t="s">
        <v>46</v>
      </c>
      <c r="C30" t="s">
        <v>1302</v>
      </c>
      <c r="D30">
        <f t="shared" si="2"/>
        <v>15</v>
      </c>
      <c r="CL30">
        <f>CL23+5</f>
        <v>15</v>
      </c>
      <c r="DI30">
        <f t="shared" si="1"/>
        <v>75</v>
      </c>
      <c r="DM30">
        <f t="shared" si="0"/>
        <v>1500</v>
      </c>
    </row>
    <row r="31" spans="1:117" outlineLevel="1" x14ac:dyDescent="0.4">
      <c r="A31" t="s">
        <v>45</v>
      </c>
      <c r="B31" s="1" t="s">
        <v>44</v>
      </c>
      <c r="C31" t="s">
        <v>1303</v>
      </c>
      <c r="D31">
        <f t="shared" si="2"/>
        <v>15</v>
      </c>
      <c r="CM31">
        <f>CM24+5</f>
        <v>15</v>
      </c>
      <c r="DI31">
        <f t="shared" si="1"/>
        <v>75</v>
      </c>
      <c r="DM31">
        <f t="shared" si="0"/>
        <v>1500</v>
      </c>
    </row>
    <row r="32" spans="1:117" outlineLevel="1" x14ac:dyDescent="0.4">
      <c r="A32" t="s">
        <v>43</v>
      </c>
      <c r="B32" s="1" t="s">
        <v>42</v>
      </c>
      <c r="C32" t="s">
        <v>1297</v>
      </c>
      <c r="D32">
        <f t="shared" si="2"/>
        <v>20</v>
      </c>
      <c r="CE32">
        <f>CE25+5</f>
        <v>20</v>
      </c>
      <c r="DI32">
        <f t="shared" si="1"/>
        <v>100</v>
      </c>
      <c r="DM32">
        <f t="shared" si="0"/>
        <v>2000</v>
      </c>
    </row>
    <row r="33" spans="1:117" outlineLevel="1" x14ac:dyDescent="0.4">
      <c r="A33" t="s">
        <v>41</v>
      </c>
      <c r="B33" s="1" t="s">
        <v>40</v>
      </c>
      <c r="C33" t="s">
        <v>1298</v>
      </c>
      <c r="D33">
        <f t="shared" si="2"/>
        <v>20</v>
      </c>
      <c r="CH33">
        <f>CH26+5</f>
        <v>20</v>
      </c>
      <c r="DI33">
        <f t="shared" si="1"/>
        <v>100</v>
      </c>
      <c r="DM33">
        <f t="shared" si="0"/>
        <v>2000</v>
      </c>
    </row>
    <row r="34" spans="1:117" outlineLevel="1" x14ac:dyDescent="0.4">
      <c r="A34" t="s">
        <v>39</v>
      </c>
      <c r="B34" s="1" t="s">
        <v>38</v>
      </c>
      <c r="C34" t="s">
        <v>1554</v>
      </c>
      <c r="D34">
        <f t="shared" si="2"/>
        <v>20</v>
      </c>
      <c r="CI34">
        <f>CI27+5</f>
        <v>20</v>
      </c>
      <c r="DI34">
        <f t="shared" si="1"/>
        <v>100</v>
      </c>
      <c r="DM34">
        <f t="shared" si="0"/>
        <v>2000</v>
      </c>
    </row>
    <row r="35" spans="1:117" outlineLevel="1" x14ac:dyDescent="0.4">
      <c r="A35" t="s">
        <v>37</v>
      </c>
      <c r="B35" s="1" t="s">
        <v>36</v>
      </c>
      <c r="C35" t="s">
        <v>1300</v>
      </c>
      <c r="D35">
        <f t="shared" si="2"/>
        <v>20</v>
      </c>
      <c r="CJ35">
        <f>CJ28+5</f>
        <v>20</v>
      </c>
      <c r="DI35">
        <f t="shared" si="1"/>
        <v>100</v>
      </c>
      <c r="DM35">
        <f t="shared" si="0"/>
        <v>2000</v>
      </c>
    </row>
    <row r="36" spans="1:117" ht="37.5" outlineLevel="1" x14ac:dyDescent="0.4">
      <c r="A36" t="s">
        <v>1552</v>
      </c>
      <c r="B36" s="1" t="s">
        <v>35</v>
      </c>
      <c r="C36" t="s">
        <v>1555</v>
      </c>
      <c r="D36">
        <f t="shared" si="2"/>
        <v>20</v>
      </c>
      <c r="CK36">
        <f>CK29+5</f>
        <v>20</v>
      </c>
      <c r="DI36">
        <f t="shared" si="1"/>
        <v>100</v>
      </c>
      <c r="DM36">
        <f t="shared" si="0"/>
        <v>2000</v>
      </c>
    </row>
    <row r="37" spans="1:117" outlineLevel="1" x14ac:dyDescent="0.4">
      <c r="A37" t="s">
        <v>34</v>
      </c>
      <c r="B37" s="1" t="s">
        <v>33</v>
      </c>
      <c r="C37" t="s">
        <v>1302</v>
      </c>
      <c r="D37">
        <f t="shared" si="2"/>
        <v>20</v>
      </c>
      <c r="CL37">
        <f>CL30+5</f>
        <v>20</v>
      </c>
      <c r="DI37">
        <f t="shared" si="1"/>
        <v>100</v>
      </c>
      <c r="DM37">
        <f t="shared" si="0"/>
        <v>2000</v>
      </c>
    </row>
    <row r="38" spans="1:117" outlineLevel="1" x14ac:dyDescent="0.4">
      <c r="A38" t="s">
        <v>32</v>
      </c>
      <c r="B38" s="1" t="s">
        <v>31</v>
      </c>
      <c r="C38" t="s">
        <v>1303</v>
      </c>
      <c r="D38">
        <f t="shared" si="2"/>
        <v>20</v>
      </c>
      <c r="CM38">
        <f>CM31+5</f>
        <v>20</v>
      </c>
      <c r="DI38">
        <f t="shared" si="1"/>
        <v>100</v>
      </c>
      <c r="DM38">
        <f t="shared" si="0"/>
        <v>2000</v>
      </c>
    </row>
    <row r="39" spans="1:117" outlineLevel="1" x14ac:dyDescent="0.4">
      <c r="A39" t="s">
        <v>30</v>
      </c>
      <c r="B39" s="1" t="s">
        <v>29</v>
      </c>
      <c r="C39" t="s">
        <v>1297</v>
      </c>
      <c r="D39">
        <f t="shared" si="2"/>
        <v>25</v>
      </c>
      <c r="CE39">
        <f>CE32+5</f>
        <v>25</v>
      </c>
      <c r="DI39">
        <f t="shared" si="1"/>
        <v>125</v>
      </c>
      <c r="DM39">
        <f t="shared" si="0"/>
        <v>2500</v>
      </c>
    </row>
    <row r="40" spans="1:117" outlineLevel="1" x14ac:dyDescent="0.4">
      <c r="A40" t="s">
        <v>28</v>
      </c>
      <c r="B40" s="1" t="s">
        <v>27</v>
      </c>
      <c r="C40" t="s">
        <v>1298</v>
      </c>
      <c r="D40">
        <f t="shared" si="2"/>
        <v>25</v>
      </c>
      <c r="CH40">
        <f>CH33+5</f>
        <v>25</v>
      </c>
      <c r="DI40">
        <f t="shared" si="1"/>
        <v>125</v>
      </c>
      <c r="DM40">
        <f t="shared" si="0"/>
        <v>2500</v>
      </c>
    </row>
    <row r="41" spans="1:117" outlineLevel="1" x14ac:dyDescent="0.4">
      <c r="A41" t="s">
        <v>26</v>
      </c>
      <c r="B41" s="1" t="s">
        <v>25</v>
      </c>
      <c r="C41" t="s">
        <v>1299</v>
      </c>
      <c r="D41">
        <f t="shared" si="2"/>
        <v>25</v>
      </c>
      <c r="CI41">
        <f>CI34+5</f>
        <v>25</v>
      </c>
      <c r="DI41">
        <f t="shared" si="1"/>
        <v>125</v>
      </c>
      <c r="DM41">
        <f t="shared" si="0"/>
        <v>2500</v>
      </c>
    </row>
    <row r="42" spans="1:117" outlineLevel="1" x14ac:dyDescent="0.4">
      <c r="A42" t="s">
        <v>24</v>
      </c>
      <c r="B42" s="1" t="s">
        <v>23</v>
      </c>
      <c r="C42" t="s">
        <v>1300</v>
      </c>
      <c r="D42">
        <f t="shared" si="2"/>
        <v>25</v>
      </c>
      <c r="CJ42">
        <f>CJ35+5</f>
        <v>25</v>
      </c>
      <c r="DI42">
        <f t="shared" si="1"/>
        <v>125</v>
      </c>
      <c r="DM42">
        <f t="shared" si="0"/>
        <v>2500</v>
      </c>
    </row>
    <row r="43" spans="1:117" outlineLevel="1" x14ac:dyDescent="0.4">
      <c r="A43" t="s">
        <v>22</v>
      </c>
      <c r="B43" s="1" t="s">
        <v>21</v>
      </c>
      <c r="C43" t="s">
        <v>1313</v>
      </c>
      <c r="D43">
        <f t="shared" si="2"/>
        <v>25</v>
      </c>
      <c r="CK43">
        <f>CK36+5</f>
        <v>25</v>
      </c>
      <c r="DI43">
        <f t="shared" si="1"/>
        <v>125</v>
      </c>
      <c r="DM43">
        <f t="shared" si="0"/>
        <v>2500</v>
      </c>
    </row>
    <row r="44" spans="1:117" outlineLevel="1" x14ac:dyDescent="0.4">
      <c r="A44" t="s">
        <v>20</v>
      </c>
      <c r="B44" s="1" t="s">
        <v>19</v>
      </c>
      <c r="C44" t="s">
        <v>1302</v>
      </c>
      <c r="D44">
        <f t="shared" si="2"/>
        <v>25</v>
      </c>
      <c r="CL44">
        <f>CL37+5</f>
        <v>25</v>
      </c>
      <c r="DI44">
        <f t="shared" si="1"/>
        <v>125</v>
      </c>
      <c r="DM44">
        <f t="shared" si="0"/>
        <v>2500</v>
      </c>
    </row>
    <row r="45" spans="1:117" outlineLevel="1" x14ac:dyDescent="0.4">
      <c r="A45" t="s">
        <v>18</v>
      </c>
      <c r="B45" s="1" t="s">
        <v>17</v>
      </c>
      <c r="C45" t="s">
        <v>1303</v>
      </c>
      <c r="D45">
        <f t="shared" si="2"/>
        <v>25</v>
      </c>
      <c r="CM45">
        <f>CM38+5</f>
        <v>25</v>
      </c>
      <c r="DI45">
        <f t="shared" si="1"/>
        <v>125</v>
      </c>
      <c r="DM45">
        <f t="shared" si="0"/>
        <v>2500</v>
      </c>
    </row>
    <row r="46" spans="1:117" outlineLevel="1" x14ac:dyDescent="0.4">
      <c r="B46" s="1"/>
      <c r="DI46">
        <f t="shared" si="1"/>
        <v>0</v>
      </c>
      <c r="DM46">
        <f t="shared" si="0"/>
        <v>0</v>
      </c>
    </row>
    <row r="47" spans="1:117" outlineLevel="1" x14ac:dyDescent="0.4">
      <c r="A47" t="s">
        <v>1262</v>
      </c>
      <c r="B47" s="1"/>
      <c r="C47" t="s">
        <v>1515</v>
      </c>
      <c r="D47">
        <v>5</v>
      </c>
      <c r="CB47">
        <v>2.5</v>
      </c>
      <c r="CC47">
        <v>10</v>
      </c>
      <c r="DI47">
        <f t="shared" si="1"/>
        <v>25</v>
      </c>
      <c r="DM47">
        <f t="shared" si="0"/>
        <v>2500</v>
      </c>
    </row>
    <row r="48" spans="1:117" outlineLevel="1" x14ac:dyDescent="0.4">
      <c r="A48" t="s">
        <v>1263</v>
      </c>
      <c r="B48" s="1"/>
      <c r="C48" t="s">
        <v>1305</v>
      </c>
      <c r="D48">
        <v>10</v>
      </c>
      <c r="CB48">
        <f>CB47+2.5</f>
        <v>5</v>
      </c>
      <c r="CC48">
        <f>CC47+10</f>
        <v>20</v>
      </c>
      <c r="DI48">
        <f t="shared" si="1"/>
        <v>50</v>
      </c>
      <c r="DM48">
        <f t="shared" si="0"/>
        <v>5000</v>
      </c>
    </row>
    <row r="49" spans="1:117" outlineLevel="1" x14ac:dyDescent="0.4">
      <c r="A49" t="s">
        <v>1264</v>
      </c>
      <c r="B49" s="1"/>
      <c r="C49" t="s">
        <v>1305</v>
      </c>
      <c r="D49">
        <v>15</v>
      </c>
      <c r="CB49">
        <f t="shared" ref="CB49:CB51" si="3">CB48+2.5</f>
        <v>7.5</v>
      </c>
      <c r="CC49">
        <f t="shared" ref="CC49:CC50" si="4">CC48+10</f>
        <v>30</v>
      </c>
      <c r="DI49">
        <f t="shared" si="1"/>
        <v>75</v>
      </c>
      <c r="DM49">
        <f t="shared" si="0"/>
        <v>7500</v>
      </c>
    </row>
    <row r="50" spans="1:117" outlineLevel="1" x14ac:dyDescent="0.4">
      <c r="A50" t="s">
        <v>1265</v>
      </c>
      <c r="B50" s="1"/>
      <c r="C50" t="s">
        <v>1305</v>
      </c>
      <c r="D50">
        <v>20</v>
      </c>
      <c r="CB50">
        <f t="shared" si="3"/>
        <v>10</v>
      </c>
      <c r="CC50">
        <f t="shared" si="4"/>
        <v>40</v>
      </c>
      <c r="DI50">
        <f t="shared" si="1"/>
        <v>100</v>
      </c>
      <c r="DM50">
        <f t="shared" si="0"/>
        <v>10000</v>
      </c>
    </row>
    <row r="51" spans="1:117" outlineLevel="1" x14ac:dyDescent="0.4">
      <c r="A51" t="s">
        <v>1266</v>
      </c>
      <c r="C51" t="s">
        <v>1305</v>
      </c>
      <c r="D51">
        <v>25</v>
      </c>
      <c r="CB51">
        <f t="shared" si="3"/>
        <v>12.5</v>
      </c>
      <c r="CC51">
        <f>CC50+10</f>
        <v>50</v>
      </c>
      <c r="DI51">
        <f t="shared" si="1"/>
        <v>125</v>
      </c>
      <c r="DM51">
        <f t="shared" si="0"/>
        <v>12500</v>
      </c>
    </row>
    <row r="52" spans="1:117" x14ac:dyDescent="0.4">
      <c r="DI52">
        <f t="shared" si="1"/>
        <v>0</v>
      </c>
      <c r="DM52">
        <f t="shared" si="0"/>
        <v>0</v>
      </c>
    </row>
    <row r="53" spans="1:117" x14ac:dyDescent="0.4">
      <c r="A53" t="s">
        <v>1314</v>
      </c>
      <c r="B53" s="1"/>
      <c r="C53" t="s">
        <v>1316</v>
      </c>
      <c r="D53">
        <v>5</v>
      </c>
      <c r="AW53">
        <v>2</v>
      </c>
      <c r="DI53">
        <f t="shared" si="1"/>
        <v>25</v>
      </c>
      <c r="DM53">
        <f t="shared" si="0"/>
        <v>200</v>
      </c>
    </row>
    <row r="54" spans="1:117" hidden="1" outlineLevel="1" x14ac:dyDescent="0.4">
      <c r="A54" t="str">
        <f>"強度"&amp;F54</f>
        <v>強度Ⅱ</v>
      </c>
      <c r="B54" s="1"/>
      <c r="C54" t="s">
        <v>1316</v>
      </c>
      <c r="D54">
        <v>10</v>
      </c>
      <c r="F54" t="s">
        <v>1290</v>
      </c>
      <c r="AW54">
        <v>5</v>
      </c>
      <c r="DI54">
        <f t="shared" si="1"/>
        <v>50</v>
      </c>
      <c r="DM54">
        <f t="shared" si="0"/>
        <v>500</v>
      </c>
    </row>
    <row r="55" spans="1:117" hidden="1" outlineLevel="1" x14ac:dyDescent="0.4">
      <c r="A55" t="str">
        <f>"強度"&amp;F55</f>
        <v>強度Ⅲ</v>
      </c>
      <c r="B55" s="1"/>
      <c r="C55" t="s">
        <v>1316</v>
      </c>
      <c r="D55">
        <v>15</v>
      </c>
      <c r="F55" t="s">
        <v>1291</v>
      </c>
      <c r="AW55">
        <v>8</v>
      </c>
      <c r="DI55">
        <f t="shared" si="1"/>
        <v>75</v>
      </c>
      <c r="DM55">
        <f t="shared" si="0"/>
        <v>800</v>
      </c>
    </row>
    <row r="56" spans="1:117" hidden="1" outlineLevel="1" x14ac:dyDescent="0.4">
      <c r="A56" t="str">
        <f t="shared" ref="A56:A57" si="5">"強度"&amp;F56</f>
        <v>強度Ⅳ</v>
      </c>
      <c r="B56" s="1"/>
      <c r="C56" t="s">
        <v>1316</v>
      </c>
      <c r="D56">
        <v>20</v>
      </c>
      <c r="F56" t="s">
        <v>1292</v>
      </c>
      <c r="AW56">
        <v>11</v>
      </c>
      <c r="DI56">
        <f t="shared" si="1"/>
        <v>100</v>
      </c>
      <c r="DM56">
        <f t="shared" si="0"/>
        <v>1100</v>
      </c>
    </row>
    <row r="57" spans="1:117" hidden="1" outlineLevel="1" x14ac:dyDescent="0.4">
      <c r="A57" t="str">
        <f t="shared" si="5"/>
        <v>強度Ⅴ</v>
      </c>
      <c r="B57" s="1"/>
      <c r="C57" t="s">
        <v>1316</v>
      </c>
      <c r="D57">
        <v>25</v>
      </c>
      <c r="F57" t="s">
        <v>1293</v>
      </c>
      <c r="AW57">
        <v>14</v>
      </c>
      <c r="DI57">
        <f t="shared" si="1"/>
        <v>125</v>
      </c>
      <c r="DM57">
        <f t="shared" si="0"/>
        <v>1400</v>
      </c>
    </row>
    <row r="58" spans="1:117" hidden="1" outlineLevel="1" x14ac:dyDescent="0.4">
      <c r="A58" t="s">
        <v>1315</v>
      </c>
      <c r="B58" s="1"/>
      <c r="C58" t="s">
        <v>1316</v>
      </c>
      <c r="D58">
        <v>5</v>
      </c>
      <c r="AX58">
        <v>3</v>
      </c>
      <c r="DI58">
        <f t="shared" si="1"/>
        <v>25</v>
      </c>
      <c r="DM58">
        <f t="shared" si="0"/>
        <v>300</v>
      </c>
    </row>
    <row r="59" spans="1:117" hidden="1" outlineLevel="1" x14ac:dyDescent="0.4">
      <c r="A59" t="str">
        <f>"対魔"&amp;F59</f>
        <v>対魔Ⅱ</v>
      </c>
      <c r="B59" s="1"/>
      <c r="C59" t="s">
        <v>1316</v>
      </c>
      <c r="D59">
        <v>10</v>
      </c>
      <c r="F59" t="s">
        <v>1290</v>
      </c>
      <c r="AX59">
        <v>7</v>
      </c>
      <c r="DI59">
        <f t="shared" si="1"/>
        <v>50</v>
      </c>
      <c r="DM59">
        <f t="shared" si="0"/>
        <v>700</v>
      </c>
    </row>
    <row r="60" spans="1:117" hidden="1" outlineLevel="1" x14ac:dyDescent="0.4">
      <c r="A60" t="str">
        <f t="shared" ref="A60:A62" si="6">"対魔"&amp;F60</f>
        <v>対魔Ⅲ</v>
      </c>
      <c r="B60" s="1"/>
      <c r="C60" t="s">
        <v>1316</v>
      </c>
      <c r="D60">
        <v>15</v>
      </c>
      <c r="F60" t="s">
        <v>1291</v>
      </c>
      <c r="AX60">
        <v>11</v>
      </c>
      <c r="DI60">
        <f t="shared" si="1"/>
        <v>75</v>
      </c>
      <c r="DM60">
        <f t="shared" si="0"/>
        <v>1100</v>
      </c>
    </row>
    <row r="61" spans="1:117" hidden="1" outlineLevel="1" x14ac:dyDescent="0.4">
      <c r="A61" t="str">
        <f t="shared" si="6"/>
        <v>対魔Ⅳ</v>
      </c>
      <c r="B61" s="1"/>
      <c r="C61" t="s">
        <v>1316</v>
      </c>
      <c r="D61">
        <v>20</v>
      </c>
      <c r="F61" t="s">
        <v>1292</v>
      </c>
      <c r="AX61">
        <v>15</v>
      </c>
      <c r="DI61">
        <f t="shared" si="1"/>
        <v>100</v>
      </c>
      <c r="DM61">
        <f t="shared" si="0"/>
        <v>1500</v>
      </c>
    </row>
    <row r="62" spans="1:117" hidden="1" outlineLevel="1" x14ac:dyDescent="0.4">
      <c r="A62" t="str">
        <f t="shared" si="6"/>
        <v>対魔Ⅴ</v>
      </c>
      <c r="B62" s="1"/>
      <c r="C62" t="s">
        <v>1316</v>
      </c>
      <c r="D62">
        <v>25</v>
      </c>
      <c r="F62" t="s">
        <v>1293</v>
      </c>
      <c r="AX62">
        <v>19</v>
      </c>
      <c r="DI62">
        <f t="shared" si="1"/>
        <v>125</v>
      </c>
      <c r="DM62">
        <f t="shared" si="0"/>
        <v>1900</v>
      </c>
    </row>
    <row r="63" spans="1:117" hidden="1" outlineLevel="1" x14ac:dyDescent="0.4">
      <c r="B63" s="1"/>
      <c r="C63" t="s">
        <v>1316</v>
      </c>
      <c r="DI63">
        <f t="shared" si="1"/>
        <v>0</v>
      </c>
      <c r="DM63">
        <f t="shared" si="0"/>
        <v>0</v>
      </c>
    </row>
    <row r="64" spans="1:117" collapsed="1" x14ac:dyDescent="0.4">
      <c r="B64" s="1"/>
      <c r="DI64">
        <f t="shared" si="1"/>
        <v>0</v>
      </c>
      <c r="DM64">
        <f t="shared" si="0"/>
        <v>0</v>
      </c>
    </row>
    <row r="65" spans="1:117" x14ac:dyDescent="0.4">
      <c r="A65" t="s">
        <v>14</v>
      </c>
      <c r="B65" s="1" t="s">
        <v>13</v>
      </c>
      <c r="C65" t="s">
        <v>1316</v>
      </c>
      <c r="BB65">
        <v>5</v>
      </c>
      <c r="DI65">
        <f t="shared" si="1"/>
        <v>0</v>
      </c>
      <c r="DM65">
        <f t="shared" si="0"/>
        <v>1000</v>
      </c>
    </row>
    <row r="66" spans="1:117" hidden="1" outlineLevel="1" x14ac:dyDescent="0.4">
      <c r="A66" t="s">
        <v>12</v>
      </c>
      <c r="B66" s="1" t="s">
        <v>11</v>
      </c>
      <c r="C66" t="s">
        <v>1316</v>
      </c>
      <c r="BC66">
        <v>5</v>
      </c>
      <c r="DI66">
        <f t="shared" si="1"/>
        <v>0</v>
      </c>
      <c r="DM66">
        <f t="shared" si="0"/>
        <v>1000</v>
      </c>
    </row>
    <row r="67" spans="1:117" ht="37.5" hidden="1" outlineLevel="1" x14ac:dyDescent="0.4">
      <c r="A67" t="s">
        <v>10</v>
      </c>
      <c r="B67" s="1" t="s">
        <v>9</v>
      </c>
      <c r="C67" t="s">
        <v>1316</v>
      </c>
      <c r="BD67">
        <v>5</v>
      </c>
      <c r="DI67">
        <f t="shared" si="1"/>
        <v>0</v>
      </c>
      <c r="DM67">
        <f t="shared" si="0"/>
        <v>1000</v>
      </c>
    </row>
    <row r="68" spans="1:117" hidden="1" outlineLevel="1" x14ac:dyDescent="0.4">
      <c r="A68" t="s">
        <v>8</v>
      </c>
      <c r="B68" s="1" t="s">
        <v>7</v>
      </c>
      <c r="C68" t="s">
        <v>1316</v>
      </c>
      <c r="BE68">
        <v>5</v>
      </c>
      <c r="DI68">
        <f t="shared" si="1"/>
        <v>0</v>
      </c>
      <c r="DM68">
        <f t="shared" si="0"/>
        <v>1000</v>
      </c>
    </row>
    <row r="69" spans="1:117" hidden="1" outlineLevel="1" x14ac:dyDescent="0.4">
      <c r="A69" t="s">
        <v>6</v>
      </c>
      <c r="B69" s="1" t="s">
        <v>5</v>
      </c>
      <c r="C69" t="s">
        <v>1316</v>
      </c>
      <c r="BF69">
        <v>5</v>
      </c>
      <c r="DI69">
        <f t="shared" si="1"/>
        <v>0</v>
      </c>
      <c r="DM69">
        <f t="shared" si="0"/>
        <v>1000</v>
      </c>
    </row>
    <row r="70" spans="1:117" hidden="1" outlineLevel="1" x14ac:dyDescent="0.4">
      <c r="A70" t="s">
        <v>4</v>
      </c>
      <c r="B70" s="1" t="s">
        <v>3</v>
      </c>
      <c r="C70" t="s">
        <v>1316</v>
      </c>
      <c r="BG70">
        <v>5</v>
      </c>
      <c r="DI70">
        <f t="shared" si="1"/>
        <v>0</v>
      </c>
      <c r="DM70">
        <f t="shared" si="0"/>
        <v>1000</v>
      </c>
    </row>
    <row r="71" spans="1:117" hidden="1" outlineLevel="1" x14ac:dyDescent="0.4">
      <c r="A71" t="s">
        <v>2</v>
      </c>
      <c r="B71" s="1" t="s">
        <v>1</v>
      </c>
      <c r="C71" t="s">
        <v>1316</v>
      </c>
      <c r="BH71">
        <v>5</v>
      </c>
      <c r="DI71">
        <f t="shared" si="1"/>
        <v>0</v>
      </c>
      <c r="DM71">
        <f t="shared" si="0"/>
        <v>1000</v>
      </c>
    </row>
    <row r="72" spans="1:117" hidden="1" outlineLevel="1" x14ac:dyDescent="0.4">
      <c r="A72" t="s">
        <v>1399</v>
      </c>
      <c r="B72" s="1" t="s">
        <v>13</v>
      </c>
      <c r="C72" t="s">
        <v>1316</v>
      </c>
      <c r="BB72">
        <f>BB65+5</f>
        <v>10</v>
      </c>
      <c r="DI72">
        <f t="shared" si="1"/>
        <v>0</v>
      </c>
      <c r="DM72">
        <f t="shared" si="0"/>
        <v>2000</v>
      </c>
    </row>
    <row r="73" spans="1:117" hidden="1" outlineLevel="1" x14ac:dyDescent="0.4">
      <c r="A73" t="s">
        <v>1400</v>
      </c>
      <c r="B73" s="1" t="s">
        <v>11</v>
      </c>
      <c r="C73" t="s">
        <v>1316</v>
      </c>
      <c r="BC73">
        <f>BC66+5</f>
        <v>10</v>
      </c>
      <c r="DI73">
        <f t="shared" si="1"/>
        <v>0</v>
      </c>
      <c r="DM73">
        <f t="shared" si="0"/>
        <v>2000</v>
      </c>
    </row>
    <row r="74" spans="1:117" ht="37.5" hidden="1" outlineLevel="1" x14ac:dyDescent="0.4">
      <c r="A74" t="s">
        <v>1401</v>
      </c>
      <c r="B74" s="1" t="s">
        <v>9</v>
      </c>
      <c r="C74" t="s">
        <v>1316</v>
      </c>
      <c r="BD74">
        <f>BD67+5</f>
        <v>10</v>
      </c>
      <c r="DI74">
        <f t="shared" si="1"/>
        <v>0</v>
      </c>
      <c r="DM74">
        <f t="shared" si="0"/>
        <v>2000</v>
      </c>
    </row>
    <row r="75" spans="1:117" hidden="1" outlineLevel="1" x14ac:dyDescent="0.4">
      <c r="A75" t="s">
        <v>1402</v>
      </c>
      <c r="B75" s="1" t="s">
        <v>7</v>
      </c>
      <c r="C75" t="s">
        <v>1316</v>
      </c>
      <c r="BE75">
        <f>BE68+5</f>
        <v>10</v>
      </c>
      <c r="DI75">
        <f t="shared" si="1"/>
        <v>0</v>
      </c>
      <c r="DM75">
        <f t="shared" ref="DM75:DM138" si="7">(SUM(H75:AX75,CE75:CO75)*100)+(SUM(AY75:CC75)*200)+(SUM(CP75:DF75)*50)</f>
        <v>2000</v>
      </c>
    </row>
    <row r="76" spans="1:117" hidden="1" outlineLevel="1" x14ac:dyDescent="0.4">
      <c r="A76" t="s">
        <v>1403</v>
      </c>
      <c r="B76" s="1" t="s">
        <v>5</v>
      </c>
      <c r="C76" t="s">
        <v>1316</v>
      </c>
      <c r="BF76">
        <f>BF69+5</f>
        <v>10</v>
      </c>
      <c r="DI76">
        <f t="shared" ref="DI76:DI139" si="8">D76*5</f>
        <v>0</v>
      </c>
      <c r="DM76">
        <f t="shared" si="7"/>
        <v>2000</v>
      </c>
    </row>
    <row r="77" spans="1:117" hidden="1" outlineLevel="1" x14ac:dyDescent="0.4">
      <c r="A77" t="s">
        <v>1404</v>
      </c>
      <c r="B77" s="1" t="s">
        <v>3</v>
      </c>
      <c r="C77" t="s">
        <v>1316</v>
      </c>
      <c r="BG77">
        <f>BG70+5</f>
        <v>10</v>
      </c>
      <c r="DI77">
        <f t="shared" si="8"/>
        <v>0</v>
      </c>
      <c r="DM77">
        <f t="shared" si="7"/>
        <v>2000</v>
      </c>
    </row>
    <row r="78" spans="1:117" hidden="1" outlineLevel="1" x14ac:dyDescent="0.4">
      <c r="A78" t="s">
        <v>1405</v>
      </c>
      <c r="B78" s="1" t="s">
        <v>1</v>
      </c>
      <c r="C78" t="s">
        <v>1316</v>
      </c>
      <c r="BH78">
        <f>BH71+5</f>
        <v>10</v>
      </c>
      <c r="DI78">
        <f t="shared" si="8"/>
        <v>0</v>
      </c>
      <c r="DM78">
        <f t="shared" si="7"/>
        <v>2000</v>
      </c>
    </row>
    <row r="79" spans="1:117" hidden="1" outlineLevel="1" x14ac:dyDescent="0.4">
      <c r="A79" t="s">
        <v>1406</v>
      </c>
      <c r="B79" s="1" t="s">
        <v>13</v>
      </c>
      <c r="C79" t="s">
        <v>1316</v>
      </c>
      <c r="BB79">
        <f>BB72+5</f>
        <v>15</v>
      </c>
      <c r="DI79">
        <f t="shared" si="8"/>
        <v>0</v>
      </c>
      <c r="DM79">
        <f t="shared" si="7"/>
        <v>3000</v>
      </c>
    </row>
    <row r="80" spans="1:117" hidden="1" outlineLevel="1" x14ac:dyDescent="0.4">
      <c r="A80" t="s">
        <v>1407</v>
      </c>
      <c r="B80" s="1" t="s">
        <v>11</v>
      </c>
      <c r="C80" t="s">
        <v>1316</v>
      </c>
      <c r="BC80">
        <f>BC73+5</f>
        <v>15</v>
      </c>
      <c r="DI80">
        <f t="shared" si="8"/>
        <v>0</v>
      </c>
      <c r="DM80">
        <f t="shared" si="7"/>
        <v>3000</v>
      </c>
    </row>
    <row r="81" spans="1:117" ht="37.5" hidden="1" outlineLevel="1" x14ac:dyDescent="0.4">
      <c r="A81" t="s">
        <v>1408</v>
      </c>
      <c r="B81" s="1" t="s">
        <v>9</v>
      </c>
      <c r="C81" t="s">
        <v>1316</v>
      </c>
      <c r="BD81">
        <f>BD74+5</f>
        <v>15</v>
      </c>
      <c r="DI81">
        <f t="shared" si="8"/>
        <v>0</v>
      </c>
      <c r="DM81">
        <f t="shared" si="7"/>
        <v>3000</v>
      </c>
    </row>
    <row r="82" spans="1:117" hidden="1" outlineLevel="1" x14ac:dyDescent="0.4">
      <c r="A82" t="s">
        <v>1409</v>
      </c>
      <c r="B82" s="1" t="s">
        <v>7</v>
      </c>
      <c r="C82" t="s">
        <v>1316</v>
      </c>
      <c r="BE82">
        <f>BE75+5</f>
        <v>15</v>
      </c>
      <c r="DI82">
        <f t="shared" si="8"/>
        <v>0</v>
      </c>
      <c r="DM82">
        <f t="shared" si="7"/>
        <v>3000</v>
      </c>
    </row>
    <row r="83" spans="1:117" hidden="1" outlineLevel="1" x14ac:dyDescent="0.4">
      <c r="A83" t="s">
        <v>1410</v>
      </c>
      <c r="B83" s="1" t="s">
        <v>5</v>
      </c>
      <c r="C83" t="s">
        <v>1316</v>
      </c>
      <c r="BF83">
        <f>BF76+5</f>
        <v>15</v>
      </c>
      <c r="DI83">
        <f t="shared" si="8"/>
        <v>0</v>
      </c>
      <c r="DM83">
        <f t="shared" si="7"/>
        <v>3000</v>
      </c>
    </row>
    <row r="84" spans="1:117" hidden="1" outlineLevel="1" x14ac:dyDescent="0.4">
      <c r="A84" t="s">
        <v>1411</v>
      </c>
      <c r="B84" s="1" t="s">
        <v>3</v>
      </c>
      <c r="C84" t="s">
        <v>1316</v>
      </c>
      <c r="BG84">
        <f>BG77+5</f>
        <v>15</v>
      </c>
      <c r="DI84">
        <f t="shared" si="8"/>
        <v>0</v>
      </c>
      <c r="DM84">
        <f t="shared" si="7"/>
        <v>3000</v>
      </c>
    </row>
    <row r="85" spans="1:117" hidden="1" outlineLevel="1" x14ac:dyDescent="0.4">
      <c r="A85" t="s">
        <v>1412</v>
      </c>
      <c r="B85" s="1" t="s">
        <v>1</v>
      </c>
      <c r="C85" t="s">
        <v>1316</v>
      </c>
      <c r="BH85">
        <f>BH78+5</f>
        <v>15</v>
      </c>
      <c r="DI85">
        <f t="shared" si="8"/>
        <v>0</v>
      </c>
      <c r="DM85">
        <f t="shared" si="7"/>
        <v>3000</v>
      </c>
    </row>
    <row r="86" spans="1:117" hidden="1" outlineLevel="1" x14ac:dyDescent="0.4">
      <c r="A86" t="s">
        <v>1413</v>
      </c>
      <c r="B86" s="1" t="s">
        <v>1</v>
      </c>
      <c r="C86" t="s">
        <v>1316</v>
      </c>
      <c r="BB86">
        <f>BB79+5</f>
        <v>20</v>
      </c>
      <c r="DI86">
        <f t="shared" si="8"/>
        <v>0</v>
      </c>
      <c r="DM86">
        <f t="shared" si="7"/>
        <v>4000</v>
      </c>
    </row>
    <row r="87" spans="1:117" hidden="1" outlineLevel="1" x14ac:dyDescent="0.4">
      <c r="A87" t="s">
        <v>1414</v>
      </c>
      <c r="B87" s="1" t="s">
        <v>1</v>
      </c>
      <c r="C87" t="s">
        <v>1316</v>
      </c>
      <c r="BC87">
        <f>BC80+5</f>
        <v>20</v>
      </c>
      <c r="DI87">
        <f t="shared" si="8"/>
        <v>0</v>
      </c>
      <c r="DM87">
        <f t="shared" si="7"/>
        <v>4000</v>
      </c>
    </row>
    <row r="88" spans="1:117" hidden="1" outlineLevel="1" x14ac:dyDescent="0.4">
      <c r="A88" t="s">
        <v>1415</v>
      </c>
      <c r="B88" s="1" t="s">
        <v>1</v>
      </c>
      <c r="C88" t="s">
        <v>1316</v>
      </c>
      <c r="BD88">
        <f>BD81+5</f>
        <v>20</v>
      </c>
      <c r="DI88">
        <f t="shared" si="8"/>
        <v>0</v>
      </c>
      <c r="DM88">
        <f t="shared" si="7"/>
        <v>4000</v>
      </c>
    </row>
    <row r="89" spans="1:117" hidden="1" outlineLevel="1" x14ac:dyDescent="0.4">
      <c r="A89" t="s">
        <v>1416</v>
      </c>
      <c r="B89" s="1" t="s">
        <v>1</v>
      </c>
      <c r="C89" t="s">
        <v>1316</v>
      </c>
      <c r="BE89">
        <f>BE82+5</f>
        <v>20</v>
      </c>
      <c r="DI89">
        <f t="shared" si="8"/>
        <v>0</v>
      </c>
      <c r="DM89">
        <f t="shared" si="7"/>
        <v>4000</v>
      </c>
    </row>
    <row r="90" spans="1:117" hidden="1" outlineLevel="1" x14ac:dyDescent="0.4">
      <c r="A90" t="s">
        <v>1417</v>
      </c>
      <c r="B90" s="1" t="s">
        <v>1</v>
      </c>
      <c r="C90" t="s">
        <v>1316</v>
      </c>
      <c r="BF90">
        <f>BF83+5</f>
        <v>20</v>
      </c>
      <c r="DI90">
        <f t="shared" si="8"/>
        <v>0</v>
      </c>
      <c r="DM90">
        <f t="shared" si="7"/>
        <v>4000</v>
      </c>
    </row>
    <row r="91" spans="1:117" hidden="1" outlineLevel="1" x14ac:dyDescent="0.4">
      <c r="A91" t="s">
        <v>1418</v>
      </c>
      <c r="B91" s="1" t="s">
        <v>1</v>
      </c>
      <c r="C91" t="s">
        <v>1316</v>
      </c>
      <c r="BG91">
        <f>BG84+5</f>
        <v>20</v>
      </c>
      <c r="DI91">
        <f t="shared" si="8"/>
        <v>0</v>
      </c>
      <c r="DM91">
        <f t="shared" si="7"/>
        <v>4000</v>
      </c>
    </row>
    <row r="92" spans="1:117" hidden="1" outlineLevel="1" x14ac:dyDescent="0.4">
      <c r="A92" t="s">
        <v>1419</v>
      </c>
      <c r="B92" s="1" t="s">
        <v>1</v>
      </c>
      <c r="C92" t="s">
        <v>1316</v>
      </c>
      <c r="BH92">
        <f>BH85+5</f>
        <v>20</v>
      </c>
      <c r="DI92">
        <f t="shared" si="8"/>
        <v>0</v>
      </c>
      <c r="DM92">
        <f t="shared" si="7"/>
        <v>4000</v>
      </c>
    </row>
    <row r="93" spans="1:117" hidden="1" outlineLevel="1" x14ac:dyDescent="0.4">
      <c r="A93" t="s">
        <v>1420</v>
      </c>
      <c r="B93" s="1" t="s">
        <v>1</v>
      </c>
      <c r="C93" t="s">
        <v>1316</v>
      </c>
      <c r="BB93">
        <f>BB86+5</f>
        <v>25</v>
      </c>
      <c r="DI93">
        <f t="shared" si="8"/>
        <v>0</v>
      </c>
      <c r="DM93">
        <f t="shared" si="7"/>
        <v>5000</v>
      </c>
    </row>
    <row r="94" spans="1:117" hidden="1" outlineLevel="1" x14ac:dyDescent="0.4">
      <c r="A94" t="s">
        <v>1421</v>
      </c>
      <c r="B94" s="1" t="s">
        <v>1</v>
      </c>
      <c r="C94" t="s">
        <v>1316</v>
      </c>
      <c r="BC94">
        <f>BC87+5</f>
        <v>25</v>
      </c>
      <c r="DI94">
        <f t="shared" si="8"/>
        <v>0</v>
      </c>
      <c r="DM94">
        <f t="shared" si="7"/>
        <v>5000</v>
      </c>
    </row>
    <row r="95" spans="1:117" hidden="1" outlineLevel="1" x14ac:dyDescent="0.4">
      <c r="A95" t="s">
        <v>1422</v>
      </c>
      <c r="B95" s="1" t="s">
        <v>1</v>
      </c>
      <c r="C95" t="s">
        <v>1316</v>
      </c>
      <c r="BD95">
        <f>BD88+5</f>
        <v>25</v>
      </c>
      <c r="DI95">
        <f t="shared" si="8"/>
        <v>0</v>
      </c>
      <c r="DM95">
        <f t="shared" si="7"/>
        <v>5000</v>
      </c>
    </row>
    <row r="96" spans="1:117" hidden="1" outlineLevel="1" x14ac:dyDescent="0.4">
      <c r="A96" t="s">
        <v>1423</v>
      </c>
      <c r="B96" s="1" t="s">
        <v>1</v>
      </c>
      <c r="C96" t="s">
        <v>1316</v>
      </c>
      <c r="BE96">
        <f>BE89+5</f>
        <v>25</v>
      </c>
      <c r="DI96">
        <f t="shared" si="8"/>
        <v>0</v>
      </c>
      <c r="DM96">
        <f t="shared" si="7"/>
        <v>5000</v>
      </c>
    </row>
    <row r="97" spans="1:117" hidden="1" outlineLevel="1" x14ac:dyDescent="0.4">
      <c r="A97" t="s">
        <v>1424</v>
      </c>
      <c r="B97" s="1" t="s">
        <v>1</v>
      </c>
      <c r="C97" t="s">
        <v>1316</v>
      </c>
      <c r="BF97">
        <f>BF90+5</f>
        <v>25</v>
      </c>
      <c r="DI97">
        <f t="shared" si="8"/>
        <v>0</v>
      </c>
      <c r="DM97">
        <f t="shared" si="7"/>
        <v>5000</v>
      </c>
    </row>
    <row r="98" spans="1:117" hidden="1" outlineLevel="1" x14ac:dyDescent="0.4">
      <c r="A98" t="s">
        <v>1425</v>
      </c>
      <c r="B98" s="1" t="s">
        <v>1</v>
      </c>
      <c r="C98" t="s">
        <v>1316</v>
      </c>
      <c r="BG98">
        <f>BG91+5</f>
        <v>25</v>
      </c>
      <c r="DI98">
        <f t="shared" si="8"/>
        <v>0</v>
      </c>
      <c r="DM98">
        <f t="shared" si="7"/>
        <v>5000</v>
      </c>
    </row>
    <row r="99" spans="1:117" hidden="1" outlineLevel="1" x14ac:dyDescent="0.4">
      <c r="A99" t="s">
        <v>1426</v>
      </c>
      <c r="B99" s="1" t="s">
        <v>1</v>
      </c>
      <c r="C99" t="s">
        <v>1316</v>
      </c>
      <c r="BH99">
        <f>BH92+5</f>
        <v>25</v>
      </c>
      <c r="DI99">
        <f t="shared" si="8"/>
        <v>0</v>
      </c>
      <c r="DM99">
        <f t="shared" si="7"/>
        <v>5000</v>
      </c>
    </row>
    <row r="100" spans="1:117" collapsed="1" x14ac:dyDescent="0.4">
      <c r="DI100">
        <f t="shared" si="8"/>
        <v>0</v>
      </c>
      <c r="DM100">
        <f t="shared" si="7"/>
        <v>0</v>
      </c>
    </row>
    <row r="101" spans="1:117" x14ac:dyDescent="0.4">
      <c r="A101" t="s">
        <v>151</v>
      </c>
      <c r="C101" t="s">
        <v>1397</v>
      </c>
      <c r="D101">
        <v>5</v>
      </c>
      <c r="BM101">
        <v>5</v>
      </c>
      <c r="DI101">
        <f t="shared" si="8"/>
        <v>25</v>
      </c>
      <c r="DM101">
        <f t="shared" si="7"/>
        <v>1000</v>
      </c>
    </row>
    <row r="102" spans="1:117" outlineLevel="1" x14ac:dyDescent="0.4">
      <c r="A102" t="s">
        <v>1553</v>
      </c>
      <c r="C102" t="s">
        <v>1398</v>
      </c>
      <c r="D102">
        <v>5</v>
      </c>
      <c r="BN102">
        <v>5</v>
      </c>
      <c r="DI102">
        <f t="shared" si="8"/>
        <v>25</v>
      </c>
      <c r="DM102">
        <f t="shared" si="7"/>
        <v>1000</v>
      </c>
    </row>
    <row r="103" spans="1:117" outlineLevel="1" x14ac:dyDescent="0.4">
      <c r="A103" t="s">
        <v>141</v>
      </c>
      <c r="C103" t="s">
        <v>1306</v>
      </c>
      <c r="D103">
        <v>5</v>
      </c>
      <c r="BO103">
        <v>5</v>
      </c>
      <c r="DI103">
        <f t="shared" si="8"/>
        <v>25</v>
      </c>
      <c r="DM103">
        <f t="shared" si="7"/>
        <v>1000</v>
      </c>
    </row>
    <row r="104" spans="1:117" outlineLevel="1" x14ac:dyDescent="0.4">
      <c r="A104" t="s">
        <v>149</v>
      </c>
      <c r="C104" t="s">
        <v>100</v>
      </c>
      <c r="D104">
        <v>5</v>
      </c>
      <c r="BP104">
        <v>5</v>
      </c>
      <c r="DI104">
        <f t="shared" si="8"/>
        <v>25</v>
      </c>
      <c r="DM104">
        <f t="shared" si="7"/>
        <v>1000</v>
      </c>
    </row>
    <row r="105" spans="1:117" outlineLevel="1" x14ac:dyDescent="0.4">
      <c r="A105" t="s">
        <v>148</v>
      </c>
      <c r="C105" t="s">
        <v>1310</v>
      </c>
      <c r="D105">
        <v>5</v>
      </c>
      <c r="BQ105">
        <v>5</v>
      </c>
      <c r="DI105">
        <f t="shared" si="8"/>
        <v>25</v>
      </c>
      <c r="DM105">
        <f t="shared" si="7"/>
        <v>1000</v>
      </c>
    </row>
    <row r="106" spans="1:117" outlineLevel="1" x14ac:dyDescent="0.4">
      <c r="A106" t="s">
        <v>147</v>
      </c>
      <c r="C106" t="s">
        <v>598</v>
      </c>
      <c r="D106">
        <v>5</v>
      </c>
      <c r="BR106">
        <v>5</v>
      </c>
      <c r="DI106">
        <f t="shared" si="8"/>
        <v>25</v>
      </c>
      <c r="DM106">
        <f t="shared" si="7"/>
        <v>1000</v>
      </c>
    </row>
    <row r="107" spans="1:117" outlineLevel="1" x14ac:dyDescent="0.4">
      <c r="A107" t="s">
        <v>144</v>
      </c>
      <c r="C107" t="s">
        <v>598</v>
      </c>
      <c r="D107">
        <v>5</v>
      </c>
      <c r="BS107">
        <v>5</v>
      </c>
      <c r="DI107">
        <f t="shared" si="8"/>
        <v>25</v>
      </c>
      <c r="DM107">
        <f t="shared" si="7"/>
        <v>1000</v>
      </c>
    </row>
    <row r="108" spans="1:117" outlineLevel="1" x14ac:dyDescent="0.4">
      <c r="A108" t="s">
        <v>143</v>
      </c>
      <c r="C108" t="s">
        <v>598</v>
      </c>
      <c r="D108">
        <v>5</v>
      </c>
      <c r="BT108">
        <v>5</v>
      </c>
      <c r="DI108">
        <f t="shared" si="8"/>
        <v>25</v>
      </c>
      <c r="DM108">
        <f t="shared" si="7"/>
        <v>1000</v>
      </c>
    </row>
    <row r="109" spans="1:117" outlineLevel="1" x14ac:dyDescent="0.4">
      <c r="A109" t="s">
        <v>142</v>
      </c>
      <c r="C109" t="s">
        <v>500</v>
      </c>
      <c r="D109">
        <v>5</v>
      </c>
      <c r="BU109">
        <v>5</v>
      </c>
      <c r="DI109">
        <f t="shared" si="8"/>
        <v>25</v>
      </c>
      <c r="DM109">
        <f t="shared" si="7"/>
        <v>1000</v>
      </c>
    </row>
    <row r="110" spans="1:117" outlineLevel="1" x14ac:dyDescent="0.4">
      <c r="A110" t="s">
        <v>146</v>
      </c>
      <c r="C110" t="s">
        <v>1396</v>
      </c>
      <c r="D110">
        <v>5</v>
      </c>
      <c r="BV110">
        <v>5</v>
      </c>
      <c r="DI110">
        <f t="shared" si="8"/>
        <v>25</v>
      </c>
      <c r="DM110">
        <f t="shared" si="7"/>
        <v>1000</v>
      </c>
    </row>
    <row r="111" spans="1:117" outlineLevel="1" x14ac:dyDescent="0.4">
      <c r="A111" t="s">
        <v>145</v>
      </c>
      <c r="C111" t="s">
        <v>1395</v>
      </c>
      <c r="D111">
        <v>5</v>
      </c>
      <c r="BW111">
        <v>5</v>
      </c>
      <c r="DI111">
        <f t="shared" si="8"/>
        <v>25</v>
      </c>
      <c r="DM111">
        <f t="shared" si="7"/>
        <v>1000</v>
      </c>
    </row>
    <row r="112" spans="1:117" outlineLevel="1" x14ac:dyDescent="0.4">
      <c r="A112" t="s">
        <v>140</v>
      </c>
      <c r="C112" t="s">
        <v>1357</v>
      </c>
      <c r="D112">
        <v>5</v>
      </c>
      <c r="BX112">
        <v>5</v>
      </c>
      <c r="DI112">
        <f t="shared" si="8"/>
        <v>25</v>
      </c>
      <c r="DM112">
        <f t="shared" si="7"/>
        <v>1000</v>
      </c>
    </row>
    <row r="113" spans="1:117" outlineLevel="1" x14ac:dyDescent="0.4">
      <c r="A113" t="s">
        <v>1283</v>
      </c>
      <c r="C113" t="s">
        <v>1358</v>
      </c>
      <c r="D113">
        <v>5</v>
      </c>
      <c r="BY113">
        <v>5</v>
      </c>
      <c r="DI113">
        <f t="shared" si="8"/>
        <v>25</v>
      </c>
      <c r="DM113">
        <f t="shared" si="7"/>
        <v>1000</v>
      </c>
    </row>
    <row r="114" spans="1:117" outlineLevel="1" x14ac:dyDescent="0.4">
      <c r="A114" t="s">
        <v>1498</v>
      </c>
      <c r="C114" t="s">
        <v>1397</v>
      </c>
      <c r="D114">
        <f>D101+5</f>
        <v>10</v>
      </c>
      <c r="BM114">
        <f>BM101+5</f>
        <v>10</v>
      </c>
      <c r="DI114">
        <f t="shared" si="8"/>
        <v>50</v>
      </c>
      <c r="DM114">
        <f t="shared" si="7"/>
        <v>2000</v>
      </c>
    </row>
    <row r="115" spans="1:117" outlineLevel="1" x14ac:dyDescent="0.4">
      <c r="A115" t="s">
        <v>1499</v>
      </c>
      <c r="C115" t="s">
        <v>1398</v>
      </c>
      <c r="D115">
        <f t="shared" ref="D115:D165" si="9">D102+5</f>
        <v>10</v>
      </c>
      <c r="BN115">
        <f>BN102+5</f>
        <v>10</v>
      </c>
      <c r="DI115">
        <f t="shared" si="8"/>
        <v>50</v>
      </c>
      <c r="DM115">
        <f t="shared" si="7"/>
        <v>2000</v>
      </c>
    </row>
    <row r="116" spans="1:117" outlineLevel="1" x14ac:dyDescent="0.4">
      <c r="A116" t="s">
        <v>1359</v>
      </c>
      <c r="C116" t="s">
        <v>1306</v>
      </c>
      <c r="D116">
        <f t="shared" si="9"/>
        <v>10</v>
      </c>
      <c r="BO116">
        <f>BO103+5</f>
        <v>10</v>
      </c>
      <c r="DI116">
        <f t="shared" si="8"/>
        <v>50</v>
      </c>
      <c r="DM116">
        <f t="shared" si="7"/>
        <v>2000</v>
      </c>
    </row>
    <row r="117" spans="1:117" outlineLevel="1" x14ac:dyDescent="0.4">
      <c r="A117" t="s">
        <v>1363</v>
      </c>
      <c r="C117" t="s">
        <v>100</v>
      </c>
      <c r="D117">
        <f t="shared" si="9"/>
        <v>10</v>
      </c>
      <c r="BP117">
        <f>BP104+5</f>
        <v>10</v>
      </c>
      <c r="DI117">
        <f t="shared" si="8"/>
        <v>50</v>
      </c>
      <c r="DM117">
        <f t="shared" si="7"/>
        <v>2000</v>
      </c>
    </row>
    <row r="118" spans="1:117" outlineLevel="1" x14ac:dyDescent="0.4">
      <c r="A118" t="s">
        <v>1364</v>
      </c>
      <c r="C118" t="s">
        <v>1310</v>
      </c>
      <c r="D118">
        <f t="shared" si="9"/>
        <v>10</v>
      </c>
      <c r="BQ118">
        <f>BQ105+5</f>
        <v>10</v>
      </c>
      <c r="DI118">
        <f t="shared" si="8"/>
        <v>50</v>
      </c>
      <c r="DM118">
        <f t="shared" si="7"/>
        <v>2000</v>
      </c>
    </row>
    <row r="119" spans="1:117" outlineLevel="1" x14ac:dyDescent="0.4">
      <c r="A119" t="s">
        <v>1365</v>
      </c>
      <c r="C119" t="s">
        <v>598</v>
      </c>
      <c r="D119">
        <f t="shared" si="9"/>
        <v>10</v>
      </c>
      <c r="BR119">
        <f>BR106+5</f>
        <v>10</v>
      </c>
      <c r="DI119">
        <f t="shared" si="8"/>
        <v>50</v>
      </c>
      <c r="DM119">
        <f t="shared" si="7"/>
        <v>2000</v>
      </c>
    </row>
    <row r="120" spans="1:117" outlineLevel="1" x14ac:dyDescent="0.4">
      <c r="A120" t="s">
        <v>1366</v>
      </c>
      <c r="C120" t="s">
        <v>598</v>
      </c>
      <c r="D120">
        <f t="shared" si="9"/>
        <v>10</v>
      </c>
      <c r="BS120">
        <f>BS107+5</f>
        <v>10</v>
      </c>
      <c r="DI120">
        <f t="shared" si="8"/>
        <v>50</v>
      </c>
      <c r="DM120">
        <f t="shared" si="7"/>
        <v>2000</v>
      </c>
    </row>
    <row r="121" spans="1:117" outlineLevel="1" x14ac:dyDescent="0.4">
      <c r="A121" t="s">
        <v>1367</v>
      </c>
      <c r="C121" t="s">
        <v>598</v>
      </c>
      <c r="D121">
        <f t="shared" si="9"/>
        <v>10</v>
      </c>
      <c r="BT121">
        <f>BT108+5</f>
        <v>10</v>
      </c>
      <c r="DI121">
        <f t="shared" si="8"/>
        <v>50</v>
      </c>
      <c r="DM121">
        <f t="shared" si="7"/>
        <v>2000</v>
      </c>
    </row>
    <row r="122" spans="1:117" outlineLevel="1" x14ac:dyDescent="0.4">
      <c r="A122" t="s">
        <v>1500</v>
      </c>
      <c r="C122" t="s">
        <v>500</v>
      </c>
      <c r="D122">
        <f t="shared" si="9"/>
        <v>10</v>
      </c>
      <c r="BU122">
        <f>BU109+5</f>
        <v>10</v>
      </c>
      <c r="DI122">
        <f t="shared" si="8"/>
        <v>50</v>
      </c>
      <c r="DM122">
        <f t="shared" si="7"/>
        <v>2000</v>
      </c>
    </row>
    <row r="123" spans="1:117" outlineLevel="1" x14ac:dyDescent="0.4">
      <c r="A123" t="s">
        <v>1362</v>
      </c>
      <c r="C123" t="s">
        <v>1396</v>
      </c>
      <c r="D123">
        <f t="shared" si="9"/>
        <v>10</v>
      </c>
      <c r="BV123">
        <f>BV110+5</f>
        <v>10</v>
      </c>
      <c r="DI123">
        <f t="shared" si="8"/>
        <v>50</v>
      </c>
      <c r="DM123">
        <f t="shared" si="7"/>
        <v>2000</v>
      </c>
    </row>
    <row r="124" spans="1:117" outlineLevel="1" x14ac:dyDescent="0.4">
      <c r="A124" t="s">
        <v>1501</v>
      </c>
      <c r="C124" t="s">
        <v>1395</v>
      </c>
      <c r="D124">
        <f t="shared" si="9"/>
        <v>10</v>
      </c>
      <c r="BW124">
        <f>BW111+5</f>
        <v>10</v>
      </c>
      <c r="DI124">
        <f t="shared" si="8"/>
        <v>50</v>
      </c>
      <c r="DM124">
        <f t="shared" si="7"/>
        <v>2000</v>
      </c>
    </row>
    <row r="125" spans="1:117" outlineLevel="1" x14ac:dyDescent="0.4">
      <c r="A125" t="s">
        <v>1360</v>
      </c>
      <c r="C125" t="s">
        <v>1357</v>
      </c>
      <c r="D125">
        <f t="shared" si="9"/>
        <v>10</v>
      </c>
      <c r="BX125">
        <f>BX112+5</f>
        <v>10</v>
      </c>
      <c r="DI125">
        <f t="shared" si="8"/>
        <v>50</v>
      </c>
      <c r="DM125">
        <f t="shared" si="7"/>
        <v>2000</v>
      </c>
    </row>
    <row r="126" spans="1:117" outlineLevel="1" x14ac:dyDescent="0.4">
      <c r="A126" t="s">
        <v>1361</v>
      </c>
      <c r="C126" t="s">
        <v>1358</v>
      </c>
      <c r="D126">
        <f t="shared" si="9"/>
        <v>10</v>
      </c>
      <c r="BY126">
        <f>BY113+5</f>
        <v>10</v>
      </c>
      <c r="DI126">
        <f t="shared" si="8"/>
        <v>50</v>
      </c>
      <c r="DM126">
        <f t="shared" si="7"/>
        <v>2000</v>
      </c>
    </row>
    <row r="127" spans="1:117" outlineLevel="1" x14ac:dyDescent="0.4">
      <c r="A127" t="s">
        <v>1502</v>
      </c>
      <c r="C127" t="s">
        <v>1397</v>
      </c>
      <c r="D127">
        <f t="shared" si="9"/>
        <v>15</v>
      </c>
      <c r="BM127">
        <f>BM114+5</f>
        <v>15</v>
      </c>
      <c r="DI127">
        <f t="shared" si="8"/>
        <v>75</v>
      </c>
      <c r="DM127">
        <f t="shared" si="7"/>
        <v>3000</v>
      </c>
    </row>
    <row r="128" spans="1:117" outlineLevel="1" x14ac:dyDescent="0.4">
      <c r="A128" t="s">
        <v>1503</v>
      </c>
      <c r="C128" t="s">
        <v>1398</v>
      </c>
      <c r="D128">
        <f t="shared" si="9"/>
        <v>15</v>
      </c>
      <c r="BN128">
        <f>BN115+5</f>
        <v>15</v>
      </c>
      <c r="DI128">
        <f t="shared" si="8"/>
        <v>75</v>
      </c>
      <c r="DM128">
        <f t="shared" si="7"/>
        <v>3000</v>
      </c>
    </row>
    <row r="129" spans="1:117" outlineLevel="1" x14ac:dyDescent="0.4">
      <c r="A129" t="s">
        <v>1368</v>
      </c>
      <c r="C129" t="s">
        <v>1306</v>
      </c>
      <c r="D129">
        <f t="shared" si="9"/>
        <v>15</v>
      </c>
      <c r="BO129">
        <f>BO116+5</f>
        <v>15</v>
      </c>
      <c r="DI129">
        <f t="shared" si="8"/>
        <v>75</v>
      </c>
      <c r="DM129">
        <f t="shared" si="7"/>
        <v>3000</v>
      </c>
    </row>
    <row r="130" spans="1:117" outlineLevel="1" x14ac:dyDescent="0.4">
      <c r="A130" t="s">
        <v>1372</v>
      </c>
      <c r="C130" t="s">
        <v>100</v>
      </c>
      <c r="D130">
        <f t="shared" si="9"/>
        <v>15</v>
      </c>
      <c r="BP130">
        <f>BP117+5</f>
        <v>15</v>
      </c>
      <c r="DI130">
        <f t="shared" si="8"/>
        <v>75</v>
      </c>
      <c r="DM130">
        <f t="shared" si="7"/>
        <v>3000</v>
      </c>
    </row>
    <row r="131" spans="1:117" outlineLevel="1" x14ac:dyDescent="0.4">
      <c r="A131" t="s">
        <v>1373</v>
      </c>
      <c r="C131" t="s">
        <v>1310</v>
      </c>
      <c r="D131">
        <f t="shared" si="9"/>
        <v>15</v>
      </c>
      <c r="BQ131">
        <f>BQ118+5</f>
        <v>15</v>
      </c>
      <c r="DI131">
        <f t="shared" si="8"/>
        <v>75</v>
      </c>
      <c r="DM131">
        <f t="shared" si="7"/>
        <v>3000</v>
      </c>
    </row>
    <row r="132" spans="1:117" outlineLevel="1" x14ac:dyDescent="0.4">
      <c r="A132" t="s">
        <v>1374</v>
      </c>
      <c r="C132" t="s">
        <v>598</v>
      </c>
      <c r="D132">
        <f t="shared" si="9"/>
        <v>15</v>
      </c>
      <c r="BR132">
        <f>BR119+5</f>
        <v>15</v>
      </c>
      <c r="DI132">
        <f t="shared" si="8"/>
        <v>75</v>
      </c>
      <c r="DM132">
        <f t="shared" si="7"/>
        <v>3000</v>
      </c>
    </row>
    <row r="133" spans="1:117" outlineLevel="1" x14ac:dyDescent="0.4">
      <c r="A133" t="s">
        <v>1375</v>
      </c>
      <c r="C133" t="s">
        <v>598</v>
      </c>
      <c r="D133">
        <f t="shared" si="9"/>
        <v>15</v>
      </c>
      <c r="BS133">
        <f>BS120+5</f>
        <v>15</v>
      </c>
      <c r="DI133">
        <f t="shared" si="8"/>
        <v>75</v>
      </c>
      <c r="DM133">
        <f t="shared" si="7"/>
        <v>3000</v>
      </c>
    </row>
    <row r="134" spans="1:117" outlineLevel="1" x14ac:dyDescent="0.4">
      <c r="A134" t="s">
        <v>1376</v>
      </c>
      <c r="C134" t="s">
        <v>598</v>
      </c>
      <c r="D134">
        <f t="shared" si="9"/>
        <v>15</v>
      </c>
      <c r="BT134">
        <f>BT121+5</f>
        <v>15</v>
      </c>
      <c r="DI134">
        <f t="shared" si="8"/>
        <v>75</v>
      </c>
      <c r="DM134">
        <f t="shared" si="7"/>
        <v>3000</v>
      </c>
    </row>
    <row r="135" spans="1:117" outlineLevel="1" x14ac:dyDescent="0.4">
      <c r="A135" t="s">
        <v>1504</v>
      </c>
      <c r="C135" t="s">
        <v>500</v>
      </c>
      <c r="D135">
        <f t="shared" si="9"/>
        <v>15</v>
      </c>
      <c r="BU135">
        <f>BU122+5</f>
        <v>15</v>
      </c>
      <c r="DI135">
        <f t="shared" si="8"/>
        <v>75</v>
      </c>
      <c r="DM135">
        <f t="shared" si="7"/>
        <v>3000</v>
      </c>
    </row>
    <row r="136" spans="1:117" outlineLevel="1" x14ac:dyDescent="0.4">
      <c r="A136" t="s">
        <v>1371</v>
      </c>
      <c r="C136" t="s">
        <v>1396</v>
      </c>
      <c r="D136">
        <f t="shared" si="9"/>
        <v>15</v>
      </c>
      <c r="BV136">
        <f>BV123+5</f>
        <v>15</v>
      </c>
      <c r="DI136">
        <f t="shared" si="8"/>
        <v>75</v>
      </c>
      <c r="DM136">
        <f t="shared" si="7"/>
        <v>3000</v>
      </c>
    </row>
    <row r="137" spans="1:117" outlineLevel="1" x14ac:dyDescent="0.4">
      <c r="A137" t="s">
        <v>1505</v>
      </c>
      <c r="C137" t="s">
        <v>1395</v>
      </c>
      <c r="D137">
        <f t="shared" si="9"/>
        <v>15</v>
      </c>
      <c r="BW137">
        <f>BW124+5</f>
        <v>15</v>
      </c>
      <c r="DI137">
        <f t="shared" si="8"/>
        <v>75</v>
      </c>
      <c r="DM137">
        <f t="shared" si="7"/>
        <v>3000</v>
      </c>
    </row>
    <row r="138" spans="1:117" outlineLevel="1" x14ac:dyDescent="0.4">
      <c r="A138" t="s">
        <v>1369</v>
      </c>
      <c r="C138" t="s">
        <v>1357</v>
      </c>
      <c r="D138">
        <f t="shared" si="9"/>
        <v>15</v>
      </c>
      <c r="BX138">
        <f>BX125+5</f>
        <v>15</v>
      </c>
      <c r="DI138">
        <f t="shared" si="8"/>
        <v>75</v>
      </c>
      <c r="DM138">
        <f t="shared" si="7"/>
        <v>3000</v>
      </c>
    </row>
    <row r="139" spans="1:117" outlineLevel="1" x14ac:dyDescent="0.4">
      <c r="A139" t="s">
        <v>1370</v>
      </c>
      <c r="C139" t="s">
        <v>1358</v>
      </c>
      <c r="D139">
        <f t="shared" si="9"/>
        <v>15</v>
      </c>
      <c r="BY139">
        <f>BY126+5</f>
        <v>15</v>
      </c>
      <c r="DI139">
        <f t="shared" si="8"/>
        <v>75</v>
      </c>
      <c r="DM139">
        <f t="shared" ref="DM139:DM202" si="10">(SUM(H139:AX139,CE139:CO139)*100)+(SUM(AY139:CC139)*200)+(SUM(CP139:DF139)*50)</f>
        <v>3000</v>
      </c>
    </row>
    <row r="140" spans="1:117" outlineLevel="1" x14ac:dyDescent="0.4">
      <c r="A140" t="s">
        <v>1506</v>
      </c>
      <c r="C140" t="s">
        <v>1397</v>
      </c>
      <c r="D140">
        <f t="shared" si="9"/>
        <v>20</v>
      </c>
      <c r="BM140">
        <f>BM127+5</f>
        <v>20</v>
      </c>
      <c r="DI140">
        <f t="shared" ref="DI140:DI203" si="11">D140*5</f>
        <v>100</v>
      </c>
      <c r="DM140">
        <f t="shared" si="10"/>
        <v>4000</v>
      </c>
    </row>
    <row r="141" spans="1:117" outlineLevel="1" x14ac:dyDescent="0.4">
      <c r="A141" t="s">
        <v>1507</v>
      </c>
      <c r="C141" t="s">
        <v>1398</v>
      </c>
      <c r="D141">
        <f t="shared" si="9"/>
        <v>20</v>
      </c>
      <c r="BN141">
        <f>BN128+5</f>
        <v>20</v>
      </c>
      <c r="DI141">
        <f t="shared" si="11"/>
        <v>100</v>
      </c>
      <c r="DM141">
        <f t="shared" si="10"/>
        <v>4000</v>
      </c>
    </row>
    <row r="142" spans="1:117" outlineLevel="1" x14ac:dyDescent="0.4">
      <c r="A142" t="s">
        <v>1377</v>
      </c>
      <c r="C142" t="s">
        <v>1306</v>
      </c>
      <c r="D142">
        <f t="shared" si="9"/>
        <v>20</v>
      </c>
      <c r="BO142">
        <f>BO129+5</f>
        <v>20</v>
      </c>
      <c r="DI142">
        <f t="shared" si="11"/>
        <v>100</v>
      </c>
      <c r="DM142">
        <f t="shared" si="10"/>
        <v>4000</v>
      </c>
    </row>
    <row r="143" spans="1:117" outlineLevel="1" x14ac:dyDescent="0.4">
      <c r="A143" t="s">
        <v>1381</v>
      </c>
      <c r="C143" t="s">
        <v>100</v>
      </c>
      <c r="D143">
        <f t="shared" si="9"/>
        <v>20</v>
      </c>
      <c r="BP143">
        <f>BP130+5</f>
        <v>20</v>
      </c>
      <c r="DI143">
        <f t="shared" si="11"/>
        <v>100</v>
      </c>
      <c r="DM143">
        <f t="shared" si="10"/>
        <v>4000</v>
      </c>
    </row>
    <row r="144" spans="1:117" outlineLevel="1" x14ac:dyDescent="0.4">
      <c r="A144" t="s">
        <v>1382</v>
      </c>
      <c r="C144" t="s">
        <v>1310</v>
      </c>
      <c r="D144">
        <f t="shared" si="9"/>
        <v>20</v>
      </c>
      <c r="BQ144">
        <f>BQ131+5</f>
        <v>20</v>
      </c>
      <c r="DI144">
        <f t="shared" si="11"/>
        <v>100</v>
      </c>
      <c r="DM144">
        <f t="shared" si="10"/>
        <v>4000</v>
      </c>
    </row>
    <row r="145" spans="1:117" outlineLevel="1" x14ac:dyDescent="0.4">
      <c r="A145" t="s">
        <v>1383</v>
      </c>
      <c r="C145" t="s">
        <v>598</v>
      </c>
      <c r="D145">
        <f t="shared" si="9"/>
        <v>20</v>
      </c>
      <c r="BR145">
        <f>BR132+5</f>
        <v>20</v>
      </c>
      <c r="DI145">
        <f t="shared" si="11"/>
        <v>100</v>
      </c>
      <c r="DM145">
        <f t="shared" si="10"/>
        <v>4000</v>
      </c>
    </row>
    <row r="146" spans="1:117" outlineLevel="1" x14ac:dyDescent="0.4">
      <c r="A146" t="s">
        <v>1384</v>
      </c>
      <c r="C146" t="s">
        <v>598</v>
      </c>
      <c r="D146">
        <f t="shared" si="9"/>
        <v>20</v>
      </c>
      <c r="BS146">
        <f>BS133+5</f>
        <v>20</v>
      </c>
      <c r="DI146">
        <f t="shared" si="11"/>
        <v>100</v>
      </c>
      <c r="DM146">
        <f t="shared" si="10"/>
        <v>4000</v>
      </c>
    </row>
    <row r="147" spans="1:117" outlineLevel="1" x14ac:dyDescent="0.4">
      <c r="A147" t="s">
        <v>1385</v>
      </c>
      <c r="C147" t="s">
        <v>598</v>
      </c>
      <c r="D147">
        <f t="shared" si="9"/>
        <v>20</v>
      </c>
      <c r="BT147">
        <f>BT134+5</f>
        <v>20</v>
      </c>
      <c r="DI147">
        <f t="shared" si="11"/>
        <v>100</v>
      </c>
      <c r="DM147">
        <f t="shared" si="10"/>
        <v>4000</v>
      </c>
    </row>
    <row r="148" spans="1:117" outlineLevel="1" x14ac:dyDescent="0.4">
      <c r="A148" t="s">
        <v>1508</v>
      </c>
      <c r="C148" t="s">
        <v>500</v>
      </c>
      <c r="D148">
        <f t="shared" si="9"/>
        <v>20</v>
      </c>
      <c r="BU148">
        <f>BU135+5</f>
        <v>20</v>
      </c>
      <c r="DI148">
        <f t="shared" si="11"/>
        <v>100</v>
      </c>
      <c r="DM148">
        <f t="shared" si="10"/>
        <v>4000</v>
      </c>
    </row>
    <row r="149" spans="1:117" outlineLevel="1" x14ac:dyDescent="0.4">
      <c r="A149" t="s">
        <v>1380</v>
      </c>
      <c r="C149" t="s">
        <v>1396</v>
      </c>
      <c r="D149">
        <f t="shared" si="9"/>
        <v>20</v>
      </c>
      <c r="BV149">
        <f>BV136+5</f>
        <v>20</v>
      </c>
      <c r="DI149">
        <f t="shared" si="11"/>
        <v>100</v>
      </c>
      <c r="DM149">
        <f t="shared" si="10"/>
        <v>4000</v>
      </c>
    </row>
    <row r="150" spans="1:117" outlineLevel="1" x14ac:dyDescent="0.4">
      <c r="A150" t="s">
        <v>1509</v>
      </c>
      <c r="C150" t="s">
        <v>1395</v>
      </c>
      <c r="D150">
        <f t="shared" si="9"/>
        <v>20</v>
      </c>
      <c r="BW150">
        <f>BW137+5</f>
        <v>20</v>
      </c>
      <c r="DI150">
        <f t="shared" si="11"/>
        <v>100</v>
      </c>
      <c r="DM150">
        <f t="shared" si="10"/>
        <v>4000</v>
      </c>
    </row>
    <row r="151" spans="1:117" outlineLevel="1" x14ac:dyDescent="0.4">
      <c r="A151" t="s">
        <v>1378</v>
      </c>
      <c r="C151" t="s">
        <v>1357</v>
      </c>
      <c r="D151">
        <f t="shared" si="9"/>
        <v>20</v>
      </c>
      <c r="BX151">
        <f>BX138+5</f>
        <v>20</v>
      </c>
      <c r="DI151">
        <f t="shared" si="11"/>
        <v>100</v>
      </c>
      <c r="DM151">
        <f t="shared" si="10"/>
        <v>4000</v>
      </c>
    </row>
    <row r="152" spans="1:117" outlineLevel="1" x14ac:dyDescent="0.4">
      <c r="A152" t="s">
        <v>1379</v>
      </c>
      <c r="C152" t="s">
        <v>1358</v>
      </c>
      <c r="D152">
        <f t="shared" si="9"/>
        <v>20</v>
      </c>
      <c r="BY152">
        <f>BY139+5</f>
        <v>20</v>
      </c>
      <c r="DI152">
        <f t="shared" si="11"/>
        <v>100</v>
      </c>
      <c r="DM152">
        <f t="shared" si="10"/>
        <v>4000</v>
      </c>
    </row>
    <row r="153" spans="1:117" outlineLevel="1" x14ac:dyDescent="0.4">
      <c r="A153" t="s">
        <v>1510</v>
      </c>
      <c r="C153" t="s">
        <v>1397</v>
      </c>
      <c r="D153">
        <f t="shared" si="9"/>
        <v>25</v>
      </c>
      <c r="BM153">
        <f>BM140+5</f>
        <v>25</v>
      </c>
      <c r="DI153">
        <f t="shared" si="11"/>
        <v>125</v>
      </c>
      <c r="DM153">
        <f t="shared" si="10"/>
        <v>5000</v>
      </c>
    </row>
    <row r="154" spans="1:117" outlineLevel="1" x14ac:dyDescent="0.4">
      <c r="A154" t="s">
        <v>1511</v>
      </c>
      <c r="C154" t="s">
        <v>1398</v>
      </c>
      <c r="D154">
        <f t="shared" si="9"/>
        <v>25</v>
      </c>
      <c r="BN154">
        <f>BN141+5</f>
        <v>25</v>
      </c>
      <c r="DI154">
        <f t="shared" si="11"/>
        <v>125</v>
      </c>
      <c r="DM154">
        <f t="shared" si="10"/>
        <v>5000</v>
      </c>
    </row>
    <row r="155" spans="1:117" outlineLevel="1" x14ac:dyDescent="0.4">
      <c r="A155" t="s">
        <v>1386</v>
      </c>
      <c r="C155" t="s">
        <v>1306</v>
      </c>
      <c r="D155">
        <f t="shared" si="9"/>
        <v>25</v>
      </c>
      <c r="BO155">
        <f>BO142+5</f>
        <v>25</v>
      </c>
      <c r="DI155">
        <f t="shared" si="11"/>
        <v>125</v>
      </c>
      <c r="DM155">
        <f t="shared" si="10"/>
        <v>5000</v>
      </c>
    </row>
    <row r="156" spans="1:117" outlineLevel="1" x14ac:dyDescent="0.4">
      <c r="A156" t="s">
        <v>1390</v>
      </c>
      <c r="C156" t="s">
        <v>100</v>
      </c>
      <c r="D156">
        <f t="shared" si="9"/>
        <v>25</v>
      </c>
      <c r="BP156">
        <f>BP143+5</f>
        <v>25</v>
      </c>
      <c r="DI156">
        <f t="shared" si="11"/>
        <v>125</v>
      </c>
      <c r="DM156">
        <f t="shared" si="10"/>
        <v>5000</v>
      </c>
    </row>
    <row r="157" spans="1:117" outlineLevel="1" x14ac:dyDescent="0.4">
      <c r="A157" t="s">
        <v>1391</v>
      </c>
      <c r="C157" t="s">
        <v>1310</v>
      </c>
      <c r="D157">
        <f t="shared" si="9"/>
        <v>25</v>
      </c>
      <c r="BQ157">
        <f>BQ144+5</f>
        <v>25</v>
      </c>
      <c r="DI157">
        <f t="shared" si="11"/>
        <v>125</v>
      </c>
      <c r="DM157">
        <f t="shared" si="10"/>
        <v>5000</v>
      </c>
    </row>
    <row r="158" spans="1:117" outlineLevel="1" x14ac:dyDescent="0.4">
      <c r="A158" t="s">
        <v>1392</v>
      </c>
      <c r="C158" t="s">
        <v>598</v>
      </c>
      <c r="D158">
        <f t="shared" si="9"/>
        <v>25</v>
      </c>
      <c r="BR158">
        <f>BR145+5</f>
        <v>25</v>
      </c>
      <c r="DI158">
        <f t="shared" si="11"/>
        <v>125</v>
      </c>
      <c r="DM158">
        <f t="shared" si="10"/>
        <v>5000</v>
      </c>
    </row>
    <row r="159" spans="1:117" outlineLevel="1" x14ac:dyDescent="0.4">
      <c r="A159" t="s">
        <v>1393</v>
      </c>
      <c r="C159" t="s">
        <v>598</v>
      </c>
      <c r="D159">
        <f t="shared" si="9"/>
        <v>25</v>
      </c>
      <c r="BS159">
        <f>BS146+5</f>
        <v>25</v>
      </c>
      <c r="DI159">
        <f t="shared" si="11"/>
        <v>125</v>
      </c>
      <c r="DM159">
        <f t="shared" si="10"/>
        <v>5000</v>
      </c>
    </row>
    <row r="160" spans="1:117" outlineLevel="1" x14ac:dyDescent="0.4">
      <c r="A160" t="s">
        <v>1394</v>
      </c>
      <c r="C160" t="s">
        <v>598</v>
      </c>
      <c r="D160">
        <f t="shared" si="9"/>
        <v>25</v>
      </c>
      <c r="BT160">
        <f>BT147+5</f>
        <v>25</v>
      </c>
      <c r="DI160">
        <f t="shared" si="11"/>
        <v>125</v>
      </c>
      <c r="DM160">
        <f t="shared" si="10"/>
        <v>5000</v>
      </c>
    </row>
    <row r="161" spans="1:117" outlineLevel="1" x14ac:dyDescent="0.4">
      <c r="A161" t="s">
        <v>1512</v>
      </c>
      <c r="C161" t="s">
        <v>500</v>
      </c>
      <c r="D161">
        <f t="shared" si="9"/>
        <v>25</v>
      </c>
      <c r="BU161">
        <f>BU148+5</f>
        <v>25</v>
      </c>
      <c r="DI161">
        <f t="shared" si="11"/>
        <v>125</v>
      </c>
      <c r="DM161">
        <f t="shared" si="10"/>
        <v>5000</v>
      </c>
    </row>
    <row r="162" spans="1:117" outlineLevel="1" x14ac:dyDescent="0.4">
      <c r="A162" t="s">
        <v>1389</v>
      </c>
      <c r="C162" t="s">
        <v>1396</v>
      </c>
      <c r="D162">
        <f t="shared" si="9"/>
        <v>25</v>
      </c>
      <c r="BV162">
        <f>BV149+5</f>
        <v>25</v>
      </c>
      <c r="DI162">
        <f t="shared" si="11"/>
        <v>125</v>
      </c>
      <c r="DM162">
        <f t="shared" si="10"/>
        <v>5000</v>
      </c>
    </row>
    <row r="163" spans="1:117" outlineLevel="1" x14ac:dyDescent="0.4">
      <c r="A163" t="s">
        <v>1513</v>
      </c>
      <c r="C163" t="s">
        <v>1395</v>
      </c>
      <c r="D163">
        <f t="shared" si="9"/>
        <v>25</v>
      </c>
      <c r="BW163">
        <f>BW150+5</f>
        <v>25</v>
      </c>
      <c r="DI163">
        <f t="shared" si="11"/>
        <v>125</v>
      </c>
      <c r="DM163">
        <f t="shared" si="10"/>
        <v>5000</v>
      </c>
    </row>
    <row r="164" spans="1:117" outlineLevel="1" x14ac:dyDescent="0.4">
      <c r="A164" t="s">
        <v>1387</v>
      </c>
      <c r="C164" t="s">
        <v>1357</v>
      </c>
      <c r="D164">
        <f t="shared" si="9"/>
        <v>25</v>
      </c>
      <c r="BX164">
        <f>BX151+5</f>
        <v>25</v>
      </c>
      <c r="DI164">
        <f t="shared" si="11"/>
        <v>125</v>
      </c>
      <c r="DM164">
        <f t="shared" si="10"/>
        <v>5000</v>
      </c>
    </row>
    <row r="165" spans="1:117" outlineLevel="1" x14ac:dyDescent="0.4">
      <c r="A165" t="s">
        <v>1388</v>
      </c>
      <c r="C165" t="s">
        <v>1358</v>
      </c>
      <c r="D165">
        <f t="shared" si="9"/>
        <v>25</v>
      </c>
      <c r="BY165">
        <f>BY152+5</f>
        <v>25</v>
      </c>
      <c r="DI165">
        <f t="shared" si="11"/>
        <v>125</v>
      </c>
      <c r="DM165">
        <f t="shared" si="10"/>
        <v>5000</v>
      </c>
    </row>
    <row r="166" spans="1:117" x14ac:dyDescent="0.4">
      <c r="DI166">
        <f t="shared" si="11"/>
        <v>0</v>
      </c>
      <c r="DM166">
        <f t="shared" si="10"/>
        <v>0</v>
      </c>
    </row>
    <row r="167" spans="1:117" x14ac:dyDescent="0.4">
      <c r="A167" t="s">
        <v>123</v>
      </c>
      <c r="C167" t="s">
        <v>1430</v>
      </c>
      <c r="D167">
        <v>5</v>
      </c>
      <c r="CP167">
        <v>10</v>
      </c>
      <c r="DI167">
        <f t="shared" si="11"/>
        <v>25</v>
      </c>
      <c r="DM167">
        <f t="shared" si="10"/>
        <v>500</v>
      </c>
    </row>
    <row r="168" spans="1:117" outlineLevel="1" x14ac:dyDescent="0.4">
      <c r="A168" t="s">
        <v>122</v>
      </c>
      <c r="C168" t="s">
        <v>1312</v>
      </c>
      <c r="D168">
        <v>5</v>
      </c>
      <c r="CQ168">
        <v>10</v>
      </c>
      <c r="DI168">
        <f t="shared" si="11"/>
        <v>25</v>
      </c>
      <c r="DM168">
        <f t="shared" si="10"/>
        <v>500</v>
      </c>
    </row>
    <row r="169" spans="1:117" outlineLevel="1" x14ac:dyDescent="0.4">
      <c r="A169" t="s">
        <v>121</v>
      </c>
      <c r="C169" t="s">
        <v>1433</v>
      </c>
      <c r="D169">
        <v>5</v>
      </c>
      <c r="E169" t="s">
        <v>1427</v>
      </c>
      <c r="CR169">
        <v>10</v>
      </c>
      <c r="DI169">
        <f t="shared" si="11"/>
        <v>25</v>
      </c>
      <c r="DM169">
        <f t="shared" si="10"/>
        <v>500</v>
      </c>
    </row>
    <row r="170" spans="1:117" outlineLevel="1" x14ac:dyDescent="0.4">
      <c r="A170" t="s">
        <v>120</v>
      </c>
      <c r="C170" t="s">
        <v>205</v>
      </c>
      <c r="D170">
        <v>5</v>
      </c>
      <c r="CS170">
        <v>10</v>
      </c>
      <c r="DI170">
        <f t="shared" si="11"/>
        <v>25</v>
      </c>
      <c r="DM170">
        <f t="shared" si="10"/>
        <v>500</v>
      </c>
    </row>
    <row r="171" spans="1:117" outlineLevel="1" x14ac:dyDescent="0.4">
      <c r="A171" t="s">
        <v>119</v>
      </c>
      <c r="D171">
        <v>5</v>
      </c>
      <c r="CT171">
        <v>10</v>
      </c>
      <c r="DI171">
        <f t="shared" si="11"/>
        <v>25</v>
      </c>
      <c r="DM171">
        <f t="shared" si="10"/>
        <v>500</v>
      </c>
    </row>
    <row r="172" spans="1:117" outlineLevel="1" x14ac:dyDescent="0.4">
      <c r="A172" t="s">
        <v>118</v>
      </c>
      <c r="D172">
        <v>5</v>
      </c>
      <c r="CU172">
        <v>10</v>
      </c>
      <c r="DI172">
        <f t="shared" si="11"/>
        <v>25</v>
      </c>
      <c r="DM172">
        <f t="shared" si="10"/>
        <v>500</v>
      </c>
    </row>
    <row r="173" spans="1:117" outlineLevel="1" x14ac:dyDescent="0.4">
      <c r="A173" t="s">
        <v>1545</v>
      </c>
      <c r="C173" t="s">
        <v>1428</v>
      </c>
      <c r="D173">
        <v>5</v>
      </c>
      <c r="CV173">
        <v>10</v>
      </c>
      <c r="DI173">
        <f t="shared" si="11"/>
        <v>25</v>
      </c>
      <c r="DM173">
        <f t="shared" si="10"/>
        <v>500</v>
      </c>
    </row>
    <row r="174" spans="1:117" outlineLevel="1" x14ac:dyDescent="0.4">
      <c r="A174" t="s">
        <v>116</v>
      </c>
      <c r="C174" t="s">
        <v>539</v>
      </c>
      <c r="D174">
        <v>5</v>
      </c>
      <c r="CW174">
        <v>10</v>
      </c>
      <c r="DI174">
        <f t="shared" si="11"/>
        <v>25</v>
      </c>
      <c r="DM174">
        <f t="shared" si="10"/>
        <v>500</v>
      </c>
    </row>
    <row r="175" spans="1:117" outlineLevel="1" x14ac:dyDescent="0.4">
      <c r="A175" t="s">
        <v>115</v>
      </c>
      <c r="C175" t="s">
        <v>1429</v>
      </c>
      <c r="D175">
        <v>5</v>
      </c>
      <c r="CX175">
        <v>10</v>
      </c>
      <c r="DI175">
        <f t="shared" si="11"/>
        <v>25</v>
      </c>
      <c r="DM175">
        <f t="shared" si="10"/>
        <v>500</v>
      </c>
    </row>
    <row r="176" spans="1:117" outlineLevel="1" x14ac:dyDescent="0.4">
      <c r="A176" t="s">
        <v>114</v>
      </c>
      <c r="C176" t="s">
        <v>100</v>
      </c>
      <c r="D176">
        <v>5</v>
      </c>
      <c r="CY176">
        <v>10</v>
      </c>
      <c r="DI176">
        <f t="shared" si="11"/>
        <v>25</v>
      </c>
      <c r="DM176">
        <f t="shared" si="10"/>
        <v>500</v>
      </c>
    </row>
    <row r="177" spans="1:117" outlineLevel="1" x14ac:dyDescent="0.4">
      <c r="A177" t="s">
        <v>113</v>
      </c>
      <c r="D177">
        <v>5</v>
      </c>
      <c r="CZ177">
        <v>10</v>
      </c>
      <c r="DI177">
        <f t="shared" si="11"/>
        <v>25</v>
      </c>
      <c r="DM177">
        <f t="shared" si="10"/>
        <v>500</v>
      </c>
    </row>
    <row r="178" spans="1:117" outlineLevel="1" x14ac:dyDescent="0.4">
      <c r="A178" t="s">
        <v>112</v>
      </c>
      <c r="D178">
        <v>5</v>
      </c>
      <c r="DA178">
        <v>10</v>
      </c>
      <c r="DI178">
        <f t="shared" si="11"/>
        <v>25</v>
      </c>
      <c r="DM178">
        <f t="shared" si="10"/>
        <v>500</v>
      </c>
    </row>
    <row r="179" spans="1:117" outlineLevel="1" x14ac:dyDescent="0.4">
      <c r="A179" t="s">
        <v>111</v>
      </c>
      <c r="D179">
        <v>5</v>
      </c>
      <c r="DB179">
        <v>10</v>
      </c>
      <c r="DI179">
        <f t="shared" si="11"/>
        <v>25</v>
      </c>
      <c r="DM179">
        <f t="shared" si="10"/>
        <v>500</v>
      </c>
    </row>
    <row r="180" spans="1:117" outlineLevel="1" x14ac:dyDescent="0.4">
      <c r="A180" t="s">
        <v>110</v>
      </c>
      <c r="C180" t="s">
        <v>1544</v>
      </c>
      <c r="D180">
        <v>5</v>
      </c>
      <c r="DC180">
        <v>10</v>
      </c>
      <c r="DI180">
        <f t="shared" si="11"/>
        <v>25</v>
      </c>
      <c r="DM180">
        <f t="shared" si="10"/>
        <v>500</v>
      </c>
    </row>
    <row r="181" spans="1:117" outlineLevel="1" x14ac:dyDescent="0.4">
      <c r="A181" t="s">
        <v>1551</v>
      </c>
      <c r="C181" t="s">
        <v>1432</v>
      </c>
      <c r="D181">
        <v>5</v>
      </c>
      <c r="DD181">
        <v>10</v>
      </c>
      <c r="DI181">
        <f t="shared" si="11"/>
        <v>25</v>
      </c>
      <c r="DM181">
        <f t="shared" si="10"/>
        <v>500</v>
      </c>
    </row>
    <row r="182" spans="1:117" outlineLevel="1" x14ac:dyDescent="0.4">
      <c r="A182" t="s">
        <v>108</v>
      </c>
      <c r="C182" t="s">
        <v>1433</v>
      </c>
      <c r="D182">
        <v>5</v>
      </c>
      <c r="E182" t="s">
        <v>1427</v>
      </c>
      <c r="DE182">
        <v>10</v>
      </c>
      <c r="DI182">
        <f t="shared" si="11"/>
        <v>25</v>
      </c>
      <c r="DM182">
        <f t="shared" si="10"/>
        <v>500</v>
      </c>
    </row>
    <row r="183" spans="1:117" outlineLevel="1" x14ac:dyDescent="0.4">
      <c r="A183" t="s">
        <v>1434</v>
      </c>
      <c r="C183" t="s">
        <v>1430</v>
      </c>
      <c r="D183">
        <f>D167+5</f>
        <v>10</v>
      </c>
      <c r="CP183">
        <f>CP167+10</f>
        <v>20</v>
      </c>
      <c r="DI183">
        <f t="shared" si="11"/>
        <v>50</v>
      </c>
      <c r="DM183">
        <f t="shared" si="10"/>
        <v>1000</v>
      </c>
    </row>
    <row r="184" spans="1:117" outlineLevel="1" x14ac:dyDescent="0.4">
      <c r="A184" t="s">
        <v>1435</v>
      </c>
      <c r="C184" t="s">
        <v>1312</v>
      </c>
      <c r="D184">
        <f t="shared" ref="D184:D246" si="12">D168+5</f>
        <v>10</v>
      </c>
      <c r="CQ184">
        <f>CQ168+10</f>
        <v>20</v>
      </c>
      <c r="DI184">
        <f t="shared" si="11"/>
        <v>50</v>
      </c>
      <c r="DM184">
        <f t="shared" si="10"/>
        <v>1000</v>
      </c>
    </row>
    <row r="185" spans="1:117" outlineLevel="1" x14ac:dyDescent="0.4">
      <c r="A185" t="s">
        <v>1436</v>
      </c>
      <c r="C185" t="s">
        <v>1433</v>
      </c>
      <c r="D185">
        <f t="shared" si="12"/>
        <v>10</v>
      </c>
      <c r="E185" t="s">
        <v>1427</v>
      </c>
      <c r="CR185">
        <f>CR169+10</f>
        <v>20</v>
      </c>
      <c r="DI185">
        <f t="shared" si="11"/>
        <v>50</v>
      </c>
      <c r="DM185">
        <f t="shared" si="10"/>
        <v>1000</v>
      </c>
    </row>
    <row r="186" spans="1:117" outlineLevel="1" x14ac:dyDescent="0.4">
      <c r="A186" t="s">
        <v>1437</v>
      </c>
      <c r="C186" t="s">
        <v>205</v>
      </c>
      <c r="D186">
        <f t="shared" si="12"/>
        <v>10</v>
      </c>
      <c r="CS186">
        <f>CS170+10</f>
        <v>20</v>
      </c>
      <c r="DI186">
        <f t="shared" si="11"/>
        <v>50</v>
      </c>
      <c r="DM186">
        <f t="shared" si="10"/>
        <v>1000</v>
      </c>
    </row>
    <row r="187" spans="1:117" outlineLevel="1" x14ac:dyDescent="0.4">
      <c r="A187" t="s">
        <v>1438</v>
      </c>
      <c r="D187">
        <f t="shared" si="12"/>
        <v>10</v>
      </c>
      <c r="CT187">
        <f>CT171+10</f>
        <v>20</v>
      </c>
      <c r="DI187">
        <f t="shared" si="11"/>
        <v>50</v>
      </c>
      <c r="DM187">
        <f t="shared" si="10"/>
        <v>1000</v>
      </c>
    </row>
    <row r="188" spans="1:117" outlineLevel="1" x14ac:dyDescent="0.4">
      <c r="A188" t="s">
        <v>1439</v>
      </c>
      <c r="D188">
        <f t="shared" si="12"/>
        <v>10</v>
      </c>
      <c r="CU188">
        <f>CU172+10</f>
        <v>20</v>
      </c>
      <c r="DI188">
        <f t="shared" si="11"/>
        <v>50</v>
      </c>
      <c r="DM188">
        <f t="shared" si="10"/>
        <v>1000</v>
      </c>
    </row>
    <row r="189" spans="1:117" outlineLevel="1" x14ac:dyDescent="0.4">
      <c r="A189" t="s">
        <v>1440</v>
      </c>
      <c r="C189" t="s">
        <v>1428</v>
      </c>
      <c r="D189">
        <f t="shared" si="12"/>
        <v>10</v>
      </c>
      <c r="CV189">
        <f>CV173+10</f>
        <v>20</v>
      </c>
      <c r="DI189">
        <f t="shared" si="11"/>
        <v>50</v>
      </c>
      <c r="DM189">
        <f t="shared" si="10"/>
        <v>1000</v>
      </c>
    </row>
    <row r="190" spans="1:117" outlineLevel="1" x14ac:dyDescent="0.4">
      <c r="A190" t="s">
        <v>1441</v>
      </c>
      <c r="C190" t="s">
        <v>539</v>
      </c>
      <c r="D190">
        <f t="shared" si="12"/>
        <v>10</v>
      </c>
      <c r="CW190">
        <f>CW174+10</f>
        <v>20</v>
      </c>
      <c r="DI190">
        <f t="shared" si="11"/>
        <v>50</v>
      </c>
      <c r="DM190">
        <f t="shared" si="10"/>
        <v>1000</v>
      </c>
    </row>
    <row r="191" spans="1:117" outlineLevel="1" x14ac:dyDescent="0.4">
      <c r="A191" t="s">
        <v>1442</v>
      </c>
      <c r="C191" t="s">
        <v>1429</v>
      </c>
      <c r="D191">
        <f t="shared" si="12"/>
        <v>10</v>
      </c>
      <c r="CX191">
        <f>CX175+10</f>
        <v>20</v>
      </c>
      <c r="DI191">
        <f t="shared" si="11"/>
        <v>50</v>
      </c>
      <c r="DM191">
        <f t="shared" si="10"/>
        <v>1000</v>
      </c>
    </row>
    <row r="192" spans="1:117" outlineLevel="1" x14ac:dyDescent="0.4">
      <c r="A192" t="s">
        <v>1443</v>
      </c>
      <c r="C192" t="s">
        <v>100</v>
      </c>
      <c r="D192">
        <f t="shared" si="12"/>
        <v>10</v>
      </c>
      <c r="CY192">
        <f>CY176+10</f>
        <v>20</v>
      </c>
      <c r="DI192">
        <f t="shared" si="11"/>
        <v>50</v>
      </c>
      <c r="DM192">
        <f t="shared" si="10"/>
        <v>1000</v>
      </c>
    </row>
    <row r="193" spans="1:117" outlineLevel="1" x14ac:dyDescent="0.4">
      <c r="A193" t="s">
        <v>1444</v>
      </c>
      <c r="D193">
        <f t="shared" si="12"/>
        <v>10</v>
      </c>
      <c r="CZ193">
        <f>CZ177+10</f>
        <v>20</v>
      </c>
      <c r="DI193">
        <f t="shared" si="11"/>
        <v>50</v>
      </c>
      <c r="DM193">
        <f t="shared" si="10"/>
        <v>1000</v>
      </c>
    </row>
    <row r="194" spans="1:117" outlineLevel="1" x14ac:dyDescent="0.4">
      <c r="A194" t="s">
        <v>1445</v>
      </c>
      <c r="D194">
        <f t="shared" si="12"/>
        <v>10</v>
      </c>
      <c r="DA194">
        <f>DA178+10</f>
        <v>20</v>
      </c>
      <c r="DI194">
        <f t="shared" si="11"/>
        <v>50</v>
      </c>
      <c r="DM194">
        <f t="shared" si="10"/>
        <v>1000</v>
      </c>
    </row>
    <row r="195" spans="1:117" outlineLevel="1" x14ac:dyDescent="0.4">
      <c r="A195" t="s">
        <v>1446</v>
      </c>
      <c r="D195">
        <f t="shared" si="12"/>
        <v>10</v>
      </c>
      <c r="DB195">
        <f>DB179+10</f>
        <v>20</v>
      </c>
      <c r="DI195">
        <f t="shared" si="11"/>
        <v>50</v>
      </c>
      <c r="DM195">
        <f t="shared" si="10"/>
        <v>1000</v>
      </c>
    </row>
    <row r="196" spans="1:117" outlineLevel="1" x14ac:dyDescent="0.4">
      <c r="A196" t="s">
        <v>1447</v>
      </c>
      <c r="C196" t="s">
        <v>1431</v>
      </c>
      <c r="D196">
        <f t="shared" si="12"/>
        <v>10</v>
      </c>
      <c r="DC196">
        <f>DC180+10</f>
        <v>20</v>
      </c>
      <c r="DI196">
        <f t="shared" si="11"/>
        <v>50</v>
      </c>
      <c r="DM196">
        <f t="shared" si="10"/>
        <v>1000</v>
      </c>
    </row>
    <row r="197" spans="1:117" outlineLevel="1" x14ac:dyDescent="0.4">
      <c r="A197" t="s">
        <v>1448</v>
      </c>
      <c r="C197" t="s">
        <v>1432</v>
      </c>
      <c r="D197">
        <f t="shared" si="12"/>
        <v>10</v>
      </c>
      <c r="DD197">
        <f>DD181+10</f>
        <v>20</v>
      </c>
      <c r="DI197">
        <f t="shared" si="11"/>
        <v>50</v>
      </c>
      <c r="DM197">
        <f t="shared" si="10"/>
        <v>1000</v>
      </c>
    </row>
    <row r="198" spans="1:117" outlineLevel="1" x14ac:dyDescent="0.4">
      <c r="A198" t="s">
        <v>1449</v>
      </c>
      <c r="C198" t="s">
        <v>1433</v>
      </c>
      <c r="D198">
        <f t="shared" si="12"/>
        <v>10</v>
      </c>
      <c r="E198" t="s">
        <v>1427</v>
      </c>
      <c r="DE198">
        <f>DE182+10</f>
        <v>20</v>
      </c>
      <c r="DI198">
        <f t="shared" si="11"/>
        <v>50</v>
      </c>
      <c r="DM198">
        <f t="shared" si="10"/>
        <v>1000</v>
      </c>
    </row>
    <row r="199" spans="1:117" outlineLevel="1" x14ac:dyDescent="0.4">
      <c r="A199" t="s">
        <v>1450</v>
      </c>
      <c r="C199" t="s">
        <v>1430</v>
      </c>
      <c r="D199">
        <f t="shared" si="12"/>
        <v>15</v>
      </c>
      <c r="CP199">
        <f>CP183+10</f>
        <v>30</v>
      </c>
      <c r="DI199">
        <f t="shared" si="11"/>
        <v>75</v>
      </c>
      <c r="DM199">
        <f t="shared" si="10"/>
        <v>1500</v>
      </c>
    </row>
    <row r="200" spans="1:117" outlineLevel="1" x14ac:dyDescent="0.4">
      <c r="A200" t="s">
        <v>1451</v>
      </c>
      <c r="C200" t="s">
        <v>1312</v>
      </c>
      <c r="D200">
        <f t="shared" si="12"/>
        <v>15</v>
      </c>
      <c r="CQ200">
        <f>CQ184+10</f>
        <v>30</v>
      </c>
      <c r="DI200">
        <f t="shared" si="11"/>
        <v>75</v>
      </c>
      <c r="DM200">
        <f t="shared" si="10"/>
        <v>1500</v>
      </c>
    </row>
    <row r="201" spans="1:117" outlineLevel="1" x14ac:dyDescent="0.4">
      <c r="A201" t="s">
        <v>1452</v>
      </c>
      <c r="C201" t="s">
        <v>1433</v>
      </c>
      <c r="D201">
        <f t="shared" si="12"/>
        <v>15</v>
      </c>
      <c r="E201" t="s">
        <v>1427</v>
      </c>
      <c r="CR201">
        <f>CR185+10</f>
        <v>30</v>
      </c>
      <c r="DI201">
        <f t="shared" si="11"/>
        <v>75</v>
      </c>
      <c r="DM201">
        <f t="shared" si="10"/>
        <v>1500</v>
      </c>
    </row>
    <row r="202" spans="1:117" outlineLevel="1" x14ac:dyDescent="0.4">
      <c r="A202" t="s">
        <v>1453</v>
      </c>
      <c r="C202" t="s">
        <v>205</v>
      </c>
      <c r="D202">
        <f t="shared" si="12"/>
        <v>15</v>
      </c>
      <c r="CS202">
        <f>CS186+10</f>
        <v>30</v>
      </c>
      <c r="DI202">
        <f t="shared" si="11"/>
        <v>75</v>
      </c>
      <c r="DM202">
        <f t="shared" si="10"/>
        <v>1500</v>
      </c>
    </row>
    <row r="203" spans="1:117" outlineLevel="1" x14ac:dyDescent="0.4">
      <c r="A203" t="s">
        <v>1454</v>
      </c>
      <c r="D203">
        <f t="shared" si="12"/>
        <v>15</v>
      </c>
      <c r="CT203">
        <f>CT187+10</f>
        <v>30</v>
      </c>
      <c r="DI203">
        <f t="shared" si="11"/>
        <v>75</v>
      </c>
      <c r="DM203">
        <f t="shared" ref="DM203:DM266" si="13">(SUM(H203:AX203,CE203:CO203)*100)+(SUM(AY203:CC203)*200)+(SUM(CP203:DF203)*50)</f>
        <v>1500</v>
      </c>
    </row>
    <row r="204" spans="1:117" outlineLevel="1" x14ac:dyDescent="0.4">
      <c r="A204" t="s">
        <v>1455</v>
      </c>
      <c r="D204">
        <f t="shared" si="12"/>
        <v>15</v>
      </c>
      <c r="CU204">
        <f>CU188+10</f>
        <v>30</v>
      </c>
      <c r="DI204">
        <f t="shared" ref="DI204:DI267" si="14">D204*5</f>
        <v>75</v>
      </c>
      <c r="DM204">
        <f t="shared" si="13"/>
        <v>1500</v>
      </c>
    </row>
    <row r="205" spans="1:117" outlineLevel="1" x14ac:dyDescent="0.4">
      <c r="A205" t="s">
        <v>1456</v>
      </c>
      <c r="C205" t="s">
        <v>1428</v>
      </c>
      <c r="D205">
        <f t="shared" si="12"/>
        <v>15</v>
      </c>
      <c r="CV205">
        <f>CV189+10</f>
        <v>30</v>
      </c>
      <c r="DI205">
        <f t="shared" si="14"/>
        <v>75</v>
      </c>
      <c r="DM205">
        <f t="shared" si="13"/>
        <v>1500</v>
      </c>
    </row>
    <row r="206" spans="1:117" outlineLevel="1" x14ac:dyDescent="0.4">
      <c r="A206" t="s">
        <v>1457</v>
      </c>
      <c r="C206" t="s">
        <v>539</v>
      </c>
      <c r="D206">
        <f t="shared" si="12"/>
        <v>15</v>
      </c>
      <c r="CW206">
        <f>CW190+10</f>
        <v>30</v>
      </c>
      <c r="DI206">
        <f t="shared" si="14"/>
        <v>75</v>
      </c>
      <c r="DM206">
        <f t="shared" si="13"/>
        <v>1500</v>
      </c>
    </row>
    <row r="207" spans="1:117" outlineLevel="1" x14ac:dyDescent="0.4">
      <c r="A207" t="s">
        <v>1458</v>
      </c>
      <c r="C207" t="s">
        <v>1429</v>
      </c>
      <c r="D207">
        <f t="shared" si="12"/>
        <v>15</v>
      </c>
      <c r="CX207">
        <f>CX191+10</f>
        <v>30</v>
      </c>
      <c r="DI207">
        <f t="shared" si="14"/>
        <v>75</v>
      </c>
      <c r="DM207">
        <f t="shared" si="13"/>
        <v>1500</v>
      </c>
    </row>
    <row r="208" spans="1:117" outlineLevel="1" x14ac:dyDescent="0.4">
      <c r="A208" t="s">
        <v>1459</v>
      </c>
      <c r="C208" t="s">
        <v>100</v>
      </c>
      <c r="D208">
        <f t="shared" si="12"/>
        <v>15</v>
      </c>
      <c r="CY208">
        <f>CY192+10</f>
        <v>30</v>
      </c>
      <c r="DI208">
        <f t="shared" si="14"/>
        <v>75</v>
      </c>
      <c r="DM208">
        <f t="shared" si="13"/>
        <v>1500</v>
      </c>
    </row>
    <row r="209" spans="1:117" outlineLevel="1" x14ac:dyDescent="0.4">
      <c r="A209" t="s">
        <v>1460</v>
      </c>
      <c r="D209">
        <f t="shared" si="12"/>
        <v>15</v>
      </c>
      <c r="CZ209">
        <f>CZ193+10</f>
        <v>30</v>
      </c>
      <c r="DI209">
        <f t="shared" si="14"/>
        <v>75</v>
      </c>
      <c r="DM209">
        <f t="shared" si="13"/>
        <v>1500</v>
      </c>
    </row>
    <row r="210" spans="1:117" outlineLevel="1" x14ac:dyDescent="0.4">
      <c r="A210" t="s">
        <v>1461</v>
      </c>
      <c r="D210">
        <f t="shared" si="12"/>
        <v>15</v>
      </c>
      <c r="DA210">
        <f>DA194+10</f>
        <v>30</v>
      </c>
      <c r="DI210">
        <f t="shared" si="14"/>
        <v>75</v>
      </c>
      <c r="DM210">
        <f t="shared" si="13"/>
        <v>1500</v>
      </c>
    </row>
    <row r="211" spans="1:117" outlineLevel="1" x14ac:dyDescent="0.4">
      <c r="A211" t="s">
        <v>1462</v>
      </c>
      <c r="D211">
        <f t="shared" si="12"/>
        <v>15</v>
      </c>
      <c r="DB211">
        <f>DB195+10</f>
        <v>30</v>
      </c>
      <c r="DI211">
        <f t="shared" si="14"/>
        <v>75</v>
      </c>
      <c r="DM211">
        <f t="shared" si="13"/>
        <v>1500</v>
      </c>
    </row>
    <row r="212" spans="1:117" outlineLevel="1" x14ac:dyDescent="0.4">
      <c r="A212" t="s">
        <v>1463</v>
      </c>
      <c r="C212" t="s">
        <v>1431</v>
      </c>
      <c r="D212">
        <f t="shared" si="12"/>
        <v>15</v>
      </c>
      <c r="DC212">
        <f>DC196+10</f>
        <v>30</v>
      </c>
      <c r="DI212">
        <f t="shared" si="14"/>
        <v>75</v>
      </c>
      <c r="DM212">
        <f t="shared" si="13"/>
        <v>1500</v>
      </c>
    </row>
    <row r="213" spans="1:117" outlineLevel="1" x14ac:dyDescent="0.4">
      <c r="A213" t="s">
        <v>1464</v>
      </c>
      <c r="C213" t="s">
        <v>1432</v>
      </c>
      <c r="D213">
        <f t="shared" si="12"/>
        <v>15</v>
      </c>
      <c r="DD213">
        <f>DD197+10</f>
        <v>30</v>
      </c>
      <c r="DI213">
        <f t="shared" si="14"/>
        <v>75</v>
      </c>
      <c r="DM213">
        <f t="shared" si="13"/>
        <v>1500</v>
      </c>
    </row>
    <row r="214" spans="1:117" outlineLevel="1" x14ac:dyDescent="0.4">
      <c r="A214" t="s">
        <v>1465</v>
      </c>
      <c r="C214" t="s">
        <v>1433</v>
      </c>
      <c r="D214">
        <f t="shared" si="12"/>
        <v>15</v>
      </c>
      <c r="E214" t="s">
        <v>1427</v>
      </c>
      <c r="DE214">
        <f>DE198+10</f>
        <v>30</v>
      </c>
      <c r="DI214">
        <f t="shared" si="14"/>
        <v>75</v>
      </c>
      <c r="DM214">
        <f t="shared" si="13"/>
        <v>1500</v>
      </c>
    </row>
    <row r="215" spans="1:117" outlineLevel="1" x14ac:dyDescent="0.4">
      <c r="A215" t="s">
        <v>1466</v>
      </c>
      <c r="C215" t="s">
        <v>1430</v>
      </c>
      <c r="D215">
        <f t="shared" si="12"/>
        <v>20</v>
      </c>
      <c r="CP215">
        <f>CP199+10</f>
        <v>40</v>
      </c>
      <c r="DI215">
        <f t="shared" si="14"/>
        <v>100</v>
      </c>
      <c r="DM215">
        <f t="shared" si="13"/>
        <v>2000</v>
      </c>
    </row>
    <row r="216" spans="1:117" outlineLevel="1" x14ac:dyDescent="0.4">
      <c r="A216" t="s">
        <v>1467</v>
      </c>
      <c r="C216" t="s">
        <v>1312</v>
      </c>
      <c r="D216">
        <f t="shared" si="12"/>
        <v>20</v>
      </c>
      <c r="CQ216">
        <f>CQ200+10</f>
        <v>40</v>
      </c>
      <c r="DI216">
        <f t="shared" si="14"/>
        <v>100</v>
      </c>
      <c r="DM216">
        <f t="shared" si="13"/>
        <v>2000</v>
      </c>
    </row>
    <row r="217" spans="1:117" outlineLevel="1" x14ac:dyDescent="0.4">
      <c r="A217" t="s">
        <v>1468</v>
      </c>
      <c r="C217" t="s">
        <v>1433</v>
      </c>
      <c r="D217">
        <f t="shared" si="12"/>
        <v>20</v>
      </c>
      <c r="E217" t="s">
        <v>1427</v>
      </c>
      <c r="CR217">
        <f>CR201+10</f>
        <v>40</v>
      </c>
      <c r="DI217">
        <f t="shared" si="14"/>
        <v>100</v>
      </c>
      <c r="DM217">
        <f t="shared" si="13"/>
        <v>2000</v>
      </c>
    </row>
    <row r="218" spans="1:117" outlineLevel="1" x14ac:dyDescent="0.4">
      <c r="A218" t="s">
        <v>1469</v>
      </c>
      <c r="C218" t="s">
        <v>205</v>
      </c>
      <c r="D218">
        <f t="shared" si="12"/>
        <v>20</v>
      </c>
      <c r="CS218">
        <f>CS202+10</f>
        <v>40</v>
      </c>
      <c r="DI218">
        <f t="shared" si="14"/>
        <v>100</v>
      </c>
      <c r="DM218">
        <f t="shared" si="13"/>
        <v>2000</v>
      </c>
    </row>
    <row r="219" spans="1:117" outlineLevel="1" x14ac:dyDescent="0.4">
      <c r="A219" t="s">
        <v>1470</v>
      </c>
      <c r="D219">
        <f t="shared" si="12"/>
        <v>20</v>
      </c>
      <c r="CT219">
        <f>CT203+10</f>
        <v>40</v>
      </c>
      <c r="DI219">
        <f t="shared" si="14"/>
        <v>100</v>
      </c>
      <c r="DM219">
        <f t="shared" si="13"/>
        <v>2000</v>
      </c>
    </row>
    <row r="220" spans="1:117" outlineLevel="1" x14ac:dyDescent="0.4">
      <c r="A220" t="s">
        <v>1471</v>
      </c>
      <c r="D220">
        <f t="shared" si="12"/>
        <v>20</v>
      </c>
      <c r="CU220">
        <f>CU204+10</f>
        <v>40</v>
      </c>
      <c r="DI220">
        <f t="shared" si="14"/>
        <v>100</v>
      </c>
      <c r="DM220">
        <f t="shared" si="13"/>
        <v>2000</v>
      </c>
    </row>
    <row r="221" spans="1:117" outlineLevel="1" x14ac:dyDescent="0.4">
      <c r="A221" t="s">
        <v>1472</v>
      </c>
      <c r="C221" t="s">
        <v>1428</v>
      </c>
      <c r="D221">
        <f t="shared" si="12"/>
        <v>20</v>
      </c>
      <c r="CV221">
        <f>CV205+10</f>
        <v>40</v>
      </c>
      <c r="DI221">
        <f t="shared" si="14"/>
        <v>100</v>
      </c>
      <c r="DM221">
        <f t="shared" si="13"/>
        <v>2000</v>
      </c>
    </row>
    <row r="222" spans="1:117" outlineLevel="1" x14ac:dyDescent="0.4">
      <c r="A222" t="s">
        <v>1473</v>
      </c>
      <c r="C222" t="s">
        <v>539</v>
      </c>
      <c r="D222">
        <f t="shared" si="12"/>
        <v>20</v>
      </c>
      <c r="CW222">
        <f>CW206+10</f>
        <v>40</v>
      </c>
      <c r="DI222">
        <f t="shared" si="14"/>
        <v>100</v>
      </c>
      <c r="DM222">
        <f t="shared" si="13"/>
        <v>2000</v>
      </c>
    </row>
    <row r="223" spans="1:117" outlineLevel="1" x14ac:dyDescent="0.4">
      <c r="A223" t="s">
        <v>1474</v>
      </c>
      <c r="C223" t="s">
        <v>1429</v>
      </c>
      <c r="D223">
        <f t="shared" si="12"/>
        <v>20</v>
      </c>
      <c r="CX223">
        <f>CX207+10</f>
        <v>40</v>
      </c>
      <c r="DI223">
        <f t="shared" si="14"/>
        <v>100</v>
      </c>
      <c r="DM223">
        <f t="shared" si="13"/>
        <v>2000</v>
      </c>
    </row>
    <row r="224" spans="1:117" outlineLevel="1" x14ac:dyDescent="0.4">
      <c r="A224" t="s">
        <v>1475</v>
      </c>
      <c r="C224" t="s">
        <v>100</v>
      </c>
      <c r="D224">
        <f t="shared" si="12"/>
        <v>20</v>
      </c>
      <c r="CY224">
        <f>CY208+10</f>
        <v>40</v>
      </c>
      <c r="DI224">
        <f t="shared" si="14"/>
        <v>100</v>
      </c>
      <c r="DM224">
        <f t="shared" si="13"/>
        <v>2000</v>
      </c>
    </row>
    <row r="225" spans="1:117" outlineLevel="1" x14ac:dyDescent="0.4">
      <c r="A225" t="s">
        <v>1476</v>
      </c>
      <c r="D225">
        <f t="shared" si="12"/>
        <v>20</v>
      </c>
      <c r="CZ225">
        <f>CZ209+10</f>
        <v>40</v>
      </c>
      <c r="DI225">
        <f t="shared" si="14"/>
        <v>100</v>
      </c>
      <c r="DM225">
        <f t="shared" si="13"/>
        <v>2000</v>
      </c>
    </row>
    <row r="226" spans="1:117" outlineLevel="1" x14ac:dyDescent="0.4">
      <c r="A226" t="s">
        <v>1477</v>
      </c>
      <c r="D226">
        <f t="shared" si="12"/>
        <v>20</v>
      </c>
      <c r="DA226">
        <f>DA210+10</f>
        <v>40</v>
      </c>
      <c r="DI226">
        <f t="shared" si="14"/>
        <v>100</v>
      </c>
      <c r="DM226">
        <f t="shared" si="13"/>
        <v>2000</v>
      </c>
    </row>
    <row r="227" spans="1:117" outlineLevel="1" x14ac:dyDescent="0.4">
      <c r="A227" t="s">
        <v>1478</v>
      </c>
      <c r="D227">
        <f t="shared" si="12"/>
        <v>20</v>
      </c>
      <c r="DB227">
        <f>DB211+10</f>
        <v>40</v>
      </c>
      <c r="DI227">
        <f t="shared" si="14"/>
        <v>100</v>
      </c>
      <c r="DM227">
        <f t="shared" si="13"/>
        <v>2000</v>
      </c>
    </row>
    <row r="228" spans="1:117" outlineLevel="1" x14ac:dyDescent="0.4">
      <c r="A228" t="s">
        <v>1479</v>
      </c>
      <c r="C228" t="s">
        <v>1431</v>
      </c>
      <c r="D228">
        <f t="shared" si="12"/>
        <v>20</v>
      </c>
      <c r="DC228">
        <f>DC212+10</f>
        <v>40</v>
      </c>
      <c r="DI228">
        <f t="shared" si="14"/>
        <v>100</v>
      </c>
      <c r="DM228">
        <f t="shared" si="13"/>
        <v>2000</v>
      </c>
    </row>
    <row r="229" spans="1:117" outlineLevel="1" x14ac:dyDescent="0.4">
      <c r="A229" t="s">
        <v>1480</v>
      </c>
      <c r="C229" t="s">
        <v>1432</v>
      </c>
      <c r="D229">
        <f t="shared" si="12"/>
        <v>20</v>
      </c>
      <c r="DD229">
        <f>DD213+10</f>
        <v>40</v>
      </c>
      <c r="DI229">
        <f t="shared" si="14"/>
        <v>100</v>
      </c>
      <c r="DM229">
        <f t="shared" si="13"/>
        <v>2000</v>
      </c>
    </row>
    <row r="230" spans="1:117" outlineLevel="1" x14ac:dyDescent="0.4">
      <c r="A230" t="s">
        <v>1481</v>
      </c>
      <c r="C230" t="s">
        <v>1433</v>
      </c>
      <c r="D230">
        <f t="shared" si="12"/>
        <v>20</v>
      </c>
      <c r="E230" t="s">
        <v>1427</v>
      </c>
      <c r="DE230">
        <f>DE214+10</f>
        <v>40</v>
      </c>
      <c r="DI230">
        <f t="shared" si="14"/>
        <v>100</v>
      </c>
      <c r="DM230">
        <f t="shared" si="13"/>
        <v>2000</v>
      </c>
    </row>
    <row r="231" spans="1:117" outlineLevel="1" x14ac:dyDescent="0.4">
      <c r="A231" t="s">
        <v>1482</v>
      </c>
      <c r="C231" t="s">
        <v>1430</v>
      </c>
      <c r="D231">
        <f t="shared" si="12"/>
        <v>25</v>
      </c>
      <c r="CP231">
        <f>CP215+10</f>
        <v>50</v>
      </c>
      <c r="DI231">
        <f t="shared" si="14"/>
        <v>125</v>
      </c>
      <c r="DM231">
        <f t="shared" si="13"/>
        <v>2500</v>
      </c>
    </row>
    <row r="232" spans="1:117" outlineLevel="1" x14ac:dyDescent="0.4">
      <c r="A232" t="s">
        <v>1483</v>
      </c>
      <c r="C232" t="s">
        <v>1312</v>
      </c>
      <c r="D232">
        <f t="shared" si="12"/>
        <v>25</v>
      </c>
      <c r="CQ232">
        <f>CQ216+10</f>
        <v>50</v>
      </c>
      <c r="DI232">
        <f t="shared" si="14"/>
        <v>125</v>
      </c>
      <c r="DM232">
        <f t="shared" si="13"/>
        <v>2500</v>
      </c>
    </row>
    <row r="233" spans="1:117" outlineLevel="1" x14ac:dyDescent="0.4">
      <c r="A233" t="s">
        <v>1484</v>
      </c>
      <c r="C233" t="s">
        <v>1433</v>
      </c>
      <c r="D233">
        <f t="shared" si="12"/>
        <v>25</v>
      </c>
      <c r="E233" t="s">
        <v>1427</v>
      </c>
      <c r="CR233">
        <f>CR217+10</f>
        <v>50</v>
      </c>
      <c r="DI233">
        <f t="shared" si="14"/>
        <v>125</v>
      </c>
      <c r="DM233">
        <f t="shared" si="13"/>
        <v>2500</v>
      </c>
    </row>
    <row r="234" spans="1:117" outlineLevel="1" x14ac:dyDescent="0.4">
      <c r="A234" t="s">
        <v>1485</v>
      </c>
      <c r="C234" t="s">
        <v>205</v>
      </c>
      <c r="D234">
        <f t="shared" si="12"/>
        <v>25</v>
      </c>
      <c r="CS234">
        <f>CS218+10</f>
        <v>50</v>
      </c>
      <c r="DI234">
        <f t="shared" si="14"/>
        <v>125</v>
      </c>
      <c r="DM234">
        <f t="shared" si="13"/>
        <v>2500</v>
      </c>
    </row>
    <row r="235" spans="1:117" outlineLevel="1" x14ac:dyDescent="0.4">
      <c r="A235" t="s">
        <v>1486</v>
      </c>
      <c r="D235">
        <f t="shared" si="12"/>
        <v>25</v>
      </c>
      <c r="CT235">
        <f>CT219+10</f>
        <v>50</v>
      </c>
      <c r="DI235">
        <f t="shared" si="14"/>
        <v>125</v>
      </c>
      <c r="DM235">
        <f t="shared" si="13"/>
        <v>2500</v>
      </c>
    </row>
    <row r="236" spans="1:117" outlineLevel="1" x14ac:dyDescent="0.4">
      <c r="A236" t="s">
        <v>1487</v>
      </c>
      <c r="D236">
        <f t="shared" si="12"/>
        <v>25</v>
      </c>
      <c r="CU236">
        <f>CU220+10</f>
        <v>50</v>
      </c>
      <c r="DI236">
        <f t="shared" si="14"/>
        <v>125</v>
      </c>
      <c r="DM236">
        <f t="shared" si="13"/>
        <v>2500</v>
      </c>
    </row>
    <row r="237" spans="1:117" outlineLevel="1" x14ac:dyDescent="0.4">
      <c r="A237" t="s">
        <v>1488</v>
      </c>
      <c r="C237" t="s">
        <v>1428</v>
      </c>
      <c r="D237">
        <f t="shared" si="12"/>
        <v>25</v>
      </c>
      <c r="CV237">
        <f>CV221+10</f>
        <v>50</v>
      </c>
      <c r="DI237">
        <f t="shared" si="14"/>
        <v>125</v>
      </c>
      <c r="DM237">
        <f t="shared" si="13"/>
        <v>2500</v>
      </c>
    </row>
    <row r="238" spans="1:117" outlineLevel="1" x14ac:dyDescent="0.4">
      <c r="A238" t="s">
        <v>1489</v>
      </c>
      <c r="C238" t="s">
        <v>539</v>
      </c>
      <c r="D238">
        <f t="shared" si="12"/>
        <v>25</v>
      </c>
      <c r="CW238">
        <f>CW222+10</f>
        <v>50</v>
      </c>
      <c r="DI238">
        <f t="shared" si="14"/>
        <v>125</v>
      </c>
      <c r="DM238">
        <f t="shared" si="13"/>
        <v>2500</v>
      </c>
    </row>
    <row r="239" spans="1:117" outlineLevel="1" x14ac:dyDescent="0.4">
      <c r="A239" t="s">
        <v>1490</v>
      </c>
      <c r="C239" t="s">
        <v>1429</v>
      </c>
      <c r="D239">
        <f t="shared" si="12"/>
        <v>25</v>
      </c>
      <c r="CX239">
        <f>CX223+10</f>
        <v>50</v>
      </c>
      <c r="DI239">
        <f t="shared" si="14"/>
        <v>125</v>
      </c>
      <c r="DM239">
        <f t="shared" si="13"/>
        <v>2500</v>
      </c>
    </row>
    <row r="240" spans="1:117" outlineLevel="1" x14ac:dyDescent="0.4">
      <c r="A240" t="s">
        <v>1491</v>
      </c>
      <c r="C240" t="s">
        <v>100</v>
      </c>
      <c r="D240">
        <f t="shared" si="12"/>
        <v>25</v>
      </c>
      <c r="CY240">
        <f>CY224+10</f>
        <v>50</v>
      </c>
      <c r="DI240">
        <f t="shared" si="14"/>
        <v>125</v>
      </c>
      <c r="DM240">
        <f t="shared" si="13"/>
        <v>2500</v>
      </c>
    </row>
    <row r="241" spans="1:117" outlineLevel="1" x14ac:dyDescent="0.4">
      <c r="A241" t="s">
        <v>1492</v>
      </c>
      <c r="D241">
        <f t="shared" si="12"/>
        <v>25</v>
      </c>
      <c r="CZ241">
        <f>CZ225+10</f>
        <v>50</v>
      </c>
      <c r="DI241">
        <f t="shared" si="14"/>
        <v>125</v>
      </c>
      <c r="DM241">
        <f t="shared" si="13"/>
        <v>2500</v>
      </c>
    </row>
    <row r="242" spans="1:117" outlineLevel="1" x14ac:dyDescent="0.4">
      <c r="A242" t="s">
        <v>1493</v>
      </c>
      <c r="D242">
        <f t="shared" si="12"/>
        <v>25</v>
      </c>
      <c r="DA242">
        <f>DA226+10</f>
        <v>50</v>
      </c>
      <c r="DI242">
        <f t="shared" si="14"/>
        <v>125</v>
      </c>
      <c r="DM242">
        <f t="shared" si="13"/>
        <v>2500</v>
      </c>
    </row>
    <row r="243" spans="1:117" outlineLevel="1" x14ac:dyDescent="0.4">
      <c r="A243" t="s">
        <v>1494</v>
      </c>
      <c r="D243">
        <f t="shared" si="12"/>
        <v>25</v>
      </c>
      <c r="DB243">
        <f>DB227+10</f>
        <v>50</v>
      </c>
      <c r="DI243">
        <f t="shared" si="14"/>
        <v>125</v>
      </c>
      <c r="DM243">
        <f t="shared" si="13"/>
        <v>2500</v>
      </c>
    </row>
    <row r="244" spans="1:117" outlineLevel="1" x14ac:dyDescent="0.4">
      <c r="A244" t="s">
        <v>1495</v>
      </c>
      <c r="C244" t="s">
        <v>1431</v>
      </c>
      <c r="D244">
        <f t="shared" si="12"/>
        <v>25</v>
      </c>
      <c r="DC244">
        <f>DC228+10</f>
        <v>50</v>
      </c>
      <c r="DI244">
        <f t="shared" si="14"/>
        <v>125</v>
      </c>
      <c r="DM244">
        <f t="shared" si="13"/>
        <v>2500</v>
      </c>
    </row>
    <row r="245" spans="1:117" outlineLevel="1" x14ac:dyDescent="0.4">
      <c r="A245" t="s">
        <v>1496</v>
      </c>
      <c r="C245" t="s">
        <v>1432</v>
      </c>
      <c r="D245">
        <f t="shared" si="12"/>
        <v>25</v>
      </c>
      <c r="DD245">
        <f>DD229+10</f>
        <v>50</v>
      </c>
      <c r="DI245">
        <f t="shared" si="14"/>
        <v>125</v>
      </c>
      <c r="DM245">
        <f t="shared" si="13"/>
        <v>2500</v>
      </c>
    </row>
    <row r="246" spans="1:117" outlineLevel="1" x14ac:dyDescent="0.4">
      <c r="A246" t="s">
        <v>1497</v>
      </c>
      <c r="C246" t="s">
        <v>1433</v>
      </c>
      <c r="D246">
        <f t="shared" si="12"/>
        <v>25</v>
      </c>
      <c r="E246" t="s">
        <v>1427</v>
      </c>
      <c r="DE246">
        <f>DE230+10</f>
        <v>50</v>
      </c>
      <c r="DI246">
        <f t="shared" si="14"/>
        <v>125</v>
      </c>
      <c r="DM246">
        <f t="shared" si="13"/>
        <v>2500</v>
      </c>
    </row>
    <row r="247" spans="1:117" outlineLevel="1" x14ac:dyDescent="0.4">
      <c r="DI247">
        <f t="shared" si="14"/>
        <v>0</v>
      </c>
      <c r="DM247">
        <f t="shared" si="13"/>
        <v>0</v>
      </c>
    </row>
    <row r="248" spans="1:117" x14ac:dyDescent="0.4">
      <c r="DI248">
        <f t="shared" si="14"/>
        <v>0</v>
      </c>
      <c r="DM248">
        <f t="shared" si="13"/>
        <v>0</v>
      </c>
    </row>
    <row r="249" spans="1:117" x14ac:dyDescent="0.4">
      <c r="A249" t="s">
        <v>16</v>
      </c>
      <c r="B249" s="1" t="s">
        <v>15</v>
      </c>
      <c r="C249" s="1" t="s">
        <v>1251</v>
      </c>
      <c r="D249" s="1">
        <v>20</v>
      </c>
      <c r="BH249">
        <v>-10</v>
      </c>
      <c r="CP249">
        <v>75</v>
      </c>
      <c r="DI249">
        <f t="shared" si="14"/>
        <v>100</v>
      </c>
      <c r="DM249">
        <f t="shared" si="13"/>
        <v>1750</v>
      </c>
    </row>
    <row r="250" spans="1:117" hidden="1" outlineLevel="1" x14ac:dyDescent="0.4">
      <c r="A250" t="s">
        <v>1317</v>
      </c>
      <c r="C250" s="1" t="s">
        <v>1251</v>
      </c>
      <c r="D250" s="1">
        <v>35</v>
      </c>
      <c r="DI250">
        <f t="shared" si="14"/>
        <v>175</v>
      </c>
      <c r="DM250">
        <f t="shared" si="13"/>
        <v>0</v>
      </c>
    </row>
    <row r="251" spans="1:117" hidden="1" outlineLevel="1" x14ac:dyDescent="0.4">
      <c r="C251" s="1"/>
      <c r="D251" s="1"/>
      <c r="DI251">
        <f t="shared" si="14"/>
        <v>0</v>
      </c>
      <c r="DM251">
        <f t="shared" si="13"/>
        <v>0</v>
      </c>
    </row>
    <row r="252" spans="1:117" hidden="1" outlineLevel="1" x14ac:dyDescent="0.4">
      <c r="C252" s="1"/>
      <c r="D252" s="1"/>
      <c r="DI252">
        <f t="shared" si="14"/>
        <v>0</v>
      </c>
      <c r="DM252">
        <f t="shared" si="13"/>
        <v>0</v>
      </c>
    </row>
    <row r="253" spans="1:117" hidden="1" outlineLevel="1" x14ac:dyDescent="0.4">
      <c r="C253" s="1"/>
      <c r="D253" s="1"/>
      <c r="DI253">
        <f t="shared" si="14"/>
        <v>0</v>
      </c>
      <c r="DM253">
        <f t="shared" si="13"/>
        <v>0</v>
      </c>
    </row>
    <row r="254" spans="1:117" hidden="1" outlineLevel="1" x14ac:dyDescent="0.4">
      <c r="C254" s="1"/>
      <c r="D254" s="1"/>
      <c r="DI254">
        <f t="shared" si="14"/>
        <v>0</v>
      </c>
      <c r="DM254">
        <f t="shared" si="13"/>
        <v>0</v>
      </c>
    </row>
    <row r="255" spans="1:117" hidden="1" outlineLevel="1" x14ac:dyDescent="0.4">
      <c r="DI255">
        <f t="shared" si="14"/>
        <v>0</v>
      </c>
      <c r="DM255">
        <f t="shared" si="13"/>
        <v>0</v>
      </c>
    </row>
    <row r="256" spans="1:117" hidden="1" outlineLevel="1" x14ac:dyDescent="0.4">
      <c r="DI256">
        <f t="shared" si="14"/>
        <v>0</v>
      </c>
      <c r="DM256">
        <f t="shared" si="13"/>
        <v>0</v>
      </c>
    </row>
    <row r="257" spans="1:117" hidden="1" outlineLevel="1" x14ac:dyDescent="0.4">
      <c r="DI257">
        <f t="shared" si="14"/>
        <v>0</v>
      </c>
      <c r="DM257">
        <f t="shared" si="13"/>
        <v>0</v>
      </c>
    </row>
    <row r="258" spans="1:117" hidden="1" outlineLevel="1" x14ac:dyDescent="0.4">
      <c r="DI258">
        <f t="shared" si="14"/>
        <v>0</v>
      </c>
      <c r="DM258">
        <f t="shared" si="13"/>
        <v>0</v>
      </c>
    </row>
    <row r="259" spans="1:117" hidden="1" outlineLevel="1" x14ac:dyDescent="0.4">
      <c r="DI259">
        <f t="shared" si="14"/>
        <v>0</v>
      </c>
      <c r="DM259">
        <f t="shared" si="13"/>
        <v>0</v>
      </c>
    </row>
    <row r="260" spans="1:117" hidden="1" outlineLevel="1" x14ac:dyDescent="0.4">
      <c r="DI260">
        <f t="shared" si="14"/>
        <v>0</v>
      </c>
      <c r="DM260">
        <f t="shared" si="13"/>
        <v>0</v>
      </c>
    </row>
    <row r="261" spans="1:117" collapsed="1" x14ac:dyDescent="0.4">
      <c r="DI261">
        <f t="shared" si="14"/>
        <v>0</v>
      </c>
      <c r="DM261">
        <f t="shared" si="13"/>
        <v>0</v>
      </c>
    </row>
    <row r="262" spans="1:117" outlineLevel="1" x14ac:dyDescent="0.4">
      <c r="A262" t="s">
        <v>1518</v>
      </c>
      <c r="C262" t="s">
        <v>564</v>
      </c>
      <c r="D262">
        <v>15</v>
      </c>
      <c r="G262" t="s">
        <v>1518</v>
      </c>
      <c r="DI262">
        <f t="shared" si="14"/>
        <v>75</v>
      </c>
      <c r="DM262">
        <f t="shared" si="13"/>
        <v>0</v>
      </c>
    </row>
    <row r="263" spans="1:117" outlineLevel="1" x14ac:dyDescent="0.4">
      <c r="A263" t="s">
        <v>1519</v>
      </c>
      <c r="C263" t="s">
        <v>564</v>
      </c>
      <c r="D263">
        <v>15</v>
      </c>
      <c r="G263" t="s">
        <v>1519</v>
      </c>
      <c r="DI263">
        <f t="shared" si="14"/>
        <v>75</v>
      </c>
      <c r="DM263">
        <f t="shared" si="13"/>
        <v>0</v>
      </c>
    </row>
    <row r="264" spans="1:117" ht="21" customHeight="1" outlineLevel="1" x14ac:dyDescent="0.4">
      <c r="C264" s="1"/>
      <c r="D264" s="1"/>
      <c r="DI264">
        <f t="shared" si="14"/>
        <v>0</v>
      </c>
      <c r="DM264">
        <f t="shared" si="13"/>
        <v>0</v>
      </c>
    </row>
    <row r="265" spans="1:117" outlineLevel="1" x14ac:dyDescent="0.4">
      <c r="C265" s="1"/>
      <c r="D265" s="1"/>
      <c r="DI265">
        <f t="shared" si="14"/>
        <v>0</v>
      </c>
      <c r="DM265">
        <f t="shared" si="13"/>
        <v>0</v>
      </c>
    </row>
    <row r="266" spans="1:117" outlineLevel="1" x14ac:dyDescent="0.4">
      <c r="C266" s="1"/>
      <c r="D266" s="1"/>
      <c r="DI266">
        <f t="shared" si="14"/>
        <v>0</v>
      </c>
      <c r="DM266">
        <f t="shared" si="13"/>
        <v>0</v>
      </c>
    </row>
    <row r="267" spans="1:117" x14ac:dyDescent="0.4">
      <c r="A267" t="s">
        <v>1530</v>
      </c>
      <c r="C267" t="s">
        <v>564</v>
      </c>
      <c r="D267">
        <v>5</v>
      </c>
      <c r="AL267">
        <v>2.5</v>
      </c>
      <c r="AM267">
        <v>10</v>
      </c>
      <c r="DI267">
        <f t="shared" si="14"/>
        <v>25</v>
      </c>
      <c r="DM267">
        <f t="shared" ref="DM267:DM330" si="15">(SUM(H267:AX267,CE267:CO267)*100)+(SUM(AY267:CC267)*200)+(SUM(CP267:DF267)*50)</f>
        <v>1250</v>
      </c>
    </row>
    <row r="268" spans="1:117" ht="21" customHeight="1" outlineLevel="1" x14ac:dyDescent="0.4">
      <c r="A268" t="s">
        <v>1531</v>
      </c>
      <c r="C268" t="s">
        <v>564</v>
      </c>
      <c r="D268">
        <v>10</v>
      </c>
      <c r="AL268">
        <v>5</v>
      </c>
      <c r="AM268">
        <v>20</v>
      </c>
      <c r="DI268">
        <f t="shared" ref="DI268:DI330" si="16">D268*5</f>
        <v>50</v>
      </c>
      <c r="DM268">
        <f t="shared" si="15"/>
        <v>2500</v>
      </c>
    </row>
    <row r="269" spans="1:117" outlineLevel="1" x14ac:dyDescent="0.4">
      <c r="A269" t="s">
        <v>1532</v>
      </c>
      <c r="C269" t="s">
        <v>564</v>
      </c>
      <c r="D269">
        <v>15</v>
      </c>
      <c r="AL269">
        <v>7.5</v>
      </c>
      <c r="AM269">
        <v>30</v>
      </c>
      <c r="DI269">
        <f t="shared" si="16"/>
        <v>75</v>
      </c>
      <c r="DM269">
        <f t="shared" si="15"/>
        <v>3750</v>
      </c>
    </row>
    <row r="270" spans="1:117" outlineLevel="1" x14ac:dyDescent="0.4">
      <c r="A270" t="s">
        <v>1533</v>
      </c>
      <c r="C270" t="s">
        <v>564</v>
      </c>
      <c r="D270">
        <v>20</v>
      </c>
      <c r="AL270">
        <v>10</v>
      </c>
      <c r="AM270">
        <v>40</v>
      </c>
      <c r="DI270">
        <f t="shared" si="16"/>
        <v>100</v>
      </c>
      <c r="DM270">
        <f t="shared" si="15"/>
        <v>5000</v>
      </c>
    </row>
    <row r="271" spans="1:117" outlineLevel="1" x14ac:dyDescent="0.4">
      <c r="A271" t="s">
        <v>1534</v>
      </c>
      <c r="C271" t="s">
        <v>564</v>
      </c>
      <c r="D271">
        <v>25</v>
      </c>
      <c r="AL271">
        <v>12.5</v>
      </c>
      <c r="AM271">
        <v>50</v>
      </c>
      <c r="DI271">
        <f t="shared" si="16"/>
        <v>125</v>
      </c>
      <c r="DM271">
        <f t="shared" si="15"/>
        <v>6250</v>
      </c>
    </row>
    <row r="272" spans="1:117" outlineLevel="1" x14ac:dyDescent="0.4">
      <c r="C272" s="1" t="str">
        <f>"-------武器属性--------"</f>
        <v>-------武器属性--------</v>
      </c>
      <c r="D272" s="1"/>
      <c r="DI272">
        <f t="shared" si="16"/>
        <v>0</v>
      </c>
      <c r="DM272">
        <f t="shared" si="15"/>
        <v>0</v>
      </c>
    </row>
    <row r="273" spans="1:117" x14ac:dyDescent="0.4">
      <c r="A273" t="s">
        <v>1318</v>
      </c>
      <c r="C273" t="s">
        <v>564</v>
      </c>
      <c r="D273">
        <v>5</v>
      </c>
      <c r="O273">
        <v>20</v>
      </c>
      <c r="DI273">
        <f t="shared" si="16"/>
        <v>25</v>
      </c>
      <c r="DM273">
        <f t="shared" si="15"/>
        <v>2000</v>
      </c>
    </row>
    <row r="274" spans="1:117" outlineLevel="1" x14ac:dyDescent="0.4">
      <c r="A274" t="s">
        <v>1540</v>
      </c>
      <c r="C274" t="s">
        <v>564</v>
      </c>
      <c r="D274">
        <v>10</v>
      </c>
      <c r="O274">
        <v>45</v>
      </c>
      <c r="DI274">
        <f t="shared" si="16"/>
        <v>50</v>
      </c>
      <c r="DM274">
        <f t="shared" si="15"/>
        <v>4500</v>
      </c>
    </row>
    <row r="275" spans="1:117" outlineLevel="1" x14ac:dyDescent="0.4">
      <c r="A275" t="s">
        <v>1319</v>
      </c>
      <c r="C275" t="s">
        <v>564</v>
      </c>
      <c r="D275">
        <v>15</v>
      </c>
      <c r="O275">
        <v>70</v>
      </c>
      <c r="DI275">
        <f t="shared" si="16"/>
        <v>75</v>
      </c>
      <c r="DM275">
        <f t="shared" si="15"/>
        <v>7000</v>
      </c>
    </row>
    <row r="276" spans="1:117" outlineLevel="1" x14ac:dyDescent="0.4">
      <c r="A276" t="s">
        <v>1320</v>
      </c>
      <c r="C276" t="s">
        <v>564</v>
      </c>
      <c r="D276">
        <v>20</v>
      </c>
      <c r="O276">
        <v>95</v>
      </c>
      <c r="DI276">
        <f t="shared" si="16"/>
        <v>100</v>
      </c>
      <c r="DM276">
        <f t="shared" si="15"/>
        <v>9500</v>
      </c>
    </row>
    <row r="277" spans="1:117" outlineLevel="1" x14ac:dyDescent="0.4">
      <c r="A277" t="s">
        <v>1321</v>
      </c>
      <c r="C277" t="s">
        <v>564</v>
      </c>
      <c r="D277">
        <v>25</v>
      </c>
      <c r="O277">
        <v>120</v>
      </c>
      <c r="DI277">
        <f t="shared" si="16"/>
        <v>125</v>
      </c>
      <c r="DM277">
        <f t="shared" si="15"/>
        <v>12000</v>
      </c>
    </row>
    <row r="278" spans="1:117" outlineLevel="1" x14ac:dyDescent="0.4">
      <c r="A278" t="s">
        <v>1322</v>
      </c>
      <c r="C278" t="s">
        <v>564</v>
      </c>
      <c r="D278">
        <v>5</v>
      </c>
      <c r="P278">
        <v>20</v>
      </c>
      <c r="DI278">
        <f t="shared" si="16"/>
        <v>25</v>
      </c>
      <c r="DM278">
        <f t="shared" si="15"/>
        <v>2000</v>
      </c>
    </row>
    <row r="279" spans="1:117" outlineLevel="1" x14ac:dyDescent="0.4">
      <c r="A279" t="s">
        <v>1323</v>
      </c>
      <c r="C279" t="s">
        <v>564</v>
      </c>
      <c r="D279">
        <v>10</v>
      </c>
      <c r="P279">
        <v>45</v>
      </c>
      <c r="DI279">
        <f t="shared" si="16"/>
        <v>50</v>
      </c>
      <c r="DM279">
        <f t="shared" si="15"/>
        <v>4500</v>
      </c>
    </row>
    <row r="280" spans="1:117" outlineLevel="1" x14ac:dyDescent="0.4">
      <c r="A280" t="s">
        <v>1324</v>
      </c>
      <c r="C280" t="s">
        <v>564</v>
      </c>
      <c r="D280">
        <v>15</v>
      </c>
      <c r="P280">
        <v>70</v>
      </c>
      <c r="DI280">
        <f t="shared" si="16"/>
        <v>75</v>
      </c>
      <c r="DM280">
        <f t="shared" si="15"/>
        <v>7000</v>
      </c>
    </row>
    <row r="281" spans="1:117" outlineLevel="1" x14ac:dyDescent="0.4">
      <c r="A281" t="s">
        <v>1325</v>
      </c>
      <c r="C281" t="s">
        <v>564</v>
      </c>
      <c r="D281">
        <v>20</v>
      </c>
      <c r="P281">
        <v>95</v>
      </c>
      <c r="DI281">
        <f t="shared" si="16"/>
        <v>100</v>
      </c>
      <c r="DM281">
        <f t="shared" si="15"/>
        <v>9500</v>
      </c>
    </row>
    <row r="282" spans="1:117" outlineLevel="1" x14ac:dyDescent="0.4">
      <c r="A282" t="s">
        <v>1326</v>
      </c>
      <c r="C282" t="s">
        <v>564</v>
      </c>
      <c r="D282">
        <v>25</v>
      </c>
      <c r="P282">
        <v>120</v>
      </c>
      <c r="DI282">
        <f t="shared" si="16"/>
        <v>125</v>
      </c>
      <c r="DM282">
        <f t="shared" si="15"/>
        <v>12000</v>
      </c>
    </row>
    <row r="283" spans="1:117" outlineLevel="1" x14ac:dyDescent="0.4">
      <c r="A283" t="s">
        <v>1327</v>
      </c>
      <c r="C283" t="s">
        <v>564</v>
      </c>
      <c r="D283">
        <v>5</v>
      </c>
      <c r="Q283">
        <v>20</v>
      </c>
      <c r="DI283">
        <f t="shared" si="16"/>
        <v>25</v>
      </c>
      <c r="DM283">
        <f t="shared" si="15"/>
        <v>2000</v>
      </c>
    </row>
    <row r="284" spans="1:117" outlineLevel="1" x14ac:dyDescent="0.4">
      <c r="A284" t="s">
        <v>1328</v>
      </c>
      <c r="C284" t="s">
        <v>564</v>
      </c>
      <c r="D284">
        <v>10</v>
      </c>
      <c r="Q284">
        <v>45</v>
      </c>
      <c r="DI284">
        <f t="shared" si="16"/>
        <v>50</v>
      </c>
      <c r="DM284">
        <f t="shared" si="15"/>
        <v>4500</v>
      </c>
    </row>
    <row r="285" spans="1:117" outlineLevel="1" x14ac:dyDescent="0.4">
      <c r="A285" t="s">
        <v>1329</v>
      </c>
      <c r="C285" t="s">
        <v>564</v>
      </c>
      <c r="D285">
        <v>15</v>
      </c>
      <c r="Q285">
        <v>70</v>
      </c>
      <c r="DI285">
        <f t="shared" si="16"/>
        <v>75</v>
      </c>
      <c r="DM285">
        <f t="shared" si="15"/>
        <v>7000</v>
      </c>
    </row>
    <row r="286" spans="1:117" outlineLevel="1" x14ac:dyDescent="0.4">
      <c r="A286" t="s">
        <v>1330</v>
      </c>
      <c r="C286" t="s">
        <v>564</v>
      </c>
      <c r="D286">
        <v>20</v>
      </c>
      <c r="Q286">
        <v>95</v>
      </c>
      <c r="DI286">
        <f t="shared" si="16"/>
        <v>100</v>
      </c>
      <c r="DM286">
        <f t="shared" si="15"/>
        <v>9500</v>
      </c>
    </row>
    <row r="287" spans="1:117" outlineLevel="1" x14ac:dyDescent="0.4">
      <c r="A287" t="s">
        <v>1331</v>
      </c>
      <c r="C287" t="s">
        <v>564</v>
      </c>
      <c r="D287">
        <v>25</v>
      </c>
      <c r="Q287">
        <v>120</v>
      </c>
      <c r="DI287">
        <f t="shared" si="16"/>
        <v>125</v>
      </c>
      <c r="DM287">
        <f t="shared" si="15"/>
        <v>12000</v>
      </c>
    </row>
    <row r="288" spans="1:117" outlineLevel="1" x14ac:dyDescent="0.4">
      <c r="A288" t="s">
        <v>1332</v>
      </c>
      <c r="C288" t="s">
        <v>564</v>
      </c>
      <c r="D288">
        <v>5</v>
      </c>
      <c r="R288">
        <v>20</v>
      </c>
      <c r="DI288">
        <f t="shared" si="16"/>
        <v>25</v>
      </c>
      <c r="DM288">
        <f t="shared" si="15"/>
        <v>2000</v>
      </c>
    </row>
    <row r="289" spans="1:117" outlineLevel="1" x14ac:dyDescent="0.4">
      <c r="A289" t="s">
        <v>1333</v>
      </c>
      <c r="C289" t="s">
        <v>564</v>
      </c>
      <c r="D289">
        <v>10</v>
      </c>
      <c r="R289">
        <v>45</v>
      </c>
      <c r="DI289">
        <f t="shared" si="16"/>
        <v>50</v>
      </c>
      <c r="DM289">
        <f t="shared" si="15"/>
        <v>4500</v>
      </c>
    </row>
    <row r="290" spans="1:117" outlineLevel="1" x14ac:dyDescent="0.4">
      <c r="A290" t="s">
        <v>1334</v>
      </c>
      <c r="C290" t="s">
        <v>564</v>
      </c>
      <c r="D290">
        <v>15</v>
      </c>
      <c r="R290">
        <v>70</v>
      </c>
      <c r="DI290">
        <f t="shared" si="16"/>
        <v>75</v>
      </c>
      <c r="DM290">
        <f t="shared" si="15"/>
        <v>7000</v>
      </c>
    </row>
    <row r="291" spans="1:117" outlineLevel="1" x14ac:dyDescent="0.4">
      <c r="A291" t="s">
        <v>1335</v>
      </c>
      <c r="C291" t="s">
        <v>564</v>
      </c>
      <c r="D291">
        <v>20</v>
      </c>
      <c r="R291">
        <v>95</v>
      </c>
      <c r="DI291">
        <f t="shared" si="16"/>
        <v>100</v>
      </c>
      <c r="DM291">
        <f t="shared" si="15"/>
        <v>9500</v>
      </c>
    </row>
    <row r="292" spans="1:117" outlineLevel="1" x14ac:dyDescent="0.4">
      <c r="A292" t="s">
        <v>1336</v>
      </c>
      <c r="C292" t="s">
        <v>564</v>
      </c>
      <c r="D292">
        <v>25</v>
      </c>
      <c r="R292">
        <v>120</v>
      </c>
      <c r="DI292">
        <f t="shared" si="16"/>
        <v>125</v>
      </c>
      <c r="DM292">
        <f t="shared" si="15"/>
        <v>12000</v>
      </c>
    </row>
    <row r="293" spans="1:117" outlineLevel="1" x14ac:dyDescent="0.4">
      <c r="A293" t="s">
        <v>1520</v>
      </c>
      <c r="C293" t="s">
        <v>564</v>
      </c>
      <c r="D293">
        <v>5</v>
      </c>
      <c r="S293">
        <v>20</v>
      </c>
      <c r="DI293">
        <f t="shared" si="16"/>
        <v>25</v>
      </c>
      <c r="DM293">
        <f t="shared" si="15"/>
        <v>2000</v>
      </c>
    </row>
    <row r="294" spans="1:117" outlineLevel="1" x14ac:dyDescent="0.4">
      <c r="A294" t="s">
        <v>1521</v>
      </c>
      <c r="C294" t="s">
        <v>564</v>
      </c>
      <c r="D294">
        <v>10</v>
      </c>
      <c r="S294">
        <v>45</v>
      </c>
      <c r="DI294">
        <f t="shared" si="16"/>
        <v>50</v>
      </c>
      <c r="DM294">
        <f t="shared" si="15"/>
        <v>4500</v>
      </c>
    </row>
    <row r="295" spans="1:117" outlineLevel="1" x14ac:dyDescent="0.4">
      <c r="A295" t="s">
        <v>1522</v>
      </c>
      <c r="C295" t="s">
        <v>564</v>
      </c>
      <c r="D295">
        <v>15</v>
      </c>
      <c r="S295">
        <v>70</v>
      </c>
      <c r="DI295">
        <f t="shared" si="16"/>
        <v>75</v>
      </c>
      <c r="DM295">
        <f t="shared" si="15"/>
        <v>7000</v>
      </c>
    </row>
    <row r="296" spans="1:117" outlineLevel="1" x14ac:dyDescent="0.4">
      <c r="A296" t="s">
        <v>1523</v>
      </c>
      <c r="C296" t="s">
        <v>564</v>
      </c>
      <c r="D296">
        <v>20</v>
      </c>
      <c r="S296">
        <v>95</v>
      </c>
      <c r="DI296">
        <f t="shared" si="16"/>
        <v>100</v>
      </c>
      <c r="DM296">
        <f t="shared" si="15"/>
        <v>9500</v>
      </c>
    </row>
    <row r="297" spans="1:117" outlineLevel="1" x14ac:dyDescent="0.4">
      <c r="A297" t="s">
        <v>1524</v>
      </c>
      <c r="C297" t="s">
        <v>564</v>
      </c>
      <c r="D297">
        <v>25</v>
      </c>
      <c r="S297">
        <v>120</v>
      </c>
      <c r="DI297">
        <f t="shared" si="16"/>
        <v>125</v>
      </c>
      <c r="DM297">
        <f t="shared" si="15"/>
        <v>12000</v>
      </c>
    </row>
    <row r="298" spans="1:117" outlineLevel="1" x14ac:dyDescent="0.4">
      <c r="A298" t="s">
        <v>1525</v>
      </c>
      <c r="C298" t="s">
        <v>564</v>
      </c>
      <c r="D298">
        <v>5</v>
      </c>
      <c r="T298">
        <v>20</v>
      </c>
      <c r="DI298">
        <f t="shared" si="16"/>
        <v>25</v>
      </c>
      <c r="DM298">
        <f t="shared" si="15"/>
        <v>2000</v>
      </c>
    </row>
    <row r="299" spans="1:117" outlineLevel="1" x14ac:dyDescent="0.4">
      <c r="A299" t="s">
        <v>1526</v>
      </c>
      <c r="C299" t="s">
        <v>564</v>
      </c>
      <c r="D299">
        <v>10</v>
      </c>
      <c r="T299">
        <v>45</v>
      </c>
      <c r="DI299">
        <f t="shared" si="16"/>
        <v>50</v>
      </c>
      <c r="DM299">
        <f t="shared" si="15"/>
        <v>4500</v>
      </c>
    </row>
    <row r="300" spans="1:117" outlineLevel="1" x14ac:dyDescent="0.4">
      <c r="A300" t="s">
        <v>1527</v>
      </c>
      <c r="C300" t="s">
        <v>564</v>
      </c>
      <c r="D300">
        <v>15</v>
      </c>
      <c r="T300">
        <v>70</v>
      </c>
      <c r="DI300">
        <f t="shared" si="16"/>
        <v>75</v>
      </c>
      <c r="DM300">
        <f t="shared" si="15"/>
        <v>7000</v>
      </c>
    </row>
    <row r="301" spans="1:117" outlineLevel="1" x14ac:dyDescent="0.4">
      <c r="A301" t="s">
        <v>1528</v>
      </c>
      <c r="C301" t="s">
        <v>564</v>
      </c>
      <c r="D301">
        <v>20</v>
      </c>
      <c r="T301">
        <v>95</v>
      </c>
      <c r="DI301">
        <f t="shared" si="16"/>
        <v>100</v>
      </c>
      <c r="DM301">
        <f t="shared" si="15"/>
        <v>9500</v>
      </c>
    </row>
    <row r="302" spans="1:117" outlineLevel="1" x14ac:dyDescent="0.4">
      <c r="A302" t="s">
        <v>1529</v>
      </c>
      <c r="C302" t="s">
        <v>564</v>
      </c>
      <c r="D302">
        <v>25</v>
      </c>
      <c r="T302">
        <v>120</v>
      </c>
      <c r="DI302">
        <f t="shared" si="16"/>
        <v>125</v>
      </c>
      <c r="DM302">
        <f t="shared" si="15"/>
        <v>12000</v>
      </c>
    </row>
    <row r="303" spans="1:117" outlineLevel="1" x14ac:dyDescent="0.4">
      <c r="A303" t="s">
        <v>1337</v>
      </c>
      <c r="C303" t="s">
        <v>564</v>
      </c>
      <c r="D303">
        <v>5</v>
      </c>
      <c r="U303">
        <v>20</v>
      </c>
      <c r="DI303">
        <f t="shared" si="16"/>
        <v>25</v>
      </c>
      <c r="DM303">
        <f t="shared" si="15"/>
        <v>2000</v>
      </c>
    </row>
    <row r="304" spans="1:117" outlineLevel="1" x14ac:dyDescent="0.4">
      <c r="A304" t="s">
        <v>1338</v>
      </c>
      <c r="C304" t="s">
        <v>564</v>
      </c>
      <c r="D304">
        <v>10</v>
      </c>
      <c r="U304">
        <v>45</v>
      </c>
      <c r="DI304">
        <f t="shared" si="16"/>
        <v>50</v>
      </c>
      <c r="DM304">
        <f t="shared" si="15"/>
        <v>4500</v>
      </c>
    </row>
    <row r="305" spans="1:117" outlineLevel="1" x14ac:dyDescent="0.4">
      <c r="A305" t="s">
        <v>1339</v>
      </c>
      <c r="C305" t="s">
        <v>564</v>
      </c>
      <c r="D305">
        <v>15</v>
      </c>
      <c r="U305">
        <v>70</v>
      </c>
      <c r="DI305">
        <f t="shared" si="16"/>
        <v>75</v>
      </c>
      <c r="DM305">
        <f t="shared" si="15"/>
        <v>7000</v>
      </c>
    </row>
    <row r="306" spans="1:117" outlineLevel="1" x14ac:dyDescent="0.4">
      <c r="A306" t="s">
        <v>1340</v>
      </c>
      <c r="C306" t="s">
        <v>564</v>
      </c>
      <c r="D306">
        <v>20</v>
      </c>
      <c r="U306">
        <v>95</v>
      </c>
      <c r="DI306">
        <f t="shared" si="16"/>
        <v>100</v>
      </c>
      <c r="DM306">
        <f t="shared" si="15"/>
        <v>9500</v>
      </c>
    </row>
    <row r="307" spans="1:117" outlineLevel="1" x14ac:dyDescent="0.4">
      <c r="A307" t="s">
        <v>1341</v>
      </c>
      <c r="C307" t="s">
        <v>564</v>
      </c>
      <c r="D307">
        <v>25</v>
      </c>
      <c r="U307">
        <v>120</v>
      </c>
      <c r="DI307">
        <f t="shared" si="16"/>
        <v>125</v>
      </c>
      <c r="DM307">
        <f t="shared" si="15"/>
        <v>12000</v>
      </c>
    </row>
    <row r="308" spans="1:117" outlineLevel="1" x14ac:dyDescent="0.4">
      <c r="A308" t="s">
        <v>1342</v>
      </c>
      <c r="C308" t="s">
        <v>564</v>
      </c>
      <c r="D308">
        <v>5</v>
      </c>
      <c r="Z308">
        <v>20</v>
      </c>
      <c r="DI308">
        <f t="shared" si="16"/>
        <v>25</v>
      </c>
      <c r="DM308">
        <f t="shared" si="15"/>
        <v>2000</v>
      </c>
    </row>
    <row r="309" spans="1:117" outlineLevel="1" x14ac:dyDescent="0.4">
      <c r="A309" t="s">
        <v>1343</v>
      </c>
      <c r="C309" t="s">
        <v>564</v>
      </c>
      <c r="D309">
        <v>10</v>
      </c>
      <c r="Z309">
        <v>45</v>
      </c>
      <c r="DI309">
        <f t="shared" si="16"/>
        <v>50</v>
      </c>
      <c r="DM309">
        <f t="shared" si="15"/>
        <v>4500</v>
      </c>
    </row>
    <row r="310" spans="1:117" outlineLevel="1" x14ac:dyDescent="0.4">
      <c r="A310" t="s">
        <v>1344</v>
      </c>
      <c r="C310" t="s">
        <v>564</v>
      </c>
      <c r="D310">
        <v>15</v>
      </c>
      <c r="Z310">
        <v>70</v>
      </c>
      <c r="DI310">
        <f t="shared" si="16"/>
        <v>75</v>
      </c>
      <c r="DM310">
        <f t="shared" si="15"/>
        <v>7000</v>
      </c>
    </row>
    <row r="311" spans="1:117" outlineLevel="1" x14ac:dyDescent="0.4">
      <c r="A311" t="s">
        <v>1345</v>
      </c>
      <c r="C311" t="s">
        <v>564</v>
      </c>
      <c r="D311">
        <v>20</v>
      </c>
      <c r="Z311">
        <v>95</v>
      </c>
      <c r="DI311">
        <f t="shared" si="16"/>
        <v>100</v>
      </c>
      <c r="DM311">
        <f t="shared" si="15"/>
        <v>9500</v>
      </c>
    </row>
    <row r="312" spans="1:117" outlineLevel="1" x14ac:dyDescent="0.4">
      <c r="A312" t="s">
        <v>1346</v>
      </c>
      <c r="C312" t="s">
        <v>564</v>
      </c>
      <c r="D312">
        <v>25</v>
      </c>
      <c r="Z312">
        <v>120</v>
      </c>
      <c r="DI312">
        <f t="shared" si="16"/>
        <v>125</v>
      </c>
      <c r="DM312">
        <f t="shared" si="15"/>
        <v>12000</v>
      </c>
    </row>
    <row r="313" spans="1:117" outlineLevel="1" x14ac:dyDescent="0.4">
      <c r="A313" t="s">
        <v>1347</v>
      </c>
      <c r="C313" t="s">
        <v>564</v>
      </c>
      <c r="D313">
        <v>5</v>
      </c>
      <c r="AF313">
        <v>20</v>
      </c>
      <c r="DI313">
        <f t="shared" si="16"/>
        <v>25</v>
      </c>
      <c r="DM313">
        <f t="shared" si="15"/>
        <v>2000</v>
      </c>
    </row>
    <row r="314" spans="1:117" outlineLevel="1" x14ac:dyDescent="0.4">
      <c r="A314" t="s">
        <v>1348</v>
      </c>
      <c r="C314" t="s">
        <v>564</v>
      </c>
      <c r="D314">
        <v>10</v>
      </c>
      <c r="AF314">
        <v>45</v>
      </c>
      <c r="DI314">
        <f t="shared" si="16"/>
        <v>50</v>
      </c>
      <c r="DM314">
        <f t="shared" si="15"/>
        <v>4500</v>
      </c>
    </row>
    <row r="315" spans="1:117" outlineLevel="1" x14ac:dyDescent="0.4">
      <c r="A315" t="s">
        <v>1349</v>
      </c>
      <c r="C315" t="s">
        <v>564</v>
      </c>
      <c r="D315">
        <v>15</v>
      </c>
      <c r="AF315">
        <v>70</v>
      </c>
      <c r="DI315">
        <f t="shared" si="16"/>
        <v>75</v>
      </c>
      <c r="DM315">
        <f t="shared" si="15"/>
        <v>7000</v>
      </c>
    </row>
    <row r="316" spans="1:117" outlineLevel="1" x14ac:dyDescent="0.4">
      <c r="A316" t="s">
        <v>1350</v>
      </c>
      <c r="C316" t="s">
        <v>564</v>
      </c>
      <c r="D316">
        <v>20</v>
      </c>
      <c r="AF316">
        <v>95</v>
      </c>
      <c r="DI316">
        <f t="shared" si="16"/>
        <v>100</v>
      </c>
      <c r="DM316">
        <f t="shared" si="15"/>
        <v>9500</v>
      </c>
    </row>
    <row r="317" spans="1:117" outlineLevel="1" x14ac:dyDescent="0.4">
      <c r="A317" t="s">
        <v>1351</v>
      </c>
      <c r="C317" t="s">
        <v>564</v>
      </c>
      <c r="D317">
        <v>25</v>
      </c>
      <c r="AF317">
        <v>120</v>
      </c>
      <c r="DI317">
        <f t="shared" si="16"/>
        <v>125</v>
      </c>
      <c r="DM317">
        <f t="shared" si="15"/>
        <v>12000</v>
      </c>
    </row>
    <row r="318" spans="1:117" outlineLevel="1" x14ac:dyDescent="0.4">
      <c r="A318" t="s">
        <v>1352</v>
      </c>
      <c r="C318" t="s">
        <v>564</v>
      </c>
      <c r="D318">
        <v>5</v>
      </c>
      <c r="AI318">
        <v>15</v>
      </c>
      <c r="DI318">
        <f t="shared" si="16"/>
        <v>25</v>
      </c>
      <c r="DM318">
        <f t="shared" si="15"/>
        <v>1500</v>
      </c>
    </row>
    <row r="319" spans="1:117" outlineLevel="1" x14ac:dyDescent="0.4">
      <c r="A319" t="s">
        <v>1353</v>
      </c>
      <c r="C319" t="s">
        <v>564</v>
      </c>
      <c r="D319">
        <v>10</v>
      </c>
      <c r="AI319">
        <v>35</v>
      </c>
      <c r="DI319">
        <f t="shared" si="16"/>
        <v>50</v>
      </c>
      <c r="DM319">
        <f t="shared" si="15"/>
        <v>3500</v>
      </c>
    </row>
    <row r="320" spans="1:117" outlineLevel="1" x14ac:dyDescent="0.4">
      <c r="A320" t="s">
        <v>1354</v>
      </c>
      <c r="C320" t="s">
        <v>564</v>
      </c>
      <c r="D320">
        <v>15</v>
      </c>
      <c r="AI320">
        <v>55</v>
      </c>
      <c r="DI320">
        <f t="shared" si="16"/>
        <v>75</v>
      </c>
      <c r="DM320">
        <f t="shared" si="15"/>
        <v>5500</v>
      </c>
    </row>
    <row r="321" spans="1:117" outlineLevel="1" x14ac:dyDescent="0.4">
      <c r="A321" t="s">
        <v>1355</v>
      </c>
      <c r="C321" t="s">
        <v>564</v>
      </c>
      <c r="D321">
        <v>20</v>
      </c>
      <c r="AI321">
        <v>75</v>
      </c>
      <c r="DI321">
        <f t="shared" si="16"/>
        <v>100</v>
      </c>
      <c r="DM321">
        <f t="shared" si="15"/>
        <v>7500</v>
      </c>
    </row>
    <row r="322" spans="1:117" outlineLevel="1" x14ac:dyDescent="0.4">
      <c r="A322" t="s">
        <v>1356</v>
      </c>
      <c r="C322" t="s">
        <v>564</v>
      </c>
      <c r="D322">
        <v>25</v>
      </c>
      <c r="AI322">
        <v>95</v>
      </c>
      <c r="DI322">
        <f t="shared" si="16"/>
        <v>125</v>
      </c>
      <c r="DM322">
        <f t="shared" si="15"/>
        <v>9500</v>
      </c>
    </row>
    <row r="323" spans="1:117" x14ac:dyDescent="0.4">
      <c r="DI323">
        <f t="shared" si="16"/>
        <v>0</v>
      </c>
      <c r="DM323">
        <f t="shared" si="15"/>
        <v>0</v>
      </c>
    </row>
    <row r="324" spans="1:117" x14ac:dyDescent="0.4">
      <c r="DI324">
        <f t="shared" si="16"/>
        <v>0</v>
      </c>
      <c r="DM324">
        <f t="shared" si="15"/>
        <v>0</v>
      </c>
    </row>
    <row r="325" spans="1:117" x14ac:dyDescent="0.4">
      <c r="DI325">
        <f t="shared" si="16"/>
        <v>0</v>
      </c>
      <c r="DM325">
        <f t="shared" si="15"/>
        <v>0</v>
      </c>
    </row>
    <row r="326" spans="1:117" x14ac:dyDescent="0.4">
      <c r="DI326">
        <f t="shared" si="16"/>
        <v>0</v>
      </c>
      <c r="DM326">
        <f t="shared" si="15"/>
        <v>0</v>
      </c>
    </row>
    <row r="327" spans="1:117" x14ac:dyDescent="0.4">
      <c r="DI327">
        <f t="shared" si="16"/>
        <v>0</v>
      </c>
      <c r="DM327">
        <f t="shared" si="15"/>
        <v>0</v>
      </c>
    </row>
    <row r="328" spans="1:117" x14ac:dyDescent="0.4">
      <c r="DI328">
        <f t="shared" si="16"/>
        <v>0</v>
      </c>
      <c r="DM328">
        <f t="shared" si="15"/>
        <v>0</v>
      </c>
    </row>
    <row r="329" spans="1:117" x14ac:dyDescent="0.4">
      <c r="DI329">
        <f t="shared" si="16"/>
        <v>0</v>
      </c>
      <c r="DM329">
        <f t="shared" si="15"/>
        <v>0</v>
      </c>
    </row>
    <row r="330" spans="1:117" x14ac:dyDescent="0.4">
      <c r="DI330">
        <f t="shared" si="16"/>
        <v>0</v>
      </c>
      <c r="DM330">
        <f t="shared" si="15"/>
        <v>0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D7C2-5DA0-4B4C-995A-4EBA5DA60E7B}">
  <sheetPr codeName="Sheet5">
    <tabColor theme="8" tint="0.79998168889431442"/>
  </sheetPr>
  <dimension ref="A1:AX1003"/>
  <sheetViews>
    <sheetView tabSelected="1" zoomScaleNormal="100" workbookViewId="0">
      <pane xSplit="3" ySplit="1" topLeftCell="D3" activePane="bottomRight" state="frozen"/>
      <selection pane="topRight" activeCell="D1" sqref="D1"/>
      <selection pane="bottomLeft" activeCell="A3" sqref="A3"/>
      <selection pane="bottomRight" activeCell="L3" sqref="L3"/>
    </sheetView>
  </sheetViews>
  <sheetFormatPr defaultRowHeight="18.75" outlineLevelRow="1" outlineLevelCol="1" x14ac:dyDescent="0.4"/>
  <cols>
    <col min="2" max="2" width="21.375" bestFit="1" customWidth="1"/>
    <col min="3" max="3" width="5.5" bestFit="1" customWidth="1"/>
    <col min="4" max="4" width="6" bestFit="1" customWidth="1"/>
    <col min="5" max="6" width="6.125" bestFit="1" customWidth="1"/>
    <col min="7" max="7" width="6" bestFit="1" customWidth="1"/>
    <col min="8" max="8" width="7.125" style="29" customWidth="1"/>
    <col min="9" max="9" width="6.125" style="29" customWidth="1"/>
    <col min="10" max="10" width="7.125" customWidth="1" outlineLevel="1"/>
    <col min="11" max="11" width="6.375" style="29" customWidth="1" outlineLevel="1"/>
    <col min="12" max="12" width="8" style="29" customWidth="1" outlineLevel="1"/>
    <col min="13" max="13" width="5.875" customWidth="1" outlineLevel="1"/>
    <col min="14" max="19" width="5.875" customWidth="1"/>
    <col min="20" max="20" width="5.875" hidden="1" customWidth="1" outlineLevel="1"/>
    <col min="21" max="21" width="9" hidden="1" customWidth="1" outlineLevel="1"/>
    <col min="22" max="22" width="7.375" hidden="1" customWidth="1" outlineLevel="1"/>
    <col min="23" max="23" width="9" hidden="1" customWidth="1" outlineLevel="1"/>
    <col min="24" max="25" width="9" style="33" hidden="1" customWidth="1" outlineLevel="1"/>
    <col min="26" max="26" width="18" customWidth="1" collapsed="1"/>
    <col min="27" max="27" width="5.5" hidden="1" customWidth="1" outlineLevel="1"/>
    <col min="28" max="28" width="31.75" hidden="1" customWidth="1" outlineLevel="1"/>
    <col min="29" max="29" width="24.75" hidden="1" customWidth="1" outlineLevel="1"/>
    <col min="30" max="30" width="9" hidden="1" customWidth="1" outlineLevel="1"/>
    <col min="31" max="31" width="6.25" customWidth="1" collapsed="1"/>
    <col min="32" max="32" width="7.125" style="32" customWidth="1"/>
    <col min="33" max="33" width="6" bestFit="1" customWidth="1"/>
    <col min="34" max="34" width="6" customWidth="1"/>
    <col min="35" max="35" width="10.5" bestFit="1" customWidth="1"/>
    <col min="36" max="39" width="12.75" bestFit="1" customWidth="1"/>
  </cols>
  <sheetData>
    <row r="1" spans="1:42" ht="36.75" thickBot="1" x14ac:dyDescent="0.25">
      <c r="A1" s="18" t="s">
        <v>192</v>
      </c>
      <c r="B1" s="18" t="s">
        <v>191</v>
      </c>
      <c r="C1" s="21" t="s">
        <v>188</v>
      </c>
      <c r="D1" s="20" t="s">
        <v>187</v>
      </c>
      <c r="E1" s="20" t="s">
        <v>186</v>
      </c>
      <c r="F1" s="20" t="s">
        <v>185</v>
      </c>
      <c r="G1" s="20" t="s">
        <v>184</v>
      </c>
      <c r="H1" s="31" t="s">
        <v>183</v>
      </c>
      <c r="I1" s="31" t="s">
        <v>182</v>
      </c>
      <c r="J1" s="20" t="s">
        <v>874</v>
      </c>
      <c r="K1" s="31" t="s">
        <v>178</v>
      </c>
      <c r="L1" s="31" t="s">
        <v>177</v>
      </c>
      <c r="M1" s="18" t="s">
        <v>176</v>
      </c>
      <c r="N1" s="18" t="s">
        <v>175</v>
      </c>
      <c r="O1" s="18" t="s">
        <v>1546</v>
      </c>
      <c r="P1" s="18" t="s">
        <v>1549</v>
      </c>
      <c r="Q1" s="18" t="s">
        <v>1547</v>
      </c>
      <c r="R1" s="18" t="s">
        <v>119</v>
      </c>
      <c r="S1" s="18" t="s">
        <v>118</v>
      </c>
      <c r="T1" s="17" t="s">
        <v>167</v>
      </c>
      <c r="U1" s="16" t="s">
        <v>174</v>
      </c>
      <c r="V1" s="16" t="s">
        <v>173</v>
      </c>
      <c r="W1" s="16" t="s">
        <v>172</v>
      </c>
      <c r="X1" s="17" t="s">
        <v>171</v>
      </c>
      <c r="Y1" s="16" t="s">
        <v>170</v>
      </c>
      <c r="Z1" s="16" t="s">
        <v>1289</v>
      </c>
      <c r="AA1" s="16" t="s">
        <v>104</v>
      </c>
      <c r="AB1" s="16" t="s">
        <v>101</v>
      </c>
      <c r="AC1" s="16" t="s">
        <v>873</v>
      </c>
      <c r="AD1" s="16"/>
      <c r="AE1" s="16" t="s">
        <v>872</v>
      </c>
      <c r="AF1" s="46" t="s">
        <v>871</v>
      </c>
      <c r="AG1" t="s">
        <v>870</v>
      </c>
      <c r="AH1" t="s">
        <v>869</v>
      </c>
      <c r="AI1" t="s">
        <v>868</v>
      </c>
      <c r="AJ1" t="s">
        <v>867</v>
      </c>
      <c r="AL1" s="25" t="s">
        <v>865</v>
      </c>
      <c r="AM1" s="25" t="s">
        <v>866</v>
      </c>
      <c r="AO1" t="s">
        <v>865</v>
      </c>
      <c r="AP1" t="s">
        <v>864</v>
      </c>
    </row>
    <row r="2" spans="1:42" ht="9" customHeight="1" thickBot="1" x14ac:dyDescent="0.25">
      <c r="A2" s="18"/>
      <c r="B2" s="18"/>
      <c r="C2" s="21"/>
      <c r="D2" s="20"/>
      <c r="E2" s="20"/>
      <c r="F2" s="20"/>
      <c r="G2" s="20"/>
      <c r="H2" s="31"/>
      <c r="I2" s="31"/>
      <c r="J2" s="20"/>
      <c r="K2" s="31"/>
      <c r="L2" s="31"/>
      <c r="M2" s="18"/>
      <c r="N2" s="18"/>
      <c r="O2" s="18"/>
      <c r="P2" s="18"/>
      <c r="Q2" s="18"/>
      <c r="R2" s="18"/>
      <c r="S2" s="18"/>
      <c r="T2" s="18"/>
      <c r="U2" s="16"/>
      <c r="V2" s="16"/>
      <c r="W2" s="16"/>
      <c r="X2" s="17"/>
      <c r="Y2" s="16"/>
      <c r="Z2" s="16"/>
      <c r="AA2" s="16"/>
      <c r="AB2" s="16"/>
      <c r="AC2" s="16"/>
      <c r="AD2" s="16"/>
      <c r="AE2" s="16"/>
      <c r="AF2" s="46"/>
      <c r="AG2" s="42"/>
      <c r="AH2" s="42"/>
      <c r="AI2">
        <v>0</v>
      </c>
      <c r="AJ2">
        <v>71</v>
      </c>
      <c r="AL2" s="25" t="s">
        <v>862</v>
      </c>
      <c r="AM2" s="44" t="s">
        <v>863</v>
      </c>
      <c r="AO2" t="s">
        <v>862</v>
      </c>
      <c r="AP2" t="s">
        <v>840</v>
      </c>
    </row>
    <row r="3" spans="1:42" ht="38.25" thickBot="1" x14ac:dyDescent="0.2">
      <c r="A3" t="s">
        <v>241</v>
      </c>
      <c r="B3" t="s">
        <v>862</v>
      </c>
      <c r="C3" t="s">
        <v>564</v>
      </c>
      <c r="D3" s="29">
        <v>1</v>
      </c>
      <c r="E3" s="29">
        <f t="shared" ref="E3:E10" si="0">AF3-SUM(F3:G3)</f>
        <v>0.5</v>
      </c>
      <c r="F3" s="29">
        <v>0.4</v>
      </c>
      <c r="G3" s="29">
        <v>0.1</v>
      </c>
      <c r="H3" s="29">
        <v>0.65</v>
      </c>
      <c r="J3" s="42"/>
      <c r="K3" s="29">
        <v>0.1</v>
      </c>
      <c r="L3" s="29">
        <v>1.75</v>
      </c>
      <c r="X3" s="33">
        <v>1</v>
      </c>
      <c r="Y3" s="33" t="s">
        <v>613</v>
      </c>
      <c r="Z3" s="1" t="s">
        <v>817</v>
      </c>
      <c r="AA3" s="1">
        <v>1</v>
      </c>
      <c r="AB3" s="1" t="s">
        <v>861</v>
      </c>
      <c r="AC3" t="s">
        <v>815</v>
      </c>
      <c r="AD3" s="30"/>
      <c r="AE3" s="30">
        <f>SUM(E3:H3)</f>
        <v>1.65</v>
      </c>
      <c r="AF3" s="43">
        <v>1</v>
      </c>
      <c r="AG3" s="42">
        <f>AF3*(D3+25%)</f>
        <v>1.25</v>
      </c>
      <c r="AH3" s="42">
        <f t="shared" ref="AH3:AH34" si="1">AE3*(D3+SUM(M3:N3)/50)*(1+K3*(L3+0.25))</f>
        <v>1.9799999999999998</v>
      </c>
      <c r="AI3" t="s">
        <v>241</v>
      </c>
      <c r="AJ3">
        <v>1</v>
      </c>
      <c r="AL3" s="45" t="s">
        <v>860</v>
      </c>
      <c r="AM3" s="44" t="s">
        <v>859</v>
      </c>
      <c r="AO3" t="s">
        <v>858</v>
      </c>
      <c r="AP3" t="s">
        <v>840</v>
      </c>
    </row>
    <row r="4" spans="1:42" ht="38.25" thickBot="1" x14ac:dyDescent="0.25">
      <c r="A4" t="s">
        <v>854</v>
      </c>
      <c r="B4" t="s">
        <v>858</v>
      </c>
      <c r="C4" t="s">
        <v>564</v>
      </c>
      <c r="D4" s="29">
        <v>1</v>
      </c>
      <c r="E4" s="29">
        <f t="shared" si="0"/>
        <v>0.55000000000000004</v>
      </c>
      <c r="F4" s="29">
        <v>0.4</v>
      </c>
      <c r="G4" s="29">
        <v>0.1</v>
      </c>
      <c r="H4" s="29">
        <v>0.85</v>
      </c>
      <c r="J4" s="42"/>
      <c r="K4" s="29">
        <v>0.1</v>
      </c>
      <c r="L4" s="29">
        <v>1.75</v>
      </c>
      <c r="X4" s="33">
        <v>1</v>
      </c>
      <c r="Y4" s="33" t="s">
        <v>613</v>
      </c>
      <c r="Z4" t="s">
        <v>857</v>
      </c>
      <c r="AA4" s="1">
        <v>1.5</v>
      </c>
      <c r="AB4" s="1" t="s">
        <v>856</v>
      </c>
      <c r="AC4" t="s">
        <v>855</v>
      </c>
      <c r="AD4" s="30"/>
      <c r="AE4" s="30">
        <f t="shared" ref="AE4:AE67" si="2">SUM(E4:H4)</f>
        <v>1.9</v>
      </c>
      <c r="AF4" s="43">
        <v>1.05</v>
      </c>
      <c r="AG4" s="42">
        <f t="shared" ref="AG4:AG67" si="3">AF4*(D4+25%)</f>
        <v>1.3125</v>
      </c>
      <c r="AH4" s="42">
        <f t="shared" si="1"/>
        <v>2.2799999999999998</v>
      </c>
      <c r="AI4" t="s">
        <v>854</v>
      </c>
      <c r="AJ4">
        <v>2</v>
      </c>
      <c r="AL4" s="25" t="s">
        <v>852</v>
      </c>
      <c r="AM4" s="44" t="s">
        <v>853</v>
      </c>
      <c r="AO4" t="s">
        <v>852</v>
      </c>
      <c r="AP4" t="s">
        <v>846</v>
      </c>
    </row>
    <row r="5" spans="1:42" ht="38.25" thickBot="1" x14ac:dyDescent="0.25">
      <c r="A5" t="s">
        <v>848</v>
      </c>
      <c r="B5" t="s">
        <v>852</v>
      </c>
      <c r="C5" t="s">
        <v>564</v>
      </c>
      <c r="D5" s="29">
        <v>1</v>
      </c>
      <c r="E5" s="29">
        <f t="shared" si="0"/>
        <v>0.4</v>
      </c>
      <c r="F5" s="29">
        <v>0.6</v>
      </c>
      <c r="G5" s="29">
        <v>0</v>
      </c>
      <c r="H5" s="29">
        <v>0.45</v>
      </c>
      <c r="J5" s="29"/>
      <c r="K5" s="29">
        <v>0.1</v>
      </c>
      <c r="L5" s="29">
        <v>1.75</v>
      </c>
      <c r="X5" s="33">
        <v>1</v>
      </c>
      <c r="Y5" s="33" t="s">
        <v>613</v>
      </c>
      <c r="Z5" t="s">
        <v>851</v>
      </c>
      <c r="AA5" s="1">
        <v>1</v>
      </c>
      <c r="AB5" s="1" t="s">
        <v>850</v>
      </c>
      <c r="AC5" t="s">
        <v>849</v>
      </c>
      <c r="AD5" s="30"/>
      <c r="AE5" s="30">
        <f t="shared" si="2"/>
        <v>1.45</v>
      </c>
      <c r="AF5" s="43">
        <v>1</v>
      </c>
      <c r="AG5" s="42">
        <f t="shared" si="3"/>
        <v>1.25</v>
      </c>
      <c r="AH5" s="42">
        <f t="shared" si="1"/>
        <v>1.74</v>
      </c>
      <c r="AI5" t="s">
        <v>848</v>
      </c>
      <c r="AJ5">
        <v>1</v>
      </c>
      <c r="AL5" s="25" t="s">
        <v>845</v>
      </c>
      <c r="AM5" s="44" t="s">
        <v>847</v>
      </c>
      <c r="AO5" t="s">
        <v>845</v>
      </c>
      <c r="AP5" t="s">
        <v>846</v>
      </c>
    </row>
    <row r="6" spans="1:42" ht="38.25" thickBot="1" x14ac:dyDescent="0.25">
      <c r="A6" t="s">
        <v>842</v>
      </c>
      <c r="B6" t="s">
        <v>845</v>
      </c>
      <c r="C6" t="s">
        <v>564</v>
      </c>
      <c r="D6" s="29">
        <v>1</v>
      </c>
      <c r="E6" s="29">
        <f t="shared" si="0"/>
        <v>0.4</v>
      </c>
      <c r="F6" s="29">
        <v>0.55000000000000004</v>
      </c>
      <c r="G6" s="29">
        <v>0.1</v>
      </c>
      <c r="H6" s="29">
        <v>0.85</v>
      </c>
      <c r="J6" s="42"/>
      <c r="K6" s="29">
        <v>0.1</v>
      </c>
      <c r="L6" s="29">
        <v>1.75</v>
      </c>
      <c r="X6" s="33">
        <v>1</v>
      </c>
      <c r="Y6" s="33" t="s">
        <v>613</v>
      </c>
      <c r="Z6" t="s">
        <v>649</v>
      </c>
      <c r="AA6" s="1">
        <v>1.5</v>
      </c>
      <c r="AB6" s="1" t="s">
        <v>844</v>
      </c>
      <c r="AC6" t="s">
        <v>843</v>
      </c>
      <c r="AD6" s="30"/>
      <c r="AE6" s="30">
        <f t="shared" si="2"/>
        <v>1.9</v>
      </c>
      <c r="AF6" s="43">
        <v>1.05</v>
      </c>
      <c r="AG6" s="42">
        <f t="shared" si="3"/>
        <v>1.3125</v>
      </c>
      <c r="AH6" s="42">
        <f t="shared" si="1"/>
        <v>2.2799999999999998</v>
      </c>
      <c r="AI6" t="s">
        <v>842</v>
      </c>
      <c r="AJ6">
        <v>2</v>
      </c>
      <c r="AL6" s="25" t="s">
        <v>839</v>
      </c>
      <c r="AM6" s="44" t="s">
        <v>841</v>
      </c>
      <c r="AO6" t="s">
        <v>839</v>
      </c>
      <c r="AP6" t="s">
        <v>840</v>
      </c>
    </row>
    <row r="7" spans="1:42" ht="38.25" thickBot="1" x14ac:dyDescent="0.25">
      <c r="A7" t="s">
        <v>836</v>
      </c>
      <c r="B7" t="s">
        <v>839</v>
      </c>
      <c r="C7" t="s">
        <v>564</v>
      </c>
      <c r="D7" s="29">
        <v>1</v>
      </c>
      <c r="E7" s="29">
        <f t="shared" si="0"/>
        <v>0.60000000000000009</v>
      </c>
      <c r="F7" s="29">
        <v>0.4</v>
      </c>
      <c r="G7" s="29">
        <v>0.1</v>
      </c>
      <c r="H7" s="29">
        <v>0.85</v>
      </c>
      <c r="J7" s="42"/>
      <c r="K7" s="29">
        <v>0.1</v>
      </c>
      <c r="L7" s="29">
        <v>1.75</v>
      </c>
      <c r="X7" s="33">
        <v>1</v>
      </c>
      <c r="Y7" s="33" t="s">
        <v>613</v>
      </c>
      <c r="Z7" t="s">
        <v>649</v>
      </c>
      <c r="AA7" s="1">
        <v>1.5</v>
      </c>
      <c r="AB7" s="1" t="s">
        <v>838</v>
      </c>
      <c r="AC7" t="s">
        <v>837</v>
      </c>
      <c r="AD7" s="30"/>
      <c r="AE7" s="30">
        <f t="shared" si="2"/>
        <v>1.9500000000000002</v>
      </c>
      <c r="AF7" s="43">
        <v>1.1000000000000001</v>
      </c>
      <c r="AG7" s="42">
        <f t="shared" si="3"/>
        <v>1.375</v>
      </c>
      <c r="AH7" s="42">
        <f t="shared" si="1"/>
        <v>2.3400000000000003</v>
      </c>
      <c r="AI7" t="s">
        <v>836</v>
      </c>
      <c r="AJ7">
        <v>2.5</v>
      </c>
      <c r="AL7" s="25" t="s">
        <v>834</v>
      </c>
      <c r="AM7" s="44" t="s">
        <v>835</v>
      </c>
      <c r="AO7" t="s">
        <v>834</v>
      </c>
      <c r="AP7" t="s">
        <v>795</v>
      </c>
    </row>
    <row r="8" spans="1:42" ht="38.25" thickBot="1" x14ac:dyDescent="0.25">
      <c r="A8" t="s">
        <v>240</v>
      </c>
      <c r="B8" t="s">
        <v>834</v>
      </c>
      <c r="C8" t="s">
        <v>564</v>
      </c>
      <c r="D8" s="29">
        <v>1.05</v>
      </c>
      <c r="E8" s="29">
        <f t="shared" si="0"/>
        <v>0.7</v>
      </c>
      <c r="F8" s="29">
        <v>0.4</v>
      </c>
      <c r="G8" s="29">
        <v>0.1</v>
      </c>
      <c r="H8" s="29">
        <v>0.85</v>
      </c>
      <c r="J8" s="42"/>
      <c r="K8" s="29">
        <v>0.1</v>
      </c>
      <c r="L8" s="29">
        <v>1.75</v>
      </c>
      <c r="X8" s="33">
        <v>1</v>
      </c>
      <c r="Y8" s="33" t="s">
        <v>613</v>
      </c>
      <c r="AA8" s="1">
        <v>2</v>
      </c>
      <c r="AB8" s="1" t="s">
        <v>833</v>
      </c>
      <c r="AC8" t="s">
        <v>704</v>
      </c>
      <c r="AD8" s="30"/>
      <c r="AE8" s="30">
        <f t="shared" si="2"/>
        <v>2.0500000000000003</v>
      </c>
      <c r="AF8" s="43">
        <v>1.2</v>
      </c>
      <c r="AG8" s="42">
        <f t="shared" si="3"/>
        <v>1.56</v>
      </c>
      <c r="AH8" s="42">
        <f t="shared" si="1"/>
        <v>2.5830000000000002</v>
      </c>
      <c r="AI8" t="s">
        <v>240</v>
      </c>
      <c r="AJ8">
        <v>3</v>
      </c>
      <c r="AL8" s="25" t="s">
        <v>831</v>
      </c>
      <c r="AM8" s="44" t="s">
        <v>832</v>
      </c>
      <c r="AO8" t="s">
        <v>831</v>
      </c>
      <c r="AP8" t="s">
        <v>765</v>
      </c>
    </row>
    <row r="9" spans="1:42" ht="38.25" thickBot="1" x14ac:dyDescent="0.25">
      <c r="A9" t="s">
        <v>829</v>
      </c>
      <c r="B9" t="s">
        <v>831</v>
      </c>
      <c r="C9" t="s">
        <v>564</v>
      </c>
      <c r="D9" s="29">
        <v>1.1000000000000001</v>
      </c>
      <c r="E9" s="29">
        <f t="shared" si="0"/>
        <v>0.8</v>
      </c>
      <c r="F9" s="29">
        <v>0.4</v>
      </c>
      <c r="G9" s="29">
        <v>0.1</v>
      </c>
      <c r="H9" s="29">
        <v>0.85</v>
      </c>
      <c r="J9" s="42"/>
      <c r="K9" s="29">
        <v>0.1</v>
      </c>
      <c r="L9" s="29">
        <v>1.75</v>
      </c>
      <c r="M9">
        <v>-2.5</v>
      </c>
      <c r="N9">
        <v>-2.5</v>
      </c>
      <c r="S9">
        <v>-10</v>
      </c>
      <c r="X9" s="33">
        <v>1</v>
      </c>
      <c r="Y9" s="33" t="s">
        <v>613</v>
      </c>
      <c r="AA9" s="1">
        <v>2</v>
      </c>
      <c r="AB9" s="1" t="s">
        <v>830</v>
      </c>
      <c r="AC9" t="s">
        <v>771</v>
      </c>
      <c r="AD9" s="30"/>
      <c r="AE9" s="30">
        <f t="shared" si="2"/>
        <v>2.1500000000000004</v>
      </c>
      <c r="AF9" s="43">
        <v>1.3</v>
      </c>
      <c r="AG9" s="42">
        <f>AF9*(D9+25%)</f>
        <v>1.7550000000000001</v>
      </c>
      <c r="AH9" s="42">
        <f>AE9*(D9+SUM(M9:N9)/50)*(1+K9*(L9+0.25))</f>
        <v>2.5800000000000005</v>
      </c>
      <c r="AI9" t="s">
        <v>829</v>
      </c>
      <c r="AJ9">
        <v>3.5</v>
      </c>
      <c r="AL9" s="25" t="s">
        <v>827</v>
      </c>
      <c r="AM9" s="44" t="s">
        <v>828</v>
      </c>
      <c r="AO9" t="s">
        <v>827</v>
      </c>
      <c r="AP9" t="s">
        <v>765</v>
      </c>
    </row>
    <row r="10" spans="1:42" ht="38.25" thickBot="1" x14ac:dyDescent="0.25">
      <c r="A10" t="s">
        <v>824</v>
      </c>
      <c r="B10" t="s">
        <v>827</v>
      </c>
      <c r="C10" t="s">
        <v>564</v>
      </c>
      <c r="D10" s="29">
        <v>1.1499999999999999</v>
      </c>
      <c r="E10" s="29">
        <f t="shared" si="0"/>
        <v>0.95</v>
      </c>
      <c r="F10" s="29">
        <v>0.4</v>
      </c>
      <c r="G10" s="29">
        <v>0.15</v>
      </c>
      <c r="H10" s="29">
        <v>0.85</v>
      </c>
      <c r="J10" s="42"/>
      <c r="K10" s="29">
        <v>0.1</v>
      </c>
      <c r="L10" s="29">
        <v>1.75</v>
      </c>
      <c r="M10">
        <v>-7.5</v>
      </c>
      <c r="N10">
        <v>-5</v>
      </c>
      <c r="R10">
        <v>-25</v>
      </c>
      <c r="S10">
        <v>-25</v>
      </c>
      <c r="X10" s="33">
        <v>1</v>
      </c>
      <c r="Y10" s="33" t="s">
        <v>613</v>
      </c>
      <c r="AA10" s="1">
        <v>3</v>
      </c>
      <c r="AB10" s="1" t="s">
        <v>826</v>
      </c>
      <c r="AC10" t="s">
        <v>825</v>
      </c>
      <c r="AD10" s="30"/>
      <c r="AE10" s="30">
        <f t="shared" si="2"/>
        <v>2.35</v>
      </c>
      <c r="AF10" s="43">
        <v>1.5</v>
      </c>
      <c r="AG10" s="42">
        <f t="shared" si="3"/>
        <v>2.0999999999999996</v>
      </c>
      <c r="AH10" s="42">
        <f t="shared" si="1"/>
        <v>2.5379999999999998</v>
      </c>
      <c r="AI10" t="s">
        <v>824</v>
      </c>
      <c r="AJ10">
        <v>4</v>
      </c>
      <c r="AL10" s="25" t="s">
        <v>818</v>
      </c>
      <c r="AM10" s="44" t="s">
        <v>816</v>
      </c>
      <c r="AO10" t="s">
        <v>818</v>
      </c>
      <c r="AP10" t="s">
        <v>823</v>
      </c>
    </row>
    <row r="11" spans="1:42" ht="26.25" thickBot="1" x14ac:dyDescent="0.25">
      <c r="H11"/>
      <c r="I11"/>
      <c r="J11" s="42"/>
      <c r="K11" s="29">
        <v>0</v>
      </c>
      <c r="L11" s="29">
        <v>0</v>
      </c>
      <c r="X11" s="33">
        <v>1</v>
      </c>
      <c r="Y11" s="33" t="s">
        <v>613</v>
      </c>
      <c r="AA11" s="1">
        <v>71</v>
      </c>
      <c r="AB11" s="1" t="s">
        <v>498</v>
      </c>
      <c r="AC11" t="s">
        <v>498</v>
      </c>
      <c r="AE11" s="30">
        <f>SUM(E11:H11)</f>
        <v>0</v>
      </c>
      <c r="AF11" s="43">
        <v>0</v>
      </c>
      <c r="AG11" s="42">
        <f t="shared" si="3"/>
        <v>0</v>
      </c>
      <c r="AH11" s="42">
        <f t="shared" si="1"/>
        <v>0</v>
      </c>
      <c r="AI11" t="s">
        <v>819</v>
      </c>
      <c r="AJ11">
        <v>1</v>
      </c>
      <c r="AL11" s="25" t="s">
        <v>821</v>
      </c>
      <c r="AM11" s="44" t="s">
        <v>822</v>
      </c>
      <c r="AO11" t="s">
        <v>821</v>
      </c>
      <c r="AP11" t="s">
        <v>820</v>
      </c>
    </row>
    <row r="12" spans="1:42" ht="38.25" thickBot="1" x14ac:dyDescent="0.25">
      <c r="A12" t="s">
        <v>819</v>
      </c>
      <c r="B12" t="s">
        <v>818</v>
      </c>
      <c r="C12" t="s">
        <v>564</v>
      </c>
      <c r="D12" s="29">
        <v>1</v>
      </c>
      <c r="E12" s="29">
        <v>0.47499999999999998</v>
      </c>
      <c r="F12" s="29">
        <v>0.47499999999999998</v>
      </c>
      <c r="G12" s="29">
        <v>0.1</v>
      </c>
      <c r="H12" s="29">
        <v>0.65</v>
      </c>
      <c r="K12" s="29">
        <v>0.1</v>
      </c>
      <c r="L12" s="29">
        <v>1.5</v>
      </c>
      <c r="X12" s="33">
        <v>1</v>
      </c>
      <c r="Y12" s="33" t="s">
        <v>613</v>
      </c>
      <c r="Z12" s="1" t="s">
        <v>817</v>
      </c>
      <c r="AA12" s="1">
        <v>1</v>
      </c>
      <c r="AB12" s="1" t="s">
        <v>816</v>
      </c>
      <c r="AC12" t="s">
        <v>815</v>
      </c>
      <c r="AD12" s="30"/>
      <c r="AE12" s="30">
        <f t="shared" si="2"/>
        <v>1.7000000000000002</v>
      </c>
      <c r="AF12" s="43">
        <v>1.05</v>
      </c>
      <c r="AG12" s="42">
        <f t="shared" si="3"/>
        <v>1.3125</v>
      </c>
      <c r="AH12" s="42">
        <f t="shared" si="1"/>
        <v>1.9975000000000003</v>
      </c>
      <c r="AI12" t="s">
        <v>239</v>
      </c>
      <c r="AJ12">
        <v>2</v>
      </c>
      <c r="AL12" s="25" t="s">
        <v>810</v>
      </c>
      <c r="AM12" s="44" t="s">
        <v>814</v>
      </c>
      <c r="AO12" t="s">
        <v>810</v>
      </c>
      <c r="AP12" t="s">
        <v>807</v>
      </c>
    </row>
    <row r="13" spans="1:42" ht="38.25" thickBot="1" x14ac:dyDescent="0.25">
      <c r="A13" t="s">
        <v>239</v>
      </c>
      <c r="B13" t="s">
        <v>813</v>
      </c>
      <c r="C13" t="s">
        <v>564</v>
      </c>
      <c r="D13" s="29">
        <v>1</v>
      </c>
      <c r="E13" s="29">
        <v>0.6</v>
      </c>
      <c r="F13" s="29">
        <v>0.45</v>
      </c>
      <c r="G13" s="29">
        <v>0.15</v>
      </c>
      <c r="H13" s="29">
        <v>0.95</v>
      </c>
      <c r="J13" s="42"/>
      <c r="K13" s="29">
        <v>0.1</v>
      </c>
      <c r="L13" s="29">
        <v>1.5</v>
      </c>
      <c r="X13" s="33">
        <v>1</v>
      </c>
      <c r="Y13" s="33" t="s">
        <v>613</v>
      </c>
      <c r="Z13" t="s">
        <v>649</v>
      </c>
      <c r="AA13" s="1">
        <v>1.5</v>
      </c>
      <c r="AB13" s="1" t="s">
        <v>812</v>
      </c>
      <c r="AC13" t="s">
        <v>540</v>
      </c>
      <c r="AD13" s="30"/>
      <c r="AE13" s="30">
        <f t="shared" si="2"/>
        <v>2.15</v>
      </c>
      <c r="AF13" s="43">
        <v>1.1499999999999999</v>
      </c>
      <c r="AG13" s="42">
        <f t="shared" si="3"/>
        <v>1.4375</v>
      </c>
      <c r="AH13" s="42">
        <f t="shared" si="1"/>
        <v>2.5262500000000001</v>
      </c>
      <c r="AI13" t="s">
        <v>238</v>
      </c>
      <c r="AJ13">
        <v>2.5</v>
      </c>
      <c r="AL13" s="25" t="s">
        <v>806</v>
      </c>
      <c r="AM13" s="44" t="s">
        <v>811</v>
      </c>
      <c r="AO13" t="s">
        <v>806</v>
      </c>
      <c r="AP13" t="s">
        <v>807</v>
      </c>
    </row>
    <row r="14" spans="1:42" ht="57" thickBot="1" x14ac:dyDescent="0.25">
      <c r="A14" t="s">
        <v>238</v>
      </c>
      <c r="B14" t="s">
        <v>810</v>
      </c>
      <c r="C14" t="s">
        <v>564</v>
      </c>
      <c r="D14" s="29">
        <v>1.1000000000000001</v>
      </c>
      <c r="E14" s="29">
        <v>0.6</v>
      </c>
      <c r="F14" s="29">
        <v>0.4</v>
      </c>
      <c r="G14" s="29">
        <v>0.16</v>
      </c>
      <c r="H14" s="29">
        <v>1.1499999999999999</v>
      </c>
      <c r="J14" s="42"/>
      <c r="K14" s="29">
        <v>0.1</v>
      </c>
      <c r="L14" s="29">
        <v>1.5</v>
      </c>
      <c r="M14">
        <v>-2.5</v>
      </c>
      <c r="N14">
        <v>-2.5</v>
      </c>
      <c r="X14" s="33">
        <v>1</v>
      </c>
      <c r="Y14" s="33" t="s">
        <v>613</v>
      </c>
      <c r="AA14" s="1">
        <v>2</v>
      </c>
      <c r="AB14" s="1" t="s">
        <v>809</v>
      </c>
      <c r="AC14" t="s">
        <v>583</v>
      </c>
      <c r="AD14" s="30"/>
      <c r="AE14" s="30">
        <f t="shared" si="2"/>
        <v>2.3099999999999996</v>
      </c>
      <c r="AF14" s="43">
        <v>1.1499999999999999</v>
      </c>
      <c r="AG14" s="42">
        <f t="shared" si="3"/>
        <v>1.5525</v>
      </c>
      <c r="AH14" s="42">
        <f t="shared" si="1"/>
        <v>2.7142499999999998</v>
      </c>
      <c r="AI14" t="s">
        <v>237</v>
      </c>
      <c r="AJ14">
        <v>3</v>
      </c>
      <c r="AL14" s="25" t="s">
        <v>802</v>
      </c>
      <c r="AM14" s="44" t="s">
        <v>808</v>
      </c>
      <c r="AO14" t="s">
        <v>802</v>
      </c>
      <c r="AP14" t="s">
        <v>807</v>
      </c>
    </row>
    <row r="15" spans="1:42" ht="38.25" thickBot="1" x14ac:dyDescent="0.25">
      <c r="A15" t="s">
        <v>237</v>
      </c>
      <c r="B15" t="s">
        <v>806</v>
      </c>
      <c r="C15" t="s">
        <v>564</v>
      </c>
      <c r="D15" s="29">
        <v>1.1499999999999999</v>
      </c>
      <c r="E15" s="29">
        <f>AF15-SUM(F15:G15)</f>
        <v>0.75000000000000011</v>
      </c>
      <c r="F15" s="29">
        <v>0.45</v>
      </c>
      <c r="G15" s="29">
        <v>0.15</v>
      </c>
      <c r="H15" s="29">
        <v>1</v>
      </c>
      <c r="J15" s="42"/>
      <c r="K15" s="29">
        <v>0.1</v>
      </c>
      <c r="L15" s="29">
        <v>1.5</v>
      </c>
      <c r="M15">
        <v>-2.5</v>
      </c>
      <c r="N15">
        <v>-2.5</v>
      </c>
      <c r="S15">
        <v>-20</v>
      </c>
      <c r="X15" s="33">
        <v>1</v>
      </c>
      <c r="Y15" s="33" t="s">
        <v>613</v>
      </c>
      <c r="AA15" s="1">
        <v>2</v>
      </c>
      <c r="AB15" s="1" t="s">
        <v>805</v>
      </c>
      <c r="AC15" t="s">
        <v>583</v>
      </c>
      <c r="AD15" s="30"/>
      <c r="AE15" s="30">
        <f t="shared" si="2"/>
        <v>2.35</v>
      </c>
      <c r="AF15" s="43">
        <v>1.35</v>
      </c>
      <c r="AG15" s="42">
        <f t="shared" si="3"/>
        <v>1.89</v>
      </c>
      <c r="AH15" s="42">
        <f>AE15*(D15+SUM(M15:N15)/50)*(1+K15*(L15+0.25))</f>
        <v>2.8993124999999997</v>
      </c>
      <c r="AI15" t="s">
        <v>236</v>
      </c>
      <c r="AJ15">
        <v>4</v>
      </c>
      <c r="AL15" s="25" t="s">
        <v>798</v>
      </c>
      <c r="AM15" s="44" t="s">
        <v>804</v>
      </c>
      <c r="AO15" t="s">
        <v>798</v>
      </c>
      <c r="AP15" t="s">
        <v>803</v>
      </c>
    </row>
    <row r="16" spans="1:42" ht="57" thickBot="1" x14ac:dyDescent="0.25">
      <c r="A16" t="s">
        <v>236</v>
      </c>
      <c r="B16" t="s">
        <v>802</v>
      </c>
      <c r="C16" t="s">
        <v>564</v>
      </c>
      <c r="D16" s="29">
        <v>1.25</v>
      </c>
      <c r="E16" s="29">
        <f>AF16-SUM(F16:G16)</f>
        <v>0.9</v>
      </c>
      <c r="F16" s="29">
        <v>0.45</v>
      </c>
      <c r="G16" s="29">
        <v>0.2</v>
      </c>
      <c r="H16" s="29">
        <v>1.1000000000000001</v>
      </c>
      <c r="K16" s="29">
        <v>0.1</v>
      </c>
      <c r="L16" s="29">
        <v>1.5</v>
      </c>
      <c r="M16">
        <v>-7.5</v>
      </c>
      <c r="N16">
        <v>-7.5</v>
      </c>
      <c r="R16">
        <v>-15</v>
      </c>
      <c r="S16">
        <v>-35</v>
      </c>
      <c r="X16" s="33">
        <v>1</v>
      </c>
      <c r="Y16" s="33" t="s">
        <v>613</v>
      </c>
      <c r="AA16" s="1">
        <v>3</v>
      </c>
      <c r="AB16" s="1" t="s">
        <v>801</v>
      </c>
      <c r="AC16" t="s">
        <v>707</v>
      </c>
      <c r="AD16" s="30"/>
      <c r="AE16" s="30">
        <f t="shared" si="2"/>
        <v>2.6500000000000004</v>
      </c>
      <c r="AF16" s="43">
        <v>1.55</v>
      </c>
      <c r="AG16" s="42">
        <f t="shared" si="3"/>
        <v>2.3250000000000002</v>
      </c>
      <c r="AH16" s="42">
        <f t="shared" si="1"/>
        <v>2.9580625</v>
      </c>
      <c r="AI16" t="s">
        <v>235</v>
      </c>
      <c r="AJ16">
        <v>2.5</v>
      </c>
      <c r="AL16" s="25" t="s">
        <v>794</v>
      </c>
      <c r="AM16" s="44" t="s">
        <v>800</v>
      </c>
      <c r="AO16" t="s">
        <v>794</v>
      </c>
      <c r="AP16" t="s">
        <v>799</v>
      </c>
    </row>
    <row r="17" spans="1:42" ht="38.25" thickBot="1" x14ac:dyDescent="0.25">
      <c r="A17" t="s">
        <v>235</v>
      </c>
      <c r="B17" t="s">
        <v>798</v>
      </c>
      <c r="C17" t="s">
        <v>564</v>
      </c>
      <c r="D17" s="29">
        <v>1</v>
      </c>
      <c r="E17" s="29">
        <v>0.45</v>
      </c>
      <c r="F17" s="29">
        <v>0.65</v>
      </c>
      <c r="G17" s="29">
        <v>0</v>
      </c>
      <c r="H17" s="29">
        <v>0.8</v>
      </c>
      <c r="K17" s="29">
        <v>0.15</v>
      </c>
      <c r="L17" s="29">
        <v>1.25</v>
      </c>
      <c r="X17" s="33">
        <v>1</v>
      </c>
      <c r="Y17" s="33" t="s">
        <v>613</v>
      </c>
      <c r="Z17" t="s">
        <v>649</v>
      </c>
      <c r="AA17" s="1">
        <v>2</v>
      </c>
      <c r="AB17" s="1" t="s">
        <v>797</v>
      </c>
      <c r="AC17" t="s">
        <v>501</v>
      </c>
      <c r="AD17" s="30"/>
      <c r="AE17" s="30">
        <f t="shared" si="2"/>
        <v>1.9000000000000001</v>
      </c>
      <c r="AF17" s="43">
        <v>1.2</v>
      </c>
      <c r="AG17" s="42">
        <f t="shared" si="3"/>
        <v>1.5</v>
      </c>
      <c r="AH17" s="42">
        <f t="shared" si="1"/>
        <v>2.3275000000000001</v>
      </c>
      <c r="AI17" t="s">
        <v>234</v>
      </c>
      <c r="AJ17">
        <v>2</v>
      </c>
      <c r="AL17" s="25" t="s">
        <v>788</v>
      </c>
      <c r="AM17" s="44" t="s">
        <v>796</v>
      </c>
      <c r="AO17" t="s">
        <v>788</v>
      </c>
      <c r="AP17" t="s">
        <v>795</v>
      </c>
    </row>
    <row r="18" spans="1:42" ht="38.25" thickBot="1" x14ac:dyDescent="0.25">
      <c r="A18" t="s">
        <v>234</v>
      </c>
      <c r="B18" t="s">
        <v>794</v>
      </c>
      <c r="C18" t="s">
        <v>564</v>
      </c>
      <c r="D18" s="29">
        <v>1.1000000000000001</v>
      </c>
      <c r="E18" s="29">
        <f>AF18-SUM(F18:G18)</f>
        <v>0.20000000000000007</v>
      </c>
      <c r="F18" s="29">
        <v>0.9</v>
      </c>
      <c r="G18" s="29">
        <v>0</v>
      </c>
      <c r="H18" s="29">
        <v>0.85</v>
      </c>
      <c r="K18" s="29">
        <v>0.1</v>
      </c>
      <c r="L18" s="29">
        <v>1.5</v>
      </c>
      <c r="X18" s="33">
        <v>1</v>
      </c>
      <c r="Y18" s="33" t="s">
        <v>613</v>
      </c>
      <c r="Z18" t="s">
        <v>649</v>
      </c>
      <c r="AA18" s="1">
        <v>1.5</v>
      </c>
      <c r="AB18" s="1" t="s">
        <v>793</v>
      </c>
      <c r="AC18" t="s">
        <v>501</v>
      </c>
      <c r="AD18" s="30"/>
      <c r="AE18" s="30">
        <f t="shared" si="2"/>
        <v>1.9500000000000002</v>
      </c>
      <c r="AF18" s="43">
        <v>1.1000000000000001</v>
      </c>
      <c r="AG18" s="42">
        <f t="shared" si="3"/>
        <v>1.4850000000000003</v>
      </c>
      <c r="AH18" s="42">
        <f t="shared" si="1"/>
        <v>2.5203750000000005</v>
      </c>
      <c r="AI18">
        <v>0</v>
      </c>
      <c r="AJ18">
        <v>70</v>
      </c>
      <c r="AL18" s="25" t="s">
        <v>784</v>
      </c>
      <c r="AM18" s="44" t="s">
        <v>792</v>
      </c>
      <c r="AO18" t="s">
        <v>784</v>
      </c>
      <c r="AP18" t="s">
        <v>791</v>
      </c>
    </row>
    <row r="19" spans="1:42" ht="19.5" thickBot="1" x14ac:dyDescent="0.25">
      <c r="D19" s="29"/>
      <c r="E19" s="29"/>
      <c r="F19" s="29"/>
      <c r="G19" s="29"/>
      <c r="J19" s="29"/>
      <c r="M19" s="23"/>
      <c r="AA19" s="1">
        <v>71</v>
      </c>
      <c r="AB19" s="1" t="s">
        <v>498</v>
      </c>
      <c r="AC19" t="s">
        <v>498</v>
      </c>
      <c r="AD19" s="30"/>
      <c r="AE19" s="30">
        <f t="shared" si="2"/>
        <v>0</v>
      </c>
      <c r="AF19" s="43">
        <v>0</v>
      </c>
      <c r="AG19" s="42">
        <f t="shared" si="3"/>
        <v>0</v>
      </c>
      <c r="AH19" s="42">
        <f t="shared" si="1"/>
        <v>0</v>
      </c>
      <c r="AI19" t="s">
        <v>789</v>
      </c>
      <c r="AJ19">
        <v>2</v>
      </c>
      <c r="AL19" s="25" t="s">
        <v>780</v>
      </c>
      <c r="AM19" s="44" t="s">
        <v>778</v>
      </c>
      <c r="AO19" t="s">
        <v>780</v>
      </c>
      <c r="AP19" t="s">
        <v>790</v>
      </c>
    </row>
    <row r="20" spans="1:42" ht="38.25" thickBot="1" x14ac:dyDescent="0.25">
      <c r="A20" t="s">
        <v>789</v>
      </c>
      <c r="B20" t="s">
        <v>788</v>
      </c>
      <c r="C20" t="s">
        <v>564</v>
      </c>
      <c r="D20" s="29">
        <v>1.1499999999999999</v>
      </c>
      <c r="E20" s="29">
        <f t="shared" ref="E20:E38" si="4">AF20-SUM(F20:G20)</f>
        <v>0.75000000000000011</v>
      </c>
      <c r="F20" s="29">
        <v>0</v>
      </c>
      <c r="G20" s="29">
        <v>0.35</v>
      </c>
      <c r="H20" s="29">
        <v>0.9</v>
      </c>
      <c r="K20" s="29">
        <v>0.1</v>
      </c>
      <c r="L20" s="29">
        <v>1.75</v>
      </c>
      <c r="N20">
        <v>-5</v>
      </c>
      <c r="X20" s="33">
        <v>1</v>
      </c>
      <c r="Y20" s="33" t="s">
        <v>613</v>
      </c>
      <c r="Z20" t="s">
        <v>649</v>
      </c>
      <c r="AA20" s="1">
        <v>2</v>
      </c>
      <c r="AB20" s="1" t="s">
        <v>787</v>
      </c>
      <c r="AC20" t="s">
        <v>736</v>
      </c>
      <c r="AD20" s="30"/>
      <c r="AE20" s="30">
        <f t="shared" si="2"/>
        <v>2</v>
      </c>
      <c r="AF20" s="43">
        <v>1.1000000000000001</v>
      </c>
      <c r="AG20" s="42">
        <f t="shared" si="3"/>
        <v>1.54</v>
      </c>
      <c r="AH20" s="42">
        <f t="shared" si="1"/>
        <v>2.5199999999999996</v>
      </c>
      <c r="AI20" t="s">
        <v>785</v>
      </c>
      <c r="AJ20">
        <v>2</v>
      </c>
      <c r="AL20" s="25" t="s">
        <v>776</v>
      </c>
      <c r="AM20" s="44" t="s">
        <v>775</v>
      </c>
      <c r="AO20" t="s">
        <v>776</v>
      </c>
      <c r="AP20" t="s">
        <v>786</v>
      </c>
    </row>
    <row r="21" spans="1:42" ht="38.25" thickBot="1" x14ac:dyDescent="0.25">
      <c r="A21" t="s">
        <v>785</v>
      </c>
      <c r="B21" t="s">
        <v>784</v>
      </c>
      <c r="C21" t="s">
        <v>564</v>
      </c>
      <c r="D21" s="29">
        <v>1.1499999999999999</v>
      </c>
      <c r="E21" s="29">
        <f t="shared" si="4"/>
        <v>0.75000000000000011</v>
      </c>
      <c r="F21" s="29">
        <v>0</v>
      </c>
      <c r="G21" s="29">
        <v>0.35</v>
      </c>
      <c r="H21" s="29">
        <v>0.9</v>
      </c>
      <c r="K21" s="29">
        <v>0.15</v>
      </c>
      <c r="L21" s="29">
        <v>1.5</v>
      </c>
      <c r="N21">
        <v>-5</v>
      </c>
      <c r="X21" s="33">
        <v>1</v>
      </c>
      <c r="Y21" s="33" t="s">
        <v>613</v>
      </c>
      <c r="Z21" t="s">
        <v>649</v>
      </c>
      <c r="AA21" s="1">
        <v>2</v>
      </c>
      <c r="AB21" s="1" t="s">
        <v>783</v>
      </c>
      <c r="AC21" t="s">
        <v>736</v>
      </c>
      <c r="AD21" s="30"/>
      <c r="AE21" s="30">
        <f t="shared" si="2"/>
        <v>2</v>
      </c>
      <c r="AF21" s="43">
        <v>1.1000000000000001</v>
      </c>
      <c r="AG21" s="42">
        <f t="shared" si="3"/>
        <v>1.54</v>
      </c>
      <c r="AH21" s="42">
        <f t="shared" si="1"/>
        <v>2.6512499999999997</v>
      </c>
      <c r="AI21" t="s">
        <v>781</v>
      </c>
      <c r="AJ21">
        <v>1</v>
      </c>
      <c r="AL21" s="25" t="s">
        <v>773</v>
      </c>
      <c r="AM21" s="44" t="s">
        <v>772</v>
      </c>
      <c r="AO21" t="s">
        <v>773</v>
      </c>
      <c r="AP21" t="s">
        <v>782</v>
      </c>
    </row>
    <row r="22" spans="1:42" ht="38.25" thickBot="1" x14ac:dyDescent="0.25">
      <c r="A22" t="s">
        <v>781</v>
      </c>
      <c r="B22" t="s">
        <v>780</v>
      </c>
      <c r="C22" t="s">
        <v>564</v>
      </c>
      <c r="D22" s="29">
        <v>1</v>
      </c>
      <c r="E22" s="29">
        <f t="shared" si="4"/>
        <v>0.42499999999999999</v>
      </c>
      <c r="F22" s="29">
        <v>0.42499999999999999</v>
      </c>
      <c r="G22" s="29">
        <v>0</v>
      </c>
      <c r="H22" s="29">
        <v>0.5</v>
      </c>
      <c r="K22" s="29">
        <v>0.2</v>
      </c>
      <c r="L22" s="29">
        <v>1.25</v>
      </c>
      <c r="X22" s="33">
        <v>1</v>
      </c>
      <c r="Y22" s="33" t="s">
        <v>613</v>
      </c>
      <c r="Z22" t="s">
        <v>779</v>
      </c>
      <c r="AA22" s="1">
        <v>1</v>
      </c>
      <c r="AB22" s="1" t="s">
        <v>778</v>
      </c>
      <c r="AC22" t="s">
        <v>503</v>
      </c>
      <c r="AD22" s="30"/>
      <c r="AE22" s="30">
        <f t="shared" si="2"/>
        <v>1.35</v>
      </c>
      <c r="AF22" s="43">
        <v>0.85</v>
      </c>
      <c r="AG22" s="42">
        <f t="shared" si="3"/>
        <v>1.0625</v>
      </c>
      <c r="AH22" s="42">
        <f t="shared" si="1"/>
        <v>1.7550000000000001</v>
      </c>
      <c r="AI22" t="s">
        <v>232</v>
      </c>
      <c r="AJ22">
        <v>3</v>
      </c>
      <c r="AL22" s="25" t="s">
        <v>767</v>
      </c>
      <c r="AM22" s="44" t="s">
        <v>766</v>
      </c>
      <c r="AO22" t="s">
        <v>767</v>
      </c>
      <c r="AP22" t="s">
        <v>777</v>
      </c>
    </row>
    <row r="23" spans="1:42" ht="38.25" thickBot="1" x14ac:dyDescent="0.25">
      <c r="A23" t="s">
        <v>233</v>
      </c>
      <c r="B23" t="s">
        <v>776</v>
      </c>
      <c r="C23" t="s">
        <v>564</v>
      </c>
      <c r="D23" s="29">
        <v>1.05</v>
      </c>
      <c r="E23" s="29">
        <f t="shared" si="4"/>
        <v>0.4</v>
      </c>
      <c r="F23" s="29">
        <v>0.7</v>
      </c>
      <c r="G23" s="29">
        <v>0.15</v>
      </c>
      <c r="H23" s="29">
        <v>0.85</v>
      </c>
      <c r="K23" s="29">
        <v>0.1</v>
      </c>
      <c r="L23" s="29">
        <v>1.5</v>
      </c>
      <c r="X23" s="33">
        <v>1</v>
      </c>
      <c r="Y23" s="33" t="s">
        <v>613</v>
      </c>
      <c r="Z23" t="s">
        <v>743</v>
      </c>
      <c r="AA23" s="1">
        <v>1.5</v>
      </c>
      <c r="AB23" s="1" t="s">
        <v>775</v>
      </c>
      <c r="AC23" t="s">
        <v>774</v>
      </c>
      <c r="AD23" s="30"/>
      <c r="AE23" s="30">
        <f t="shared" si="2"/>
        <v>2.1</v>
      </c>
      <c r="AF23" s="43">
        <v>1.25</v>
      </c>
      <c r="AG23" s="42">
        <f t="shared" si="3"/>
        <v>1.625</v>
      </c>
      <c r="AH23" s="42">
        <f t="shared" si="1"/>
        <v>2.590875</v>
      </c>
      <c r="AI23" t="s">
        <v>233</v>
      </c>
      <c r="AJ23">
        <v>2</v>
      </c>
      <c r="AL23" s="25" t="s">
        <v>764</v>
      </c>
      <c r="AM23" s="44" t="s">
        <v>762</v>
      </c>
      <c r="AO23" t="s">
        <v>764</v>
      </c>
      <c r="AP23" t="s">
        <v>727</v>
      </c>
    </row>
    <row r="24" spans="1:42" ht="38.25" thickBot="1" x14ac:dyDescent="0.25">
      <c r="A24" t="s">
        <v>232</v>
      </c>
      <c r="B24" t="s">
        <v>773</v>
      </c>
      <c r="C24" t="s">
        <v>564</v>
      </c>
      <c r="D24" s="29">
        <v>1.1499999999999999</v>
      </c>
      <c r="E24" s="29">
        <f t="shared" si="4"/>
        <v>0.4</v>
      </c>
      <c r="F24" s="29">
        <v>0.8</v>
      </c>
      <c r="G24" s="29">
        <v>0.15</v>
      </c>
      <c r="H24" s="29">
        <v>0.85</v>
      </c>
      <c r="K24" s="29">
        <v>0.1</v>
      </c>
      <c r="L24" s="29">
        <v>1.5</v>
      </c>
      <c r="N24">
        <v>-5</v>
      </c>
      <c r="X24" s="33">
        <v>1</v>
      </c>
      <c r="Y24" s="33" t="s">
        <v>613</v>
      </c>
      <c r="Z24" t="s">
        <v>711</v>
      </c>
      <c r="AA24" s="1">
        <v>2</v>
      </c>
      <c r="AB24" s="1" t="s">
        <v>772</v>
      </c>
      <c r="AC24" t="s">
        <v>771</v>
      </c>
      <c r="AD24" s="30"/>
      <c r="AE24" s="30">
        <f t="shared" si="2"/>
        <v>2.2000000000000002</v>
      </c>
      <c r="AF24" s="43">
        <v>1.35</v>
      </c>
      <c r="AG24" s="42">
        <f t="shared" si="3"/>
        <v>1.89</v>
      </c>
      <c r="AH24" s="42">
        <f t="shared" si="1"/>
        <v>2.7142499999999998</v>
      </c>
      <c r="AI24" t="s">
        <v>768</v>
      </c>
      <c r="AJ24">
        <v>3.5</v>
      </c>
      <c r="AL24" s="25" t="s">
        <v>759</v>
      </c>
      <c r="AM24" s="44" t="s">
        <v>770</v>
      </c>
      <c r="AO24" t="s">
        <v>759</v>
      </c>
      <c r="AP24" t="s">
        <v>769</v>
      </c>
    </row>
    <row r="25" spans="1:42" ht="38.25" thickBot="1" x14ac:dyDescent="0.25">
      <c r="A25" t="s">
        <v>768</v>
      </c>
      <c r="B25" t="s">
        <v>767</v>
      </c>
      <c r="C25" t="s">
        <v>564</v>
      </c>
      <c r="D25" s="29">
        <v>1.1000000000000001</v>
      </c>
      <c r="E25" s="29">
        <f t="shared" si="4"/>
        <v>0.44999999999999996</v>
      </c>
      <c r="F25" s="29">
        <v>0.85</v>
      </c>
      <c r="G25" s="29">
        <v>0.15</v>
      </c>
      <c r="H25" s="29">
        <v>0.95</v>
      </c>
      <c r="K25" s="29">
        <v>0.1</v>
      </c>
      <c r="L25" s="29">
        <v>1.5</v>
      </c>
      <c r="M25">
        <v>-7.5</v>
      </c>
      <c r="N25">
        <v>-7.5</v>
      </c>
      <c r="R25">
        <v>-10</v>
      </c>
      <c r="S25">
        <v>-25</v>
      </c>
      <c r="X25" s="33">
        <v>1</v>
      </c>
      <c r="Y25" s="33" t="s">
        <v>613</v>
      </c>
      <c r="Z25" t="s">
        <v>711</v>
      </c>
      <c r="AA25" s="1">
        <v>3</v>
      </c>
      <c r="AB25" s="1" t="s">
        <v>766</v>
      </c>
      <c r="AC25" t="s">
        <v>659</v>
      </c>
      <c r="AD25" s="30"/>
      <c r="AE25" s="30">
        <f t="shared" si="2"/>
        <v>2.3999999999999995</v>
      </c>
      <c r="AF25" s="43">
        <v>1.45</v>
      </c>
      <c r="AG25" s="42">
        <f t="shared" si="3"/>
        <v>1.9575</v>
      </c>
      <c r="AH25" s="42">
        <f t="shared" si="1"/>
        <v>2.2559999999999998</v>
      </c>
      <c r="AI25" t="s">
        <v>231</v>
      </c>
      <c r="AJ25">
        <v>4</v>
      </c>
      <c r="AL25" s="25" t="s">
        <v>755</v>
      </c>
      <c r="AM25" s="44" t="s">
        <v>754</v>
      </c>
      <c r="AO25" t="s">
        <v>755</v>
      </c>
      <c r="AP25" t="s">
        <v>765</v>
      </c>
    </row>
    <row r="26" spans="1:42" ht="38.25" thickBot="1" x14ac:dyDescent="0.25">
      <c r="A26" t="s">
        <v>231</v>
      </c>
      <c r="B26" t="s">
        <v>764</v>
      </c>
      <c r="C26" t="s">
        <v>564</v>
      </c>
      <c r="D26" s="29">
        <v>1.1499999999999999</v>
      </c>
      <c r="E26" s="29">
        <f t="shared" si="4"/>
        <v>0</v>
      </c>
      <c r="F26" s="29">
        <v>0.95</v>
      </c>
      <c r="G26" s="29">
        <v>0.45</v>
      </c>
      <c r="H26" s="29">
        <v>1</v>
      </c>
      <c r="J26">
        <v>-5</v>
      </c>
      <c r="K26" s="29">
        <v>0.05</v>
      </c>
      <c r="L26" s="29">
        <v>1.75</v>
      </c>
      <c r="M26">
        <v>-5</v>
      </c>
      <c r="N26">
        <v>-5</v>
      </c>
      <c r="R26">
        <v>-15</v>
      </c>
      <c r="S26">
        <v>-35</v>
      </c>
      <c r="X26" s="33">
        <v>1</v>
      </c>
      <c r="Y26" s="33" t="s">
        <v>613</v>
      </c>
      <c r="Z26" t="s">
        <v>763</v>
      </c>
      <c r="AA26" s="1">
        <v>3</v>
      </c>
      <c r="AB26" s="1" t="s">
        <v>762</v>
      </c>
      <c r="AC26" t="s">
        <v>707</v>
      </c>
      <c r="AD26" s="30"/>
      <c r="AE26" s="30">
        <f t="shared" si="2"/>
        <v>2.4</v>
      </c>
      <c r="AF26" s="43">
        <v>1.4</v>
      </c>
      <c r="AG26" s="42">
        <f t="shared" si="3"/>
        <v>1.9599999999999997</v>
      </c>
      <c r="AH26" s="42">
        <f t="shared" si="1"/>
        <v>2.508</v>
      </c>
      <c r="AI26" t="s">
        <v>761</v>
      </c>
      <c r="AJ26">
        <v>3</v>
      </c>
      <c r="AL26" s="25" t="s">
        <v>750</v>
      </c>
      <c r="AM26" s="44" t="s">
        <v>749</v>
      </c>
      <c r="AO26" t="s">
        <v>750</v>
      </c>
      <c r="AP26" t="s">
        <v>760</v>
      </c>
    </row>
    <row r="27" spans="1:42" ht="38.25" thickBot="1" x14ac:dyDescent="0.25">
      <c r="A27" t="s">
        <v>230</v>
      </c>
      <c r="B27" t="s">
        <v>759</v>
      </c>
      <c r="C27" t="s">
        <v>564</v>
      </c>
      <c r="D27" s="29">
        <v>1.1000000000000001</v>
      </c>
      <c r="E27" s="29">
        <f t="shared" si="4"/>
        <v>0.39999999999999991</v>
      </c>
      <c r="F27" s="29">
        <v>0.5</v>
      </c>
      <c r="G27" s="29">
        <v>0.3</v>
      </c>
      <c r="H27" s="29">
        <v>0.95</v>
      </c>
      <c r="J27">
        <v>-10</v>
      </c>
      <c r="K27" s="29">
        <v>0.1</v>
      </c>
      <c r="L27" s="29">
        <v>1.5</v>
      </c>
      <c r="M27">
        <v>-5</v>
      </c>
      <c r="N27">
        <v>-5</v>
      </c>
      <c r="S27">
        <v>-25</v>
      </c>
      <c r="X27" s="33">
        <v>1</v>
      </c>
      <c r="Y27" s="33" t="s">
        <v>613</v>
      </c>
      <c r="AA27" s="1">
        <v>2.5</v>
      </c>
      <c r="AB27" s="1" t="s">
        <v>758</v>
      </c>
      <c r="AC27" t="s">
        <v>753</v>
      </c>
      <c r="AD27" s="30"/>
      <c r="AE27" s="30">
        <f t="shared" si="2"/>
        <v>2.15</v>
      </c>
      <c r="AF27" s="43">
        <v>1.2</v>
      </c>
      <c r="AG27" s="42">
        <f t="shared" si="3"/>
        <v>1.62</v>
      </c>
      <c r="AH27" s="42">
        <f t="shared" si="1"/>
        <v>2.2736250000000005</v>
      </c>
      <c r="AI27" t="s">
        <v>745</v>
      </c>
      <c r="AJ27">
        <v>3</v>
      </c>
      <c r="AL27" s="25" t="s">
        <v>744</v>
      </c>
      <c r="AM27" s="44" t="s">
        <v>742</v>
      </c>
      <c r="AO27" t="s">
        <v>744</v>
      </c>
      <c r="AP27" t="s">
        <v>757</v>
      </c>
    </row>
    <row r="28" spans="1:42" ht="38.25" thickBot="1" x14ac:dyDescent="0.25">
      <c r="A28" t="s">
        <v>756</v>
      </c>
      <c r="B28" t="s">
        <v>755</v>
      </c>
      <c r="C28" t="s">
        <v>564</v>
      </c>
      <c r="D28" s="29">
        <v>1.1000000000000001</v>
      </c>
      <c r="E28" s="29">
        <f t="shared" si="4"/>
        <v>0.54999999999999993</v>
      </c>
      <c r="F28" s="29">
        <v>0.45</v>
      </c>
      <c r="G28" s="29">
        <v>0.2</v>
      </c>
      <c r="H28" s="29">
        <v>0.95</v>
      </c>
      <c r="K28" s="29">
        <v>0.1</v>
      </c>
      <c r="L28" s="29">
        <v>1.75</v>
      </c>
      <c r="M28">
        <v>-7.5</v>
      </c>
      <c r="N28">
        <v>-7.5</v>
      </c>
      <c r="S28">
        <v>-25</v>
      </c>
      <c r="X28" s="33">
        <v>1</v>
      </c>
      <c r="Y28" s="33" t="s">
        <v>613</v>
      </c>
      <c r="AA28" s="1">
        <v>2.5</v>
      </c>
      <c r="AB28" s="1" t="s">
        <v>754</v>
      </c>
      <c r="AC28" t="s">
        <v>1294</v>
      </c>
      <c r="AD28" s="30"/>
      <c r="AE28" s="30">
        <f t="shared" si="2"/>
        <v>2.15</v>
      </c>
      <c r="AF28" s="43">
        <v>1.2</v>
      </c>
      <c r="AG28" s="42">
        <f t="shared" si="3"/>
        <v>1.62</v>
      </c>
      <c r="AH28" s="42">
        <f t="shared" si="1"/>
        <v>2.0640000000000001</v>
      </c>
      <c r="AI28" t="s">
        <v>229</v>
      </c>
      <c r="AJ28">
        <v>2</v>
      </c>
      <c r="AL28" s="25" t="s">
        <v>739</v>
      </c>
      <c r="AM28" s="44" t="s">
        <v>737</v>
      </c>
      <c r="AO28" t="s">
        <v>739</v>
      </c>
      <c r="AP28" t="s">
        <v>752</v>
      </c>
    </row>
    <row r="29" spans="1:42" ht="38.25" thickBot="1" x14ac:dyDescent="0.25">
      <c r="A29" t="s">
        <v>751</v>
      </c>
      <c r="B29" t="s">
        <v>750</v>
      </c>
      <c r="C29" t="s">
        <v>564</v>
      </c>
      <c r="D29" s="29">
        <v>1.05</v>
      </c>
      <c r="E29" s="29">
        <f t="shared" si="4"/>
        <v>0.60000000000000009</v>
      </c>
      <c r="F29" s="29">
        <v>0.6</v>
      </c>
      <c r="G29" s="29">
        <v>0.1</v>
      </c>
      <c r="H29" s="29">
        <v>0.95</v>
      </c>
      <c r="K29" s="29">
        <v>0.1</v>
      </c>
      <c r="L29" s="29">
        <v>1.5</v>
      </c>
      <c r="M29">
        <v>-2.5</v>
      </c>
      <c r="N29">
        <v>-7.5</v>
      </c>
      <c r="S29">
        <v>-25</v>
      </c>
      <c r="X29" s="33">
        <v>1</v>
      </c>
      <c r="Y29" s="33" t="s">
        <v>613</v>
      </c>
      <c r="AA29" s="1">
        <v>2.5</v>
      </c>
      <c r="AB29" s="1" t="s">
        <v>749</v>
      </c>
      <c r="AC29" t="s">
        <v>753</v>
      </c>
      <c r="AD29" s="30"/>
      <c r="AE29" s="30">
        <f t="shared" si="2"/>
        <v>2.25</v>
      </c>
      <c r="AF29" s="43">
        <v>1.3</v>
      </c>
      <c r="AG29" s="42">
        <f t="shared" si="3"/>
        <v>1.6900000000000002</v>
      </c>
      <c r="AH29" s="42">
        <f t="shared" si="1"/>
        <v>2.2471875000000003</v>
      </c>
      <c r="AI29" t="s">
        <v>748</v>
      </c>
      <c r="AJ29">
        <v>4</v>
      </c>
      <c r="AL29" s="25" t="s">
        <v>746</v>
      </c>
      <c r="AM29" s="44" t="s">
        <v>747</v>
      </c>
      <c r="AO29" t="s">
        <v>746</v>
      </c>
      <c r="AP29" t="s">
        <v>730</v>
      </c>
    </row>
    <row r="30" spans="1:42" ht="19.5" thickBot="1" x14ac:dyDescent="0.25">
      <c r="A30" t="s">
        <v>745</v>
      </c>
      <c r="B30" t="s">
        <v>744</v>
      </c>
      <c r="C30" t="s">
        <v>564</v>
      </c>
      <c r="D30" s="29">
        <v>1</v>
      </c>
      <c r="E30" s="29">
        <f t="shared" si="4"/>
        <v>0.14999999999999991</v>
      </c>
      <c r="F30" s="29">
        <v>0.9</v>
      </c>
      <c r="G30" s="29">
        <v>0.15</v>
      </c>
      <c r="H30" s="29">
        <v>0.95</v>
      </c>
      <c r="K30" s="29">
        <v>0.15</v>
      </c>
      <c r="L30" s="29">
        <v>1.5</v>
      </c>
      <c r="M30">
        <v>-2.5</v>
      </c>
      <c r="N30">
        <v>-2.5</v>
      </c>
      <c r="X30" s="33">
        <v>1</v>
      </c>
      <c r="Y30" s="33" t="s">
        <v>613</v>
      </c>
      <c r="Z30" t="s">
        <v>743</v>
      </c>
      <c r="AA30" s="1">
        <v>2</v>
      </c>
      <c r="AB30" s="1" t="s">
        <v>742</v>
      </c>
      <c r="AC30" t="s">
        <v>694</v>
      </c>
      <c r="AD30" s="30"/>
      <c r="AE30" s="30">
        <f t="shared" si="2"/>
        <v>2.1499999999999995</v>
      </c>
      <c r="AF30" s="43">
        <v>1.2</v>
      </c>
      <c r="AG30" s="42">
        <f t="shared" si="3"/>
        <v>1.5</v>
      </c>
      <c r="AH30" s="42">
        <f t="shared" si="1"/>
        <v>2.4429374999999993</v>
      </c>
      <c r="AI30" t="s">
        <v>228</v>
      </c>
      <c r="AJ30">
        <v>3</v>
      </c>
      <c r="AL30" s="25" t="s">
        <v>733</v>
      </c>
      <c r="AM30" s="44" t="s">
        <v>741</v>
      </c>
      <c r="AO30" t="s">
        <v>733</v>
      </c>
      <c r="AP30" t="s">
        <v>740</v>
      </c>
    </row>
    <row r="31" spans="1:42" ht="57" thickBot="1" x14ac:dyDescent="0.25">
      <c r="A31" t="s">
        <v>229</v>
      </c>
      <c r="B31" t="s">
        <v>739</v>
      </c>
      <c r="C31" t="s">
        <v>564</v>
      </c>
      <c r="D31" s="29">
        <v>1.05</v>
      </c>
      <c r="E31" s="29">
        <f t="shared" si="4"/>
        <v>0.10000000000000009</v>
      </c>
      <c r="F31" s="29">
        <v>0</v>
      </c>
      <c r="G31" s="29">
        <v>1</v>
      </c>
      <c r="H31" s="29">
        <v>0.95</v>
      </c>
      <c r="J31">
        <v>25</v>
      </c>
      <c r="K31" s="29">
        <v>0.05</v>
      </c>
      <c r="L31" s="29">
        <v>1.5</v>
      </c>
      <c r="X31" s="33">
        <v>1</v>
      </c>
      <c r="Y31" s="33" t="s">
        <v>613</v>
      </c>
      <c r="Z31" t="s">
        <v>738</v>
      </c>
      <c r="AA31" s="1">
        <v>1.5</v>
      </c>
      <c r="AB31" s="1" t="s">
        <v>1281</v>
      </c>
      <c r="AC31" t="s">
        <v>736</v>
      </c>
      <c r="AD31" s="30"/>
      <c r="AE31" s="30">
        <f t="shared" si="2"/>
        <v>2.0499999999999998</v>
      </c>
      <c r="AF31" s="43">
        <v>1.1000000000000001</v>
      </c>
      <c r="AG31" s="42">
        <f t="shared" si="3"/>
        <v>1.4300000000000002</v>
      </c>
      <c r="AH31" s="42">
        <f t="shared" si="1"/>
        <v>2.3408437499999994</v>
      </c>
      <c r="AI31" t="s">
        <v>735</v>
      </c>
      <c r="AJ31">
        <v>4</v>
      </c>
      <c r="AL31" s="25" t="s">
        <v>729</v>
      </c>
      <c r="AM31" s="44" t="s">
        <v>728</v>
      </c>
      <c r="AO31" t="s">
        <v>729</v>
      </c>
      <c r="AP31" t="s">
        <v>734</v>
      </c>
    </row>
    <row r="32" spans="1:42" ht="38.25" thickBot="1" x14ac:dyDescent="0.25">
      <c r="A32" t="s">
        <v>228</v>
      </c>
      <c r="B32" t="s">
        <v>733</v>
      </c>
      <c r="C32" t="s">
        <v>564</v>
      </c>
      <c r="D32" s="29">
        <v>1.1000000000000001</v>
      </c>
      <c r="E32" s="29">
        <f t="shared" si="4"/>
        <v>0</v>
      </c>
      <c r="F32" s="29">
        <v>0</v>
      </c>
      <c r="G32" s="29">
        <v>1.1499999999999999</v>
      </c>
      <c r="H32" s="29">
        <v>0.95</v>
      </c>
      <c r="K32" s="29">
        <v>0.15</v>
      </c>
      <c r="L32" s="29">
        <v>1.25</v>
      </c>
      <c r="N32">
        <v>-2</v>
      </c>
      <c r="X32" s="33">
        <v>1</v>
      </c>
      <c r="Y32" s="33" t="s">
        <v>613</v>
      </c>
      <c r="AA32" s="1">
        <v>2</v>
      </c>
      <c r="AB32" s="1" t="s">
        <v>731</v>
      </c>
      <c r="AC32" t="s">
        <v>694</v>
      </c>
      <c r="AD32" s="30"/>
      <c r="AE32" s="30">
        <f t="shared" si="2"/>
        <v>2.0999999999999996</v>
      </c>
      <c r="AF32" s="43">
        <v>1.1499999999999999</v>
      </c>
      <c r="AG32" s="42">
        <f t="shared" si="3"/>
        <v>1.5525</v>
      </c>
      <c r="AH32" s="42">
        <f t="shared" si="1"/>
        <v>2.7268499999999998</v>
      </c>
      <c r="AI32" t="s">
        <v>715</v>
      </c>
      <c r="AJ32">
        <v>3.5</v>
      </c>
      <c r="AL32" s="25" t="s">
        <v>721</v>
      </c>
      <c r="AM32" s="44" t="s">
        <v>720</v>
      </c>
      <c r="AO32" t="s">
        <v>721</v>
      </c>
      <c r="AP32" t="s">
        <v>730</v>
      </c>
    </row>
    <row r="33" spans="1:42" ht="38.25" thickBot="1" x14ac:dyDescent="0.25">
      <c r="A33" t="s">
        <v>255</v>
      </c>
      <c r="B33" t="s">
        <v>732</v>
      </c>
      <c r="C33" t="s">
        <v>564</v>
      </c>
      <c r="D33" s="29">
        <v>1.2</v>
      </c>
      <c r="E33" s="29">
        <f t="shared" si="4"/>
        <v>0</v>
      </c>
      <c r="F33" s="29">
        <v>0</v>
      </c>
      <c r="G33" s="29">
        <v>1.1499999999999999</v>
      </c>
      <c r="H33" s="29">
        <v>0.95</v>
      </c>
      <c r="K33" s="29">
        <v>0.15</v>
      </c>
      <c r="L33" s="29">
        <v>1.25</v>
      </c>
      <c r="N33">
        <v>-5</v>
      </c>
      <c r="R33">
        <v>-15</v>
      </c>
      <c r="S33">
        <v>-35</v>
      </c>
      <c r="X33" s="33">
        <v>1</v>
      </c>
      <c r="Y33" s="33" t="s">
        <v>613</v>
      </c>
      <c r="AA33" s="1">
        <v>3</v>
      </c>
      <c r="AB33" s="1" t="s">
        <v>731</v>
      </c>
      <c r="AC33" t="s">
        <v>694</v>
      </c>
      <c r="AD33" s="30"/>
      <c r="AE33" s="30">
        <f t="shared" si="2"/>
        <v>2.0999999999999996</v>
      </c>
      <c r="AF33" s="43">
        <v>1.1499999999999999</v>
      </c>
      <c r="AG33" s="42">
        <f t="shared" si="3"/>
        <v>1.6674999999999998</v>
      </c>
      <c r="AH33" s="42">
        <f t="shared" si="1"/>
        <v>2.8297499999999993</v>
      </c>
      <c r="AI33" t="s">
        <v>715</v>
      </c>
      <c r="AJ33">
        <v>3.5</v>
      </c>
      <c r="AL33" s="25" t="s">
        <v>721</v>
      </c>
      <c r="AM33" s="44" t="s">
        <v>720</v>
      </c>
      <c r="AO33" t="s">
        <v>721</v>
      </c>
      <c r="AP33" t="s">
        <v>730</v>
      </c>
    </row>
    <row r="34" spans="1:42" ht="38.25" thickBot="1" x14ac:dyDescent="0.25">
      <c r="A34" t="s">
        <v>227</v>
      </c>
      <c r="B34" t="s">
        <v>729</v>
      </c>
      <c r="C34" t="s">
        <v>564</v>
      </c>
      <c r="D34" s="29">
        <v>1.05</v>
      </c>
      <c r="E34" s="29">
        <f t="shared" si="4"/>
        <v>0</v>
      </c>
      <c r="F34" s="29">
        <v>0.6</v>
      </c>
      <c r="G34" s="29">
        <v>0.6</v>
      </c>
      <c r="H34" s="29">
        <v>0.95</v>
      </c>
      <c r="J34">
        <v>10</v>
      </c>
      <c r="K34" s="29">
        <v>0.1</v>
      </c>
      <c r="L34" s="29">
        <v>1.25</v>
      </c>
      <c r="M34">
        <v>-2.5</v>
      </c>
      <c r="N34">
        <v>-2.5</v>
      </c>
      <c r="X34" s="33">
        <v>1</v>
      </c>
      <c r="Y34" s="33" t="s">
        <v>613</v>
      </c>
      <c r="AA34" s="1">
        <v>2</v>
      </c>
      <c r="AB34" s="1" t="s">
        <v>728</v>
      </c>
      <c r="AC34" t="s">
        <v>498</v>
      </c>
      <c r="AD34" s="30"/>
      <c r="AE34" s="30">
        <f t="shared" si="2"/>
        <v>2.15</v>
      </c>
      <c r="AF34" s="43">
        <v>1.2</v>
      </c>
      <c r="AG34" s="42">
        <f t="shared" si="3"/>
        <v>1.56</v>
      </c>
      <c r="AH34" s="42">
        <f t="shared" si="1"/>
        <v>2.3488749999999996</v>
      </c>
      <c r="AI34" t="s">
        <v>226</v>
      </c>
      <c r="AJ34">
        <v>3</v>
      </c>
      <c r="AL34" s="25" t="s">
        <v>718</v>
      </c>
      <c r="AM34" s="44" t="s">
        <v>717</v>
      </c>
      <c r="AO34" t="s">
        <v>718</v>
      </c>
      <c r="AP34" t="s">
        <v>727</v>
      </c>
    </row>
    <row r="35" spans="1:42" ht="19.5" thickBot="1" x14ac:dyDescent="0.25">
      <c r="A35" t="s">
        <v>726</v>
      </c>
      <c r="B35" t="s">
        <v>725</v>
      </c>
      <c r="C35" t="s">
        <v>564</v>
      </c>
      <c r="D35" s="29">
        <v>1.05</v>
      </c>
      <c r="E35" s="29">
        <f t="shared" si="4"/>
        <v>0</v>
      </c>
      <c r="F35" s="29">
        <v>0.3</v>
      </c>
      <c r="G35" s="29">
        <v>0.95</v>
      </c>
      <c r="H35" s="29">
        <v>0.95</v>
      </c>
      <c r="K35" s="29">
        <v>0.05</v>
      </c>
      <c r="L35" s="29">
        <v>1.25</v>
      </c>
      <c r="X35" s="33">
        <v>1</v>
      </c>
      <c r="Y35" s="33" t="s">
        <v>613</v>
      </c>
      <c r="AA35" s="1">
        <v>2</v>
      </c>
      <c r="AB35" s="1" t="s">
        <v>724</v>
      </c>
      <c r="AC35" t="s">
        <v>659</v>
      </c>
      <c r="AD35" s="30"/>
      <c r="AE35" s="30">
        <f t="shared" si="2"/>
        <v>2.2000000000000002</v>
      </c>
      <c r="AF35" s="43">
        <v>1.25</v>
      </c>
      <c r="AG35" s="42">
        <f t="shared" si="3"/>
        <v>1.625</v>
      </c>
      <c r="AH35" s="42">
        <f t="shared" ref="AH35:AH58" si="5">AE35*(D35+SUM(M35:N35)/50)*(1+K35*(L35+0.25))</f>
        <v>2.4832500000000004</v>
      </c>
      <c r="AI35" t="s">
        <v>225</v>
      </c>
      <c r="AJ35">
        <v>3.5</v>
      </c>
      <c r="AL35" s="25" t="s">
        <v>714</v>
      </c>
      <c r="AM35" s="44" t="s">
        <v>713</v>
      </c>
      <c r="AO35" t="s">
        <v>714</v>
      </c>
      <c r="AP35" t="s">
        <v>723</v>
      </c>
    </row>
    <row r="36" spans="1:42" ht="38.25" thickBot="1" x14ac:dyDescent="0.25">
      <c r="A36" t="s">
        <v>722</v>
      </c>
      <c r="B36" t="s">
        <v>721</v>
      </c>
      <c r="C36" t="s">
        <v>564</v>
      </c>
      <c r="D36" s="29">
        <v>1.1000000000000001</v>
      </c>
      <c r="E36" s="29">
        <f t="shared" si="4"/>
        <v>0</v>
      </c>
      <c r="F36" s="29">
        <v>0</v>
      </c>
      <c r="G36" s="29">
        <v>1.25</v>
      </c>
      <c r="H36" s="29">
        <v>0.95</v>
      </c>
      <c r="J36">
        <v>-15</v>
      </c>
      <c r="K36" s="29">
        <v>0.05</v>
      </c>
      <c r="L36" s="29">
        <v>1.5</v>
      </c>
      <c r="M36">
        <v>-2.5</v>
      </c>
      <c r="N36">
        <v>-2.5</v>
      </c>
      <c r="X36" s="33">
        <v>1</v>
      </c>
      <c r="Y36" s="33" t="s">
        <v>613</v>
      </c>
      <c r="AA36" s="1">
        <v>2</v>
      </c>
      <c r="AB36" s="1" t="s">
        <v>720</v>
      </c>
      <c r="AC36" t="s">
        <v>498</v>
      </c>
      <c r="AD36" s="30"/>
      <c r="AE36" s="30">
        <f t="shared" si="2"/>
        <v>2.2000000000000002</v>
      </c>
      <c r="AF36" s="43">
        <v>1.25</v>
      </c>
      <c r="AG36" s="42">
        <f t="shared" si="3"/>
        <v>1.6875</v>
      </c>
      <c r="AH36" s="42">
        <f t="shared" si="5"/>
        <v>2.3925000000000001</v>
      </c>
      <c r="AI36" t="s">
        <v>224</v>
      </c>
      <c r="AJ36">
        <v>2</v>
      </c>
      <c r="AL36" s="25" t="s">
        <v>712</v>
      </c>
      <c r="AM36" s="44" t="s">
        <v>710</v>
      </c>
    </row>
    <row r="37" spans="1:42" ht="38.25" thickBot="1" x14ac:dyDescent="0.25">
      <c r="A37" t="s">
        <v>719</v>
      </c>
      <c r="B37" t="s">
        <v>718</v>
      </c>
      <c r="C37" t="s">
        <v>564</v>
      </c>
      <c r="D37" s="29">
        <v>1.1499999999999999</v>
      </c>
      <c r="E37" s="29">
        <f t="shared" si="4"/>
        <v>0</v>
      </c>
      <c r="F37" s="29">
        <v>0.85</v>
      </c>
      <c r="G37" s="29">
        <v>0.35</v>
      </c>
      <c r="H37" s="29">
        <v>0.9</v>
      </c>
      <c r="J37">
        <v>-15</v>
      </c>
      <c r="K37" s="29">
        <v>7.4999999999999997E-2</v>
      </c>
      <c r="L37" s="29">
        <v>1.7</v>
      </c>
      <c r="X37" s="33">
        <v>1</v>
      </c>
      <c r="Y37" s="33" t="s">
        <v>613</v>
      </c>
      <c r="AA37" s="1">
        <v>1.5</v>
      </c>
      <c r="AB37" s="1" t="s">
        <v>717</v>
      </c>
      <c r="AC37" t="s">
        <v>716</v>
      </c>
      <c r="AD37" s="30"/>
      <c r="AE37" s="30">
        <f t="shared" si="2"/>
        <v>2.1</v>
      </c>
      <c r="AF37" s="43">
        <v>1.2</v>
      </c>
      <c r="AG37" s="42">
        <f t="shared" si="3"/>
        <v>1.68</v>
      </c>
      <c r="AH37" s="42">
        <f t="shared" si="5"/>
        <v>2.76819375</v>
      </c>
      <c r="AI37" t="s">
        <v>703</v>
      </c>
      <c r="AJ37">
        <v>3</v>
      </c>
      <c r="AL37" s="25" t="s">
        <v>709</v>
      </c>
      <c r="AM37" s="44" t="s">
        <v>708</v>
      </c>
    </row>
    <row r="38" spans="1:42" ht="38.25" thickBot="1" x14ac:dyDescent="0.25">
      <c r="A38" t="s">
        <v>715</v>
      </c>
      <c r="B38" t="s">
        <v>714</v>
      </c>
      <c r="C38" t="s">
        <v>564</v>
      </c>
      <c r="D38" s="29">
        <v>1.3</v>
      </c>
      <c r="E38" s="29">
        <f t="shared" si="4"/>
        <v>0</v>
      </c>
      <c r="F38" s="29">
        <v>0.85</v>
      </c>
      <c r="G38" s="29">
        <v>0.35</v>
      </c>
      <c r="H38" s="29">
        <v>0.9</v>
      </c>
      <c r="J38">
        <v>-15</v>
      </c>
      <c r="K38" s="29">
        <v>7.4999999999999997E-2</v>
      </c>
      <c r="L38" s="29">
        <v>1.7</v>
      </c>
      <c r="M38">
        <v>-2.5</v>
      </c>
      <c r="N38">
        <v>-2.5</v>
      </c>
      <c r="X38" s="33">
        <v>1</v>
      </c>
      <c r="Y38" s="33" t="s">
        <v>613</v>
      </c>
      <c r="AA38" s="1">
        <v>2</v>
      </c>
      <c r="AB38" s="1" t="s">
        <v>713</v>
      </c>
      <c r="AC38" t="s">
        <v>694</v>
      </c>
      <c r="AD38" s="30"/>
      <c r="AE38" s="30">
        <f t="shared" si="2"/>
        <v>2.1</v>
      </c>
      <c r="AF38" s="43">
        <v>1.2</v>
      </c>
      <c r="AG38" s="42">
        <f t="shared" si="3"/>
        <v>1.8599999999999999</v>
      </c>
      <c r="AH38" s="42">
        <f t="shared" si="5"/>
        <v>2.88855</v>
      </c>
      <c r="AI38" t="s">
        <v>699</v>
      </c>
      <c r="AJ38">
        <v>3</v>
      </c>
      <c r="AL38" s="25" t="s">
        <v>706</v>
      </c>
      <c r="AM38" s="44" t="s">
        <v>705</v>
      </c>
    </row>
    <row r="39" spans="1:42" ht="19.5" thickBot="1" x14ac:dyDescent="0.25">
      <c r="D39" s="29"/>
      <c r="E39" s="29"/>
      <c r="F39" s="29"/>
      <c r="G39" s="29"/>
      <c r="AA39" s="1">
        <v>71</v>
      </c>
      <c r="AB39" s="1" t="s">
        <v>498</v>
      </c>
      <c r="AC39" t="s">
        <v>498</v>
      </c>
      <c r="AD39" s="30"/>
      <c r="AE39" s="30">
        <f t="shared" si="2"/>
        <v>0</v>
      </c>
      <c r="AF39" s="43">
        <v>0</v>
      </c>
      <c r="AG39" s="42">
        <f t="shared" si="3"/>
        <v>0</v>
      </c>
      <c r="AH39" s="42">
        <f t="shared" si="5"/>
        <v>0</v>
      </c>
      <c r="AI39" t="s">
        <v>223</v>
      </c>
      <c r="AJ39">
        <v>3.5</v>
      </c>
      <c r="AL39" s="25" t="s">
        <v>702</v>
      </c>
      <c r="AM39" s="44" t="s">
        <v>701</v>
      </c>
    </row>
    <row r="40" spans="1:42" ht="19.5" thickBot="1" x14ac:dyDescent="0.25">
      <c r="A40" t="s">
        <v>226</v>
      </c>
      <c r="B40" t="s">
        <v>712</v>
      </c>
      <c r="C40" t="s">
        <v>564</v>
      </c>
      <c r="D40" s="29">
        <v>1.1000000000000001</v>
      </c>
      <c r="E40" s="29">
        <f>AF40-SUM(F40:G40)</f>
        <v>0</v>
      </c>
      <c r="F40" s="29">
        <v>0</v>
      </c>
      <c r="G40" s="29">
        <v>1.1000000000000001</v>
      </c>
      <c r="H40" s="29">
        <v>0.95</v>
      </c>
      <c r="J40">
        <v>-5</v>
      </c>
      <c r="K40" s="29">
        <v>0.1</v>
      </c>
      <c r="L40" s="29">
        <v>1.5</v>
      </c>
      <c r="M40">
        <v>-2.5</v>
      </c>
      <c r="X40" s="33">
        <v>1</v>
      </c>
      <c r="Y40" s="33" t="s">
        <v>613</v>
      </c>
      <c r="Z40" t="s">
        <v>711</v>
      </c>
      <c r="AA40" s="1">
        <v>2</v>
      </c>
      <c r="AB40" s="1" t="s">
        <v>710</v>
      </c>
      <c r="AC40" t="s">
        <v>694</v>
      </c>
      <c r="AD40" s="30"/>
      <c r="AE40" s="30">
        <f t="shared" si="2"/>
        <v>2.0499999999999998</v>
      </c>
      <c r="AF40" s="43">
        <v>1.1000000000000001</v>
      </c>
      <c r="AG40" s="42">
        <f t="shared" si="3"/>
        <v>1.4850000000000003</v>
      </c>
      <c r="AH40" s="42">
        <f t="shared" si="5"/>
        <v>2.5291874999999999</v>
      </c>
      <c r="AI40" t="s">
        <v>692</v>
      </c>
      <c r="AJ40">
        <v>4</v>
      </c>
      <c r="AL40" s="25" t="s">
        <v>698</v>
      </c>
      <c r="AM40" s="44" t="s">
        <v>697</v>
      </c>
    </row>
    <row r="41" spans="1:42" ht="38.25" thickBot="1" x14ac:dyDescent="0.25">
      <c r="A41" t="s">
        <v>225</v>
      </c>
      <c r="B41" t="s">
        <v>709</v>
      </c>
      <c r="C41" t="s">
        <v>564</v>
      </c>
      <c r="D41" s="29">
        <v>1.25</v>
      </c>
      <c r="E41" s="29">
        <f>AF41-SUM(F41:G41)</f>
        <v>0</v>
      </c>
      <c r="F41" s="29">
        <v>0</v>
      </c>
      <c r="G41" s="29">
        <v>1.2</v>
      </c>
      <c r="H41" s="29">
        <v>1.05</v>
      </c>
      <c r="J41">
        <v>-15</v>
      </c>
      <c r="K41" s="29">
        <v>0.1</v>
      </c>
      <c r="L41" s="29">
        <v>1.5</v>
      </c>
      <c r="M41">
        <v>-5</v>
      </c>
      <c r="N41">
        <v>-5</v>
      </c>
      <c r="X41" s="33">
        <v>1</v>
      </c>
      <c r="Y41" s="33" t="s">
        <v>613</v>
      </c>
      <c r="AA41" s="1">
        <v>2.5</v>
      </c>
      <c r="AB41" s="1" t="s">
        <v>708</v>
      </c>
      <c r="AC41" t="s">
        <v>707</v>
      </c>
      <c r="AD41" s="30"/>
      <c r="AE41" s="30">
        <f t="shared" si="2"/>
        <v>2.25</v>
      </c>
      <c r="AF41" s="43">
        <v>1.2</v>
      </c>
      <c r="AG41" s="42">
        <f t="shared" si="3"/>
        <v>1.7999999999999998</v>
      </c>
      <c r="AH41" s="42">
        <f t="shared" si="5"/>
        <v>2.7759375000000004</v>
      </c>
      <c r="AI41" t="s">
        <v>222</v>
      </c>
      <c r="AJ41">
        <v>3</v>
      </c>
      <c r="AL41" s="25" t="s">
        <v>696</v>
      </c>
      <c r="AM41" s="44" t="s">
        <v>695</v>
      </c>
    </row>
    <row r="42" spans="1:42" ht="26.25" thickBot="1" x14ac:dyDescent="0.25">
      <c r="D42" s="29"/>
      <c r="E42" s="29"/>
      <c r="F42" s="29"/>
      <c r="G42" s="29"/>
      <c r="AA42" s="1">
        <v>71</v>
      </c>
      <c r="AB42" s="1" t="s">
        <v>498</v>
      </c>
      <c r="AC42" t="s">
        <v>498</v>
      </c>
      <c r="AD42" s="30"/>
      <c r="AE42" s="30">
        <f t="shared" si="2"/>
        <v>0</v>
      </c>
      <c r="AF42" s="43">
        <v>0</v>
      </c>
      <c r="AG42" s="42">
        <f t="shared" si="3"/>
        <v>0</v>
      </c>
      <c r="AH42" s="42">
        <f t="shared" si="5"/>
        <v>0</v>
      </c>
      <c r="AI42" t="s">
        <v>686</v>
      </c>
      <c r="AJ42">
        <v>3.5</v>
      </c>
      <c r="AL42" s="25" t="s">
        <v>691</v>
      </c>
      <c r="AM42" s="44" t="s">
        <v>690</v>
      </c>
    </row>
    <row r="43" spans="1:42" ht="38.25" thickBot="1" x14ac:dyDescent="0.25">
      <c r="A43" t="s">
        <v>224</v>
      </c>
      <c r="B43" t="s">
        <v>706</v>
      </c>
      <c r="C43" t="s">
        <v>564</v>
      </c>
      <c r="D43" s="29">
        <v>1.25</v>
      </c>
      <c r="E43" s="29">
        <f>AF43-SUM(F43:G43)</f>
        <v>0.44999999999999996</v>
      </c>
      <c r="F43" s="29">
        <v>0.55000000000000004</v>
      </c>
      <c r="G43" s="29">
        <v>0.05</v>
      </c>
      <c r="H43" s="29">
        <v>0.85</v>
      </c>
      <c r="J43">
        <v>-15</v>
      </c>
      <c r="K43" s="29">
        <v>0.05</v>
      </c>
      <c r="L43" s="29">
        <v>2</v>
      </c>
      <c r="X43" s="33">
        <v>1</v>
      </c>
      <c r="Y43" s="33" t="s">
        <v>613</v>
      </c>
      <c r="Z43" t="s">
        <v>1517</v>
      </c>
      <c r="AA43" s="1">
        <v>2</v>
      </c>
      <c r="AB43" s="1" t="s">
        <v>705</v>
      </c>
      <c r="AC43" t="s">
        <v>704</v>
      </c>
      <c r="AD43" s="30"/>
      <c r="AE43" s="30">
        <f t="shared" si="2"/>
        <v>1.9</v>
      </c>
      <c r="AF43" s="43">
        <v>1.05</v>
      </c>
      <c r="AG43" s="42">
        <f t="shared" si="3"/>
        <v>1.5750000000000002</v>
      </c>
      <c r="AH43" s="42">
        <f t="shared" si="5"/>
        <v>2.6421874999999999</v>
      </c>
      <c r="AI43" t="s">
        <v>682</v>
      </c>
      <c r="AJ43">
        <v>4</v>
      </c>
      <c r="AL43" s="25" t="s">
        <v>689</v>
      </c>
      <c r="AM43" s="44" t="s">
        <v>688</v>
      </c>
    </row>
    <row r="44" spans="1:42" ht="38.25" thickBot="1" x14ac:dyDescent="0.25">
      <c r="A44" t="s">
        <v>703</v>
      </c>
      <c r="B44" t="s">
        <v>702</v>
      </c>
      <c r="C44" t="s">
        <v>564</v>
      </c>
      <c r="D44" s="29">
        <v>1.3</v>
      </c>
      <c r="E44" s="29">
        <f>AF44-SUM(F44:G44)</f>
        <v>0.54999999999999993</v>
      </c>
      <c r="F44" s="29">
        <v>0.6</v>
      </c>
      <c r="G44" s="29">
        <v>0.05</v>
      </c>
      <c r="H44" s="29">
        <v>0.9</v>
      </c>
      <c r="J44">
        <v>-15</v>
      </c>
      <c r="K44" s="29">
        <v>0.05</v>
      </c>
      <c r="L44" s="29">
        <v>2</v>
      </c>
      <c r="M44">
        <v>-2.5</v>
      </c>
      <c r="N44">
        <v>-2.5</v>
      </c>
      <c r="S44">
        <v>-35</v>
      </c>
      <c r="X44" s="33">
        <v>1</v>
      </c>
      <c r="Y44" s="33" t="s">
        <v>613</v>
      </c>
      <c r="AA44" s="1">
        <v>2.5</v>
      </c>
      <c r="AB44" s="1" t="s">
        <v>701</v>
      </c>
      <c r="AC44" t="s">
        <v>659</v>
      </c>
      <c r="AD44" s="30"/>
      <c r="AE44" s="30">
        <f t="shared" si="2"/>
        <v>2.1</v>
      </c>
      <c r="AF44" s="43">
        <v>1.2</v>
      </c>
      <c r="AG44" s="42">
        <f t="shared" si="3"/>
        <v>1.8599999999999999</v>
      </c>
      <c r="AH44" s="42">
        <f t="shared" si="5"/>
        <v>2.8035000000000001</v>
      </c>
      <c r="AI44" t="s">
        <v>700</v>
      </c>
      <c r="AJ44">
        <v>1</v>
      </c>
      <c r="AL44" s="25" t="s">
        <v>685</v>
      </c>
      <c r="AM44" s="44" t="s">
        <v>684</v>
      </c>
    </row>
    <row r="45" spans="1:42" ht="26.25" thickBot="1" x14ac:dyDescent="0.25">
      <c r="D45" s="29"/>
      <c r="E45" s="29"/>
      <c r="F45" s="29"/>
      <c r="G45" s="29"/>
      <c r="AA45" s="1">
        <v>71</v>
      </c>
      <c r="AB45" s="1" t="s">
        <v>498</v>
      </c>
      <c r="AC45" t="s">
        <v>498</v>
      </c>
      <c r="AD45" s="30"/>
      <c r="AE45" s="30">
        <f t="shared" si="2"/>
        <v>0</v>
      </c>
      <c r="AF45" s="43">
        <v>0</v>
      </c>
      <c r="AG45" s="42">
        <f t="shared" si="3"/>
        <v>0</v>
      </c>
      <c r="AH45" s="42">
        <f t="shared" si="5"/>
        <v>0</v>
      </c>
      <c r="AI45" s="1" t="s">
        <v>221</v>
      </c>
      <c r="AJ45" s="1">
        <v>2</v>
      </c>
      <c r="AK45" s="1"/>
      <c r="AL45" s="25" t="s">
        <v>681</v>
      </c>
      <c r="AM45" s="44" t="s">
        <v>680</v>
      </c>
    </row>
    <row r="46" spans="1:42" ht="19.5" thickBot="1" x14ac:dyDescent="0.25">
      <c r="A46" t="s">
        <v>699</v>
      </c>
      <c r="B46" t="s">
        <v>698</v>
      </c>
      <c r="C46" t="s">
        <v>564</v>
      </c>
      <c r="D46" s="29">
        <v>1.1499999999999999</v>
      </c>
      <c r="E46" s="29">
        <f>AF46-SUM(F46:G46)</f>
        <v>0.90000000000000013</v>
      </c>
      <c r="F46" s="29">
        <v>0</v>
      </c>
      <c r="G46" s="29">
        <v>0.2</v>
      </c>
      <c r="H46" s="29">
        <v>0.9</v>
      </c>
      <c r="J46">
        <v>-15</v>
      </c>
      <c r="K46" s="29">
        <v>0.05</v>
      </c>
      <c r="L46" s="29">
        <v>1.75</v>
      </c>
      <c r="M46">
        <v>-2.5</v>
      </c>
      <c r="X46" s="33">
        <v>1</v>
      </c>
      <c r="Y46" s="33" t="s">
        <v>613</v>
      </c>
      <c r="Z46" t="s">
        <v>1516</v>
      </c>
      <c r="AA46" s="1">
        <v>1.5</v>
      </c>
      <c r="AB46" s="1" t="s">
        <v>697</v>
      </c>
      <c r="AC46" t="s">
        <v>583</v>
      </c>
      <c r="AD46" s="30"/>
      <c r="AE46" s="30">
        <f t="shared" si="2"/>
        <v>2</v>
      </c>
      <c r="AF46" s="43">
        <v>1.1000000000000001</v>
      </c>
      <c r="AG46" s="42">
        <f t="shared" si="3"/>
        <v>1.54</v>
      </c>
      <c r="AH46" s="42">
        <f t="shared" si="5"/>
        <v>2.42</v>
      </c>
      <c r="AI46" s="1" t="s">
        <v>220</v>
      </c>
      <c r="AJ46" s="1">
        <v>3</v>
      </c>
      <c r="AK46" s="1"/>
      <c r="AL46" s="25" t="s">
        <v>670</v>
      </c>
      <c r="AM46" s="44" t="s">
        <v>668</v>
      </c>
    </row>
    <row r="47" spans="1:42" ht="38.25" thickBot="1" x14ac:dyDescent="0.25">
      <c r="A47" t="s">
        <v>223</v>
      </c>
      <c r="B47" t="s">
        <v>696</v>
      </c>
      <c r="C47" t="s">
        <v>564</v>
      </c>
      <c r="D47" s="29">
        <v>1.1499999999999999</v>
      </c>
      <c r="E47" s="29">
        <f>AF47-SUM(F47:G47)</f>
        <v>0.95</v>
      </c>
      <c r="F47" s="29">
        <v>0</v>
      </c>
      <c r="G47" s="29">
        <v>0.3</v>
      </c>
      <c r="H47" s="29">
        <v>1</v>
      </c>
      <c r="J47">
        <v>-15</v>
      </c>
      <c r="K47" s="29">
        <v>0.05</v>
      </c>
      <c r="L47" s="29">
        <v>1.75</v>
      </c>
      <c r="M47">
        <v>-2.5</v>
      </c>
      <c r="S47">
        <v>-15</v>
      </c>
      <c r="X47" s="33">
        <v>1</v>
      </c>
      <c r="Y47" s="33" t="s">
        <v>613</v>
      </c>
      <c r="AA47" s="1">
        <v>2</v>
      </c>
      <c r="AB47" s="1" t="s">
        <v>695</v>
      </c>
      <c r="AC47" t="s">
        <v>694</v>
      </c>
      <c r="AD47" s="30"/>
      <c r="AE47" s="30">
        <f t="shared" si="2"/>
        <v>2.25</v>
      </c>
      <c r="AF47" s="43">
        <v>1.25</v>
      </c>
      <c r="AG47" s="42">
        <f t="shared" si="3"/>
        <v>1.75</v>
      </c>
      <c r="AH47" s="42">
        <f t="shared" si="5"/>
        <v>2.7224999999999997</v>
      </c>
      <c r="AI47" s="1" t="s">
        <v>693</v>
      </c>
      <c r="AJ47" s="1">
        <v>3</v>
      </c>
      <c r="AK47" s="1"/>
      <c r="AL47" s="25" t="s">
        <v>666</v>
      </c>
      <c r="AM47" s="44" t="s">
        <v>664</v>
      </c>
    </row>
    <row r="48" spans="1:42" ht="38.25" thickBot="1" x14ac:dyDescent="0.25">
      <c r="A48" t="s">
        <v>692</v>
      </c>
      <c r="B48" t="s">
        <v>691</v>
      </c>
      <c r="C48" t="s">
        <v>564</v>
      </c>
      <c r="D48" s="29">
        <v>1.3</v>
      </c>
      <c r="E48" s="29">
        <f>AF48-SUM(F48:G48)</f>
        <v>0.85</v>
      </c>
      <c r="F48" s="29">
        <v>0</v>
      </c>
      <c r="G48" s="29">
        <v>0.4</v>
      </c>
      <c r="H48" s="29">
        <v>1.05</v>
      </c>
      <c r="J48">
        <v>-15</v>
      </c>
      <c r="K48" s="29">
        <v>0.05</v>
      </c>
      <c r="L48" s="29">
        <v>1.75</v>
      </c>
      <c r="M48">
        <v>-5</v>
      </c>
      <c r="N48">
        <v>-5</v>
      </c>
      <c r="S48">
        <v>-35</v>
      </c>
      <c r="X48" s="33">
        <v>1</v>
      </c>
      <c r="Y48" s="33" t="s">
        <v>613</v>
      </c>
      <c r="AA48" s="1">
        <v>2.5</v>
      </c>
      <c r="AB48" s="1" t="s">
        <v>690</v>
      </c>
      <c r="AC48" t="s">
        <v>647</v>
      </c>
      <c r="AD48" s="30"/>
      <c r="AE48" s="30">
        <f t="shared" si="2"/>
        <v>2.2999999999999998</v>
      </c>
      <c r="AF48" s="43">
        <v>1.25</v>
      </c>
      <c r="AG48" s="42">
        <f t="shared" si="3"/>
        <v>1.9375</v>
      </c>
      <c r="AH48" s="42">
        <f t="shared" si="5"/>
        <v>2.7829999999999999</v>
      </c>
      <c r="AI48" s="1" t="s">
        <v>218</v>
      </c>
      <c r="AJ48" s="1">
        <v>3.5</v>
      </c>
      <c r="AK48" s="1"/>
      <c r="AL48" s="25" t="s">
        <v>662</v>
      </c>
      <c r="AM48" s="44" t="s">
        <v>660</v>
      </c>
    </row>
    <row r="49" spans="1:50" ht="26.25" thickBot="1" x14ac:dyDescent="0.25">
      <c r="D49" s="29"/>
      <c r="E49" s="29"/>
      <c r="F49" s="29"/>
      <c r="G49" s="29"/>
      <c r="AA49" s="1">
        <v>71</v>
      </c>
      <c r="AB49" s="1" t="s">
        <v>498</v>
      </c>
      <c r="AC49" t="s">
        <v>498</v>
      </c>
      <c r="AD49" s="30"/>
      <c r="AE49" s="30">
        <f t="shared" si="2"/>
        <v>0</v>
      </c>
      <c r="AF49" s="43">
        <v>0</v>
      </c>
      <c r="AG49" s="42">
        <f t="shared" si="3"/>
        <v>0</v>
      </c>
      <c r="AH49" s="42">
        <f t="shared" si="5"/>
        <v>0</v>
      </c>
      <c r="AI49" s="1" t="s">
        <v>652</v>
      </c>
      <c r="AJ49" s="1">
        <v>4</v>
      </c>
      <c r="AK49" s="1"/>
      <c r="AL49" s="25" t="s">
        <v>657</v>
      </c>
      <c r="AM49" s="44" t="s">
        <v>656</v>
      </c>
    </row>
    <row r="50" spans="1:50" ht="38.25" thickBot="1" x14ac:dyDescent="0.25">
      <c r="A50" t="s">
        <v>222</v>
      </c>
      <c r="B50" t="s">
        <v>689</v>
      </c>
      <c r="C50" t="s">
        <v>564</v>
      </c>
      <c r="D50" s="29">
        <v>1.05</v>
      </c>
      <c r="E50" s="29">
        <f>AF50-SUM(F50:G50)</f>
        <v>0.90000000000000013</v>
      </c>
      <c r="F50" s="29">
        <v>0</v>
      </c>
      <c r="G50" s="29">
        <v>0.2</v>
      </c>
      <c r="H50" s="29">
        <v>0.55000000000000004</v>
      </c>
      <c r="K50" s="29">
        <v>0.1</v>
      </c>
      <c r="L50" s="29">
        <v>1.5</v>
      </c>
      <c r="U50">
        <v>1</v>
      </c>
      <c r="X50" s="33">
        <v>1</v>
      </c>
      <c r="Y50" s="33" t="s">
        <v>613</v>
      </c>
      <c r="AA50" s="1">
        <v>2.5</v>
      </c>
      <c r="AB50" s="1" t="s">
        <v>688</v>
      </c>
      <c r="AC50" t="s">
        <v>687</v>
      </c>
      <c r="AD50" s="30"/>
      <c r="AE50" s="30">
        <f t="shared" si="2"/>
        <v>1.6500000000000001</v>
      </c>
      <c r="AF50" s="43">
        <v>1.1000000000000001</v>
      </c>
      <c r="AG50" s="42">
        <f t="shared" si="3"/>
        <v>1.4300000000000002</v>
      </c>
      <c r="AH50" s="42">
        <f t="shared" si="5"/>
        <v>2.0356875000000003</v>
      </c>
      <c r="AI50" t="s">
        <v>217</v>
      </c>
      <c r="AJ50">
        <v>2</v>
      </c>
      <c r="AL50" s="25" t="s">
        <v>654</v>
      </c>
      <c r="AM50" s="44" t="s">
        <v>653</v>
      </c>
    </row>
    <row r="51" spans="1:50" ht="38.25" thickBot="1" x14ac:dyDescent="0.25">
      <c r="A51" t="s">
        <v>686</v>
      </c>
      <c r="B51" t="s">
        <v>685</v>
      </c>
      <c r="C51" t="s">
        <v>564</v>
      </c>
      <c r="D51" s="29">
        <v>1.1499999999999999</v>
      </c>
      <c r="E51" s="29">
        <f>AF51-SUM(F51:G51)</f>
        <v>0.89999999999999991</v>
      </c>
      <c r="F51" s="29">
        <v>0</v>
      </c>
      <c r="G51" s="29">
        <v>0.25</v>
      </c>
      <c r="H51" s="29">
        <v>0.65</v>
      </c>
      <c r="K51" s="29">
        <v>0.1</v>
      </c>
      <c r="L51" s="29">
        <v>1.5</v>
      </c>
      <c r="M51">
        <v>-5</v>
      </c>
      <c r="N51">
        <v>-2.5</v>
      </c>
      <c r="U51">
        <v>1</v>
      </c>
      <c r="X51" s="33">
        <v>1</v>
      </c>
      <c r="Y51" s="33" t="s">
        <v>613</v>
      </c>
      <c r="AA51" s="1">
        <v>3</v>
      </c>
      <c r="AB51" s="1" t="s">
        <v>684</v>
      </c>
      <c r="AC51" t="s">
        <v>683</v>
      </c>
      <c r="AD51" s="30"/>
      <c r="AE51" s="30">
        <f t="shared" si="2"/>
        <v>1.7999999999999998</v>
      </c>
      <c r="AF51" s="43">
        <v>1.1499999999999999</v>
      </c>
      <c r="AG51" s="42">
        <f t="shared" si="3"/>
        <v>1.6099999999999999</v>
      </c>
      <c r="AH51" s="42">
        <f t="shared" si="5"/>
        <v>2.1149999999999998</v>
      </c>
      <c r="AI51" t="s">
        <v>216</v>
      </c>
      <c r="AJ51">
        <v>3</v>
      </c>
      <c r="AL51" s="25" t="s">
        <v>651</v>
      </c>
      <c r="AM51" s="44" t="s">
        <v>648</v>
      </c>
    </row>
    <row r="52" spans="1:50" ht="38.25" thickBot="1" x14ac:dyDescent="0.25">
      <c r="A52" t="s">
        <v>682</v>
      </c>
      <c r="B52" t="s">
        <v>681</v>
      </c>
      <c r="C52" t="s">
        <v>564</v>
      </c>
      <c r="D52" s="29">
        <v>1.25</v>
      </c>
      <c r="E52" s="29">
        <f>AF52-SUM(F52:G52)</f>
        <v>0.79999999999999993</v>
      </c>
      <c r="F52" s="29">
        <v>0</v>
      </c>
      <c r="G52" s="29">
        <v>0.35</v>
      </c>
      <c r="H52" s="29">
        <v>0.65</v>
      </c>
      <c r="K52" s="29">
        <v>0.1</v>
      </c>
      <c r="L52" s="29">
        <v>1.5</v>
      </c>
      <c r="M52">
        <v>-7.5</v>
      </c>
      <c r="N52">
        <v>-5</v>
      </c>
      <c r="U52">
        <v>1</v>
      </c>
      <c r="X52" s="33">
        <v>1</v>
      </c>
      <c r="Y52" s="33" t="s">
        <v>613</v>
      </c>
      <c r="AA52" s="1">
        <v>4</v>
      </c>
      <c r="AB52" s="1" t="s">
        <v>680</v>
      </c>
      <c r="AC52" t="s">
        <v>679</v>
      </c>
      <c r="AD52" s="30"/>
      <c r="AE52" s="30">
        <f t="shared" si="2"/>
        <v>1.7999999999999998</v>
      </c>
      <c r="AF52" s="43">
        <v>1.1499999999999999</v>
      </c>
      <c r="AG52" s="42">
        <f t="shared" si="3"/>
        <v>1.7249999999999999</v>
      </c>
      <c r="AH52" s="42">
        <f t="shared" si="5"/>
        <v>2.1149999999999998</v>
      </c>
      <c r="AI52" t="s">
        <v>678</v>
      </c>
      <c r="AL52" s="25" t="s">
        <v>677</v>
      </c>
      <c r="AM52" s="44" t="s">
        <v>676</v>
      </c>
    </row>
    <row r="53" spans="1:50" ht="19.5" thickBot="1" x14ac:dyDescent="0.25">
      <c r="D53" s="29"/>
      <c r="E53" s="29"/>
      <c r="F53" s="29"/>
      <c r="G53" s="29"/>
      <c r="AA53" s="1">
        <v>71</v>
      </c>
      <c r="AB53" s="1" t="s">
        <v>498</v>
      </c>
      <c r="AD53" s="30"/>
      <c r="AE53" s="30">
        <f t="shared" si="2"/>
        <v>0</v>
      </c>
      <c r="AF53" s="43">
        <v>0</v>
      </c>
      <c r="AG53" s="42">
        <f t="shared" si="3"/>
        <v>0</v>
      </c>
      <c r="AH53" s="42">
        <f t="shared" si="5"/>
        <v>0</v>
      </c>
      <c r="AI53" t="s">
        <v>213</v>
      </c>
      <c r="AJ53">
        <v>2.5</v>
      </c>
      <c r="AL53" s="25" t="s">
        <v>672</v>
      </c>
      <c r="AM53" s="44" t="s">
        <v>675</v>
      </c>
    </row>
    <row r="54" spans="1:50" ht="38.25" thickBot="1" x14ac:dyDescent="0.25">
      <c r="A54" s="1" t="s">
        <v>217</v>
      </c>
      <c r="B54" s="1" t="s">
        <v>674</v>
      </c>
      <c r="C54" t="s">
        <v>564</v>
      </c>
      <c r="D54" s="36">
        <v>1.1000000000000001</v>
      </c>
      <c r="E54" s="36">
        <v>0.25</v>
      </c>
      <c r="F54" s="36">
        <v>0.25</v>
      </c>
      <c r="G54" s="36"/>
      <c r="H54" s="30"/>
      <c r="I54" s="36">
        <v>1</v>
      </c>
      <c r="J54" s="36"/>
      <c r="K54" s="30">
        <v>0.1</v>
      </c>
      <c r="L54" s="30">
        <v>1.3</v>
      </c>
      <c r="M54">
        <v>-2.5</v>
      </c>
      <c r="U54">
        <v>2</v>
      </c>
      <c r="X54" s="33">
        <v>1</v>
      </c>
      <c r="Y54" s="33" t="s">
        <v>613</v>
      </c>
      <c r="AA54" s="1">
        <v>1.5</v>
      </c>
      <c r="AB54" s="1" t="s">
        <v>673</v>
      </c>
      <c r="AC54" t="s">
        <v>622</v>
      </c>
      <c r="AD54" s="30"/>
      <c r="AE54" s="30">
        <f t="shared" si="2"/>
        <v>0.5</v>
      </c>
      <c r="AF54" s="43">
        <v>1</v>
      </c>
      <c r="AG54" s="42">
        <f t="shared" si="3"/>
        <v>1.35</v>
      </c>
      <c r="AH54" s="42">
        <f t="shared" si="5"/>
        <v>0.606375</v>
      </c>
      <c r="AI54" s="1" t="s">
        <v>210</v>
      </c>
      <c r="AJ54" s="1">
        <v>2</v>
      </c>
      <c r="AK54" s="36"/>
      <c r="AL54" s="25"/>
      <c r="AM54" s="25"/>
      <c r="AN54" s="36"/>
      <c r="AO54" s="36"/>
      <c r="AP54" s="36"/>
      <c r="AQ54" s="36"/>
      <c r="AR54" s="1"/>
      <c r="AS54" s="1"/>
      <c r="AT54" s="1"/>
      <c r="AU54" s="1"/>
      <c r="AV54" s="1"/>
      <c r="AW54" s="1"/>
      <c r="AX54" s="1"/>
    </row>
    <row r="55" spans="1:50" ht="38.25" outlineLevel="1" thickBot="1" x14ac:dyDescent="0.25">
      <c r="A55" s="1" t="s">
        <v>216</v>
      </c>
      <c r="B55" s="1" t="s">
        <v>672</v>
      </c>
      <c r="C55" t="s">
        <v>564</v>
      </c>
      <c r="D55" s="36">
        <v>1.2</v>
      </c>
      <c r="E55" s="36">
        <v>0.25</v>
      </c>
      <c r="F55" s="36">
        <v>0.25</v>
      </c>
      <c r="G55" s="36"/>
      <c r="H55" s="30"/>
      <c r="I55" s="36">
        <v>1.1499999999999999</v>
      </c>
      <c r="J55" s="36"/>
      <c r="K55" s="30">
        <v>0.1</v>
      </c>
      <c r="L55" s="30">
        <v>1.3</v>
      </c>
      <c r="M55">
        <v>-5</v>
      </c>
      <c r="N55">
        <v>-2.5</v>
      </c>
      <c r="S55">
        <v>-25</v>
      </c>
      <c r="U55">
        <v>2</v>
      </c>
      <c r="X55" s="33">
        <v>1</v>
      </c>
      <c r="Y55" s="33" t="s">
        <v>613</v>
      </c>
      <c r="AA55" s="1">
        <v>2</v>
      </c>
      <c r="AB55" s="1" t="s">
        <v>671</v>
      </c>
      <c r="AC55" t="s">
        <v>560</v>
      </c>
      <c r="AD55" s="30"/>
      <c r="AE55" s="30">
        <f t="shared" si="2"/>
        <v>0.5</v>
      </c>
      <c r="AF55" s="43">
        <v>1.1499999999999999</v>
      </c>
      <c r="AG55" s="42">
        <f t="shared" si="3"/>
        <v>1.6674999999999998</v>
      </c>
      <c r="AH55" s="42">
        <f t="shared" si="5"/>
        <v>0.606375</v>
      </c>
      <c r="AI55" s="1" t="s">
        <v>606</v>
      </c>
      <c r="AJ55" s="1">
        <v>5</v>
      </c>
      <c r="AK55" s="36"/>
      <c r="AL55" s="25"/>
      <c r="AM55" s="25"/>
      <c r="AN55" s="36"/>
      <c r="AO55" s="36"/>
      <c r="AP55" s="36"/>
      <c r="AQ55" s="36"/>
      <c r="AR55" s="1"/>
      <c r="AS55" s="1"/>
      <c r="AT55" s="1"/>
      <c r="AU55" s="1"/>
      <c r="AV55" s="1"/>
      <c r="AW55" s="1"/>
      <c r="AX55" s="1"/>
    </row>
    <row r="56" spans="1:50" ht="38.25" outlineLevel="1" thickBot="1" x14ac:dyDescent="0.25">
      <c r="A56" s="1" t="s">
        <v>575</v>
      </c>
      <c r="B56" s="1" t="s">
        <v>574</v>
      </c>
      <c r="C56" t="s">
        <v>564</v>
      </c>
      <c r="D56" s="36">
        <v>1.2</v>
      </c>
      <c r="E56" s="36">
        <v>0.25</v>
      </c>
      <c r="F56" s="36">
        <v>0.25</v>
      </c>
      <c r="G56" s="36"/>
      <c r="H56" s="30"/>
      <c r="I56" s="36">
        <v>1</v>
      </c>
      <c r="J56" s="36"/>
      <c r="K56" s="30">
        <v>0.1</v>
      </c>
      <c r="L56" s="30">
        <v>1.3</v>
      </c>
      <c r="M56">
        <v>-7.5</v>
      </c>
      <c r="N56">
        <v>-7.5</v>
      </c>
      <c r="U56">
        <v>2</v>
      </c>
      <c r="X56" s="33">
        <v>1</v>
      </c>
      <c r="Y56" s="33" t="s">
        <v>613</v>
      </c>
      <c r="AA56" s="1">
        <v>3</v>
      </c>
      <c r="AB56" s="1" t="s">
        <v>572</v>
      </c>
      <c r="AC56" t="s">
        <v>571</v>
      </c>
      <c r="AD56" s="30"/>
      <c r="AE56" s="30">
        <f t="shared" si="2"/>
        <v>0.5</v>
      </c>
      <c r="AF56" s="43">
        <v>1</v>
      </c>
      <c r="AG56" s="42">
        <f t="shared" si="3"/>
        <v>1.45</v>
      </c>
      <c r="AH56" s="42">
        <f t="shared" si="5"/>
        <v>0.51974999999999993</v>
      </c>
      <c r="AI56" s="1" t="s">
        <v>603</v>
      </c>
      <c r="AJ56" s="1">
        <v>2.5</v>
      </c>
      <c r="AK56" s="1"/>
      <c r="AL56" s="25"/>
      <c r="AM56" s="25"/>
    </row>
    <row r="57" spans="1:50" ht="19.5" outlineLevel="1" thickBot="1" x14ac:dyDescent="0.25">
      <c r="A57" s="1"/>
      <c r="B57" s="1"/>
      <c r="D57" s="36"/>
      <c r="E57" s="36"/>
      <c r="F57" s="36"/>
      <c r="G57" s="36"/>
      <c r="H57" s="30"/>
      <c r="I57" s="36"/>
      <c r="J57" s="36"/>
      <c r="K57" s="30"/>
      <c r="L57" s="30"/>
      <c r="AA57" s="1"/>
      <c r="AB57" s="1"/>
      <c r="AD57" s="30"/>
      <c r="AE57" s="30">
        <f t="shared" si="2"/>
        <v>0</v>
      </c>
      <c r="AF57" s="43"/>
      <c r="AG57" s="42">
        <f t="shared" si="3"/>
        <v>0</v>
      </c>
      <c r="AH57" s="42">
        <f t="shared" si="5"/>
        <v>0</v>
      </c>
      <c r="AI57" s="1"/>
      <c r="AJ57" s="1"/>
      <c r="AK57" s="1"/>
      <c r="AL57" s="25"/>
      <c r="AM57" s="25"/>
    </row>
    <row r="58" spans="1:50" ht="19.5" thickBot="1" x14ac:dyDescent="0.25">
      <c r="A58" s="1"/>
      <c r="B58" s="1"/>
      <c r="C58" s="1"/>
      <c r="D58" s="36"/>
      <c r="E58" s="36"/>
      <c r="F58" s="36"/>
      <c r="G58" s="36"/>
      <c r="H58" s="30"/>
      <c r="I58" s="30"/>
      <c r="J58" s="36"/>
      <c r="K58" s="30"/>
      <c r="L58" s="30"/>
      <c r="AA58" s="1">
        <v>71</v>
      </c>
      <c r="AB58" s="1" t="s">
        <v>498</v>
      </c>
      <c r="AD58" s="30"/>
      <c r="AE58" s="30">
        <f t="shared" si="2"/>
        <v>0</v>
      </c>
      <c r="AF58" s="43">
        <v>0</v>
      </c>
      <c r="AG58" s="42">
        <f t="shared" si="3"/>
        <v>0</v>
      </c>
      <c r="AH58" s="42">
        <f t="shared" si="5"/>
        <v>0</v>
      </c>
      <c r="AI58" s="1" t="s">
        <v>600</v>
      </c>
      <c r="AJ58" s="1">
        <v>4</v>
      </c>
      <c r="AK58" s="1"/>
      <c r="AL58" s="25"/>
      <c r="AM58" s="25"/>
    </row>
    <row r="59" spans="1:50" ht="19.5" thickBot="1" x14ac:dyDescent="0.25">
      <c r="A59" t="s">
        <v>221</v>
      </c>
      <c r="B59" t="s">
        <v>670</v>
      </c>
      <c r="C59" t="s">
        <v>650</v>
      </c>
      <c r="D59" s="29">
        <v>1</v>
      </c>
      <c r="E59" s="29">
        <f t="shared" ref="E59:E64" si="6">AF59-SUM(F59:G59)</f>
        <v>0.4</v>
      </c>
      <c r="F59" s="29">
        <v>0</v>
      </c>
      <c r="G59" s="29">
        <v>0.4</v>
      </c>
      <c r="H59" s="29">
        <v>1.1499999999999999</v>
      </c>
      <c r="K59" s="29">
        <v>0.05</v>
      </c>
      <c r="L59" s="29">
        <v>1.25</v>
      </c>
      <c r="X59" s="33">
        <v>1</v>
      </c>
      <c r="Y59" s="33" t="s">
        <v>613</v>
      </c>
      <c r="Z59" t="s">
        <v>669</v>
      </c>
      <c r="AA59" s="1">
        <v>1.5</v>
      </c>
      <c r="AB59" s="1" t="s">
        <v>668</v>
      </c>
      <c r="AC59" t="s">
        <v>667</v>
      </c>
      <c r="AD59" s="30"/>
      <c r="AE59" s="30">
        <f t="shared" si="2"/>
        <v>1.95</v>
      </c>
      <c r="AF59" s="43">
        <v>0.8</v>
      </c>
      <c r="AG59" s="42">
        <f t="shared" si="3"/>
        <v>1</v>
      </c>
      <c r="AH59" s="42">
        <f t="shared" ref="AH59:AH64" si="7">MAX(AE59,H59)*(D59+SUM(M59:N59)/50)*(1+K59*(L59+0.25))</f>
        <v>2.0962499999999999</v>
      </c>
      <c r="AI59" t="s">
        <v>212</v>
      </c>
      <c r="AJ59">
        <v>3</v>
      </c>
      <c r="AL59" s="25" t="s">
        <v>574</v>
      </c>
      <c r="AM59" s="44" t="s">
        <v>572</v>
      </c>
    </row>
    <row r="60" spans="1:50" ht="38.25" outlineLevel="1" thickBot="1" x14ac:dyDescent="0.25">
      <c r="A60" s="1" t="s">
        <v>220</v>
      </c>
      <c r="B60" s="1" t="s">
        <v>666</v>
      </c>
      <c r="C60" t="s">
        <v>650</v>
      </c>
      <c r="D60" s="36">
        <v>1</v>
      </c>
      <c r="E60" s="29">
        <f t="shared" si="6"/>
        <v>0</v>
      </c>
      <c r="F60" s="36">
        <v>0</v>
      </c>
      <c r="G60" s="36">
        <v>0.8</v>
      </c>
      <c r="H60" s="30">
        <v>1.25</v>
      </c>
      <c r="I60" s="30"/>
      <c r="J60" s="36"/>
      <c r="K60" s="30">
        <v>0.05</v>
      </c>
      <c r="L60" s="30">
        <v>1.25</v>
      </c>
      <c r="X60" s="33">
        <v>1</v>
      </c>
      <c r="Y60" s="33" t="s">
        <v>613</v>
      </c>
      <c r="Z60" t="s">
        <v>665</v>
      </c>
      <c r="AA60" s="1">
        <v>1.5</v>
      </c>
      <c r="AB60" s="1" t="s">
        <v>664</v>
      </c>
      <c r="AC60" t="s">
        <v>663</v>
      </c>
      <c r="AD60" s="30"/>
      <c r="AE60" s="30">
        <f t="shared" si="2"/>
        <v>2.0499999999999998</v>
      </c>
      <c r="AF60" s="43">
        <v>0.8</v>
      </c>
      <c r="AG60" s="42">
        <f t="shared" si="3"/>
        <v>1</v>
      </c>
      <c r="AH60" s="42">
        <f t="shared" si="7"/>
        <v>2.2037499999999999</v>
      </c>
      <c r="AI60" s="1" t="s">
        <v>618</v>
      </c>
      <c r="AJ60" s="1">
        <v>4</v>
      </c>
      <c r="AK60" s="36"/>
      <c r="AL60" s="25" t="s">
        <v>643</v>
      </c>
      <c r="AM60" s="44" t="s">
        <v>641</v>
      </c>
      <c r="AN60" s="36"/>
      <c r="AO60" s="36"/>
      <c r="AP60" s="36"/>
      <c r="AQ60" s="36"/>
      <c r="AR60" s="1"/>
      <c r="AS60" s="1"/>
      <c r="AT60" s="1"/>
      <c r="AU60" s="1"/>
      <c r="AV60" s="1"/>
      <c r="AW60" s="1"/>
      <c r="AX60" s="1"/>
    </row>
    <row r="61" spans="1:50" ht="38.25" outlineLevel="1" thickBot="1" x14ac:dyDescent="0.25">
      <c r="A61" s="1" t="s">
        <v>219</v>
      </c>
      <c r="B61" s="1" t="s">
        <v>662</v>
      </c>
      <c r="C61" t="s">
        <v>650</v>
      </c>
      <c r="D61" s="36">
        <v>1.1000000000000001</v>
      </c>
      <c r="E61" s="29">
        <f t="shared" si="6"/>
        <v>0.45</v>
      </c>
      <c r="F61" s="36">
        <v>0</v>
      </c>
      <c r="G61" s="36">
        <v>0.45</v>
      </c>
      <c r="H61" s="30">
        <v>1.25</v>
      </c>
      <c r="I61" s="30"/>
      <c r="J61" s="36"/>
      <c r="K61" s="30">
        <v>0.05</v>
      </c>
      <c r="L61" s="30">
        <v>1.25</v>
      </c>
      <c r="M61">
        <v>-5</v>
      </c>
      <c r="X61" s="33">
        <v>1</v>
      </c>
      <c r="Y61" s="33" t="s">
        <v>613</v>
      </c>
      <c r="Z61" t="s">
        <v>661</v>
      </c>
      <c r="AA61" s="1">
        <v>2</v>
      </c>
      <c r="AB61" s="1" t="s">
        <v>660</v>
      </c>
      <c r="AC61" t="s">
        <v>659</v>
      </c>
      <c r="AD61" s="30"/>
      <c r="AE61" s="30">
        <f t="shared" si="2"/>
        <v>2.15</v>
      </c>
      <c r="AF61" s="43">
        <v>0.9</v>
      </c>
      <c r="AG61" s="42">
        <f t="shared" si="3"/>
        <v>1.2150000000000001</v>
      </c>
      <c r="AH61" s="42">
        <f t="shared" si="7"/>
        <v>2.3112499999999998</v>
      </c>
      <c r="AI61" s="1" t="s">
        <v>658</v>
      </c>
      <c r="AJ61" s="1"/>
      <c r="AK61" s="36"/>
      <c r="AL61" s="25" t="s">
        <v>639</v>
      </c>
      <c r="AM61" s="44" t="s">
        <v>637</v>
      </c>
      <c r="AN61" s="36"/>
      <c r="AO61" s="36"/>
      <c r="AP61" s="36"/>
      <c r="AQ61" s="36"/>
      <c r="AR61" s="1"/>
      <c r="AS61" s="1"/>
      <c r="AT61" s="1"/>
      <c r="AU61" s="1"/>
      <c r="AV61" s="1"/>
      <c r="AW61" s="1"/>
      <c r="AX61" s="1"/>
    </row>
    <row r="62" spans="1:50" ht="38.25" outlineLevel="1" thickBot="1" x14ac:dyDescent="0.25">
      <c r="A62" s="1" t="s">
        <v>218</v>
      </c>
      <c r="B62" s="1" t="s">
        <v>657</v>
      </c>
      <c r="C62" t="s">
        <v>650</v>
      </c>
      <c r="D62" s="36">
        <v>1.1499999999999999</v>
      </c>
      <c r="E62" s="29">
        <f t="shared" si="6"/>
        <v>0</v>
      </c>
      <c r="F62" s="36">
        <v>0</v>
      </c>
      <c r="G62" s="36">
        <v>0.85</v>
      </c>
      <c r="H62" s="30">
        <v>1.35</v>
      </c>
      <c r="I62" s="30"/>
      <c r="J62" s="36"/>
      <c r="K62" s="30">
        <v>0.05</v>
      </c>
      <c r="L62" s="30">
        <v>1.25</v>
      </c>
      <c r="M62">
        <v>-5</v>
      </c>
      <c r="X62" s="33">
        <v>1</v>
      </c>
      <c r="Y62" s="33" t="s">
        <v>613</v>
      </c>
      <c r="Z62" t="s">
        <v>649</v>
      </c>
      <c r="AA62" s="1">
        <v>2</v>
      </c>
      <c r="AB62" s="1" t="s">
        <v>656</v>
      </c>
      <c r="AC62" t="s">
        <v>647</v>
      </c>
      <c r="AD62" s="30"/>
      <c r="AE62" s="30">
        <f t="shared" si="2"/>
        <v>2.2000000000000002</v>
      </c>
      <c r="AF62" s="43">
        <v>0.85</v>
      </c>
      <c r="AG62" s="42">
        <f t="shared" si="3"/>
        <v>1.19</v>
      </c>
      <c r="AH62" s="42">
        <f t="shared" si="7"/>
        <v>2.4832499999999995</v>
      </c>
      <c r="AI62" s="1" t="s">
        <v>644</v>
      </c>
      <c r="AJ62" s="1">
        <v>2</v>
      </c>
      <c r="AK62" s="36"/>
      <c r="AL62" s="25" t="s">
        <v>636</v>
      </c>
      <c r="AM62" s="44" t="s">
        <v>633</v>
      </c>
      <c r="AN62" s="36"/>
      <c r="AO62" s="36"/>
      <c r="AP62" s="36"/>
      <c r="AQ62" s="36"/>
      <c r="AR62" s="1"/>
      <c r="AS62" s="1"/>
      <c r="AT62" s="1"/>
      <c r="AU62" s="1"/>
      <c r="AV62" s="1"/>
      <c r="AW62" s="1"/>
      <c r="AX62" s="1"/>
    </row>
    <row r="63" spans="1:50" ht="38.25" outlineLevel="1" thickBot="1" x14ac:dyDescent="0.25">
      <c r="A63" s="1" t="s">
        <v>655</v>
      </c>
      <c r="B63" s="1" t="s">
        <v>654</v>
      </c>
      <c r="C63" t="s">
        <v>650</v>
      </c>
      <c r="D63" s="36">
        <v>1.1000000000000001</v>
      </c>
      <c r="E63" s="29">
        <f t="shared" si="6"/>
        <v>0</v>
      </c>
      <c r="F63" s="36">
        <v>0.6</v>
      </c>
      <c r="G63" s="36">
        <v>0.4</v>
      </c>
      <c r="H63" s="30">
        <v>1.35</v>
      </c>
      <c r="I63" s="30"/>
      <c r="J63" s="36"/>
      <c r="K63" s="30">
        <v>0.05</v>
      </c>
      <c r="L63" s="30">
        <v>1.25</v>
      </c>
      <c r="M63">
        <v>-5</v>
      </c>
      <c r="N63">
        <v>-5</v>
      </c>
      <c r="R63">
        <v>-25</v>
      </c>
      <c r="S63">
        <v>-35</v>
      </c>
      <c r="X63" s="33">
        <v>1</v>
      </c>
      <c r="Y63" s="33" t="s">
        <v>613</v>
      </c>
      <c r="Z63" t="s">
        <v>649</v>
      </c>
      <c r="AA63" s="1">
        <v>3</v>
      </c>
      <c r="AB63" s="1" t="s">
        <v>653</v>
      </c>
      <c r="AC63" t="s">
        <v>647</v>
      </c>
      <c r="AD63" s="30"/>
      <c r="AE63" s="30">
        <f t="shared" si="2"/>
        <v>2.35</v>
      </c>
      <c r="AF63" s="43">
        <v>1</v>
      </c>
      <c r="AG63" s="42">
        <f t="shared" si="3"/>
        <v>1.35</v>
      </c>
      <c r="AH63" s="42">
        <f t="shared" si="7"/>
        <v>2.273625</v>
      </c>
      <c r="AI63" s="1" t="s">
        <v>215</v>
      </c>
      <c r="AJ63" s="1">
        <v>3</v>
      </c>
      <c r="AK63" s="36"/>
      <c r="AL63" s="25" t="s">
        <v>631</v>
      </c>
      <c r="AM63" s="44" t="s">
        <v>628</v>
      </c>
      <c r="AN63" s="36"/>
      <c r="AO63" s="36"/>
      <c r="AP63" s="36"/>
      <c r="AQ63" s="36"/>
      <c r="AR63" s="1"/>
      <c r="AS63" s="1"/>
      <c r="AT63" s="1"/>
      <c r="AU63" s="1"/>
      <c r="AV63" s="1"/>
      <c r="AW63" s="1"/>
      <c r="AX63" s="1"/>
    </row>
    <row r="64" spans="1:50" ht="38.25" outlineLevel="1" thickBot="1" x14ac:dyDescent="0.25">
      <c r="A64" s="1" t="s">
        <v>652</v>
      </c>
      <c r="B64" s="1" t="s">
        <v>651</v>
      </c>
      <c r="C64" t="s">
        <v>650</v>
      </c>
      <c r="D64" s="36">
        <v>1.1499999999999999</v>
      </c>
      <c r="E64" s="29">
        <f t="shared" si="6"/>
        <v>0</v>
      </c>
      <c r="F64" s="36">
        <v>0</v>
      </c>
      <c r="G64" s="36">
        <v>0.85</v>
      </c>
      <c r="H64" s="30">
        <v>1.4</v>
      </c>
      <c r="I64" s="30"/>
      <c r="J64" s="36"/>
      <c r="K64" s="30">
        <v>0.05</v>
      </c>
      <c r="L64" s="30">
        <v>1.25</v>
      </c>
      <c r="M64">
        <v>-7.5</v>
      </c>
      <c r="N64">
        <v>-5</v>
      </c>
      <c r="R64">
        <v>-25</v>
      </c>
      <c r="S64">
        <v>-35</v>
      </c>
      <c r="X64" s="33">
        <v>1</v>
      </c>
      <c r="Y64" s="33" t="s">
        <v>613</v>
      </c>
      <c r="Z64" t="s">
        <v>649</v>
      </c>
      <c r="AA64" s="1">
        <v>3</v>
      </c>
      <c r="AB64" s="1" t="s">
        <v>648</v>
      </c>
      <c r="AC64" t="s">
        <v>647</v>
      </c>
      <c r="AD64" s="30"/>
      <c r="AE64" s="30">
        <f t="shared" si="2"/>
        <v>2.25</v>
      </c>
      <c r="AF64" s="43">
        <v>0.85</v>
      </c>
      <c r="AG64" s="42">
        <f t="shared" si="3"/>
        <v>1.19</v>
      </c>
      <c r="AH64" s="42">
        <f t="shared" si="7"/>
        <v>2.1768749999999999</v>
      </c>
      <c r="AI64" s="1" t="s">
        <v>214</v>
      </c>
      <c r="AJ64" s="1">
        <v>3.5</v>
      </c>
      <c r="AK64" s="36"/>
      <c r="AL64" s="25"/>
      <c r="AM64" s="25"/>
      <c r="AN64" s="36"/>
      <c r="AO64" s="36"/>
      <c r="AP64" s="36"/>
      <c r="AQ64" s="36"/>
      <c r="AR64" s="1"/>
      <c r="AS64" s="1"/>
      <c r="AT64" s="1"/>
      <c r="AU64" s="1"/>
      <c r="AV64" s="1"/>
      <c r="AW64" s="1"/>
      <c r="AX64" s="1"/>
    </row>
    <row r="65" spans="1:50" ht="19.5" outlineLevel="1" thickBot="1" x14ac:dyDescent="0.25">
      <c r="A65" s="1"/>
      <c r="B65" s="1"/>
      <c r="C65" s="1"/>
      <c r="D65" s="36"/>
      <c r="E65" s="36"/>
      <c r="F65" s="36"/>
      <c r="G65" s="36"/>
      <c r="H65" s="30"/>
      <c r="I65" s="30"/>
      <c r="J65" s="36"/>
      <c r="K65" s="30"/>
      <c r="L65" s="30"/>
      <c r="AA65" s="1">
        <v>71</v>
      </c>
      <c r="AB65" s="1" t="s">
        <v>498</v>
      </c>
      <c r="AC65" t="s">
        <v>498</v>
      </c>
      <c r="AD65" s="30"/>
      <c r="AE65" s="30">
        <f t="shared" si="2"/>
        <v>0</v>
      </c>
      <c r="AF65" s="43">
        <v>0.85</v>
      </c>
      <c r="AG65" s="42">
        <f t="shared" si="3"/>
        <v>0.21249999999999999</v>
      </c>
      <c r="AH65" s="42">
        <f t="shared" ref="AH65:AH67" si="8">MAX(AE65,H65)*(D65+SUM(M65:N65)/50)*(1+K65*(L65+0.25))</f>
        <v>0</v>
      </c>
      <c r="AI65" s="1" t="s">
        <v>646</v>
      </c>
      <c r="AJ65" s="1">
        <v>2</v>
      </c>
      <c r="AK65" s="36"/>
      <c r="AL65" s="25"/>
      <c r="AM65" s="25"/>
      <c r="AN65" s="36"/>
      <c r="AO65" s="36"/>
      <c r="AP65" s="36"/>
      <c r="AQ65" s="36"/>
      <c r="AR65" s="1"/>
      <c r="AS65" s="1"/>
      <c r="AT65" s="1"/>
      <c r="AU65" s="1"/>
      <c r="AV65" s="1"/>
      <c r="AW65" s="1"/>
      <c r="AX65" s="1"/>
    </row>
    <row r="66" spans="1:50" ht="19.5" thickBot="1" x14ac:dyDescent="0.25">
      <c r="A66" s="1" t="s">
        <v>1244</v>
      </c>
      <c r="B66" s="1" t="s">
        <v>1245</v>
      </c>
      <c r="C66" s="1" t="s">
        <v>508</v>
      </c>
      <c r="D66" s="36">
        <v>1.05</v>
      </c>
      <c r="E66" s="36"/>
      <c r="F66" s="36"/>
      <c r="G66" s="36">
        <v>0.85</v>
      </c>
      <c r="H66" s="30">
        <v>0.85</v>
      </c>
      <c r="I66" s="30"/>
      <c r="J66" s="36"/>
      <c r="K66" s="30">
        <v>0.1</v>
      </c>
      <c r="L66" s="30">
        <v>1.35</v>
      </c>
      <c r="M66" s="1"/>
      <c r="N66" s="1"/>
      <c r="O66" s="1"/>
      <c r="P66" s="1"/>
      <c r="Q66" s="1"/>
      <c r="R66" s="1">
        <v>-25</v>
      </c>
      <c r="S66" s="1">
        <v>-25</v>
      </c>
      <c r="T66" s="36">
        <v>0.05</v>
      </c>
      <c r="X66" s="33">
        <v>1</v>
      </c>
      <c r="Y66" s="33" t="s">
        <v>613</v>
      </c>
      <c r="Z66" t="s">
        <v>508</v>
      </c>
      <c r="AA66" s="1">
        <v>1</v>
      </c>
      <c r="AB66" s="1" t="s">
        <v>498</v>
      </c>
      <c r="AC66" t="s">
        <v>507</v>
      </c>
      <c r="AD66" s="30"/>
      <c r="AE66" s="30">
        <f t="shared" si="2"/>
        <v>1.7</v>
      </c>
      <c r="AF66" s="43">
        <v>0.85</v>
      </c>
      <c r="AG66" s="42">
        <f t="shared" si="3"/>
        <v>1.105</v>
      </c>
      <c r="AH66" s="42">
        <f t="shared" si="8"/>
        <v>2.0706000000000002</v>
      </c>
      <c r="AI66" s="37"/>
      <c r="AJ66" s="29"/>
      <c r="AK66" s="29"/>
      <c r="AL66" s="25"/>
      <c r="AM66" s="25"/>
    </row>
    <row r="67" spans="1:50" ht="19.5" thickBot="1" x14ac:dyDescent="0.25">
      <c r="A67" s="1" t="s">
        <v>1185</v>
      </c>
      <c r="B67" s="1" t="s">
        <v>1184</v>
      </c>
      <c r="C67" s="1" t="s">
        <v>508</v>
      </c>
      <c r="D67" s="36">
        <v>1</v>
      </c>
      <c r="E67" s="36">
        <v>0.35</v>
      </c>
      <c r="F67" s="36">
        <v>0.5</v>
      </c>
      <c r="G67" s="36">
        <v>0.05</v>
      </c>
      <c r="H67" s="30">
        <v>0.65</v>
      </c>
      <c r="I67" s="30"/>
      <c r="J67" s="36"/>
      <c r="K67" s="30">
        <v>0.1</v>
      </c>
      <c r="L67" s="30">
        <v>1.5</v>
      </c>
      <c r="M67" s="1"/>
      <c r="N67" s="1"/>
      <c r="O67" s="1"/>
      <c r="P67" s="1"/>
      <c r="Q67" s="1"/>
      <c r="R67" s="1">
        <v>-25</v>
      </c>
      <c r="S67" s="1">
        <v>-25</v>
      </c>
      <c r="T67" s="36">
        <v>0</v>
      </c>
      <c r="X67" s="33">
        <v>1</v>
      </c>
      <c r="Y67" s="33" t="s">
        <v>613</v>
      </c>
      <c r="Z67" t="s">
        <v>508</v>
      </c>
      <c r="AA67" s="1">
        <v>1</v>
      </c>
      <c r="AB67" s="1" t="s">
        <v>498</v>
      </c>
      <c r="AC67" t="s">
        <v>507</v>
      </c>
      <c r="AD67" s="30"/>
      <c r="AE67" s="30">
        <f t="shared" si="2"/>
        <v>1.55</v>
      </c>
      <c r="AF67" s="43">
        <v>0.85</v>
      </c>
      <c r="AG67" s="42">
        <f t="shared" si="3"/>
        <v>1.0625</v>
      </c>
      <c r="AH67" s="42">
        <f t="shared" si="8"/>
        <v>1.82125</v>
      </c>
      <c r="AI67" s="37"/>
      <c r="AJ67" s="29"/>
      <c r="AK67" s="29"/>
      <c r="AL67" s="25"/>
      <c r="AM67" s="25"/>
    </row>
    <row r="68" spans="1:50" ht="19.5" thickBot="1" x14ac:dyDescent="0.25">
      <c r="A68" s="1"/>
      <c r="B68" s="1"/>
      <c r="C68" s="1"/>
      <c r="D68" s="36"/>
      <c r="E68" s="36"/>
      <c r="F68" s="36"/>
      <c r="G68" s="36"/>
      <c r="H68" s="30"/>
      <c r="I68" s="30"/>
      <c r="J68" s="36"/>
      <c r="K68" s="30"/>
      <c r="L68" s="30"/>
      <c r="M68" s="1"/>
      <c r="N68" s="1"/>
      <c r="O68" s="1"/>
      <c r="P68" s="1"/>
      <c r="Q68" s="1"/>
      <c r="R68" s="1"/>
      <c r="S68" s="1"/>
      <c r="T68" s="1"/>
      <c r="AA68" s="1">
        <v>71</v>
      </c>
      <c r="AB68" s="1" t="s">
        <v>498</v>
      </c>
      <c r="AC68" t="s">
        <v>498</v>
      </c>
      <c r="AD68" s="30"/>
      <c r="AE68" s="30">
        <f t="shared" ref="AE68:AE100" si="9">SUM(E68:H68)</f>
        <v>0</v>
      </c>
      <c r="AF68" s="43">
        <v>0</v>
      </c>
      <c r="AG68" s="42">
        <f t="shared" ref="AG68:AG72" si="10">AF68*(D68+25%)</f>
        <v>0</v>
      </c>
      <c r="AH68" s="42">
        <f t="shared" ref="AH68:AH75" si="11">AE68*(D68+SUM(M68:N68)/50)*(1+K68*(L68+0.25))</f>
        <v>0</v>
      </c>
      <c r="AI68" s="1" t="s">
        <v>645</v>
      </c>
      <c r="AJ68" s="1">
        <v>8</v>
      </c>
      <c r="AK68" s="1"/>
      <c r="AL68" s="25"/>
      <c r="AM68" s="25"/>
    </row>
    <row r="69" spans="1:50" ht="38.25" thickBot="1" x14ac:dyDescent="0.25">
      <c r="A69" s="1" t="s">
        <v>644</v>
      </c>
      <c r="B69" s="1" t="s">
        <v>643</v>
      </c>
      <c r="C69" s="1" t="s">
        <v>635</v>
      </c>
      <c r="D69" s="36">
        <v>1</v>
      </c>
      <c r="E69" s="36">
        <v>0</v>
      </c>
      <c r="F69" s="36">
        <v>0.15</v>
      </c>
      <c r="G69" s="36">
        <v>0.5</v>
      </c>
      <c r="H69" s="30">
        <v>0.75</v>
      </c>
      <c r="I69" s="30"/>
      <c r="J69" s="36"/>
      <c r="K69" s="30">
        <v>0.05</v>
      </c>
      <c r="L69" s="30">
        <v>1.5</v>
      </c>
      <c r="M69" s="1"/>
      <c r="N69" s="1"/>
      <c r="O69" s="1"/>
      <c r="P69" s="1"/>
      <c r="Q69" s="1"/>
      <c r="R69" s="1"/>
      <c r="S69" s="1"/>
      <c r="T69" s="1"/>
      <c r="Y69" s="33" t="s">
        <v>613</v>
      </c>
      <c r="Z69" t="s">
        <v>642</v>
      </c>
      <c r="AA69" s="1">
        <v>1.5</v>
      </c>
      <c r="AB69" s="1" t="s">
        <v>641</v>
      </c>
      <c r="AC69" t="s">
        <v>640</v>
      </c>
      <c r="AD69" s="30"/>
      <c r="AE69" s="30">
        <f t="shared" si="9"/>
        <v>1.4</v>
      </c>
      <c r="AF69" s="43">
        <v>0.65</v>
      </c>
      <c r="AG69" s="42">
        <f t="shared" si="10"/>
        <v>0.8125</v>
      </c>
      <c r="AH69" s="42">
        <f t="shared" si="11"/>
        <v>1.5224999999999997</v>
      </c>
      <c r="AI69" s="1" t="s">
        <v>595</v>
      </c>
      <c r="AJ69" s="1">
        <v>6</v>
      </c>
      <c r="AK69" s="1"/>
      <c r="AL69" s="25"/>
      <c r="AM69" s="25"/>
    </row>
    <row r="70" spans="1:50" ht="19.5" thickBot="1" x14ac:dyDescent="0.25">
      <c r="A70" s="1" t="s">
        <v>215</v>
      </c>
      <c r="B70" s="1" t="s">
        <v>639</v>
      </c>
      <c r="C70" s="1" t="s">
        <v>635</v>
      </c>
      <c r="D70" s="36">
        <v>1.1000000000000001</v>
      </c>
      <c r="E70" s="36">
        <v>0</v>
      </c>
      <c r="F70" s="36">
        <v>0.25</v>
      </c>
      <c r="G70" s="36">
        <v>0.7</v>
      </c>
      <c r="H70" s="30">
        <v>0.9</v>
      </c>
      <c r="I70" s="30"/>
      <c r="J70" s="36"/>
      <c r="K70" s="30">
        <v>0.05</v>
      </c>
      <c r="L70" s="30">
        <v>1.5</v>
      </c>
      <c r="M70" s="1"/>
      <c r="N70" s="1"/>
      <c r="O70" s="1"/>
      <c r="P70" s="1"/>
      <c r="Q70" s="1"/>
      <c r="R70" s="1"/>
      <c r="S70" s="1"/>
      <c r="T70" s="1"/>
      <c r="Y70" s="33" t="s">
        <v>613</v>
      </c>
      <c r="Z70" t="s">
        <v>638</v>
      </c>
      <c r="AA70" s="1">
        <v>2</v>
      </c>
      <c r="AB70" s="1" t="s">
        <v>637</v>
      </c>
      <c r="AC70" t="s">
        <v>622</v>
      </c>
      <c r="AD70" s="30"/>
      <c r="AE70" s="30">
        <f t="shared" si="9"/>
        <v>1.85</v>
      </c>
      <c r="AF70" s="43">
        <v>0.95</v>
      </c>
      <c r="AG70" s="42">
        <f t="shared" si="10"/>
        <v>1.2825</v>
      </c>
      <c r="AH70" s="42">
        <f t="shared" si="11"/>
        <v>2.2130624999999999</v>
      </c>
      <c r="AI70" s="1" t="s">
        <v>591</v>
      </c>
      <c r="AJ70" s="1">
        <v>4</v>
      </c>
      <c r="AK70" s="1"/>
      <c r="AL70" s="25"/>
      <c r="AM70" s="25"/>
    </row>
    <row r="71" spans="1:50" ht="38.25" thickBot="1" x14ac:dyDescent="0.25">
      <c r="A71" s="1" t="s">
        <v>214</v>
      </c>
      <c r="B71" s="1" t="s">
        <v>636</v>
      </c>
      <c r="C71" s="1" t="s">
        <v>635</v>
      </c>
      <c r="D71" s="36">
        <v>1.1499999999999999</v>
      </c>
      <c r="E71" s="36">
        <v>0</v>
      </c>
      <c r="F71" s="36">
        <v>0.3</v>
      </c>
      <c r="G71" s="36">
        <v>0.8</v>
      </c>
      <c r="H71" s="30">
        <v>0.95</v>
      </c>
      <c r="I71" s="30"/>
      <c r="J71" s="36"/>
      <c r="K71" s="30">
        <v>0.05</v>
      </c>
      <c r="L71" s="30">
        <v>1.5</v>
      </c>
      <c r="M71" s="1">
        <v>-4</v>
      </c>
      <c r="N71" s="1">
        <v>-4</v>
      </c>
      <c r="O71" s="1"/>
      <c r="P71" s="1"/>
      <c r="Q71" s="1"/>
      <c r="R71" s="1"/>
      <c r="S71" s="1"/>
      <c r="T71" s="1"/>
      <c r="Y71" s="33" t="s">
        <v>613</v>
      </c>
      <c r="Z71" t="s">
        <v>634</v>
      </c>
      <c r="AA71" s="1">
        <v>3</v>
      </c>
      <c r="AB71" s="1" t="s">
        <v>633</v>
      </c>
      <c r="AC71" t="s">
        <v>560</v>
      </c>
      <c r="AD71" s="30"/>
      <c r="AE71" s="30">
        <f t="shared" si="9"/>
        <v>2.0499999999999998</v>
      </c>
      <c r="AF71" s="43">
        <v>1.1000000000000001</v>
      </c>
      <c r="AG71" s="42">
        <f t="shared" si="10"/>
        <v>1.54</v>
      </c>
      <c r="AH71" s="42">
        <f t="shared" si="11"/>
        <v>2.2070812499999994</v>
      </c>
      <c r="AI71" s="1" t="s">
        <v>632</v>
      </c>
      <c r="AJ71" s="1">
        <v>10</v>
      </c>
      <c r="AK71" s="1"/>
      <c r="AL71" s="25"/>
      <c r="AM71" s="25"/>
    </row>
    <row r="72" spans="1:50" ht="19.5" thickBot="1" x14ac:dyDescent="0.25">
      <c r="A72" s="1" t="s">
        <v>630</v>
      </c>
      <c r="B72" s="1" t="s">
        <v>631</v>
      </c>
      <c r="C72" s="1" t="s">
        <v>630</v>
      </c>
      <c r="D72" s="36">
        <v>1.2</v>
      </c>
      <c r="E72" s="36">
        <v>0</v>
      </c>
      <c r="F72" s="36">
        <v>0</v>
      </c>
      <c r="G72" s="36">
        <v>0.65</v>
      </c>
      <c r="H72" s="30">
        <v>0.75</v>
      </c>
      <c r="I72" s="30"/>
      <c r="J72" s="36"/>
      <c r="K72" s="30">
        <v>0.05</v>
      </c>
      <c r="L72" s="30">
        <v>1.25</v>
      </c>
      <c r="M72" s="1"/>
      <c r="N72" s="1"/>
      <c r="O72" s="1"/>
      <c r="P72" s="1"/>
      <c r="Q72" s="1"/>
      <c r="R72" s="1"/>
      <c r="S72" s="1"/>
      <c r="T72" s="1"/>
      <c r="Y72" s="33" t="s">
        <v>613</v>
      </c>
      <c r="Z72" t="s">
        <v>629</v>
      </c>
      <c r="AA72" s="1">
        <v>2</v>
      </c>
      <c r="AB72" s="1" t="s">
        <v>628</v>
      </c>
      <c r="AC72" t="s">
        <v>627</v>
      </c>
      <c r="AD72" s="30"/>
      <c r="AE72" s="30">
        <f t="shared" si="9"/>
        <v>1.4</v>
      </c>
      <c r="AF72" s="43">
        <v>0.65</v>
      </c>
      <c r="AG72" s="42">
        <f t="shared" si="10"/>
        <v>0.9425</v>
      </c>
      <c r="AH72" s="42">
        <f t="shared" si="11"/>
        <v>1.8059999999999998</v>
      </c>
      <c r="AI72" s="1" t="s">
        <v>585</v>
      </c>
      <c r="AJ72" s="1">
        <v>2</v>
      </c>
      <c r="AK72" s="1"/>
      <c r="AL72" s="25"/>
      <c r="AM72" s="25"/>
    </row>
    <row r="73" spans="1:50" ht="19.5" thickBot="1" x14ac:dyDescent="0.25">
      <c r="A73" s="1"/>
      <c r="B73" s="1"/>
      <c r="C73" s="1"/>
      <c r="D73" s="36"/>
      <c r="E73" s="36"/>
      <c r="F73" s="36"/>
      <c r="G73" s="36"/>
      <c r="H73" s="30"/>
      <c r="I73" s="30"/>
      <c r="J73" s="36"/>
      <c r="K73" s="30"/>
      <c r="L73" s="30"/>
      <c r="M73" s="1"/>
      <c r="N73" s="1"/>
      <c r="O73" s="1"/>
      <c r="P73" s="1"/>
      <c r="Q73" s="1"/>
      <c r="R73" s="1"/>
      <c r="S73" s="1"/>
      <c r="T73" s="1"/>
      <c r="AA73" s="1">
        <v>71</v>
      </c>
      <c r="AB73" s="1" t="s">
        <v>498</v>
      </c>
      <c r="AC73" t="s">
        <v>498</v>
      </c>
      <c r="AD73" s="30"/>
      <c r="AE73" s="30">
        <f t="shared" si="9"/>
        <v>0</v>
      </c>
      <c r="AG73" s="1"/>
      <c r="AH73" s="42">
        <f t="shared" si="11"/>
        <v>0</v>
      </c>
      <c r="AI73" s="1" t="s">
        <v>581</v>
      </c>
      <c r="AJ73" s="1">
        <v>2</v>
      </c>
      <c r="AK73" s="1"/>
      <c r="AL73" s="25"/>
      <c r="AM73" s="25"/>
    </row>
    <row r="74" spans="1:50" ht="19.5" thickBot="1" x14ac:dyDescent="0.25">
      <c r="A74" t="s">
        <v>626</v>
      </c>
      <c r="B74" t="s">
        <v>625</v>
      </c>
      <c r="C74" t="s">
        <v>579</v>
      </c>
      <c r="D74" s="36">
        <v>1</v>
      </c>
      <c r="E74">
        <v>0</v>
      </c>
      <c r="F74" s="36"/>
      <c r="G74" s="36"/>
      <c r="I74" s="41">
        <v>2</v>
      </c>
      <c r="K74" s="29">
        <v>0.1</v>
      </c>
      <c r="L74" s="29">
        <v>1.5</v>
      </c>
      <c r="N74" s="1">
        <v>-15</v>
      </c>
      <c r="O74" s="1"/>
      <c r="P74" s="1"/>
      <c r="Q74" s="1"/>
      <c r="R74" s="1"/>
      <c r="S74" s="1"/>
      <c r="V74">
        <v>1</v>
      </c>
      <c r="W74">
        <v>1</v>
      </c>
      <c r="X74">
        <v>1</v>
      </c>
      <c r="Y74" s="33" t="s">
        <v>623</v>
      </c>
      <c r="AA74" s="1">
        <v>2.5</v>
      </c>
      <c r="AB74" s="1" t="s">
        <v>498</v>
      </c>
      <c r="AC74" t="s">
        <v>622</v>
      </c>
      <c r="AD74" s="30"/>
      <c r="AE74" s="30">
        <f t="shared" si="9"/>
        <v>0</v>
      </c>
      <c r="AF74" s="43">
        <f>I74/2</f>
        <v>1</v>
      </c>
      <c r="AG74" s="1"/>
      <c r="AH74" s="42">
        <f t="shared" si="11"/>
        <v>0</v>
      </c>
      <c r="AI74" s="1" t="s">
        <v>621</v>
      </c>
      <c r="AJ74" s="1">
        <v>4</v>
      </c>
      <c r="AK74" s="1"/>
      <c r="AL74" s="25"/>
      <c r="AM74" s="25"/>
    </row>
    <row r="75" spans="1:50" ht="19.5" thickBot="1" x14ac:dyDescent="0.25">
      <c r="A75" t="s">
        <v>213</v>
      </c>
      <c r="B75" t="s">
        <v>624</v>
      </c>
      <c r="C75" t="s">
        <v>579</v>
      </c>
      <c r="D75" s="36">
        <v>1</v>
      </c>
      <c r="E75">
        <v>0</v>
      </c>
      <c r="F75" s="36"/>
      <c r="G75" s="36"/>
      <c r="I75" s="41">
        <v>2.7</v>
      </c>
      <c r="K75" s="29">
        <v>0.1</v>
      </c>
      <c r="L75" s="29">
        <v>1.5</v>
      </c>
      <c r="N75" s="1">
        <v>-15</v>
      </c>
      <c r="O75" s="1"/>
      <c r="P75" s="1"/>
      <c r="Q75" s="1"/>
      <c r="R75" s="1"/>
      <c r="S75" s="1"/>
      <c r="V75">
        <v>1</v>
      </c>
      <c r="W75">
        <v>1</v>
      </c>
      <c r="X75">
        <v>1</v>
      </c>
      <c r="Y75" s="33" t="s">
        <v>623</v>
      </c>
      <c r="AA75" s="1">
        <v>2.5</v>
      </c>
      <c r="AB75" s="1" t="s">
        <v>498</v>
      </c>
      <c r="AC75" t="s">
        <v>622</v>
      </c>
      <c r="AD75" s="30"/>
      <c r="AE75" s="30">
        <f t="shared" si="9"/>
        <v>0</v>
      </c>
      <c r="AF75" s="43">
        <f>I75/2</f>
        <v>1.35</v>
      </c>
      <c r="AG75" s="1"/>
      <c r="AH75" s="42">
        <f t="shared" si="11"/>
        <v>0</v>
      </c>
      <c r="AI75" s="1" t="s">
        <v>621</v>
      </c>
      <c r="AJ75" s="1">
        <v>4</v>
      </c>
      <c r="AK75" s="1"/>
      <c r="AL75" s="25"/>
      <c r="AM75" s="25"/>
    </row>
    <row r="76" spans="1:50" ht="19.5" outlineLevel="1" thickBot="1" x14ac:dyDescent="0.25">
      <c r="A76" t="s">
        <v>212</v>
      </c>
      <c r="B76" t="s">
        <v>620</v>
      </c>
      <c r="C76" t="s">
        <v>579</v>
      </c>
      <c r="D76" s="36">
        <v>1</v>
      </c>
      <c r="E76">
        <v>0</v>
      </c>
      <c r="F76" s="36"/>
      <c r="G76" s="36"/>
      <c r="I76" s="41">
        <v>3.9</v>
      </c>
      <c r="K76" s="29">
        <v>0.1</v>
      </c>
      <c r="L76" s="29">
        <v>1.5</v>
      </c>
      <c r="N76" s="1">
        <v>-15</v>
      </c>
      <c r="O76" s="1"/>
      <c r="P76" s="1"/>
      <c r="Q76" s="1"/>
      <c r="R76" s="1"/>
      <c r="S76" s="1"/>
      <c r="V76">
        <v>1</v>
      </c>
      <c r="W76">
        <v>1</v>
      </c>
      <c r="X76">
        <v>1</v>
      </c>
      <c r="Y76" s="33" t="s">
        <v>462</v>
      </c>
      <c r="AA76" s="1">
        <v>3</v>
      </c>
      <c r="AB76" s="1" t="s">
        <v>498</v>
      </c>
      <c r="AC76" t="s">
        <v>560</v>
      </c>
      <c r="AD76" s="30"/>
      <c r="AE76" s="30">
        <f t="shared" si="9"/>
        <v>0</v>
      </c>
      <c r="AF76" s="43"/>
      <c r="AG76" s="1"/>
      <c r="AH76" s="1"/>
      <c r="AI76" s="1" t="s">
        <v>619</v>
      </c>
      <c r="AJ76" s="1">
        <v>1</v>
      </c>
      <c r="AK76" s="1"/>
      <c r="AL76" s="25"/>
      <c r="AM76" s="25"/>
    </row>
    <row r="77" spans="1:50" ht="19.5" outlineLevel="1" thickBot="1" x14ac:dyDescent="0.25">
      <c r="A77" s="1" t="s">
        <v>618</v>
      </c>
      <c r="B77" s="1" t="s">
        <v>617</v>
      </c>
      <c r="C77" t="s">
        <v>579</v>
      </c>
      <c r="D77" s="36">
        <v>1.1499999999999999</v>
      </c>
      <c r="E77" s="36">
        <v>0</v>
      </c>
      <c r="F77" s="36"/>
      <c r="G77" s="36"/>
      <c r="H77" s="30"/>
      <c r="I77" s="36">
        <v>6</v>
      </c>
      <c r="J77" s="36"/>
      <c r="K77" s="30">
        <v>0.1</v>
      </c>
      <c r="L77" s="30">
        <v>1.5</v>
      </c>
      <c r="M77" s="1">
        <v>-15</v>
      </c>
      <c r="N77" s="1">
        <v>-30</v>
      </c>
      <c r="O77" s="1"/>
      <c r="P77" s="1"/>
      <c r="Q77" s="1"/>
      <c r="R77" s="1"/>
      <c r="S77" s="1"/>
      <c r="T77" s="1"/>
      <c r="V77">
        <v>1</v>
      </c>
      <c r="W77">
        <v>1</v>
      </c>
      <c r="X77">
        <v>1</v>
      </c>
      <c r="Y77" s="33" t="s">
        <v>613</v>
      </c>
      <c r="AA77" s="1">
        <v>4</v>
      </c>
      <c r="AB77" s="1" t="s">
        <v>498</v>
      </c>
      <c r="AC77" t="s">
        <v>616</v>
      </c>
      <c r="AD77" s="30"/>
      <c r="AE77" s="30">
        <f t="shared" si="9"/>
        <v>0</v>
      </c>
      <c r="AG77" s="1"/>
      <c r="AH77" s="1"/>
      <c r="AI77" s="1"/>
      <c r="AJ77" s="1"/>
      <c r="AK77" s="1"/>
      <c r="AL77" s="25"/>
      <c r="AM77" s="25"/>
    </row>
    <row r="78" spans="1:50" ht="19.5" outlineLevel="1" thickBot="1" x14ac:dyDescent="0.25">
      <c r="A78" s="1" t="s">
        <v>615</v>
      </c>
      <c r="B78" s="1" t="s">
        <v>614</v>
      </c>
      <c r="C78" t="s">
        <v>579</v>
      </c>
      <c r="D78" s="36">
        <v>1</v>
      </c>
      <c r="E78" s="36">
        <v>0</v>
      </c>
      <c r="F78" s="36"/>
      <c r="G78" s="36"/>
      <c r="H78" s="30"/>
      <c r="I78" s="36">
        <v>10</v>
      </c>
      <c r="J78" s="36"/>
      <c r="K78" s="30">
        <v>0.1</v>
      </c>
      <c r="L78" s="30">
        <v>1.5</v>
      </c>
      <c r="M78" s="1">
        <v>-50</v>
      </c>
      <c r="N78" s="1">
        <v>-40</v>
      </c>
      <c r="O78" s="1"/>
      <c r="P78" s="1"/>
      <c r="Q78" s="1"/>
      <c r="R78" s="1"/>
      <c r="S78" s="1"/>
      <c r="T78" s="1"/>
      <c r="V78">
        <v>1</v>
      </c>
      <c r="W78">
        <v>1</v>
      </c>
      <c r="X78">
        <v>1</v>
      </c>
      <c r="Y78" s="33" t="s">
        <v>613</v>
      </c>
      <c r="AA78" s="1">
        <v>6</v>
      </c>
      <c r="AB78" s="1" t="s">
        <v>498</v>
      </c>
      <c r="AC78" t="s">
        <v>612</v>
      </c>
      <c r="AD78" s="30"/>
      <c r="AE78" s="30">
        <f t="shared" si="9"/>
        <v>0</v>
      </c>
      <c r="AG78" s="1"/>
      <c r="AH78" s="1"/>
      <c r="AI78" s="1"/>
      <c r="AJ78" s="1"/>
      <c r="AK78" s="1"/>
      <c r="AL78" s="25"/>
      <c r="AM78" s="25"/>
    </row>
    <row r="79" spans="1:50" ht="19.5" outlineLevel="1" thickBot="1" x14ac:dyDescent="0.25">
      <c r="A79" s="1"/>
      <c r="B79" s="1"/>
      <c r="D79" s="36"/>
      <c r="E79" s="36"/>
      <c r="F79" s="36"/>
      <c r="G79" s="36"/>
      <c r="H79" s="30"/>
      <c r="I79" s="36"/>
      <c r="J79" s="36"/>
      <c r="K79" s="30"/>
      <c r="L79" s="30"/>
      <c r="M79" s="1"/>
      <c r="N79" s="1"/>
      <c r="O79" s="1"/>
      <c r="P79" s="1"/>
      <c r="Q79" s="1"/>
      <c r="R79" s="1"/>
      <c r="S79" s="1"/>
      <c r="T79" s="1"/>
      <c r="AA79" s="1">
        <v>71</v>
      </c>
      <c r="AB79" s="1" t="s">
        <v>498</v>
      </c>
      <c r="AD79" s="30"/>
      <c r="AE79" s="30">
        <f t="shared" si="9"/>
        <v>0</v>
      </c>
      <c r="AG79" s="1"/>
      <c r="AH79" s="1"/>
      <c r="AI79" s="1"/>
      <c r="AJ79" s="1"/>
      <c r="AK79" s="1"/>
      <c r="AL79" s="25"/>
      <c r="AM79" s="25"/>
    </row>
    <row r="80" spans="1:50" ht="19.5" outlineLevel="1" thickBot="1" x14ac:dyDescent="0.25">
      <c r="A80" s="1"/>
      <c r="B80" s="1"/>
      <c r="D80" s="36"/>
      <c r="E80" s="36"/>
      <c r="F80" s="36"/>
      <c r="G80" s="36"/>
      <c r="H80" s="30"/>
      <c r="I80" s="36"/>
      <c r="J80" s="36"/>
      <c r="K80" s="30"/>
      <c r="L80" s="30"/>
      <c r="M80" s="1"/>
      <c r="N80" s="1"/>
      <c r="O80" s="1"/>
      <c r="P80" s="1"/>
      <c r="Q80" s="1"/>
      <c r="R80" s="1"/>
      <c r="S80" s="1"/>
      <c r="T80" s="1"/>
      <c r="AA80" s="1">
        <v>71</v>
      </c>
      <c r="AB80" s="1" t="s">
        <v>498</v>
      </c>
      <c r="AD80" s="30"/>
      <c r="AE80" s="30">
        <f t="shared" si="9"/>
        <v>0</v>
      </c>
      <c r="AG80" s="1"/>
      <c r="AH80" s="1"/>
      <c r="AI80" s="1"/>
      <c r="AJ80" s="1"/>
      <c r="AK80" s="1"/>
      <c r="AL80" s="25"/>
      <c r="AM80" s="25"/>
    </row>
    <row r="81" spans="1:39" ht="38.25" outlineLevel="1" thickBot="1" x14ac:dyDescent="0.25">
      <c r="A81" s="1" t="s">
        <v>211</v>
      </c>
      <c r="B81" s="1" t="s">
        <v>611</v>
      </c>
      <c r="C81" s="1" t="s">
        <v>579</v>
      </c>
      <c r="D81" s="36">
        <v>1</v>
      </c>
      <c r="E81" s="36">
        <v>0</v>
      </c>
      <c r="F81" s="36"/>
      <c r="G81" s="36"/>
      <c r="H81" s="30"/>
      <c r="I81" s="36">
        <v>2.5700000000000003</v>
      </c>
      <c r="J81" s="36"/>
      <c r="K81" s="30">
        <v>0.1</v>
      </c>
      <c r="L81" s="30">
        <v>1.4</v>
      </c>
      <c r="M81" s="1"/>
      <c r="N81" s="1">
        <v>-25</v>
      </c>
      <c r="O81" s="1"/>
      <c r="P81" s="1"/>
      <c r="Q81" s="1"/>
      <c r="R81" s="1"/>
      <c r="S81" s="1"/>
      <c r="T81" s="1"/>
      <c r="V81" s="40">
        <v>6</v>
      </c>
      <c r="W81" s="40">
        <v>6</v>
      </c>
      <c r="X81" s="40">
        <v>2</v>
      </c>
      <c r="AA81" s="1">
        <v>2</v>
      </c>
      <c r="AB81" s="1" t="s">
        <v>498</v>
      </c>
      <c r="AC81" t="s">
        <v>610</v>
      </c>
      <c r="AD81" s="30"/>
      <c r="AE81" s="30">
        <f t="shared" si="9"/>
        <v>0</v>
      </c>
      <c r="AG81" s="1"/>
      <c r="AH81" s="1"/>
      <c r="AI81" s="1" t="s">
        <v>609</v>
      </c>
      <c r="AJ81" s="1">
        <v>1</v>
      </c>
      <c r="AK81" s="1"/>
      <c r="AL81" s="25"/>
      <c r="AM81" s="25"/>
    </row>
    <row r="82" spans="1:39" ht="19.5" outlineLevel="1" thickBot="1" x14ac:dyDescent="0.25">
      <c r="A82" s="1" t="s">
        <v>210</v>
      </c>
      <c r="B82" s="1" t="s">
        <v>608</v>
      </c>
      <c r="C82" s="1" t="s">
        <v>579</v>
      </c>
      <c r="D82" s="36">
        <v>1</v>
      </c>
      <c r="E82" s="36">
        <v>0</v>
      </c>
      <c r="F82" s="36"/>
      <c r="G82" s="36"/>
      <c r="H82" s="30"/>
      <c r="I82" s="36">
        <v>1.8</v>
      </c>
      <c r="J82" s="36"/>
      <c r="K82" s="30">
        <v>0.15</v>
      </c>
      <c r="L82" s="30">
        <v>1.75</v>
      </c>
      <c r="M82" s="1"/>
      <c r="N82" s="1">
        <v>-15</v>
      </c>
      <c r="O82" s="1"/>
      <c r="P82" s="1"/>
      <c r="Q82" s="1"/>
      <c r="R82" s="1"/>
      <c r="S82" s="1"/>
      <c r="T82" s="1"/>
      <c r="V82" s="40">
        <v>12</v>
      </c>
      <c r="W82" s="40">
        <v>1</v>
      </c>
      <c r="X82" s="40">
        <v>3</v>
      </c>
      <c r="AA82" s="1">
        <v>2</v>
      </c>
      <c r="AB82" s="1" t="s">
        <v>498</v>
      </c>
      <c r="AC82" t="s">
        <v>540</v>
      </c>
      <c r="AD82" s="30"/>
      <c r="AE82" s="30">
        <f t="shared" si="9"/>
        <v>0</v>
      </c>
      <c r="AG82" s="1"/>
      <c r="AH82" s="1"/>
      <c r="AI82" s="1" t="s">
        <v>607</v>
      </c>
      <c r="AJ82" s="1">
        <v>1</v>
      </c>
      <c r="AK82" s="1"/>
      <c r="AL82" s="25"/>
      <c r="AM82" s="25"/>
    </row>
    <row r="83" spans="1:39" ht="19.5" outlineLevel="1" thickBot="1" x14ac:dyDescent="0.25">
      <c r="A83" s="1" t="s">
        <v>606</v>
      </c>
      <c r="B83" s="1" t="s">
        <v>605</v>
      </c>
      <c r="C83" s="1" t="s">
        <v>579</v>
      </c>
      <c r="D83" s="36">
        <v>1.2</v>
      </c>
      <c r="E83" s="36">
        <v>0</v>
      </c>
      <c r="F83" s="36"/>
      <c r="G83" s="36"/>
      <c r="H83" s="30"/>
      <c r="I83" s="36">
        <v>3.2</v>
      </c>
      <c r="J83" s="36"/>
      <c r="K83" s="30">
        <v>0.1</v>
      </c>
      <c r="L83" s="30">
        <v>1.4</v>
      </c>
      <c r="M83" s="1">
        <v>-7.5</v>
      </c>
      <c r="N83" s="1">
        <v>-35</v>
      </c>
      <c r="O83" s="1"/>
      <c r="P83" s="1"/>
      <c r="Q83" s="1">
        <v>-15</v>
      </c>
      <c r="R83" s="1">
        <v>-15</v>
      </c>
      <c r="S83" s="1">
        <v>-15</v>
      </c>
      <c r="T83" s="1"/>
      <c r="V83" s="40">
        <v>10</v>
      </c>
      <c r="W83" s="40">
        <v>1</v>
      </c>
      <c r="X83" s="40">
        <v>2</v>
      </c>
      <c r="AA83" s="1">
        <v>5</v>
      </c>
      <c r="AB83" s="1" t="s">
        <v>498</v>
      </c>
      <c r="AC83" t="s">
        <v>601</v>
      </c>
      <c r="AD83" s="30"/>
      <c r="AE83" s="30">
        <f t="shared" si="9"/>
        <v>0</v>
      </c>
      <c r="AG83" s="1"/>
      <c r="AH83" s="1"/>
      <c r="AI83" s="1" t="s">
        <v>604</v>
      </c>
      <c r="AJ83" s="1">
        <v>1</v>
      </c>
      <c r="AK83" s="1"/>
      <c r="AL83" s="25"/>
      <c r="AM83" s="25"/>
    </row>
    <row r="84" spans="1:39" ht="19.5" outlineLevel="1" thickBot="1" x14ac:dyDescent="0.25">
      <c r="A84" s="1" t="s">
        <v>603</v>
      </c>
      <c r="B84" s="1" t="s">
        <v>602</v>
      </c>
      <c r="C84" s="1" t="s">
        <v>579</v>
      </c>
      <c r="D84" s="36">
        <v>1</v>
      </c>
      <c r="E84" s="36">
        <v>0</v>
      </c>
      <c r="F84" s="36"/>
      <c r="G84" s="36"/>
      <c r="H84" s="30"/>
      <c r="I84" s="36">
        <v>1.6</v>
      </c>
      <c r="J84" s="36"/>
      <c r="K84" s="30">
        <v>0.1</v>
      </c>
      <c r="L84" s="30">
        <v>1.25</v>
      </c>
      <c r="M84" s="1"/>
      <c r="N84" s="1">
        <v>-15</v>
      </c>
      <c r="O84" s="1"/>
      <c r="P84" s="1"/>
      <c r="Q84" s="1"/>
      <c r="R84" s="1"/>
      <c r="S84" s="1"/>
      <c r="T84" s="1"/>
      <c r="V84" s="40">
        <v>24</v>
      </c>
      <c r="W84" s="40">
        <v>1</v>
      </c>
      <c r="X84" s="40">
        <v>8</v>
      </c>
      <c r="AA84" s="1">
        <v>2.5</v>
      </c>
      <c r="AB84" s="1" t="s">
        <v>498</v>
      </c>
      <c r="AC84" t="s">
        <v>601</v>
      </c>
      <c r="AD84" s="30"/>
      <c r="AE84" s="30">
        <f t="shared" si="9"/>
        <v>0</v>
      </c>
      <c r="AG84" s="1"/>
      <c r="AH84" s="1"/>
      <c r="AI84" s="1" t="s">
        <v>539</v>
      </c>
      <c r="AJ84" s="1">
        <v>1</v>
      </c>
      <c r="AK84" s="1"/>
      <c r="AL84" s="25"/>
      <c r="AM84" s="25"/>
    </row>
    <row r="85" spans="1:39" ht="19.5" outlineLevel="1" thickBot="1" x14ac:dyDescent="0.25">
      <c r="A85" s="1" t="s">
        <v>600</v>
      </c>
      <c r="B85" s="1" t="s">
        <v>599</v>
      </c>
      <c r="C85" s="1" t="s">
        <v>579</v>
      </c>
      <c r="D85" s="36">
        <v>1.1499999999999999</v>
      </c>
      <c r="E85" s="36">
        <v>0</v>
      </c>
      <c r="F85" s="36"/>
      <c r="G85" s="36"/>
      <c r="H85" s="30"/>
      <c r="I85" s="36">
        <v>2.0499999999999998</v>
      </c>
      <c r="J85" s="36"/>
      <c r="K85" s="30">
        <v>0.1</v>
      </c>
      <c r="L85" s="30">
        <v>1.5</v>
      </c>
      <c r="M85" s="1">
        <v>-5</v>
      </c>
      <c r="N85" s="1">
        <v>-30</v>
      </c>
      <c r="O85" s="1"/>
      <c r="P85" s="1"/>
      <c r="Q85" s="1"/>
      <c r="R85" s="1"/>
      <c r="S85" s="1"/>
      <c r="T85" s="1"/>
      <c r="V85" s="40">
        <v>20</v>
      </c>
      <c r="W85" s="40">
        <v>1</v>
      </c>
      <c r="X85" s="40">
        <v>4</v>
      </c>
      <c r="AA85" s="1">
        <v>4</v>
      </c>
      <c r="AB85" s="1" t="s">
        <v>498</v>
      </c>
      <c r="AC85" t="s">
        <v>593</v>
      </c>
      <c r="AD85" s="30"/>
      <c r="AE85" s="30">
        <f t="shared" si="9"/>
        <v>0</v>
      </c>
      <c r="AG85" s="1"/>
      <c r="AH85" s="1"/>
      <c r="AI85" s="1" t="s">
        <v>598</v>
      </c>
      <c r="AJ85" s="1">
        <v>1</v>
      </c>
      <c r="AK85" s="1"/>
      <c r="AL85" s="25"/>
      <c r="AM85" s="25"/>
    </row>
    <row r="86" spans="1:39" ht="19.5" outlineLevel="1" thickBot="1" x14ac:dyDescent="0.25">
      <c r="A86" s="1" t="s">
        <v>597</v>
      </c>
      <c r="B86" s="1" t="s">
        <v>596</v>
      </c>
      <c r="C86" s="1" t="s">
        <v>579</v>
      </c>
      <c r="D86" s="36">
        <v>1</v>
      </c>
      <c r="E86" s="36">
        <v>0</v>
      </c>
      <c r="F86" s="36"/>
      <c r="G86" s="36"/>
      <c r="H86" s="30"/>
      <c r="I86" s="36">
        <v>2.0499999999999998</v>
      </c>
      <c r="J86" s="36"/>
      <c r="K86" s="30">
        <v>0.1</v>
      </c>
      <c r="L86" s="30">
        <v>1.5</v>
      </c>
      <c r="M86" s="1">
        <v>-10</v>
      </c>
      <c r="N86" s="1">
        <v>-30</v>
      </c>
      <c r="O86" s="1"/>
      <c r="P86" s="1"/>
      <c r="Q86" s="1">
        <v>-25</v>
      </c>
      <c r="R86" s="1">
        <v>-25</v>
      </c>
      <c r="S86" s="1">
        <v>-25</v>
      </c>
      <c r="T86" s="1"/>
      <c r="V86" s="40">
        <v>70</v>
      </c>
      <c r="W86" s="40">
        <v>2</v>
      </c>
      <c r="X86" s="40">
        <v>7</v>
      </c>
      <c r="AA86" s="1">
        <v>8</v>
      </c>
      <c r="AB86" s="1" t="s">
        <v>498</v>
      </c>
      <c r="AC86" t="s">
        <v>587</v>
      </c>
      <c r="AD86" s="30"/>
      <c r="AE86" s="30">
        <f t="shared" si="9"/>
        <v>0</v>
      </c>
      <c r="AG86" s="1"/>
      <c r="AH86" s="1"/>
      <c r="AI86" s="1" t="s">
        <v>0</v>
      </c>
      <c r="AJ86" s="1">
        <v>1</v>
      </c>
      <c r="AK86" s="1"/>
      <c r="AL86" s="25"/>
      <c r="AM86" s="25"/>
    </row>
    <row r="87" spans="1:39" ht="19.5" outlineLevel="1" thickBot="1" x14ac:dyDescent="0.25">
      <c r="A87" s="1" t="s">
        <v>595</v>
      </c>
      <c r="B87" s="1" t="s">
        <v>594</v>
      </c>
      <c r="C87" s="1" t="s">
        <v>579</v>
      </c>
      <c r="D87" s="36">
        <v>1.35</v>
      </c>
      <c r="E87" s="36">
        <v>0</v>
      </c>
      <c r="F87" s="36"/>
      <c r="G87" s="36"/>
      <c r="H87" s="30"/>
      <c r="I87" s="36">
        <v>5.04</v>
      </c>
      <c r="J87" s="36"/>
      <c r="K87" s="30">
        <v>0.1</v>
      </c>
      <c r="L87" s="30">
        <v>1.75</v>
      </c>
      <c r="M87" s="1">
        <v>-15</v>
      </c>
      <c r="N87" s="1">
        <v>-50</v>
      </c>
      <c r="O87" s="1"/>
      <c r="P87" s="1"/>
      <c r="Q87" s="1">
        <v>-25</v>
      </c>
      <c r="R87" s="1"/>
      <c r="S87" s="1">
        <v>-25</v>
      </c>
      <c r="T87" s="1"/>
      <c r="V87" s="40">
        <v>5</v>
      </c>
      <c r="W87" s="40">
        <v>1</v>
      </c>
      <c r="X87" s="40">
        <v>1</v>
      </c>
      <c r="AA87" s="1">
        <v>6</v>
      </c>
      <c r="AB87" s="1" t="s">
        <v>498</v>
      </c>
      <c r="AC87" t="s">
        <v>593</v>
      </c>
      <c r="AD87" s="30"/>
      <c r="AE87" s="30">
        <f t="shared" si="9"/>
        <v>0</v>
      </c>
      <c r="AG87" s="1"/>
      <c r="AH87" s="1"/>
      <c r="AI87" s="1" t="s">
        <v>207</v>
      </c>
      <c r="AJ87" s="1">
        <v>3</v>
      </c>
      <c r="AK87" s="1"/>
      <c r="AL87" s="25"/>
      <c r="AM87" s="25"/>
    </row>
    <row r="88" spans="1:39" ht="19.5" outlineLevel="1" thickBot="1" x14ac:dyDescent="0.25">
      <c r="A88" s="1"/>
      <c r="B88" s="1"/>
      <c r="C88" s="1"/>
      <c r="D88" s="36"/>
      <c r="E88" s="36"/>
      <c r="F88" s="36"/>
      <c r="G88" s="36"/>
      <c r="H88" s="30"/>
      <c r="I88" s="36"/>
      <c r="J88" s="36"/>
      <c r="K88" s="30"/>
      <c r="L88" s="30"/>
      <c r="M88" s="1"/>
      <c r="N88" s="1"/>
      <c r="O88" s="1"/>
      <c r="P88" s="1"/>
      <c r="Q88" s="1"/>
      <c r="R88" s="1"/>
      <c r="S88" s="1"/>
      <c r="T88" s="1"/>
      <c r="V88" s="1"/>
      <c r="W88" s="1"/>
      <c r="X88" s="1"/>
      <c r="AA88" s="1">
        <v>71</v>
      </c>
      <c r="AB88" s="1" t="s">
        <v>498</v>
      </c>
      <c r="AC88" t="s">
        <v>498</v>
      </c>
      <c r="AD88" s="30"/>
      <c r="AE88" s="30">
        <f t="shared" si="9"/>
        <v>0</v>
      </c>
      <c r="AG88" s="1"/>
      <c r="AH88" s="1"/>
      <c r="AI88" s="1" t="s">
        <v>592</v>
      </c>
      <c r="AJ88" s="1">
        <v>2.5</v>
      </c>
      <c r="AK88" s="1"/>
      <c r="AL88" s="25"/>
      <c r="AM88" s="25"/>
    </row>
    <row r="89" spans="1:39" ht="19.5" outlineLevel="1" thickBot="1" x14ac:dyDescent="0.25">
      <c r="A89" s="1" t="s">
        <v>591</v>
      </c>
      <c r="B89" s="1" t="s">
        <v>590</v>
      </c>
      <c r="C89" s="1" t="s">
        <v>579</v>
      </c>
      <c r="D89" s="36">
        <v>1</v>
      </c>
      <c r="E89" s="36">
        <v>0</v>
      </c>
      <c r="F89" s="36"/>
      <c r="G89" s="36"/>
      <c r="H89" s="30"/>
      <c r="I89" s="36">
        <v>3.5</v>
      </c>
      <c r="J89" s="36"/>
      <c r="K89" s="30">
        <v>0.15</v>
      </c>
      <c r="L89" s="30">
        <v>1.35</v>
      </c>
      <c r="M89" s="1">
        <v>-4</v>
      </c>
      <c r="N89" s="1">
        <v>-5.5</v>
      </c>
      <c r="O89" s="1"/>
      <c r="P89" s="1"/>
      <c r="Q89" s="1"/>
      <c r="R89" s="1"/>
      <c r="S89" s="1">
        <v>-25</v>
      </c>
      <c r="T89" s="1"/>
      <c r="V89" s="40">
        <v>6</v>
      </c>
      <c r="W89" s="40">
        <v>1</v>
      </c>
      <c r="X89" s="40">
        <v>1</v>
      </c>
      <c r="Z89" t="s">
        <v>1550</v>
      </c>
      <c r="AA89" s="1">
        <v>4</v>
      </c>
      <c r="AB89" s="1" t="s">
        <v>498</v>
      </c>
      <c r="AC89" t="s">
        <v>583</v>
      </c>
      <c r="AD89" s="30"/>
      <c r="AE89" s="30">
        <f t="shared" si="9"/>
        <v>0</v>
      </c>
      <c r="AG89" s="1"/>
      <c r="AH89" s="1"/>
      <c r="AI89" s="1" t="s">
        <v>245</v>
      </c>
      <c r="AJ89" s="1">
        <v>2</v>
      </c>
      <c r="AK89" s="1"/>
      <c r="AL89" s="25"/>
      <c r="AM89" s="25"/>
    </row>
    <row r="90" spans="1:39" ht="19.5" outlineLevel="1" thickBot="1" x14ac:dyDescent="0.25">
      <c r="A90" s="1" t="s">
        <v>589</v>
      </c>
      <c r="B90" s="1" t="s">
        <v>588</v>
      </c>
      <c r="C90" s="1" t="s">
        <v>579</v>
      </c>
      <c r="D90" s="36">
        <v>1</v>
      </c>
      <c r="E90" s="36">
        <v>0</v>
      </c>
      <c r="F90" s="36"/>
      <c r="G90" s="36"/>
      <c r="H90" s="30"/>
      <c r="I90" s="36">
        <v>2</v>
      </c>
      <c r="J90" s="36"/>
      <c r="K90" s="30">
        <v>0.1</v>
      </c>
      <c r="L90" s="30">
        <v>1.5</v>
      </c>
      <c r="M90" s="1">
        <v>-25</v>
      </c>
      <c r="N90" s="1">
        <v>-40</v>
      </c>
      <c r="O90" s="1"/>
      <c r="P90" s="1"/>
      <c r="Q90" s="1">
        <v>-50</v>
      </c>
      <c r="R90" s="1">
        <v>-50</v>
      </c>
      <c r="S90" s="1">
        <v>-50</v>
      </c>
      <c r="T90" s="1"/>
      <c r="V90" s="40">
        <v>100</v>
      </c>
      <c r="W90" s="40">
        <v>2</v>
      </c>
      <c r="X90" s="40">
        <v>10</v>
      </c>
      <c r="Z90" t="s">
        <v>1550</v>
      </c>
      <c r="AA90" s="1">
        <v>10</v>
      </c>
      <c r="AB90" s="1" t="s">
        <v>498</v>
      </c>
      <c r="AC90" t="s">
        <v>587</v>
      </c>
      <c r="AD90" s="30"/>
      <c r="AE90" s="30">
        <f t="shared" si="9"/>
        <v>0</v>
      </c>
      <c r="AG90" s="1"/>
      <c r="AH90" s="1"/>
      <c r="AI90" s="1" t="s">
        <v>586</v>
      </c>
      <c r="AJ90" s="1">
        <v>2</v>
      </c>
      <c r="AK90" s="1"/>
      <c r="AL90" s="25"/>
      <c r="AM90" s="25"/>
    </row>
    <row r="91" spans="1:39" ht="19.5" outlineLevel="1" thickBot="1" x14ac:dyDescent="0.25">
      <c r="A91" s="1" t="s">
        <v>585</v>
      </c>
      <c r="B91" s="1" t="s">
        <v>584</v>
      </c>
      <c r="C91" s="1" t="s">
        <v>579</v>
      </c>
      <c r="D91" s="36">
        <v>1</v>
      </c>
      <c r="E91" s="36">
        <v>0</v>
      </c>
      <c r="F91" s="36"/>
      <c r="G91" s="36"/>
      <c r="H91" s="30"/>
      <c r="I91" s="36">
        <v>2.5</v>
      </c>
      <c r="J91" s="36"/>
      <c r="K91" s="30">
        <v>0.2</v>
      </c>
      <c r="L91" s="30">
        <v>2</v>
      </c>
      <c r="M91" s="1"/>
      <c r="N91" s="1"/>
      <c r="O91" s="1"/>
      <c r="P91" s="1"/>
      <c r="Q91" s="1"/>
      <c r="R91" s="1"/>
      <c r="S91" s="1"/>
      <c r="T91" s="1"/>
      <c r="V91" s="40">
        <v>1</v>
      </c>
      <c r="W91" s="40">
        <v>4</v>
      </c>
      <c r="X91" s="40">
        <v>1</v>
      </c>
      <c r="AA91" s="1">
        <v>2</v>
      </c>
      <c r="AB91" s="1" t="s">
        <v>498</v>
      </c>
      <c r="AC91" t="s">
        <v>583</v>
      </c>
      <c r="AD91" s="30"/>
      <c r="AE91" s="30">
        <f t="shared" si="9"/>
        <v>0</v>
      </c>
      <c r="AG91" s="1"/>
      <c r="AH91" s="1"/>
      <c r="AI91" s="1" t="s">
        <v>582</v>
      </c>
      <c r="AJ91" s="1">
        <v>1</v>
      </c>
      <c r="AK91" s="1"/>
      <c r="AL91" s="25"/>
      <c r="AM91" s="25"/>
    </row>
    <row r="92" spans="1:39" ht="38.25" outlineLevel="1" thickBot="1" x14ac:dyDescent="0.25">
      <c r="A92" s="1" t="s">
        <v>581</v>
      </c>
      <c r="B92" s="1" t="s">
        <v>580</v>
      </c>
      <c r="C92" s="1" t="s">
        <v>579</v>
      </c>
      <c r="D92" s="36">
        <v>1</v>
      </c>
      <c r="E92" s="36">
        <v>0</v>
      </c>
      <c r="F92" s="36"/>
      <c r="G92" s="36"/>
      <c r="H92" s="30"/>
      <c r="I92" s="36">
        <v>4</v>
      </c>
      <c r="J92" s="36"/>
      <c r="K92" s="30">
        <v>0.2</v>
      </c>
      <c r="L92" s="30">
        <v>1.75</v>
      </c>
      <c r="M92" s="1">
        <v>-5</v>
      </c>
      <c r="N92" s="1">
        <v>-5</v>
      </c>
      <c r="O92" s="1"/>
      <c r="P92" s="1"/>
      <c r="Q92" s="1">
        <v>-25</v>
      </c>
      <c r="R92" s="1"/>
      <c r="S92" s="1">
        <v>-25</v>
      </c>
      <c r="T92" s="1"/>
      <c r="V92" s="40">
        <v>1</v>
      </c>
      <c r="W92" s="40">
        <v>4</v>
      </c>
      <c r="X92" s="40">
        <v>1</v>
      </c>
      <c r="AA92" s="1">
        <v>2</v>
      </c>
      <c r="AB92" s="1" t="s">
        <v>498</v>
      </c>
      <c r="AC92" t="s">
        <v>578</v>
      </c>
      <c r="AD92" s="30"/>
      <c r="AE92" s="30">
        <f t="shared" si="9"/>
        <v>0</v>
      </c>
      <c r="AG92" s="1"/>
      <c r="AH92" s="1"/>
      <c r="AI92" s="1" t="s">
        <v>577</v>
      </c>
      <c r="AJ92" s="1">
        <v>1</v>
      </c>
      <c r="AK92" s="1"/>
      <c r="AL92" s="25"/>
      <c r="AM92" s="25"/>
    </row>
    <row r="93" spans="1:39" ht="19.5" outlineLevel="1" thickBot="1" x14ac:dyDescent="0.25">
      <c r="A93" s="1"/>
      <c r="B93" s="1"/>
      <c r="C93" s="1"/>
      <c r="D93" s="36"/>
      <c r="E93" s="36"/>
      <c r="F93" s="36"/>
      <c r="G93" s="36"/>
      <c r="H93" s="30"/>
      <c r="I93" s="30"/>
      <c r="J93" s="36"/>
      <c r="K93" s="30"/>
      <c r="L93" s="30"/>
      <c r="M93" s="30"/>
      <c r="N93" s="30"/>
      <c r="O93" s="30"/>
      <c r="P93" s="30"/>
      <c r="Q93" s="30"/>
      <c r="R93" s="30"/>
      <c r="S93" s="30"/>
      <c r="T93" s="30"/>
      <c r="AA93" s="1">
        <v>71</v>
      </c>
      <c r="AB93" s="1" t="s">
        <v>498</v>
      </c>
      <c r="AC93" t="s">
        <v>498</v>
      </c>
      <c r="AD93" s="30"/>
      <c r="AE93" s="30">
        <f t="shared" si="9"/>
        <v>0</v>
      </c>
      <c r="AG93" s="1"/>
      <c r="AH93" s="1"/>
      <c r="AI93" s="1" t="s">
        <v>576</v>
      </c>
      <c r="AJ93" s="1">
        <v>1</v>
      </c>
      <c r="AK93" s="1"/>
      <c r="AL93" s="25"/>
      <c r="AM93" s="25"/>
    </row>
    <row r="94" spans="1:39" ht="38.25" outlineLevel="1" thickBot="1" x14ac:dyDescent="0.25">
      <c r="A94" s="1" t="s">
        <v>575</v>
      </c>
      <c r="B94" s="1" t="s">
        <v>574</v>
      </c>
      <c r="C94" s="1" t="s">
        <v>573</v>
      </c>
      <c r="D94" s="36">
        <v>1</v>
      </c>
      <c r="E94" s="36">
        <v>0</v>
      </c>
      <c r="F94" s="36"/>
      <c r="G94" s="36"/>
      <c r="H94" s="30"/>
      <c r="I94" s="30"/>
      <c r="J94" s="36"/>
      <c r="K94" s="30">
        <v>0.05</v>
      </c>
      <c r="L94" s="30">
        <v>1.5</v>
      </c>
      <c r="M94" s="1">
        <v>-7.5</v>
      </c>
      <c r="N94" s="1">
        <v>-7.5</v>
      </c>
      <c r="O94" s="1"/>
      <c r="P94" s="1"/>
      <c r="Q94" s="1"/>
      <c r="R94" s="1"/>
      <c r="S94" s="1"/>
      <c r="T94" s="1"/>
      <c r="AA94" s="1">
        <v>3</v>
      </c>
      <c r="AB94" s="1" t="s">
        <v>572</v>
      </c>
      <c r="AC94" t="s">
        <v>571</v>
      </c>
      <c r="AD94" s="30"/>
      <c r="AE94" s="30">
        <f t="shared" si="9"/>
        <v>0</v>
      </c>
      <c r="AG94" s="1"/>
      <c r="AH94" s="1"/>
      <c r="AI94" s="1" t="s">
        <v>570</v>
      </c>
      <c r="AJ94" s="1">
        <v>1</v>
      </c>
      <c r="AK94" s="1"/>
      <c r="AL94" s="25"/>
      <c r="AM94" s="25"/>
    </row>
    <row r="95" spans="1:39" ht="19.5" outlineLevel="1" thickBot="1" x14ac:dyDescent="0.25">
      <c r="A95" s="1" t="s">
        <v>569</v>
      </c>
      <c r="B95" s="1" t="s">
        <v>568</v>
      </c>
      <c r="C95" s="1" t="s">
        <v>564</v>
      </c>
      <c r="D95" s="36">
        <v>1</v>
      </c>
      <c r="E95" s="36">
        <v>1.1000000000000001</v>
      </c>
      <c r="F95" s="36"/>
      <c r="G95" s="36">
        <v>0.35</v>
      </c>
      <c r="H95" s="30"/>
      <c r="I95" s="30"/>
      <c r="J95" s="36"/>
      <c r="K95" s="30">
        <v>0.05</v>
      </c>
      <c r="L95" s="30">
        <v>1.5</v>
      </c>
      <c r="M95" s="1"/>
      <c r="N95" s="1">
        <v>-4</v>
      </c>
      <c r="O95" s="1"/>
      <c r="P95" s="1"/>
      <c r="Q95" s="1"/>
      <c r="R95" s="1"/>
      <c r="S95" s="1"/>
      <c r="T95" s="1"/>
      <c r="AA95" s="1">
        <v>3</v>
      </c>
      <c r="AB95" s="1" t="s">
        <v>498</v>
      </c>
      <c r="AC95" t="s">
        <v>567</v>
      </c>
      <c r="AD95" s="30"/>
      <c r="AE95" s="30">
        <f t="shared" si="9"/>
        <v>1.4500000000000002</v>
      </c>
      <c r="AG95" s="1"/>
      <c r="AH95" s="1"/>
      <c r="AI95" s="1" t="s">
        <v>89</v>
      </c>
      <c r="AJ95" s="1">
        <v>1</v>
      </c>
      <c r="AK95" s="1"/>
      <c r="AL95" s="25"/>
      <c r="AM95" s="25"/>
    </row>
    <row r="96" spans="1:39" ht="19.5" outlineLevel="1" thickBot="1" x14ac:dyDescent="0.25">
      <c r="A96" s="1" t="s">
        <v>566</v>
      </c>
      <c r="B96" s="1" t="s">
        <v>565</v>
      </c>
      <c r="C96" s="1" t="s">
        <v>564</v>
      </c>
      <c r="D96" s="36">
        <v>1</v>
      </c>
      <c r="E96" s="36">
        <v>0</v>
      </c>
      <c r="F96" s="36"/>
      <c r="G96" s="36">
        <v>1.1000000000000001</v>
      </c>
      <c r="H96" s="30"/>
      <c r="I96" s="30"/>
      <c r="J96" s="36"/>
      <c r="K96" s="30">
        <v>0.05</v>
      </c>
      <c r="L96" s="30">
        <v>1.5</v>
      </c>
      <c r="M96" s="1">
        <v>-3.5</v>
      </c>
      <c r="N96" s="1">
        <v>-2.5</v>
      </c>
      <c r="O96" s="1"/>
      <c r="P96" s="1"/>
      <c r="Q96" s="1"/>
      <c r="R96" s="1"/>
      <c r="S96" s="1"/>
      <c r="T96" s="1"/>
      <c r="AA96" s="1">
        <v>3</v>
      </c>
      <c r="AB96" s="1" t="s">
        <v>498</v>
      </c>
      <c r="AC96" t="s">
        <v>513</v>
      </c>
      <c r="AD96" s="30"/>
      <c r="AE96" s="30">
        <f t="shared" si="9"/>
        <v>1.1000000000000001</v>
      </c>
      <c r="AG96" s="1"/>
      <c r="AH96" s="1"/>
      <c r="AI96" s="1" t="s">
        <v>95</v>
      </c>
      <c r="AJ96" s="1">
        <v>1</v>
      </c>
      <c r="AK96" s="1"/>
      <c r="AL96" s="25"/>
      <c r="AM96" s="25"/>
    </row>
    <row r="97" spans="1:39" ht="19.5" outlineLevel="1" thickBot="1" x14ac:dyDescent="0.25">
      <c r="A97" s="1"/>
      <c r="B97" s="1"/>
      <c r="C97" s="1"/>
      <c r="D97" s="36"/>
      <c r="E97" s="36"/>
      <c r="F97" s="36"/>
      <c r="G97" s="36"/>
      <c r="H97" s="30"/>
      <c r="I97" s="30"/>
      <c r="J97" s="36"/>
      <c r="K97" s="30"/>
      <c r="L97" s="30"/>
      <c r="M97" s="1"/>
      <c r="N97" s="1"/>
      <c r="O97" s="1"/>
      <c r="P97" s="1"/>
      <c r="Q97" s="1"/>
      <c r="R97" s="1"/>
      <c r="S97" s="1"/>
      <c r="T97" s="1"/>
      <c r="AA97" s="1">
        <v>71</v>
      </c>
      <c r="AB97" s="1" t="s">
        <v>498</v>
      </c>
      <c r="AC97" t="s">
        <v>498</v>
      </c>
      <c r="AD97" s="30"/>
      <c r="AE97" s="30">
        <f t="shared" si="9"/>
        <v>0</v>
      </c>
      <c r="AG97" s="1"/>
      <c r="AH97" s="1"/>
      <c r="AI97" s="1" t="s">
        <v>563</v>
      </c>
      <c r="AJ97" s="1">
        <v>1</v>
      </c>
      <c r="AK97" s="1"/>
      <c r="AL97" s="25"/>
      <c r="AM97" s="25"/>
    </row>
    <row r="98" spans="1:39" ht="19.5" outlineLevel="1" thickBot="1" x14ac:dyDescent="0.25">
      <c r="A98" s="1" t="s">
        <v>562</v>
      </c>
      <c r="B98" s="1" t="s">
        <v>561</v>
      </c>
      <c r="C98" s="1" t="s">
        <v>556</v>
      </c>
      <c r="D98" s="36">
        <v>1</v>
      </c>
      <c r="E98" s="36"/>
      <c r="F98" s="36"/>
      <c r="G98" s="36"/>
      <c r="H98" s="30"/>
      <c r="I98" s="30"/>
      <c r="J98" s="36"/>
      <c r="K98" s="30">
        <v>0.05</v>
      </c>
      <c r="L98" s="30">
        <v>1.5</v>
      </c>
      <c r="M98" s="1"/>
      <c r="N98" s="1"/>
      <c r="O98" s="1"/>
      <c r="P98" s="1"/>
      <c r="Q98" s="1"/>
      <c r="R98" s="1"/>
      <c r="S98" s="1"/>
      <c r="T98" s="1"/>
      <c r="AA98" s="1">
        <v>2</v>
      </c>
      <c r="AB98" s="1" t="s">
        <v>498</v>
      </c>
      <c r="AC98" t="s">
        <v>560</v>
      </c>
      <c r="AD98" s="30"/>
      <c r="AE98" s="30">
        <f t="shared" si="9"/>
        <v>0</v>
      </c>
      <c r="AG98" s="39"/>
      <c r="AH98" s="39"/>
      <c r="AI98" s="39" t="s">
        <v>559</v>
      </c>
      <c r="AJ98" s="39">
        <v>1</v>
      </c>
      <c r="AK98" s="39"/>
      <c r="AL98" s="25"/>
      <c r="AM98" s="25"/>
    </row>
    <row r="99" spans="1:39" ht="19.5" outlineLevel="1" thickBot="1" x14ac:dyDescent="0.25">
      <c r="A99" s="1" t="s">
        <v>558</v>
      </c>
      <c r="B99" s="1" t="s">
        <v>557</v>
      </c>
      <c r="C99" s="1" t="s">
        <v>556</v>
      </c>
      <c r="D99" s="36">
        <v>1</v>
      </c>
      <c r="E99" s="36"/>
      <c r="F99" s="36"/>
      <c r="G99" s="36"/>
      <c r="H99" s="30"/>
      <c r="I99" s="30"/>
      <c r="J99" s="36"/>
      <c r="K99" s="30">
        <v>0.05</v>
      </c>
      <c r="L99" s="30">
        <v>1.5</v>
      </c>
      <c r="M99" s="1"/>
      <c r="N99" s="1"/>
      <c r="O99" s="1"/>
      <c r="P99" s="1"/>
      <c r="Q99" s="1"/>
      <c r="R99" s="1"/>
      <c r="S99" s="1"/>
      <c r="T99" s="1"/>
      <c r="AA99" s="1">
        <v>2</v>
      </c>
      <c r="AB99" s="1" t="s">
        <v>498</v>
      </c>
      <c r="AC99" t="s">
        <v>555</v>
      </c>
      <c r="AD99" s="30"/>
      <c r="AE99" s="30">
        <f t="shared" si="9"/>
        <v>0</v>
      </c>
      <c r="AG99" s="1"/>
      <c r="AH99" s="1"/>
      <c r="AI99" s="1" t="s">
        <v>554</v>
      </c>
      <c r="AJ99" s="1">
        <v>1</v>
      </c>
      <c r="AK99" s="1"/>
      <c r="AL99" s="25"/>
      <c r="AM99" s="25"/>
    </row>
    <row r="100" spans="1:39" ht="19.5" outlineLevel="1" thickBot="1" x14ac:dyDescent="0.25">
      <c r="A100" s="1"/>
      <c r="B100" s="1"/>
      <c r="C100" s="1"/>
      <c r="D100" s="36"/>
      <c r="E100" s="36"/>
      <c r="F100" s="36"/>
      <c r="G100" s="36"/>
      <c r="H100" s="30"/>
      <c r="I100" s="30"/>
      <c r="J100" s="36"/>
      <c r="K100" s="30"/>
      <c r="L100" s="30"/>
      <c r="M100" s="1"/>
      <c r="N100" s="1"/>
      <c r="O100" s="1"/>
      <c r="P100" s="1"/>
      <c r="Q100" s="1"/>
      <c r="R100" s="1"/>
      <c r="S100" s="1"/>
      <c r="T100" s="1"/>
      <c r="AA100" s="1">
        <v>71</v>
      </c>
      <c r="AB100" s="1" t="s">
        <v>498</v>
      </c>
      <c r="AC100" t="s">
        <v>498</v>
      </c>
      <c r="AD100" s="30"/>
      <c r="AE100" s="30">
        <f t="shared" si="9"/>
        <v>0</v>
      </c>
      <c r="AG100" s="1"/>
      <c r="AH100" s="1"/>
      <c r="AI100" s="1" t="s">
        <v>205</v>
      </c>
      <c r="AJ100" s="1">
        <v>1</v>
      </c>
      <c r="AK100" s="1"/>
      <c r="AL100" s="25"/>
      <c r="AM100" s="25"/>
    </row>
    <row r="101" spans="1:39" ht="19.5" thickBot="1" x14ac:dyDescent="0.25">
      <c r="A101" s="1"/>
      <c r="B101" s="1"/>
      <c r="C101" s="1"/>
      <c r="D101" s="36"/>
      <c r="E101" s="36"/>
      <c r="F101" s="36"/>
      <c r="G101" s="36"/>
      <c r="H101" s="30"/>
      <c r="I101" s="30"/>
      <c r="J101" s="36"/>
      <c r="K101" s="30"/>
      <c r="L101" s="30"/>
      <c r="M101" s="1"/>
      <c r="N101" s="1"/>
      <c r="O101" s="1"/>
      <c r="P101" s="1"/>
      <c r="Q101" s="1"/>
      <c r="R101" s="1"/>
      <c r="S101" s="1"/>
      <c r="T101" s="1"/>
      <c r="AA101" s="1">
        <v>71</v>
      </c>
      <c r="AB101" s="1" t="s">
        <v>498</v>
      </c>
      <c r="AC101" t="s">
        <v>498</v>
      </c>
      <c r="AD101" s="30"/>
      <c r="AE101" s="30"/>
      <c r="AI101" t="s">
        <v>553</v>
      </c>
      <c r="AJ101">
        <v>1</v>
      </c>
      <c r="AL101" s="25"/>
      <c r="AM101" s="25"/>
    </row>
    <row r="102" spans="1:39" ht="19.5" thickBot="1" x14ac:dyDescent="0.25">
      <c r="A102" s="1"/>
      <c r="B102" s="1"/>
      <c r="C102" s="1"/>
      <c r="D102" s="36"/>
      <c r="E102" s="36"/>
      <c r="F102" s="36"/>
      <c r="G102" s="36"/>
      <c r="H102" s="30"/>
      <c r="I102" s="30"/>
      <c r="J102" s="36"/>
      <c r="K102" s="30"/>
      <c r="L102" s="30"/>
      <c r="M102" s="1"/>
      <c r="N102" s="1"/>
      <c r="O102" s="1"/>
      <c r="P102" s="1"/>
      <c r="Q102" s="1"/>
      <c r="R102" s="1"/>
      <c r="S102" s="1"/>
      <c r="T102" s="1"/>
      <c r="AA102" s="1">
        <v>71</v>
      </c>
      <c r="AB102" s="1" t="s">
        <v>498</v>
      </c>
      <c r="AC102" t="s">
        <v>498</v>
      </c>
      <c r="AD102" s="30"/>
      <c r="AE102" s="30"/>
      <c r="AI102" t="s">
        <v>552</v>
      </c>
      <c r="AJ102">
        <v>5</v>
      </c>
      <c r="AL102" s="25"/>
      <c r="AM102" s="25"/>
    </row>
    <row r="103" spans="1:39" ht="19.5" thickBot="1" x14ac:dyDescent="0.25">
      <c r="A103" s="1" t="s">
        <v>551</v>
      </c>
      <c r="B103" s="1" t="s">
        <v>550</v>
      </c>
      <c r="C103" s="1" t="s">
        <v>523</v>
      </c>
      <c r="D103" s="36"/>
      <c r="E103" s="36"/>
      <c r="F103" s="36"/>
      <c r="G103" s="36">
        <v>0.85</v>
      </c>
      <c r="H103" s="30"/>
      <c r="I103" s="30"/>
      <c r="J103" s="36"/>
      <c r="K103" s="30">
        <v>0.05</v>
      </c>
      <c r="L103" s="30">
        <v>1.25</v>
      </c>
      <c r="M103" s="1">
        <v>-7.5</v>
      </c>
      <c r="N103" s="1"/>
      <c r="O103" s="1">
        <v>-30</v>
      </c>
      <c r="P103" s="1"/>
      <c r="Q103" s="1"/>
      <c r="R103" s="1"/>
      <c r="S103" s="1"/>
      <c r="T103" s="36">
        <v>0.35</v>
      </c>
      <c r="AA103" s="1">
        <v>2</v>
      </c>
      <c r="AB103" s="1" t="s">
        <v>1269</v>
      </c>
      <c r="AC103" t="s">
        <v>498</v>
      </c>
      <c r="AD103" s="30"/>
      <c r="AE103" s="30"/>
      <c r="AI103" t="s">
        <v>549</v>
      </c>
      <c r="AJ103">
        <v>3</v>
      </c>
      <c r="AL103" s="25"/>
      <c r="AM103" s="25"/>
    </row>
    <row r="104" spans="1:39" ht="19.5" thickBot="1" x14ac:dyDescent="0.25">
      <c r="A104" s="1" t="s">
        <v>548</v>
      </c>
      <c r="B104" s="1" t="s">
        <v>547</v>
      </c>
      <c r="C104" s="1" t="s">
        <v>523</v>
      </c>
      <c r="D104" s="36"/>
      <c r="E104" s="36"/>
      <c r="F104" s="36"/>
      <c r="G104" s="36">
        <v>0.85</v>
      </c>
      <c r="H104" s="30"/>
      <c r="I104" s="30"/>
      <c r="J104" s="36"/>
      <c r="K104" s="30">
        <v>0.05</v>
      </c>
      <c r="L104" s="30">
        <v>1.25</v>
      </c>
      <c r="M104" s="1">
        <v>-5</v>
      </c>
      <c r="N104" s="1"/>
      <c r="O104" s="1">
        <v>-15</v>
      </c>
      <c r="P104" s="1"/>
      <c r="Q104" s="1"/>
      <c r="R104" s="1"/>
      <c r="S104" s="1"/>
      <c r="T104" s="36">
        <v>0.25</v>
      </c>
      <c r="AA104" s="1">
        <v>1.5</v>
      </c>
      <c r="AB104" s="1" t="s">
        <v>1269</v>
      </c>
      <c r="AC104" t="s">
        <v>546</v>
      </c>
      <c r="AD104" s="30"/>
      <c r="AE104" s="30"/>
      <c r="AF104" s="43">
        <f t="shared" ref="AF104:AF117" si="12">T103</f>
        <v>0.35</v>
      </c>
      <c r="AG104" s="38"/>
      <c r="AH104" s="38"/>
      <c r="AI104" s="37" t="s">
        <v>545</v>
      </c>
      <c r="AJ104" s="29">
        <v>4</v>
      </c>
      <c r="AK104" s="29"/>
      <c r="AL104" s="25"/>
      <c r="AM104" s="25"/>
    </row>
    <row r="105" spans="1:39" ht="19.5" thickBot="1" x14ac:dyDescent="0.25">
      <c r="A105" s="1" t="s">
        <v>1182</v>
      </c>
      <c r="B105" s="1" t="s">
        <v>1183</v>
      </c>
      <c r="C105" s="1" t="s">
        <v>523</v>
      </c>
      <c r="D105" s="36"/>
      <c r="E105" s="36"/>
      <c r="F105" s="36"/>
      <c r="G105" s="36"/>
      <c r="H105" s="30"/>
      <c r="I105" s="30"/>
      <c r="J105" s="36"/>
      <c r="K105" s="30"/>
      <c r="L105" s="30"/>
      <c r="M105" s="1"/>
      <c r="N105" s="1"/>
      <c r="O105" s="1"/>
      <c r="P105" s="1"/>
      <c r="Q105" s="1"/>
      <c r="R105" s="1"/>
      <c r="S105" s="1"/>
      <c r="T105" s="36">
        <v>0.1</v>
      </c>
      <c r="AA105" s="1">
        <v>1</v>
      </c>
      <c r="AB105" s="1" t="s">
        <v>1269</v>
      </c>
      <c r="AC105" t="s">
        <v>501</v>
      </c>
      <c r="AD105" s="30"/>
      <c r="AE105" s="30"/>
      <c r="AF105" s="43">
        <f t="shared" si="12"/>
        <v>0.25</v>
      </c>
      <c r="AG105" s="38"/>
      <c r="AH105" s="38"/>
      <c r="AI105" s="37"/>
      <c r="AJ105" s="29"/>
      <c r="AK105" s="29"/>
      <c r="AL105" s="25"/>
      <c r="AM105" s="25"/>
    </row>
    <row r="106" spans="1:39" ht="19.5" thickBot="1" x14ac:dyDescent="0.25">
      <c r="A106" s="1" t="s">
        <v>544</v>
      </c>
      <c r="B106" s="1" t="s">
        <v>543</v>
      </c>
      <c r="C106" s="1" t="s">
        <v>523</v>
      </c>
      <c r="D106" s="36"/>
      <c r="E106" s="36"/>
      <c r="F106" s="36"/>
      <c r="G106" s="36"/>
      <c r="H106" s="30"/>
      <c r="I106" s="30"/>
      <c r="J106" s="36"/>
      <c r="K106" s="30"/>
      <c r="L106" s="30"/>
      <c r="M106" s="1"/>
      <c r="N106" s="1"/>
      <c r="O106" s="1"/>
      <c r="P106" s="1"/>
      <c r="Q106" s="1"/>
      <c r="R106" s="1"/>
      <c r="S106" s="1"/>
      <c r="T106" s="36">
        <v>7.0000000000000007E-2</v>
      </c>
      <c r="AA106" s="1">
        <v>1</v>
      </c>
      <c r="AB106" s="1" t="s">
        <v>1271</v>
      </c>
      <c r="AC106" t="s">
        <v>501</v>
      </c>
      <c r="AD106" s="30"/>
      <c r="AE106" s="30"/>
      <c r="AF106" s="43">
        <v>0.75</v>
      </c>
      <c r="AG106" s="38"/>
      <c r="AH106" s="38"/>
      <c r="AI106" s="37"/>
      <c r="AJ106" s="29"/>
      <c r="AK106" s="29"/>
      <c r="AL106" s="25"/>
      <c r="AM106" s="25"/>
    </row>
    <row r="107" spans="1:39" ht="19.5" thickBot="1" x14ac:dyDescent="0.25">
      <c r="A107" s="1" t="s">
        <v>542</v>
      </c>
      <c r="B107" s="1" t="s">
        <v>541</v>
      </c>
      <c r="C107" s="1" t="s">
        <v>523</v>
      </c>
      <c r="D107" s="36"/>
      <c r="E107" s="36"/>
      <c r="F107" s="36"/>
      <c r="G107" s="36"/>
      <c r="H107" s="30"/>
      <c r="I107" s="30"/>
      <c r="J107" s="36"/>
      <c r="K107" s="30"/>
      <c r="L107" s="30"/>
      <c r="M107" s="1"/>
      <c r="N107" s="1"/>
      <c r="O107" s="1">
        <v>-15</v>
      </c>
      <c r="P107" s="1"/>
      <c r="Q107" s="1"/>
      <c r="R107" s="1"/>
      <c r="S107" s="1"/>
      <c r="T107" s="36">
        <v>0.1</v>
      </c>
      <c r="AA107" s="1">
        <v>1</v>
      </c>
      <c r="AB107" s="1" t="s">
        <v>1269</v>
      </c>
      <c r="AC107" t="s">
        <v>540</v>
      </c>
      <c r="AD107" s="30"/>
      <c r="AE107" s="30"/>
      <c r="AF107" s="43">
        <f t="shared" si="12"/>
        <v>7.0000000000000007E-2</v>
      </c>
      <c r="AG107" s="38"/>
      <c r="AH107" s="38"/>
      <c r="AI107" s="37"/>
      <c r="AJ107" s="29"/>
      <c r="AK107" s="29"/>
      <c r="AL107" s="25"/>
      <c r="AM107" s="25"/>
    </row>
    <row r="108" spans="1:39" ht="19.5" thickBot="1" x14ac:dyDescent="0.25">
      <c r="A108" s="1" t="s">
        <v>539</v>
      </c>
      <c r="B108" s="1" t="s">
        <v>538</v>
      </c>
      <c r="C108" s="1" t="s">
        <v>523</v>
      </c>
      <c r="D108" s="36"/>
      <c r="E108" s="36"/>
      <c r="F108" s="36"/>
      <c r="G108" s="36"/>
      <c r="H108" s="30"/>
      <c r="I108" s="30"/>
      <c r="J108" s="36"/>
      <c r="K108" s="30"/>
      <c r="L108" s="30"/>
      <c r="M108" s="1"/>
      <c r="N108" s="1"/>
      <c r="O108" s="1"/>
      <c r="P108" s="1"/>
      <c r="Q108" s="1"/>
      <c r="R108" s="1"/>
      <c r="S108" s="1"/>
      <c r="T108" s="36">
        <v>0.05</v>
      </c>
      <c r="AA108" s="1">
        <v>1</v>
      </c>
      <c r="AB108" s="1" t="s">
        <v>1270</v>
      </c>
      <c r="AC108" t="s">
        <v>505</v>
      </c>
      <c r="AD108" s="30"/>
      <c r="AE108" s="30"/>
      <c r="AF108" s="43">
        <f t="shared" si="12"/>
        <v>0.1</v>
      </c>
      <c r="AG108" s="38"/>
      <c r="AH108" s="38"/>
      <c r="AI108" s="37"/>
      <c r="AJ108" s="29"/>
      <c r="AK108" s="29"/>
      <c r="AL108" s="25"/>
      <c r="AM108" s="25"/>
    </row>
    <row r="109" spans="1:39" ht="19.5" thickBot="1" x14ac:dyDescent="0.25">
      <c r="A109" s="1" t="s">
        <v>207</v>
      </c>
      <c r="B109" s="1" t="s">
        <v>537</v>
      </c>
      <c r="C109" s="1" t="s">
        <v>519</v>
      </c>
      <c r="D109" s="36"/>
      <c r="E109" s="36"/>
      <c r="F109" s="36"/>
      <c r="G109" s="36"/>
      <c r="H109" s="30"/>
      <c r="I109" s="30"/>
      <c r="J109" s="36"/>
      <c r="K109" s="30"/>
      <c r="L109" s="30"/>
      <c r="M109" s="1">
        <v>-15</v>
      </c>
      <c r="N109" s="1"/>
      <c r="O109" s="1"/>
      <c r="P109" s="1">
        <v>-35</v>
      </c>
      <c r="Q109" s="1"/>
      <c r="R109" s="1"/>
      <c r="S109" s="1"/>
      <c r="T109" s="36">
        <v>0.7</v>
      </c>
      <c r="AA109" s="1">
        <v>3</v>
      </c>
      <c r="AB109" s="1" t="s">
        <v>531</v>
      </c>
      <c r="AC109" t="s">
        <v>536</v>
      </c>
      <c r="AD109" s="30"/>
      <c r="AE109" s="30"/>
      <c r="AF109" s="43">
        <f t="shared" si="12"/>
        <v>0.05</v>
      </c>
      <c r="AG109" s="38"/>
      <c r="AH109" s="38"/>
      <c r="AI109" s="37"/>
      <c r="AJ109" s="29"/>
      <c r="AK109" s="29"/>
      <c r="AL109" s="25"/>
      <c r="AM109" s="25"/>
    </row>
    <row r="110" spans="1:39" ht="19.5" thickBot="1" x14ac:dyDescent="0.25">
      <c r="A110" s="1" t="s">
        <v>206</v>
      </c>
      <c r="B110" s="1" t="s">
        <v>535</v>
      </c>
      <c r="C110" s="1" t="s">
        <v>519</v>
      </c>
      <c r="D110" s="36"/>
      <c r="E110" s="36"/>
      <c r="F110" s="36"/>
      <c r="G110" s="36"/>
      <c r="H110" s="30"/>
      <c r="I110" s="30"/>
      <c r="J110" s="36"/>
      <c r="K110" s="30"/>
      <c r="L110" s="30"/>
      <c r="M110" s="1">
        <v>-7.5</v>
      </c>
      <c r="N110" s="1"/>
      <c r="O110" s="1"/>
      <c r="P110" s="1">
        <v>-15</v>
      </c>
      <c r="Q110" s="1"/>
      <c r="R110" s="1"/>
      <c r="S110" s="1"/>
      <c r="T110" s="36">
        <v>0.5</v>
      </c>
      <c r="AA110" s="1">
        <v>2.5</v>
      </c>
      <c r="AB110" s="1" t="s">
        <v>531</v>
      </c>
      <c r="AC110" t="s">
        <v>534</v>
      </c>
      <c r="AD110" s="30"/>
      <c r="AE110" s="30"/>
      <c r="AF110" s="43">
        <f t="shared" si="12"/>
        <v>0.7</v>
      </c>
      <c r="AG110" s="38"/>
      <c r="AH110" s="38"/>
      <c r="AI110" s="37"/>
      <c r="AJ110" s="29"/>
      <c r="AK110" s="29"/>
      <c r="AL110" s="25"/>
      <c r="AM110" s="25"/>
    </row>
    <row r="111" spans="1:39" ht="19.5" thickBot="1" x14ac:dyDescent="0.25">
      <c r="A111" s="1" t="s">
        <v>246</v>
      </c>
      <c r="B111" s="1" t="s">
        <v>533</v>
      </c>
      <c r="C111" s="1" t="s">
        <v>519</v>
      </c>
      <c r="D111" s="36"/>
      <c r="E111" s="36"/>
      <c r="F111" s="36"/>
      <c r="G111" s="36"/>
      <c r="H111" s="30"/>
      <c r="I111" s="30"/>
      <c r="J111" s="36"/>
      <c r="K111" s="30"/>
      <c r="L111" s="30"/>
      <c r="M111" s="1"/>
      <c r="N111" s="1"/>
      <c r="O111" s="1"/>
      <c r="P111" s="1"/>
      <c r="Q111" s="1"/>
      <c r="R111" s="1"/>
      <c r="S111" s="1"/>
      <c r="T111" s="36">
        <v>0.3</v>
      </c>
      <c r="AA111" s="1">
        <v>2</v>
      </c>
      <c r="AB111" s="1" t="s">
        <v>531</v>
      </c>
      <c r="AC111" t="s">
        <v>509</v>
      </c>
      <c r="AD111" s="30"/>
      <c r="AE111" s="30"/>
      <c r="AF111" s="43">
        <f t="shared" si="12"/>
        <v>0.5</v>
      </c>
      <c r="AG111" s="38"/>
      <c r="AH111" s="38"/>
      <c r="AI111" s="37"/>
      <c r="AJ111" s="29"/>
      <c r="AK111" s="29"/>
      <c r="AL111" s="25"/>
      <c r="AM111" s="25"/>
    </row>
    <row r="112" spans="1:39" ht="19.5" thickBot="1" x14ac:dyDescent="0.25">
      <c r="A112" s="1" t="s">
        <v>245</v>
      </c>
      <c r="B112" s="1" t="s">
        <v>532</v>
      </c>
      <c r="C112" s="1" t="s">
        <v>519</v>
      </c>
      <c r="D112" s="36"/>
      <c r="E112" s="36"/>
      <c r="F112" s="36"/>
      <c r="G112" s="36"/>
      <c r="H112" s="30"/>
      <c r="I112" s="30"/>
      <c r="J112" s="36"/>
      <c r="K112" s="30"/>
      <c r="L112" s="30"/>
      <c r="M112" s="1"/>
      <c r="N112" s="1"/>
      <c r="O112" s="1"/>
      <c r="P112" s="1"/>
      <c r="Q112" s="1"/>
      <c r="R112" s="1"/>
      <c r="S112" s="1"/>
      <c r="T112" s="36">
        <v>0.2</v>
      </c>
      <c r="AA112" s="1">
        <v>2</v>
      </c>
      <c r="AB112" s="1" t="s">
        <v>531</v>
      </c>
      <c r="AC112" t="s">
        <v>530</v>
      </c>
      <c r="AD112" s="30"/>
      <c r="AE112" s="30"/>
      <c r="AF112" s="43">
        <f t="shared" si="12"/>
        <v>0.3</v>
      </c>
      <c r="AG112" s="38"/>
      <c r="AH112" s="38"/>
      <c r="AI112" s="37"/>
      <c r="AJ112" s="29"/>
      <c r="AK112" s="29"/>
      <c r="AL112" s="25"/>
      <c r="AM112" s="25"/>
    </row>
    <row r="113" spans="1:39" ht="19.5" thickBot="1" x14ac:dyDescent="0.25">
      <c r="A113" t="s">
        <v>205</v>
      </c>
      <c r="B113" t="s">
        <v>529</v>
      </c>
      <c r="C113" s="1" t="s">
        <v>528</v>
      </c>
      <c r="D113" s="36"/>
      <c r="G113" s="36">
        <v>1</v>
      </c>
      <c r="K113" s="30">
        <v>0.1</v>
      </c>
      <c r="L113" s="30">
        <v>1.5</v>
      </c>
      <c r="T113" s="36">
        <v>0.15</v>
      </c>
      <c r="Z113" t="s">
        <v>528</v>
      </c>
      <c r="AA113" s="1">
        <v>1</v>
      </c>
      <c r="AB113" s="1" t="s">
        <v>527</v>
      </c>
      <c r="AC113" t="s">
        <v>526</v>
      </c>
      <c r="AD113" s="30"/>
      <c r="AE113" s="30"/>
      <c r="AF113" s="43">
        <f t="shared" si="12"/>
        <v>0.2</v>
      </c>
      <c r="AG113" s="35"/>
      <c r="AH113" s="35"/>
      <c r="AI113" s="37"/>
      <c r="AJ113" s="29"/>
      <c r="AK113" s="29"/>
      <c r="AL113" s="25"/>
      <c r="AM113" s="25"/>
    </row>
    <row r="114" spans="1:39" ht="19.5" thickBot="1" x14ac:dyDescent="0.25">
      <c r="A114" t="s">
        <v>525</v>
      </c>
      <c r="B114" t="s">
        <v>524</v>
      </c>
      <c r="C114" s="1" t="s">
        <v>523</v>
      </c>
      <c r="D114" s="36"/>
      <c r="T114" s="42">
        <v>0.25</v>
      </c>
      <c r="AA114" s="1">
        <v>2</v>
      </c>
      <c r="AB114" s="1" t="s">
        <v>498</v>
      </c>
      <c r="AC114" t="s">
        <v>522</v>
      </c>
      <c r="AD114" s="30"/>
      <c r="AE114" s="30"/>
      <c r="AF114" s="43">
        <f t="shared" si="12"/>
        <v>0.15</v>
      </c>
      <c r="AG114" s="35"/>
      <c r="AH114" s="35"/>
      <c r="AI114" s="34"/>
      <c r="AJ114" s="29"/>
      <c r="AK114" s="29"/>
      <c r="AL114" s="25"/>
      <c r="AM114" s="25"/>
    </row>
    <row r="115" spans="1:39" ht="19.5" thickBot="1" x14ac:dyDescent="0.25">
      <c r="A115" t="s">
        <v>521</v>
      </c>
      <c r="B115" t="s">
        <v>520</v>
      </c>
      <c r="C115" s="1" t="s">
        <v>519</v>
      </c>
      <c r="D115" s="36"/>
      <c r="T115" s="42">
        <v>0.45</v>
      </c>
      <c r="AA115" s="1">
        <v>3</v>
      </c>
      <c r="AB115" s="1" t="s">
        <v>498</v>
      </c>
      <c r="AC115" t="s">
        <v>518</v>
      </c>
      <c r="AD115" s="30"/>
      <c r="AE115" s="30"/>
      <c r="AF115" s="43">
        <f t="shared" si="12"/>
        <v>0.25</v>
      </c>
      <c r="AG115" s="35"/>
      <c r="AH115" s="35"/>
      <c r="AI115" s="34"/>
      <c r="AJ115" s="29"/>
      <c r="AK115" s="29"/>
      <c r="AL115" s="25"/>
      <c r="AM115" s="25"/>
    </row>
    <row r="116" spans="1:39" ht="19.5" thickBot="1" x14ac:dyDescent="0.25">
      <c r="A116" t="s">
        <v>517</v>
      </c>
      <c r="B116" t="s">
        <v>516</v>
      </c>
      <c r="C116" s="1" t="s">
        <v>515</v>
      </c>
      <c r="D116" s="36"/>
      <c r="E116" s="29">
        <v>0.25</v>
      </c>
      <c r="F116" s="29">
        <v>0.1</v>
      </c>
      <c r="G116" s="29">
        <v>0.05</v>
      </c>
      <c r="H116" s="29">
        <v>0.1</v>
      </c>
      <c r="K116" s="29">
        <v>0.05</v>
      </c>
      <c r="T116" s="42">
        <v>0.1</v>
      </c>
      <c r="Z116" t="s">
        <v>514</v>
      </c>
      <c r="AA116" s="1">
        <v>2</v>
      </c>
      <c r="AB116" s="1" t="s">
        <v>498</v>
      </c>
      <c r="AC116" t="s">
        <v>513</v>
      </c>
      <c r="AD116" s="30"/>
      <c r="AE116" s="30"/>
      <c r="AF116" s="43">
        <f t="shared" si="12"/>
        <v>0.45</v>
      </c>
      <c r="AG116" s="35"/>
      <c r="AH116" s="35"/>
      <c r="AI116" s="34"/>
      <c r="AJ116" s="29"/>
      <c r="AK116" s="29"/>
      <c r="AL116" s="25"/>
      <c r="AM116" s="25"/>
    </row>
    <row r="117" spans="1:39" ht="19.5" thickBot="1" x14ac:dyDescent="0.25">
      <c r="C117" s="1"/>
      <c r="D117" s="36"/>
      <c r="E117" s="29"/>
      <c r="F117" s="29"/>
      <c r="G117" s="29"/>
      <c r="AA117" s="1"/>
      <c r="AB117" s="1"/>
      <c r="AD117" s="30"/>
      <c r="AE117" s="30"/>
      <c r="AF117" s="43">
        <f t="shared" si="12"/>
        <v>0.1</v>
      </c>
      <c r="AG117" s="35"/>
      <c r="AH117" s="35"/>
      <c r="AI117" s="34"/>
      <c r="AJ117" s="29"/>
      <c r="AK117" s="29"/>
      <c r="AL117" s="25"/>
      <c r="AM117" s="25"/>
    </row>
    <row r="118" spans="1:39" ht="19.5" thickBot="1" x14ac:dyDescent="0.25">
      <c r="A118" s="1" t="s">
        <v>100</v>
      </c>
      <c r="B118" s="1" t="s">
        <v>99</v>
      </c>
      <c r="C118" s="1" t="s">
        <v>500</v>
      </c>
      <c r="D118" s="36"/>
      <c r="E118" s="36"/>
      <c r="F118" s="36"/>
      <c r="G118" s="36"/>
      <c r="H118" s="30"/>
      <c r="I118" s="30"/>
      <c r="J118" s="36"/>
      <c r="K118" s="30"/>
      <c r="L118" s="30"/>
      <c r="M118" s="1"/>
      <c r="N118" s="1"/>
      <c r="O118" s="1"/>
      <c r="P118" s="1"/>
      <c r="Q118" s="1"/>
      <c r="R118" s="1"/>
      <c r="S118" s="1"/>
      <c r="T118" s="36"/>
      <c r="AA118" s="1">
        <v>1</v>
      </c>
      <c r="AB118" s="1" t="s">
        <v>512</v>
      </c>
      <c r="AC118" t="s">
        <v>511</v>
      </c>
      <c r="AD118" s="30"/>
      <c r="AE118" s="30"/>
      <c r="AF118" s="43">
        <v>1</v>
      </c>
      <c r="AG118" s="38"/>
      <c r="AH118" s="38"/>
      <c r="AI118" s="37"/>
      <c r="AJ118" s="29"/>
      <c r="AK118" s="29"/>
      <c r="AL118" s="25"/>
      <c r="AM118" s="25"/>
    </row>
    <row r="119" spans="1:39" ht="19.5" thickBot="1" x14ac:dyDescent="0.25">
      <c r="A119" s="1" t="s">
        <v>0</v>
      </c>
      <c r="B119" s="1" t="s">
        <v>98</v>
      </c>
      <c r="C119" s="1" t="s">
        <v>500</v>
      </c>
      <c r="D119" s="36"/>
      <c r="E119" s="36"/>
      <c r="F119" s="36"/>
      <c r="G119" s="36"/>
      <c r="H119" s="30"/>
      <c r="I119" s="30"/>
      <c r="J119" s="36"/>
      <c r="K119" s="30"/>
      <c r="L119" s="30"/>
      <c r="M119" s="1"/>
      <c r="N119" s="1"/>
      <c r="O119" s="1"/>
      <c r="P119" s="1"/>
      <c r="Q119" s="1"/>
      <c r="R119" s="1"/>
      <c r="S119" s="1"/>
      <c r="T119" s="36"/>
      <c r="AA119" s="1">
        <v>1</v>
      </c>
      <c r="AB119" s="1" t="s">
        <v>510</v>
      </c>
      <c r="AC119" t="s">
        <v>509</v>
      </c>
      <c r="AD119" s="30"/>
      <c r="AE119" s="30"/>
      <c r="AF119" s="43">
        <v>1</v>
      </c>
      <c r="AG119" s="38"/>
      <c r="AH119" s="38"/>
      <c r="AI119" s="37"/>
      <c r="AJ119" s="29"/>
      <c r="AK119" s="29"/>
      <c r="AL119" s="25"/>
      <c r="AM119" s="25"/>
    </row>
    <row r="120" spans="1:39" ht="19.5" thickBot="1" x14ac:dyDescent="0.25">
      <c r="A120" s="1" t="s">
        <v>95</v>
      </c>
      <c r="B120" s="1" t="s">
        <v>94</v>
      </c>
      <c r="C120" s="1" t="s">
        <v>500</v>
      </c>
      <c r="D120" s="36"/>
      <c r="E120" s="36"/>
      <c r="F120" s="36"/>
      <c r="G120" s="36"/>
      <c r="H120" s="30"/>
      <c r="I120" s="30"/>
      <c r="J120" s="36"/>
      <c r="K120" s="36"/>
      <c r="L120" s="36"/>
      <c r="M120" s="1"/>
      <c r="T120" s="36"/>
      <c r="AA120" s="1">
        <v>1</v>
      </c>
      <c r="AB120" s="1" t="s">
        <v>506</v>
      </c>
      <c r="AC120" t="s">
        <v>505</v>
      </c>
      <c r="AD120" s="30"/>
      <c r="AE120" s="30"/>
      <c r="AF120" s="43">
        <v>1</v>
      </c>
      <c r="AG120" s="35"/>
      <c r="AH120" s="35"/>
      <c r="AI120" s="37"/>
      <c r="AJ120" s="29"/>
      <c r="AK120" s="29"/>
      <c r="AL120" s="25"/>
      <c r="AM120" s="25"/>
    </row>
    <row r="121" spans="1:39" ht="19.5" thickBot="1" x14ac:dyDescent="0.25">
      <c r="A121" s="1" t="s">
        <v>93</v>
      </c>
      <c r="B121" s="1" t="s">
        <v>1246</v>
      </c>
      <c r="C121" s="1" t="s">
        <v>500</v>
      </c>
      <c r="D121" s="36"/>
      <c r="E121" s="36"/>
      <c r="F121" s="36"/>
      <c r="G121" s="36"/>
      <c r="H121" s="30"/>
      <c r="I121" s="30"/>
      <c r="J121" s="36"/>
      <c r="K121" s="30">
        <v>0</v>
      </c>
      <c r="L121" s="30">
        <v>0</v>
      </c>
      <c r="M121" s="1"/>
      <c r="T121" s="36">
        <v>0.05</v>
      </c>
      <c r="AA121" s="1">
        <v>1</v>
      </c>
      <c r="AB121" s="1" t="s">
        <v>504</v>
      </c>
      <c r="AC121" t="s">
        <v>503</v>
      </c>
      <c r="AD121" s="30"/>
      <c r="AE121" s="30"/>
      <c r="AF121" s="43">
        <v>1</v>
      </c>
      <c r="AG121" s="35"/>
      <c r="AH121" s="35"/>
      <c r="AI121" s="37"/>
      <c r="AJ121" s="29"/>
      <c r="AK121" s="29"/>
      <c r="AL121" s="25"/>
      <c r="AM121" s="25"/>
    </row>
    <row r="122" spans="1:39" ht="19.5" thickBot="1" x14ac:dyDescent="0.25">
      <c r="A122" s="1" t="s">
        <v>91</v>
      </c>
      <c r="B122" s="1" t="s">
        <v>90</v>
      </c>
      <c r="C122" s="1" t="s">
        <v>500</v>
      </c>
      <c r="D122" s="36"/>
      <c r="E122" s="36"/>
      <c r="F122" s="36"/>
      <c r="G122" s="36"/>
      <c r="H122" s="30"/>
      <c r="I122" s="30"/>
      <c r="J122" s="36"/>
      <c r="K122" s="30"/>
      <c r="L122" s="30"/>
      <c r="M122" s="1"/>
      <c r="N122" s="1"/>
      <c r="O122" s="1"/>
      <c r="P122" s="1"/>
      <c r="Q122" s="1"/>
      <c r="R122" s="1"/>
      <c r="S122" s="1"/>
      <c r="T122" s="1"/>
      <c r="AA122" s="1">
        <v>1</v>
      </c>
      <c r="AB122" s="1" t="s">
        <v>502</v>
      </c>
      <c r="AC122" t="s">
        <v>501</v>
      </c>
      <c r="AD122" s="30"/>
      <c r="AE122" s="30"/>
      <c r="AF122" s="43">
        <v>1</v>
      </c>
      <c r="AG122" s="35"/>
      <c r="AH122" s="35"/>
      <c r="AI122" s="37"/>
      <c r="AJ122" s="29"/>
      <c r="AK122" s="29"/>
      <c r="AL122" s="25"/>
      <c r="AM122" s="25"/>
    </row>
    <row r="123" spans="1:39" ht="19.5" thickBot="1" x14ac:dyDescent="0.25">
      <c r="A123" s="1" t="s">
        <v>89</v>
      </c>
      <c r="B123" s="1" t="s">
        <v>88</v>
      </c>
      <c r="C123" s="1" t="s">
        <v>500</v>
      </c>
      <c r="D123" s="36"/>
      <c r="E123" s="36"/>
      <c r="F123" s="36"/>
      <c r="G123" s="36"/>
      <c r="H123" s="30"/>
      <c r="I123" s="30"/>
      <c r="J123" s="36"/>
      <c r="K123" s="36"/>
      <c r="L123" s="36"/>
      <c r="M123" s="1"/>
      <c r="AA123" s="1">
        <v>1</v>
      </c>
      <c r="AB123" s="1" t="s">
        <v>498</v>
      </c>
      <c r="AC123" t="s">
        <v>499</v>
      </c>
      <c r="AD123" s="30"/>
      <c r="AE123" s="30"/>
      <c r="AF123" s="43">
        <v>0.5</v>
      </c>
      <c r="AG123" s="35"/>
      <c r="AH123" s="35"/>
      <c r="AI123" s="34"/>
      <c r="AJ123" s="29"/>
      <c r="AK123" s="29"/>
      <c r="AL123" s="25"/>
      <c r="AM123" s="25"/>
    </row>
    <row r="124" spans="1:39" ht="19.5" thickBot="1" x14ac:dyDescent="0.25">
      <c r="AC124" t="s">
        <v>498</v>
      </c>
      <c r="AD124" s="30"/>
      <c r="AE124" s="30"/>
      <c r="AG124" s="35"/>
      <c r="AH124" s="35"/>
      <c r="AI124" s="34"/>
      <c r="AJ124" s="29"/>
      <c r="AK124" s="29"/>
      <c r="AL124" s="25"/>
      <c r="AM124" s="25"/>
    </row>
    <row r="125" spans="1:39" ht="19.5" thickBot="1" x14ac:dyDescent="0.25">
      <c r="AC125" t="s">
        <v>498</v>
      </c>
      <c r="AD125" s="30"/>
      <c r="AE125" s="30"/>
      <c r="AG125" s="35"/>
      <c r="AH125" s="35"/>
      <c r="AI125" s="34"/>
      <c r="AJ125" s="29"/>
      <c r="AK125" s="29"/>
      <c r="AL125" s="25"/>
      <c r="AM125" s="25"/>
    </row>
    <row r="126" spans="1:39" ht="36.75" thickBot="1" x14ac:dyDescent="0.25">
      <c r="A126" s="18" t="s">
        <v>192</v>
      </c>
      <c r="B126" s="18" t="s">
        <v>191</v>
      </c>
      <c r="C126" s="21" t="s">
        <v>188</v>
      </c>
      <c r="D126" s="20" t="s">
        <v>187</v>
      </c>
      <c r="E126" s="20" t="s">
        <v>186</v>
      </c>
      <c r="F126" s="20" t="s">
        <v>185</v>
      </c>
      <c r="G126" s="20" t="s">
        <v>184</v>
      </c>
      <c r="H126" s="31" t="s">
        <v>183</v>
      </c>
      <c r="I126" s="31" t="s">
        <v>182</v>
      </c>
      <c r="J126" s="20" t="s">
        <v>874</v>
      </c>
      <c r="K126" s="31" t="s">
        <v>178</v>
      </c>
      <c r="L126" s="31" t="s">
        <v>177</v>
      </c>
      <c r="M126" s="18" t="s">
        <v>176</v>
      </c>
      <c r="N126" s="18" t="s">
        <v>175</v>
      </c>
      <c r="O126" s="18"/>
      <c r="P126" s="18"/>
      <c r="Q126" s="18"/>
      <c r="R126" s="18"/>
      <c r="S126" s="18"/>
      <c r="T126" s="17" t="s">
        <v>167</v>
      </c>
      <c r="U126" s="16" t="s">
        <v>174</v>
      </c>
      <c r="V126" s="16" t="s">
        <v>173</v>
      </c>
      <c r="W126" s="16" t="s">
        <v>172</v>
      </c>
      <c r="X126" s="17" t="s">
        <v>171</v>
      </c>
      <c r="Y126" s="16" t="s">
        <v>170</v>
      </c>
      <c r="AG126" s="35"/>
      <c r="AH126" s="35"/>
      <c r="AI126" s="34"/>
      <c r="AJ126" s="29"/>
      <c r="AK126" s="29"/>
      <c r="AL126" s="25"/>
      <c r="AM126" s="25"/>
    </row>
    <row r="127" spans="1:39" ht="19.5" thickBot="1" x14ac:dyDescent="0.25">
      <c r="A127" t="s">
        <v>1228</v>
      </c>
      <c r="B127" t="s">
        <v>1237</v>
      </c>
      <c r="C127" t="s">
        <v>1228</v>
      </c>
      <c r="D127" s="29">
        <v>0.95</v>
      </c>
      <c r="E127" s="29">
        <v>0</v>
      </c>
      <c r="F127" s="29">
        <v>0</v>
      </c>
      <c r="G127" s="29">
        <v>0.9</v>
      </c>
      <c r="H127" s="29">
        <v>0.6</v>
      </c>
      <c r="I127" s="29" t="s">
        <v>1243</v>
      </c>
      <c r="J127">
        <v>0.1</v>
      </c>
      <c r="K127" s="29">
        <v>0.1</v>
      </c>
      <c r="L127" s="29">
        <v>1.25</v>
      </c>
      <c r="M127" s="29">
        <v>0</v>
      </c>
      <c r="N127" s="29">
        <v>-0.05</v>
      </c>
      <c r="O127" s="29"/>
      <c r="P127" s="29"/>
      <c r="Q127" s="29"/>
      <c r="R127" s="29"/>
      <c r="S127" s="29"/>
      <c r="T127" s="29" t="s">
        <v>1243</v>
      </c>
      <c r="U127" s="29" t="s">
        <v>1243</v>
      </c>
      <c r="V127" s="29" t="s">
        <v>1243</v>
      </c>
      <c r="W127" s="29" t="s">
        <v>1243</v>
      </c>
      <c r="X127" s="33">
        <v>2</v>
      </c>
      <c r="Y127" t="s">
        <v>1229</v>
      </c>
      <c r="AE127" s="30">
        <f t="shared" ref="AE127:AE132" si="13">SUM(E127:H127)</f>
        <v>1.5</v>
      </c>
      <c r="AG127" s="35"/>
      <c r="AH127" s="35"/>
      <c r="AI127" s="34"/>
      <c r="AJ127" s="29"/>
      <c r="AK127" s="29"/>
      <c r="AL127" s="25"/>
      <c r="AM127" s="25"/>
    </row>
    <row r="128" spans="1:39" ht="19.5" thickBot="1" x14ac:dyDescent="0.25">
      <c r="A128" t="s">
        <v>1230</v>
      </c>
      <c r="B128" t="s">
        <v>1238</v>
      </c>
      <c r="C128" t="s">
        <v>1230</v>
      </c>
      <c r="D128" s="29">
        <v>1.05</v>
      </c>
      <c r="E128" s="29">
        <v>0</v>
      </c>
      <c r="F128" s="29">
        <v>0.8</v>
      </c>
      <c r="G128" s="29">
        <v>0.2</v>
      </c>
      <c r="H128" s="29">
        <v>0.5</v>
      </c>
      <c r="I128" s="29" t="s">
        <v>1243</v>
      </c>
      <c r="J128">
        <v>7.0000000000000007E-2</v>
      </c>
      <c r="K128" s="29">
        <v>0.1</v>
      </c>
      <c r="L128" s="29">
        <v>1.5</v>
      </c>
      <c r="M128" s="29">
        <v>-0.03</v>
      </c>
      <c r="N128" s="29">
        <v>-0.03</v>
      </c>
      <c r="O128" s="29"/>
      <c r="P128" s="29"/>
      <c r="Q128" s="29"/>
      <c r="R128" s="29"/>
      <c r="S128" s="29"/>
      <c r="T128" s="29" t="s">
        <v>1243</v>
      </c>
      <c r="U128" s="29" t="s">
        <v>1243</v>
      </c>
      <c r="V128" s="29" t="s">
        <v>1243</v>
      </c>
      <c r="W128" s="29" t="s">
        <v>1243</v>
      </c>
      <c r="X128" s="33">
        <v>1</v>
      </c>
      <c r="Y128" t="s">
        <v>1231</v>
      </c>
      <c r="AE128" s="30">
        <f t="shared" si="13"/>
        <v>1.5</v>
      </c>
      <c r="AG128" s="35"/>
      <c r="AH128" s="35"/>
      <c r="AI128" s="34"/>
      <c r="AJ128" s="29"/>
      <c r="AK128" s="29"/>
      <c r="AL128" s="25"/>
      <c r="AM128" s="25"/>
    </row>
    <row r="129" spans="1:39" ht="19.5" thickBot="1" x14ac:dyDescent="0.25">
      <c r="A129" t="s">
        <v>1232</v>
      </c>
      <c r="B129" t="s">
        <v>1239</v>
      </c>
      <c r="C129" t="s">
        <v>1232</v>
      </c>
      <c r="D129" s="29">
        <v>1</v>
      </c>
      <c r="E129" s="29">
        <v>0.4</v>
      </c>
      <c r="F129" s="29">
        <v>0.4</v>
      </c>
      <c r="G129" s="29">
        <v>0.1</v>
      </c>
      <c r="H129" s="29">
        <v>0.4</v>
      </c>
      <c r="I129" s="29" t="s">
        <v>1243</v>
      </c>
      <c r="J129">
        <v>7.0000000000000007E-2</v>
      </c>
      <c r="K129" s="29">
        <v>0.2</v>
      </c>
      <c r="L129" s="29">
        <v>1.4</v>
      </c>
      <c r="M129" s="29">
        <v>-0.03</v>
      </c>
      <c r="N129" s="29">
        <v>-0.03</v>
      </c>
      <c r="O129" s="29"/>
      <c r="P129" s="29"/>
      <c r="Q129" s="29"/>
      <c r="R129" s="29"/>
      <c r="S129" s="29"/>
      <c r="T129" s="29" t="s">
        <v>1243</v>
      </c>
      <c r="U129" s="29" t="s">
        <v>1243</v>
      </c>
      <c r="V129" s="29" t="s">
        <v>1243</v>
      </c>
      <c r="W129" s="29" t="s">
        <v>1243</v>
      </c>
      <c r="X129" s="33">
        <v>1</v>
      </c>
      <c r="Y129" t="s">
        <v>1231</v>
      </c>
      <c r="AE129" s="30">
        <f t="shared" si="13"/>
        <v>1.3</v>
      </c>
      <c r="AG129" s="35"/>
      <c r="AH129" s="35"/>
      <c r="AI129" s="34"/>
      <c r="AJ129" s="29"/>
      <c r="AK129" s="29"/>
      <c r="AL129" s="25"/>
      <c r="AM129" s="25"/>
    </row>
    <row r="130" spans="1:39" ht="19.5" thickBot="1" x14ac:dyDescent="0.25">
      <c r="A130" t="s">
        <v>1233</v>
      </c>
      <c r="B130" t="s">
        <v>1240</v>
      </c>
      <c r="C130" t="s">
        <v>1233</v>
      </c>
      <c r="D130" s="29">
        <v>1</v>
      </c>
      <c r="E130" s="29">
        <v>0.5</v>
      </c>
      <c r="F130" s="29">
        <v>0.3</v>
      </c>
      <c r="G130" s="29">
        <v>0.2</v>
      </c>
      <c r="H130" s="29">
        <v>0.65</v>
      </c>
      <c r="I130" s="29" t="s">
        <v>1243</v>
      </c>
      <c r="J130">
        <v>0.1</v>
      </c>
      <c r="K130" s="29">
        <v>0.15</v>
      </c>
      <c r="L130" s="29">
        <v>1.4</v>
      </c>
      <c r="M130" s="29">
        <v>0</v>
      </c>
      <c r="N130" s="29">
        <v>-0.05</v>
      </c>
      <c r="O130" s="29"/>
      <c r="P130" s="29"/>
      <c r="Q130" s="29"/>
      <c r="R130" s="29"/>
      <c r="S130" s="29"/>
      <c r="T130" s="29" t="s">
        <v>1243</v>
      </c>
      <c r="U130" s="29" t="s">
        <v>1243</v>
      </c>
      <c r="V130" s="29" t="s">
        <v>1243</v>
      </c>
      <c r="W130" s="29" t="s">
        <v>1243</v>
      </c>
      <c r="X130" s="33">
        <v>2</v>
      </c>
      <c r="Y130" t="s">
        <v>1229</v>
      </c>
      <c r="AE130" s="30">
        <f t="shared" si="13"/>
        <v>1.65</v>
      </c>
      <c r="AL130" s="25"/>
      <c r="AM130" s="25"/>
    </row>
    <row r="131" spans="1:39" ht="19.5" thickBot="1" x14ac:dyDescent="0.25">
      <c r="A131" t="s">
        <v>1234</v>
      </c>
      <c r="B131" t="s">
        <v>1241</v>
      </c>
      <c r="C131" t="s">
        <v>1234</v>
      </c>
      <c r="D131" s="29">
        <v>0.85</v>
      </c>
      <c r="E131" s="29">
        <v>0</v>
      </c>
      <c r="F131" s="29">
        <v>0</v>
      </c>
      <c r="G131" s="29">
        <v>0.55000000000000004</v>
      </c>
      <c r="H131" s="29">
        <v>0.4</v>
      </c>
      <c r="I131" s="29" t="s">
        <v>1243</v>
      </c>
      <c r="J131">
        <v>0.05</v>
      </c>
      <c r="K131" s="29">
        <v>0.05</v>
      </c>
      <c r="L131" s="29">
        <v>1.2</v>
      </c>
      <c r="M131" s="29">
        <v>-0.01</v>
      </c>
      <c r="N131" s="29">
        <v>0</v>
      </c>
      <c r="O131" s="29"/>
      <c r="P131" s="29"/>
      <c r="Q131" s="29"/>
      <c r="R131" s="29"/>
      <c r="S131" s="29"/>
      <c r="T131" s="29" t="s">
        <v>1243</v>
      </c>
      <c r="U131" s="29" t="s">
        <v>1243</v>
      </c>
      <c r="V131" s="29" t="s">
        <v>1243</v>
      </c>
      <c r="W131" s="29" t="s">
        <v>1243</v>
      </c>
      <c r="X131" s="33">
        <v>2</v>
      </c>
      <c r="Y131" t="s">
        <v>1235</v>
      </c>
      <c r="AE131" s="30">
        <f t="shared" si="13"/>
        <v>0.95000000000000007</v>
      </c>
      <c r="AL131" s="25"/>
      <c r="AM131" s="25"/>
    </row>
    <row r="132" spans="1:39" ht="19.5" thickBot="1" x14ac:dyDescent="0.25">
      <c r="A132" t="s">
        <v>1236</v>
      </c>
      <c r="B132" t="s">
        <v>1242</v>
      </c>
      <c r="C132" t="s">
        <v>1236</v>
      </c>
      <c r="D132" s="29">
        <v>0.95</v>
      </c>
      <c r="E132" s="29">
        <v>0</v>
      </c>
      <c r="F132" s="29">
        <v>0</v>
      </c>
      <c r="G132" s="29">
        <v>0.9</v>
      </c>
      <c r="H132" s="29">
        <v>0.35</v>
      </c>
      <c r="I132" s="29" t="s">
        <v>1243</v>
      </c>
      <c r="J132">
        <v>0.05</v>
      </c>
      <c r="K132" s="29">
        <v>0.1</v>
      </c>
      <c r="L132" s="29">
        <v>1.3</v>
      </c>
      <c r="M132" s="29">
        <v>-0.05</v>
      </c>
      <c r="N132" s="29">
        <v>-0.05</v>
      </c>
      <c r="O132" s="29"/>
      <c r="P132" s="29"/>
      <c r="Q132" s="29"/>
      <c r="R132" s="29"/>
      <c r="S132" s="29"/>
      <c r="T132" s="29" t="s">
        <v>1243</v>
      </c>
      <c r="U132" s="29" t="s">
        <v>1243</v>
      </c>
      <c r="V132" s="29" t="s">
        <v>1243</v>
      </c>
      <c r="W132" s="29" t="s">
        <v>1243</v>
      </c>
      <c r="X132" s="33">
        <v>1</v>
      </c>
      <c r="Y132" t="s">
        <v>1235</v>
      </c>
      <c r="AE132" s="30">
        <f t="shared" si="13"/>
        <v>1.25</v>
      </c>
      <c r="AL132" s="25"/>
      <c r="AM132" s="25"/>
    </row>
    <row r="133" spans="1:39" ht="19.5" thickBot="1" x14ac:dyDescent="0.25">
      <c r="AL133" s="25"/>
      <c r="AM133" s="25"/>
    </row>
    <row r="134" spans="1:39" ht="19.5" thickBot="1" x14ac:dyDescent="0.25">
      <c r="AL134" s="25"/>
      <c r="AM134" s="25"/>
    </row>
    <row r="135" spans="1:39" ht="19.5" thickBot="1" x14ac:dyDescent="0.25">
      <c r="AL135" s="25"/>
      <c r="AM135" s="25"/>
    </row>
    <row r="136" spans="1:39" ht="19.5" thickBot="1" x14ac:dyDescent="0.25">
      <c r="AL136" s="25"/>
      <c r="AM136" s="25"/>
    </row>
    <row r="137" spans="1:39" ht="19.5" thickBot="1" x14ac:dyDescent="0.25">
      <c r="AL137" s="25"/>
      <c r="AM137" s="25"/>
    </row>
    <row r="138" spans="1:39" ht="19.5" thickBot="1" x14ac:dyDescent="0.25">
      <c r="AL138" s="25"/>
      <c r="AM138" s="25"/>
    </row>
    <row r="139" spans="1:39" ht="19.5" thickBot="1" x14ac:dyDescent="0.25">
      <c r="AL139" s="25"/>
      <c r="AM139" s="25"/>
    </row>
    <row r="140" spans="1:39" ht="19.5" thickBot="1" x14ac:dyDescent="0.25">
      <c r="AL140" s="25"/>
      <c r="AM140" s="25"/>
    </row>
    <row r="141" spans="1:39" ht="19.5" thickBot="1" x14ac:dyDescent="0.25">
      <c r="AL141" s="25"/>
      <c r="AM141" s="25"/>
    </row>
    <row r="142" spans="1:39" ht="19.5" thickBot="1" x14ac:dyDescent="0.25">
      <c r="AL142" s="25"/>
      <c r="AM142" s="25"/>
    </row>
    <row r="143" spans="1:39" ht="19.5" thickBot="1" x14ac:dyDescent="0.25">
      <c r="AL143" s="25"/>
      <c r="AM143" s="25"/>
    </row>
    <row r="144" spans="1:39" ht="19.5" thickBot="1" x14ac:dyDescent="0.25">
      <c r="AL144" s="25"/>
      <c r="AM144" s="25"/>
    </row>
    <row r="145" spans="38:39" ht="19.5" thickBot="1" x14ac:dyDescent="0.25">
      <c r="AL145" s="25"/>
      <c r="AM145" s="25"/>
    </row>
    <row r="146" spans="38:39" ht="19.5" thickBot="1" x14ac:dyDescent="0.25">
      <c r="AL146" s="25"/>
      <c r="AM146" s="25"/>
    </row>
    <row r="147" spans="38:39" ht="19.5" thickBot="1" x14ac:dyDescent="0.25">
      <c r="AL147" s="25"/>
      <c r="AM147" s="25"/>
    </row>
    <row r="148" spans="38:39" ht="19.5" thickBot="1" x14ac:dyDescent="0.25">
      <c r="AL148" s="25"/>
      <c r="AM148" s="25"/>
    </row>
    <row r="149" spans="38:39" ht="19.5" thickBot="1" x14ac:dyDescent="0.25">
      <c r="AL149" s="25"/>
      <c r="AM149" s="25"/>
    </row>
    <row r="150" spans="38:39" ht="19.5" thickBot="1" x14ac:dyDescent="0.25">
      <c r="AL150" s="25"/>
      <c r="AM150" s="25"/>
    </row>
    <row r="151" spans="38:39" ht="19.5" thickBot="1" x14ac:dyDescent="0.25">
      <c r="AL151" s="25"/>
      <c r="AM151" s="25"/>
    </row>
    <row r="152" spans="38:39" ht="19.5" thickBot="1" x14ac:dyDescent="0.25">
      <c r="AL152" s="25"/>
      <c r="AM152" s="25"/>
    </row>
    <row r="153" spans="38:39" ht="19.5" thickBot="1" x14ac:dyDescent="0.25">
      <c r="AL153" s="25"/>
      <c r="AM153" s="25"/>
    </row>
    <row r="154" spans="38:39" ht="19.5" thickBot="1" x14ac:dyDescent="0.25">
      <c r="AL154" s="25"/>
      <c r="AM154" s="25"/>
    </row>
    <row r="155" spans="38:39" ht="19.5" thickBot="1" x14ac:dyDescent="0.25">
      <c r="AL155" s="25"/>
      <c r="AM155" s="25"/>
    </row>
    <row r="156" spans="38:39" ht="19.5" thickBot="1" x14ac:dyDescent="0.25">
      <c r="AL156" s="25"/>
      <c r="AM156" s="25"/>
    </row>
    <row r="157" spans="38:39" ht="19.5" thickBot="1" x14ac:dyDescent="0.25">
      <c r="AL157" s="25"/>
      <c r="AM157" s="25"/>
    </row>
    <row r="158" spans="38:39" ht="19.5" thickBot="1" x14ac:dyDescent="0.25">
      <c r="AL158" s="25"/>
      <c r="AM158" s="25"/>
    </row>
    <row r="159" spans="38:39" ht="19.5" thickBot="1" x14ac:dyDescent="0.25">
      <c r="AL159" s="25"/>
      <c r="AM159" s="25"/>
    </row>
    <row r="160" spans="38:39" ht="19.5" thickBot="1" x14ac:dyDescent="0.25">
      <c r="AL160" s="25"/>
      <c r="AM160" s="25"/>
    </row>
    <row r="161" spans="38:39" ht="19.5" thickBot="1" x14ac:dyDescent="0.25">
      <c r="AL161" s="25"/>
      <c r="AM161" s="25"/>
    </row>
    <row r="162" spans="38:39" ht="19.5" thickBot="1" x14ac:dyDescent="0.25">
      <c r="AL162" s="25"/>
      <c r="AM162" s="25"/>
    </row>
    <row r="163" spans="38:39" ht="19.5" thickBot="1" x14ac:dyDescent="0.25">
      <c r="AL163" s="25"/>
      <c r="AM163" s="25"/>
    </row>
    <row r="164" spans="38:39" ht="19.5" thickBot="1" x14ac:dyDescent="0.25">
      <c r="AL164" s="25"/>
      <c r="AM164" s="25"/>
    </row>
    <row r="165" spans="38:39" ht="19.5" thickBot="1" x14ac:dyDescent="0.25">
      <c r="AL165" s="25"/>
      <c r="AM165" s="25"/>
    </row>
    <row r="166" spans="38:39" ht="19.5" thickBot="1" x14ac:dyDescent="0.25">
      <c r="AL166" s="25"/>
      <c r="AM166" s="25"/>
    </row>
    <row r="167" spans="38:39" ht="19.5" thickBot="1" x14ac:dyDescent="0.25">
      <c r="AL167" s="25"/>
      <c r="AM167" s="25"/>
    </row>
    <row r="168" spans="38:39" ht="19.5" thickBot="1" x14ac:dyDescent="0.25">
      <c r="AL168" s="25"/>
      <c r="AM168" s="25"/>
    </row>
    <row r="169" spans="38:39" ht="19.5" thickBot="1" x14ac:dyDescent="0.25">
      <c r="AL169" s="25"/>
      <c r="AM169" s="25"/>
    </row>
    <row r="170" spans="38:39" ht="19.5" thickBot="1" x14ac:dyDescent="0.25">
      <c r="AL170" s="25"/>
      <c r="AM170" s="25"/>
    </row>
    <row r="171" spans="38:39" ht="19.5" thickBot="1" x14ac:dyDescent="0.25">
      <c r="AL171" s="25"/>
      <c r="AM171" s="25"/>
    </row>
    <row r="172" spans="38:39" ht="19.5" thickBot="1" x14ac:dyDescent="0.25">
      <c r="AL172" s="25"/>
      <c r="AM172" s="25"/>
    </row>
    <row r="173" spans="38:39" ht="19.5" thickBot="1" x14ac:dyDescent="0.25">
      <c r="AL173" s="25"/>
      <c r="AM173" s="25"/>
    </row>
    <row r="174" spans="38:39" ht="19.5" thickBot="1" x14ac:dyDescent="0.25">
      <c r="AL174" s="25"/>
      <c r="AM174" s="25"/>
    </row>
    <row r="175" spans="38:39" ht="19.5" thickBot="1" x14ac:dyDescent="0.25">
      <c r="AL175" s="25"/>
      <c r="AM175" s="25"/>
    </row>
    <row r="176" spans="38:39" ht="19.5" thickBot="1" x14ac:dyDescent="0.25">
      <c r="AL176" s="25"/>
      <c r="AM176" s="25"/>
    </row>
    <row r="177" spans="38:39" ht="19.5" thickBot="1" x14ac:dyDescent="0.25">
      <c r="AL177" s="25"/>
      <c r="AM177" s="25"/>
    </row>
    <row r="178" spans="38:39" ht="19.5" thickBot="1" x14ac:dyDescent="0.25">
      <c r="AL178" s="25"/>
      <c r="AM178" s="25"/>
    </row>
    <row r="179" spans="38:39" ht="19.5" thickBot="1" x14ac:dyDescent="0.25">
      <c r="AL179" s="25"/>
      <c r="AM179" s="25"/>
    </row>
    <row r="180" spans="38:39" ht="19.5" thickBot="1" x14ac:dyDescent="0.25">
      <c r="AL180" s="25"/>
      <c r="AM180" s="25"/>
    </row>
    <row r="181" spans="38:39" ht="19.5" thickBot="1" x14ac:dyDescent="0.25">
      <c r="AL181" s="25"/>
      <c r="AM181" s="25"/>
    </row>
    <row r="182" spans="38:39" ht="19.5" thickBot="1" x14ac:dyDescent="0.25">
      <c r="AL182" s="25"/>
      <c r="AM182" s="25"/>
    </row>
    <row r="183" spans="38:39" ht="19.5" thickBot="1" x14ac:dyDescent="0.25">
      <c r="AL183" s="25"/>
      <c r="AM183" s="25"/>
    </row>
    <row r="184" spans="38:39" ht="19.5" thickBot="1" x14ac:dyDescent="0.25">
      <c r="AL184" s="25"/>
      <c r="AM184" s="25"/>
    </row>
    <row r="185" spans="38:39" ht="19.5" thickBot="1" x14ac:dyDescent="0.25">
      <c r="AL185" s="25"/>
      <c r="AM185" s="25"/>
    </row>
    <row r="186" spans="38:39" ht="19.5" thickBot="1" x14ac:dyDescent="0.25">
      <c r="AL186" s="25"/>
      <c r="AM186" s="25"/>
    </row>
    <row r="187" spans="38:39" ht="19.5" thickBot="1" x14ac:dyDescent="0.25">
      <c r="AL187" s="25"/>
      <c r="AM187" s="25"/>
    </row>
    <row r="188" spans="38:39" ht="19.5" thickBot="1" x14ac:dyDescent="0.25">
      <c r="AL188" s="25"/>
      <c r="AM188" s="25"/>
    </row>
    <row r="189" spans="38:39" ht="19.5" thickBot="1" x14ac:dyDescent="0.25">
      <c r="AL189" s="25"/>
      <c r="AM189" s="25"/>
    </row>
    <row r="190" spans="38:39" ht="19.5" thickBot="1" x14ac:dyDescent="0.25">
      <c r="AL190" s="25"/>
      <c r="AM190" s="25"/>
    </row>
    <row r="191" spans="38:39" ht="19.5" thickBot="1" x14ac:dyDescent="0.25">
      <c r="AL191" s="25"/>
      <c r="AM191" s="25"/>
    </row>
    <row r="192" spans="38:39" ht="19.5" thickBot="1" x14ac:dyDescent="0.25">
      <c r="AL192" s="25"/>
      <c r="AM192" s="25"/>
    </row>
    <row r="193" spans="38:39" ht="19.5" thickBot="1" x14ac:dyDescent="0.25">
      <c r="AL193" s="25"/>
      <c r="AM193" s="25"/>
    </row>
    <row r="194" spans="38:39" ht="19.5" thickBot="1" x14ac:dyDescent="0.25">
      <c r="AL194" s="25"/>
      <c r="AM194" s="25"/>
    </row>
    <row r="195" spans="38:39" ht="19.5" thickBot="1" x14ac:dyDescent="0.25">
      <c r="AL195" s="25"/>
      <c r="AM195" s="25"/>
    </row>
    <row r="196" spans="38:39" ht="19.5" thickBot="1" x14ac:dyDescent="0.25">
      <c r="AL196" s="25"/>
      <c r="AM196" s="25"/>
    </row>
    <row r="197" spans="38:39" ht="19.5" thickBot="1" x14ac:dyDescent="0.25">
      <c r="AL197" s="25"/>
      <c r="AM197" s="25"/>
    </row>
    <row r="198" spans="38:39" ht="19.5" thickBot="1" x14ac:dyDescent="0.25">
      <c r="AL198" s="25"/>
      <c r="AM198" s="25"/>
    </row>
    <row r="199" spans="38:39" ht="19.5" thickBot="1" x14ac:dyDescent="0.25">
      <c r="AL199" s="25"/>
      <c r="AM199" s="25"/>
    </row>
    <row r="200" spans="38:39" ht="19.5" thickBot="1" x14ac:dyDescent="0.25">
      <c r="AL200" s="25"/>
      <c r="AM200" s="25"/>
    </row>
    <row r="201" spans="38:39" ht="19.5" thickBot="1" x14ac:dyDescent="0.25">
      <c r="AL201" s="25"/>
      <c r="AM201" s="25"/>
    </row>
    <row r="202" spans="38:39" ht="19.5" thickBot="1" x14ac:dyDescent="0.25">
      <c r="AL202" s="25"/>
      <c r="AM202" s="25"/>
    </row>
    <row r="203" spans="38:39" ht="19.5" thickBot="1" x14ac:dyDescent="0.25">
      <c r="AL203" s="25"/>
      <c r="AM203" s="25"/>
    </row>
    <row r="204" spans="38:39" ht="19.5" thickBot="1" x14ac:dyDescent="0.25">
      <c r="AL204" s="25"/>
      <c r="AM204" s="25"/>
    </row>
    <row r="205" spans="38:39" ht="19.5" thickBot="1" x14ac:dyDescent="0.25">
      <c r="AL205" s="25"/>
      <c r="AM205" s="25"/>
    </row>
    <row r="206" spans="38:39" ht="19.5" thickBot="1" x14ac:dyDescent="0.25">
      <c r="AL206" s="25"/>
      <c r="AM206" s="25"/>
    </row>
    <row r="207" spans="38:39" ht="19.5" thickBot="1" x14ac:dyDescent="0.25">
      <c r="AL207" s="25"/>
      <c r="AM207" s="25"/>
    </row>
    <row r="208" spans="38:39" ht="19.5" thickBot="1" x14ac:dyDescent="0.25">
      <c r="AL208" s="25"/>
      <c r="AM208" s="25"/>
    </row>
    <row r="209" spans="38:39" ht="19.5" thickBot="1" x14ac:dyDescent="0.25">
      <c r="AL209" s="25"/>
      <c r="AM209" s="25"/>
    </row>
    <row r="210" spans="38:39" ht="19.5" thickBot="1" x14ac:dyDescent="0.25">
      <c r="AL210" s="25"/>
      <c r="AM210" s="25"/>
    </row>
    <row r="211" spans="38:39" ht="19.5" thickBot="1" x14ac:dyDescent="0.25">
      <c r="AL211" s="25"/>
      <c r="AM211" s="25"/>
    </row>
    <row r="212" spans="38:39" ht="19.5" thickBot="1" x14ac:dyDescent="0.25">
      <c r="AL212" s="25"/>
      <c r="AM212" s="25"/>
    </row>
    <row r="213" spans="38:39" ht="19.5" thickBot="1" x14ac:dyDescent="0.25">
      <c r="AL213" s="25"/>
      <c r="AM213" s="25"/>
    </row>
    <row r="214" spans="38:39" ht="19.5" thickBot="1" x14ac:dyDescent="0.25">
      <c r="AL214" s="25"/>
      <c r="AM214" s="25"/>
    </row>
    <row r="215" spans="38:39" ht="19.5" thickBot="1" x14ac:dyDescent="0.25">
      <c r="AL215" s="25"/>
      <c r="AM215" s="25"/>
    </row>
    <row r="216" spans="38:39" ht="19.5" thickBot="1" x14ac:dyDescent="0.25">
      <c r="AL216" s="25"/>
      <c r="AM216" s="25"/>
    </row>
    <row r="217" spans="38:39" ht="19.5" thickBot="1" x14ac:dyDescent="0.25">
      <c r="AL217" s="25"/>
      <c r="AM217" s="25"/>
    </row>
    <row r="218" spans="38:39" ht="19.5" thickBot="1" x14ac:dyDescent="0.25">
      <c r="AL218" s="25"/>
      <c r="AM218" s="25"/>
    </row>
    <row r="219" spans="38:39" ht="19.5" thickBot="1" x14ac:dyDescent="0.25">
      <c r="AL219" s="25"/>
      <c r="AM219" s="25"/>
    </row>
    <row r="220" spans="38:39" ht="19.5" thickBot="1" x14ac:dyDescent="0.25">
      <c r="AL220" s="25"/>
      <c r="AM220" s="25"/>
    </row>
    <row r="221" spans="38:39" ht="19.5" thickBot="1" x14ac:dyDescent="0.25">
      <c r="AL221" s="25"/>
      <c r="AM221" s="25"/>
    </row>
    <row r="222" spans="38:39" ht="19.5" thickBot="1" x14ac:dyDescent="0.25">
      <c r="AL222" s="25"/>
      <c r="AM222" s="25"/>
    </row>
    <row r="223" spans="38:39" ht="19.5" thickBot="1" x14ac:dyDescent="0.25">
      <c r="AL223" s="25"/>
      <c r="AM223" s="25"/>
    </row>
    <row r="224" spans="38:39" ht="19.5" thickBot="1" x14ac:dyDescent="0.25">
      <c r="AL224" s="25"/>
      <c r="AM224" s="25"/>
    </row>
    <row r="225" spans="38:39" ht="19.5" thickBot="1" x14ac:dyDescent="0.25">
      <c r="AL225" s="25"/>
      <c r="AM225" s="25"/>
    </row>
    <row r="226" spans="38:39" ht="19.5" thickBot="1" x14ac:dyDescent="0.25">
      <c r="AL226" s="25"/>
      <c r="AM226" s="25"/>
    </row>
    <row r="227" spans="38:39" ht="19.5" thickBot="1" x14ac:dyDescent="0.25">
      <c r="AL227" s="25"/>
      <c r="AM227" s="25"/>
    </row>
    <row r="228" spans="38:39" ht="19.5" thickBot="1" x14ac:dyDescent="0.25">
      <c r="AL228" s="25"/>
      <c r="AM228" s="25"/>
    </row>
    <row r="229" spans="38:39" ht="19.5" thickBot="1" x14ac:dyDescent="0.25">
      <c r="AL229" s="25"/>
      <c r="AM229" s="25"/>
    </row>
    <row r="230" spans="38:39" ht="19.5" thickBot="1" x14ac:dyDescent="0.25">
      <c r="AL230" s="25"/>
      <c r="AM230" s="25"/>
    </row>
    <row r="231" spans="38:39" ht="19.5" thickBot="1" x14ac:dyDescent="0.25">
      <c r="AL231" s="25"/>
      <c r="AM231" s="25"/>
    </row>
    <row r="232" spans="38:39" ht="19.5" thickBot="1" x14ac:dyDescent="0.25">
      <c r="AL232" s="25"/>
      <c r="AM232" s="25"/>
    </row>
    <row r="233" spans="38:39" ht="19.5" thickBot="1" x14ac:dyDescent="0.25">
      <c r="AL233" s="25"/>
      <c r="AM233" s="25"/>
    </row>
    <row r="234" spans="38:39" ht="19.5" thickBot="1" x14ac:dyDescent="0.25">
      <c r="AL234" s="25"/>
      <c r="AM234" s="25"/>
    </row>
    <row r="235" spans="38:39" ht="19.5" thickBot="1" x14ac:dyDescent="0.25">
      <c r="AL235" s="25"/>
      <c r="AM235" s="25"/>
    </row>
    <row r="236" spans="38:39" ht="19.5" thickBot="1" x14ac:dyDescent="0.25">
      <c r="AL236" s="25"/>
      <c r="AM236" s="25"/>
    </row>
    <row r="237" spans="38:39" ht="19.5" thickBot="1" x14ac:dyDescent="0.25">
      <c r="AL237" s="25"/>
      <c r="AM237" s="25"/>
    </row>
    <row r="238" spans="38:39" ht="19.5" thickBot="1" x14ac:dyDescent="0.25">
      <c r="AL238" s="25"/>
      <c r="AM238" s="25"/>
    </row>
    <row r="239" spans="38:39" ht="19.5" thickBot="1" x14ac:dyDescent="0.25">
      <c r="AL239" s="25"/>
      <c r="AM239" s="25"/>
    </row>
    <row r="240" spans="38:39" ht="19.5" thickBot="1" x14ac:dyDescent="0.25">
      <c r="AL240" s="25"/>
      <c r="AM240" s="25"/>
    </row>
    <row r="241" spans="6:39" ht="19.5" thickBot="1" x14ac:dyDescent="0.25">
      <c r="AL241" s="25"/>
      <c r="AM241" s="25"/>
    </row>
    <row r="242" spans="6:39" ht="19.5" thickBot="1" x14ac:dyDescent="0.25">
      <c r="AL242" s="25"/>
      <c r="AM242" s="25"/>
    </row>
    <row r="243" spans="6:39" ht="19.5" thickBot="1" x14ac:dyDescent="0.25">
      <c r="AL243" s="25"/>
      <c r="AM243" s="25"/>
    </row>
    <row r="244" spans="6:39" ht="19.5" thickBot="1" x14ac:dyDescent="0.25">
      <c r="F244">
        <v>0.2</v>
      </c>
      <c r="AL244" s="25"/>
      <c r="AM244" s="25"/>
    </row>
    <row r="245" spans="6:39" ht="19.5" thickBot="1" x14ac:dyDescent="0.25">
      <c r="F245">
        <v>0.5</v>
      </c>
      <c r="AL245" s="25"/>
      <c r="AM245" s="25"/>
    </row>
    <row r="246" spans="6:39" ht="19.5" thickBot="1" x14ac:dyDescent="0.25">
      <c r="F246">
        <v>0.8</v>
      </c>
      <c r="AL246" s="25"/>
      <c r="AM246" s="25"/>
    </row>
    <row r="247" spans="6:39" ht="19.5" thickBot="1" x14ac:dyDescent="0.25">
      <c r="AL247" s="25"/>
      <c r="AM247" s="25"/>
    </row>
    <row r="248" spans="6:39" ht="19.5" thickBot="1" x14ac:dyDescent="0.25">
      <c r="AL248" s="25"/>
      <c r="AM248" s="25"/>
    </row>
    <row r="249" spans="6:39" ht="19.5" thickBot="1" x14ac:dyDescent="0.25">
      <c r="F249">
        <v>0.25</v>
      </c>
      <c r="AL249" s="25"/>
      <c r="AM249" s="25"/>
    </row>
    <row r="250" spans="6:39" ht="19.5" thickBot="1" x14ac:dyDescent="0.25">
      <c r="F250">
        <v>0.55000000000000004</v>
      </c>
      <c r="AL250" s="25"/>
      <c r="AM250" s="25"/>
    </row>
    <row r="251" spans="6:39" ht="19.5" thickBot="1" x14ac:dyDescent="0.25">
      <c r="F251">
        <v>0.85</v>
      </c>
      <c r="AL251" s="25"/>
      <c r="AM251" s="25"/>
    </row>
    <row r="252" spans="6:39" ht="19.5" thickBot="1" x14ac:dyDescent="0.25">
      <c r="AL252" s="25"/>
      <c r="AM252" s="25"/>
    </row>
    <row r="253" spans="6:39" ht="19.5" thickBot="1" x14ac:dyDescent="0.25">
      <c r="AL253" s="25"/>
      <c r="AM253" s="25"/>
    </row>
    <row r="254" spans="6:39" ht="19.5" thickBot="1" x14ac:dyDescent="0.25">
      <c r="F254">
        <v>0.2</v>
      </c>
      <c r="AL254" s="25"/>
      <c r="AM254" s="25"/>
    </row>
    <row r="255" spans="6:39" ht="19.5" thickBot="1" x14ac:dyDescent="0.25">
      <c r="F255">
        <v>0.5</v>
      </c>
      <c r="AL255" s="25"/>
      <c r="AM255" s="25"/>
    </row>
    <row r="256" spans="6:39" ht="19.5" thickBot="1" x14ac:dyDescent="0.25">
      <c r="F256">
        <v>0.8</v>
      </c>
      <c r="AL256" s="25"/>
      <c r="AM256" s="25"/>
    </row>
    <row r="257" spans="5:39" ht="19.5" thickBot="1" x14ac:dyDescent="0.25">
      <c r="AL257" s="25"/>
      <c r="AM257" s="25"/>
    </row>
    <row r="258" spans="5:39" ht="19.5" thickBot="1" x14ac:dyDescent="0.25">
      <c r="AL258" s="25"/>
      <c r="AM258" s="25"/>
    </row>
    <row r="259" spans="5:39" ht="19.5" thickBot="1" x14ac:dyDescent="0.25">
      <c r="AL259" s="25"/>
      <c r="AM259" s="25"/>
    </row>
    <row r="260" spans="5:39" ht="19.5" thickBot="1" x14ac:dyDescent="0.25">
      <c r="AL260" s="25"/>
      <c r="AM260" s="25"/>
    </row>
    <row r="261" spans="5:39" ht="19.5" thickBot="1" x14ac:dyDescent="0.25">
      <c r="AL261" s="25"/>
      <c r="AM261" s="25"/>
    </row>
    <row r="262" spans="5:39" ht="19.5" thickBot="1" x14ac:dyDescent="0.25">
      <c r="AL262" s="25"/>
      <c r="AM262" s="25"/>
    </row>
    <row r="263" spans="5:39" ht="19.5" thickBot="1" x14ac:dyDescent="0.25">
      <c r="AL263" s="25"/>
      <c r="AM263" s="25"/>
    </row>
    <row r="264" spans="5:39" ht="19.5" thickBot="1" x14ac:dyDescent="0.25">
      <c r="AL264" s="25"/>
      <c r="AM264" s="25"/>
    </row>
    <row r="265" spans="5:39" ht="19.5" thickBot="1" x14ac:dyDescent="0.25">
      <c r="AL265" s="25"/>
      <c r="AM265" s="25"/>
    </row>
    <row r="266" spans="5:39" ht="19.5" thickBot="1" x14ac:dyDescent="0.25">
      <c r="AL266" s="25"/>
      <c r="AM266" s="25"/>
    </row>
    <row r="267" spans="5:39" ht="19.5" thickBot="1" x14ac:dyDescent="0.25">
      <c r="AL267" s="25"/>
      <c r="AM267" s="25"/>
    </row>
    <row r="268" spans="5:39" ht="19.5" thickBot="1" x14ac:dyDescent="0.25">
      <c r="AL268" s="25"/>
      <c r="AM268" s="25"/>
    </row>
    <row r="269" spans="5:39" ht="19.5" thickBot="1" x14ac:dyDescent="0.25">
      <c r="E269" t="s">
        <v>497</v>
      </c>
      <c r="F269" t="s">
        <v>495</v>
      </c>
      <c r="G269" t="s">
        <v>494</v>
      </c>
      <c r="AL269" s="25"/>
      <c r="AM269" s="25"/>
    </row>
    <row r="270" spans="5:39" ht="19.5" thickBot="1" x14ac:dyDescent="0.25">
      <c r="AL270" s="25"/>
      <c r="AM270" s="25"/>
    </row>
    <row r="271" spans="5:39" ht="19.5" thickBot="1" x14ac:dyDescent="0.25">
      <c r="AL271" s="25"/>
      <c r="AM271" s="25"/>
    </row>
    <row r="272" spans="5:39" ht="19.5" thickBot="1" x14ac:dyDescent="0.25">
      <c r="AL272" s="25"/>
      <c r="AM272" s="25"/>
    </row>
    <row r="273" spans="4:39" ht="19.5" thickBot="1" x14ac:dyDescent="0.25">
      <c r="AL273" s="25"/>
      <c r="AM273" s="25"/>
    </row>
    <row r="274" spans="4:39" ht="19.5" thickBot="1" x14ac:dyDescent="0.25">
      <c r="AL274" s="25"/>
      <c r="AM274" s="25"/>
    </row>
    <row r="275" spans="4:39" ht="19.5" thickBot="1" x14ac:dyDescent="0.25">
      <c r="D275" t="s">
        <v>497</v>
      </c>
      <c r="E275" t="s">
        <v>495</v>
      </c>
      <c r="F275" t="s">
        <v>494</v>
      </c>
      <c r="G275" t="s">
        <v>493</v>
      </c>
      <c r="AL275" s="25"/>
      <c r="AM275" s="25"/>
    </row>
    <row r="276" spans="4:39" ht="19.5" thickBot="1" x14ac:dyDescent="0.25">
      <c r="AL276" s="25"/>
      <c r="AM276" s="25"/>
    </row>
    <row r="277" spans="4:39" ht="19.5" thickBot="1" x14ac:dyDescent="0.25">
      <c r="AL277" s="25"/>
      <c r="AM277" s="25"/>
    </row>
    <row r="278" spans="4:39" ht="19.5" thickBot="1" x14ac:dyDescent="0.25">
      <c r="AL278" s="25"/>
      <c r="AM278" s="25"/>
    </row>
    <row r="279" spans="4:39" ht="19.5" thickBot="1" x14ac:dyDescent="0.25">
      <c r="AL279" s="25"/>
      <c r="AM279" s="25"/>
    </row>
    <row r="280" spans="4:39" ht="19.5" thickBot="1" x14ac:dyDescent="0.25">
      <c r="AL280" s="25"/>
      <c r="AM280" s="25"/>
    </row>
    <row r="281" spans="4:39" ht="19.5" thickBot="1" x14ac:dyDescent="0.25">
      <c r="AL281" s="25"/>
      <c r="AM281" s="25"/>
    </row>
    <row r="282" spans="4:39" ht="19.5" thickBot="1" x14ac:dyDescent="0.25">
      <c r="D282" t="s">
        <v>496</v>
      </c>
      <c r="E282" t="s">
        <v>495</v>
      </c>
      <c r="F282" t="s">
        <v>494</v>
      </c>
      <c r="G282" t="s">
        <v>493</v>
      </c>
      <c r="AL282" s="25"/>
      <c r="AM282" s="25"/>
    </row>
    <row r="283" spans="4:39" ht="19.5" thickBot="1" x14ac:dyDescent="0.25">
      <c r="D283">
        <v>0.15</v>
      </c>
      <c r="E283">
        <v>0.15</v>
      </c>
      <c r="F283">
        <v>0.15</v>
      </c>
      <c r="G283">
        <v>0.15</v>
      </c>
      <c r="AL283" s="25"/>
      <c r="AM283" s="25"/>
    </row>
    <row r="284" spans="4:39" ht="19.5" thickBot="1" x14ac:dyDescent="0.25">
      <c r="D284">
        <v>0.5</v>
      </c>
      <c r="E284">
        <v>0.25</v>
      </c>
      <c r="F284">
        <v>0.15</v>
      </c>
      <c r="G284">
        <v>0.15</v>
      </c>
      <c r="AL284" s="25"/>
      <c r="AM284" s="25"/>
    </row>
    <row r="285" spans="4:39" ht="19.5" thickBot="1" x14ac:dyDescent="0.25">
      <c r="D285">
        <v>0.25</v>
      </c>
      <c r="E285">
        <v>0.5</v>
      </c>
      <c r="F285">
        <v>0</v>
      </c>
      <c r="G285">
        <v>0</v>
      </c>
      <c r="AL285" s="25"/>
      <c r="AM285" s="25"/>
    </row>
    <row r="286" spans="4:39" ht="19.5" thickBot="1" x14ac:dyDescent="0.25">
      <c r="D286">
        <v>0.25</v>
      </c>
      <c r="E286">
        <v>0.4</v>
      </c>
      <c r="F286">
        <v>0</v>
      </c>
      <c r="G286">
        <v>0</v>
      </c>
      <c r="AL286" s="25"/>
      <c r="AM286" s="25"/>
    </row>
    <row r="287" spans="4:39" ht="19.5" thickBot="1" x14ac:dyDescent="0.25">
      <c r="D287">
        <v>1</v>
      </c>
      <c r="E287">
        <v>1</v>
      </c>
      <c r="F287">
        <v>1</v>
      </c>
      <c r="G287">
        <v>1</v>
      </c>
      <c r="AL287" s="25"/>
      <c r="AM287" s="25"/>
    </row>
    <row r="288" spans="4:39" ht="19.5" thickBot="1" x14ac:dyDescent="0.25">
      <c r="D288">
        <v>0.15</v>
      </c>
      <c r="E288">
        <v>0.05</v>
      </c>
      <c r="F288">
        <v>0.1</v>
      </c>
      <c r="G288">
        <v>1</v>
      </c>
      <c r="AL288" s="25"/>
      <c r="AM288" s="25"/>
    </row>
    <row r="289" spans="4:39" ht="19.5" thickBot="1" x14ac:dyDescent="0.25">
      <c r="D289">
        <v>0.4</v>
      </c>
      <c r="E289">
        <v>0.1</v>
      </c>
      <c r="F289">
        <v>0.4</v>
      </c>
      <c r="G289">
        <v>0.4</v>
      </c>
      <c r="AL289" s="25"/>
      <c r="AM289" s="25"/>
    </row>
    <row r="290" spans="4:39" ht="19.5" thickBot="1" x14ac:dyDescent="0.25">
      <c r="D290">
        <v>0.4</v>
      </c>
      <c r="E290">
        <v>0.1</v>
      </c>
      <c r="F290">
        <v>0.4</v>
      </c>
      <c r="G290">
        <v>0.4</v>
      </c>
      <c r="AL290" s="25"/>
      <c r="AM290" s="25"/>
    </row>
    <row r="291" spans="4:39" ht="19.5" thickBot="1" x14ac:dyDescent="0.25">
      <c r="D291">
        <v>0.5</v>
      </c>
      <c r="E291">
        <v>0.1</v>
      </c>
      <c r="F291">
        <v>0.25</v>
      </c>
      <c r="G291">
        <v>0.5</v>
      </c>
      <c r="AL291" s="25"/>
      <c r="AM291" s="25"/>
    </row>
    <row r="292" spans="4:39" ht="19.5" thickBot="1" x14ac:dyDescent="0.25">
      <c r="D292">
        <v>0.4</v>
      </c>
      <c r="E292">
        <v>0.1</v>
      </c>
      <c r="F292">
        <v>0.4</v>
      </c>
      <c r="G292">
        <v>0.25</v>
      </c>
      <c r="AL292" s="25"/>
      <c r="AM292" s="25"/>
    </row>
    <row r="293" spans="4:39" ht="19.5" thickBot="1" x14ac:dyDescent="0.25">
      <c r="D293">
        <v>0.15</v>
      </c>
      <c r="E293">
        <v>0</v>
      </c>
      <c r="F293">
        <v>0.1</v>
      </c>
      <c r="G293">
        <v>0.05</v>
      </c>
      <c r="AL293" s="25"/>
      <c r="AM293" s="25"/>
    </row>
    <row r="294" spans="4:39" ht="19.5" thickBot="1" x14ac:dyDescent="0.25">
      <c r="D294">
        <v>0.05</v>
      </c>
      <c r="E294">
        <v>0</v>
      </c>
      <c r="F294">
        <v>0.02</v>
      </c>
      <c r="G294">
        <v>0.05</v>
      </c>
      <c r="AL294" s="25"/>
      <c r="AM294" s="25"/>
    </row>
    <row r="295" spans="4:39" ht="19.5" thickBot="1" x14ac:dyDescent="0.25">
      <c r="D295">
        <v>0.15</v>
      </c>
      <c r="E295">
        <v>0</v>
      </c>
      <c r="F295">
        <v>0.1</v>
      </c>
      <c r="G295">
        <v>0.1</v>
      </c>
      <c r="AL295" s="25"/>
      <c r="AM295" s="25"/>
    </row>
    <row r="296" spans="4:39" ht="19.5" thickBot="1" x14ac:dyDescent="0.25">
      <c r="D296">
        <v>0.35</v>
      </c>
      <c r="E296">
        <v>0.35</v>
      </c>
      <c r="F296">
        <v>0.35</v>
      </c>
      <c r="G296">
        <v>0.35</v>
      </c>
      <c r="AL296" s="25"/>
      <c r="AM296" s="25"/>
    </row>
    <row r="297" spans="4:39" ht="19.5" thickBot="1" x14ac:dyDescent="0.25">
      <c r="D297">
        <v>0.5</v>
      </c>
      <c r="E297">
        <v>0.5</v>
      </c>
      <c r="F297">
        <v>0.5</v>
      </c>
      <c r="G297">
        <v>0.5</v>
      </c>
      <c r="AL297" s="25"/>
      <c r="AM297" s="25"/>
    </row>
    <row r="298" spans="4:39" ht="19.5" thickBot="1" x14ac:dyDescent="0.25">
      <c r="D298">
        <v>0.15</v>
      </c>
      <c r="E298">
        <v>0</v>
      </c>
      <c r="F298">
        <v>0.05</v>
      </c>
      <c r="G298">
        <v>0.35</v>
      </c>
      <c r="AL298" s="25"/>
      <c r="AM298" s="25"/>
    </row>
    <row r="299" spans="4:39" ht="19.5" thickBot="1" x14ac:dyDescent="0.25">
      <c r="D299">
        <v>0.4</v>
      </c>
      <c r="E299">
        <v>0.1</v>
      </c>
      <c r="F299">
        <v>0.4</v>
      </c>
      <c r="G299">
        <v>0.25</v>
      </c>
      <c r="AL299" s="25"/>
      <c r="AM299" s="25"/>
    </row>
    <row r="300" spans="4:39" ht="19.5" thickBot="1" x14ac:dyDescent="0.25">
      <c r="D300">
        <v>0.1</v>
      </c>
      <c r="E300">
        <v>0</v>
      </c>
      <c r="F300">
        <v>0</v>
      </c>
      <c r="G300">
        <v>0.1</v>
      </c>
      <c r="AL300" s="25"/>
      <c r="AM300" s="25"/>
    </row>
    <row r="301" spans="4:39" ht="19.5" thickBot="1" x14ac:dyDescent="0.25">
      <c r="D301">
        <v>0.05</v>
      </c>
      <c r="E301">
        <v>0</v>
      </c>
      <c r="F301">
        <v>0</v>
      </c>
      <c r="G301">
        <v>0.05</v>
      </c>
      <c r="AL301" s="25"/>
      <c r="AM301" s="25"/>
    </row>
    <row r="302" spans="4:39" ht="19.5" thickBot="1" x14ac:dyDescent="0.25">
      <c r="D302">
        <v>0.1</v>
      </c>
      <c r="E302">
        <v>0</v>
      </c>
      <c r="F302">
        <v>0</v>
      </c>
      <c r="G302">
        <v>0.25</v>
      </c>
      <c r="AL302" s="25"/>
      <c r="AM302" s="25"/>
    </row>
    <row r="303" spans="4:39" ht="19.5" thickBot="1" x14ac:dyDescent="0.25">
      <c r="D303">
        <v>0.85</v>
      </c>
      <c r="E303">
        <v>0.25</v>
      </c>
      <c r="F303">
        <v>0.7</v>
      </c>
      <c r="G303">
        <v>0.65</v>
      </c>
      <c r="AL303" s="25"/>
      <c r="AM303" s="25"/>
    </row>
    <row r="304" spans="4:39" ht="19.5" thickBot="1" x14ac:dyDescent="0.25">
      <c r="D304">
        <v>0.15</v>
      </c>
      <c r="E304">
        <v>0</v>
      </c>
      <c r="F304">
        <v>0.1</v>
      </c>
      <c r="G304">
        <v>0.1</v>
      </c>
      <c r="AL304" s="25"/>
      <c r="AM304" s="25"/>
    </row>
    <row r="305" spans="4:39" ht="19.5" thickBot="1" x14ac:dyDescent="0.25">
      <c r="D305">
        <v>0.1</v>
      </c>
      <c r="E305">
        <v>0</v>
      </c>
      <c r="F305">
        <v>0</v>
      </c>
      <c r="G305">
        <v>0.1</v>
      </c>
      <c r="AL305" s="25"/>
      <c r="AM305" s="25"/>
    </row>
    <row r="306" spans="4:39" ht="19.5" thickBot="1" x14ac:dyDescent="0.25">
      <c r="E306" t="s">
        <v>495</v>
      </c>
      <c r="F306" t="s">
        <v>494</v>
      </c>
      <c r="G306" t="s">
        <v>493</v>
      </c>
      <c r="AL306" s="25"/>
      <c r="AM306" s="25"/>
    </row>
    <row r="307" spans="4:39" ht="19.5" thickBot="1" x14ac:dyDescent="0.25">
      <c r="E307">
        <v>0.25</v>
      </c>
      <c r="F307">
        <v>0.25</v>
      </c>
      <c r="G307">
        <v>0.25</v>
      </c>
      <c r="AL307" s="25"/>
      <c r="AM307" s="25"/>
    </row>
    <row r="308" spans="4:39" ht="19.5" thickBot="1" x14ac:dyDescent="0.25">
      <c r="E308">
        <v>0.25</v>
      </c>
      <c r="F308">
        <v>0.25</v>
      </c>
      <c r="G308">
        <v>0.25</v>
      </c>
      <c r="AL308" s="25"/>
      <c r="AM308" s="25"/>
    </row>
    <row r="309" spans="4:39" ht="19.5" thickBot="1" x14ac:dyDescent="0.25">
      <c r="E309">
        <v>0.25</v>
      </c>
      <c r="F309">
        <v>0.25</v>
      </c>
      <c r="G309">
        <v>0.25</v>
      </c>
      <c r="AL309" s="25"/>
      <c r="AM309" s="25"/>
    </row>
    <row r="310" spans="4:39" ht="19.5" thickBot="1" x14ac:dyDescent="0.25">
      <c r="E310">
        <v>0.25</v>
      </c>
      <c r="F310">
        <v>0.25</v>
      </c>
      <c r="G310">
        <v>0.25</v>
      </c>
      <c r="AL310" s="25"/>
      <c r="AM310" s="25"/>
    </row>
    <row r="311" spans="4:39" ht="19.5" thickBot="1" x14ac:dyDescent="0.25">
      <c r="E311">
        <v>0.25</v>
      </c>
      <c r="F311">
        <v>0.25</v>
      </c>
      <c r="G311">
        <v>0.25</v>
      </c>
      <c r="AL311" s="25"/>
      <c r="AM311" s="25"/>
    </row>
    <row r="312" spans="4:39" ht="19.5" thickBot="1" x14ac:dyDescent="0.25">
      <c r="E312">
        <v>0.25</v>
      </c>
      <c r="F312">
        <v>0.25</v>
      </c>
      <c r="G312">
        <v>0.25</v>
      </c>
      <c r="AL312" s="25"/>
      <c r="AM312" s="25"/>
    </row>
    <row r="313" spans="4:39" ht="19.5" thickBot="1" x14ac:dyDescent="0.25">
      <c r="E313">
        <v>0.25</v>
      </c>
      <c r="F313">
        <v>0.25</v>
      </c>
      <c r="G313">
        <v>0.25</v>
      </c>
      <c r="AL313" s="25"/>
      <c r="AM313" s="25"/>
    </row>
    <row r="314" spans="4:39" ht="19.5" thickBot="1" x14ac:dyDescent="0.25">
      <c r="E314">
        <v>0.25</v>
      </c>
      <c r="F314">
        <v>0.25</v>
      </c>
      <c r="G314">
        <v>0.25</v>
      </c>
      <c r="AL314" s="25"/>
      <c r="AM314" s="25"/>
    </row>
    <row r="315" spans="4:39" ht="19.5" thickBot="1" x14ac:dyDescent="0.25">
      <c r="E315">
        <v>0.25</v>
      </c>
      <c r="F315">
        <v>0.25</v>
      </c>
      <c r="G315">
        <v>0.25</v>
      </c>
      <c r="AL315" s="25"/>
      <c r="AM315" s="25"/>
    </row>
    <row r="316" spans="4:39" ht="19.5" thickBot="1" x14ac:dyDescent="0.25">
      <c r="E316">
        <v>0.25</v>
      </c>
      <c r="F316">
        <v>0.25</v>
      </c>
      <c r="G316">
        <v>0.25</v>
      </c>
      <c r="AL316" s="25"/>
      <c r="AM316" s="25"/>
    </row>
    <row r="317" spans="4:39" ht="19.5" thickBot="1" x14ac:dyDescent="0.25">
      <c r="E317">
        <v>0.25</v>
      </c>
      <c r="F317">
        <v>0.25</v>
      </c>
      <c r="G317">
        <v>0.25</v>
      </c>
      <c r="AL317" s="25"/>
      <c r="AM317" s="25"/>
    </row>
    <row r="318" spans="4:39" ht="19.5" thickBot="1" x14ac:dyDescent="0.25">
      <c r="E318">
        <v>0.25</v>
      </c>
      <c r="F318">
        <v>0.25</v>
      </c>
      <c r="G318">
        <v>0.25</v>
      </c>
      <c r="AL318" s="25"/>
      <c r="AM318" s="25"/>
    </row>
    <row r="319" spans="4:39" ht="19.5" thickBot="1" x14ac:dyDescent="0.25">
      <c r="E319">
        <v>0.25</v>
      </c>
      <c r="F319">
        <v>0.25</v>
      </c>
      <c r="G319">
        <v>0.25</v>
      </c>
      <c r="AL319" s="25"/>
      <c r="AM319" s="25"/>
    </row>
    <row r="320" spans="4:39" ht="19.5" thickBot="1" x14ac:dyDescent="0.25">
      <c r="E320">
        <v>0.25</v>
      </c>
      <c r="F320">
        <v>0.25</v>
      </c>
      <c r="G320">
        <v>0.25</v>
      </c>
      <c r="AL320" s="25"/>
      <c r="AM320" s="25"/>
    </row>
    <row r="321" spans="5:39" ht="19.5" thickBot="1" x14ac:dyDescent="0.25">
      <c r="E321">
        <v>0.25</v>
      </c>
      <c r="F321">
        <v>0.25</v>
      </c>
      <c r="G321">
        <v>0.25</v>
      </c>
      <c r="AL321" s="25"/>
      <c r="AM321" s="25"/>
    </row>
    <row r="322" spans="5:39" ht="19.5" thickBot="1" x14ac:dyDescent="0.25">
      <c r="E322">
        <v>0.25</v>
      </c>
      <c r="F322">
        <v>0.25</v>
      </c>
      <c r="G322">
        <v>0.25</v>
      </c>
      <c r="AL322" s="25"/>
      <c r="AM322" s="25"/>
    </row>
    <row r="323" spans="5:39" ht="19.5" thickBot="1" x14ac:dyDescent="0.25">
      <c r="E323">
        <v>0.25</v>
      </c>
      <c r="F323">
        <v>0.25</v>
      </c>
      <c r="G323">
        <v>0.25</v>
      </c>
      <c r="AL323" s="25"/>
      <c r="AM323" s="25"/>
    </row>
    <row r="324" spans="5:39" ht="19.5" thickBot="1" x14ac:dyDescent="0.25">
      <c r="E324">
        <v>0.25</v>
      </c>
      <c r="F324">
        <v>0.25</v>
      </c>
      <c r="G324">
        <v>0.25</v>
      </c>
      <c r="AL324" s="25"/>
      <c r="AM324" s="25"/>
    </row>
    <row r="325" spans="5:39" ht="19.5" thickBot="1" x14ac:dyDescent="0.25">
      <c r="E325">
        <v>0.25</v>
      </c>
      <c r="F325">
        <v>0.25</v>
      </c>
      <c r="G325">
        <v>0.25</v>
      </c>
      <c r="AL325" s="25"/>
      <c r="AM325" s="25"/>
    </row>
    <row r="326" spans="5:39" ht="19.5" thickBot="1" x14ac:dyDescent="0.25">
      <c r="E326">
        <v>0.25</v>
      </c>
      <c r="F326">
        <v>0.25</v>
      </c>
      <c r="G326">
        <v>0.25</v>
      </c>
      <c r="AL326" s="25"/>
      <c r="AM326" s="25"/>
    </row>
    <row r="327" spans="5:39" ht="19.5" thickBot="1" x14ac:dyDescent="0.25">
      <c r="E327">
        <v>0.25</v>
      </c>
      <c r="F327">
        <v>0.25</v>
      </c>
      <c r="G327">
        <v>0.25</v>
      </c>
      <c r="AL327" s="25"/>
      <c r="AM327" s="25"/>
    </row>
    <row r="328" spans="5:39" ht="19.5" thickBot="1" x14ac:dyDescent="0.25">
      <c r="E328">
        <v>0.25</v>
      </c>
      <c r="F328">
        <v>0.25</v>
      </c>
      <c r="G328">
        <v>0.25</v>
      </c>
      <c r="AL328" s="25"/>
      <c r="AM328" s="25"/>
    </row>
    <row r="329" spans="5:39" ht="19.5" thickBot="1" x14ac:dyDescent="0.25">
      <c r="E329">
        <v>0.25</v>
      </c>
      <c r="F329">
        <v>0.25</v>
      </c>
      <c r="G329">
        <v>0.25</v>
      </c>
      <c r="AL329" s="25"/>
      <c r="AM329" s="25"/>
    </row>
    <row r="330" spans="5:39" ht="19.5" thickBot="1" x14ac:dyDescent="0.25">
      <c r="E330">
        <v>0.25</v>
      </c>
      <c r="F330">
        <v>0.25</v>
      </c>
      <c r="G330">
        <v>0.25</v>
      </c>
      <c r="AL330" s="25"/>
      <c r="AM330" s="25"/>
    </row>
    <row r="331" spans="5:39" ht="19.5" thickBot="1" x14ac:dyDescent="0.25">
      <c r="E331">
        <v>0.25</v>
      </c>
      <c r="F331">
        <v>0.25</v>
      </c>
      <c r="G331">
        <v>0.25</v>
      </c>
      <c r="AL331" s="25"/>
      <c r="AM331" s="25"/>
    </row>
    <row r="332" spans="5:39" ht="19.5" thickBot="1" x14ac:dyDescent="0.25">
      <c r="E332">
        <v>0.25</v>
      </c>
      <c r="F332">
        <v>0.25</v>
      </c>
      <c r="G332">
        <v>0.25</v>
      </c>
      <c r="AL332" s="25"/>
      <c r="AM332" s="25"/>
    </row>
    <row r="333" spans="5:39" ht="19.5" thickBot="1" x14ac:dyDescent="0.25">
      <c r="E333">
        <v>0.25</v>
      </c>
      <c r="F333">
        <v>0.25</v>
      </c>
      <c r="G333">
        <v>0.25</v>
      </c>
      <c r="AL333" s="25"/>
      <c r="AM333" s="25"/>
    </row>
    <row r="334" spans="5:39" ht="19.5" thickBot="1" x14ac:dyDescent="0.25">
      <c r="E334">
        <v>0.25</v>
      </c>
      <c r="F334">
        <v>0.25</v>
      </c>
      <c r="G334">
        <v>0.25</v>
      </c>
      <c r="AL334" s="25"/>
      <c r="AM334" s="25"/>
    </row>
    <row r="335" spans="5:39" ht="19.5" thickBot="1" x14ac:dyDescent="0.25">
      <c r="E335">
        <v>0.25</v>
      </c>
      <c r="F335">
        <v>0.25</v>
      </c>
      <c r="G335">
        <v>0.25</v>
      </c>
      <c r="AL335" s="25"/>
      <c r="AM335" s="25"/>
    </row>
    <row r="336" spans="5:39" ht="19.5" thickBot="1" x14ac:dyDescent="0.25">
      <c r="E336">
        <v>0.25</v>
      </c>
      <c r="F336">
        <v>0.25</v>
      </c>
      <c r="G336">
        <v>0.25</v>
      </c>
      <c r="AL336" s="25"/>
      <c r="AM336" s="25"/>
    </row>
    <row r="337" spans="5:39" ht="19.5" thickBot="1" x14ac:dyDescent="0.25">
      <c r="E337">
        <v>0.25</v>
      </c>
      <c r="F337">
        <v>0.25</v>
      </c>
      <c r="G337">
        <v>0.25</v>
      </c>
      <c r="AL337" s="25"/>
      <c r="AM337" s="25"/>
    </row>
    <row r="338" spans="5:39" ht="19.5" thickBot="1" x14ac:dyDescent="0.25">
      <c r="E338">
        <v>0.25</v>
      </c>
      <c r="F338">
        <v>0.25</v>
      </c>
      <c r="G338">
        <v>0.25</v>
      </c>
      <c r="AL338" s="25"/>
      <c r="AM338" s="25"/>
    </row>
    <row r="339" spans="5:39" ht="19.5" thickBot="1" x14ac:dyDescent="0.25">
      <c r="E339">
        <v>0.25</v>
      </c>
      <c r="F339">
        <v>0.25</v>
      </c>
      <c r="G339">
        <v>0.25</v>
      </c>
      <c r="AL339" s="25"/>
      <c r="AM339" s="25"/>
    </row>
    <row r="340" spans="5:39" ht="19.5" thickBot="1" x14ac:dyDescent="0.25">
      <c r="E340">
        <v>0.25</v>
      </c>
      <c r="F340">
        <v>0.25</v>
      </c>
      <c r="G340">
        <v>0.25</v>
      </c>
      <c r="AL340" s="25"/>
      <c r="AM340" s="25"/>
    </row>
    <row r="341" spans="5:39" ht="19.5" thickBot="1" x14ac:dyDescent="0.25">
      <c r="E341">
        <v>0.25</v>
      </c>
      <c r="F341">
        <v>0.25</v>
      </c>
      <c r="G341">
        <v>0.25</v>
      </c>
      <c r="AL341" s="25"/>
      <c r="AM341" s="25"/>
    </row>
    <row r="342" spans="5:39" ht="19.5" thickBot="1" x14ac:dyDescent="0.25">
      <c r="E342">
        <v>0.25</v>
      </c>
      <c r="F342">
        <v>0.25</v>
      </c>
      <c r="G342">
        <v>0.25</v>
      </c>
      <c r="AL342" s="25"/>
      <c r="AM342" s="25"/>
    </row>
    <row r="343" spans="5:39" ht="19.5" thickBot="1" x14ac:dyDescent="0.25">
      <c r="E343">
        <v>0.25</v>
      </c>
      <c r="F343">
        <v>0.25</v>
      </c>
      <c r="G343">
        <v>0.25</v>
      </c>
      <c r="AL343" s="25"/>
      <c r="AM343" s="25"/>
    </row>
    <row r="344" spans="5:39" ht="19.5" thickBot="1" x14ac:dyDescent="0.25">
      <c r="E344">
        <v>0.25</v>
      </c>
      <c r="F344">
        <v>0.25</v>
      </c>
      <c r="G344">
        <v>0.25</v>
      </c>
      <c r="AL344" s="25"/>
      <c r="AM344" s="25"/>
    </row>
    <row r="345" spans="5:39" ht="19.5" thickBot="1" x14ac:dyDescent="0.25">
      <c r="E345">
        <v>0.25</v>
      </c>
      <c r="F345">
        <v>0.25</v>
      </c>
      <c r="G345">
        <v>0.25</v>
      </c>
      <c r="AL345" s="25"/>
      <c r="AM345" s="25"/>
    </row>
    <row r="346" spans="5:39" ht="19.5" thickBot="1" x14ac:dyDescent="0.25">
      <c r="E346">
        <v>0.25</v>
      </c>
      <c r="F346">
        <v>0.25</v>
      </c>
      <c r="G346">
        <v>0.25</v>
      </c>
      <c r="AL346" s="25"/>
      <c r="AM346" s="25"/>
    </row>
    <row r="347" spans="5:39" ht="19.5" thickBot="1" x14ac:dyDescent="0.25">
      <c r="E347">
        <v>0.25</v>
      </c>
      <c r="F347">
        <v>0.25</v>
      </c>
      <c r="G347">
        <v>0.25</v>
      </c>
      <c r="AL347" s="25"/>
      <c r="AM347" s="25"/>
    </row>
    <row r="348" spans="5:39" ht="19.5" thickBot="1" x14ac:dyDescent="0.25">
      <c r="E348">
        <v>0.25</v>
      </c>
      <c r="F348">
        <v>0.25</v>
      </c>
      <c r="G348">
        <v>0.25</v>
      </c>
      <c r="AL348" s="25"/>
      <c r="AM348" s="25"/>
    </row>
    <row r="349" spans="5:39" ht="19.5" thickBot="1" x14ac:dyDescent="0.25">
      <c r="E349">
        <v>0.25</v>
      </c>
      <c r="F349">
        <v>0.25</v>
      </c>
      <c r="G349">
        <v>0.25</v>
      </c>
      <c r="AL349" s="25"/>
      <c r="AM349" s="25"/>
    </row>
    <row r="350" spans="5:39" ht="19.5" thickBot="1" x14ac:dyDescent="0.25">
      <c r="E350">
        <v>0.25</v>
      </c>
      <c r="F350">
        <v>0.25</v>
      </c>
      <c r="G350">
        <v>0.25</v>
      </c>
      <c r="AL350" s="25"/>
      <c r="AM350" s="25"/>
    </row>
    <row r="351" spans="5:39" ht="19.5" thickBot="1" x14ac:dyDescent="0.25">
      <c r="E351">
        <v>0.25</v>
      </c>
      <c r="F351">
        <v>0.25</v>
      </c>
      <c r="G351">
        <v>0.25</v>
      </c>
      <c r="AL351" s="25"/>
      <c r="AM351" s="25"/>
    </row>
    <row r="352" spans="5:39" ht="19.5" thickBot="1" x14ac:dyDescent="0.25">
      <c r="E352">
        <v>0.25</v>
      </c>
      <c r="F352">
        <v>0.25</v>
      </c>
      <c r="G352">
        <v>0.25</v>
      </c>
      <c r="AL352" s="25"/>
      <c r="AM352" s="25"/>
    </row>
    <row r="353" spans="5:39" ht="19.5" thickBot="1" x14ac:dyDescent="0.25">
      <c r="E353">
        <v>0.25</v>
      </c>
      <c r="F353">
        <v>0.25</v>
      </c>
      <c r="G353">
        <v>0.25</v>
      </c>
      <c r="AL353" s="25"/>
      <c r="AM353" s="25"/>
    </row>
    <row r="354" spans="5:39" ht="19.5" thickBot="1" x14ac:dyDescent="0.25">
      <c r="E354">
        <v>0.25</v>
      </c>
      <c r="F354">
        <v>0.25</v>
      </c>
      <c r="G354">
        <v>0.25</v>
      </c>
      <c r="AL354" s="25"/>
      <c r="AM354" s="25"/>
    </row>
    <row r="355" spans="5:39" ht="19.5" thickBot="1" x14ac:dyDescent="0.25">
      <c r="E355">
        <v>0.25</v>
      </c>
      <c r="F355">
        <v>0.25</v>
      </c>
      <c r="G355">
        <v>0.25</v>
      </c>
      <c r="AL355" s="25"/>
      <c r="AM355" s="25"/>
    </row>
    <row r="356" spans="5:39" ht="19.5" thickBot="1" x14ac:dyDescent="0.25">
      <c r="E356">
        <v>0.25</v>
      </c>
      <c r="F356">
        <v>0.25</v>
      </c>
      <c r="G356">
        <v>0.25</v>
      </c>
      <c r="AL356" s="25"/>
      <c r="AM356" s="25"/>
    </row>
    <row r="357" spans="5:39" ht="19.5" thickBot="1" x14ac:dyDescent="0.25">
      <c r="E357">
        <v>0.25</v>
      </c>
      <c r="F357">
        <v>0.25</v>
      </c>
      <c r="G357">
        <v>0.25</v>
      </c>
      <c r="AL357" s="25"/>
      <c r="AM357" s="25"/>
    </row>
    <row r="358" spans="5:39" ht="19.5" thickBot="1" x14ac:dyDescent="0.25">
      <c r="E358">
        <v>0.25</v>
      </c>
      <c r="F358">
        <v>0.25</v>
      </c>
      <c r="G358">
        <v>0.25</v>
      </c>
      <c r="AL358" s="25"/>
      <c r="AM358" s="25"/>
    </row>
    <row r="359" spans="5:39" ht="19.5" thickBot="1" x14ac:dyDescent="0.25">
      <c r="E359">
        <v>0.25</v>
      </c>
      <c r="F359">
        <v>0.25</v>
      </c>
      <c r="G359">
        <v>0.25</v>
      </c>
      <c r="AL359" s="25"/>
      <c r="AM359" s="25"/>
    </row>
    <row r="360" spans="5:39" ht="19.5" thickBot="1" x14ac:dyDescent="0.25">
      <c r="E360">
        <v>0.25</v>
      </c>
      <c r="F360">
        <v>0.25</v>
      </c>
      <c r="G360">
        <v>0.25</v>
      </c>
      <c r="AL360" s="25"/>
      <c r="AM360" s="25"/>
    </row>
    <row r="361" spans="5:39" ht="19.5" thickBot="1" x14ac:dyDescent="0.25">
      <c r="E361">
        <v>0.25</v>
      </c>
      <c r="F361">
        <v>0.25</v>
      </c>
      <c r="G361">
        <v>0.25</v>
      </c>
      <c r="AL361" s="25"/>
      <c r="AM361" s="25"/>
    </row>
    <row r="362" spans="5:39" ht="19.5" thickBot="1" x14ac:dyDescent="0.25">
      <c r="E362">
        <v>0.25</v>
      </c>
      <c r="F362">
        <v>0.25</v>
      </c>
      <c r="G362">
        <v>0.25</v>
      </c>
      <c r="AL362" s="25"/>
      <c r="AM362" s="25"/>
    </row>
    <row r="363" spans="5:39" ht="19.5" thickBot="1" x14ac:dyDescent="0.25">
      <c r="E363">
        <v>0.25</v>
      </c>
      <c r="F363">
        <v>0.25</v>
      </c>
      <c r="G363">
        <v>0.25</v>
      </c>
      <c r="AL363" s="25"/>
      <c r="AM363" s="25"/>
    </row>
    <row r="364" spans="5:39" ht="19.5" thickBot="1" x14ac:dyDescent="0.25">
      <c r="E364">
        <v>0.25</v>
      </c>
      <c r="F364">
        <v>0.25</v>
      </c>
      <c r="G364">
        <v>0.25</v>
      </c>
      <c r="AL364" s="25"/>
      <c r="AM364" s="25"/>
    </row>
    <row r="365" spans="5:39" ht="19.5" thickBot="1" x14ac:dyDescent="0.25">
      <c r="E365">
        <v>0.25</v>
      </c>
      <c r="F365">
        <v>0.25</v>
      </c>
      <c r="G365">
        <v>0.25</v>
      </c>
      <c r="AL365" s="25"/>
      <c r="AM365" s="25"/>
    </row>
    <row r="366" spans="5:39" ht="19.5" thickBot="1" x14ac:dyDescent="0.25">
      <c r="E366">
        <v>0.25</v>
      </c>
      <c r="F366">
        <v>0.25</v>
      </c>
      <c r="G366">
        <v>0.25</v>
      </c>
      <c r="AL366" s="25"/>
      <c r="AM366" s="25"/>
    </row>
    <row r="367" spans="5:39" ht="19.5" thickBot="1" x14ac:dyDescent="0.25">
      <c r="E367">
        <v>0.25</v>
      </c>
      <c r="F367">
        <v>0.25</v>
      </c>
      <c r="G367">
        <v>0.25</v>
      </c>
      <c r="AL367" s="25"/>
      <c r="AM367" s="25"/>
    </row>
    <row r="368" spans="5:39" ht="19.5" thickBot="1" x14ac:dyDescent="0.25">
      <c r="E368">
        <v>0.25</v>
      </c>
      <c r="F368">
        <v>0.25</v>
      </c>
      <c r="G368">
        <v>0.25</v>
      </c>
      <c r="AL368" s="25"/>
      <c r="AM368" s="25"/>
    </row>
    <row r="369" spans="4:39" ht="19.5" thickBot="1" x14ac:dyDescent="0.25">
      <c r="E369">
        <v>0.25</v>
      </c>
      <c r="F369">
        <v>0.25</v>
      </c>
      <c r="G369">
        <v>0.25</v>
      </c>
      <c r="AL369" s="25"/>
      <c r="AM369" s="25"/>
    </row>
    <row r="370" spans="4:39" ht="19.5" thickBot="1" x14ac:dyDescent="0.25">
      <c r="E370">
        <v>0.25</v>
      </c>
      <c r="F370">
        <v>0.25</v>
      </c>
      <c r="G370">
        <v>0.25</v>
      </c>
      <c r="AL370" s="25"/>
      <c r="AM370" s="25"/>
    </row>
    <row r="371" spans="4:39" ht="19.5" thickBot="1" x14ac:dyDescent="0.25">
      <c r="E371">
        <v>0.25</v>
      </c>
      <c r="F371">
        <v>0.25</v>
      </c>
      <c r="G371">
        <v>0.25</v>
      </c>
      <c r="AL371" s="25"/>
      <c r="AM371" s="25"/>
    </row>
    <row r="372" spans="4:39" ht="19.5" thickBot="1" x14ac:dyDescent="0.25">
      <c r="D372">
        <v>0.35</v>
      </c>
      <c r="E372">
        <v>0.25</v>
      </c>
      <c r="F372">
        <v>0.25</v>
      </c>
      <c r="G372">
        <v>0.25</v>
      </c>
      <c r="AL372" s="25"/>
      <c r="AM372" s="25"/>
    </row>
    <row r="373" spans="4:39" ht="19.5" thickBot="1" x14ac:dyDescent="0.25">
      <c r="AL373" s="25"/>
      <c r="AM373" s="25"/>
    </row>
    <row r="374" spans="4:39" ht="19.5" thickBot="1" x14ac:dyDescent="0.25">
      <c r="AL374" s="25"/>
      <c r="AM374" s="25"/>
    </row>
    <row r="375" spans="4:39" ht="19.5" thickBot="1" x14ac:dyDescent="0.25">
      <c r="AL375" s="25"/>
      <c r="AM375" s="25"/>
    </row>
    <row r="376" spans="4:39" ht="19.5" thickBot="1" x14ac:dyDescent="0.25">
      <c r="AL376" s="25"/>
      <c r="AM376" s="25"/>
    </row>
    <row r="377" spans="4:39" ht="19.5" thickBot="1" x14ac:dyDescent="0.25">
      <c r="AL377" s="25"/>
      <c r="AM377" s="25"/>
    </row>
    <row r="378" spans="4:39" ht="19.5" thickBot="1" x14ac:dyDescent="0.25">
      <c r="AL378" s="25"/>
      <c r="AM378" s="25"/>
    </row>
    <row r="379" spans="4:39" ht="19.5" thickBot="1" x14ac:dyDescent="0.25">
      <c r="AL379" s="25"/>
      <c r="AM379" s="25"/>
    </row>
    <row r="380" spans="4:39" ht="19.5" thickBot="1" x14ac:dyDescent="0.25">
      <c r="AL380" s="25"/>
      <c r="AM380" s="25"/>
    </row>
    <row r="381" spans="4:39" ht="19.5" thickBot="1" x14ac:dyDescent="0.25">
      <c r="AL381" s="25"/>
      <c r="AM381" s="25"/>
    </row>
    <row r="382" spans="4:39" ht="19.5" thickBot="1" x14ac:dyDescent="0.25">
      <c r="AL382" s="25"/>
      <c r="AM382" s="25"/>
    </row>
    <row r="383" spans="4:39" ht="19.5" thickBot="1" x14ac:dyDescent="0.25">
      <c r="AL383" s="25"/>
      <c r="AM383" s="25"/>
    </row>
    <row r="384" spans="4:39" ht="19.5" thickBot="1" x14ac:dyDescent="0.25">
      <c r="AL384" s="25"/>
      <c r="AM384" s="25"/>
    </row>
    <row r="385" spans="38:39" ht="19.5" thickBot="1" x14ac:dyDescent="0.25">
      <c r="AL385" s="25"/>
      <c r="AM385" s="25"/>
    </row>
    <row r="386" spans="38:39" ht="19.5" thickBot="1" x14ac:dyDescent="0.25">
      <c r="AL386" s="25"/>
      <c r="AM386" s="25"/>
    </row>
    <row r="387" spans="38:39" ht="19.5" thickBot="1" x14ac:dyDescent="0.25">
      <c r="AL387" s="25"/>
      <c r="AM387" s="25"/>
    </row>
    <row r="388" spans="38:39" ht="19.5" thickBot="1" x14ac:dyDescent="0.25">
      <c r="AL388" s="25"/>
      <c r="AM388" s="25"/>
    </row>
    <row r="389" spans="38:39" ht="19.5" thickBot="1" x14ac:dyDescent="0.25">
      <c r="AL389" s="25"/>
      <c r="AM389" s="25"/>
    </row>
    <row r="390" spans="38:39" ht="19.5" thickBot="1" x14ac:dyDescent="0.25">
      <c r="AL390" s="25"/>
      <c r="AM390" s="25"/>
    </row>
    <row r="391" spans="38:39" ht="19.5" thickBot="1" x14ac:dyDescent="0.25">
      <c r="AL391" s="25"/>
      <c r="AM391" s="25"/>
    </row>
    <row r="392" spans="38:39" ht="19.5" thickBot="1" x14ac:dyDescent="0.25">
      <c r="AL392" s="25"/>
      <c r="AM392" s="25"/>
    </row>
    <row r="393" spans="38:39" ht="19.5" thickBot="1" x14ac:dyDescent="0.25">
      <c r="AL393" s="25"/>
      <c r="AM393" s="25"/>
    </row>
    <row r="394" spans="38:39" ht="19.5" thickBot="1" x14ac:dyDescent="0.25">
      <c r="AL394" s="25"/>
      <c r="AM394" s="25"/>
    </row>
    <row r="395" spans="38:39" ht="19.5" thickBot="1" x14ac:dyDescent="0.25">
      <c r="AL395" s="25"/>
      <c r="AM395" s="25"/>
    </row>
    <row r="396" spans="38:39" ht="19.5" thickBot="1" x14ac:dyDescent="0.25">
      <c r="AL396" s="25"/>
      <c r="AM396" s="25"/>
    </row>
    <row r="397" spans="38:39" ht="19.5" thickBot="1" x14ac:dyDescent="0.25">
      <c r="AL397" s="25"/>
      <c r="AM397" s="25"/>
    </row>
    <row r="398" spans="38:39" ht="19.5" thickBot="1" x14ac:dyDescent="0.25">
      <c r="AL398" s="25"/>
      <c r="AM398" s="25"/>
    </row>
    <row r="399" spans="38:39" ht="19.5" thickBot="1" x14ac:dyDescent="0.25">
      <c r="AL399" s="25"/>
      <c r="AM399" s="25"/>
    </row>
    <row r="400" spans="38:39" ht="19.5" thickBot="1" x14ac:dyDescent="0.25">
      <c r="AL400" s="25"/>
      <c r="AM400" s="25"/>
    </row>
    <row r="401" spans="38:39" ht="19.5" thickBot="1" x14ac:dyDescent="0.25">
      <c r="AL401" s="25"/>
      <c r="AM401" s="25"/>
    </row>
    <row r="402" spans="38:39" ht="19.5" thickBot="1" x14ac:dyDescent="0.25">
      <c r="AL402" s="25"/>
      <c r="AM402" s="25"/>
    </row>
    <row r="403" spans="38:39" ht="19.5" thickBot="1" x14ac:dyDescent="0.25">
      <c r="AL403" s="25"/>
      <c r="AM403" s="25"/>
    </row>
    <row r="404" spans="38:39" ht="19.5" thickBot="1" x14ac:dyDescent="0.25">
      <c r="AL404" s="25"/>
      <c r="AM404" s="25"/>
    </row>
    <row r="405" spans="38:39" ht="19.5" thickBot="1" x14ac:dyDescent="0.25">
      <c r="AL405" s="25"/>
      <c r="AM405" s="25"/>
    </row>
    <row r="406" spans="38:39" ht="19.5" thickBot="1" x14ac:dyDescent="0.25">
      <c r="AL406" s="25"/>
      <c r="AM406" s="25"/>
    </row>
    <row r="407" spans="38:39" ht="19.5" thickBot="1" x14ac:dyDescent="0.25">
      <c r="AL407" s="25"/>
      <c r="AM407" s="25"/>
    </row>
    <row r="408" spans="38:39" ht="19.5" thickBot="1" x14ac:dyDescent="0.25">
      <c r="AL408" s="25"/>
      <c r="AM408" s="25"/>
    </row>
    <row r="409" spans="38:39" ht="19.5" thickBot="1" x14ac:dyDescent="0.25">
      <c r="AL409" s="25"/>
      <c r="AM409" s="25"/>
    </row>
    <row r="410" spans="38:39" ht="19.5" thickBot="1" x14ac:dyDescent="0.25">
      <c r="AL410" s="25"/>
      <c r="AM410" s="25"/>
    </row>
    <row r="411" spans="38:39" ht="19.5" thickBot="1" x14ac:dyDescent="0.25">
      <c r="AL411" s="25"/>
      <c r="AM411" s="25"/>
    </row>
    <row r="412" spans="38:39" ht="19.5" thickBot="1" x14ac:dyDescent="0.25">
      <c r="AL412" s="25"/>
      <c r="AM412" s="25"/>
    </row>
    <row r="413" spans="38:39" ht="19.5" thickBot="1" x14ac:dyDescent="0.25">
      <c r="AL413" s="25"/>
      <c r="AM413" s="25"/>
    </row>
    <row r="414" spans="38:39" ht="19.5" thickBot="1" x14ac:dyDescent="0.25">
      <c r="AL414" s="25"/>
      <c r="AM414" s="25"/>
    </row>
    <row r="415" spans="38:39" ht="19.5" thickBot="1" x14ac:dyDescent="0.25">
      <c r="AL415" s="25"/>
      <c r="AM415" s="25"/>
    </row>
    <row r="416" spans="38:39" ht="19.5" thickBot="1" x14ac:dyDescent="0.25">
      <c r="AL416" s="25"/>
      <c r="AM416" s="25"/>
    </row>
    <row r="417" spans="4:39" ht="19.5" thickBot="1" x14ac:dyDescent="0.25">
      <c r="AL417" s="25"/>
      <c r="AM417" s="25"/>
    </row>
    <row r="418" spans="4:39" ht="19.5" thickBot="1" x14ac:dyDescent="0.25">
      <c r="AL418" s="25"/>
      <c r="AM418" s="25"/>
    </row>
    <row r="419" spans="4:39" ht="19.5" thickBot="1" x14ac:dyDescent="0.25">
      <c r="D419" t="s">
        <v>123</v>
      </c>
      <c r="E419" t="s">
        <v>492</v>
      </c>
      <c r="F419" t="s">
        <v>491</v>
      </c>
      <c r="G419" t="s">
        <v>490</v>
      </c>
      <c r="AL419" s="25"/>
      <c r="AM419" s="25"/>
    </row>
    <row r="420" spans="4:39" ht="19.5" thickBot="1" x14ac:dyDescent="0.25">
      <c r="E420">
        <v>-25</v>
      </c>
      <c r="AL420" s="25"/>
      <c r="AM420" s="25"/>
    </row>
    <row r="421" spans="4:39" ht="19.5" thickBot="1" x14ac:dyDescent="0.25">
      <c r="AL421" s="25"/>
      <c r="AM421" s="25"/>
    </row>
    <row r="422" spans="4:39" ht="19.5" thickBot="1" x14ac:dyDescent="0.25">
      <c r="AL422" s="25"/>
      <c r="AM422" s="25"/>
    </row>
    <row r="423" spans="4:39" ht="19.5" thickBot="1" x14ac:dyDescent="0.25">
      <c r="AL423" s="25"/>
      <c r="AM423" s="25"/>
    </row>
    <row r="424" spans="4:39" ht="19.5" thickBot="1" x14ac:dyDescent="0.25">
      <c r="AL424" s="25"/>
      <c r="AM424" s="25"/>
    </row>
    <row r="425" spans="4:39" ht="19.5" thickBot="1" x14ac:dyDescent="0.25">
      <c r="AL425" s="25"/>
      <c r="AM425" s="25"/>
    </row>
    <row r="426" spans="4:39" ht="19.5" thickBot="1" x14ac:dyDescent="0.25">
      <c r="AL426" s="25"/>
      <c r="AM426" s="25"/>
    </row>
    <row r="427" spans="4:39" ht="19.5" thickBot="1" x14ac:dyDescent="0.25">
      <c r="AL427" s="25"/>
      <c r="AM427" s="25"/>
    </row>
    <row r="428" spans="4:39" ht="19.5" thickBot="1" x14ac:dyDescent="0.25">
      <c r="AL428" s="25"/>
      <c r="AM428" s="25"/>
    </row>
    <row r="429" spans="4:39" ht="19.5" thickBot="1" x14ac:dyDescent="0.25">
      <c r="AL429" s="25"/>
      <c r="AM429" s="25"/>
    </row>
    <row r="430" spans="4:39" ht="19.5" thickBot="1" x14ac:dyDescent="0.25">
      <c r="AL430" s="25"/>
      <c r="AM430" s="25"/>
    </row>
    <row r="431" spans="4:39" ht="19.5" thickBot="1" x14ac:dyDescent="0.25">
      <c r="AL431" s="25"/>
      <c r="AM431" s="25"/>
    </row>
    <row r="432" spans="4:39" ht="19.5" thickBot="1" x14ac:dyDescent="0.25">
      <c r="AL432" s="25"/>
      <c r="AM432" s="25"/>
    </row>
    <row r="433" spans="38:39" ht="19.5" thickBot="1" x14ac:dyDescent="0.25">
      <c r="AL433" s="25"/>
      <c r="AM433" s="25"/>
    </row>
    <row r="434" spans="38:39" ht="19.5" thickBot="1" x14ac:dyDescent="0.25">
      <c r="AL434" s="25"/>
      <c r="AM434" s="25"/>
    </row>
    <row r="435" spans="38:39" ht="19.5" thickBot="1" x14ac:dyDescent="0.25">
      <c r="AL435" s="25"/>
      <c r="AM435" s="25"/>
    </row>
    <row r="436" spans="38:39" ht="19.5" thickBot="1" x14ac:dyDescent="0.25">
      <c r="AL436" s="25"/>
      <c r="AM436" s="25"/>
    </row>
    <row r="437" spans="38:39" ht="19.5" thickBot="1" x14ac:dyDescent="0.25">
      <c r="AL437" s="25"/>
      <c r="AM437" s="25"/>
    </row>
    <row r="438" spans="38:39" ht="19.5" thickBot="1" x14ac:dyDescent="0.25">
      <c r="AL438" s="25"/>
      <c r="AM438" s="25"/>
    </row>
    <row r="439" spans="38:39" ht="19.5" thickBot="1" x14ac:dyDescent="0.25">
      <c r="AL439" s="25"/>
      <c r="AM439" s="25"/>
    </row>
    <row r="440" spans="38:39" ht="19.5" thickBot="1" x14ac:dyDescent="0.25">
      <c r="AL440" s="25"/>
      <c r="AM440" s="25"/>
    </row>
    <row r="441" spans="38:39" ht="19.5" thickBot="1" x14ac:dyDescent="0.25">
      <c r="AL441" s="25"/>
      <c r="AM441" s="25"/>
    </row>
    <row r="442" spans="38:39" ht="19.5" thickBot="1" x14ac:dyDescent="0.25">
      <c r="AL442" s="25"/>
      <c r="AM442" s="25"/>
    </row>
    <row r="443" spans="38:39" ht="19.5" thickBot="1" x14ac:dyDescent="0.25">
      <c r="AL443" s="25"/>
      <c r="AM443" s="25"/>
    </row>
    <row r="444" spans="38:39" ht="19.5" thickBot="1" x14ac:dyDescent="0.25">
      <c r="AL444" s="25"/>
      <c r="AM444" s="25"/>
    </row>
    <row r="445" spans="38:39" ht="19.5" thickBot="1" x14ac:dyDescent="0.25">
      <c r="AL445" s="25"/>
      <c r="AM445" s="25"/>
    </row>
    <row r="446" spans="38:39" ht="19.5" thickBot="1" x14ac:dyDescent="0.25">
      <c r="AL446" s="25"/>
      <c r="AM446" s="25"/>
    </row>
    <row r="447" spans="38:39" ht="19.5" thickBot="1" x14ac:dyDescent="0.25">
      <c r="AL447" s="25"/>
      <c r="AM447" s="25"/>
    </row>
    <row r="448" spans="38:39" ht="19.5" thickBot="1" x14ac:dyDescent="0.25">
      <c r="AL448" s="25"/>
      <c r="AM448" s="25"/>
    </row>
    <row r="449" spans="4:39" ht="19.5" thickBot="1" x14ac:dyDescent="0.25">
      <c r="AL449" s="25"/>
      <c r="AM449" s="25"/>
    </row>
    <row r="450" spans="4:39" ht="19.5" thickBot="1" x14ac:dyDescent="0.25">
      <c r="AL450" s="25"/>
      <c r="AM450" s="25"/>
    </row>
    <row r="451" spans="4:39" ht="19.5" thickBot="1" x14ac:dyDescent="0.25">
      <c r="AL451" s="25"/>
      <c r="AM451" s="25"/>
    </row>
    <row r="452" spans="4:39" ht="19.5" thickBot="1" x14ac:dyDescent="0.25">
      <c r="AL452" s="25"/>
      <c r="AM452" s="25"/>
    </row>
    <row r="453" spans="4:39" ht="19.5" thickBot="1" x14ac:dyDescent="0.25">
      <c r="AL453" s="25"/>
      <c r="AM453" s="25"/>
    </row>
    <row r="454" spans="4:39" ht="19.5" thickBot="1" x14ac:dyDescent="0.25">
      <c r="AL454" s="25"/>
      <c r="AM454" s="25"/>
    </row>
    <row r="455" spans="4:39" ht="19.5" thickBot="1" x14ac:dyDescent="0.25">
      <c r="AL455" s="25"/>
      <c r="AM455" s="25"/>
    </row>
    <row r="456" spans="4:39" ht="19.5" thickBot="1" x14ac:dyDescent="0.25">
      <c r="AL456" s="25"/>
      <c r="AM456" s="25"/>
    </row>
    <row r="457" spans="4:39" ht="19.5" thickBot="1" x14ac:dyDescent="0.25">
      <c r="D457">
        <v>1</v>
      </c>
      <c r="AL457" s="25"/>
      <c r="AM457" s="25"/>
    </row>
    <row r="458" spans="4:39" ht="19.5" thickBot="1" x14ac:dyDescent="0.25">
      <c r="D458">
        <v>1</v>
      </c>
      <c r="AL458" s="25"/>
      <c r="AM458" s="25"/>
    </row>
    <row r="459" spans="4:39" ht="19.5" thickBot="1" x14ac:dyDescent="0.25">
      <c r="D459">
        <v>1</v>
      </c>
      <c r="AL459" s="25"/>
      <c r="AM459" s="25"/>
    </row>
    <row r="460" spans="4:39" ht="19.5" thickBot="1" x14ac:dyDescent="0.25">
      <c r="AL460" s="25"/>
      <c r="AM460" s="25"/>
    </row>
    <row r="461" spans="4:39" ht="19.5" thickBot="1" x14ac:dyDescent="0.25">
      <c r="AL461" s="25"/>
      <c r="AM461" s="25"/>
    </row>
    <row r="462" spans="4:39" ht="19.5" thickBot="1" x14ac:dyDescent="0.25">
      <c r="AL462" s="25"/>
      <c r="AM462" s="25"/>
    </row>
    <row r="463" spans="4:39" ht="19.5" thickBot="1" x14ac:dyDescent="0.25">
      <c r="D463">
        <v>1</v>
      </c>
      <c r="AL463" s="25"/>
      <c r="AM463" s="25"/>
    </row>
    <row r="464" spans="4:39" ht="19.5" thickBot="1" x14ac:dyDescent="0.25">
      <c r="D464">
        <v>1</v>
      </c>
      <c r="G464">
        <v>0.85</v>
      </c>
      <c r="H464" s="29">
        <v>0.18</v>
      </c>
      <c r="AL464" s="25"/>
      <c r="AM464" s="25"/>
    </row>
    <row r="465" spans="4:39" ht="19.5" thickBot="1" x14ac:dyDescent="0.25">
      <c r="D465">
        <v>1</v>
      </c>
      <c r="G465">
        <v>0.85</v>
      </c>
      <c r="H465" s="29">
        <v>0.18</v>
      </c>
      <c r="K465" s="29">
        <v>5</v>
      </c>
      <c r="L465" s="29">
        <v>125</v>
      </c>
      <c r="AL465" s="25"/>
      <c r="AM465" s="25"/>
    </row>
    <row r="466" spans="4:39" ht="19.5" thickBot="1" x14ac:dyDescent="0.25">
      <c r="D466">
        <v>1</v>
      </c>
      <c r="G466">
        <v>0.85</v>
      </c>
      <c r="H466" s="29">
        <v>0.18</v>
      </c>
      <c r="AL466" s="25"/>
      <c r="AM466" s="25"/>
    </row>
    <row r="467" spans="4:39" ht="19.5" thickBot="1" x14ac:dyDescent="0.25">
      <c r="D467">
        <v>1</v>
      </c>
      <c r="G467">
        <v>0.85</v>
      </c>
      <c r="H467" s="29">
        <v>0.18</v>
      </c>
      <c r="K467" s="29">
        <v>5</v>
      </c>
      <c r="L467" s="29">
        <v>125</v>
      </c>
      <c r="AL467" s="25"/>
      <c r="AM467" s="25"/>
    </row>
    <row r="468" spans="4:39" ht="19.5" thickBot="1" x14ac:dyDescent="0.25">
      <c r="D468">
        <v>1</v>
      </c>
      <c r="AL468" s="25"/>
      <c r="AM468" s="25"/>
    </row>
    <row r="469" spans="4:39" ht="19.5" thickBot="1" x14ac:dyDescent="0.25">
      <c r="AL469" s="25"/>
      <c r="AM469" s="25"/>
    </row>
    <row r="470" spans="4:39" ht="19.5" thickBot="1" x14ac:dyDescent="0.25">
      <c r="D470">
        <v>1</v>
      </c>
      <c r="AL470" s="25"/>
      <c r="AM470" s="25"/>
    </row>
    <row r="471" spans="4:39" ht="19.5" thickBot="1" x14ac:dyDescent="0.25">
      <c r="D471">
        <v>1</v>
      </c>
      <c r="G471">
        <v>1</v>
      </c>
      <c r="H471" s="29">
        <v>0.15</v>
      </c>
      <c r="K471" s="29">
        <v>5</v>
      </c>
      <c r="L471" s="29">
        <v>125</v>
      </c>
      <c r="AL471" s="25"/>
      <c r="AM471" s="25"/>
    </row>
    <row r="472" spans="4:39" ht="19.5" thickBot="1" x14ac:dyDescent="0.25">
      <c r="D472">
        <v>1</v>
      </c>
      <c r="G472">
        <v>1</v>
      </c>
      <c r="H472" s="29">
        <v>0.15</v>
      </c>
      <c r="K472" s="29">
        <v>5</v>
      </c>
      <c r="L472" s="29">
        <v>125</v>
      </c>
      <c r="AL472" s="25"/>
      <c r="AM472" s="25"/>
    </row>
    <row r="473" spans="4:39" ht="19.5" thickBot="1" x14ac:dyDescent="0.25">
      <c r="AL473" s="25"/>
      <c r="AM473" s="25"/>
    </row>
    <row r="474" spans="4:39" ht="19.5" thickBot="1" x14ac:dyDescent="0.25">
      <c r="AL474" s="25"/>
      <c r="AM474" s="25"/>
    </row>
    <row r="475" spans="4:39" ht="19.5" thickBot="1" x14ac:dyDescent="0.25">
      <c r="AL475" s="25"/>
      <c r="AM475" s="25"/>
    </row>
    <row r="476" spans="4:39" ht="19.5" thickBot="1" x14ac:dyDescent="0.25">
      <c r="AL476" s="25"/>
      <c r="AM476" s="25"/>
    </row>
    <row r="477" spans="4:39" ht="19.5" thickBot="1" x14ac:dyDescent="0.25">
      <c r="AL477" s="25"/>
      <c r="AM477" s="25"/>
    </row>
    <row r="478" spans="4:39" ht="19.5" thickBot="1" x14ac:dyDescent="0.25">
      <c r="AL478" s="25"/>
      <c r="AM478" s="25"/>
    </row>
    <row r="479" spans="4:39" ht="19.5" thickBot="1" x14ac:dyDescent="0.25">
      <c r="AL479" s="25"/>
      <c r="AM479" s="25"/>
    </row>
    <row r="480" spans="4:39" ht="19.5" thickBot="1" x14ac:dyDescent="0.25">
      <c r="AL480" s="25"/>
      <c r="AM480" s="25"/>
    </row>
    <row r="481" spans="38:39" ht="19.5" thickBot="1" x14ac:dyDescent="0.25">
      <c r="AL481" s="25"/>
      <c r="AM481" s="25"/>
    </row>
    <row r="482" spans="38:39" ht="19.5" thickBot="1" x14ac:dyDescent="0.25">
      <c r="AL482" s="25"/>
      <c r="AM482" s="25"/>
    </row>
    <row r="483" spans="38:39" ht="19.5" thickBot="1" x14ac:dyDescent="0.25">
      <c r="AL483" s="25"/>
      <c r="AM483" s="25"/>
    </row>
    <row r="484" spans="38:39" ht="19.5" thickBot="1" x14ac:dyDescent="0.25">
      <c r="AL484" s="25"/>
      <c r="AM484" s="25"/>
    </row>
    <row r="485" spans="38:39" ht="19.5" thickBot="1" x14ac:dyDescent="0.25">
      <c r="AL485" s="25"/>
      <c r="AM485" s="25"/>
    </row>
    <row r="486" spans="38:39" ht="19.5" thickBot="1" x14ac:dyDescent="0.25">
      <c r="AL486" s="25"/>
      <c r="AM486" s="25"/>
    </row>
    <row r="487" spans="38:39" ht="19.5" thickBot="1" x14ac:dyDescent="0.25">
      <c r="AL487" s="25"/>
      <c r="AM487" s="25"/>
    </row>
    <row r="488" spans="38:39" ht="19.5" thickBot="1" x14ac:dyDescent="0.25">
      <c r="AL488" s="25"/>
      <c r="AM488" s="25"/>
    </row>
    <row r="489" spans="38:39" ht="19.5" thickBot="1" x14ac:dyDescent="0.25">
      <c r="AL489" s="25"/>
      <c r="AM489" s="25"/>
    </row>
    <row r="490" spans="38:39" ht="19.5" thickBot="1" x14ac:dyDescent="0.25">
      <c r="AL490" s="25"/>
      <c r="AM490" s="25"/>
    </row>
    <row r="491" spans="38:39" ht="19.5" thickBot="1" x14ac:dyDescent="0.25">
      <c r="AL491" s="25"/>
      <c r="AM491" s="25"/>
    </row>
    <row r="492" spans="38:39" ht="19.5" thickBot="1" x14ac:dyDescent="0.25">
      <c r="AL492" s="25"/>
      <c r="AM492" s="25"/>
    </row>
    <row r="493" spans="38:39" ht="19.5" thickBot="1" x14ac:dyDescent="0.25">
      <c r="AL493" s="25"/>
      <c r="AM493" s="25"/>
    </row>
    <row r="494" spans="38:39" ht="19.5" thickBot="1" x14ac:dyDescent="0.25">
      <c r="AL494" s="25"/>
      <c r="AM494" s="25"/>
    </row>
    <row r="495" spans="38:39" ht="19.5" thickBot="1" x14ac:dyDescent="0.25">
      <c r="AL495" s="25"/>
      <c r="AM495" s="25"/>
    </row>
    <row r="496" spans="38:39" ht="19.5" thickBot="1" x14ac:dyDescent="0.25">
      <c r="AL496" s="25"/>
      <c r="AM496" s="25"/>
    </row>
    <row r="497" spans="38:39" ht="19.5" thickBot="1" x14ac:dyDescent="0.25">
      <c r="AL497" s="25"/>
      <c r="AM497" s="25"/>
    </row>
    <row r="498" spans="38:39" ht="19.5" thickBot="1" x14ac:dyDescent="0.25">
      <c r="AL498" s="25"/>
      <c r="AM498" s="25"/>
    </row>
    <row r="499" spans="38:39" ht="19.5" thickBot="1" x14ac:dyDescent="0.25">
      <c r="AL499" s="25"/>
      <c r="AM499" s="25"/>
    </row>
    <row r="500" spans="38:39" ht="19.5" thickBot="1" x14ac:dyDescent="0.25">
      <c r="AL500" s="25"/>
      <c r="AM500" s="25"/>
    </row>
    <row r="501" spans="38:39" ht="19.5" thickBot="1" x14ac:dyDescent="0.25">
      <c r="AL501" s="25"/>
      <c r="AM501" s="25"/>
    </row>
    <row r="502" spans="38:39" ht="19.5" thickBot="1" x14ac:dyDescent="0.25">
      <c r="AL502" s="25"/>
      <c r="AM502" s="25"/>
    </row>
    <row r="503" spans="38:39" ht="19.5" thickBot="1" x14ac:dyDescent="0.25">
      <c r="AL503" s="25"/>
      <c r="AM503" s="25"/>
    </row>
    <row r="504" spans="38:39" ht="19.5" thickBot="1" x14ac:dyDescent="0.25">
      <c r="AL504" s="25"/>
      <c r="AM504" s="25"/>
    </row>
    <row r="505" spans="38:39" ht="19.5" thickBot="1" x14ac:dyDescent="0.25">
      <c r="AL505" s="25"/>
      <c r="AM505" s="25"/>
    </row>
    <row r="506" spans="38:39" ht="19.5" thickBot="1" x14ac:dyDescent="0.25">
      <c r="AL506" s="25"/>
      <c r="AM506" s="25"/>
    </row>
    <row r="507" spans="38:39" ht="19.5" thickBot="1" x14ac:dyDescent="0.25">
      <c r="AL507" s="25"/>
      <c r="AM507" s="25"/>
    </row>
    <row r="508" spans="38:39" ht="19.5" thickBot="1" x14ac:dyDescent="0.25">
      <c r="AL508" s="25"/>
      <c r="AM508" s="25"/>
    </row>
    <row r="509" spans="38:39" ht="19.5" thickBot="1" x14ac:dyDescent="0.25">
      <c r="AL509" s="25"/>
      <c r="AM509" s="25"/>
    </row>
    <row r="510" spans="38:39" ht="19.5" thickBot="1" x14ac:dyDescent="0.25">
      <c r="AL510" s="25"/>
      <c r="AM510" s="25"/>
    </row>
    <row r="511" spans="38:39" ht="19.5" thickBot="1" x14ac:dyDescent="0.25">
      <c r="AL511" s="25"/>
      <c r="AM511" s="25"/>
    </row>
    <row r="512" spans="38:39" ht="19.5" thickBot="1" x14ac:dyDescent="0.25">
      <c r="AL512" s="25"/>
      <c r="AM512" s="25"/>
    </row>
    <row r="513" spans="38:39" ht="19.5" thickBot="1" x14ac:dyDescent="0.25">
      <c r="AL513" s="25"/>
      <c r="AM513" s="25"/>
    </row>
    <row r="514" spans="38:39" ht="19.5" thickBot="1" x14ac:dyDescent="0.25">
      <c r="AL514" s="25"/>
      <c r="AM514" s="25"/>
    </row>
    <row r="515" spans="38:39" ht="19.5" thickBot="1" x14ac:dyDescent="0.25">
      <c r="AL515" s="25"/>
      <c r="AM515" s="25"/>
    </row>
    <row r="516" spans="38:39" ht="19.5" thickBot="1" x14ac:dyDescent="0.25">
      <c r="AL516" s="25"/>
      <c r="AM516" s="25"/>
    </row>
    <row r="517" spans="38:39" ht="19.5" thickBot="1" x14ac:dyDescent="0.25">
      <c r="AL517" s="25"/>
      <c r="AM517" s="25"/>
    </row>
    <row r="518" spans="38:39" ht="19.5" thickBot="1" x14ac:dyDescent="0.25">
      <c r="AL518" s="25"/>
      <c r="AM518" s="25"/>
    </row>
    <row r="519" spans="38:39" ht="19.5" thickBot="1" x14ac:dyDescent="0.25">
      <c r="AL519" s="25"/>
      <c r="AM519" s="25"/>
    </row>
    <row r="520" spans="38:39" ht="19.5" thickBot="1" x14ac:dyDescent="0.25">
      <c r="AL520" s="25"/>
      <c r="AM520" s="25"/>
    </row>
    <row r="521" spans="38:39" ht="19.5" thickBot="1" x14ac:dyDescent="0.25">
      <c r="AL521" s="25"/>
      <c r="AM521" s="25"/>
    </row>
    <row r="522" spans="38:39" ht="19.5" thickBot="1" x14ac:dyDescent="0.25">
      <c r="AL522" s="25"/>
      <c r="AM522" s="25"/>
    </row>
    <row r="523" spans="38:39" ht="19.5" thickBot="1" x14ac:dyDescent="0.25">
      <c r="AL523" s="25"/>
      <c r="AM523" s="25"/>
    </row>
    <row r="524" spans="38:39" ht="19.5" thickBot="1" x14ac:dyDescent="0.25">
      <c r="AL524" s="25"/>
      <c r="AM524" s="25"/>
    </row>
    <row r="525" spans="38:39" ht="19.5" thickBot="1" x14ac:dyDescent="0.25">
      <c r="AL525" s="25"/>
      <c r="AM525" s="25"/>
    </row>
    <row r="526" spans="38:39" ht="19.5" thickBot="1" x14ac:dyDescent="0.25">
      <c r="AL526" s="25"/>
      <c r="AM526" s="25"/>
    </row>
    <row r="527" spans="38:39" ht="19.5" thickBot="1" x14ac:dyDescent="0.25">
      <c r="AL527" s="25"/>
      <c r="AM527" s="25"/>
    </row>
    <row r="528" spans="38:39" ht="19.5" thickBot="1" x14ac:dyDescent="0.25">
      <c r="AL528" s="25"/>
      <c r="AM528" s="25"/>
    </row>
    <row r="529" spans="38:39" ht="19.5" thickBot="1" x14ac:dyDescent="0.25">
      <c r="AL529" s="25"/>
      <c r="AM529" s="25"/>
    </row>
    <row r="530" spans="38:39" ht="19.5" thickBot="1" x14ac:dyDescent="0.25">
      <c r="AL530" s="25"/>
      <c r="AM530" s="25"/>
    </row>
    <row r="531" spans="38:39" ht="19.5" thickBot="1" x14ac:dyDescent="0.25">
      <c r="AL531" s="25"/>
      <c r="AM531" s="25"/>
    </row>
    <row r="532" spans="38:39" ht="19.5" thickBot="1" x14ac:dyDescent="0.25">
      <c r="AL532" s="25"/>
      <c r="AM532" s="25"/>
    </row>
    <row r="533" spans="38:39" ht="19.5" thickBot="1" x14ac:dyDescent="0.25">
      <c r="AL533" s="25"/>
      <c r="AM533" s="25"/>
    </row>
    <row r="534" spans="38:39" ht="19.5" thickBot="1" x14ac:dyDescent="0.25">
      <c r="AL534" s="25"/>
      <c r="AM534" s="25"/>
    </row>
    <row r="535" spans="38:39" ht="19.5" thickBot="1" x14ac:dyDescent="0.25">
      <c r="AL535" s="25"/>
      <c r="AM535" s="25"/>
    </row>
    <row r="536" spans="38:39" ht="19.5" thickBot="1" x14ac:dyDescent="0.25">
      <c r="AL536" s="25"/>
      <c r="AM536" s="25"/>
    </row>
    <row r="537" spans="38:39" ht="19.5" thickBot="1" x14ac:dyDescent="0.25">
      <c r="AL537" s="25"/>
      <c r="AM537" s="25"/>
    </row>
    <row r="538" spans="38:39" ht="19.5" thickBot="1" x14ac:dyDescent="0.25">
      <c r="AL538" s="25"/>
      <c r="AM538" s="25"/>
    </row>
    <row r="539" spans="38:39" ht="19.5" thickBot="1" x14ac:dyDescent="0.25">
      <c r="AL539" s="25"/>
      <c r="AM539" s="25"/>
    </row>
    <row r="540" spans="38:39" ht="19.5" thickBot="1" x14ac:dyDescent="0.25">
      <c r="AL540" s="25"/>
      <c r="AM540" s="25"/>
    </row>
    <row r="541" spans="38:39" ht="19.5" thickBot="1" x14ac:dyDescent="0.25">
      <c r="AL541" s="25"/>
      <c r="AM541" s="25"/>
    </row>
    <row r="542" spans="38:39" ht="19.5" thickBot="1" x14ac:dyDescent="0.25">
      <c r="AL542" s="25"/>
      <c r="AM542" s="25"/>
    </row>
    <row r="543" spans="38:39" ht="19.5" thickBot="1" x14ac:dyDescent="0.25">
      <c r="AL543" s="25"/>
      <c r="AM543" s="25"/>
    </row>
    <row r="544" spans="38:39" ht="19.5" thickBot="1" x14ac:dyDescent="0.25">
      <c r="AL544" s="25"/>
      <c r="AM544" s="25"/>
    </row>
    <row r="545" spans="38:39" ht="19.5" thickBot="1" x14ac:dyDescent="0.25">
      <c r="AL545" s="25"/>
      <c r="AM545" s="25"/>
    </row>
    <row r="546" spans="38:39" ht="19.5" thickBot="1" x14ac:dyDescent="0.25">
      <c r="AL546" s="25"/>
      <c r="AM546" s="25"/>
    </row>
    <row r="547" spans="38:39" ht="19.5" thickBot="1" x14ac:dyDescent="0.25">
      <c r="AL547" s="25"/>
      <c r="AM547" s="25"/>
    </row>
    <row r="548" spans="38:39" ht="19.5" thickBot="1" x14ac:dyDescent="0.25">
      <c r="AL548" s="25"/>
      <c r="AM548" s="25"/>
    </row>
    <row r="549" spans="38:39" ht="19.5" thickBot="1" x14ac:dyDescent="0.25">
      <c r="AL549" s="25"/>
      <c r="AM549" s="25"/>
    </row>
    <row r="550" spans="38:39" ht="19.5" thickBot="1" x14ac:dyDescent="0.25">
      <c r="AL550" s="25"/>
      <c r="AM550" s="25"/>
    </row>
    <row r="551" spans="38:39" ht="19.5" thickBot="1" x14ac:dyDescent="0.25">
      <c r="AL551" s="25"/>
      <c r="AM551" s="25"/>
    </row>
    <row r="552" spans="38:39" ht="19.5" thickBot="1" x14ac:dyDescent="0.25">
      <c r="AL552" s="25"/>
      <c r="AM552" s="25"/>
    </row>
    <row r="553" spans="38:39" ht="19.5" thickBot="1" x14ac:dyDescent="0.25">
      <c r="AL553" s="25"/>
      <c r="AM553" s="25"/>
    </row>
    <row r="554" spans="38:39" ht="19.5" thickBot="1" x14ac:dyDescent="0.25">
      <c r="AL554" s="25"/>
      <c r="AM554" s="25"/>
    </row>
    <row r="555" spans="38:39" ht="19.5" thickBot="1" x14ac:dyDescent="0.25">
      <c r="AL555" s="25"/>
      <c r="AM555" s="25"/>
    </row>
    <row r="556" spans="38:39" ht="19.5" thickBot="1" x14ac:dyDescent="0.25">
      <c r="AL556" s="25"/>
      <c r="AM556" s="25"/>
    </row>
    <row r="557" spans="38:39" ht="19.5" thickBot="1" x14ac:dyDescent="0.25">
      <c r="AL557" s="25"/>
      <c r="AM557" s="25"/>
    </row>
    <row r="558" spans="38:39" ht="19.5" thickBot="1" x14ac:dyDescent="0.25">
      <c r="AL558" s="25"/>
      <c r="AM558" s="25"/>
    </row>
    <row r="559" spans="38:39" ht="19.5" thickBot="1" x14ac:dyDescent="0.25">
      <c r="AL559" s="25"/>
      <c r="AM559" s="25"/>
    </row>
    <row r="560" spans="38:39" ht="19.5" thickBot="1" x14ac:dyDescent="0.25">
      <c r="AL560" s="25"/>
      <c r="AM560" s="25"/>
    </row>
    <row r="561" spans="38:39" ht="19.5" thickBot="1" x14ac:dyDescent="0.25">
      <c r="AL561" s="25"/>
      <c r="AM561" s="25"/>
    </row>
    <row r="562" spans="38:39" ht="19.5" thickBot="1" x14ac:dyDescent="0.25">
      <c r="AL562" s="25"/>
      <c r="AM562" s="25"/>
    </row>
    <row r="563" spans="38:39" ht="19.5" thickBot="1" x14ac:dyDescent="0.25">
      <c r="AL563" s="25"/>
      <c r="AM563" s="25"/>
    </row>
    <row r="564" spans="38:39" ht="19.5" thickBot="1" x14ac:dyDescent="0.25">
      <c r="AL564" s="25"/>
      <c r="AM564" s="25"/>
    </row>
    <row r="565" spans="38:39" ht="19.5" thickBot="1" x14ac:dyDescent="0.25">
      <c r="AL565" s="25"/>
      <c r="AM565" s="25"/>
    </row>
    <row r="566" spans="38:39" ht="19.5" thickBot="1" x14ac:dyDescent="0.25">
      <c r="AL566" s="25"/>
      <c r="AM566" s="25"/>
    </row>
    <row r="567" spans="38:39" ht="19.5" thickBot="1" x14ac:dyDescent="0.25">
      <c r="AL567" s="25"/>
      <c r="AM567" s="25"/>
    </row>
    <row r="568" spans="38:39" ht="19.5" thickBot="1" x14ac:dyDescent="0.25">
      <c r="AL568" s="25"/>
      <c r="AM568" s="25"/>
    </row>
    <row r="569" spans="38:39" ht="19.5" thickBot="1" x14ac:dyDescent="0.25">
      <c r="AL569" s="25"/>
      <c r="AM569" s="25"/>
    </row>
    <row r="570" spans="38:39" ht="19.5" thickBot="1" x14ac:dyDescent="0.25">
      <c r="AL570" s="25"/>
      <c r="AM570" s="25"/>
    </row>
    <row r="571" spans="38:39" ht="19.5" thickBot="1" x14ac:dyDescent="0.25">
      <c r="AL571" s="25"/>
      <c r="AM571" s="25"/>
    </row>
    <row r="572" spans="38:39" ht="19.5" thickBot="1" x14ac:dyDescent="0.25">
      <c r="AL572" s="25"/>
      <c r="AM572" s="25"/>
    </row>
    <row r="573" spans="38:39" ht="19.5" thickBot="1" x14ac:dyDescent="0.25">
      <c r="AL573" s="25"/>
      <c r="AM573" s="25"/>
    </row>
    <row r="574" spans="38:39" ht="19.5" thickBot="1" x14ac:dyDescent="0.25">
      <c r="AL574" s="25"/>
      <c r="AM574" s="25"/>
    </row>
    <row r="575" spans="38:39" ht="19.5" thickBot="1" x14ac:dyDescent="0.25">
      <c r="AL575" s="25"/>
      <c r="AM575" s="25"/>
    </row>
    <row r="576" spans="38:39" ht="19.5" thickBot="1" x14ac:dyDescent="0.25">
      <c r="AL576" s="25"/>
      <c r="AM576" s="25"/>
    </row>
    <row r="577" spans="38:39" ht="19.5" thickBot="1" x14ac:dyDescent="0.25">
      <c r="AL577" s="25"/>
      <c r="AM577" s="25"/>
    </row>
    <row r="578" spans="38:39" ht="19.5" thickBot="1" x14ac:dyDescent="0.25">
      <c r="AL578" s="25"/>
      <c r="AM578" s="25"/>
    </row>
    <row r="579" spans="38:39" ht="19.5" thickBot="1" x14ac:dyDescent="0.25">
      <c r="AL579" s="25"/>
      <c r="AM579" s="25"/>
    </row>
    <row r="580" spans="38:39" ht="19.5" thickBot="1" x14ac:dyDescent="0.25">
      <c r="AL580" s="25"/>
      <c r="AM580" s="25"/>
    </row>
    <row r="581" spans="38:39" ht="19.5" thickBot="1" x14ac:dyDescent="0.25">
      <c r="AL581" s="25"/>
      <c r="AM581" s="25"/>
    </row>
    <row r="582" spans="38:39" ht="19.5" thickBot="1" x14ac:dyDescent="0.25">
      <c r="AL582" s="25"/>
      <c r="AM582" s="25"/>
    </row>
    <row r="583" spans="38:39" ht="19.5" thickBot="1" x14ac:dyDescent="0.25">
      <c r="AL583" s="25"/>
      <c r="AM583" s="25"/>
    </row>
    <row r="584" spans="38:39" ht="19.5" thickBot="1" x14ac:dyDescent="0.25">
      <c r="AL584" s="25"/>
      <c r="AM584" s="25"/>
    </row>
    <row r="585" spans="38:39" ht="19.5" thickBot="1" x14ac:dyDescent="0.25">
      <c r="AL585" s="25"/>
      <c r="AM585" s="25"/>
    </row>
    <row r="586" spans="38:39" ht="19.5" thickBot="1" x14ac:dyDescent="0.25">
      <c r="AL586" s="25"/>
      <c r="AM586" s="25"/>
    </row>
    <row r="587" spans="38:39" ht="19.5" thickBot="1" x14ac:dyDescent="0.25">
      <c r="AL587" s="25"/>
      <c r="AM587" s="25"/>
    </row>
    <row r="588" spans="38:39" ht="19.5" thickBot="1" x14ac:dyDescent="0.25">
      <c r="AL588" s="25"/>
      <c r="AM588" s="25"/>
    </row>
    <row r="589" spans="38:39" ht="19.5" thickBot="1" x14ac:dyDescent="0.25">
      <c r="AL589" s="25"/>
      <c r="AM589" s="25"/>
    </row>
    <row r="590" spans="38:39" ht="19.5" thickBot="1" x14ac:dyDescent="0.25">
      <c r="AL590" s="25"/>
      <c r="AM590" s="25"/>
    </row>
    <row r="591" spans="38:39" ht="19.5" thickBot="1" x14ac:dyDescent="0.25">
      <c r="AL591" s="25"/>
      <c r="AM591" s="25"/>
    </row>
    <row r="592" spans="38:39" ht="19.5" thickBot="1" x14ac:dyDescent="0.25">
      <c r="AL592" s="25"/>
      <c r="AM592" s="25"/>
    </row>
    <row r="593" spans="38:39" ht="19.5" thickBot="1" x14ac:dyDescent="0.25">
      <c r="AL593" s="25"/>
      <c r="AM593" s="25"/>
    </row>
    <row r="594" spans="38:39" ht="19.5" thickBot="1" x14ac:dyDescent="0.25">
      <c r="AL594" s="25"/>
      <c r="AM594" s="25"/>
    </row>
    <row r="595" spans="38:39" ht="19.5" thickBot="1" x14ac:dyDescent="0.25">
      <c r="AL595" s="25"/>
      <c r="AM595" s="25"/>
    </row>
    <row r="596" spans="38:39" ht="19.5" thickBot="1" x14ac:dyDescent="0.25">
      <c r="AL596" s="25"/>
      <c r="AM596" s="25"/>
    </row>
    <row r="597" spans="38:39" ht="19.5" thickBot="1" x14ac:dyDescent="0.25">
      <c r="AL597" s="25"/>
      <c r="AM597" s="25"/>
    </row>
    <row r="598" spans="38:39" ht="19.5" thickBot="1" x14ac:dyDescent="0.25">
      <c r="AL598" s="25"/>
      <c r="AM598" s="25"/>
    </row>
    <row r="599" spans="38:39" ht="19.5" thickBot="1" x14ac:dyDescent="0.25">
      <c r="AL599" s="25"/>
      <c r="AM599" s="25"/>
    </row>
    <row r="600" spans="38:39" ht="19.5" thickBot="1" x14ac:dyDescent="0.25">
      <c r="AL600" s="25"/>
      <c r="AM600" s="25"/>
    </row>
    <row r="601" spans="38:39" ht="19.5" thickBot="1" x14ac:dyDescent="0.25">
      <c r="AL601" s="25"/>
      <c r="AM601" s="25"/>
    </row>
    <row r="602" spans="38:39" ht="19.5" thickBot="1" x14ac:dyDescent="0.25">
      <c r="AL602" s="25"/>
      <c r="AM602" s="25"/>
    </row>
    <row r="603" spans="38:39" ht="19.5" thickBot="1" x14ac:dyDescent="0.25">
      <c r="AL603" s="25"/>
      <c r="AM603" s="25"/>
    </row>
    <row r="604" spans="38:39" ht="19.5" thickBot="1" x14ac:dyDescent="0.25">
      <c r="AL604" s="25"/>
      <c r="AM604" s="25"/>
    </row>
    <row r="605" spans="38:39" ht="19.5" thickBot="1" x14ac:dyDescent="0.25">
      <c r="AL605" s="25"/>
      <c r="AM605" s="25"/>
    </row>
    <row r="606" spans="38:39" ht="19.5" thickBot="1" x14ac:dyDescent="0.25">
      <c r="AL606" s="25"/>
      <c r="AM606" s="25"/>
    </row>
    <row r="607" spans="38:39" ht="19.5" thickBot="1" x14ac:dyDescent="0.25">
      <c r="AL607" s="25"/>
      <c r="AM607" s="25"/>
    </row>
    <row r="608" spans="38:39" ht="19.5" thickBot="1" x14ac:dyDescent="0.25">
      <c r="AL608" s="25"/>
      <c r="AM608" s="25"/>
    </row>
    <row r="609" spans="38:39" ht="19.5" thickBot="1" x14ac:dyDescent="0.25">
      <c r="AL609" s="25"/>
      <c r="AM609" s="25"/>
    </row>
    <row r="610" spans="38:39" ht="19.5" thickBot="1" x14ac:dyDescent="0.25">
      <c r="AL610" s="25"/>
      <c r="AM610" s="25"/>
    </row>
    <row r="611" spans="38:39" ht="19.5" thickBot="1" x14ac:dyDescent="0.25">
      <c r="AL611" s="25"/>
      <c r="AM611" s="25"/>
    </row>
    <row r="612" spans="38:39" ht="19.5" thickBot="1" x14ac:dyDescent="0.25">
      <c r="AL612" s="25"/>
      <c r="AM612" s="25"/>
    </row>
    <row r="613" spans="38:39" ht="19.5" thickBot="1" x14ac:dyDescent="0.25">
      <c r="AL613" s="25"/>
      <c r="AM613" s="25"/>
    </row>
    <row r="614" spans="38:39" ht="19.5" thickBot="1" x14ac:dyDescent="0.25">
      <c r="AL614" s="25"/>
      <c r="AM614" s="25"/>
    </row>
    <row r="615" spans="38:39" ht="19.5" thickBot="1" x14ac:dyDescent="0.25">
      <c r="AL615" s="25"/>
      <c r="AM615" s="25"/>
    </row>
    <row r="616" spans="38:39" ht="19.5" thickBot="1" x14ac:dyDescent="0.25">
      <c r="AL616" s="25"/>
      <c r="AM616" s="25"/>
    </row>
    <row r="617" spans="38:39" ht="19.5" thickBot="1" x14ac:dyDescent="0.25">
      <c r="AL617" s="25"/>
      <c r="AM617" s="25"/>
    </row>
    <row r="618" spans="38:39" ht="19.5" thickBot="1" x14ac:dyDescent="0.25">
      <c r="AL618" s="25"/>
      <c r="AM618" s="25"/>
    </row>
    <row r="619" spans="38:39" ht="19.5" thickBot="1" x14ac:dyDescent="0.25">
      <c r="AL619" s="25"/>
      <c r="AM619" s="25"/>
    </row>
    <row r="620" spans="38:39" ht="19.5" thickBot="1" x14ac:dyDescent="0.25">
      <c r="AL620" s="25"/>
      <c r="AM620" s="25"/>
    </row>
    <row r="621" spans="38:39" ht="19.5" thickBot="1" x14ac:dyDescent="0.25">
      <c r="AL621" s="25"/>
      <c r="AM621" s="25"/>
    </row>
    <row r="622" spans="38:39" ht="19.5" thickBot="1" x14ac:dyDescent="0.25">
      <c r="AL622" s="25"/>
      <c r="AM622" s="25"/>
    </row>
    <row r="623" spans="38:39" ht="19.5" thickBot="1" x14ac:dyDescent="0.25">
      <c r="AL623" s="25"/>
      <c r="AM623" s="25"/>
    </row>
    <row r="624" spans="38:39" ht="19.5" thickBot="1" x14ac:dyDescent="0.25">
      <c r="AL624" s="25"/>
      <c r="AM624" s="25"/>
    </row>
    <row r="625" spans="38:39" ht="19.5" thickBot="1" x14ac:dyDescent="0.25">
      <c r="AL625" s="25"/>
      <c r="AM625" s="25"/>
    </row>
    <row r="626" spans="38:39" ht="19.5" thickBot="1" x14ac:dyDescent="0.25">
      <c r="AL626" s="25"/>
      <c r="AM626" s="25"/>
    </row>
    <row r="627" spans="38:39" ht="19.5" thickBot="1" x14ac:dyDescent="0.25">
      <c r="AL627" s="25"/>
      <c r="AM627" s="25"/>
    </row>
    <row r="628" spans="38:39" ht="19.5" thickBot="1" x14ac:dyDescent="0.25">
      <c r="AL628" s="25"/>
      <c r="AM628" s="25"/>
    </row>
    <row r="629" spans="38:39" ht="19.5" thickBot="1" x14ac:dyDescent="0.25">
      <c r="AL629" s="25"/>
      <c r="AM629" s="25"/>
    </row>
    <row r="630" spans="38:39" ht="19.5" thickBot="1" x14ac:dyDescent="0.25">
      <c r="AL630" s="25"/>
      <c r="AM630" s="25"/>
    </row>
    <row r="631" spans="38:39" ht="19.5" thickBot="1" x14ac:dyDescent="0.25">
      <c r="AL631" s="25"/>
      <c r="AM631" s="25"/>
    </row>
    <row r="632" spans="38:39" ht="19.5" thickBot="1" x14ac:dyDescent="0.25">
      <c r="AL632" s="25"/>
      <c r="AM632" s="25"/>
    </row>
    <row r="633" spans="38:39" ht="19.5" thickBot="1" x14ac:dyDescent="0.25">
      <c r="AL633" s="25"/>
      <c r="AM633" s="25"/>
    </row>
    <row r="634" spans="38:39" ht="19.5" thickBot="1" x14ac:dyDescent="0.25">
      <c r="AL634" s="25"/>
      <c r="AM634" s="25"/>
    </row>
    <row r="635" spans="38:39" ht="19.5" thickBot="1" x14ac:dyDescent="0.25">
      <c r="AL635" s="25"/>
      <c r="AM635" s="25"/>
    </row>
    <row r="636" spans="38:39" ht="19.5" thickBot="1" x14ac:dyDescent="0.25">
      <c r="AL636" s="25"/>
      <c r="AM636" s="25"/>
    </row>
    <row r="637" spans="38:39" ht="19.5" thickBot="1" x14ac:dyDescent="0.25">
      <c r="AL637" s="25"/>
      <c r="AM637" s="25"/>
    </row>
    <row r="638" spans="38:39" ht="19.5" thickBot="1" x14ac:dyDescent="0.25">
      <c r="AL638" s="25"/>
      <c r="AM638" s="25"/>
    </row>
    <row r="639" spans="38:39" ht="19.5" thickBot="1" x14ac:dyDescent="0.25">
      <c r="AL639" s="25"/>
      <c r="AM639" s="25"/>
    </row>
    <row r="640" spans="38:39" ht="19.5" thickBot="1" x14ac:dyDescent="0.25">
      <c r="AL640" s="25"/>
      <c r="AM640" s="25"/>
    </row>
    <row r="641" spans="38:39" ht="19.5" thickBot="1" x14ac:dyDescent="0.25">
      <c r="AL641" s="25"/>
      <c r="AM641" s="25"/>
    </row>
    <row r="642" spans="38:39" ht="19.5" thickBot="1" x14ac:dyDescent="0.25">
      <c r="AL642" s="25"/>
      <c r="AM642" s="25"/>
    </row>
    <row r="643" spans="38:39" ht="19.5" thickBot="1" x14ac:dyDescent="0.25">
      <c r="AL643" s="25"/>
      <c r="AM643" s="25"/>
    </row>
    <row r="644" spans="38:39" ht="19.5" thickBot="1" x14ac:dyDescent="0.25">
      <c r="AL644" s="25"/>
      <c r="AM644" s="25"/>
    </row>
    <row r="645" spans="38:39" ht="19.5" thickBot="1" x14ac:dyDescent="0.25">
      <c r="AL645" s="25"/>
      <c r="AM645" s="25"/>
    </row>
    <row r="646" spans="38:39" ht="19.5" thickBot="1" x14ac:dyDescent="0.25">
      <c r="AL646" s="25"/>
      <c r="AM646" s="25"/>
    </row>
    <row r="647" spans="38:39" ht="19.5" thickBot="1" x14ac:dyDescent="0.25">
      <c r="AL647" s="25"/>
      <c r="AM647" s="25"/>
    </row>
    <row r="648" spans="38:39" ht="19.5" thickBot="1" x14ac:dyDescent="0.25">
      <c r="AL648" s="25"/>
      <c r="AM648" s="25"/>
    </row>
    <row r="649" spans="38:39" ht="19.5" thickBot="1" x14ac:dyDescent="0.25">
      <c r="AL649" s="25"/>
      <c r="AM649" s="25"/>
    </row>
    <row r="650" spans="38:39" ht="19.5" thickBot="1" x14ac:dyDescent="0.25">
      <c r="AL650" s="25"/>
      <c r="AM650" s="25"/>
    </row>
    <row r="651" spans="38:39" ht="19.5" thickBot="1" x14ac:dyDescent="0.25">
      <c r="AL651" s="25"/>
      <c r="AM651" s="25"/>
    </row>
    <row r="652" spans="38:39" ht="19.5" thickBot="1" x14ac:dyDescent="0.25">
      <c r="AL652" s="25"/>
      <c r="AM652" s="25"/>
    </row>
    <row r="653" spans="38:39" ht="19.5" thickBot="1" x14ac:dyDescent="0.25">
      <c r="AL653" s="25"/>
      <c r="AM653" s="25"/>
    </row>
    <row r="654" spans="38:39" ht="19.5" thickBot="1" x14ac:dyDescent="0.25">
      <c r="AL654" s="25"/>
      <c r="AM654" s="25"/>
    </row>
    <row r="655" spans="38:39" ht="19.5" thickBot="1" x14ac:dyDescent="0.25">
      <c r="AL655" s="25"/>
      <c r="AM655" s="25"/>
    </row>
    <row r="656" spans="38:39" ht="19.5" thickBot="1" x14ac:dyDescent="0.25">
      <c r="AL656" s="25"/>
      <c r="AM656" s="25"/>
    </row>
    <row r="657" spans="38:39" ht="19.5" thickBot="1" x14ac:dyDescent="0.25">
      <c r="AL657" s="25"/>
      <c r="AM657" s="25"/>
    </row>
    <row r="658" spans="38:39" ht="19.5" thickBot="1" x14ac:dyDescent="0.25">
      <c r="AL658" s="25"/>
      <c r="AM658" s="25"/>
    </row>
    <row r="659" spans="38:39" ht="19.5" thickBot="1" x14ac:dyDescent="0.25">
      <c r="AL659" s="25"/>
      <c r="AM659" s="25"/>
    </row>
    <row r="660" spans="38:39" ht="19.5" thickBot="1" x14ac:dyDescent="0.25">
      <c r="AL660" s="25"/>
      <c r="AM660" s="25"/>
    </row>
    <row r="661" spans="38:39" ht="19.5" thickBot="1" x14ac:dyDescent="0.25">
      <c r="AL661" s="25"/>
      <c r="AM661" s="25"/>
    </row>
    <row r="662" spans="38:39" ht="19.5" thickBot="1" x14ac:dyDescent="0.25">
      <c r="AL662" s="25"/>
      <c r="AM662" s="25"/>
    </row>
    <row r="663" spans="38:39" ht="19.5" thickBot="1" x14ac:dyDescent="0.25">
      <c r="AL663" s="25"/>
      <c r="AM663" s="25"/>
    </row>
    <row r="664" spans="38:39" ht="19.5" thickBot="1" x14ac:dyDescent="0.25">
      <c r="AL664" s="25"/>
      <c r="AM664" s="25"/>
    </row>
    <row r="665" spans="38:39" ht="19.5" thickBot="1" x14ac:dyDescent="0.25">
      <c r="AL665" s="25"/>
      <c r="AM665" s="25"/>
    </row>
    <row r="666" spans="38:39" ht="19.5" thickBot="1" x14ac:dyDescent="0.25">
      <c r="AL666" s="25"/>
      <c r="AM666" s="25"/>
    </row>
    <row r="667" spans="38:39" ht="19.5" thickBot="1" x14ac:dyDescent="0.25">
      <c r="AL667" s="25"/>
      <c r="AM667" s="25"/>
    </row>
    <row r="668" spans="38:39" ht="19.5" thickBot="1" x14ac:dyDescent="0.25">
      <c r="AL668" s="25"/>
      <c r="AM668" s="25"/>
    </row>
    <row r="669" spans="38:39" ht="19.5" thickBot="1" x14ac:dyDescent="0.25">
      <c r="AL669" s="25"/>
      <c r="AM669" s="25"/>
    </row>
    <row r="670" spans="38:39" ht="19.5" thickBot="1" x14ac:dyDescent="0.25">
      <c r="AL670" s="25"/>
      <c r="AM670" s="25"/>
    </row>
    <row r="671" spans="38:39" ht="19.5" thickBot="1" x14ac:dyDescent="0.25">
      <c r="AL671" s="25"/>
      <c r="AM671" s="25"/>
    </row>
    <row r="672" spans="38:39" ht="19.5" thickBot="1" x14ac:dyDescent="0.25">
      <c r="AL672" s="25"/>
      <c r="AM672" s="25"/>
    </row>
    <row r="673" spans="38:39" ht="19.5" thickBot="1" x14ac:dyDescent="0.25">
      <c r="AL673" s="25"/>
      <c r="AM673" s="25"/>
    </row>
    <row r="674" spans="38:39" ht="19.5" thickBot="1" x14ac:dyDescent="0.25">
      <c r="AL674" s="25"/>
      <c r="AM674" s="25"/>
    </row>
    <row r="675" spans="38:39" ht="19.5" thickBot="1" x14ac:dyDescent="0.25">
      <c r="AL675" s="25"/>
      <c r="AM675" s="25"/>
    </row>
    <row r="676" spans="38:39" ht="19.5" thickBot="1" x14ac:dyDescent="0.25">
      <c r="AL676" s="25"/>
      <c r="AM676" s="25"/>
    </row>
    <row r="677" spans="38:39" ht="19.5" thickBot="1" x14ac:dyDescent="0.25">
      <c r="AL677" s="25"/>
      <c r="AM677" s="25"/>
    </row>
    <row r="678" spans="38:39" ht="19.5" thickBot="1" x14ac:dyDescent="0.25">
      <c r="AL678" s="25"/>
      <c r="AM678" s="25"/>
    </row>
    <row r="679" spans="38:39" ht="19.5" thickBot="1" x14ac:dyDescent="0.25">
      <c r="AL679" s="25"/>
      <c r="AM679" s="25"/>
    </row>
    <row r="680" spans="38:39" ht="19.5" thickBot="1" x14ac:dyDescent="0.25">
      <c r="AL680" s="25"/>
      <c r="AM680" s="25"/>
    </row>
    <row r="681" spans="38:39" ht="19.5" thickBot="1" x14ac:dyDescent="0.25">
      <c r="AL681" s="25"/>
      <c r="AM681" s="25"/>
    </row>
    <row r="682" spans="38:39" ht="19.5" thickBot="1" x14ac:dyDescent="0.25">
      <c r="AL682" s="25"/>
      <c r="AM682" s="25"/>
    </row>
    <row r="683" spans="38:39" ht="19.5" thickBot="1" x14ac:dyDescent="0.25">
      <c r="AL683" s="25"/>
      <c r="AM683" s="25"/>
    </row>
    <row r="684" spans="38:39" ht="19.5" thickBot="1" x14ac:dyDescent="0.25">
      <c r="AL684" s="25"/>
      <c r="AM684" s="25"/>
    </row>
    <row r="685" spans="38:39" ht="19.5" thickBot="1" x14ac:dyDescent="0.25">
      <c r="AL685" s="25"/>
      <c r="AM685" s="25"/>
    </row>
    <row r="686" spans="38:39" ht="19.5" thickBot="1" x14ac:dyDescent="0.25">
      <c r="AL686" s="25"/>
      <c r="AM686" s="25"/>
    </row>
    <row r="687" spans="38:39" ht="19.5" thickBot="1" x14ac:dyDescent="0.25">
      <c r="AL687" s="25"/>
      <c r="AM687" s="25"/>
    </row>
    <row r="688" spans="38:39" ht="19.5" thickBot="1" x14ac:dyDescent="0.25">
      <c r="AL688" s="25"/>
      <c r="AM688" s="25"/>
    </row>
    <row r="689" spans="38:39" ht="19.5" thickBot="1" x14ac:dyDescent="0.25">
      <c r="AL689" s="25"/>
      <c r="AM689" s="25"/>
    </row>
    <row r="690" spans="38:39" ht="19.5" thickBot="1" x14ac:dyDescent="0.25">
      <c r="AL690" s="25"/>
      <c r="AM690" s="25"/>
    </row>
    <row r="691" spans="38:39" ht="19.5" thickBot="1" x14ac:dyDescent="0.25">
      <c r="AL691" s="25"/>
      <c r="AM691" s="25"/>
    </row>
    <row r="692" spans="38:39" ht="19.5" thickBot="1" x14ac:dyDescent="0.25">
      <c r="AL692" s="25"/>
      <c r="AM692" s="25"/>
    </row>
    <row r="693" spans="38:39" ht="19.5" thickBot="1" x14ac:dyDescent="0.25">
      <c r="AL693" s="25"/>
      <c r="AM693" s="25"/>
    </row>
    <row r="694" spans="38:39" ht="19.5" thickBot="1" x14ac:dyDescent="0.25">
      <c r="AL694" s="25"/>
      <c r="AM694" s="25"/>
    </row>
    <row r="695" spans="38:39" ht="19.5" thickBot="1" x14ac:dyDescent="0.25">
      <c r="AL695" s="25"/>
      <c r="AM695" s="25"/>
    </row>
    <row r="696" spans="38:39" ht="19.5" thickBot="1" x14ac:dyDescent="0.25">
      <c r="AL696" s="25"/>
      <c r="AM696" s="25"/>
    </row>
    <row r="697" spans="38:39" ht="19.5" thickBot="1" x14ac:dyDescent="0.25">
      <c r="AL697" s="25"/>
      <c r="AM697" s="25"/>
    </row>
    <row r="698" spans="38:39" ht="19.5" thickBot="1" x14ac:dyDescent="0.25">
      <c r="AL698" s="25"/>
      <c r="AM698" s="25"/>
    </row>
    <row r="699" spans="38:39" ht="19.5" thickBot="1" x14ac:dyDescent="0.25">
      <c r="AL699" s="25"/>
      <c r="AM699" s="25"/>
    </row>
    <row r="700" spans="38:39" ht="19.5" thickBot="1" x14ac:dyDescent="0.25">
      <c r="AL700" s="25"/>
      <c r="AM700" s="25"/>
    </row>
    <row r="701" spans="38:39" ht="19.5" thickBot="1" x14ac:dyDescent="0.25">
      <c r="AL701" s="25"/>
      <c r="AM701" s="25"/>
    </row>
    <row r="702" spans="38:39" ht="19.5" thickBot="1" x14ac:dyDescent="0.25">
      <c r="AL702" s="25"/>
      <c r="AM702" s="25"/>
    </row>
    <row r="703" spans="38:39" ht="19.5" thickBot="1" x14ac:dyDescent="0.25">
      <c r="AL703" s="25"/>
      <c r="AM703" s="25"/>
    </row>
    <row r="704" spans="38:39" ht="19.5" thickBot="1" x14ac:dyDescent="0.25">
      <c r="AL704" s="25"/>
      <c r="AM704" s="25"/>
    </row>
    <row r="705" spans="38:39" ht="19.5" thickBot="1" x14ac:dyDescent="0.25">
      <c r="AL705" s="25"/>
      <c r="AM705" s="25"/>
    </row>
    <row r="706" spans="38:39" ht="19.5" thickBot="1" x14ac:dyDescent="0.25">
      <c r="AL706" s="25"/>
      <c r="AM706" s="25"/>
    </row>
    <row r="707" spans="38:39" ht="19.5" thickBot="1" x14ac:dyDescent="0.25">
      <c r="AL707" s="25"/>
      <c r="AM707" s="25"/>
    </row>
    <row r="708" spans="38:39" ht="19.5" thickBot="1" x14ac:dyDescent="0.25">
      <c r="AL708" s="25"/>
      <c r="AM708" s="25"/>
    </row>
    <row r="709" spans="38:39" ht="19.5" thickBot="1" x14ac:dyDescent="0.25">
      <c r="AL709" s="25"/>
      <c r="AM709" s="25"/>
    </row>
    <row r="710" spans="38:39" ht="19.5" thickBot="1" x14ac:dyDescent="0.25">
      <c r="AL710" s="25"/>
      <c r="AM710" s="25"/>
    </row>
    <row r="711" spans="38:39" ht="19.5" thickBot="1" x14ac:dyDescent="0.25">
      <c r="AL711" s="25"/>
      <c r="AM711" s="25"/>
    </row>
    <row r="712" spans="38:39" ht="19.5" thickBot="1" x14ac:dyDescent="0.25">
      <c r="AL712" s="25"/>
      <c r="AM712" s="25"/>
    </row>
    <row r="713" spans="38:39" ht="19.5" thickBot="1" x14ac:dyDescent="0.25">
      <c r="AL713" s="25"/>
      <c r="AM713" s="25"/>
    </row>
    <row r="714" spans="38:39" ht="19.5" thickBot="1" x14ac:dyDescent="0.25">
      <c r="AL714" s="25"/>
      <c r="AM714" s="25"/>
    </row>
    <row r="715" spans="38:39" ht="19.5" thickBot="1" x14ac:dyDescent="0.25">
      <c r="AL715" s="25"/>
      <c r="AM715" s="25"/>
    </row>
    <row r="716" spans="38:39" ht="19.5" thickBot="1" x14ac:dyDescent="0.25">
      <c r="AL716" s="25"/>
      <c r="AM716" s="25"/>
    </row>
    <row r="717" spans="38:39" ht="19.5" thickBot="1" x14ac:dyDescent="0.25">
      <c r="AL717" s="25"/>
      <c r="AM717" s="25"/>
    </row>
    <row r="718" spans="38:39" ht="19.5" thickBot="1" x14ac:dyDescent="0.25">
      <c r="AL718" s="25"/>
      <c r="AM718" s="25"/>
    </row>
    <row r="719" spans="38:39" ht="19.5" thickBot="1" x14ac:dyDescent="0.25">
      <c r="AL719" s="25"/>
      <c r="AM719" s="25"/>
    </row>
    <row r="720" spans="38:39" ht="19.5" thickBot="1" x14ac:dyDescent="0.25">
      <c r="AL720" s="25"/>
      <c r="AM720" s="25"/>
    </row>
    <row r="721" spans="38:39" ht="19.5" thickBot="1" x14ac:dyDescent="0.25">
      <c r="AL721" s="25"/>
      <c r="AM721" s="25"/>
    </row>
    <row r="722" spans="38:39" ht="19.5" thickBot="1" x14ac:dyDescent="0.25">
      <c r="AL722" s="25"/>
      <c r="AM722" s="25"/>
    </row>
    <row r="723" spans="38:39" ht="19.5" thickBot="1" x14ac:dyDescent="0.25">
      <c r="AL723" s="25"/>
      <c r="AM723" s="25"/>
    </row>
    <row r="724" spans="38:39" ht="19.5" thickBot="1" x14ac:dyDescent="0.25">
      <c r="AL724" s="25"/>
      <c r="AM724" s="25"/>
    </row>
    <row r="725" spans="38:39" ht="19.5" thickBot="1" x14ac:dyDescent="0.25">
      <c r="AL725" s="25"/>
      <c r="AM725" s="25"/>
    </row>
    <row r="726" spans="38:39" ht="19.5" thickBot="1" x14ac:dyDescent="0.25">
      <c r="AL726" s="25"/>
      <c r="AM726" s="25"/>
    </row>
    <row r="727" spans="38:39" ht="19.5" thickBot="1" x14ac:dyDescent="0.25">
      <c r="AL727" s="25"/>
      <c r="AM727" s="25"/>
    </row>
    <row r="728" spans="38:39" ht="19.5" thickBot="1" x14ac:dyDescent="0.25">
      <c r="AL728" s="25"/>
      <c r="AM728" s="25"/>
    </row>
    <row r="729" spans="38:39" ht="19.5" thickBot="1" x14ac:dyDescent="0.25">
      <c r="AL729" s="25"/>
      <c r="AM729" s="25"/>
    </row>
    <row r="730" spans="38:39" ht="19.5" thickBot="1" x14ac:dyDescent="0.25">
      <c r="AL730" s="25"/>
      <c r="AM730" s="25"/>
    </row>
    <row r="731" spans="38:39" ht="19.5" thickBot="1" x14ac:dyDescent="0.25">
      <c r="AL731" s="25"/>
      <c r="AM731" s="25"/>
    </row>
    <row r="732" spans="38:39" ht="19.5" thickBot="1" x14ac:dyDescent="0.25">
      <c r="AL732" s="25"/>
      <c r="AM732" s="25"/>
    </row>
    <row r="733" spans="38:39" ht="19.5" thickBot="1" x14ac:dyDescent="0.25">
      <c r="AL733" s="25"/>
      <c r="AM733" s="25"/>
    </row>
    <row r="734" spans="38:39" ht="19.5" thickBot="1" x14ac:dyDescent="0.25">
      <c r="AL734" s="25"/>
      <c r="AM734" s="25"/>
    </row>
    <row r="735" spans="38:39" ht="19.5" thickBot="1" x14ac:dyDescent="0.25">
      <c r="AL735" s="25"/>
      <c r="AM735" s="25"/>
    </row>
    <row r="736" spans="38:39" ht="19.5" thickBot="1" x14ac:dyDescent="0.25">
      <c r="AL736" s="25"/>
      <c r="AM736" s="25"/>
    </row>
    <row r="737" spans="38:39" ht="19.5" thickBot="1" x14ac:dyDescent="0.25">
      <c r="AL737" s="25"/>
      <c r="AM737" s="25"/>
    </row>
    <row r="738" spans="38:39" ht="19.5" thickBot="1" x14ac:dyDescent="0.25">
      <c r="AL738" s="25"/>
      <c r="AM738" s="25"/>
    </row>
    <row r="739" spans="38:39" ht="19.5" thickBot="1" x14ac:dyDescent="0.25">
      <c r="AL739" s="25"/>
      <c r="AM739" s="25"/>
    </row>
    <row r="740" spans="38:39" ht="19.5" thickBot="1" x14ac:dyDescent="0.25">
      <c r="AL740" s="25"/>
      <c r="AM740" s="25"/>
    </row>
    <row r="741" spans="38:39" ht="19.5" thickBot="1" x14ac:dyDescent="0.25">
      <c r="AL741" s="25"/>
      <c r="AM741" s="25"/>
    </row>
    <row r="742" spans="38:39" ht="19.5" thickBot="1" x14ac:dyDescent="0.25">
      <c r="AL742" s="25"/>
      <c r="AM742" s="25"/>
    </row>
    <row r="743" spans="38:39" ht="19.5" thickBot="1" x14ac:dyDescent="0.25">
      <c r="AL743" s="25"/>
      <c r="AM743" s="25"/>
    </row>
    <row r="744" spans="38:39" ht="19.5" thickBot="1" x14ac:dyDescent="0.25">
      <c r="AL744" s="25"/>
      <c r="AM744" s="25"/>
    </row>
    <row r="745" spans="38:39" ht="19.5" thickBot="1" x14ac:dyDescent="0.25">
      <c r="AL745" s="25"/>
      <c r="AM745" s="25"/>
    </row>
    <row r="746" spans="38:39" ht="19.5" thickBot="1" x14ac:dyDescent="0.25">
      <c r="AL746" s="25"/>
      <c r="AM746" s="25"/>
    </row>
    <row r="747" spans="38:39" ht="19.5" thickBot="1" x14ac:dyDescent="0.25">
      <c r="AL747" s="25"/>
      <c r="AM747" s="25"/>
    </row>
    <row r="748" spans="38:39" ht="19.5" thickBot="1" x14ac:dyDescent="0.25">
      <c r="AL748" s="25"/>
      <c r="AM748" s="25"/>
    </row>
    <row r="749" spans="38:39" ht="19.5" thickBot="1" x14ac:dyDescent="0.25">
      <c r="AL749" s="25"/>
      <c r="AM749" s="25"/>
    </row>
    <row r="750" spans="38:39" ht="19.5" thickBot="1" x14ac:dyDescent="0.25">
      <c r="AL750" s="25"/>
      <c r="AM750" s="25"/>
    </row>
    <row r="751" spans="38:39" ht="19.5" thickBot="1" x14ac:dyDescent="0.25">
      <c r="AL751" s="25"/>
      <c r="AM751" s="25"/>
    </row>
    <row r="752" spans="38:39" ht="19.5" thickBot="1" x14ac:dyDescent="0.25">
      <c r="AL752" s="25"/>
      <c r="AM752" s="25"/>
    </row>
    <row r="753" spans="38:39" ht="19.5" thickBot="1" x14ac:dyDescent="0.25">
      <c r="AL753" s="25"/>
      <c r="AM753" s="25"/>
    </row>
    <row r="754" spans="38:39" ht="19.5" thickBot="1" x14ac:dyDescent="0.25">
      <c r="AL754" s="25"/>
      <c r="AM754" s="25"/>
    </row>
    <row r="755" spans="38:39" ht="19.5" thickBot="1" x14ac:dyDescent="0.25">
      <c r="AL755" s="25"/>
      <c r="AM755" s="25"/>
    </row>
    <row r="756" spans="38:39" ht="19.5" thickBot="1" x14ac:dyDescent="0.25">
      <c r="AL756" s="25"/>
      <c r="AM756" s="25"/>
    </row>
    <row r="757" spans="38:39" ht="19.5" thickBot="1" x14ac:dyDescent="0.25">
      <c r="AL757" s="25"/>
      <c r="AM757" s="25"/>
    </row>
    <row r="758" spans="38:39" ht="19.5" thickBot="1" x14ac:dyDescent="0.25">
      <c r="AL758" s="25"/>
      <c r="AM758" s="25"/>
    </row>
    <row r="759" spans="38:39" ht="19.5" thickBot="1" x14ac:dyDescent="0.25">
      <c r="AL759" s="25"/>
      <c r="AM759" s="25"/>
    </row>
    <row r="760" spans="38:39" ht="19.5" thickBot="1" x14ac:dyDescent="0.25">
      <c r="AL760" s="25"/>
      <c r="AM760" s="25"/>
    </row>
    <row r="761" spans="38:39" ht="19.5" thickBot="1" x14ac:dyDescent="0.25">
      <c r="AL761" s="25"/>
      <c r="AM761" s="25"/>
    </row>
    <row r="762" spans="38:39" ht="19.5" thickBot="1" x14ac:dyDescent="0.25">
      <c r="AL762" s="25"/>
      <c r="AM762" s="25"/>
    </row>
    <row r="763" spans="38:39" ht="19.5" thickBot="1" x14ac:dyDescent="0.25">
      <c r="AL763" s="25"/>
      <c r="AM763" s="25"/>
    </row>
    <row r="764" spans="38:39" ht="19.5" thickBot="1" x14ac:dyDescent="0.25">
      <c r="AL764" s="25"/>
      <c r="AM764" s="25"/>
    </row>
    <row r="765" spans="38:39" ht="19.5" thickBot="1" x14ac:dyDescent="0.25">
      <c r="AL765" s="25"/>
      <c r="AM765" s="25"/>
    </row>
    <row r="766" spans="38:39" ht="19.5" thickBot="1" x14ac:dyDescent="0.25">
      <c r="AL766" s="25"/>
      <c r="AM766" s="25"/>
    </row>
    <row r="767" spans="38:39" ht="19.5" thickBot="1" x14ac:dyDescent="0.25">
      <c r="AL767" s="25"/>
      <c r="AM767" s="25"/>
    </row>
    <row r="768" spans="38:39" ht="19.5" thickBot="1" x14ac:dyDescent="0.25">
      <c r="AL768" s="25"/>
      <c r="AM768" s="25"/>
    </row>
    <row r="769" spans="38:39" ht="19.5" thickBot="1" x14ac:dyDescent="0.25">
      <c r="AL769" s="25"/>
      <c r="AM769" s="25"/>
    </row>
    <row r="770" spans="38:39" ht="19.5" thickBot="1" x14ac:dyDescent="0.25">
      <c r="AL770" s="25"/>
      <c r="AM770" s="25"/>
    </row>
    <row r="771" spans="38:39" ht="19.5" thickBot="1" x14ac:dyDescent="0.25">
      <c r="AL771" s="25"/>
      <c r="AM771" s="25"/>
    </row>
    <row r="772" spans="38:39" ht="19.5" thickBot="1" x14ac:dyDescent="0.25">
      <c r="AL772" s="25"/>
      <c r="AM772" s="25"/>
    </row>
    <row r="773" spans="38:39" ht="19.5" thickBot="1" x14ac:dyDescent="0.25">
      <c r="AL773" s="25"/>
      <c r="AM773" s="25"/>
    </row>
    <row r="774" spans="38:39" ht="19.5" thickBot="1" x14ac:dyDescent="0.25">
      <c r="AL774" s="25"/>
      <c r="AM774" s="25"/>
    </row>
    <row r="775" spans="38:39" ht="19.5" thickBot="1" x14ac:dyDescent="0.25">
      <c r="AL775" s="25"/>
      <c r="AM775" s="25"/>
    </row>
    <row r="776" spans="38:39" ht="19.5" thickBot="1" x14ac:dyDescent="0.25">
      <c r="AL776" s="25"/>
      <c r="AM776" s="25"/>
    </row>
    <row r="777" spans="38:39" ht="19.5" thickBot="1" x14ac:dyDescent="0.25">
      <c r="AL777" s="25"/>
      <c r="AM777" s="25"/>
    </row>
    <row r="778" spans="38:39" ht="19.5" thickBot="1" x14ac:dyDescent="0.25">
      <c r="AL778" s="25"/>
      <c r="AM778" s="25"/>
    </row>
    <row r="779" spans="38:39" ht="19.5" thickBot="1" x14ac:dyDescent="0.25">
      <c r="AL779" s="25"/>
      <c r="AM779" s="25"/>
    </row>
    <row r="780" spans="38:39" ht="19.5" thickBot="1" x14ac:dyDescent="0.25">
      <c r="AL780" s="25"/>
      <c r="AM780" s="25"/>
    </row>
    <row r="781" spans="38:39" ht="19.5" thickBot="1" x14ac:dyDescent="0.25">
      <c r="AL781" s="25"/>
      <c r="AM781" s="25"/>
    </row>
    <row r="782" spans="38:39" ht="19.5" thickBot="1" x14ac:dyDescent="0.25">
      <c r="AL782" s="25"/>
      <c r="AM782" s="25"/>
    </row>
    <row r="783" spans="38:39" ht="19.5" thickBot="1" x14ac:dyDescent="0.25">
      <c r="AL783" s="25"/>
      <c r="AM783" s="25"/>
    </row>
    <row r="784" spans="38:39" ht="19.5" thickBot="1" x14ac:dyDescent="0.25">
      <c r="AL784" s="25"/>
      <c r="AM784" s="25"/>
    </row>
    <row r="785" spans="38:39" ht="19.5" thickBot="1" x14ac:dyDescent="0.25">
      <c r="AL785" s="25"/>
      <c r="AM785" s="25"/>
    </row>
    <row r="786" spans="38:39" ht="19.5" thickBot="1" x14ac:dyDescent="0.25">
      <c r="AL786" s="25"/>
      <c r="AM786" s="25"/>
    </row>
    <row r="787" spans="38:39" ht="19.5" thickBot="1" x14ac:dyDescent="0.25">
      <c r="AL787" s="25"/>
      <c r="AM787" s="25"/>
    </row>
    <row r="788" spans="38:39" ht="19.5" thickBot="1" x14ac:dyDescent="0.25">
      <c r="AL788" s="25"/>
      <c r="AM788" s="25"/>
    </row>
    <row r="789" spans="38:39" ht="19.5" thickBot="1" x14ac:dyDescent="0.25">
      <c r="AL789" s="25"/>
      <c r="AM789" s="25"/>
    </row>
    <row r="790" spans="38:39" ht="19.5" thickBot="1" x14ac:dyDescent="0.25">
      <c r="AL790" s="25"/>
      <c r="AM790" s="25"/>
    </row>
    <row r="791" spans="38:39" ht="19.5" thickBot="1" x14ac:dyDescent="0.25">
      <c r="AL791" s="25"/>
      <c r="AM791" s="25"/>
    </row>
    <row r="792" spans="38:39" ht="19.5" thickBot="1" x14ac:dyDescent="0.25">
      <c r="AL792" s="25"/>
      <c r="AM792" s="25"/>
    </row>
    <row r="793" spans="38:39" ht="19.5" thickBot="1" x14ac:dyDescent="0.25">
      <c r="AL793" s="25"/>
      <c r="AM793" s="25"/>
    </row>
    <row r="794" spans="38:39" ht="19.5" thickBot="1" x14ac:dyDescent="0.25">
      <c r="AL794" s="25"/>
      <c r="AM794" s="25"/>
    </row>
    <row r="795" spans="38:39" ht="19.5" thickBot="1" x14ac:dyDescent="0.25">
      <c r="AL795" s="25"/>
      <c r="AM795" s="25"/>
    </row>
    <row r="796" spans="38:39" ht="19.5" thickBot="1" x14ac:dyDescent="0.25">
      <c r="AL796" s="25"/>
      <c r="AM796" s="25"/>
    </row>
    <row r="797" spans="38:39" ht="19.5" thickBot="1" x14ac:dyDescent="0.25">
      <c r="AL797" s="25"/>
      <c r="AM797" s="25"/>
    </row>
    <row r="798" spans="38:39" ht="19.5" thickBot="1" x14ac:dyDescent="0.25">
      <c r="AL798" s="25"/>
      <c r="AM798" s="25"/>
    </row>
    <row r="799" spans="38:39" ht="19.5" thickBot="1" x14ac:dyDescent="0.25">
      <c r="AL799" s="25"/>
      <c r="AM799" s="25"/>
    </row>
    <row r="800" spans="38:39" ht="19.5" thickBot="1" x14ac:dyDescent="0.25">
      <c r="AL800" s="25"/>
      <c r="AM800" s="25"/>
    </row>
    <row r="801" spans="38:39" ht="19.5" thickBot="1" x14ac:dyDescent="0.25">
      <c r="AL801" s="25"/>
      <c r="AM801" s="25"/>
    </row>
    <row r="802" spans="38:39" ht="19.5" thickBot="1" x14ac:dyDescent="0.25">
      <c r="AL802" s="25"/>
      <c r="AM802" s="25"/>
    </row>
    <row r="803" spans="38:39" ht="19.5" thickBot="1" x14ac:dyDescent="0.25">
      <c r="AL803" s="25"/>
      <c r="AM803" s="25"/>
    </row>
    <row r="804" spans="38:39" ht="19.5" thickBot="1" x14ac:dyDescent="0.25">
      <c r="AL804" s="25"/>
      <c r="AM804" s="25"/>
    </row>
    <row r="805" spans="38:39" ht="19.5" thickBot="1" x14ac:dyDescent="0.25">
      <c r="AL805" s="25"/>
      <c r="AM805" s="25"/>
    </row>
    <row r="806" spans="38:39" ht="19.5" thickBot="1" x14ac:dyDescent="0.25">
      <c r="AL806" s="25"/>
      <c r="AM806" s="25"/>
    </row>
    <row r="807" spans="38:39" ht="19.5" thickBot="1" x14ac:dyDescent="0.25">
      <c r="AL807" s="25"/>
      <c r="AM807" s="25"/>
    </row>
    <row r="808" spans="38:39" ht="19.5" thickBot="1" x14ac:dyDescent="0.25">
      <c r="AL808" s="25"/>
      <c r="AM808" s="25"/>
    </row>
    <row r="809" spans="38:39" ht="19.5" thickBot="1" x14ac:dyDescent="0.25">
      <c r="AL809" s="25"/>
      <c r="AM809" s="25"/>
    </row>
    <row r="810" spans="38:39" ht="19.5" thickBot="1" x14ac:dyDescent="0.25">
      <c r="AL810" s="25"/>
      <c r="AM810" s="25"/>
    </row>
    <row r="811" spans="38:39" ht="19.5" thickBot="1" x14ac:dyDescent="0.25">
      <c r="AL811" s="25"/>
      <c r="AM811" s="25"/>
    </row>
    <row r="812" spans="38:39" ht="19.5" thickBot="1" x14ac:dyDescent="0.25">
      <c r="AL812" s="25"/>
      <c r="AM812" s="25"/>
    </row>
    <row r="813" spans="38:39" ht="19.5" thickBot="1" x14ac:dyDescent="0.25">
      <c r="AL813" s="25"/>
      <c r="AM813" s="25"/>
    </row>
    <row r="814" spans="38:39" ht="19.5" thickBot="1" x14ac:dyDescent="0.25">
      <c r="AL814" s="25"/>
      <c r="AM814" s="25"/>
    </row>
    <row r="815" spans="38:39" ht="19.5" thickBot="1" x14ac:dyDescent="0.25">
      <c r="AL815" s="25"/>
      <c r="AM815" s="25"/>
    </row>
    <row r="816" spans="38:39" ht="19.5" thickBot="1" x14ac:dyDescent="0.25">
      <c r="AL816" s="25"/>
      <c r="AM816" s="25"/>
    </row>
    <row r="817" spans="38:39" ht="19.5" thickBot="1" x14ac:dyDescent="0.25">
      <c r="AL817" s="25"/>
      <c r="AM817" s="25"/>
    </row>
    <row r="818" spans="38:39" ht="19.5" thickBot="1" x14ac:dyDescent="0.25">
      <c r="AL818" s="25"/>
      <c r="AM818" s="25"/>
    </row>
    <row r="819" spans="38:39" ht="19.5" thickBot="1" x14ac:dyDescent="0.25">
      <c r="AL819" s="25"/>
      <c r="AM819" s="25"/>
    </row>
    <row r="820" spans="38:39" ht="19.5" thickBot="1" x14ac:dyDescent="0.25">
      <c r="AL820" s="25"/>
      <c r="AM820" s="25"/>
    </row>
    <row r="821" spans="38:39" ht="19.5" thickBot="1" x14ac:dyDescent="0.25">
      <c r="AL821" s="25"/>
      <c r="AM821" s="25"/>
    </row>
    <row r="822" spans="38:39" ht="19.5" thickBot="1" x14ac:dyDescent="0.25">
      <c r="AL822" s="25"/>
      <c r="AM822" s="25"/>
    </row>
    <row r="823" spans="38:39" ht="19.5" thickBot="1" x14ac:dyDescent="0.25">
      <c r="AL823" s="25"/>
      <c r="AM823" s="25"/>
    </row>
    <row r="824" spans="38:39" ht="19.5" thickBot="1" x14ac:dyDescent="0.25">
      <c r="AL824" s="25"/>
      <c r="AM824" s="25"/>
    </row>
    <row r="825" spans="38:39" ht="19.5" thickBot="1" x14ac:dyDescent="0.25">
      <c r="AL825" s="25"/>
      <c r="AM825" s="25"/>
    </row>
    <row r="826" spans="38:39" ht="19.5" thickBot="1" x14ac:dyDescent="0.25">
      <c r="AL826" s="25"/>
      <c r="AM826" s="25"/>
    </row>
    <row r="827" spans="38:39" ht="19.5" thickBot="1" x14ac:dyDescent="0.25">
      <c r="AL827" s="25"/>
      <c r="AM827" s="25"/>
    </row>
    <row r="828" spans="38:39" ht="19.5" thickBot="1" x14ac:dyDescent="0.25">
      <c r="AL828" s="25"/>
      <c r="AM828" s="25"/>
    </row>
    <row r="829" spans="38:39" ht="19.5" thickBot="1" x14ac:dyDescent="0.25">
      <c r="AL829" s="25"/>
      <c r="AM829" s="25"/>
    </row>
    <row r="830" spans="38:39" ht="19.5" thickBot="1" x14ac:dyDescent="0.25">
      <c r="AL830" s="25"/>
      <c r="AM830" s="25"/>
    </row>
    <row r="831" spans="38:39" ht="19.5" thickBot="1" x14ac:dyDescent="0.25">
      <c r="AL831" s="25"/>
      <c r="AM831" s="25"/>
    </row>
    <row r="832" spans="38:39" ht="19.5" thickBot="1" x14ac:dyDescent="0.25">
      <c r="AL832" s="25"/>
      <c r="AM832" s="25"/>
    </row>
    <row r="833" spans="38:39" ht="19.5" thickBot="1" x14ac:dyDescent="0.25">
      <c r="AL833" s="25"/>
      <c r="AM833" s="25"/>
    </row>
    <row r="834" spans="38:39" ht="19.5" thickBot="1" x14ac:dyDescent="0.25">
      <c r="AL834" s="25"/>
      <c r="AM834" s="25"/>
    </row>
    <row r="835" spans="38:39" ht="19.5" thickBot="1" x14ac:dyDescent="0.25">
      <c r="AL835" s="25"/>
      <c r="AM835" s="25"/>
    </row>
    <row r="836" spans="38:39" ht="19.5" thickBot="1" x14ac:dyDescent="0.25">
      <c r="AL836" s="25"/>
      <c r="AM836" s="25"/>
    </row>
    <row r="837" spans="38:39" ht="19.5" thickBot="1" x14ac:dyDescent="0.25">
      <c r="AL837" s="25"/>
      <c r="AM837" s="25"/>
    </row>
    <row r="838" spans="38:39" ht="19.5" thickBot="1" x14ac:dyDescent="0.25">
      <c r="AL838" s="25"/>
      <c r="AM838" s="25"/>
    </row>
    <row r="839" spans="38:39" ht="19.5" thickBot="1" x14ac:dyDescent="0.25">
      <c r="AL839" s="25"/>
      <c r="AM839" s="25"/>
    </row>
    <row r="840" spans="38:39" ht="19.5" thickBot="1" x14ac:dyDescent="0.25">
      <c r="AL840" s="25"/>
      <c r="AM840" s="25"/>
    </row>
    <row r="841" spans="38:39" ht="19.5" thickBot="1" x14ac:dyDescent="0.25">
      <c r="AL841" s="25"/>
      <c r="AM841" s="25"/>
    </row>
    <row r="842" spans="38:39" ht="19.5" thickBot="1" x14ac:dyDescent="0.25">
      <c r="AL842" s="25"/>
      <c r="AM842" s="25"/>
    </row>
    <row r="843" spans="38:39" ht="19.5" thickBot="1" x14ac:dyDescent="0.25">
      <c r="AL843" s="25"/>
      <c r="AM843" s="25"/>
    </row>
    <row r="844" spans="38:39" ht="19.5" thickBot="1" x14ac:dyDescent="0.25">
      <c r="AL844" s="25"/>
      <c r="AM844" s="25"/>
    </row>
    <row r="845" spans="38:39" ht="19.5" thickBot="1" x14ac:dyDescent="0.25">
      <c r="AL845" s="25"/>
      <c r="AM845" s="25"/>
    </row>
    <row r="846" spans="38:39" ht="19.5" thickBot="1" x14ac:dyDescent="0.25">
      <c r="AL846" s="25"/>
      <c r="AM846" s="25"/>
    </row>
    <row r="847" spans="38:39" ht="19.5" thickBot="1" x14ac:dyDescent="0.25">
      <c r="AL847" s="25"/>
      <c r="AM847" s="25"/>
    </row>
    <row r="848" spans="38:39" ht="19.5" thickBot="1" x14ac:dyDescent="0.25">
      <c r="AL848" s="25"/>
      <c r="AM848" s="25"/>
    </row>
    <row r="849" spans="38:39" ht="19.5" thickBot="1" x14ac:dyDescent="0.25">
      <c r="AL849" s="25"/>
      <c r="AM849" s="25"/>
    </row>
    <row r="850" spans="38:39" ht="19.5" thickBot="1" x14ac:dyDescent="0.25">
      <c r="AL850" s="25"/>
      <c r="AM850" s="25"/>
    </row>
    <row r="851" spans="38:39" ht="19.5" thickBot="1" x14ac:dyDescent="0.25">
      <c r="AL851" s="25"/>
      <c r="AM851" s="25"/>
    </row>
    <row r="852" spans="38:39" ht="19.5" thickBot="1" x14ac:dyDescent="0.25">
      <c r="AL852" s="25"/>
      <c r="AM852" s="25"/>
    </row>
    <row r="853" spans="38:39" ht="19.5" thickBot="1" x14ac:dyDescent="0.25">
      <c r="AL853" s="25"/>
      <c r="AM853" s="25"/>
    </row>
    <row r="854" spans="38:39" ht="19.5" thickBot="1" x14ac:dyDescent="0.25">
      <c r="AL854" s="25"/>
      <c r="AM854" s="25"/>
    </row>
    <row r="855" spans="38:39" ht="19.5" thickBot="1" x14ac:dyDescent="0.25">
      <c r="AL855" s="25"/>
      <c r="AM855" s="25"/>
    </row>
    <row r="856" spans="38:39" ht="19.5" thickBot="1" x14ac:dyDescent="0.25">
      <c r="AL856" s="25"/>
      <c r="AM856" s="25"/>
    </row>
    <row r="857" spans="38:39" ht="19.5" thickBot="1" x14ac:dyDescent="0.25">
      <c r="AL857" s="25"/>
      <c r="AM857" s="25"/>
    </row>
    <row r="858" spans="38:39" ht="19.5" thickBot="1" x14ac:dyDescent="0.25">
      <c r="AL858" s="25"/>
      <c r="AM858" s="25"/>
    </row>
    <row r="859" spans="38:39" ht="19.5" thickBot="1" x14ac:dyDescent="0.25">
      <c r="AL859" s="25"/>
      <c r="AM859" s="25"/>
    </row>
    <row r="860" spans="38:39" ht="19.5" thickBot="1" x14ac:dyDescent="0.25">
      <c r="AL860" s="25"/>
      <c r="AM860" s="25"/>
    </row>
    <row r="861" spans="38:39" ht="19.5" thickBot="1" x14ac:dyDescent="0.25">
      <c r="AL861" s="25"/>
      <c r="AM861" s="25"/>
    </row>
    <row r="862" spans="38:39" ht="19.5" thickBot="1" x14ac:dyDescent="0.25">
      <c r="AL862" s="25"/>
      <c r="AM862" s="25"/>
    </row>
    <row r="863" spans="38:39" ht="19.5" thickBot="1" x14ac:dyDescent="0.25">
      <c r="AL863" s="25"/>
      <c r="AM863" s="25"/>
    </row>
    <row r="864" spans="38:39" ht="19.5" thickBot="1" x14ac:dyDescent="0.25">
      <c r="AL864" s="25"/>
      <c r="AM864" s="25"/>
    </row>
    <row r="865" spans="38:39" ht="19.5" thickBot="1" x14ac:dyDescent="0.25">
      <c r="AL865" s="25"/>
      <c r="AM865" s="25"/>
    </row>
    <row r="866" spans="38:39" ht="19.5" thickBot="1" x14ac:dyDescent="0.25">
      <c r="AL866" s="25"/>
      <c r="AM866" s="25"/>
    </row>
    <row r="867" spans="38:39" ht="19.5" thickBot="1" x14ac:dyDescent="0.25">
      <c r="AL867" s="25"/>
      <c r="AM867" s="25"/>
    </row>
    <row r="868" spans="38:39" ht="19.5" thickBot="1" x14ac:dyDescent="0.25">
      <c r="AL868" s="25"/>
      <c r="AM868" s="25"/>
    </row>
    <row r="869" spans="38:39" ht="19.5" thickBot="1" x14ac:dyDescent="0.25">
      <c r="AL869" s="25"/>
      <c r="AM869" s="25"/>
    </row>
    <row r="870" spans="38:39" ht="19.5" thickBot="1" x14ac:dyDescent="0.25">
      <c r="AL870" s="25"/>
      <c r="AM870" s="25"/>
    </row>
    <row r="871" spans="38:39" ht="19.5" thickBot="1" x14ac:dyDescent="0.25">
      <c r="AL871" s="25"/>
      <c r="AM871" s="25"/>
    </row>
    <row r="872" spans="38:39" ht="19.5" thickBot="1" x14ac:dyDescent="0.25">
      <c r="AL872" s="25"/>
      <c r="AM872" s="25"/>
    </row>
    <row r="873" spans="38:39" ht="19.5" thickBot="1" x14ac:dyDescent="0.25">
      <c r="AL873" s="25"/>
      <c r="AM873" s="25"/>
    </row>
    <row r="874" spans="38:39" ht="19.5" thickBot="1" x14ac:dyDescent="0.25">
      <c r="AL874" s="25"/>
      <c r="AM874" s="25"/>
    </row>
    <row r="875" spans="38:39" ht="19.5" thickBot="1" x14ac:dyDescent="0.25">
      <c r="AL875" s="25"/>
      <c r="AM875" s="25"/>
    </row>
    <row r="876" spans="38:39" ht="19.5" thickBot="1" x14ac:dyDescent="0.25">
      <c r="AL876" s="25"/>
      <c r="AM876" s="25"/>
    </row>
    <row r="877" spans="38:39" ht="19.5" thickBot="1" x14ac:dyDescent="0.25">
      <c r="AL877" s="25"/>
      <c r="AM877" s="25"/>
    </row>
    <row r="878" spans="38:39" ht="19.5" thickBot="1" x14ac:dyDescent="0.25">
      <c r="AL878" s="25"/>
      <c r="AM878" s="25"/>
    </row>
    <row r="879" spans="38:39" ht="19.5" thickBot="1" x14ac:dyDescent="0.25">
      <c r="AL879" s="25"/>
      <c r="AM879" s="25"/>
    </row>
    <row r="880" spans="38:39" ht="19.5" thickBot="1" x14ac:dyDescent="0.25">
      <c r="AL880" s="25"/>
      <c r="AM880" s="25"/>
    </row>
    <row r="881" spans="38:39" ht="19.5" thickBot="1" x14ac:dyDescent="0.25">
      <c r="AL881" s="25"/>
      <c r="AM881" s="25"/>
    </row>
    <row r="882" spans="38:39" ht="19.5" thickBot="1" x14ac:dyDescent="0.25">
      <c r="AL882" s="25"/>
      <c r="AM882" s="25"/>
    </row>
    <row r="883" spans="38:39" ht="19.5" thickBot="1" x14ac:dyDescent="0.25">
      <c r="AL883" s="25"/>
      <c r="AM883" s="25"/>
    </row>
    <row r="884" spans="38:39" ht="19.5" thickBot="1" x14ac:dyDescent="0.25">
      <c r="AL884" s="25"/>
      <c r="AM884" s="25"/>
    </row>
    <row r="885" spans="38:39" ht="19.5" thickBot="1" x14ac:dyDescent="0.25">
      <c r="AL885" s="25"/>
      <c r="AM885" s="25"/>
    </row>
    <row r="886" spans="38:39" ht="19.5" thickBot="1" x14ac:dyDescent="0.25">
      <c r="AL886" s="25"/>
      <c r="AM886" s="25"/>
    </row>
    <row r="887" spans="38:39" ht="19.5" thickBot="1" x14ac:dyDescent="0.25">
      <c r="AL887" s="25"/>
      <c r="AM887" s="25"/>
    </row>
    <row r="888" spans="38:39" ht="19.5" thickBot="1" x14ac:dyDescent="0.25">
      <c r="AL888" s="25"/>
      <c r="AM888" s="25"/>
    </row>
    <row r="889" spans="38:39" ht="19.5" thickBot="1" x14ac:dyDescent="0.25">
      <c r="AL889" s="25"/>
      <c r="AM889" s="25"/>
    </row>
    <row r="890" spans="38:39" ht="19.5" thickBot="1" x14ac:dyDescent="0.25">
      <c r="AL890" s="25"/>
      <c r="AM890" s="25"/>
    </row>
    <row r="891" spans="38:39" ht="19.5" thickBot="1" x14ac:dyDescent="0.25">
      <c r="AL891" s="25"/>
      <c r="AM891" s="25"/>
    </row>
    <row r="892" spans="38:39" ht="19.5" thickBot="1" x14ac:dyDescent="0.25">
      <c r="AL892" s="25"/>
      <c r="AM892" s="25"/>
    </row>
    <row r="893" spans="38:39" ht="19.5" thickBot="1" x14ac:dyDescent="0.25">
      <c r="AL893" s="25"/>
      <c r="AM893" s="25"/>
    </row>
    <row r="894" spans="38:39" ht="19.5" thickBot="1" x14ac:dyDescent="0.25">
      <c r="AL894" s="25"/>
      <c r="AM894" s="25"/>
    </row>
    <row r="895" spans="38:39" ht="19.5" thickBot="1" x14ac:dyDescent="0.25">
      <c r="AL895" s="25"/>
      <c r="AM895" s="25"/>
    </row>
    <row r="896" spans="38:39" ht="19.5" thickBot="1" x14ac:dyDescent="0.25">
      <c r="AL896" s="25"/>
      <c r="AM896" s="25"/>
    </row>
    <row r="897" spans="38:39" ht="19.5" thickBot="1" x14ac:dyDescent="0.25">
      <c r="AL897" s="25"/>
      <c r="AM897" s="25"/>
    </row>
    <row r="898" spans="38:39" ht="19.5" thickBot="1" x14ac:dyDescent="0.25">
      <c r="AL898" s="25"/>
      <c r="AM898" s="25"/>
    </row>
    <row r="899" spans="38:39" ht="19.5" thickBot="1" x14ac:dyDescent="0.25">
      <c r="AL899" s="25"/>
      <c r="AM899" s="25"/>
    </row>
    <row r="900" spans="38:39" ht="19.5" thickBot="1" x14ac:dyDescent="0.25">
      <c r="AL900" s="25"/>
      <c r="AM900" s="25"/>
    </row>
    <row r="901" spans="38:39" ht="19.5" thickBot="1" x14ac:dyDescent="0.25">
      <c r="AL901" s="25"/>
      <c r="AM901" s="25"/>
    </row>
    <row r="902" spans="38:39" ht="19.5" thickBot="1" x14ac:dyDescent="0.25">
      <c r="AL902" s="25"/>
      <c r="AM902" s="25"/>
    </row>
    <row r="903" spans="38:39" ht="19.5" thickBot="1" x14ac:dyDescent="0.25">
      <c r="AL903" s="25"/>
      <c r="AM903" s="25"/>
    </row>
    <row r="904" spans="38:39" ht="19.5" thickBot="1" x14ac:dyDescent="0.25">
      <c r="AL904" s="25"/>
      <c r="AM904" s="25"/>
    </row>
    <row r="905" spans="38:39" ht="19.5" thickBot="1" x14ac:dyDescent="0.25">
      <c r="AL905" s="25"/>
      <c r="AM905" s="25"/>
    </row>
    <row r="906" spans="38:39" ht="19.5" thickBot="1" x14ac:dyDescent="0.25">
      <c r="AL906" s="25"/>
      <c r="AM906" s="25"/>
    </row>
    <row r="907" spans="38:39" ht="19.5" thickBot="1" x14ac:dyDescent="0.25">
      <c r="AL907" s="25"/>
      <c r="AM907" s="25"/>
    </row>
    <row r="908" spans="38:39" ht="19.5" thickBot="1" x14ac:dyDescent="0.25">
      <c r="AL908" s="25"/>
      <c r="AM908" s="25"/>
    </row>
    <row r="909" spans="38:39" ht="19.5" thickBot="1" x14ac:dyDescent="0.25">
      <c r="AL909" s="25"/>
      <c r="AM909" s="25"/>
    </row>
    <row r="910" spans="38:39" ht="19.5" thickBot="1" x14ac:dyDescent="0.25">
      <c r="AL910" s="25"/>
      <c r="AM910" s="25"/>
    </row>
    <row r="911" spans="38:39" ht="19.5" thickBot="1" x14ac:dyDescent="0.25">
      <c r="AL911" s="25"/>
      <c r="AM911" s="25"/>
    </row>
    <row r="912" spans="38:39" ht="19.5" thickBot="1" x14ac:dyDescent="0.25">
      <c r="AL912" s="25"/>
      <c r="AM912" s="25"/>
    </row>
    <row r="913" spans="38:39" ht="19.5" thickBot="1" x14ac:dyDescent="0.25">
      <c r="AL913" s="25"/>
      <c r="AM913" s="25"/>
    </row>
    <row r="914" spans="38:39" ht="19.5" thickBot="1" x14ac:dyDescent="0.25">
      <c r="AL914" s="25"/>
      <c r="AM914" s="25"/>
    </row>
    <row r="915" spans="38:39" ht="19.5" thickBot="1" x14ac:dyDescent="0.25">
      <c r="AL915" s="25"/>
      <c r="AM915" s="25"/>
    </row>
    <row r="916" spans="38:39" ht="19.5" thickBot="1" x14ac:dyDescent="0.25">
      <c r="AL916" s="25"/>
      <c r="AM916" s="25"/>
    </row>
    <row r="917" spans="38:39" ht="19.5" thickBot="1" x14ac:dyDescent="0.25">
      <c r="AL917" s="25"/>
      <c r="AM917" s="25"/>
    </row>
    <row r="918" spans="38:39" ht="19.5" thickBot="1" x14ac:dyDescent="0.25">
      <c r="AL918" s="25"/>
      <c r="AM918" s="25"/>
    </row>
    <row r="919" spans="38:39" ht="19.5" thickBot="1" x14ac:dyDescent="0.25">
      <c r="AL919" s="25"/>
      <c r="AM919" s="25"/>
    </row>
    <row r="920" spans="38:39" ht="19.5" thickBot="1" x14ac:dyDescent="0.25">
      <c r="AL920" s="25"/>
      <c r="AM920" s="25"/>
    </row>
    <row r="921" spans="38:39" ht="19.5" thickBot="1" x14ac:dyDescent="0.25">
      <c r="AL921" s="25"/>
      <c r="AM921" s="25"/>
    </row>
    <row r="922" spans="38:39" ht="19.5" thickBot="1" x14ac:dyDescent="0.25">
      <c r="AL922" s="25"/>
      <c r="AM922" s="25"/>
    </row>
    <row r="923" spans="38:39" ht="19.5" thickBot="1" x14ac:dyDescent="0.25">
      <c r="AL923" s="25"/>
      <c r="AM923" s="25"/>
    </row>
    <row r="924" spans="38:39" ht="19.5" thickBot="1" x14ac:dyDescent="0.25">
      <c r="AL924" s="25"/>
      <c r="AM924" s="25"/>
    </row>
    <row r="925" spans="38:39" ht="19.5" thickBot="1" x14ac:dyDescent="0.25">
      <c r="AL925" s="25"/>
      <c r="AM925" s="25"/>
    </row>
    <row r="926" spans="38:39" ht="19.5" thickBot="1" x14ac:dyDescent="0.25">
      <c r="AL926" s="25"/>
      <c r="AM926" s="25"/>
    </row>
    <row r="927" spans="38:39" ht="19.5" thickBot="1" x14ac:dyDescent="0.25">
      <c r="AL927" s="25"/>
      <c r="AM927" s="25"/>
    </row>
    <row r="928" spans="38:39" ht="19.5" thickBot="1" x14ac:dyDescent="0.25">
      <c r="AL928" s="25"/>
      <c r="AM928" s="25"/>
    </row>
    <row r="929" spans="38:39" ht="19.5" thickBot="1" x14ac:dyDescent="0.25">
      <c r="AL929" s="25"/>
      <c r="AM929" s="25"/>
    </row>
    <row r="930" spans="38:39" ht="19.5" thickBot="1" x14ac:dyDescent="0.25">
      <c r="AL930" s="25"/>
      <c r="AM930" s="25"/>
    </row>
    <row r="931" spans="38:39" ht="19.5" thickBot="1" x14ac:dyDescent="0.25">
      <c r="AL931" s="25"/>
      <c r="AM931" s="25"/>
    </row>
    <row r="932" spans="38:39" ht="19.5" thickBot="1" x14ac:dyDescent="0.25">
      <c r="AL932" s="25"/>
      <c r="AM932" s="25"/>
    </row>
    <row r="933" spans="38:39" ht="19.5" thickBot="1" x14ac:dyDescent="0.25">
      <c r="AL933" s="25"/>
      <c r="AM933" s="25"/>
    </row>
    <row r="934" spans="38:39" ht="19.5" thickBot="1" x14ac:dyDescent="0.25">
      <c r="AL934" s="25"/>
      <c r="AM934" s="25"/>
    </row>
    <row r="935" spans="38:39" ht="19.5" thickBot="1" x14ac:dyDescent="0.25">
      <c r="AL935" s="25"/>
      <c r="AM935" s="25"/>
    </row>
    <row r="936" spans="38:39" ht="19.5" thickBot="1" x14ac:dyDescent="0.25">
      <c r="AL936" s="25"/>
      <c r="AM936" s="25"/>
    </row>
    <row r="937" spans="38:39" ht="19.5" thickBot="1" x14ac:dyDescent="0.25">
      <c r="AL937" s="25"/>
      <c r="AM937" s="25"/>
    </row>
    <row r="938" spans="38:39" ht="19.5" thickBot="1" x14ac:dyDescent="0.25">
      <c r="AL938" s="25"/>
      <c r="AM938" s="25"/>
    </row>
    <row r="939" spans="38:39" ht="19.5" thickBot="1" x14ac:dyDescent="0.25">
      <c r="AL939" s="25"/>
      <c r="AM939" s="25"/>
    </row>
    <row r="940" spans="38:39" ht="19.5" thickBot="1" x14ac:dyDescent="0.25">
      <c r="AL940" s="25"/>
      <c r="AM940" s="25"/>
    </row>
    <row r="941" spans="38:39" ht="19.5" thickBot="1" x14ac:dyDescent="0.25">
      <c r="AL941" s="25"/>
      <c r="AM941" s="25"/>
    </row>
    <row r="942" spans="38:39" ht="19.5" thickBot="1" x14ac:dyDescent="0.25">
      <c r="AL942" s="25"/>
      <c r="AM942" s="25"/>
    </row>
    <row r="943" spans="38:39" ht="19.5" thickBot="1" x14ac:dyDescent="0.25">
      <c r="AL943" s="25"/>
      <c r="AM943" s="25"/>
    </row>
    <row r="944" spans="38:39" ht="19.5" thickBot="1" x14ac:dyDescent="0.25">
      <c r="AL944" s="25"/>
      <c r="AM944" s="25"/>
    </row>
    <row r="945" spans="38:39" ht="19.5" thickBot="1" x14ac:dyDescent="0.25">
      <c r="AL945" s="25"/>
      <c r="AM945" s="25"/>
    </row>
    <row r="946" spans="38:39" ht="19.5" thickBot="1" x14ac:dyDescent="0.25">
      <c r="AL946" s="25"/>
      <c r="AM946" s="25"/>
    </row>
    <row r="947" spans="38:39" ht="19.5" thickBot="1" x14ac:dyDescent="0.25">
      <c r="AL947" s="25"/>
      <c r="AM947" s="25"/>
    </row>
    <row r="948" spans="38:39" ht="19.5" thickBot="1" x14ac:dyDescent="0.25">
      <c r="AL948" s="25"/>
      <c r="AM948" s="25"/>
    </row>
    <row r="949" spans="38:39" ht="19.5" thickBot="1" x14ac:dyDescent="0.25">
      <c r="AL949" s="25"/>
      <c r="AM949" s="25"/>
    </row>
    <row r="950" spans="38:39" ht="19.5" thickBot="1" x14ac:dyDescent="0.25">
      <c r="AL950" s="25"/>
      <c r="AM950" s="25"/>
    </row>
    <row r="951" spans="38:39" ht="19.5" thickBot="1" x14ac:dyDescent="0.25">
      <c r="AL951" s="25"/>
      <c r="AM951" s="25"/>
    </row>
    <row r="952" spans="38:39" ht="19.5" thickBot="1" x14ac:dyDescent="0.25">
      <c r="AL952" s="25"/>
      <c r="AM952" s="25"/>
    </row>
    <row r="953" spans="38:39" ht="19.5" thickBot="1" x14ac:dyDescent="0.25">
      <c r="AL953" s="25"/>
      <c r="AM953" s="25"/>
    </row>
    <row r="954" spans="38:39" ht="19.5" thickBot="1" x14ac:dyDescent="0.25">
      <c r="AL954" s="25"/>
      <c r="AM954" s="25"/>
    </row>
    <row r="955" spans="38:39" ht="19.5" thickBot="1" x14ac:dyDescent="0.25">
      <c r="AL955" s="25"/>
      <c r="AM955" s="25"/>
    </row>
    <row r="956" spans="38:39" ht="19.5" thickBot="1" x14ac:dyDescent="0.25">
      <c r="AL956" s="25"/>
      <c r="AM956" s="25"/>
    </row>
    <row r="957" spans="38:39" ht="19.5" thickBot="1" x14ac:dyDescent="0.25">
      <c r="AL957" s="25"/>
      <c r="AM957" s="25"/>
    </row>
    <row r="958" spans="38:39" ht="19.5" thickBot="1" x14ac:dyDescent="0.25">
      <c r="AL958" s="25"/>
      <c r="AM958" s="25"/>
    </row>
    <row r="959" spans="38:39" ht="19.5" thickBot="1" x14ac:dyDescent="0.25">
      <c r="AL959" s="25"/>
      <c r="AM959" s="25"/>
    </row>
    <row r="960" spans="38:39" ht="19.5" thickBot="1" x14ac:dyDescent="0.25">
      <c r="AL960" s="25"/>
      <c r="AM960" s="25"/>
    </row>
    <row r="961" spans="38:39" ht="19.5" thickBot="1" x14ac:dyDescent="0.25">
      <c r="AL961" s="25"/>
      <c r="AM961" s="25"/>
    </row>
    <row r="962" spans="38:39" ht="19.5" thickBot="1" x14ac:dyDescent="0.25">
      <c r="AL962" s="25"/>
      <c r="AM962" s="25"/>
    </row>
    <row r="963" spans="38:39" ht="19.5" thickBot="1" x14ac:dyDescent="0.25">
      <c r="AL963" s="25"/>
      <c r="AM963" s="25"/>
    </row>
    <row r="964" spans="38:39" ht="19.5" thickBot="1" x14ac:dyDescent="0.25">
      <c r="AL964" s="25"/>
      <c r="AM964" s="25"/>
    </row>
    <row r="965" spans="38:39" ht="19.5" thickBot="1" x14ac:dyDescent="0.25">
      <c r="AL965" s="25"/>
      <c r="AM965" s="25"/>
    </row>
    <row r="966" spans="38:39" ht="19.5" thickBot="1" x14ac:dyDescent="0.25">
      <c r="AL966" s="25"/>
      <c r="AM966" s="25"/>
    </row>
    <row r="967" spans="38:39" ht="19.5" thickBot="1" x14ac:dyDescent="0.25">
      <c r="AL967" s="25"/>
      <c r="AM967" s="25"/>
    </row>
    <row r="968" spans="38:39" ht="19.5" thickBot="1" x14ac:dyDescent="0.25">
      <c r="AL968" s="25"/>
      <c r="AM968" s="25"/>
    </row>
    <row r="969" spans="38:39" ht="19.5" thickBot="1" x14ac:dyDescent="0.25">
      <c r="AL969" s="25"/>
      <c r="AM969" s="25"/>
    </row>
    <row r="970" spans="38:39" ht="19.5" thickBot="1" x14ac:dyDescent="0.25">
      <c r="AL970" s="25"/>
      <c r="AM970" s="25"/>
    </row>
    <row r="971" spans="38:39" ht="19.5" thickBot="1" x14ac:dyDescent="0.25">
      <c r="AL971" s="25"/>
      <c r="AM971" s="25"/>
    </row>
    <row r="972" spans="38:39" ht="19.5" thickBot="1" x14ac:dyDescent="0.25">
      <c r="AL972" s="25"/>
      <c r="AM972" s="25"/>
    </row>
    <row r="973" spans="38:39" ht="19.5" thickBot="1" x14ac:dyDescent="0.25">
      <c r="AL973" s="25"/>
      <c r="AM973" s="25"/>
    </row>
    <row r="974" spans="38:39" ht="19.5" thickBot="1" x14ac:dyDescent="0.25">
      <c r="AL974" s="25"/>
      <c r="AM974" s="25"/>
    </row>
    <row r="975" spans="38:39" ht="19.5" thickBot="1" x14ac:dyDescent="0.25">
      <c r="AL975" s="25"/>
      <c r="AM975" s="25"/>
    </row>
    <row r="976" spans="38:39" ht="19.5" thickBot="1" x14ac:dyDescent="0.25">
      <c r="AL976" s="25"/>
      <c r="AM976" s="25"/>
    </row>
    <row r="977" spans="38:39" ht="19.5" thickBot="1" x14ac:dyDescent="0.25">
      <c r="AL977" s="25"/>
      <c r="AM977" s="25"/>
    </row>
    <row r="978" spans="38:39" ht="19.5" thickBot="1" x14ac:dyDescent="0.25">
      <c r="AL978" s="25"/>
      <c r="AM978" s="25"/>
    </row>
    <row r="979" spans="38:39" ht="19.5" thickBot="1" x14ac:dyDescent="0.25">
      <c r="AL979" s="25"/>
      <c r="AM979" s="25"/>
    </row>
    <row r="980" spans="38:39" ht="19.5" thickBot="1" x14ac:dyDescent="0.25">
      <c r="AL980" s="25"/>
      <c r="AM980" s="25"/>
    </row>
    <row r="981" spans="38:39" ht="19.5" thickBot="1" x14ac:dyDescent="0.25">
      <c r="AL981" s="25"/>
      <c r="AM981" s="25"/>
    </row>
    <row r="982" spans="38:39" ht="19.5" thickBot="1" x14ac:dyDescent="0.25">
      <c r="AL982" s="25"/>
      <c r="AM982" s="25"/>
    </row>
    <row r="983" spans="38:39" ht="19.5" thickBot="1" x14ac:dyDescent="0.25">
      <c r="AL983" s="25"/>
      <c r="AM983" s="25"/>
    </row>
    <row r="984" spans="38:39" ht="19.5" thickBot="1" x14ac:dyDescent="0.25">
      <c r="AL984" s="25"/>
      <c r="AM984" s="25"/>
    </row>
    <row r="985" spans="38:39" ht="19.5" thickBot="1" x14ac:dyDescent="0.25">
      <c r="AL985" s="25"/>
      <c r="AM985" s="25"/>
    </row>
    <row r="986" spans="38:39" ht="19.5" thickBot="1" x14ac:dyDescent="0.25">
      <c r="AL986" s="25"/>
      <c r="AM986" s="25"/>
    </row>
    <row r="987" spans="38:39" ht="19.5" thickBot="1" x14ac:dyDescent="0.25">
      <c r="AL987" s="25"/>
      <c r="AM987" s="25"/>
    </row>
    <row r="988" spans="38:39" ht="19.5" thickBot="1" x14ac:dyDescent="0.25">
      <c r="AL988" s="25"/>
      <c r="AM988" s="25"/>
    </row>
    <row r="989" spans="38:39" ht="19.5" thickBot="1" x14ac:dyDescent="0.25">
      <c r="AL989" s="25"/>
      <c r="AM989" s="25"/>
    </row>
    <row r="990" spans="38:39" ht="19.5" thickBot="1" x14ac:dyDescent="0.25">
      <c r="AL990" s="25"/>
      <c r="AM990" s="25"/>
    </row>
    <row r="991" spans="38:39" ht="19.5" thickBot="1" x14ac:dyDescent="0.25">
      <c r="AL991" s="25"/>
      <c r="AM991" s="25"/>
    </row>
    <row r="992" spans="38:39" ht="19.5" thickBot="1" x14ac:dyDescent="0.25">
      <c r="AL992" s="25"/>
      <c r="AM992" s="25"/>
    </row>
    <row r="993" spans="38:39" ht="19.5" thickBot="1" x14ac:dyDescent="0.25">
      <c r="AL993" s="25"/>
      <c r="AM993" s="25"/>
    </row>
    <row r="994" spans="38:39" ht="19.5" thickBot="1" x14ac:dyDescent="0.25">
      <c r="AL994" s="25"/>
      <c r="AM994" s="25"/>
    </row>
    <row r="995" spans="38:39" ht="19.5" thickBot="1" x14ac:dyDescent="0.25">
      <c r="AL995" s="25"/>
      <c r="AM995" s="25"/>
    </row>
    <row r="996" spans="38:39" ht="19.5" thickBot="1" x14ac:dyDescent="0.25">
      <c r="AL996" s="25"/>
      <c r="AM996" s="25"/>
    </row>
    <row r="997" spans="38:39" ht="19.5" thickBot="1" x14ac:dyDescent="0.25">
      <c r="AL997" s="25"/>
      <c r="AM997" s="25"/>
    </row>
    <row r="998" spans="38:39" ht="19.5" thickBot="1" x14ac:dyDescent="0.25">
      <c r="AL998" s="25"/>
      <c r="AM998" s="25"/>
    </row>
    <row r="999" spans="38:39" ht="19.5" thickBot="1" x14ac:dyDescent="0.25">
      <c r="AL999" s="25"/>
      <c r="AM999" s="25"/>
    </row>
    <row r="1000" spans="38:39" ht="19.5" thickBot="1" x14ac:dyDescent="0.25">
      <c r="AL1000" s="25"/>
      <c r="AM1000" s="25"/>
    </row>
    <row r="1001" spans="38:39" ht="19.5" thickBot="1" x14ac:dyDescent="0.25">
      <c r="AL1001" s="25"/>
      <c r="AM1001" s="25"/>
    </row>
    <row r="1002" spans="38:39" ht="19.5" thickBot="1" x14ac:dyDescent="0.25">
      <c r="AL1002" s="25"/>
      <c r="AM1002" s="25"/>
    </row>
    <row r="1003" spans="38:39" ht="19.5" thickBot="1" x14ac:dyDescent="0.25">
      <c r="AL1003" s="25"/>
      <c r="AM1003" s="25"/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3870-46DF-49B1-BC22-93BD7CD95387}">
  <sheetPr codeName="Sheet7">
    <tabColor theme="7" tint="0.79998168889431442"/>
  </sheetPr>
  <dimension ref="A1:AV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4" sqref="D14"/>
    </sheetView>
  </sheetViews>
  <sheetFormatPr defaultRowHeight="18.75" x14ac:dyDescent="0.4"/>
  <cols>
    <col min="1" max="1" width="15.125" bestFit="1" customWidth="1"/>
    <col min="2" max="2" width="20.375" customWidth="1"/>
    <col min="5" max="6" width="5.25" bestFit="1" customWidth="1"/>
    <col min="27" max="29" width="9" style="1"/>
  </cols>
  <sheetData>
    <row r="1" spans="1:48" x14ac:dyDescent="0.4">
      <c r="A1" s="21" t="s">
        <v>1134</v>
      </c>
      <c r="B1" s="21" t="s">
        <v>1133</v>
      </c>
      <c r="C1" s="52" t="s">
        <v>1132</v>
      </c>
      <c r="D1" s="52" t="s">
        <v>1131</v>
      </c>
      <c r="E1" s="52" t="s">
        <v>1130</v>
      </c>
      <c r="F1" s="52" t="s">
        <v>1129</v>
      </c>
      <c r="G1" s="52" t="s">
        <v>1128</v>
      </c>
      <c r="H1" s="52" t="s">
        <v>1127</v>
      </c>
      <c r="I1" s="52" t="s">
        <v>1126</v>
      </c>
      <c r="J1" s="52" t="s">
        <v>1125</v>
      </c>
      <c r="K1" s="52" t="s">
        <v>1124</v>
      </c>
      <c r="L1" s="52" t="s">
        <v>1123</v>
      </c>
      <c r="M1" s="52" t="s">
        <v>1122</v>
      </c>
      <c r="N1" s="52" t="s">
        <v>1121</v>
      </c>
      <c r="O1" s="52" t="s">
        <v>1120</v>
      </c>
      <c r="P1" s="52" t="s">
        <v>1119</v>
      </c>
      <c r="Q1" s="52" t="s">
        <v>1118</v>
      </c>
      <c r="R1" s="52" t="s">
        <v>1117</v>
      </c>
      <c r="S1" s="52" t="s">
        <v>1116</v>
      </c>
      <c r="T1" s="52" t="s">
        <v>1115</v>
      </c>
      <c r="U1" s="52" t="s">
        <v>1114</v>
      </c>
      <c r="V1" s="52" t="s">
        <v>1113</v>
      </c>
      <c r="W1" s="52" t="s">
        <v>1112</v>
      </c>
      <c r="X1" s="52" t="s">
        <v>1111</v>
      </c>
      <c r="Y1" s="52" t="s">
        <v>1110</v>
      </c>
      <c r="Z1" s="52" t="s">
        <v>1109</v>
      </c>
      <c r="AA1" s="52" t="s">
        <v>1108</v>
      </c>
      <c r="AB1" s="52" t="s">
        <v>1107</v>
      </c>
      <c r="AC1" s="52" t="s">
        <v>1106</v>
      </c>
      <c r="AD1" s="52" t="s">
        <v>1105</v>
      </c>
      <c r="AE1" s="52" t="s">
        <v>1104</v>
      </c>
      <c r="AF1" s="52" t="s">
        <v>1103</v>
      </c>
      <c r="AG1" s="52" t="s">
        <v>1102</v>
      </c>
      <c r="AH1" s="52" t="s">
        <v>1101</v>
      </c>
      <c r="AI1" s="52" t="s">
        <v>1100</v>
      </c>
      <c r="AJ1" s="52" t="s">
        <v>1099</v>
      </c>
      <c r="AK1" s="52" t="s">
        <v>1098</v>
      </c>
      <c r="AL1" s="52" t="s">
        <v>1097</v>
      </c>
      <c r="AM1" s="52" t="s">
        <v>1096</v>
      </c>
      <c r="AN1" s="52" t="s">
        <v>1095</v>
      </c>
      <c r="AO1" s="52" t="s">
        <v>1094</v>
      </c>
      <c r="AP1" s="52" t="s">
        <v>1093</v>
      </c>
      <c r="AQ1" s="52" t="s">
        <v>1092</v>
      </c>
      <c r="AR1" s="52" t="s">
        <v>1091</v>
      </c>
      <c r="AS1" s="52" t="s">
        <v>1090</v>
      </c>
      <c r="AT1" s="52" t="s">
        <v>1089</v>
      </c>
      <c r="AU1" s="52" t="s">
        <v>1088</v>
      </c>
      <c r="AV1" s="52" t="s">
        <v>1087</v>
      </c>
    </row>
    <row r="2" spans="1:48" x14ac:dyDescent="0.4">
      <c r="A2" t="s">
        <v>1225</v>
      </c>
      <c r="C2" t="s">
        <v>479</v>
      </c>
      <c r="D2" t="s">
        <v>477</v>
      </c>
      <c r="E2" t="s">
        <v>475</v>
      </c>
      <c r="F2" t="s">
        <v>471</v>
      </c>
      <c r="G2" t="s">
        <v>467</v>
      </c>
      <c r="H2" t="s">
        <v>1086</v>
      </c>
      <c r="J2" t="s">
        <v>1085</v>
      </c>
      <c r="K2" t="s">
        <v>1084</v>
      </c>
      <c r="M2" t="s">
        <v>1083</v>
      </c>
      <c r="N2" t="s">
        <v>1082</v>
      </c>
      <c r="O2" s="1" t="s">
        <v>1081</v>
      </c>
      <c r="P2" s="1" t="s">
        <v>1080</v>
      </c>
      <c r="Q2" s="1" t="s">
        <v>1079</v>
      </c>
      <c r="R2" s="1" t="s">
        <v>1078</v>
      </c>
      <c r="S2" t="s">
        <v>1077</v>
      </c>
      <c r="T2" t="s">
        <v>1076</v>
      </c>
      <c r="U2" t="s">
        <v>1075</v>
      </c>
      <c r="V2" t="s">
        <v>1074</v>
      </c>
      <c r="W2" t="s">
        <v>1073</v>
      </c>
      <c r="X2" t="s">
        <v>1072</v>
      </c>
      <c r="Y2" t="s">
        <v>1071</v>
      </c>
      <c r="Z2" t="s">
        <v>1070</v>
      </c>
      <c r="AA2" t="s">
        <v>1069</v>
      </c>
      <c r="AB2"/>
      <c r="AC2" t="s">
        <v>1068</v>
      </c>
      <c r="AD2" t="s">
        <v>1067</v>
      </c>
      <c r="AE2" t="s">
        <v>1066</v>
      </c>
      <c r="AF2" t="s">
        <v>1065</v>
      </c>
      <c r="AG2" t="s">
        <v>1064</v>
      </c>
      <c r="AH2" t="s">
        <v>1063</v>
      </c>
      <c r="AJ2" t="s">
        <v>1062</v>
      </c>
      <c r="AK2" t="s">
        <v>1061</v>
      </c>
      <c r="AL2" t="s">
        <v>1060</v>
      </c>
      <c r="AM2" t="s">
        <v>1059</v>
      </c>
      <c r="AN2" t="s">
        <v>1058</v>
      </c>
      <c r="AO2" t="s">
        <v>1057</v>
      </c>
      <c r="AP2" t="s">
        <v>1056</v>
      </c>
      <c r="AQ2" t="s">
        <v>1055</v>
      </c>
      <c r="AR2" t="s">
        <v>1054</v>
      </c>
      <c r="AS2" t="s">
        <v>1053</v>
      </c>
      <c r="AT2" t="s">
        <v>1052</v>
      </c>
      <c r="AU2" t="s">
        <v>1051</v>
      </c>
      <c r="AV2" t="s">
        <v>1050</v>
      </c>
    </row>
    <row r="3" spans="1:48" ht="37.5" x14ac:dyDescent="0.4">
      <c r="A3" t="s">
        <v>1226</v>
      </c>
      <c r="C3" t="s">
        <v>479</v>
      </c>
      <c r="D3" t="s">
        <v>477</v>
      </c>
      <c r="E3" t="s">
        <v>475</v>
      </c>
      <c r="F3" t="s">
        <v>471</v>
      </c>
      <c r="G3" t="s">
        <v>467</v>
      </c>
      <c r="H3" t="s">
        <v>1049</v>
      </c>
      <c r="J3" t="s">
        <v>1048</v>
      </c>
      <c r="K3" t="s">
        <v>1047</v>
      </c>
      <c r="M3" t="s">
        <v>1046</v>
      </c>
      <c r="N3" t="s">
        <v>1045</v>
      </c>
      <c r="O3" s="1" t="s">
        <v>1044</v>
      </c>
      <c r="P3" s="1" t="s">
        <v>1043</v>
      </c>
      <c r="Q3" s="1" t="s">
        <v>1042</v>
      </c>
      <c r="R3" s="1" t="s">
        <v>1041</v>
      </c>
      <c r="S3" s="1"/>
      <c r="T3" s="1"/>
      <c r="U3" t="s">
        <v>1040</v>
      </c>
      <c r="V3" t="s">
        <v>1039</v>
      </c>
      <c r="W3" t="s">
        <v>1038</v>
      </c>
      <c r="X3" t="s">
        <v>1037</v>
      </c>
      <c r="Y3" s="1"/>
      <c r="Z3" s="1"/>
      <c r="AA3" t="s">
        <v>1036</v>
      </c>
      <c r="AB3"/>
      <c r="AC3" t="s">
        <v>1035</v>
      </c>
      <c r="AD3" t="s">
        <v>1034</v>
      </c>
      <c r="AE3" s="1" t="s">
        <v>1033</v>
      </c>
      <c r="AF3" s="1" t="s">
        <v>1032</v>
      </c>
      <c r="AG3" s="1" t="s">
        <v>1031</v>
      </c>
    </row>
    <row r="4" spans="1:48" x14ac:dyDescent="0.4">
      <c r="AA4"/>
      <c r="AB4"/>
      <c r="AC4"/>
    </row>
    <row r="5" spans="1:48" x14ac:dyDescent="0.4">
      <c r="AB5"/>
    </row>
    <row r="6" spans="1:48" x14ac:dyDescent="0.4">
      <c r="AB6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51D2-9AA6-4139-A05F-CC29009C5E27}">
  <sheetPr codeName="Sheet8"/>
  <dimension ref="A1:B40"/>
  <sheetViews>
    <sheetView topLeftCell="A13" workbookViewId="0">
      <selection activeCell="A24" sqref="A24:B40"/>
    </sheetView>
  </sheetViews>
  <sheetFormatPr defaultRowHeight="18.75" x14ac:dyDescent="0.4"/>
  <sheetData>
    <row r="1" spans="1:2" x14ac:dyDescent="0.4">
      <c r="A1" t="s">
        <v>1295</v>
      </c>
      <c r="B1" t="s">
        <v>1296</v>
      </c>
    </row>
    <row r="2" spans="1:2" x14ac:dyDescent="0.4">
      <c r="A2" t="s">
        <v>133</v>
      </c>
      <c r="B2" t="s">
        <v>1297</v>
      </c>
    </row>
    <row r="3" spans="1:2" x14ac:dyDescent="0.4">
      <c r="A3" t="s">
        <v>130</v>
      </c>
      <c r="B3" t="s">
        <v>1298</v>
      </c>
    </row>
    <row r="4" spans="1:2" x14ac:dyDescent="0.4">
      <c r="A4" t="s">
        <v>129</v>
      </c>
      <c r="B4" t="s">
        <v>1299</v>
      </c>
    </row>
    <row r="5" spans="1:2" x14ac:dyDescent="0.4">
      <c r="A5" t="s">
        <v>65</v>
      </c>
      <c r="B5" t="s">
        <v>1300</v>
      </c>
    </row>
    <row r="6" spans="1:2" x14ac:dyDescent="0.4">
      <c r="A6" t="s">
        <v>1301</v>
      </c>
      <c r="B6" t="s">
        <v>1313</v>
      </c>
    </row>
    <row r="7" spans="1:2" x14ac:dyDescent="0.4">
      <c r="A7" t="s">
        <v>127</v>
      </c>
      <c r="B7" t="s">
        <v>1302</v>
      </c>
    </row>
    <row r="8" spans="1:2" x14ac:dyDescent="0.4">
      <c r="A8" t="s">
        <v>126</v>
      </c>
      <c r="B8" t="s">
        <v>1303</v>
      </c>
    </row>
    <row r="9" spans="1:2" x14ac:dyDescent="0.4">
      <c r="A9" t="s">
        <v>1304</v>
      </c>
      <c r="B9" t="s">
        <v>1305</v>
      </c>
    </row>
    <row r="10" spans="1:2" x14ac:dyDescent="0.4">
      <c r="A10" t="s">
        <v>1192</v>
      </c>
      <c r="B10" t="s">
        <v>1306</v>
      </c>
    </row>
    <row r="11" spans="1:2" x14ac:dyDescent="0.4">
      <c r="A11" t="s">
        <v>1193</v>
      </c>
      <c r="B11" t="s">
        <v>1297</v>
      </c>
    </row>
    <row r="12" spans="1:2" x14ac:dyDescent="0.4">
      <c r="A12" t="s">
        <v>1307</v>
      </c>
      <c r="B12" t="s">
        <v>1308</v>
      </c>
    </row>
    <row r="13" spans="1:2" x14ac:dyDescent="0.4">
      <c r="A13" t="s">
        <v>1309</v>
      </c>
      <c r="B13" t="s">
        <v>95</v>
      </c>
    </row>
    <row r="14" spans="1:2" x14ac:dyDescent="0.4">
      <c r="A14" t="s">
        <v>889</v>
      </c>
      <c r="B14" t="s">
        <v>100</v>
      </c>
    </row>
    <row r="15" spans="1:2" x14ac:dyDescent="0.4">
      <c r="A15" t="s">
        <v>884</v>
      </c>
      <c r="B15" t="s">
        <v>1310</v>
      </c>
    </row>
    <row r="16" spans="1:2" x14ac:dyDescent="0.4">
      <c r="A16" t="s">
        <v>1188</v>
      </c>
      <c r="B16" t="s">
        <v>598</v>
      </c>
    </row>
    <row r="17" spans="1:2" x14ac:dyDescent="0.4">
      <c r="A17" t="s">
        <v>879</v>
      </c>
      <c r="B17" t="s">
        <v>598</v>
      </c>
    </row>
    <row r="18" spans="1:2" x14ac:dyDescent="0.4">
      <c r="A18" t="s">
        <v>1190</v>
      </c>
      <c r="B18" t="s">
        <v>598</v>
      </c>
    </row>
    <row r="19" spans="1:2" x14ac:dyDescent="0.4">
      <c r="A19" t="s">
        <v>123</v>
      </c>
      <c r="B19" t="s">
        <v>1311</v>
      </c>
    </row>
    <row r="20" spans="1:2" x14ac:dyDescent="0.4">
      <c r="A20" t="s">
        <v>120</v>
      </c>
      <c r="B20" t="s">
        <v>205</v>
      </c>
    </row>
    <row r="21" spans="1:2" x14ac:dyDescent="0.4">
      <c r="A21" t="s">
        <v>122</v>
      </c>
      <c r="B21" t="s">
        <v>1312</v>
      </c>
    </row>
    <row r="22" spans="1:2" x14ac:dyDescent="0.4">
      <c r="A22" t="s">
        <v>114</v>
      </c>
      <c r="B22" t="s">
        <v>100</v>
      </c>
    </row>
    <row r="24" spans="1:2" x14ac:dyDescent="0.4">
      <c r="A24" t="s">
        <v>1295</v>
      </c>
      <c r="B24" t="s">
        <v>1296</v>
      </c>
    </row>
    <row r="25" spans="1:2" x14ac:dyDescent="0.4">
      <c r="A25" t="s">
        <v>123</v>
      </c>
      <c r="B25" t="s">
        <v>1430</v>
      </c>
    </row>
    <row r="26" spans="1:2" x14ac:dyDescent="0.4">
      <c r="A26" t="s">
        <v>122</v>
      </c>
      <c r="B26" t="s">
        <v>1312</v>
      </c>
    </row>
    <row r="27" spans="1:2" x14ac:dyDescent="0.4">
      <c r="A27" t="s">
        <v>121</v>
      </c>
    </row>
    <row r="28" spans="1:2" x14ac:dyDescent="0.4">
      <c r="A28" t="s">
        <v>120</v>
      </c>
      <c r="B28" t="s">
        <v>205</v>
      </c>
    </row>
    <row r="29" spans="1:2" x14ac:dyDescent="0.4">
      <c r="A29" t="s">
        <v>119</v>
      </c>
    </row>
    <row r="30" spans="1:2" x14ac:dyDescent="0.4">
      <c r="A30" t="s">
        <v>118</v>
      </c>
    </row>
    <row r="31" spans="1:2" x14ac:dyDescent="0.4">
      <c r="A31" t="s">
        <v>491</v>
      </c>
    </row>
    <row r="32" spans="1:2" x14ac:dyDescent="0.4">
      <c r="A32" t="s">
        <v>116</v>
      </c>
      <c r="B32" t="s">
        <v>539</v>
      </c>
    </row>
    <row r="33" spans="1:2" x14ac:dyDescent="0.4">
      <c r="A33" t="s">
        <v>115</v>
      </c>
      <c r="B33" t="s">
        <v>1429</v>
      </c>
    </row>
    <row r="34" spans="1:2" x14ac:dyDescent="0.4">
      <c r="A34" t="s">
        <v>114</v>
      </c>
      <c r="B34" t="s">
        <v>100</v>
      </c>
    </row>
    <row r="35" spans="1:2" x14ac:dyDescent="0.4">
      <c r="A35" t="s">
        <v>113</v>
      </c>
    </row>
    <row r="36" spans="1:2" x14ac:dyDescent="0.4">
      <c r="A36" t="s">
        <v>112</v>
      </c>
    </row>
    <row r="37" spans="1:2" x14ac:dyDescent="0.4">
      <c r="A37" t="s">
        <v>111</v>
      </c>
    </row>
    <row r="38" spans="1:2" x14ac:dyDescent="0.4">
      <c r="A38" t="s">
        <v>110</v>
      </c>
      <c r="B38" t="s">
        <v>1431</v>
      </c>
    </row>
    <row r="39" spans="1:2" x14ac:dyDescent="0.4">
      <c r="A39" t="s">
        <v>109</v>
      </c>
      <c r="B39" t="s">
        <v>1432</v>
      </c>
    </row>
    <row r="40" spans="1:2" x14ac:dyDescent="0.4">
      <c r="A40" t="s">
        <v>108</v>
      </c>
      <c r="B40" t="s">
        <v>544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カテゴリ</vt:lpstr>
      <vt:lpstr>作製品</vt:lpstr>
      <vt:lpstr>アイテム</vt:lpstr>
      <vt:lpstr>素材</vt:lpstr>
      <vt:lpstr>付与</vt:lpstr>
      <vt:lpstr>装備品</vt:lpstr>
      <vt:lpstr>ショップ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syuya kikuti</dc:creator>
  <cp:lastModifiedBy>syuya kikuti</cp:lastModifiedBy>
  <dcterms:created xsi:type="dcterms:W3CDTF">2024-12-13T08:42:41Z</dcterms:created>
  <dcterms:modified xsi:type="dcterms:W3CDTF">2025-12-14T06:22:17Z</dcterms:modified>
</cp:coreProperties>
</file>